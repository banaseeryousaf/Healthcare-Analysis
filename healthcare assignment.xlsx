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129" documentId="13_ncr:1_{18F556EB-8D97-4DB0-B3FC-F43614A0DC1C}" xr6:coauthVersionLast="47" xr6:coauthVersionMax="47" xr10:uidLastSave="{4063CF01-A82B-4F7D-8E54-9A54304BC3EE}"/>
  <bookViews>
    <workbookView xWindow="-108" yWindow="-108" windowWidth="23256" windowHeight="12456" activeTab="2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healthcare" sheetId="5" r:id="rId4"/>
  </sheets>
  <definedNames>
    <definedName name="_xlnm._FilterDatabase" localSheetId="2" hidden="1">'Hospitalisation Details'!$A$1:$A$2344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5" l="1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B2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3" i="5"/>
  <c r="B4" i="5"/>
  <c r="B5" i="5"/>
  <c r="B6" i="5"/>
  <c r="B7" i="5"/>
  <c r="B8" i="5"/>
  <c r="B9" i="5"/>
  <c r="B10" i="5"/>
  <c r="B11" i="5"/>
  <c r="B12" i="5"/>
  <c r="B13" i="5"/>
  <c r="B14" i="5"/>
  <c r="J3" i="2" a="1"/>
  <c r="J3" i="2"/>
  <c r="J4" i="2" a="1"/>
  <c r="J4" i="2" s="1"/>
  <c r="J5" i="2" a="1"/>
  <c r="J5" i="2"/>
  <c r="J6" i="2" a="1"/>
  <c r="J6" i="2"/>
  <c r="J7" i="2" a="1"/>
  <c r="J7" i="2"/>
  <c r="J8" i="2" a="1"/>
  <c r="J8" i="2"/>
  <c r="J9" i="2" a="1"/>
  <c r="J9" i="2"/>
  <c r="J10" i="2" a="1"/>
  <c r="J10" i="2" s="1"/>
  <c r="J11" i="2" a="1"/>
  <c r="J11" i="2"/>
  <c r="J12" i="2" a="1"/>
  <c r="J12" i="2"/>
  <c r="J13" i="2" a="1"/>
  <c r="J13" i="2"/>
  <c r="J14" i="2" a="1"/>
  <c r="J14" i="2"/>
  <c r="J15" i="2" a="1"/>
  <c r="J15" i="2"/>
  <c r="J16" i="2" a="1"/>
  <c r="J16" i="2" s="1"/>
  <c r="J17" i="2" a="1"/>
  <c r="J17" i="2"/>
  <c r="J18" i="2" a="1"/>
  <c r="J18" i="2"/>
  <c r="J19" i="2" a="1"/>
  <c r="J19" i="2"/>
  <c r="J20" i="2" a="1"/>
  <c r="J20" i="2"/>
  <c r="J21" i="2" a="1"/>
  <c r="J21" i="2"/>
  <c r="J22" i="2" a="1"/>
  <c r="J22" i="2" s="1"/>
  <c r="J23" i="2" a="1"/>
  <c r="J23" i="2" s="1"/>
  <c r="J24" i="2" a="1"/>
  <c r="J24" i="2"/>
  <c r="J25" i="2" a="1"/>
  <c r="J25" i="2"/>
  <c r="J26" i="2" a="1"/>
  <c r="J26" i="2"/>
  <c r="J27" i="2" a="1"/>
  <c r="J27" i="2"/>
  <c r="J28" i="2" a="1"/>
  <c r="J28" i="2" s="1"/>
  <c r="J29" i="2" a="1"/>
  <c r="J29" i="2" s="1"/>
  <c r="J30" i="2" a="1"/>
  <c r="J30" i="2"/>
  <c r="J31" i="2" a="1"/>
  <c r="J31" i="2"/>
  <c r="J32" i="2" a="1"/>
  <c r="J32" i="2"/>
  <c r="J33" i="2" a="1"/>
  <c r="J33" i="2"/>
  <c r="J34" i="2" a="1"/>
  <c r="J34" i="2" s="1"/>
  <c r="J35" i="2" a="1"/>
  <c r="J35" i="2"/>
  <c r="J36" i="2" a="1"/>
  <c r="J36" i="2" s="1"/>
  <c r="J37" i="2" a="1"/>
  <c r="J37" i="2"/>
  <c r="J38" i="2" a="1"/>
  <c r="J38" i="2" s="1"/>
  <c r="J39" i="2" a="1"/>
  <c r="J39" i="2"/>
  <c r="J40" i="2" a="1"/>
  <c r="J40" i="2" s="1"/>
  <c r="J41" i="2" a="1"/>
  <c r="J41" i="2"/>
  <c r="J42" i="2" a="1"/>
  <c r="J42" i="2" s="1"/>
  <c r="J43" i="2" a="1"/>
  <c r="J43" i="2"/>
  <c r="J44" i="2" a="1"/>
  <c r="J44" i="2" s="1"/>
  <c r="J45" i="2" a="1"/>
  <c r="J45" i="2" s="1"/>
  <c r="J46" i="2" a="1"/>
  <c r="J46" i="2" s="1"/>
  <c r="J47" i="2" a="1"/>
  <c r="J47" i="2"/>
  <c r="J48" i="2" a="1"/>
  <c r="J48" i="2"/>
  <c r="J49" i="2" a="1"/>
  <c r="J49" i="2" s="1"/>
  <c r="J50" i="2" a="1"/>
  <c r="J50" i="2"/>
  <c r="J51" i="2" a="1"/>
  <c r="J51" i="2" s="1"/>
  <c r="J52" i="2" a="1"/>
  <c r="J52" i="2" s="1"/>
  <c r="J53" i="2" a="1"/>
  <c r="J53" i="2" s="1"/>
  <c r="J54" i="2" a="1"/>
  <c r="J54" i="2"/>
  <c r="J55" i="2" a="1"/>
  <c r="J55" i="2"/>
  <c r="J56" i="2" a="1"/>
  <c r="J56" i="2" s="1"/>
  <c r="J57" i="2" a="1"/>
  <c r="J57" i="2" s="1"/>
  <c r="J58" i="2" a="1"/>
  <c r="J58" i="2" s="1"/>
  <c r="J59" i="2" a="1"/>
  <c r="J59" i="2"/>
  <c r="J60" i="2" a="1"/>
  <c r="J60" i="2" s="1"/>
  <c r="J61" i="2" a="1"/>
  <c r="J61" i="2"/>
  <c r="J62" i="2" a="1"/>
  <c r="J62" i="2" s="1"/>
  <c r="J63" i="2" a="1"/>
  <c r="J63" i="2" s="1"/>
  <c r="J64" i="2" a="1"/>
  <c r="J64" i="2" s="1"/>
  <c r="J65" i="2" a="1"/>
  <c r="J65" i="2"/>
  <c r="J66" i="2" a="1"/>
  <c r="J66" i="2"/>
  <c r="J67" i="2" a="1"/>
  <c r="J67" i="2" s="1"/>
  <c r="J68" i="2" a="1"/>
  <c r="J68" i="2" s="1"/>
  <c r="J69" i="2" a="1"/>
  <c r="J69" i="2" s="1"/>
  <c r="J70" i="2" a="1"/>
  <c r="J70" i="2" s="1"/>
  <c r="J71" i="2" a="1"/>
  <c r="J71" i="2" s="1"/>
  <c r="J72" i="2" a="1"/>
  <c r="J72" i="2"/>
  <c r="J73" i="2" a="1"/>
  <c r="J73" i="2"/>
  <c r="J74" i="2" a="1"/>
  <c r="J74" i="2"/>
  <c r="J75" i="2" a="1"/>
  <c r="J75" i="2" s="1"/>
  <c r="J76" i="2" a="1"/>
  <c r="J76" i="2" s="1"/>
  <c r="J77" i="2" a="1"/>
  <c r="J77" i="2"/>
  <c r="J78" i="2" a="1"/>
  <c r="J78" i="2" s="1"/>
  <c r="J79" i="2" a="1"/>
  <c r="J79" i="2"/>
  <c r="J80" i="2" a="1"/>
  <c r="J80" i="2"/>
  <c r="J81" i="2" a="1"/>
  <c r="J81" i="2" s="1"/>
  <c r="J82" i="2" a="1"/>
  <c r="J82" i="2" s="1"/>
  <c r="J83" i="2" a="1"/>
  <c r="J83" i="2" s="1"/>
  <c r="J84" i="2" a="1"/>
  <c r="J84" i="2" s="1"/>
  <c r="J85" i="2" a="1"/>
  <c r="J85" i="2" s="1"/>
  <c r="J86" i="2" a="1"/>
  <c r="J86" i="2"/>
  <c r="J87" i="2" a="1"/>
  <c r="J87" i="2" s="1"/>
  <c r="J88" i="2" a="1"/>
  <c r="J88" i="2" s="1"/>
  <c r="J89" i="2" a="1"/>
  <c r="J89" i="2"/>
  <c r="J90" i="2" a="1"/>
  <c r="J90" i="2"/>
  <c r="J91" i="2" a="1"/>
  <c r="J91" i="2" s="1"/>
  <c r="J92" i="2" a="1"/>
  <c r="J92" i="2" s="1"/>
  <c r="J93" i="2" a="1"/>
  <c r="J93" i="2" s="1"/>
  <c r="J94" i="2" a="1"/>
  <c r="J94" i="2" s="1"/>
  <c r="J95" i="2" a="1"/>
  <c r="J95" i="2"/>
  <c r="J96" i="2" a="1"/>
  <c r="J96" i="2"/>
  <c r="J97" i="2" a="1"/>
  <c r="J97" i="2"/>
  <c r="J98" i="2" a="1"/>
  <c r="J98" i="2" s="1"/>
  <c r="J99" i="2" a="1"/>
  <c r="J99" i="2" s="1"/>
  <c r="J100" i="2" a="1"/>
  <c r="J100" i="2" s="1"/>
  <c r="J101" i="2" a="1"/>
  <c r="J101" i="2"/>
  <c r="J102" i="2" a="1"/>
  <c r="J102" i="2"/>
  <c r="J103" i="2" a="1"/>
  <c r="J103" i="2"/>
  <c r="J104" i="2" a="1"/>
  <c r="J104" i="2" s="1"/>
  <c r="J105" i="2" a="1"/>
  <c r="J105" i="2" s="1"/>
  <c r="J106" i="2" a="1"/>
  <c r="J106" i="2" s="1"/>
  <c r="J107" i="2" a="1"/>
  <c r="J107" i="2" s="1"/>
  <c r="J108" i="2" a="1"/>
  <c r="J108" i="2"/>
  <c r="J109" i="2" a="1"/>
  <c r="J109" i="2"/>
  <c r="J110" i="2" a="1"/>
  <c r="J110" i="2"/>
  <c r="J111" i="2" a="1"/>
  <c r="J111" i="2" s="1"/>
  <c r="J112" i="2" a="1"/>
  <c r="J112" i="2" s="1"/>
  <c r="J113" i="2" a="1"/>
  <c r="J113" i="2"/>
  <c r="J114" i="2" a="1"/>
  <c r="J114" i="2" s="1"/>
  <c r="J115" i="2" a="1"/>
  <c r="J115" i="2"/>
  <c r="J116" i="2" a="1"/>
  <c r="J116" i="2"/>
  <c r="J117" i="2" a="1"/>
  <c r="J117" i="2" s="1"/>
  <c r="J118" i="2" a="1"/>
  <c r="J118" i="2" s="1"/>
  <c r="J119" i="2" a="1"/>
  <c r="J119" i="2"/>
  <c r="J120" i="2" a="1"/>
  <c r="J120" i="2" s="1"/>
  <c r="J121" i="2" a="1"/>
  <c r="J121" i="2" s="1"/>
  <c r="J122" i="2" a="1"/>
  <c r="J122" i="2"/>
  <c r="J123" i="2" a="1"/>
  <c r="J123" i="2" s="1"/>
  <c r="J124" i="2" a="1"/>
  <c r="J124" i="2" s="1"/>
  <c r="J125" i="2" a="1"/>
  <c r="J125" i="2"/>
  <c r="J126" i="2" a="1"/>
  <c r="J126" i="2"/>
  <c r="J127" i="2" a="1"/>
  <c r="J127" i="2"/>
  <c r="J128" i="2" a="1"/>
  <c r="J128" i="2" s="1"/>
  <c r="J129" i="2" a="1"/>
  <c r="J129" i="2" s="1"/>
  <c r="J130" i="2" a="1"/>
  <c r="J130" i="2" s="1"/>
  <c r="J131" i="2" a="1"/>
  <c r="J131" i="2" s="1"/>
  <c r="J132" i="2" a="1"/>
  <c r="J132" i="2"/>
  <c r="J133" i="2" a="1"/>
  <c r="J133" i="2"/>
  <c r="J134" i="2" a="1"/>
  <c r="J134" i="2"/>
  <c r="J135" i="2" a="1"/>
  <c r="J135" i="2" s="1"/>
  <c r="J136" i="2" a="1"/>
  <c r="J136" i="2" s="1"/>
  <c r="J137" i="2" a="1"/>
  <c r="J137" i="2"/>
  <c r="J138" i="2" a="1"/>
  <c r="J138" i="2" s="1"/>
  <c r="J139" i="2" a="1"/>
  <c r="J139" i="2" s="1"/>
  <c r="J140" i="2" a="1"/>
  <c r="J140" i="2"/>
  <c r="J141" i="2" a="1"/>
  <c r="J141" i="2" s="1"/>
  <c r="J142" i="2" a="1"/>
  <c r="J142" i="2" s="1"/>
  <c r="J143" i="2" a="1"/>
  <c r="J143" i="2" s="1"/>
  <c r="J144" i="2" a="1"/>
  <c r="J144" i="2"/>
  <c r="J145" i="2" a="1"/>
  <c r="J145" i="2" s="1"/>
  <c r="J146" i="2" a="1"/>
  <c r="J146" i="2"/>
  <c r="J147" i="2" a="1"/>
  <c r="J147" i="2" s="1"/>
  <c r="J148" i="2" a="1"/>
  <c r="J148" i="2" s="1"/>
  <c r="J149" i="2" a="1"/>
  <c r="J149" i="2"/>
  <c r="J150" i="2" a="1"/>
  <c r="J150" i="2" s="1"/>
  <c r="J151" i="2" a="1"/>
  <c r="J151" i="2"/>
  <c r="J152" i="2" a="1"/>
  <c r="J152" i="2" s="1"/>
  <c r="J153" i="2" a="1"/>
  <c r="J153" i="2" s="1"/>
  <c r="J154" i="2" a="1"/>
  <c r="J154" i="2" s="1"/>
  <c r="J155" i="2" a="1"/>
  <c r="J155" i="2"/>
  <c r="J156" i="2" a="1"/>
  <c r="J156" i="2" s="1"/>
  <c r="J157" i="2" a="1"/>
  <c r="J157" i="2" s="1"/>
  <c r="J158" i="2" a="1"/>
  <c r="J158" i="2"/>
  <c r="J159" i="2" a="1"/>
  <c r="J159" i="2" s="1"/>
  <c r="J160" i="2" a="1"/>
  <c r="J160" i="2" s="1"/>
  <c r="J161" i="2" a="1"/>
  <c r="J161" i="2" s="1"/>
  <c r="J162" i="2" a="1"/>
  <c r="J162" i="2"/>
  <c r="J163" i="2" a="1"/>
  <c r="J163" i="2"/>
  <c r="J164" i="2" a="1"/>
  <c r="J164" i="2" s="1"/>
  <c r="J165" i="2" a="1"/>
  <c r="J165" i="2" s="1"/>
  <c r="J166" i="2" a="1"/>
  <c r="J166" i="2" s="1"/>
  <c r="J167" i="2" a="1"/>
  <c r="J167" i="2"/>
  <c r="J168" i="2" a="1"/>
  <c r="J168" i="2" s="1"/>
  <c r="J169" i="2" a="1"/>
  <c r="J169" i="2" s="1"/>
  <c r="J170" i="2" a="1"/>
  <c r="J170" i="2"/>
  <c r="J171" i="2" a="1"/>
  <c r="J171" i="2" s="1"/>
  <c r="J172" i="2" a="1"/>
  <c r="J172" i="2" s="1"/>
  <c r="J173" i="2" a="1"/>
  <c r="J173" i="2"/>
  <c r="J174" i="2" a="1"/>
  <c r="J174" i="2"/>
  <c r="J175" i="2" a="1"/>
  <c r="J175" i="2" s="1"/>
  <c r="J176" i="2" a="1"/>
  <c r="J176" i="2" s="1"/>
  <c r="J177" i="2" a="1"/>
  <c r="J177" i="2" s="1"/>
  <c r="J178" i="2" a="1"/>
  <c r="J178" i="2" s="1"/>
  <c r="J179" i="2" a="1"/>
  <c r="J179" i="2" s="1"/>
  <c r="J180" i="2" a="1"/>
  <c r="J180" i="2"/>
  <c r="J181" i="2" a="1"/>
  <c r="J181" i="2"/>
  <c r="J182" i="2" a="1"/>
  <c r="J182" i="2" s="1"/>
  <c r="J183" i="2" a="1"/>
  <c r="J183" i="2" s="1"/>
  <c r="J184" i="2" a="1"/>
  <c r="J184" i="2" s="1"/>
  <c r="J185" i="2" a="1"/>
  <c r="J185" i="2"/>
  <c r="J186" i="2" a="1"/>
  <c r="J186" i="2" s="1"/>
  <c r="J187" i="2" a="1"/>
  <c r="J187" i="2"/>
  <c r="J188" i="2" a="1"/>
  <c r="J188" i="2"/>
  <c r="J189" i="2" a="1"/>
  <c r="J189" i="2" s="1"/>
  <c r="J190" i="2" a="1"/>
  <c r="J190" i="2" s="1"/>
  <c r="J191" i="2" a="1"/>
  <c r="J191" i="2" s="1"/>
  <c r="J192" i="2" a="1"/>
  <c r="J192" i="2" s="1"/>
  <c r="J193" i="2" a="1"/>
  <c r="J193" i="2" s="1"/>
  <c r="J194" i="2" a="1"/>
  <c r="J194" i="2"/>
  <c r="J195" i="2" a="1"/>
  <c r="J195" i="2" s="1"/>
  <c r="J196" i="2" a="1"/>
  <c r="J196" i="2" s="1"/>
  <c r="J197" i="2" a="1"/>
  <c r="J197" i="2" s="1"/>
  <c r="J198" i="2" a="1"/>
  <c r="J198" i="2"/>
  <c r="J199" i="2" a="1"/>
  <c r="J199" i="2" s="1"/>
  <c r="J200" i="2" a="1"/>
  <c r="J200" i="2" s="1"/>
  <c r="J201" i="2" a="1"/>
  <c r="J201" i="2" s="1"/>
  <c r="J202" i="2" a="1"/>
  <c r="J202" i="2" s="1"/>
  <c r="J203" i="2" a="1"/>
  <c r="J203" i="2"/>
  <c r="J204" i="2" a="1"/>
  <c r="J204" i="2"/>
  <c r="J205" i="2" a="1"/>
  <c r="J205" i="2" s="1"/>
  <c r="J206" i="2" a="1"/>
  <c r="J206" i="2" s="1"/>
  <c r="J207" i="2" a="1"/>
  <c r="J207" i="2" s="1"/>
  <c r="J208" i="2" a="1"/>
  <c r="J208" i="2" s="1"/>
  <c r="J209" i="2" a="1"/>
  <c r="J209" i="2"/>
  <c r="J210" i="2" a="1"/>
  <c r="J210" i="2"/>
  <c r="J211" i="2" a="1"/>
  <c r="J211" i="2"/>
  <c r="J212" i="2" a="1"/>
  <c r="J212" i="2"/>
  <c r="J213" i="2" a="1"/>
  <c r="J213" i="2" s="1"/>
  <c r="J214" i="2" a="1"/>
  <c r="J214" i="2" s="1"/>
  <c r="J215" i="2" a="1"/>
  <c r="J215" i="2" s="1"/>
  <c r="J216" i="2" a="1"/>
  <c r="J216" i="2"/>
  <c r="J217" i="2" a="1"/>
  <c r="J217" i="2" s="1"/>
  <c r="J218" i="2" a="1"/>
  <c r="J218" i="2"/>
  <c r="J219" i="2" a="1"/>
  <c r="J219" i="2" s="1"/>
  <c r="J220" i="2" a="1"/>
  <c r="J220" i="2" s="1"/>
  <c r="J221" i="2" a="1"/>
  <c r="J221" i="2" s="1"/>
  <c r="J222" i="2" a="1"/>
  <c r="J222" i="2" s="1"/>
  <c r="J223" i="2" a="1"/>
  <c r="J223" i="2"/>
  <c r="J224" i="2" a="1"/>
  <c r="J224" i="2"/>
  <c r="J225" i="2" a="1"/>
  <c r="J225" i="2" s="1"/>
  <c r="J226" i="2" a="1"/>
  <c r="J226" i="2" s="1"/>
  <c r="J227" i="2" a="1"/>
  <c r="J227" i="2"/>
  <c r="J228" i="2" a="1"/>
  <c r="J228" i="2"/>
  <c r="J229" i="2" a="1"/>
  <c r="J229" i="2" s="1"/>
  <c r="J230" i="2" a="1"/>
  <c r="J230" i="2"/>
  <c r="J231" i="2" a="1"/>
  <c r="J231" i="2" s="1"/>
  <c r="J232" i="2" a="1"/>
  <c r="J232" i="2" s="1"/>
  <c r="J233" i="2" a="1"/>
  <c r="J233" i="2" s="1"/>
  <c r="J234" i="2" a="1"/>
  <c r="J234" i="2"/>
  <c r="J235" i="2" a="1"/>
  <c r="J235" i="2"/>
  <c r="J236" i="2" a="1"/>
  <c r="J236" i="2" s="1"/>
  <c r="J237" i="2" a="1"/>
  <c r="J237" i="2" s="1"/>
  <c r="J238" i="2" a="1"/>
  <c r="J238" i="2" s="1"/>
  <c r="J239" i="2" a="1"/>
  <c r="J239" i="2" s="1"/>
  <c r="J240" i="2" a="1"/>
  <c r="J240" i="2"/>
  <c r="J241" i="2" a="1"/>
  <c r="J241" i="2" s="1"/>
  <c r="J242" i="2" a="1"/>
  <c r="J242" i="2"/>
  <c r="J243" i="2" a="1"/>
  <c r="J243" i="2" s="1"/>
  <c r="J244" i="2" a="1"/>
  <c r="J244" i="2" s="1"/>
  <c r="J245" i="2" a="1"/>
  <c r="J245" i="2" s="1"/>
  <c r="J246" i="2" a="1"/>
  <c r="J246" i="2" s="1"/>
  <c r="J247" i="2" a="1"/>
  <c r="J247" i="2"/>
  <c r="J248" i="2" a="1"/>
  <c r="J248" i="2"/>
  <c r="J249" i="2" a="1"/>
  <c r="J249" i="2" s="1"/>
  <c r="J250" i="2" a="1"/>
  <c r="J250" i="2" s="1"/>
  <c r="J251" i="2" a="1"/>
  <c r="J251" i="2" s="1"/>
  <c r="J252" i="2" a="1"/>
  <c r="J252" i="2"/>
  <c r="J253" i="2" a="1"/>
  <c r="J253" i="2" s="1"/>
  <c r="J254" i="2" a="1"/>
  <c r="J254" i="2" s="1"/>
  <c r="J255" i="2" a="1"/>
  <c r="J255" i="2" s="1"/>
  <c r="J256" i="2" a="1"/>
  <c r="J256" i="2" s="1"/>
  <c r="J257" i="2" a="1"/>
  <c r="J257" i="2"/>
  <c r="J258" i="2" a="1"/>
  <c r="J258" i="2" s="1"/>
  <c r="J259" i="2" a="1"/>
  <c r="J259" i="2" s="1"/>
  <c r="J260" i="2" a="1"/>
  <c r="J260" i="2" s="1"/>
  <c r="J261" i="2" a="1"/>
  <c r="J261" i="2" s="1"/>
  <c r="J262" i="2" a="1"/>
  <c r="J262" i="2" s="1"/>
  <c r="J263" i="2" a="1"/>
  <c r="J263" i="2" s="1"/>
  <c r="J264" i="2" a="1"/>
  <c r="J264" i="2" s="1"/>
  <c r="J265" i="2" a="1"/>
  <c r="J265" i="2" s="1"/>
  <c r="J266" i="2" a="1"/>
  <c r="J266" i="2" s="1"/>
  <c r="J267" i="2" a="1"/>
  <c r="J267" i="2" s="1"/>
  <c r="J268" i="2" a="1"/>
  <c r="J268" i="2" s="1"/>
  <c r="J269" i="2" a="1"/>
  <c r="J269" i="2"/>
  <c r="J270" i="2" a="1"/>
  <c r="J270" i="2" s="1"/>
  <c r="J271" i="2" a="1"/>
  <c r="J271" i="2" s="1"/>
  <c r="J272" i="2" a="1"/>
  <c r="J272" i="2" s="1"/>
  <c r="J273" i="2" a="1"/>
  <c r="J273" i="2" s="1"/>
  <c r="J274" i="2" a="1"/>
  <c r="J274" i="2" s="1"/>
  <c r="J275" i="2" a="1"/>
  <c r="J275" i="2"/>
  <c r="J276" i="2" a="1"/>
  <c r="J276" i="2"/>
  <c r="J277" i="2" a="1"/>
  <c r="J277" i="2"/>
  <c r="J278" i="2" a="1"/>
  <c r="J278" i="2" s="1"/>
  <c r="J279" i="2" a="1"/>
  <c r="J279" i="2" s="1"/>
  <c r="J280" i="2" a="1"/>
  <c r="J280" i="2" s="1"/>
  <c r="J281" i="2" a="1"/>
  <c r="J281" i="2" s="1"/>
  <c r="J282" i="2" a="1"/>
  <c r="J282" i="2"/>
  <c r="J283" i="2" a="1"/>
  <c r="J283" i="2"/>
  <c r="J284" i="2" a="1"/>
  <c r="J284" i="2"/>
  <c r="J285" i="2" a="1"/>
  <c r="J285" i="2" s="1"/>
  <c r="J286" i="2" a="1"/>
  <c r="J286" i="2" s="1"/>
  <c r="J287" i="2" a="1"/>
  <c r="J287" i="2" s="1"/>
  <c r="J288" i="2" a="1"/>
  <c r="J288" i="2" s="1"/>
  <c r="J289" i="2" a="1"/>
  <c r="J289" i="2"/>
  <c r="J290" i="2" a="1"/>
  <c r="J290" i="2"/>
  <c r="J291" i="2" a="1"/>
  <c r="J291" i="2" s="1"/>
  <c r="J292" i="2" a="1"/>
  <c r="J292" i="2" s="1"/>
  <c r="J293" i="2" a="1"/>
  <c r="J293" i="2"/>
  <c r="J294" i="2" a="1"/>
  <c r="J294" i="2" s="1"/>
  <c r="J295" i="2" a="1"/>
  <c r="J295" i="2" s="1"/>
  <c r="J296" i="2" a="1"/>
  <c r="J296" i="2" s="1"/>
  <c r="J297" i="2" a="1"/>
  <c r="J297" i="2" s="1"/>
  <c r="J298" i="2" a="1"/>
  <c r="J298" i="2" s="1"/>
  <c r="J299" i="2" a="1"/>
  <c r="J299" i="2"/>
  <c r="J300" i="2" a="1"/>
  <c r="J300" i="2" s="1"/>
  <c r="J301" i="2" a="1"/>
  <c r="J301" i="2" s="1"/>
  <c r="J302" i="2" a="1"/>
  <c r="J302" i="2" s="1"/>
  <c r="J303" i="2" a="1"/>
  <c r="J303" i="2" s="1"/>
  <c r="J304" i="2" a="1"/>
  <c r="J304" i="2" s="1"/>
  <c r="J305" i="2" a="1"/>
  <c r="J305" i="2" s="1"/>
  <c r="J306" i="2" a="1"/>
  <c r="J306" i="2"/>
  <c r="J307" i="2" a="1"/>
  <c r="J307" i="2" s="1"/>
  <c r="J308" i="2" a="1"/>
  <c r="J308" i="2" s="1"/>
  <c r="J309" i="2" a="1"/>
  <c r="J309" i="2" s="1"/>
  <c r="J310" i="2" a="1"/>
  <c r="J310" i="2" s="1"/>
  <c r="J311" i="2" a="1"/>
  <c r="J311" i="2"/>
  <c r="J312" i="2" a="1"/>
  <c r="J312" i="2" s="1"/>
  <c r="J313" i="2" a="1"/>
  <c r="J313" i="2"/>
  <c r="J314" i="2" a="1"/>
  <c r="J314" i="2"/>
  <c r="J315" i="2" a="1"/>
  <c r="J315" i="2" s="1"/>
  <c r="J316" i="2" a="1"/>
  <c r="J316" i="2" s="1"/>
  <c r="J317" i="2" a="1"/>
  <c r="J317" i="2" s="1"/>
  <c r="J318" i="2" a="1"/>
  <c r="J318" i="2" s="1"/>
  <c r="J319" i="2" a="1"/>
  <c r="J319" i="2" s="1"/>
  <c r="J320" i="2" a="1"/>
  <c r="J320" i="2" s="1"/>
  <c r="J321" i="2" a="1"/>
  <c r="J321" i="2" s="1"/>
  <c r="J322" i="2" a="1"/>
  <c r="J322" i="2" s="1"/>
  <c r="J323" i="2" a="1"/>
  <c r="J323" i="2" s="1"/>
  <c r="J324" i="2" a="1"/>
  <c r="J324" i="2" s="1"/>
  <c r="J325" i="2" a="1"/>
  <c r="J325" i="2"/>
  <c r="J326" i="2" a="1"/>
  <c r="J326" i="2" s="1"/>
  <c r="J327" i="2" a="1"/>
  <c r="J327" i="2" s="1"/>
  <c r="J328" i="2" a="1"/>
  <c r="J328" i="2" s="1"/>
  <c r="J329" i="2" a="1"/>
  <c r="J329" i="2" s="1"/>
  <c r="J330" i="2" a="1"/>
  <c r="J330" i="2" s="1"/>
  <c r="J331" i="2" a="1"/>
  <c r="J331" i="2" s="1"/>
  <c r="J332" i="2" a="1"/>
  <c r="J332" i="2"/>
  <c r="J333" i="2" a="1"/>
  <c r="J333" i="2" s="1"/>
  <c r="J334" i="2" a="1"/>
  <c r="J334" i="2" s="1"/>
  <c r="J335" i="2" a="1"/>
  <c r="J335" i="2" s="1"/>
  <c r="J336" i="2" a="1"/>
  <c r="J336" i="2" s="1"/>
  <c r="J337" i="2" a="1"/>
  <c r="J337" i="2" s="1"/>
  <c r="J338" i="2" a="1"/>
  <c r="J338" i="2" s="1"/>
  <c r="J339" i="2" a="1"/>
  <c r="J339" i="2" s="1"/>
  <c r="J340" i="2" a="1"/>
  <c r="J340" i="2" s="1"/>
  <c r="J341" i="2" a="1"/>
  <c r="J341" i="2"/>
  <c r="J342" i="2" a="1"/>
  <c r="J342" i="2"/>
  <c r="J343" i="2" a="1"/>
  <c r="J343" i="2"/>
  <c r="J344" i="2" a="1"/>
  <c r="J344" i="2" s="1"/>
  <c r="J345" i="2" a="1"/>
  <c r="J345" i="2" s="1"/>
  <c r="J346" i="2" a="1"/>
  <c r="J346" i="2" s="1"/>
  <c r="J347" i="2" a="1"/>
  <c r="J347" i="2"/>
  <c r="J348" i="2" a="1"/>
  <c r="J348" i="2"/>
  <c r="J349" i="2" a="1"/>
  <c r="J349" i="2"/>
  <c r="J350" i="2" a="1"/>
  <c r="J350" i="2"/>
  <c r="J351" i="2" a="1"/>
  <c r="J351" i="2" s="1"/>
  <c r="J352" i="2" a="1"/>
  <c r="J352" i="2" s="1"/>
  <c r="J353" i="2" a="1"/>
  <c r="J353" i="2" s="1"/>
  <c r="J354" i="2" a="1"/>
  <c r="J354" i="2" s="1"/>
  <c r="J355" i="2" a="1"/>
  <c r="J355" i="2"/>
  <c r="J356" i="2" a="1"/>
  <c r="J356" i="2"/>
  <c r="J357" i="2" a="1"/>
  <c r="J357" i="2" s="1"/>
  <c r="J358" i="2" a="1"/>
  <c r="J358" i="2" s="1"/>
  <c r="J359" i="2" a="1"/>
  <c r="J359" i="2" s="1"/>
  <c r="J360" i="2" a="1"/>
  <c r="J360" i="2" s="1"/>
  <c r="J361" i="2" a="1"/>
  <c r="J361" i="2" s="1"/>
  <c r="J362" i="2" a="1"/>
  <c r="J362" i="2" s="1"/>
  <c r="J363" i="2" a="1"/>
  <c r="J363" i="2" s="1"/>
  <c r="J364" i="2" a="1"/>
  <c r="J364" i="2" s="1"/>
  <c r="J365" i="2" a="1"/>
  <c r="J365" i="2"/>
  <c r="J366" i="2" a="1"/>
  <c r="J366" i="2" s="1"/>
  <c r="J367" i="2" a="1"/>
  <c r="J367" i="2" s="1"/>
  <c r="J368" i="2" a="1"/>
  <c r="J368" i="2"/>
  <c r="J369" i="2" a="1"/>
  <c r="J369" i="2" s="1"/>
  <c r="J370" i="2" a="1"/>
  <c r="J370" i="2" s="1"/>
  <c r="J371" i="2" a="1"/>
  <c r="J371" i="2" s="1"/>
  <c r="J372" i="2" a="1"/>
  <c r="J372" i="2" s="1"/>
  <c r="J373" i="2" a="1"/>
  <c r="J373" i="2" s="1"/>
  <c r="J374" i="2" a="1"/>
  <c r="J374" i="2" s="1"/>
  <c r="J375" i="2" a="1"/>
  <c r="J375" i="2" s="1"/>
  <c r="J376" i="2" a="1"/>
  <c r="J376" i="2" s="1"/>
  <c r="J377" i="2" a="1"/>
  <c r="J377" i="2"/>
  <c r="J378" i="2" a="1"/>
  <c r="J378" i="2" s="1"/>
  <c r="J379" i="2" a="1"/>
  <c r="J379" i="2" s="1"/>
  <c r="J380" i="2" a="1"/>
  <c r="J380" i="2" s="1"/>
  <c r="J381" i="2" a="1"/>
  <c r="J381" i="2" s="1"/>
  <c r="J382" i="2" a="1"/>
  <c r="J382" i="2" s="1"/>
  <c r="J383" i="2" a="1"/>
  <c r="J383" i="2"/>
  <c r="J384" i="2" a="1"/>
  <c r="J384" i="2"/>
  <c r="J385" i="2" a="1"/>
  <c r="J385" i="2"/>
  <c r="J386" i="2" a="1"/>
  <c r="J386" i="2" s="1"/>
  <c r="J387" i="2" a="1"/>
  <c r="J387" i="2" s="1"/>
  <c r="J388" i="2" a="1"/>
  <c r="J388" i="2" s="1"/>
  <c r="J389" i="2" a="1"/>
  <c r="J389" i="2" s="1"/>
  <c r="J390" i="2" a="1"/>
  <c r="J390" i="2" s="1"/>
  <c r="J391" i="2" a="1"/>
  <c r="J391" i="2"/>
  <c r="J392" i="2" a="1"/>
  <c r="J392" i="2"/>
  <c r="J393" i="2" a="1"/>
  <c r="J393" i="2" s="1"/>
  <c r="J394" i="2" a="1"/>
  <c r="J394" i="2" s="1"/>
  <c r="J395" i="2" a="1"/>
  <c r="J395" i="2" s="1"/>
  <c r="J396" i="2" a="1"/>
  <c r="J396" i="2" s="1"/>
  <c r="J397" i="2" a="1"/>
  <c r="J397" i="2"/>
  <c r="J398" i="2" a="1"/>
  <c r="J398" i="2" s="1"/>
  <c r="J399" i="2" a="1"/>
  <c r="J399" i="2" s="1"/>
  <c r="J400" i="2" a="1"/>
  <c r="J400" i="2" s="1"/>
  <c r="J401" i="2" a="1"/>
  <c r="J401" i="2"/>
  <c r="J402" i="2" a="1"/>
  <c r="J402" i="2" s="1"/>
  <c r="J403" i="2" a="1"/>
  <c r="J403" i="2" s="1"/>
  <c r="J404" i="2" a="1"/>
  <c r="J404" i="2" s="1"/>
  <c r="J405" i="2" a="1"/>
  <c r="J405" i="2" s="1"/>
  <c r="J406" i="2" a="1"/>
  <c r="J406" i="2" s="1"/>
  <c r="J407" i="2" a="1"/>
  <c r="J407" i="2"/>
  <c r="J408" i="2" a="1"/>
  <c r="J408" i="2" s="1"/>
  <c r="J409" i="2" a="1"/>
  <c r="J409" i="2" s="1"/>
  <c r="J410" i="2" a="1"/>
  <c r="J410" i="2" s="1"/>
  <c r="J411" i="2" a="1"/>
  <c r="J411" i="2" s="1"/>
  <c r="J412" i="2" a="1"/>
  <c r="J412" i="2" s="1"/>
  <c r="J413" i="2" a="1"/>
  <c r="J413" i="2" s="1"/>
  <c r="J414" i="2" a="1"/>
  <c r="J414" i="2"/>
  <c r="J415" i="2" a="1"/>
  <c r="J415" i="2"/>
  <c r="J416" i="2" a="1"/>
  <c r="J416" i="2" s="1"/>
  <c r="J417" i="2" a="1"/>
  <c r="J417" i="2" s="1"/>
  <c r="J418" i="2" a="1"/>
  <c r="J418" i="2" s="1"/>
  <c r="J419" i="2" a="1"/>
  <c r="J419" i="2" s="1"/>
  <c r="J420" i="2" a="1"/>
  <c r="J420" i="2" s="1"/>
  <c r="J421" i="2" a="1"/>
  <c r="J421" i="2"/>
  <c r="J422" i="2" a="1"/>
  <c r="J422" i="2"/>
  <c r="J423" i="2" a="1"/>
  <c r="J423" i="2" s="1"/>
  <c r="J424" i="2" a="1"/>
  <c r="J424" i="2" s="1"/>
  <c r="J425" i="2" a="1"/>
  <c r="J425" i="2" s="1"/>
  <c r="J426" i="2" a="1"/>
  <c r="J426" i="2" s="1"/>
  <c r="J427" i="2" a="1"/>
  <c r="J427" i="2" s="1"/>
  <c r="J428" i="2" a="1"/>
  <c r="J428" i="2" s="1"/>
  <c r="J429" i="2" a="1"/>
  <c r="J429" i="2" s="1"/>
  <c r="J430" i="2" a="1"/>
  <c r="J430" i="2" s="1"/>
  <c r="J431" i="2" a="1"/>
  <c r="J431" i="2" s="1"/>
  <c r="J432" i="2" a="1"/>
  <c r="J432" i="2" s="1"/>
  <c r="J433" i="2" a="1"/>
  <c r="J433" i="2"/>
  <c r="J434" i="2" a="1"/>
  <c r="J434" i="2"/>
  <c r="J435" i="2" a="1"/>
  <c r="J435" i="2" s="1"/>
  <c r="J436" i="2" a="1"/>
  <c r="J436" i="2" s="1"/>
  <c r="J437" i="2" a="1"/>
  <c r="J437" i="2" s="1"/>
  <c r="J438" i="2" a="1"/>
  <c r="J438" i="2" s="1"/>
  <c r="J439" i="2" a="1"/>
  <c r="J439" i="2" s="1"/>
  <c r="J440" i="2" a="1"/>
  <c r="J440" i="2"/>
  <c r="J441" i="2" a="1"/>
  <c r="J441" i="2" s="1"/>
  <c r="J442" i="2" a="1"/>
  <c r="J442" i="2" s="1"/>
  <c r="J443" i="2" a="1"/>
  <c r="J443" i="2"/>
  <c r="J444" i="2" a="1"/>
  <c r="J444" i="2" s="1"/>
  <c r="J445" i="2" a="1"/>
  <c r="J445" i="2" s="1"/>
  <c r="J446" i="2" a="1"/>
  <c r="J446" i="2" s="1"/>
  <c r="J447" i="2" a="1"/>
  <c r="J447" i="2" s="1"/>
  <c r="J448" i="2" a="1"/>
  <c r="J448" i="2" s="1"/>
  <c r="J449" i="2" a="1"/>
  <c r="J449" i="2"/>
  <c r="J450" i="2" a="1"/>
  <c r="J450" i="2"/>
  <c r="J451" i="2" a="1"/>
  <c r="J451" i="2"/>
  <c r="J452" i="2" a="1"/>
  <c r="J452" i="2" s="1"/>
  <c r="J453" i="2" a="1"/>
  <c r="J453" i="2" s="1"/>
  <c r="J454" i="2" a="1"/>
  <c r="J454" i="2" s="1"/>
  <c r="J455" i="2" a="1"/>
  <c r="J455" i="2"/>
  <c r="J456" i="2" a="1"/>
  <c r="J456" i="2"/>
  <c r="J457" i="2" a="1"/>
  <c r="J457" i="2"/>
  <c r="J458" i="2" a="1"/>
  <c r="J458" i="2"/>
  <c r="J459" i="2" a="1"/>
  <c r="J459" i="2" s="1"/>
  <c r="J460" i="2" a="1"/>
  <c r="J460" i="2" s="1"/>
  <c r="J461" i="2" a="1"/>
  <c r="J461" i="2" s="1"/>
  <c r="J462" i="2" a="1"/>
  <c r="J462" i="2" s="1"/>
  <c r="J463" i="2" a="1"/>
  <c r="J463" i="2" s="1"/>
  <c r="J464" i="2" a="1"/>
  <c r="J464" i="2"/>
  <c r="J465" i="2" a="1"/>
  <c r="J465" i="2" s="1"/>
  <c r="J466" i="2" a="1"/>
  <c r="J466" i="2" s="1"/>
  <c r="J467" i="2" a="1"/>
  <c r="J467" i="2" s="1"/>
  <c r="J468" i="2" a="1"/>
  <c r="J468" i="2" s="1"/>
  <c r="J469" i="2" a="1"/>
  <c r="J469" i="2" s="1"/>
  <c r="J470" i="2" a="1"/>
  <c r="J470" i="2" s="1"/>
  <c r="J471" i="2" a="1"/>
  <c r="J471" i="2" s="1"/>
  <c r="J472" i="2" a="1"/>
  <c r="J472" i="2" s="1"/>
  <c r="J473" i="2" a="1"/>
  <c r="J473" i="2" s="1"/>
  <c r="J474" i="2" a="1"/>
  <c r="J474" i="2" s="1"/>
  <c r="J475" i="2" a="1"/>
  <c r="J475" i="2" s="1"/>
  <c r="J476" i="2" a="1"/>
  <c r="J476" i="2"/>
  <c r="J477" i="2" a="1"/>
  <c r="J477" i="2" s="1"/>
  <c r="J478" i="2" a="1"/>
  <c r="J478" i="2" s="1"/>
  <c r="J479" i="2" a="1"/>
  <c r="J479" i="2" s="1"/>
  <c r="J480" i="2" a="1"/>
  <c r="J480" i="2"/>
  <c r="J481" i="2" a="1"/>
  <c r="J481" i="2" s="1"/>
  <c r="J482" i="2" a="1"/>
  <c r="J482" i="2" s="1"/>
  <c r="J483" i="2" a="1"/>
  <c r="J483" i="2" s="1"/>
  <c r="J484" i="2" a="1"/>
  <c r="J484" i="2" s="1"/>
  <c r="J485" i="2" a="1"/>
  <c r="J485" i="2"/>
  <c r="J486" i="2" a="1"/>
  <c r="J486" i="2" s="1"/>
  <c r="J487" i="2" a="1"/>
  <c r="J487" i="2" s="1"/>
  <c r="J488" i="2" a="1"/>
  <c r="J488" i="2" s="1"/>
  <c r="J489" i="2" a="1"/>
  <c r="J489" i="2" s="1"/>
  <c r="J490" i="2" a="1"/>
  <c r="J490" i="2" s="1"/>
  <c r="J491" i="2" a="1"/>
  <c r="J491" i="2"/>
  <c r="J492" i="2" a="1"/>
  <c r="J492" i="2" s="1"/>
  <c r="J493" i="2" a="1"/>
  <c r="J493" i="2"/>
  <c r="J494" i="2" a="1"/>
  <c r="J494" i="2" s="1"/>
  <c r="J495" i="2" a="1"/>
  <c r="J495" i="2" s="1"/>
  <c r="J496" i="2" a="1"/>
  <c r="J496" i="2" s="1"/>
  <c r="J497" i="2" a="1"/>
  <c r="J497" i="2" s="1"/>
  <c r="J498" i="2" a="1"/>
  <c r="J498" i="2"/>
  <c r="J499" i="2" a="1"/>
  <c r="J499" i="2"/>
  <c r="J500" i="2" a="1"/>
  <c r="J500" i="2" s="1"/>
  <c r="J501" i="2" a="1"/>
  <c r="J501" i="2" s="1"/>
  <c r="J502" i="2" a="1"/>
  <c r="J502" i="2" s="1"/>
  <c r="J503" i="2" a="1"/>
  <c r="J503" i="2" s="1"/>
  <c r="J504" i="2" a="1"/>
  <c r="J504" i="2" s="1"/>
  <c r="J505" i="2" a="1"/>
  <c r="J505" i="2"/>
  <c r="J506" i="2" a="1"/>
  <c r="J506" i="2"/>
  <c r="J507" i="2" a="1"/>
  <c r="J507" i="2" s="1"/>
  <c r="J508" i="2" a="1"/>
  <c r="J508" i="2" s="1"/>
  <c r="J509" i="2" a="1"/>
  <c r="J509" i="2" s="1"/>
  <c r="J510" i="2" a="1"/>
  <c r="J510" i="2" s="1"/>
  <c r="J511" i="2" a="1"/>
  <c r="J511" i="2" s="1"/>
  <c r="J512" i="2" a="1"/>
  <c r="J512" i="2"/>
  <c r="J513" i="2" a="1"/>
  <c r="J513" i="2" s="1"/>
  <c r="J514" i="2" a="1"/>
  <c r="J514" i="2"/>
  <c r="J515" i="2" a="1"/>
  <c r="J515" i="2"/>
  <c r="J516" i="2" a="1"/>
  <c r="J516" i="2" s="1"/>
  <c r="J517" i="2" a="1"/>
  <c r="J517" i="2" s="1"/>
  <c r="J518" i="2" a="1"/>
  <c r="J518" i="2"/>
  <c r="J519" i="2" a="1"/>
  <c r="J519" i="2" s="1"/>
  <c r="J520" i="2" a="1"/>
  <c r="J520" i="2"/>
  <c r="J521" i="2" a="1"/>
  <c r="J521" i="2"/>
  <c r="J522" i="2" a="1"/>
  <c r="J522" i="2"/>
  <c r="J523" i="2" a="1"/>
  <c r="J523" i="2" s="1"/>
  <c r="J524" i="2" a="1"/>
  <c r="J524" i="2" s="1"/>
  <c r="J525" i="2" a="1"/>
  <c r="J525" i="2" s="1"/>
  <c r="J526" i="2" a="1"/>
  <c r="J526" i="2"/>
  <c r="J527" i="2" a="1"/>
  <c r="J527" i="2"/>
  <c r="J528" i="2" a="1"/>
  <c r="J528" i="2"/>
  <c r="J529" i="2" a="1"/>
  <c r="J529" i="2"/>
  <c r="J530" i="2" a="1"/>
  <c r="J530" i="2" s="1"/>
  <c r="J531" i="2" a="1"/>
  <c r="J531" i="2" s="1"/>
  <c r="J532" i="2" a="1"/>
  <c r="J532" i="2"/>
  <c r="J533" i="2" a="1"/>
  <c r="J533" i="2"/>
  <c r="J534" i="2" a="1"/>
  <c r="J534" i="2"/>
  <c r="J535" i="2" a="1"/>
  <c r="J535" i="2"/>
  <c r="J536" i="2" a="1"/>
  <c r="J536" i="2" s="1"/>
  <c r="J537" i="2" a="1"/>
  <c r="J537" i="2" s="1"/>
  <c r="J538" i="2" a="1"/>
  <c r="J538" i="2" s="1"/>
  <c r="J539" i="2" a="1"/>
  <c r="J539" i="2" s="1"/>
  <c r="J540" i="2" a="1"/>
  <c r="J540" i="2"/>
  <c r="J541" i="2" a="1"/>
  <c r="J541" i="2"/>
  <c r="J542" i="2" a="1"/>
  <c r="J542" i="2" s="1"/>
  <c r="J543" i="2" a="1"/>
  <c r="J543" i="2"/>
  <c r="J544" i="2" a="1"/>
  <c r="J544" i="2" s="1"/>
  <c r="J545" i="2" a="1"/>
  <c r="J545" i="2"/>
  <c r="J546" i="2" a="1"/>
  <c r="J546" i="2" s="1"/>
  <c r="J547" i="2" a="1"/>
  <c r="J547" i="2"/>
  <c r="J548" i="2" a="1"/>
  <c r="J548" i="2" s="1"/>
  <c r="J549" i="2" a="1"/>
  <c r="J549" i="2"/>
  <c r="J550" i="2" a="1"/>
  <c r="J550" i="2" s="1"/>
  <c r="J551" i="2" a="1"/>
  <c r="J551" i="2" s="1"/>
  <c r="J552" i="2" a="1"/>
  <c r="J552" i="2"/>
  <c r="J553" i="2" a="1"/>
  <c r="J553" i="2" s="1"/>
  <c r="J554" i="2" a="1"/>
  <c r="J554" i="2" s="1"/>
  <c r="J555" i="2" a="1"/>
  <c r="J555" i="2"/>
  <c r="J556" i="2" a="1"/>
  <c r="J556" i="2"/>
  <c r="J557" i="2" a="1"/>
  <c r="J557" i="2" s="1"/>
  <c r="J558" i="2" a="1"/>
  <c r="J558" i="2"/>
  <c r="J559" i="2" a="1"/>
  <c r="J559" i="2"/>
  <c r="J560" i="2" a="1"/>
  <c r="J560" i="2" s="1"/>
  <c r="J561" i="2" a="1"/>
  <c r="J561" i="2" s="1"/>
  <c r="J562" i="2" a="1"/>
  <c r="J562" i="2"/>
  <c r="J563" i="2" a="1"/>
  <c r="J563" i="2" s="1"/>
  <c r="J564" i="2" a="1"/>
  <c r="J564" i="2" s="1"/>
  <c r="J565" i="2" a="1"/>
  <c r="J565" i="2"/>
  <c r="J566" i="2" a="1"/>
  <c r="J566" i="2" s="1"/>
  <c r="J567" i="2" a="1"/>
  <c r="J567" i="2"/>
  <c r="J568" i="2" a="1"/>
  <c r="J568" i="2" s="1"/>
  <c r="J569" i="2" a="1"/>
  <c r="J569" i="2" s="1"/>
  <c r="J570" i="2" a="1"/>
  <c r="J570" i="2" s="1"/>
  <c r="J571" i="2" a="1"/>
  <c r="J571" i="2"/>
  <c r="J572" i="2" a="1"/>
  <c r="J572" i="2" s="1"/>
  <c r="J573" i="2" a="1"/>
  <c r="J573" i="2"/>
  <c r="J574" i="2" a="1"/>
  <c r="J574" i="2"/>
  <c r="J575" i="2" a="1"/>
  <c r="J575" i="2"/>
  <c r="J576" i="2" a="1"/>
  <c r="J576" i="2" s="1"/>
  <c r="J577" i="2" a="1"/>
  <c r="J577" i="2" s="1"/>
  <c r="J578" i="2" a="1"/>
  <c r="J578" i="2" s="1"/>
  <c r="J579" i="2" a="1"/>
  <c r="J579" i="2"/>
  <c r="J580" i="2" a="1"/>
  <c r="J580" i="2"/>
  <c r="J581" i="2" a="1"/>
  <c r="J581" i="2"/>
  <c r="J582" i="2" a="1"/>
  <c r="J582" i="2"/>
  <c r="J583" i="2" a="1"/>
  <c r="J583" i="2" s="1"/>
  <c r="J584" i="2" a="1"/>
  <c r="J584" i="2" s="1"/>
  <c r="J585" i="2" a="1"/>
  <c r="J585" i="2"/>
  <c r="J586" i="2" a="1"/>
  <c r="J586" i="2"/>
  <c r="J587" i="2" a="1"/>
  <c r="J587" i="2"/>
  <c r="J588" i="2" a="1"/>
  <c r="J588" i="2"/>
  <c r="J589" i="2" a="1"/>
  <c r="J589" i="2" s="1"/>
  <c r="J590" i="2" a="1"/>
  <c r="J590" i="2" s="1"/>
  <c r="J591" i="2" a="1"/>
  <c r="J591" i="2"/>
  <c r="J592" i="2" a="1"/>
  <c r="J592" i="2"/>
  <c r="J593" i="2" a="1"/>
  <c r="J593" i="2"/>
  <c r="J594" i="2" a="1"/>
  <c r="J594" i="2"/>
  <c r="J595" i="2" a="1"/>
  <c r="J595" i="2"/>
  <c r="J596" i="2" a="1"/>
  <c r="J596" i="2" s="1"/>
  <c r="J597" i="2" a="1"/>
  <c r="J597" i="2" s="1"/>
  <c r="J598" i="2" a="1"/>
  <c r="J598" i="2" s="1"/>
  <c r="J599" i="2" a="1"/>
  <c r="J599" i="2"/>
  <c r="J600" i="2" a="1"/>
  <c r="J600" i="2"/>
  <c r="J601" i="2" a="1"/>
  <c r="J601" i="2"/>
  <c r="J602" i="2" a="1"/>
  <c r="J602" i="2" s="1"/>
  <c r="J603" i="2" a="1"/>
  <c r="J603" i="2" s="1"/>
  <c r="J604" i="2" a="1"/>
  <c r="J604" i="2"/>
  <c r="J605" i="2" a="1"/>
  <c r="J605" i="2" s="1"/>
  <c r="J606" i="2" a="1"/>
  <c r="J606" i="2"/>
  <c r="J607" i="2" a="1"/>
  <c r="J607" i="2"/>
  <c r="J608" i="2" a="1"/>
  <c r="J608" i="2" s="1"/>
  <c r="J609" i="2" a="1"/>
  <c r="J609" i="2" s="1"/>
  <c r="J610" i="2" a="1"/>
  <c r="J610" i="2" s="1"/>
  <c r="J611" i="2" a="1"/>
  <c r="J611" i="2"/>
  <c r="J612" i="2" a="1"/>
  <c r="J612" i="2"/>
  <c r="J613" i="2" a="1"/>
  <c r="J613" i="2" s="1"/>
  <c r="J614" i="2" a="1"/>
  <c r="J614" i="2" s="1"/>
  <c r="J615" i="2" a="1"/>
  <c r="J615" i="2"/>
  <c r="J616" i="2" a="1"/>
  <c r="J616" i="2" s="1"/>
  <c r="J617" i="2" a="1"/>
  <c r="J617" i="2"/>
  <c r="J618" i="2" a="1"/>
  <c r="J618" i="2"/>
  <c r="J619" i="2" a="1"/>
  <c r="J619" i="2"/>
  <c r="J620" i="2" a="1"/>
  <c r="J620" i="2" s="1"/>
  <c r="J621" i="2" a="1"/>
  <c r="J621" i="2"/>
  <c r="J622" i="2" a="1"/>
  <c r="J622" i="2" s="1"/>
  <c r="J623" i="2" a="1"/>
  <c r="J623" i="2" s="1"/>
  <c r="J624" i="2" a="1"/>
  <c r="J624" i="2"/>
  <c r="J625" i="2" a="1"/>
  <c r="J625" i="2"/>
  <c r="J626" i="2" a="1"/>
  <c r="J626" i="2" s="1"/>
  <c r="J627" i="2" a="1"/>
  <c r="J627" i="2"/>
  <c r="J628" i="2" a="1"/>
  <c r="J628" i="2" s="1"/>
  <c r="J629" i="2" a="1"/>
  <c r="J629" i="2" s="1"/>
  <c r="J630" i="2" a="1"/>
  <c r="J630" i="2"/>
  <c r="J631" i="2" a="1"/>
  <c r="J631" i="2"/>
  <c r="J632" i="2" a="1"/>
  <c r="J632" i="2" s="1"/>
  <c r="J633" i="2" a="1"/>
  <c r="J633" i="2"/>
  <c r="J634" i="2" a="1"/>
  <c r="J634" i="2"/>
  <c r="J635" i="2" a="1"/>
  <c r="J635" i="2" s="1"/>
  <c r="J636" i="2" a="1"/>
  <c r="J636" i="2" s="1"/>
  <c r="J637" i="2" a="1"/>
  <c r="J637" i="2"/>
  <c r="J638" i="2" a="1"/>
  <c r="J638" i="2" s="1"/>
  <c r="J639" i="2" a="1"/>
  <c r="J639" i="2"/>
  <c r="J640" i="2" a="1"/>
  <c r="J640" i="2"/>
  <c r="J641" i="2" a="1"/>
  <c r="J641" i="2"/>
  <c r="J642" i="2" a="1"/>
  <c r="J642" i="2" s="1"/>
  <c r="J643" i="2" a="1"/>
  <c r="J643" i="2"/>
  <c r="J644" i="2" a="1"/>
  <c r="J644" i="2" s="1"/>
  <c r="J645" i="2" a="1"/>
  <c r="J645" i="2"/>
  <c r="J646" i="2" a="1"/>
  <c r="J646" i="2"/>
  <c r="J647" i="2" a="1"/>
  <c r="J647" i="2"/>
  <c r="J648" i="2" a="1"/>
  <c r="J648" i="2" s="1"/>
  <c r="J649" i="2" a="1"/>
  <c r="J649" i="2" s="1"/>
  <c r="J650" i="2" a="1"/>
  <c r="J650" i="2" s="1"/>
  <c r="J651" i="2" a="1"/>
  <c r="J651" i="2" s="1"/>
  <c r="J652" i="2" a="1"/>
  <c r="J652" i="2"/>
  <c r="J653" i="2" a="1"/>
  <c r="J653" i="2" s="1"/>
  <c r="J654" i="2" a="1"/>
  <c r="J654" i="2"/>
  <c r="J655" i="2" a="1"/>
  <c r="J655" i="2" s="1"/>
  <c r="J656" i="2" a="1"/>
  <c r="J656" i="2" s="1"/>
  <c r="J657" i="2" a="1"/>
  <c r="J657" i="2"/>
  <c r="J658" i="2" a="1"/>
  <c r="J658" i="2" s="1"/>
  <c r="J659" i="2" a="1"/>
  <c r="J659" i="2"/>
  <c r="J660" i="2" a="1"/>
  <c r="J660" i="2" s="1"/>
  <c r="J661" i="2" a="1"/>
  <c r="J661" i="2" s="1"/>
  <c r="J662" i="2" a="1"/>
  <c r="J662" i="2" s="1"/>
  <c r="J663" i="2" a="1"/>
  <c r="J663" i="2"/>
  <c r="J664" i="2" a="1"/>
  <c r="J664" i="2"/>
  <c r="J665" i="2" a="1"/>
  <c r="J665" i="2" s="1"/>
  <c r="J666" i="2" a="1"/>
  <c r="J666" i="2"/>
  <c r="J667" i="2" a="1"/>
  <c r="J667" i="2" s="1"/>
  <c r="J668" i="2" a="1"/>
  <c r="J668" i="2" s="1"/>
  <c r="J669" i="2" a="1"/>
  <c r="J669" i="2" s="1"/>
  <c r="J670" i="2" a="1"/>
  <c r="J670" i="2"/>
  <c r="J671" i="2" a="1"/>
  <c r="J671" i="2"/>
  <c r="J672" i="2" a="1"/>
  <c r="J672" i="2" s="1"/>
  <c r="J673" i="2" a="1"/>
  <c r="J673" i="2"/>
  <c r="J674" i="2" a="1"/>
  <c r="J674" i="2" s="1"/>
  <c r="J675" i="2" a="1"/>
  <c r="J675" i="2" s="1"/>
  <c r="J676" i="2" a="1"/>
  <c r="J676" i="2"/>
  <c r="J677" i="2" a="1"/>
  <c r="J677" i="2"/>
  <c r="J678" i="2" a="1"/>
  <c r="J678" i="2"/>
  <c r="J679" i="2" a="1"/>
  <c r="J679" i="2" s="1"/>
  <c r="J680" i="2" a="1"/>
  <c r="J680" i="2" s="1"/>
  <c r="J681" i="2" a="1"/>
  <c r="J681" i="2" s="1"/>
  <c r="J682" i="2" a="1"/>
  <c r="J682" i="2" s="1"/>
  <c r="J683" i="2" a="1"/>
  <c r="J683" i="2"/>
  <c r="J684" i="2" a="1"/>
  <c r="J684" i="2" s="1"/>
  <c r="J685" i="2" a="1"/>
  <c r="J685" i="2"/>
  <c r="J686" i="2" a="1"/>
  <c r="J686" i="2" s="1"/>
  <c r="J687" i="2" a="1"/>
  <c r="J687" i="2" s="1"/>
  <c r="J688" i="2" a="1"/>
  <c r="J688" i="2" s="1"/>
  <c r="J689" i="2" a="1"/>
  <c r="J689" i="2"/>
  <c r="J690" i="2" a="1"/>
  <c r="J690" i="2"/>
  <c r="J691" i="2" a="1"/>
  <c r="J691" i="2" s="1"/>
  <c r="J692" i="2" a="1"/>
  <c r="J692" i="2" s="1"/>
  <c r="J693" i="2" a="1"/>
  <c r="J693" i="2"/>
  <c r="J694" i="2" a="1"/>
  <c r="J694" i="2" s="1"/>
  <c r="J695" i="2" a="1"/>
  <c r="J695" i="2" s="1"/>
  <c r="J696" i="2" a="1"/>
  <c r="J696" i="2"/>
  <c r="J697" i="2" a="1"/>
  <c r="J697" i="2"/>
  <c r="J698" i="2" a="1"/>
  <c r="J698" i="2" s="1"/>
  <c r="J699" i="2" a="1"/>
  <c r="J699" i="2" s="1"/>
  <c r="J700" i="2" a="1"/>
  <c r="J700" i="2" s="1"/>
  <c r="J701" i="2" a="1"/>
  <c r="J701" i="2" s="1"/>
  <c r="J702" i="2" a="1"/>
  <c r="J702" i="2"/>
  <c r="J703" i="2" a="1"/>
  <c r="J703" i="2"/>
  <c r="J704" i="2" a="1"/>
  <c r="J704" i="2" s="1"/>
  <c r="J705" i="2" a="1"/>
  <c r="J705" i="2"/>
  <c r="J706" i="2" a="1"/>
  <c r="J706" i="2" s="1"/>
  <c r="J707" i="2" a="1"/>
  <c r="J707" i="2" s="1"/>
  <c r="J708" i="2" a="1"/>
  <c r="J708" i="2" s="1"/>
  <c r="J709" i="2" a="1"/>
  <c r="J709" i="2"/>
  <c r="J710" i="2" a="1"/>
  <c r="J710" i="2" s="1"/>
  <c r="J711" i="2" a="1"/>
  <c r="J711" i="2"/>
  <c r="J712" i="2" a="1"/>
  <c r="J712" i="2"/>
  <c r="J713" i="2" a="1"/>
  <c r="J713" i="2"/>
  <c r="J714" i="2" a="1"/>
  <c r="J714" i="2" s="1"/>
  <c r="J715" i="2" a="1"/>
  <c r="J715" i="2"/>
  <c r="J716" i="2" a="1"/>
  <c r="J716" i="2" s="1"/>
  <c r="J717" i="2" a="1"/>
  <c r="J717" i="2" s="1"/>
  <c r="J718" i="2" a="1"/>
  <c r="J718" i="2"/>
  <c r="J719" i="2" a="1"/>
  <c r="J719" i="2"/>
  <c r="J720" i="2" a="1"/>
  <c r="J720" i="2" s="1"/>
  <c r="J721" i="2" a="1"/>
  <c r="J721" i="2" s="1"/>
  <c r="J722" i="2" a="1"/>
  <c r="J722" i="2" s="1"/>
  <c r="J723" i="2" a="1"/>
  <c r="J723" i="2" s="1"/>
  <c r="J724" i="2" a="1"/>
  <c r="J724" i="2"/>
  <c r="J725" i="2" a="1"/>
  <c r="J725" i="2"/>
  <c r="J726" i="2" a="1"/>
  <c r="J726" i="2"/>
  <c r="J727" i="2" a="1"/>
  <c r="J727" i="2" s="1"/>
  <c r="J728" i="2" a="1"/>
  <c r="J728" i="2" s="1"/>
  <c r="J729" i="2" a="1"/>
  <c r="J729" i="2"/>
  <c r="J730" i="2" a="1"/>
  <c r="J730" i="2" s="1"/>
  <c r="J731" i="2" a="1"/>
  <c r="J731" i="2"/>
  <c r="J732" i="2" a="1"/>
  <c r="J732" i="2"/>
  <c r="J733" i="2" a="1"/>
  <c r="J733" i="2" s="1"/>
  <c r="J734" i="2" a="1"/>
  <c r="J734" i="2" s="1"/>
  <c r="J735" i="2" a="1"/>
  <c r="J735" i="2"/>
  <c r="J736" i="2" a="1"/>
  <c r="J736" i="2"/>
  <c r="J737" i="2" a="1"/>
  <c r="J737" i="2" s="1"/>
  <c r="J738" i="2" a="1"/>
  <c r="J738" i="2"/>
  <c r="J739" i="2" a="1"/>
  <c r="J739" i="2"/>
  <c r="J740" i="2" a="1"/>
  <c r="J740" i="2" s="1"/>
  <c r="J741" i="2" a="1"/>
  <c r="J741" i="2" s="1"/>
  <c r="J742" i="2" a="1"/>
  <c r="J742" i="2"/>
  <c r="J743" i="2" a="1"/>
  <c r="J743" i="2"/>
  <c r="J744" i="2" a="1"/>
  <c r="J744" i="2" s="1"/>
  <c r="J745" i="2" a="1"/>
  <c r="J745" i="2"/>
  <c r="J746" i="2" a="1"/>
  <c r="J746" i="2" s="1"/>
  <c r="J747" i="2" a="1"/>
  <c r="J747" i="2" s="1"/>
  <c r="J748" i="2" a="1"/>
  <c r="J748" i="2"/>
  <c r="J749" i="2" a="1"/>
  <c r="J749" i="2"/>
  <c r="J750" i="2" a="1"/>
  <c r="J750" i="2"/>
  <c r="J751" i="2" a="1"/>
  <c r="J751" i="2" s="1"/>
  <c r="J752" i="2" a="1"/>
  <c r="J752" i="2" s="1"/>
  <c r="J753" i="2" a="1"/>
  <c r="J753" i="2" s="1"/>
  <c r="J754" i="2" a="1"/>
  <c r="J754" i="2" s="1"/>
  <c r="J755" i="2" a="1"/>
  <c r="J755" i="2"/>
  <c r="J756" i="2" a="1"/>
  <c r="J756" i="2"/>
  <c r="J757" i="2" a="1"/>
  <c r="J757" i="2"/>
  <c r="J758" i="2" a="1"/>
  <c r="J758" i="2" s="1"/>
  <c r="J759" i="2" a="1"/>
  <c r="J759" i="2" s="1"/>
  <c r="J760" i="2" a="1"/>
  <c r="J760" i="2" s="1"/>
  <c r="J761" i="2" a="1"/>
  <c r="J761" i="2"/>
  <c r="J762" i="2" a="1"/>
  <c r="J762" i="2"/>
  <c r="J763" i="2" a="1"/>
  <c r="J763" i="2"/>
  <c r="J764" i="2" a="1"/>
  <c r="J764" i="2" s="1"/>
  <c r="J765" i="2" a="1"/>
  <c r="J765" i="2"/>
  <c r="J766" i="2" a="1"/>
  <c r="J766" i="2" s="1"/>
  <c r="J767" i="2" a="1"/>
  <c r="J767" i="2" s="1"/>
  <c r="J768" i="2" a="1"/>
  <c r="J768" i="2"/>
  <c r="J769" i="2" a="1"/>
  <c r="J769" i="2"/>
  <c r="J770" i="2" a="1"/>
  <c r="J770" i="2" s="1"/>
  <c r="J771" i="2" a="1"/>
  <c r="J771" i="2"/>
  <c r="J772" i="2" a="1"/>
  <c r="J772" i="2"/>
  <c r="J773" i="2" a="1"/>
  <c r="J773" i="2" s="1"/>
  <c r="J774" i="2" a="1"/>
  <c r="J774" i="2"/>
  <c r="J775" i="2" a="1"/>
  <c r="J775" i="2"/>
  <c r="J776" i="2" a="1"/>
  <c r="J776" i="2" s="1"/>
  <c r="J777" i="2" a="1"/>
  <c r="J777" i="2"/>
  <c r="J778" i="2" a="1"/>
  <c r="J778" i="2"/>
  <c r="J779" i="2" a="1"/>
  <c r="J779" i="2" s="1"/>
  <c r="J780" i="2" a="1"/>
  <c r="J780" i="2" s="1"/>
  <c r="J781" i="2" a="1"/>
  <c r="J781" i="2" s="1"/>
  <c r="J782" i="2" a="1"/>
  <c r="J782" i="2" s="1"/>
  <c r="J783" i="2" a="1"/>
  <c r="J783" i="2"/>
  <c r="J784" i="2" a="1"/>
  <c r="J784" i="2"/>
  <c r="J785" i="2" a="1"/>
  <c r="J785" i="2"/>
  <c r="J786" i="2" a="1"/>
  <c r="J786" i="2" s="1"/>
  <c r="J787" i="2" a="1"/>
  <c r="J787" i="2"/>
  <c r="J788" i="2" a="1"/>
  <c r="J788" i="2" s="1"/>
  <c r="J789" i="2" a="1"/>
  <c r="J789" i="2" s="1"/>
  <c r="J790" i="2" a="1"/>
  <c r="J790" i="2"/>
  <c r="J791" i="2" a="1"/>
  <c r="J791" i="2"/>
  <c r="J792" i="2" a="1"/>
  <c r="J792" i="2" s="1"/>
  <c r="J793" i="2" a="1"/>
  <c r="J793" i="2" s="1"/>
  <c r="J794" i="2" a="1"/>
  <c r="J794" i="2" s="1"/>
  <c r="J795" i="2" a="1"/>
  <c r="J795" i="2"/>
  <c r="J796" i="2" a="1"/>
  <c r="J796" i="2" s="1"/>
  <c r="J797" i="2" a="1"/>
  <c r="J797" i="2"/>
  <c r="J798" i="2" a="1"/>
  <c r="J798" i="2" s="1"/>
  <c r="J799" i="2" a="1"/>
  <c r="J799" i="2" s="1"/>
  <c r="J800" i="2" a="1"/>
  <c r="J800" i="2" s="1"/>
  <c r="J801" i="2" a="1"/>
  <c r="J801" i="2"/>
  <c r="J802" i="2" a="1"/>
  <c r="J802" i="2"/>
  <c r="J803" i="2" a="1"/>
  <c r="J803" i="2"/>
  <c r="J804" i="2" a="1"/>
  <c r="J804" i="2" s="1"/>
  <c r="J805" i="2" a="1"/>
  <c r="J805" i="2" s="1"/>
  <c r="J806" i="2" a="1"/>
  <c r="J806" i="2" s="1"/>
  <c r="J807" i="2" a="1"/>
  <c r="J807" i="2"/>
  <c r="J808" i="2" a="1"/>
  <c r="J808" i="2"/>
  <c r="J809" i="2" a="1"/>
  <c r="J809" i="2"/>
  <c r="J810" i="2" a="1"/>
  <c r="J810" i="2"/>
  <c r="J811" i="2" a="1"/>
  <c r="J811" i="2" s="1"/>
  <c r="J812" i="2" a="1"/>
  <c r="J812" i="2" s="1"/>
  <c r="J813" i="2" a="1"/>
  <c r="J813" i="2" s="1"/>
  <c r="J814" i="2" a="1"/>
  <c r="J814" i="2"/>
  <c r="J815" i="2" a="1"/>
  <c r="J815" i="2"/>
  <c r="J816" i="2" a="1"/>
  <c r="J816" i="2"/>
  <c r="J817" i="2" a="1"/>
  <c r="J817" i="2"/>
  <c r="J818" i="2" a="1"/>
  <c r="J818" i="2" s="1"/>
  <c r="J819" i="2" a="1"/>
  <c r="J819" i="2" s="1"/>
  <c r="J820" i="2" a="1"/>
  <c r="J820" i="2"/>
  <c r="J821" i="2" a="1"/>
  <c r="J821" i="2"/>
  <c r="J822" i="2" a="1"/>
  <c r="J822" i="2"/>
  <c r="J823" i="2" a="1"/>
  <c r="J823" i="2"/>
  <c r="J824" i="2" a="1"/>
  <c r="J824" i="2" s="1"/>
  <c r="J825" i="2" a="1"/>
  <c r="J825" i="2" s="1"/>
  <c r="J826" i="2" a="1"/>
  <c r="J826" i="2" s="1"/>
  <c r="J827" i="2" a="1"/>
  <c r="J827" i="2"/>
  <c r="J828" i="2" a="1"/>
  <c r="J828" i="2"/>
  <c r="J829" i="2" a="1"/>
  <c r="J829" i="2"/>
  <c r="J830" i="2" a="1"/>
  <c r="J830" i="2" s="1"/>
  <c r="J831" i="2" a="1"/>
  <c r="J831" i="2"/>
  <c r="J832" i="2" a="1"/>
  <c r="J832" i="2" s="1"/>
  <c r="J833" i="2" a="1"/>
  <c r="J833" i="2"/>
  <c r="J834" i="2" a="1"/>
  <c r="J834" i="2"/>
  <c r="J835" i="2" a="1"/>
  <c r="J835" i="2"/>
  <c r="J836" i="2" a="1"/>
  <c r="J836" i="2" s="1"/>
  <c r="J837" i="2" a="1"/>
  <c r="J837" i="2"/>
  <c r="J838" i="2" a="1"/>
  <c r="J838" i="2" s="1"/>
  <c r="J839" i="2" a="1"/>
  <c r="J839" i="2" s="1"/>
  <c r="J840" i="2" a="1"/>
  <c r="J840" i="2"/>
  <c r="J841" i="2" a="1"/>
  <c r="J841" i="2" s="1"/>
  <c r="J842" i="2" a="1"/>
  <c r="J842" i="2" s="1"/>
  <c r="J843" i="2" a="1"/>
  <c r="J843" i="2"/>
  <c r="J844" i="2" a="1"/>
  <c r="J844" i="2"/>
  <c r="J845" i="2" a="1"/>
  <c r="J845" i="2" s="1"/>
  <c r="J846" i="2" a="1"/>
  <c r="J846" i="2"/>
  <c r="J847" i="2" a="1"/>
  <c r="J847" i="2"/>
  <c r="J848" i="2" a="1"/>
  <c r="J848" i="2" s="1"/>
  <c r="J849" i="2" a="1"/>
  <c r="J849" i="2"/>
  <c r="J850" i="2" a="1"/>
  <c r="J850" i="2"/>
  <c r="J851" i="2" a="1"/>
  <c r="J851" i="2" s="1"/>
  <c r="J852" i="2" a="1"/>
  <c r="J852" i="2" s="1"/>
  <c r="J853" i="2" a="1"/>
  <c r="J853" i="2"/>
  <c r="J854" i="2" a="1"/>
  <c r="J854" i="2"/>
  <c r="J855" i="2" a="1"/>
  <c r="J855" i="2" s="1"/>
  <c r="J856" i="2" a="1"/>
  <c r="J856" i="2"/>
  <c r="J857" i="2" a="1"/>
  <c r="J857" i="2" s="1"/>
  <c r="J858" i="2" a="1"/>
  <c r="J858" i="2" s="1"/>
  <c r="J859" i="2" a="1"/>
  <c r="J859" i="2"/>
  <c r="J860" i="2" a="1"/>
  <c r="J860" i="2"/>
  <c r="J861" i="2" a="1"/>
  <c r="J861" i="2"/>
  <c r="J862" i="2" a="1"/>
  <c r="J862" i="2" s="1"/>
  <c r="J863" i="2" a="1"/>
  <c r="J863" i="2" s="1"/>
  <c r="J864" i="2" a="1"/>
  <c r="J864" i="2" s="1"/>
  <c r="J865" i="2" a="1"/>
  <c r="J865" i="2"/>
  <c r="J866" i="2" a="1"/>
  <c r="J866" i="2"/>
  <c r="J867" i="2" a="1"/>
  <c r="J867" i="2"/>
  <c r="J868" i="2" a="1"/>
  <c r="J868" i="2"/>
  <c r="J869" i="2" a="1"/>
  <c r="J869" i="2" s="1"/>
  <c r="J870" i="2" a="1"/>
  <c r="J870" i="2" s="1"/>
  <c r="J871" i="2" a="1"/>
  <c r="J871" i="2" s="1"/>
  <c r="J872" i="2" a="1"/>
  <c r="J872" i="2"/>
  <c r="J873" i="2" a="1"/>
  <c r="J873" i="2"/>
  <c r="J874" i="2" a="1"/>
  <c r="J874" i="2"/>
  <c r="J875" i="2" a="1"/>
  <c r="J875" i="2" s="1"/>
  <c r="J876" i="2" a="1"/>
  <c r="J876" i="2" s="1"/>
  <c r="J877" i="2" a="1"/>
  <c r="J877" i="2" s="1"/>
  <c r="J878" i="2" a="1"/>
  <c r="J878" i="2" s="1"/>
  <c r="J879" i="2" a="1"/>
  <c r="J879" i="2"/>
  <c r="J880" i="2" a="1"/>
  <c r="J880" i="2"/>
  <c r="J881" i="2" a="1"/>
  <c r="J881" i="2" s="1"/>
  <c r="J882" i="2" a="1"/>
  <c r="J882" i="2" s="1"/>
  <c r="J883" i="2" a="1"/>
  <c r="J883" i="2"/>
  <c r="J884" i="2" a="1"/>
  <c r="J884" i="2" s="1"/>
  <c r="J885" i="2" a="1"/>
  <c r="J885" i="2" s="1"/>
  <c r="J886" i="2" a="1"/>
  <c r="J886" i="2"/>
  <c r="J887" i="2" a="1"/>
  <c r="J887" i="2" s="1"/>
  <c r="J888" i="2" a="1"/>
  <c r="J888" i="2" s="1"/>
  <c r="J889" i="2" a="1"/>
  <c r="J889" i="2"/>
  <c r="J890" i="2" a="1"/>
  <c r="J890" i="2"/>
  <c r="J891" i="2" a="1"/>
  <c r="J891" i="2" s="1"/>
  <c r="J892" i="2" a="1"/>
  <c r="J892" i="2" s="1"/>
  <c r="J893" i="2" a="1"/>
  <c r="J893" i="2" s="1"/>
  <c r="J894" i="2" a="1"/>
  <c r="J894" i="2" s="1"/>
  <c r="J895" i="2" a="1"/>
  <c r="J895" i="2"/>
  <c r="J896" i="2" a="1"/>
  <c r="J896" i="2"/>
  <c r="J897" i="2" a="1"/>
  <c r="J897" i="2"/>
  <c r="J898" i="2" a="1"/>
  <c r="J898" i="2" s="1"/>
  <c r="J899" i="2" a="1"/>
  <c r="J899" i="2" s="1"/>
  <c r="J900" i="2" a="1"/>
  <c r="J900" i="2" s="1"/>
  <c r="J901" i="2" a="1"/>
  <c r="J901" i="2"/>
  <c r="J902" i="2" a="1"/>
  <c r="J902" i="2"/>
  <c r="J903" i="2" a="1"/>
  <c r="J903" i="2"/>
  <c r="J904" i="2" a="1"/>
  <c r="J904" i="2"/>
  <c r="J905" i="2" a="1"/>
  <c r="J905" i="2" s="1"/>
  <c r="J906" i="2" a="1"/>
  <c r="J906" i="2" s="1"/>
  <c r="J907" i="2" a="1"/>
  <c r="J907" i="2" s="1"/>
  <c r="J908" i="2" a="1"/>
  <c r="J908" i="2"/>
  <c r="J909" i="2" a="1"/>
  <c r="J909" i="2"/>
  <c r="J910" i="2" a="1"/>
  <c r="J910" i="2"/>
  <c r="J911" i="2" a="1"/>
  <c r="J911" i="2" s="1"/>
  <c r="J912" i="2" a="1"/>
  <c r="J912" i="2" s="1"/>
  <c r="J913" i="2" a="1"/>
  <c r="J913" i="2" s="1"/>
  <c r="J914" i="2" a="1"/>
  <c r="J914" i="2" s="1"/>
  <c r="J915" i="2" a="1"/>
  <c r="J915" i="2"/>
  <c r="J916" i="2" a="1"/>
  <c r="J916" i="2"/>
  <c r="J917" i="2" a="1"/>
  <c r="J917" i="2" s="1"/>
  <c r="J918" i="2" a="1"/>
  <c r="J918" i="2" s="1"/>
  <c r="J919" i="2" a="1"/>
  <c r="J919" i="2"/>
  <c r="J920" i="2" a="1"/>
  <c r="J920" i="2" s="1"/>
  <c r="J921" i="2" a="1"/>
  <c r="J921" i="2" s="1"/>
  <c r="J922" i="2" a="1"/>
  <c r="J922" i="2"/>
  <c r="J923" i="2" a="1"/>
  <c r="J923" i="2" s="1"/>
  <c r="J924" i="2" a="1"/>
  <c r="J924" i="2" s="1"/>
  <c r="J925" i="2" a="1"/>
  <c r="J925" i="2"/>
  <c r="J926" i="2" a="1"/>
  <c r="J926" i="2"/>
  <c r="J927" i="2" a="1"/>
  <c r="J927" i="2" s="1"/>
  <c r="J928" i="2" a="1"/>
  <c r="J928" i="2" s="1"/>
  <c r="J929" i="2" a="1"/>
  <c r="J929" i="2" s="1"/>
  <c r="J930" i="2" a="1"/>
  <c r="J930" i="2" s="1"/>
  <c r="J931" i="2" a="1"/>
  <c r="J931" i="2"/>
  <c r="J932" i="2" a="1"/>
  <c r="J932" i="2"/>
  <c r="J933" i="2" a="1"/>
  <c r="J933" i="2"/>
  <c r="J934" i="2" a="1"/>
  <c r="J934" i="2" s="1"/>
  <c r="J935" i="2" a="1"/>
  <c r="J935" i="2" s="1"/>
  <c r="J936" i="2" a="1"/>
  <c r="J936" i="2" s="1"/>
  <c r="J937" i="2" a="1"/>
  <c r="J937" i="2"/>
  <c r="J938" i="2" a="1"/>
  <c r="J938" i="2"/>
  <c r="J939" i="2" a="1"/>
  <c r="J939" i="2"/>
  <c r="J940" i="2" a="1"/>
  <c r="J940" i="2"/>
  <c r="J941" i="2" a="1"/>
  <c r="J941" i="2" s="1"/>
  <c r="J942" i="2" a="1"/>
  <c r="J942" i="2" s="1"/>
  <c r="J943" i="2" a="1"/>
  <c r="J943" i="2" s="1"/>
  <c r="J944" i="2" a="1"/>
  <c r="J944" i="2" s="1"/>
  <c r="J945" i="2" a="1"/>
  <c r="J945" i="2"/>
  <c r="J946" i="2" a="1"/>
  <c r="J946" i="2"/>
  <c r="J947" i="2" a="1"/>
  <c r="J947" i="2" s="1"/>
  <c r="J948" i="2" a="1"/>
  <c r="J948" i="2" s="1"/>
  <c r="J949" i="2" a="1"/>
  <c r="J949" i="2"/>
  <c r="J950" i="2" a="1"/>
  <c r="J950" i="2" s="1"/>
  <c r="J951" i="2" a="1"/>
  <c r="J951" i="2" s="1"/>
  <c r="J952" i="2" a="1"/>
  <c r="J952" i="2"/>
  <c r="J953" i="2" a="1"/>
  <c r="J953" i="2" s="1"/>
  <c r="J954" i="2" a="1"/>
  <c r="J954" i="2" s="1"/>
  <c r="J955" i="2" a="1"/>
  <c r="J955" i="2"/>
  <c r="J956" i="2" a="1"/>
  <c r="J956" i="2"/>
  <c r="J957" i="2" a="1"/>
  <c r="J957" i="2" s="1"/>
  <c r="J958" i="2" a="1"/>
  <c r="J958" i="2" s="1"/>
  <c r="J959" i="2" a="1"/>
  <c r="J959" i="2" s="1"/>
  <c r="J960" i="2" a="1"/>
  <c r="J960" i="2" s="1"/>
  <c r="J961" i="2" a="1"/>
  <c r="J961" i="2"/>
  <c r="J962" i="2" a="1"/>
  <c r="J962" i="2"/>
  <c r="J963" i="2" a="1"/>
  <c r="J963" i="2"/>
  <c r="J964" i="2" a="1"/>
  <c r="J964" i="2"/>
  <c r="J965" i="2" a="1"/>
  <c r="J965" i="2" s="1"/>
  <c r="J966" i="2" a="1"/>
  <c r="J966" i="2" s="1"/>
  <c r="J967" i="2" a="1"/>
  <c r="J967" i="2"/>
  <c r="J968" i="2" a="1"/>
  <c r="J968" i="2"/>
  <c r="J969" i="2" a="1"/>
  <c r="J969" i="2"/>
  <c r="J970" i="2" a="1"/>
  <c r="J970" i="2"/>
  <c r="J971" i="2" a="1"/>
  <c r="J971" i="2" s="1"/>
  <c r="J972" i="2" a="1"/>
  <c r="J972" i="2" s="1"/>
  <c r="J973" i="2" a="1"/>
  <c r="J973" i="2" s="1"/>
  <c r="J974" i="2" a="1"/>
  <c r="J974" i="2"/>
  <c r="J975" i="2" a="1"/>
  <c r="J975" i="2"/>
  <c r="J976" i="2" a="1"/>
  <c r="J976" i="2"/>
  <c r="J977" i="2" a="1"/>
  <c r="J977" i="2" s="1"/>
  <c r="J978" i="2" a="1"/>
  <c r="J978" i="2" s="1"/>
  <c r="J979" i="2" a="1"/>
  <c r="J979" i="2"/>
  <c r="J980" i="2" a="1"/>
  <c r="J980" i="2" s="1"/>
  <c r="J981" i="2" a="1"/>
  <c r="J981" i="2"/>
  <c r="J982" i="2" a="1"/>
  <c r="J982" i="2"/>
  <c r="J983" i="2" a="1"/>
  <c r="J983" i="2"/>
  <c r="J984" i="2" a="1"/>
  <c r="J984" i="2" s="1"/>
  <c r="J985" i="2" a="1"/>
  <c r="J985" i="2"/>
  <c r="J986" i="2" a="1"/>
  <c r="J986" i="2" s="1"/>
  <c r="J987" i="2" a="1"/>
  <c r="J987" i="2"/>
  <c r="J988" i="2" a="1"/>
  <c r="J988" i="2" s="1"/>
  <c r="J989" i="2" a="1"/>
  <c r="J989" i="2"/>
  <c r="J990" i="2" a="1"/>
  <c r="J990" i="2" s="1"/>
  <c r="J991" i="2" a="1"/>
  <c r="J991" i="2"/>
  <c r="J992" i="2" a="1"/>
  <c r="J992" i="2"/>
  <c r="J993" i="2" a="1"/>
  <c r="J993" i="2" s="1"/>
  <c r="J994" i="2" a="1"/>
  <c r="J994" i="2"/>
  <c r="J995" i="2" a="1"/>
  <c r="J995" i="2" s="1"/>
  <c r="J996" i="2" a="1"/>
  <c r="J996" i="2" s="1"/>
  <c r="J997" i="2" a="1"/>
  <c r="J997" i="2"/>
  <c r="J998" i="2" a="1"/>
  <c r="J998" i="2"/>
  <c r="J999" i="2" a="1"/>
  <c r="J999" i="2" s="1"/>
  <c r="J1000" i="2" a="1"/>
  <c r="J1000" i="2"/>
  <c r="J1001" i="2" a="1"/>
  <c r="J1001" i="2"/>
  <c r="J1002" i="2" a="1"/>
  <c r="J1002" i="2" s="1"/>
  <c r="J1003" i="2" a="1"/>
  <c r="J1003" i="2" s="1"/>
  <c r="J1004" i="2" a="1"/>
  <c r="J1004" i="2"/>
  <c r="J1005" i="2" a="1"/>
  <c r="J1005" i="2"/>
  <c r="J1006" i="2" a="1"/>
  <c r="J1006" i="2" s="1"/>
  <c r="J1007" i="2" a="1"/>
  <c r="J1007" i="2"/>
  <c r="J1008" i="2" a="1"/>
  <c r="J1008" i="2" s="1"/>
  <c r="J1009" i="2" a="1"/>
  <c r="J1009" i="2" s="1"/>
  <c r="J1010" i="2" a="1"/>
  <c r="J1010" i="2" s="1"/>
  <c r="J1011" i="2" a="1"/>
  <c r="J1011" i="2"/>
  <c r="J1012" i="2" a="1"/>
  <c r="J1012" i="2" s="1"/>
  <c r="J1013" i="2" a="1"/>
  <c r="J1013" i="2"/>
  <c r="J1014" i="2" a="1"/>
  <c r="J1014" i="2" s="1"/>
  <c r="J1015" i="2" a="1"/>
  <c r="J1015" i="2"/>
  <c r="J1016" i="2" a="1"/>
  <c r="J1016" i="2" s="1"/>
  <c r="J1017" i="2" a="1"/>
  <c r="J1017" i="2" s="1"/>
  <c r="J1018" i="2" a="1"/>
  <c r="J1018" i="2"/>
  <c r="J1019" i="2" a="1"/>
  <c r="J1019" i="2" s="1"/>
  <c r="J1020" i="2" a="1"/>
  <c r="J1020" i="2" s="1"/>
  <c r="J1021" i="2" a="1"/>
  <c r="J1021" i="2"/>
  <c r="J1022" i="2" a="1"/>
  <c r="J1022" i="2"/>
  <c r="J1023" i="2" a="1"/>
  <c r="J1023" i="2" s="1"/>
  <c r="J1024" i="2" a="1"/>
  <c r="J1024" i="2" s="1"/>
  <c r="J1025" i="2" a="1"/>
  <c r="J1025" i="2" s="1"/>
  <c r="J1026" i="2" a="1"/>
  <c r="J1026" i="2" s="1"/>
  <c r="J1027" i="2" a="1"/>
  <c r="J1027" i="2"/>
  <c r="J1028" i="2" a="1"/>
  <c r="J1028" i="2"/>
  <c r="J1029" i="2" a="1"/>
  <c r="J1029" i="2"/>
  <c r="J1030" i="2" a="1"/>
  <c r="J1030" i="2" s="1"/>
  <c r="J1031" i="2" a="1"/>
  <c r="J1031" i="2" s="1"/>
  <c r="J1032" i="2" a="1"/>
  <c r="J1032" i="2" s="1"/>
  <c r="J1033" i="2" a="1"/>
  <c r="J1033" i="2"/>
  <c r="J1034" i="2" a="1"/>
  <c r="J1034" i="2"/>
  <c r="J1035" i="2" a="1"/>
  <c r="J1035" i="2"/>
  <c r="J1036" i="2" a="1"/>
  <c r="J1036" i="2"/>
  <c r="J1037" i="2" a="1"/>
  <c r="J1037" i="2" s="1"/>
  <c r="J1038" i="2" a="1"/>
  <c r="J1038" i="2" s="1"/>
  <c r="J1039" i="2" a="1"/>
  <c r="J1039" i="2" s="1"/>
  <c r="J1040" i="2" a="1"/>
  <c r="J1040" i="2"/>
  <c r="J1041" i="2" a="1"/>
  <c r="J1041" i="2"/>
  <c r="J1042" i="2" a="1"/>
  <c r="J1042" i="2"/>
  <c r="J1043" i="2" a="1"/>
  <c r="J1043" i="2"/>
  <c r="J1044" i="2" a="1"/>
  <c r="J1044" i="2" s="1"/>
  <c r="J1045" i="2" a="1"/>
  <c r="J1045" i="2" s="1"/>
  <c r="J1046" i="2" a="1"/>
  <c r="J1046" i="2"/>
  <c r="J1047" i="2" a="1"/>
  <c r="J1047" i="2"/>
  <c r="J1048" i="2" a="1"/>
  <c r="J1048" i="2"/>
  <c r="J1049" i="2" a="1"/>
  <c r="J1049" i="2"/>
  <c r="J1050" i="2" a="1"/>
  <c r="J1050" i="2" s="1"/>
  <c r="J1051" i="2" a="1"/>
  <c r="J1051" i="2" s="1"/>
  <c r="J1052" i="2" a="1"/>
  <c r="J1052" i="2" s="1"/>
  <c r="J1053" i="2" a="1"/>
  <c r="J1053" i="2"/>
  <c r="J1054" i="2" a="1"/>
  <c r="J1054" i="2"/>
  <c r="J1055" i="2" a="1"/>
  <c r="J1055" i="2"/>
  <c r="J1056" i="2" a="1"/>
  <c r="J1056" i="2" s="1"/>
  <c r="J1057" i="2" a="1"/>
  <c r="J1057" i="2"/>
  <c r="J1058" i="2" a="1"/>
  <c r="J1058" i="2" s="1"/>
  <c r="J1059" i="2" a="1"/>
  <c r="J1059" i="2"/>
  <c r="J1060" i="2" a="1"/>
  <c r="J1060" i="2"/>
  <c r="J1061" i="2" a="1"/>
  <c r="J1061" i="2"/>
  <c r="J1062" i="2" a="1"/>
  <c r="J1062" i="2" s="1"/>
  <c r="J1063" i="2" a="1"/>
  <c r="J1063" i="2"/>
  <c r="J1064" i="2" a="1"/>
  <c r="J1064" i="2"/>
  <c r="J1065" i="2" a="1"/>
  <c r="J1065" i="2" s="1"/>
  <c r="J1066" i="2" a="1"/>
  <c r="J1066" i="2"/>
  <c r="J1067" i="2" a="1"/>
  <c r="J1067" i="2"/>
  <c r="J1068" i="2" a="1"/>
  <c r="J1068" i="2" s="1"/>
  <c r="J1069" i="2" a="1"/>
  <c r="J1069" i="2"/>
  <c r="J1070" i="2" a="1"/>
  <c r="J1070" i="2"/>
  <c r="J1071" i="2" a="1"/>
  <c r="J1071" i="2" s="1"/>
  <c r="J1072" i="2" a="1"/>
  <c r="J1072" i="2"/>
  <c r="J1073" i="2" a="1"/>
  <c r="J1073" i="2" s="1"/>
  <c r="J1074" i="2" a="1"/>
  <c r="J1074" i="2" s="1"/>
  <c r="J1075" i="2" a="1"/>
  <c r="J1075" i="2"/>
  <c r="J1076" i="2" a="1"/>
  <c r="J1076" i="2"/>
  <c r="J1077" i="2" a="1"/>
  <c r="J1077" i="2"/>
  <c r="J1078" i="2" a="1"/>
  <c r="J1078" i="2" s="1"/>
  <c r="J1079" i="2" a="1"/>
  <c r="J1079" i="2"/>
  <c r="J1080" i="2" a="1"/>
  <c r="J1080" i="2" s="1"/>
  <c r="J1081" i="2" a="1"/>
  <c r="J1081" i="2" s="1"/>
  <c r="J1082" i="2" a="1"/>
  <c r="J1082" i="2"/>
  <c r="J1083" i="2" a="1"/>
  <c r="J1083" i="2"/>
  <c r="J1084" i="2" a="1"/>
  <c r="J1084" i="2" s="1"/>
  <c r="J1085" i="2" a="1"/>
  <c r="J1085" i="2"/>
  <c r="J1086" i="2" a="1"/>
  <c r="J1086" i="2" s="1"/>
  <c r="J1087" i="2" a="1"/>
  <c r="J1087" i="2" s="1"/>
  <c r="J1088" i="2" a="1"/>
  <c r="J1088" i="2" s="1"/>
  <c r="J1089" i="2" a="1"/>
  <c r="J1089" i="2"/>
  <c r="J1090" i="2" a="1"/>
  <c r="J1090" i="2"/>
  <c r="J1091" i="2" a="1"/>
  <c r="J1091" i="2" s="1"/>
  <c r="J1092" i="2" a="1"/>
  <c r="J1092" i="2" s="1"/>
  <c r="J1093" i="2" a="1"/>
  <c r="J1093" i="2"/>
  <c r="J1094" i="2" a="1"/>
  <c r="J1094" i="2" s="1"/>
  <c r="J1095" i="2" a="1"/>
  <c r="J1095" i="2" s="1"/>
  <c r="J1096" i="2" a="1"/>
  <c r="J1096" i="2"/>
  <c r="J1097" i="2" a="1"/>
  <c r="J1097" i="2" s="1"/>
  <c r="J1098" i="2" a="1"/>
  <c r="J1098" i="2" s="1"/>
  <c r="J1099" i="2" a="1"/>
  <c r="J1099" i="2"/>
  <c r="J1100" i="2" a="1"/>
  <c r="J1100" i="2"/>
  <c r="J1101" i="2" a="1"/>
  <c r="J1101" i="2" s="1"/>
  <c r="J1102" i="2" a="1"/>
  <c r="J1102" i="2" s="1"/>
  <c r="J1103" i="2" a="1"/>
  <c r="J1103" i="2"/>
  <c r="J1104" i="2" a="1"/>
  <c r="J1104" i="2" s="1"/>
  <c r="J1105" i="2" a="1"/>
  <c r="J1105" i="2"/>
  <c r="J1106" i="2" a="1"/>
  <c r="J1106" i="2"/>
  <c r="J1107" i="2" a="1"/>
  <c r="J1107" i="2"/>
  <c r="J1108" i="2" a="1"/>
  <c r="J1108" i="2" s="1"/>
  <c r="J1109" i="2" a="1"/>
  <c r="J1109" i="2"/>
  <c r="J1110" i="2" a="1"/>
  <c r="J1110" i="2" s="1"/>
  <c r="J1111" i="2" a="1"/>
  <c r="J1111" i="2" s="1"/>
  <c r="J1112" i="2" a="1"/>
  <c r="J1112" i="2"/>
  <c r="J1113" i="2" a="1"/>
  <c r="J1113" i="2"/>
  <c r="J1114" i="2" a="1"/>
  <c r="J1114" i="2"/>
  <c r="J1115" i="2" a="1"/>
  <c r="J1115" i="2" s="1"/>
  <c r="J1116" i="2" a="1"/>
  <c r="J1116" i="2" s="1"/>
  <c r="J1117" i="2" a="1"/>
  <c r="J1117" i="2" s="1"/>
  <c r="J1118" i="2" a="1"/>
  <c r="J1118" i="2"/>
  <c r="J1119" i="2" a="1"/>
  <c r="J1119" i="2"/>
  <c r="J1120" i="2" a="1"/>
  <c r="J1120" i="2"/>
  <c r="J1121" i="2" a="1"/>
  <c r="J1121" i="2"/>
  <c r="J1122" i="2" a="1"/>
  <c r="J1122" i="2" s="1"/>
  <c r="J1123" i="2" a="1"/>
  <c r="J1123" i="2" s="1"/>
  <c r="J1124" i="2" a="1"/>
  <c r="J1124" i="2" s="1"/>
  <c r="J1125" i="2" a="1"/>
  <c r="J1125" i="2"/>
  <c r="J1126" i="2" a="1"/>
  <c r="J1126" i="2"/>
  <c r="J1127" i="2" a="1"/>
  <c r="J1127" i="2"/>
  <c r="J1128" i="2" a="1"/>
  <c r="J1128" i="2" s="1"/>
  <c r="J1129" i="2" a="1"/>
  <c r="J1129" i="2" s="1"/>
  <c r="J1130" i="2" a="1"/>
  <c r="J1130" i="2" s="1"/>
  <c r="J1131" i="2" a="1"/>
  <c r="J1131" i="2"/>
  <c r="J1132" i="2" a="1"/>
  <c r="J1132" i="2"/>
  <c r="J1133" i="2" a="1"/>
  <c r="J1133" i="2"/>
  <c r="J1134" i="2" a="1"/>
  <c r="J1134" i="2" s="1"/>
  <c r="J1135" i="2" a="1"/>
  <c r="J1135" i="2"/>
  <c r="J1136" i="2" a="1"/>
  <c r="J1136" i="2" s="1"/>
  <c r="J1137" i="2" a="1"/>
  <c r="J1137" i="2"/>
  <c r="J1138" i="2" a="1"/>
  <c r="J1138" i="2"/>
  <c r="J1139" i="2" a="1"/>
  <c r="J1139" i="2"/>
  <c r="J1140" i="2" a="1"/>
  <c r="J1140" i="2" s="1"/>
  <c r="J1141" i="2" a="1"/>
  <c r="J1141" i="2"/>
  <c r="J1142" i="2" a="1"/>
  <c r="J1142" i="2"/>
  <c r="J1143" i="2" a="1"/>
  <c r="J1143" i="2" s="1"/>
  <c r="J1144" i="2" a="1"/>
  <c r="J1144" i="2"/>
  <c r="J1145" i="2" a="1"/>
  <c r="J1145" i="2"/>
  <c r="J1146" i="2" a="1"/>
  <c r="J1146" i="2" s="1"/>
  <c r="J1147" i="2" a="1"/>
  <c r="J1147" i="2"/>
  <c r="J1148" i="2" a="1"/>
  <c r="J1148" i="2"/>
  <c r="J1149" i="2" a="1"/>
  <c r="J1149" i="2"/>
  <c r="J1150" i="2" a="1"/>
  <c r="J1150" i="2"/>
  <c r="J1151" i="2" a="1"/>
  <c r="J1151" i="2"/>
  <c r="J1152" i="2" a="1"/>
  <c r="J1152" i="2" s="1"/>
  <c r="J1153" i="2" a="1"/>
  <c r="J1153" i="2"/>
  <c r="J1154" i="2" a="1"/>
  <c r="J1154" i="2"/>
  <c r="J1155" i="2" a="1"/>
  <c r="J1155" i="2"/>
  <c r="J1156" i="2" a="1"/>
  <c r="J1156" i="2" s="1"/>
  <c r="J1157" i="2" a="1"/>
  <c r="J1157" i="2"/>
  <c r="J1158" i="2" a="1"/>
  <c r="J1158" i="2" s="1"/>
  <c r="J1159" i="2" a="1"/>
  <c r="J1159" i="2"/>
  <c r="J1160" i="2" a="1"/>
  <c r="J1160" i="2"/>
  <c r="J1161" i="2" a="1"/>
  <c r="J1161" i="2"/>
  <c r="J1162" i="2" a="1"/>
  <c r="J1162" i="2"/>
  <c r="J1163" i="2" a="1"/>
  <c r="J1163" i="2"/>
  <c r="J1164" i="2" a="1"/>
  <c r="J1164" i="2" s="1"/>
  <c r="J1165" i="2" a="1"/>
  <c r="J1165" i="2"/>
  <c r="J1166" i="2" a="1"/>
  <c r="J1166" i="2"/>
  <c r="J1167" i="2" a="1"/>
  <c r="J1167" i="2"/>
  <c r="J1168" i="2" a="1"/>
  <c r="J1168" i="2"/>
  <c r="J1169" i="2" a="1"/>
  <c r="J1169" i="2" s="1"/>
  <c r="J1170" i="2" a="1"/>
  <c r="J1170" i="2" s="1"/>
  <c r="J1171" i="2" a="1"/>
  <c r="J1171" i="2"/>
  <c r="J1172" i="2" a="1"/>
  <c r="J1172" i="2"/>
  <c r="J1173" i="2" a="1"/>
  <c r="J1173" i="2"/>
  <c r="J1174" i="2" a="1"/>
  <c r="J1174" i="2"/>
  <c r="J1175" i="2" a="1"/>
  <c r="J1175" i="2"/>
  <c r="J1176" i="2" a="1"/>
  <c r="J1176" i="2" s="1"/>
  <c r="J1177" i="2" a="1"/>
  <c r="J1177" i="2"/>
  <c r="J1178" i="2" a="1"/>
  <c r="J1178" i="2" s="1"/>
  <c r="J1179" i="2" a="1"/>
  <c r="J1179" i="2"/>
  <c r="J1180" i="2" a="1"/>
  <c r="J1180" i="2"/>
  <c r="J1181" i="2" a="1"/>
  <c r="J1181" i="2"/>
  <c r="J1182" i="2" a="1"/>
  <c r="J1182" i="2" s="1"/>
  <c r="J1183" i="2" a="1"/>
  <c r="J1183" i="2"/>
  <c r="J1184" i="2" a="1"/>
  <c r="J1184" i="2"/>
  <c r="J1185" i="2" a="1"/>
  <c r="J1185" i="2"/>
  <c r="J1186" i="2" a="1"/>
  <c r="J1186" i="2"/>
  <c r="J1187" i="2" a="1"/>
  <c r="J1187" i="2"/>
  <c r="J1188" i="2" a="1"/>
  <c r="J1188" i="2" s="1"/>
  <c r="J1189" i="2" a="1"/>
  <c r="J1189" i="2" s="1"/>
  <c r="J1190" i="2" a="1"/>
  <c r="J1190" i="2"/>
  <c r="J1191" i="2" a="1"/>
  <c r="J1191" i="2" s="1"/>
  <c r="J1192" i="2" a="1"/>
  <c r="J1192" i="2"/>
  <c r="J1193" i="2" a="1"/>
  <c r="J1193" i="2"/>
  <c r="J1194" i="2" a="1"/>
  <c r="J1194" i="2" s="1"/>
  <c r="J1195" i="2" a="1"/>
  <c r="J1195" i="2"/>
  <c r="J1196" i="2" a="1"/>
  <c r="J1196" i="2"/>
  <c r="J1197" i="2" a="1"/>
  <c r="J1197" i="2"/>
  <c r="J1198" i="2" a="1"/>
  <c r="J1198" i="2" s="1"/>
  <c r="J1199" i="2" a="1"/>
  <c r="J1199" i="2"/>
  <c r="J1200" i="2" a="1"/>
  <c r="J1200" i="2" s="1"/>
  <c r="J1201" i="2" a="1"/>
  <c r="J1201" i="2"/>
  <c r="J1202" i="2" a="1"/>
  <c r="J1202" i="2" s="1"/>
  <c r="J1203" i="2" a="1"/>
  <c r="J1203" i="2"/>
  <c r="J1204" i="2" a="1"/>
  <c r="J1204" i="2" s="1"/>
  <c r="J1205" i="2" a="1"/>
  <c r="J1205" i="2" s="1"/>
  <c r="J1206" i="2" a="1"/>
  <c r="J1206" i="2" s="1"/>
  <c r="J1207" i="2" a="1"/>
  <c r="J1207" i="2"/>
  <c r="J1208" i="2" a="1"/>
  <c r="J1208" i="2"/>
  <c r="J1209" i="2" a="1"/>
  <c r="J1209" i="2" s="1"/>
  <c r="J1210" i="2" a="1"/>
  <c r="J1210" i="2"/>
  <c r="J1211" i="2" a="1"/>
  <c r="J1211" i="2" s="1"/>
  <c r="J1212" i="2" a="1"/>
  <c r="J1212" i="2" s="1"/>
  <c r="J1213" i="2" a="1"/>
  <c r="J1213" i="2"/>
  <c r="J1214" i="2" a="1"/>
  <c r="J1214" i="2"/>
  <c r="J1215" i="2" a="1"/>
  <c r="J1215" i="2" s="1"/>
  <c r="J1216" i="2" a="1"/>
  <c r="J1216" i="2"/>
  <c r="J1217" i="2" a="1"/>
  <c r="J1217" i="2"/>
  <c r="J1218" i="2" a="1"/>
  <c r="J1218" i="2" s="1"/>
  <c r="J1219" i="2" a="1"/>
  <c r="J1219" i="2" s="1"/>
  <c r="J1220" i="2" a="1"/>
  <c r="J1220" i="2"/>
  <c r="J1221" i="2" a="1"/>
  <c r="J1221" i="2"/>
  <c r="J1222" i="2" a="1"/>
  <c r="J1222" i="2" s="1"/>
  <c r="J1223" i="2" a="1"/>
  <c r="J1223" i="2"/>
  <c r="J1224" i="2" a="1"/>
  <c r="J1224" i="2" s="1"/>
  <c r="J1225" i="2" a="1"/>
  <c r="J1225" i="2"/>
  <c r="J1226" i="2" a="1"/>
  <c r="J1226" i="2" s="1"/>
  <c r="J1227" i="2" a="1"/>
  <c r="J1227" i="2"/>
  <c r="J1228" i="2" a="1"/>
  <c r="J1228" i="2" s="1"/>
  <c r="J1229" i="2" a="1"/>
  <c r="J1229" i="2"/>
  <c r="J1230" i="2" a="1"/>
  <c r="J1230" i="2" s="1"/>
  <c r="J1231" i="2" a="1"/>
  <c r="J1231" i="2"/>
  <c r="J1232" i="2" a="1"/>
  <c r="J1232" i="2"/>
  <c r="J1233" i="2" a="1"/>
  <c r="J1233" i="2" s="1"/>
  <c r="J1234" i="2" a="1"/>
  <c r="J1234" i="2"/>
  <c r="J1235" i="2" a="1"/>
  <c r="J1235" i="2" s="1"/>
  <c r="J1236" i="2" a="1"/>
  <c r="J1236" i="2" s="1"/>
  <c r="J1237" i="2" a="1"/>
  <c r="J1237" i="2"/>
  <c r="J1238" i="2" a="1"/>
  <c r="J1238" i="2"/>
  <c r="J1239" i="2" a="1"/>
  <c r="J1239" i="2"/>
  <c r="J1240" i="2" a="1"/>
  <c r="J1240" i="2" s="1"/>
  <c r="J1241" i="2" a="1"/>
  <c r="J1241" i="2" s="1"/>
  <c r="J1242" i="2" a="1"/>
  <c r="J1242" i="2" s="1"/>
  <c r="J1243" i="2" a="1"/>
  <c r="J1243" i="2"/>
  <c r="J1244" i="2" a="1"/>
  <c r="J1244" i="2"/>
  <c r="J1245" i="2" a="1"/>
  <c r="J1245" i="2"/>
  <c r="J1246" i="2" a="1"/>
  <c r="J1246" i="2"/>
  <c r="J1247" i="2" a="1"/>
  <c r="J1247" i="2" s="1"/>
  <c r="J1248" i="2" a="1"/>
  <c r="J1248" i="2" s="1"/>
  <c r="J1249" i="2" a="1"/>
  <c r="J1249" i="2"/>
  <c r="J1250" i="2" a="1"/>
  <c r="J1250" i="2"/>
  <c r="J1251" i="2" a="1"/>
  <c r="J1251" i="2"/>
  <c r="J1252" i="2" a="1"/>
  <c r="J1252" i="2"/>
  <c r="J1253" i="2" a="1"/>
  <c r="J1253" i="2" s="1"/>
  <c r="J1254" i="2" a="1"/>
  <c r="J1254" i="2" s="1"/>
  <c r="J1255" i="2" a="1"/>
  <c r="J1255" i="2" s="1"/>
  <c r="J1256" i="2" a="1"/>
  <c r="J1256" i="2"/>
  <c r="J1257" i="2" a="1"/>
  <c r="J1257" i="2"/>
  <c r="J1258" i="2" a="1"/>
  <c r="J1258" i="2"/>
  <c r="J1259" i="2" a="1"/>
  <c r="J1259" i="2"/>
  <c r="J1260" i="2" a="1"/>
  <c r="J1260" i="2" s="1"/>
  <c r="J1261" i="2" a="1"/>
  <c r="J1261" i="2" s="1"/>
  <c r="J1262" i="2" a="1"/>
  <c r="J1262" i="2"/>
  <c r="J1263" i="2" a="1"/>
  <c r="J1263" i="2"/>
  <c r="J1264" i="2" a="1"/>
  <c r="J1264" i="2"/>
  <c r="J1265" i="2" a="1"/>
  <c r="J1265" i="2"/>
  <c r="J1266" i="2" a="1"/>
  <c r="J1266" i="2" s="1"/>
  <c r="J1267" i="2" a="1"/>
  <c r="J1267" i="2"/>
  <c r="J1268" i="2" a="1"/>
  <c r="J1268" i="2" s="1"/>
  <c r="J1269" i="2" a="1"/>
  <c r="J1269" i="2"/>
  <c r="J1270" i="2" a="1"/>
  <c r="J1270" i="2"/>
  <c r="J1271" i="2" a="1"/>
  <c r="J1271" i="2"/>
  <c r="J1272" i="2" a="1"/>
  <c r="J1272" i="2" s="1"/>
  <c r="J1273" i="2" a="1"/>
  <c r="J1273" i="2"/>
  <c r="J1274" i="2" a="1"/>
  <c r="J1274" i="2" s="1"/>
  <c r="J1275" i="2" a="1"/>
  <c r="J1275" i="2"/>
  <c r="J1276" i="2" a="1"/>
  <c r="J1276" i="2" s="1"/>
  <c r="J1277" i="2" a="1"/>
  <c r="J1277" i="2"/>
  <c r="J1278" i="2" a="1"/>
  <c r="J1278" i="2" s="1"/>
  <c r="J1279" i="2" a="1"/>
  <c r="J1279" i="2"/>
  <c r="J1280" i="2" a="1"/>
  <c r="J1280" i="2"/>
  <c r="J1281" i="2" a="1"/>
  <c r="J1281" i="2" s="1"/>
  <c r="J1282" i="2" a="1"/>
  <c r="J1282" i="2"/>
  <c r="J1283" i="2" a="1"/>
  <c r="J1283" i="2" s="1"/>
  <c r="J1284" i="2" a="1"/>
  <c r="J1284" i="2" s="1"/>
  <c r="J1285" i="2" a="1"/>
  <c r="J1285" i="2"/>
  <c r="J1286" i="2" a="1"/>
  <c r="J1286" i="2"/>
  <c r="J1287" i="2" a="1"/>
  <c r="J1287" i="2" s="1"/>
  <c r="J1288" i="2" a="1"/>
  <c r="J1288" i="2"/>
  <c r="J1289" i="2" a="1"/>
  <c r="J1289" i="2" s="1"/>
  <c r="J1290" i="2" a="1"/>
  <c r="J1290" i="2" s="1"/>
  <c r="J1291" i="2" a="1"/>
  <c r="J1291" i="2"/>
  <c r="J1292" i="2" a="1"/>
  <c r="J1292" i="2"/>
  <c r="J1293" i="2" a="1"/>
  <c r="J1293" i="2"/>
  <c r="J1294" i="2" a="1"/>
  <c r="J1294" i="2" s="1"/>
  <c r="J1295" i="2" a="1"/>
  <c r="J1295" i="2"/>
  <c r="J1296" i="2" a="1"/>
  <c r="J1296" i="2" s="1"/>
  <c r="J1297" i="2" a="1"/>
  <c r="J1297" i="2" s="1"/>
  <c r="J1298" i="2" a="1"/>
  <c r="J1298" i="2"/>
  <c r="J1299" i="2" a="1"/>
  <c r="J1299" i="2"/>
  <c r="J1300" i="2" a="1"/>
  <c r="J1300" i="2" s="1"/>
  <c r="J1301" i="2" a="1"/>
  <c r="J1301" i="2"/>
  <c r="J1302" i="2" a="1"/>
  <c r="J1302" i="2" s="1"/>
  <c r="J1303" i="2" a="1"/>
  <c r="J1303" i="2"/>
  <c r="J1304" i="2" a="1"/>
  <c r="J1304" i="2" s="1"/>
  <c r="J1305" i="2" a="1"/>
  <c r="J1305" i="2"/>
  <c r="J1306" i="2" a="1"/>
  <c r="J1306" i="2"/>
  <c r="J1307" i="2" a="1"/>
  <c r="J1307" i="2" s="1"/>
  <c r="J1308" i="2" a="1"/>
  <c r="J1308" i="2" s="1"/>
  <c r="J1309" i="2" a="1"/>
  <c r="J1309" i="2"/>
  <c r="J1310" i="2" a="1"/>
  <c r="J1310" i="2"/>
  <c r="J1311" i="2" a="1"/>
  <c r="J1311" i="2" s="1"/>
  <c r="J1312" i="2" a="1"/>
  <c r="J1312" i="2"/>
  <c r="J1313" i="2" a="1"/>
  <c r="J1313" i="2" s="1"/>
  <c r="J1314" i="2" a="1"/>
  <c r="J1314" i="2" s="1"/>
  <c r="J1315" i="2" a="1"/>
  <c r="J1315" i="2"/>
  <c r="J1316" i="2" a="1"/>
  <c r="J1316" i="2"/>
  <c r="J1317" i="2" a="1"/>
  <c r="J1317" i="2"/>
  <c r="J1318" i="2" a="1"/>
  <c r="J1318" i="2" s="1"/>
  <c r="J1319" i="2" a="1"/>
  <c r="J1319" i="2"/>
  <c r="J1320" i="2" a="1"/>
  <c r="J1320" i="2" s="1"/>
  <c r="J1321" i="2" a="1"/>
  <c r="J1321" i="2"/>
  <c r="J1322" i="2" a="1"/>
  <c r="J1322" i="2"/>
  <c r="J1323" i="2" a="1"/>
  <c r="J1323" i="2"/>
  <c r="J1324" i="2" a="1"/>
  <c r="J1324" i="2" s="1"/>
  <c r="J1325" i="2" a="1"/>
  <c r="J1325" i="2" s="1"/>
  <c r="J1326" i="2" a="1"/>
  <c r="J1326" i="2" s="1"/>
  <c r="J1327" i="2" a="1"/>
  <c r="J1327" i="2" s="1"/>
  <c r="J1328" i="2" a="1"/>
  <c r="J1328" i="2"/>
  <c r="J1329" i="2" a="1"/>
  <c r="J1329" i="2"/>
  <c r="J1330" i="2" a="1"/>
  <c r="J1330" i="2"/>
  <c r="J1331" i="2" a="1"/>
  <c r="J1331" i="2" s="1"/>
  <c r="J1332" i="2" a="1"/>
  <c r="J1332" i="2" s="1"/>
  <c r="J1333" i="2" a="1"/>
  <c r="J1333" i="2" s="1"/>
  <c r="J1334" i="2" a="1"/>
  <c r="J1334" i="2"/>
  <c r="J1335" i="2" a="1"/>
  <c r="J1335" i="2"/>
  <c r="J1336" i="2" a="1"/>
  <c r="J1336" i="2"/>
  <c r="J1337" i="2" a="1"/>
  <c r="J1337" i="2"/>
  <c r="J1338" i="2" a="1"/>
  <c r="J1338" i="2" s="1"/>
  <c r="J1339" i="2" a="1"/>
  <c r="J1339" i="2" s="1"/>
  <c r="J1340" i="2" a="1"/>
  <c r="J1340" i="2" s="1"/>
  <c r="J1341" i="2" a="1"/>
  <c r="J1341" i="2"/>
  <c r="J1342" i="2" a="1"/>
  <c r="J1342" i="2"/>
  <c r="J1343" i="2" a="1"/>
  <c r="J1343" i="2"/>
  <c r="J1344" i="2" a="1"/>
  <c r="J1344" i="2" s="1"/>
  <c r="J1345" i="2" a="1"/>
  <c r="J1345" i="2"/>
  <c r="J1346" i="2" a="1"/>
  <c r="J1346" i="2" s="1"/>
  <c r="J1347" i="2" a="1"/>
  <c r="J1347" i="2"/>
  <c r="J1348" i="2" a="1"/>
  <c r="J1348" i="2"/>
  <c r="J1349" i="2" a="1"/>
  <c r="J1349" i="2"/>
  <c r="J1350" i="2" a="1"/>
  <c r="J1350" i="2" s="1"/>
  <c r="J1351" i="2" a="1"/>
  <c r="J1351" i="2"/>
  <c r="J1352" i="2" a="1"/>
  <c r="J1352" i="2"/>
  <c r="J1353" i="2" a="1"/>
  <c r="J1353" i="2"/>
  <c r="J1354" i="2" a="1"/>
  <c r="J1354" i="2"/>
  <c r="J1355" i="2" a="1"/>
  <c r="J1355" i="2"/>
  <c r="J1356" i="2" a="1"/>
  <c r="J1356" i="2" s="1"/>
  <c r="J1357" i="2" a="1"/>
  <c r="J1357" i="2"/>
  <c r="J1358" i="2" a="1"/>
  <c r="J1358" i="2"/>
  <c r="J1359" i="2" a="1"/>
  <c r="J1359" i="2" s="1"/>
  <c r="J1360" i="2" a="1"/>
  <c r="J1360" i="2"/>
  <c r="J1361" i="2" a="1"/>
  <c r="J1361" i="2"/>
  <c r="J1362" i="2" a="1"/>
  <c r="J1362" i="2" s="1"/>
  <c r="J1363" i="2" a="1"/>
  <c r="J1363" i="2"/>
  <c r="J1364" i="2" a="1"/>
  <c r="J1364" i="2"/>
  <c r="J1365" i="2" a="1"/>
  <c r="J1365" i="2"/>
  <c r="J1366" i="2" a="1"/>
  <c r="J1366" i="2" s="1"/>
  <c r="J1367" i="2" a="1"/>
  <c r="J1367" i="2"/>
  <c r="J1368" i="2" a="1"/>
  <c r="J1368" i="2" s="1"/>
  <c r="J1369" i="2" a="1"/>
  <c r="J1369" i="2"/>
  <c r="J1370" i="2" a="1"/>
  <c r="J1370" i="2"/>
  <c r="J1371" i="2" a="1"/>
  <c r="J1371" i="2"/>
  <c r="J1372" i="2" a="1"/>
  <c r="J1372" i="2" s="1"/>
  <c r="J1373" i="2" a="1"/>
  <c r="J1373" i="2"/>
  <c r="J1374" i="2" a="1"/>
  <c r="J1374" i="2" s="1"/>
  <c r="J1375" i="2" a="1"/>
  <c r="J1375" i="2" s="1"/>
  <c r="J1376" i="2" a="1"/>
  <c r="J1376" i="2"/>
  <c r="J1377" i="2" a="1"/>
  <c r="J1377" i="2"/>
  <c r="J1378" i="2" a="1"/>
  <c r="J1378" i="2"/>
  <c r="J1379" i="2" a="1"/>
  <c r="J1379" i="2" s="1"/>
  <c r="J1380" i="2" a="1"/>
  <c r="J1380" i="2" s="1"/>
  <c r="J1381" i="2" a="1"/>
  <c r="J1381" i="2" s="1"/>
  <c r="J1382" i="2" a="1"/>
  <c r="J1382" i="2" s="1"/>
  <c r="J1383" i="2" a="1"/>
  <c r="J1383" i="2"/>
  <c r="J1384" i="2" a="1"/>
  <c r="J1384" i="2"/>
  <c r="J1385" i="2" a="1"/>
  <c r="J1385" i="2" s="1"/>
  <c r="J1386" i="2" a="1"/>
  <c r="J1386" i="2" s="1"/>
  <c r="J1387" i="2" a="1"/>
  <c r="J1387" i="2"/>
  <c r="J1388" i="2" a="1"/>
  <c r="J1388" i="2" s="1"/>
  <c r="J1389" i="2" a="1"/>
  <c r="J1389" i="2" s="1"/>
  <c r="J1390" i="2" a="1"/>
  <c r="J1390" i="2"/>
  <c r="J1391" i="2" a="1"/>
  <c r="J1391" i="2"/>
  <c r="J1392" i="2" a="1"/>
  <c r="J1392" i="2" s="1"/>
  <c r="J1393" i="2" a="1"/>
  <c r="J1393" i="2"/>
  <c r="J1394" i="2" a="1"/>
  <c r="J1394" i="2"/>
  <c r="J1395" i="2" a="1"/>
  <c r="J1395" i="2" s="1"/>
  <c r="J1396" i="2" a="1"/>
  <c r="J1396" i="2"/>
  <c r="J1397" i="2" a="1"/>
  <c r="J1397" i="2"/>
  <c r="J1398" i="2" a="1"/>
  <c r="J1398" i="2" s="1"/>
  <c r="J1399" i="2" a="1"/>
  <c r="J1399" i="2" s="1"/>
  <c r="J1400" i="2" a="1"/>
  <c r="J1400" i="2"/>
  <c r="J1401" i="2" a="1"/>
  <c r="J1401" i="2"/>
  <c r="J1402" i="2" a="1"/>
  <c r="J1402" i="2" s="1"/>
  <c r="J1403" i="2" a="1"/>
  <c r="J1403" i="2"/>
  <c r="J1404" i="2" a="1"/>
  <c r="J1404" i="2" s="1"/>
  <c r="J1405" i="2" a="1"/>
  <c r="J1405" i="2" s="1"/>
  <c r="J1406" i="2" a="1"/>
  <c r="J1406" i="2"/>
  <c r="J1407" i="2" a="1"/>
  <c r="J1407" i="2"/>
  <c r="J1408" i="2" a="1"/>
  <c r="J1408" i="2"/>
  <c r="J1409" i="2" a="1"/>
  <c r="J1409" i="2" s="1"/>
  <c r="J1410" i="2" a="1"/>
  <c r="J1410" i="2" s="1"/>
  <c r="J1411" i="2" a="1"/>
  <c r="J1411" i="2"/>
  <c r="J1412" i="2" a="1"/>
  <c r="J1412" i="2" s="1"/>
  <c r="J1413" i="2" a="1"/>
  <c r="J1413" i="2"/>
  <c r="J1414" i="2" a="1"/>
  <c r="J1414" i="2"/>
  <c r="J1415" i="2" a="1"/>
  <c r="J1415" i="2"/>
  <c r="J1416" i="2" a="1"/>
  <c r="J1416" i="2" s="1"/>
  <c r="J1417" i="2" a="1"/>
  <c r="J1417" i="2" s="1"/>
  <c r="J1418" i="2" a="1"/>
  <c r="J1418" i="2" s="1"/>
  <c r="J1419" i="2" a="1"/>
  <c r="J1419" i="2"/>
  <c r="J1420" i="2" a="1"/>
  <c r="J1420" i="2"/>
  <c r="J1421" i="2" a="1"/>
  <c r="J1421" i="2"/>
  <c r="J1422" i="2" a="1"/>
  <c r="J1422" i="2" s="1"/>
  <c r="J1423" i="2" a="1"/>
  <c r="J1423" i="2" s="1"/>
  <c r="J1424" i="2" a="1"/>
  <c r="J1424" i="2" s="1"/>
  <c r="J1425" i="2" a="1"/>
  <c r="J1425" i="2" s="1"/>
  <c r="J1426" i="2" a="1"/>
  <c r="J1426" i="2"/>
  <c r="J1427" i="2" a="1"/>
  <c r="J1427" i="2"/>
  <c r="J1428" i="2" a="1"/>
  <c r="J1428" i="2" s="1"/>
  <c r="J1429" i="2" a="1"/>
  <c r="J1429" i="2"/>
  <c r="J1430" i="2" a="1"/>
  <c r="J1430" i="2" s="1"/>
  <c r="J1431" i="2" a="1"/>
  <c r="J1431" i="2" s="1"/>
  <c r="J1432" i="2" a="1"/>
  <c r="J1432" i="2"/>
  <c r="J1433" i="2" a="1"/>
  <c r="J1433" i="2"/>
  <c r="J1434" i="2" a="1"/>
  <c r="J1434" i="2" s="1"/>
  <c r="J1435" i="2" a="1"/>
  <c r="J1435" i="2"/>
  <c r="J1436" i="2" a="1"/>
  <c r="J1436" i="2"/>
  <c r="J1437" i="2" a="1"/>
  <c r="J1437" i="2" s="1"/>
  <c r="J1438" i="2" a="1"/>
  <c r="J1438" i="2" s="1"/>
  <c r="J1439" i="2" a="1"/>
  <c r="J1439" i="2"/>
  <c r="J1440" i="2" a="1"/>
  <c r="J1440" i="2" s="1"/>
  <c r="J1441" i="2" a="1"/>
  <c r="J1441" i="2"/>
  <c r="J1442" i="2" a="1"/>
  <c r="J1442" i="2"/>
  <c r="J1443" i="2" a="1"/>
  <c r="J1443" i="2"/>
  <c r="J1444" i="2" a="1"/>
  <c r="J1444" i="2" s="1"/>
  <c r="J1445" i="2" a="1"/>
  <c r="J1445" i="2"/>
  <c r="J1446" i="2" a="1"/>
  <c r="J1446" i="2" s="1"/>
  <c r="J1447" i="2" a="1"/>
  <c r="J1447" i="2"/>
  <c r="J1448" i="2" a="1"/>
  <c r="J1448" i="2"/>
  <c r="J1449" i="2" a="1"/>
  <c r="J1449" i="2"/>
  <c r="J1450" i="2" a="1"/>
  <c r="J1450" i="2"/>
  <c r="J1451" i="2" a="1"/>
  <c r="J1451" i="2" s="1"/>
  <c r="J1452" i="2" a="1"/>
  <c r="J1452" i="2" s="1"/>
  <c r="J1453" i="2" a="1"/>
  <c r="J1453" i="2" s="1"/>
  <c r="J1454" i="2" a="1"/>
  <c r="J1454" i="2"/>
  <c r="J1455" i="2" a="1"/>
  <c r="J1455" i="2"/>
  <c r="J1456" i="2" a="1"/>
  <c r="J1456" i="2"/>
  <c r="J1457" i="2" a="1"/>
  <c r="J1457" i="2" s="1"/>
  <c r="J1458" i="2" a="1"/>
  <c r="J1458" i="2" s="1"/>
  <c r="J1459" i="2" a="1"/>
  <c r="J1459" i="2"/>
  <c r="J1460" i="2" a="1"/>
  <c r="J1460" i="2" s="1"/>
  <c r="J1461" i="2" a="1"/>
  <c r="J1461" i="2"/>
  <c r="J1462" i="2" a="1"/>
  <c r="J1462" i="2"/>
  <c r="J1463" i="2" a="1"/>
  <c r="J1463" i="2"/>
  <c r="J1464" i="2" a="1"/>
  <c r="J1464" i="2" s="1"/>
  <c r="J1465" i="2" a="1"/>
  <c r="J1465" i="2"/>
  <c r="J1466" i="2" a="1"/>
  <c r="J1466" i="2" s="1"/>
  <c r="J1467" i="2" a="1"/>
  <c r="J1467" i="2"/>
  <c r="J1468" i="2" a="1"/>
  <c r="J1468" i="2"/>
  <c r="J1469" i="2" a="1"/>
  <c r="J1469" i="2"/>
  <c r="J1470" i="2" a="1"/>
  <c r="J1470" i="2" s="1"/>
  <c r="J1471" i="2" a="1"/>
  <c r="J1471" i="2" s="1"/>
  <c r="J1472" i="2" a="1"/>
  <c r="J1472" i="2"/>
  <c r="J1473" i="2" a="1"/>
  <c r="J1473" i="2" s="1"/>
  <c r="J1474" i="2" a="1"/>
  <c r="J1474" i="2"/>
  <c r="J1475" i="2" a="1"/>
  <c r="J1475" i="2"/>
  <c r="J1476" i="2" a="1"/>
  <c r="J1476" i="2" s="1"/>
  <c r="J1477" i="2" a="1"/>
  <c r="J1477" i="2" s="1"/>
  <c r="J1478" i="2" a="1"/>
  <c r="J1478" i="2"/>
  <c r="J1479" i="2" a="1"/>
  <c r="J1479" i="2"/>
  <c r="J1480" i="2" a="1"/>
  <c r="J1480" i="2" s="1"/>
  <c r="J1481" i="2" a="1"/>
  <c r="J1481" i="2"/>
  <c r="J1482" i="2" a="1"/>
  <c r="J1482" i="2" s="1"/>
  <c r="J1483" i="2" a="1"/>
  <c r="J1483" i="2"/>
  <c r="J1484" i="2" a="1"/>
  <c r="J1484" i="2" s="1"/>
  <c r="J1485" i="2" a="1"/>
  <c r="J1485" i="2"/>
  <c r="J1486" i="2" a="1"/>
  <c r="J1486" i="2"/>
  <c r="J1487" i="2" a="1"/>
  <c r="J1487" i="2" s="1"/>
  <c r="J1488" i="2" a="1"/>
  <c r="J1488" i="2" s="1"/>
  <c r="J1489" i="2" a="1"/>
  <c r="J1489" i="2"/>
  <c r="J1490" i="2" a="1"/>
  <c r="J1490" i="2" s="1"/>
  <c r="J1491" i="2" a="1"/>
  <c r="J1491" i="2"/>
  <c r="J1492" i="2" a="1"/>
  <c r="J1492" i="2"/>
  <c r="J1493" i="2" a="1"/>
  <c r="J1493" i="2"/>
  <c r="J1494" i="2" a="1"/>
  <c r="J1494" i="2" s="1"/>
  <c r="J1495" i="2" a="1"/>
  <c r="J1495" i="2" s="1"/>
  <c r="J1496" i="2" a="1"/>
  <c r="J1496" i="2"/>
  <c r="J1497" i="2" a="1"/>
  <c r="J1497" i="2" s="1"/>
  <c r="J1498" i="2" a="1"/>
  <c r="J1498" i="2"/>
  <c r="J1499" i="2" a="1"/>
  <c r="J1499" i="2"/>
  <c r="J1500" i="2" a="1"/>
  <c r="J1500" i="2" s="1"/>
  <c r="J1501" i="2" a="1"/>
  <c r="J1501" i="2" s="1"/>
  <c r="J1502" i="2" a="1"/>
  <c r="J1502" i="2" s="1"/>
  <c r="J1503" i="2" a="1"/>
  <c r="J1503" i="2" s="1"/>
  <c r="J1504" i="2" a="1"/>
  <c r="J1504" i="2"/>
  <c r="J1505" i="2" a="1"/>
  <c r="J1505" i="2"/>
  <c r="J1506" i="2" a="1"/>
  <c r="J1506" i="2" s="1"/>
  <c r="J1507" i="2" a="1"/>
  <c r="J1507" i="2"/>
  <c r="J1508" i="2" a="1"/>
  <c r="J1508" i="2" s="1"/>
  <c r="J1509" i="2" a="1"/>
  <c r="J1509" i="2" s="1"/>
  <c r="J1510" i="2" a="1"/>
  <c r="J1510" i="2" s="1"/>
  <c r="J1511" i="2" a="1"/>
  <c r="J1511" i="2"/>
  <c r="J1512" i="2" a="1"/>
  <c r="J1512" i="2" s="1"/>
  <c r="J1513" i="2" a="1"/>
  <c r="J1513" i="2"/>
  <c r="J1514" i="2" a="1"/>
  <c r="J1514" i="2"/>
  <c r="J1515" i="2" a="1"/>
  <c r="J1515" i="2" s="1"/>
  <c r="J1516" i="2" a="1"/>
  <c r="J1516" i="2" s="1"/>
  <c r="J1517" i="2" a="1"/>
  <c r="J1517" i="2"/>
  <c r="J1518" i="2" a="1"/>
  <c r="J1518" i="2" s="1"/>
  <c r="J1519" i="2" a="1"/>
  <c r="J1519" i="2"/>
  <c r="J1520" i="2" a="1"/>
  <c r="J1520" i="2"/>
  <c r="J1521" i="2" a="1"/>
  <c r="J1521" i="2"/>
  <c r="J1522" i="2" a="1"/>
  <c r="J1522" i="2" s="1"/>
  <c r="J1523" i="2" a="1"/>
  <c r="J1523" i="2" s="1"/>
  <c r="J1524" i="2" a="1"/>
  <c r="J1524" i="2" s="1"/>
  <c r="J1525" i="2" a="1"/>
  <c r="J1525" i="2"/>
  <c r="J1526" i="2" a="1"/>
  <c r="J1526" i="2"/>
  <c r="J1527" i="2" a="1"/>
  <c r="J1527" i="2"/>
  <c r="J1528" i="2" a="1"/>
  <c r="J1528" i="2"/>
  <c r="J1529" i="2" a="1"/>
  <c r="J1529" i="2" s="1"/>
  <c r="J1530" i="2" a="1"/>
  <c r="J1530" i="2" s="1"/>
  <c r="J1531" i="2" a="1"/>
  <c r="J1531" i="2"/>
  <c r="J1532" i="2" a="1"/>
  <c r="J1532" i="2"/>
  <c r="J1533" i="2" a="1"/>
  <c r="J1533" i="2"/>
  <c r="J1534" i="2" a="1"/>
  <c r="J1534" i="2"/>
  <c r="J1535" i="2" a="1"/>
  <c r="J1535" i="2"/>
  <c r="J1536" i="2" a="1"/>
  <c r="J1536" i="2" s="1"/>
  <c r="J1537" i="2" a="1"/>
  <c r="J1537" i="2"/>
  <c r="J1538" i="2" a="1"/>
  <c r="J1538" i="2"/>
  <c r="J1539" i="2" a="1"/>
  <c r="J1539" i="2"/>
  <c r="J1540" i="2" a="1"/>
  <c r="J1540" i="2"/>
  <c r="J1541" i="2" a="1"/>
  <c r="J1541" i="2"/>
  <c r="J1542" i="2" a="1"/>
  <c r="J1542" i="2" s="1"/>
  <c r="J1543" i="2" a="1"/>
  <c r="J1543" i="2" s="1"/>
  <c r="J1544" i="2" a="1"/>
  <c r="J1544" i="2"/>
  <c r="J1545" i="2" a="1"/>
  <c r="J1545" i="2"/>
  <c r="J1546" i="2" a="1"/>
  <c r="J1546" i="2"/>
  <c r="J1547" i="2" a="1"/>
  <c r="J1547" i="2"/>
  <c r="J1548" i="2" a="1"/>
  <c r="J1548" i="2" s="1"/>
  <c r="J1549" i="2" a="1"/>
  <c r="J1549" i="2" s="1"/>
  <c r="J1550" i="2" a="1"/>
  <c r="J1550" i="2"/>
  <c r="J1551" i="2" a="1"/>
  <c r="J1551" i="2" s="1"/>
  <c r="J1552" i="2" a="1"/>
  <c r="J1552" i="2"/>
  <c r="J1553" i="2" a="1"/>
  <c r="J1553" i="2"/>
  <c r="J1554" i="2" a="1"/>
  <c r="J1554" i="2" s="1"/>
  <c r="J1555" i="2" a="1"/>
  <c r="J1555" i="2"/>
  <c r="J1556" i="2" a="1"/>
  <c r="J1556" i="2" s="1"/>
  <c r="J1557" i="2" a="1"/>
  <c r="J1557" i="2"/>
  <c r="J1558" i="2" a="1"/>
  <c r="J1558" i="2" s="1"/>
  <c r="J1559" i="2" a="1"/>
  <c r="J1559" i="2"/>
  <c r="J1560" i="2" a="1"/>
  <c r="J1560" i="2"/>
  <c r="J1561" i="2" a="1"/>
  <c r="J1561" i="2"/>
  <c r="J1562" i="2" a="1"/>
  <c r="J1562" i="2" s="1"/>
  <c r="J1563" i="2" a="1"/>
  <c r="J1563" i="2"/>
  <c r="J1564" i="2" a="1"/>
  <c r="J1564" i="2" s="1"/>
  <c r="J1565" i="2" a="1"/>
  <c r="J1565" i="2" s="1"/>
  <c r="J1566" i="2" a="1"/>
  <c r="J1566" i="2"/>
  <c r="J1567" i="2" a="1"/>
  <c r="J1567" i="2"/>
  <c r="J1568" i="2" a="1"/>
  <c r="J1568" i="2" s="1"/>
  <c r="J1569" i="2" a="1"/>
  <c r="J1569" i="2"/>
  <c r="J1570" i="2" a="1"/>
  <c r="J1570" i="2"/>
  <c r="J1571" i="2" a="1"/>
  <c r="J1571" i="2" s="1"/>
  <c r="J1572" i="2" a="1"/>
  <c r="J1572" i="2"/>
  <c r="J1573" i="2" a="1"/>
  <c r="J1573" i="2"/>
  <c r="J1574" i="2" a="1"/>
  <c r="J1574" i="2" s="1"/>
  <c r="J1575" i="2" a="1"/>
  <c r="J1575" i="2"/>
  <c r="J1576" i="2" a="1"/>
  <c r="J1576" i="2"/>
  <c r="J1577" i="2" a="1"/>
  <c r="J1577" i="2" s="1"/>
  <c r="J1578" i="2" a="1"/>
  <c r="J1578" i="2" s="1"/>
  <c r="J1579" i="2" a="1"/>
  <c r="J1579" i="2"/>
  <c r="J1580" i="2" a="1"/>
  <c r="J1580" i="2" s="1"/>
  <c r="J1581" i="2" a="1"/>
  <c r="J1581" i="2"/>
  <c r="J1582" i="2" a="1"/>
  <c r="J1582" i="2"/>
  <c r="J1583" i="2" a="1"/>
  <c r="J1583" i="2"/>
  <c r="J1584" i="2" a="1"/>
  <c r="J1584" i="2" s="1"/>
  <c r="J1585" i="2" a="1"/>
  <c r="J1585" i="2"/>
  <c r="J1586" i="2" a="1"/>
  <c r="J1586" i="2" s="1"/>
  <c r="J1587" i="2" a="1"/>
  <c r="J1587" i="2"/>
  <c r="J1588" i="2" a="1"/>
  <c r="J1588" i="2"/>
  <c r="J1589" i="2" a="1"/>
  <c r="J1589" i="2"/>
  <c r="J1590" i="2" a="1"/>
  <c r="J1590" i="2" s="1"/>
  <c r="J1591" i="2" a="1"/>
  <c r="J1591" i="2" s="1"/>
  <c r="J1592" i="2" a="1"/>
  <c r="J1592" i="2" s="1"/>
  <c r="J1593" i="2" a="1"/>
  <c r="J1593" i="2"/>
  <c r="J1594" i="2" a="1"/>
  <c r="J1594" i="2"/>
  <c r="J1595" i="2" a="1"/>
  <c r="J1595" i="2"/>
  <c r="J1596" i="2" a="1"/>
  <c r="J1596" i="2"/>
  <c r="J1597" i="2" a="1"/>
  <c r="J1597" i="2" s="1"/>
  <c r="J1598" i="2" a="1"/>
  <c r="J1598" i="2" s="1"/>
  <c r="J1599" i="2" a="1"/>
  <c r="J1599" i="2"/>
  <c r="J1600" i="2" a="1"/>
  <c r="J1600" i="2"/>
  <c r="J1601" i="2" a="1"/>
  <c r="J1601" i="2"/>
  <c r="J1602" i="2" a="1"/>
  <c r="J1602" i="2"/>
  <c r="J1603" i="2" a="1"/>
  <c r="J1603" i="2" s="1"/>
  <c r="J1604" i="2" a="1"/>
  <c r="J1604" i="2" s="1"/>
  <c r="J1605" i="2" a="1"/>
  <c r="J1605" i="2"/>
  <c r="J1606" i="2" a="1"/>
  <c r="J1606" i="2"/>
  <c r="J1607" i="2" a="1"/>
  <c r="J1607" i="2"/>
  <c r="J1608" i="2" a="1"/>
  <c r="J1608" i="2"/>
  <c r="J1609" i="2" a="1"/>
  <c r="J1609" i="2"/>
  <c r="J1610" i="2" a="1"/>
  <c r="J1610" i="2" s="1"/>
  <c r="J1611" i="2" a="1"/>
  <c r="J1611" i="2"/>
  <c r="J1612" i="2" a="1"/>
  <c r="J1612" i="2"/>
  <c r="J1613" i="2" a="1"/>
  <c r="J1613" i="2"/>
  <c r="J1614" i="2" a="1"/>
  <c r="J1614" i="2"/>
  <c r="J1615" i="2" a="1"/>
  <c r="J1615" i="2"/>
  <c r="J1616" i="2" a="1"/>
  <c r="J1616" i="2" s="1"/>
  <c r="J1617" i="2" a="1"/>
  <c r="J1617" i="2"/>
  <c r="J1618" i="2" a="1"/>
  <c r="J1618" i="2"/>
  <c r="J1619" i="2" a="1"/>
  <c r="J1619" i="2"/>
  <c r="J1620" i="2" a="1"/>
  <c r="J1620" i="2"/>
  <c r="J1621" i="2" a="1"/>
  <c r="J1621" i="2"/>
  <c r="J1622" i="2" a="1"/>
  <c r="J1622" i="2" s="1"/>
  <c r="J1623" i="2" a="1"/>
  <c r="J1623" i="2" s="1"/>
  <c r="J1624" i="2" a="1"/>
  <c r="J1624" i="2" s="1"/>
  <c r="J1625" i="2" a="1"/>
  <c r="J1625" i="2"/>
  <c r="J1626" i="2" a="1"/>
  <c r="J1626" i="2"/>
  <c r="J1627" i="2" a="1"/>
  <c r="J1627" i="2"/>
  <c r="J1628" i="2" a="1"/>
  <c r="J1628" i="2" s="1"/>
  <c r="J1629" i="2" a="1"/>
  <c r="J1629" i="2"/>
  <c r="J1630" i="2" a="1"/>
  <c r="J1630" i="2" s="1"/>
  <c r="J1631" i="2" a="1"/>
  <c r="J1631" i="2"/>
  <c r="J1632" i="2" a="1"/>
  <c r="J1632" i="2"/>
  <c r="J1633" i="2" a="1"/>
  <c r="J1633" i="2"/>
  <c r="J1634" i="2" a="1"/>
  <c r="J1634" i="2" s="1"/>
  <c r="J1635" i="2" a="1"/>
  <c r="J1635" i="2"/>
  <c r="J1636" i="2" a="1"/>
  <c r="J1636" i="2" s="1"/>
  <c r="J1637" i="2" a="1"/>
  <c r="J1637" i="2" s="1"/>
  <c r="J1638" i="2" a="1"/>
  <c r="J1638" i="2"/>
  <c r="J1639" i="2" a="1"/>
  <c r="J1639" i="2"/>
  <c r="J1640" i="2" a="1"/>
  <c r="J1640" i="2" s="1"/>
  <c r="J1641" i="2" a="1"/>
  <c r="J1641" i="2"/>
  <c r="J1642" i="2" a="1"/>
  <c r="J1642" i="2"/>
  <c r="J1643" i="2" a="1"/>
  <c r="J1643" i="2" s="1"/>
  <c r="J1644" i="2" a="1"/>
  <c r="J1644" i="2"/>
  <c r="J1645" i="2" a="1"/>
  <c r="J1645" i="2"/>
  <c r="J1646" i="2" a="1"/>
  <c r="J1646" i="2" s="1"/>
  <c r="J1647" i="2" a="1"/>
  <c r="J1647" i="2"/>
  <c r="J1648" i="2" a="1"/>
  <c r="J1648" i="2"/>
  <c r="J1649" i="2" a="1"/>
  <c r="J1649" i="2" s="1"/>
  <c r="J1650" i="2" a="1"/>
  <c r="J1650" i="2" s="1"/>
  <c r="J1651" i="2" a="1"/>
  <c r="J1651" i="2"/>
  <c r="J1652" i="2" a="1"/>
  <c r="J1652" i="2" s="1"/>
  <c r="J1653" i="2" a="1"/>
  <c r="J1653" i="2"/>
  <c r="J1654" i="2" a="1"/>
  <c r="J1654" i="2"/>
  <c r="J1655" i="2" a="1"/>
  <c r="J1655" i="2"/>
  <c r="J1656" i="2" a="1"/>
  <c r="J1656" i="2" s="1"/>
  <c r="J1657" i="2" a="1"/>
  <c r="J1657" i="2"/>
  <c r="J1658" i="2" a="1"/>
  <c r="J1658" i="2" s="1"/>
  <c r="J1659" i="2" a="1"/>
  <c r="J1659" i="2"/>
  <c r="J1660" i="2" a="1"/>
  <c r="J1660" i="2"/>
  <c r="J1661" i="2" a="1"/>
  <c r="J1661" i="2"/>
  <c r="J1662" i="2" a="1"/>
  <c r="J1662" i="2" s="1"/>
  <c r="J1663" i="2" a="1"/>
  <c r="J1663" i="2" s="1"/>
  <c r="J1664" i="2" a="1"/>
  <c r="J1664" i="2" s="1"/>
  <c r="J1665" i="2" a="1"/>
  <c r="J1665" i="2"/>
  <c r="J1666" i="2" a="1"/>
  <c r="J1666" i="2"/>
  <c r="J1667" i="2" a="1"/>
  <c r="J1667" i="2"/>
  <c r="J1668" i="2" a="1"/>
  <c r="J1668" i="2"/>
  <c r="J1669" i="2" a="1"/>
  <c r="J1669" i="2" s="1"/>
  <c r="J1670" i="2" a="1"/>
  <c r="J1670" i="2" s="1"/>
  <c r="J1671" i="2" a="1"/>
  <c r="J1671" i="2"/>
  <c r="J1672" i="2" a="1"/>
  <c r="J1672" i="2"/>
  <c r="J1673" i="2" a="1"/>
  <c r="J1673" i="2"/>
  <c r="J1674" i="2" a="1"/>
  <c r="J1674" i="2"/>
  <c r="J1675" i="2" a="1"/>
  <c r="J1675" i="2" s="1"/>
  <c r="J1676" i="2" a="1"/>
  <c r="J1676" i="2" s="1"/>
  <c r="J1677" i="2" a="1"/>
  <c r="J1677" i="2"/>
  <c r="J1678" i="2" a="1"/>
  <c r="J1678" i="2"/>
  <c r="J1679" i="2" a="1"/>
  <c r="J1679" i="2"/>
  <c r="J1680" i="2" a="1"/>
  <c r="J1680" i="2"/>
  <c r="J1681" i="2" a="1"/>
  <c r="J1681" i="2"/>
  <c r="J1682" i="2" a="1"/>
  <c r="J1682" i="2" s="1"/>
  <c r="J1683" i="2" a="1"/>
  <c r="J1683" i="2" s="1"/>
  <c r="J1684" i="2" a="1"/>
  <c r="J1684" i="2"/>
  <c r="J1685" i="2" a="1"/>
  <c r="J1685" i="2"/>
  <c r="J1686" i="2" a="1"/>
  <c r="J1686" i="2"/>
  <c r="J1687" i="2" a="1"/>
  <c r="J1687" i="2"/>
  <c r="J1688" i="2" a="1"/>
  <c r="J1688" i="2" s="1"/>
  <c r="J1689" i="2" a="1"/>
  <c r="J1689" i="2" s="1"/>
  <c r="J1690" i="2" a="1"/>
  <c r="J1690" i="2"/>
  <c r="J1691" i="2" a="1"/>
  <c r="J1691" i="2"/>
  <c r="J1692" i="2" a="1"/>
  <c r="J1692" i="2"/>
  <c r="J1693" i="2" a="1"/>
  <c r="J1693" i="2"/>
  <c r="J1694" i="2" a="1"/>
  <c r="J1694" i="2" s="1"/>
  <c r="J1695" i="2" a="1"/>
  <c r="J1695" i="2" s="1"/>
  <c r="J1696" i="2" a="1"/>
  <c r="J1696" i="2" s="1"/>
  <c r="J1697" i="2" a="1"/>
  <c r="J1697" i="2"/>
  <c r="J1698" i="2" a="1"/>
  <c r="J1698" i="2"/>
  <c r="J1699" i="2" a="1"/>
  <c r="J1699" i="2"/>
  <c r="J1700" i="2" a="1"/>
  <c r="J1700" i="2" s="1"/>
  <c r="J1701" i="2" a="1"/>
  <c r="J1701" i="2"/>
  <c r="J1702" i="2" a="1"/>
  <c r="J1702" i="2" s="1"/>
  <c r="J1703" i="2" a="1"/>
  <c r="J1703" i="2"/>
  <c r="J1704" i="2" a="1"/>
  <c r="J1704" i="2"/>
  <c r="J1705" i="2" a="1"/>
  <c r="J1705" i="2"/>
  <c r="J1706" i="2" a="1"/>
  <c r="J1706" i="2" s="1"/>
  <c r="J1707" i="2" a="1"/>
  <c r="J1707" i="2"/>
  <c r="J1708" i="2" a="1"/>
  <c r="J1708" i="2" s="1"/>
  <c r="J1709" i="2" a="1"/>
  <c r="J1709" i="2" s="1"/>
  <c r="J1710" i="2" a="1"/>
  <c r="J1710" i="2"/>
  <c r="J1711" i="2" a="1"/>
  <c r="J1711" i="2"/>
  <c r="J1712" i="2" a="1"/>
  <c r="J1712" i="2" s="1"/>
  <c r="J1713" i="2" a="1"/>
  <c r="J1713" i="2"/>
  <c r="J1714" i="2" a="1"/>
  <c r="J1714" i="2"/>
  <c r="J1715" i="2" a="1"/>
  <c r="J1715" i="2" s="1"/>
  <c r="J1716" i="2" a="1"/>
  <c r="J1716" i="2"/>
  <c r="J1717" i="2" a="1"/>
  <c r="J1717" i="2"/>
  <c r="J1718" i="2" a="1"/>
  <c r="J1718" i="2" s="1"/>
  <c r="J1719" i="2" a="1"/>
  <c r="J1719" i="2"/>
  <c r="J1720" i="2" a="1"/>
  <c r="J1720" i="2"/>
  <c r="J1721" i="2" a="1"/>
  <c r="J1721" i="2" s="1"/>
  <c r="J1722" i="2" a="1"/>
  <c r="J1722" i="2" s="1"/>
  <c r="J1723" i="2" a="1"/>
  <c r="J1723" i="2"/>
  <c r="J1724" i="2" a="1"/>
  <c r="J1724" i="2" s="1"/>
  <c r="J1725" i="2" a="1"/>
  <c r="J1725" i="2"/>
  <c r="J1726" i="2" a="1"/>
  <c r="J1726" i="2"/>
  <c r="J1727" i="2" a="1"/>
  <c r="J1727" i="2"/>
  <c r="J1728" i="2" a="1"/>
  <c r="J1728" i="2" s="1"/>
  <c r="J1729" i="2" a="1"/>
  <c r="J1729" i="2"/>
  <c r="J1730" i="2" a="1"/>
  <c r="J1730" i="2" s="1"/>
  <c r="J1731" i="2" a="1"/>
  <c r="J1731" i="2"/>
  <c r="J1732" i="2" a="1"/>
  <c r="J1732" i="2"/>
  <c r="J1733" i="2" a="1"/>
  <c r="J1733" i="2"/>
  <c r="J1734" i="2" a="1"/>
  <c r="J1734" i="2" s="1"/>
  <c r="J1735" i="2" a="1"/>
  <c r="J1735" i="2" s="1"/>
  <c r="J1736" i="2" a="1"/>
  <c r="J1736" i="2" s="1"/>
  <c r="J1737" i="2" a="1"/>
  <c r="J1737" i="2"/>
  <c r="J1738" i="2" a="1"/>
  <c r="J1738" i="2"/>
  <c r="J1739" i="2" a="1"/>
  <c r="J1739" i="2"/>
  <c r="J1740" i="2" a="1"/>
  <c r="J1740" i="2"/>
  <c r="J1741" i="2" a="1"/>
  <c r="J1741" i="2" s="1"/>
  <c r="J1742" i="2" a="1"/>
  <c r="J1742" i="2" s="1"/>
  <c r="J1743" i="2" a="1"/>
  <c r="J1743" i="2"/>
  <c r="J1744" i="2" a="1"/>
  <c r="J1744" i="2"/>
  <c r="J1745" i="2" a="1"/>
  <c r="J1745" i="2"/>
  <c r="J1746" i="2" a="1"/>
  <c r="J1746" i="2"/>
  <c r="J1747" i="2" a="1"/>
  <c r="J1747" i="2" s="1"/>
  <c r="J1748" i="2" a="1"/>
  <c r="J1748" i="2" s="1"/>
  <c r="J1749" i="2" a="1"/>
  <c r="J1749" i="2"/>
  <c r="J1750" i="2" a="1"/>
  <c r="J1750" i="2"/>
  <c r="J1751" i="2" a="1"/>
  <c r="J1751" i="2"/>
  <c r="J1752" i="2" a="1"/>
  <c r="J1752" i="2"/>
  <c r="J1753" i="2" a="1"/>
  <c r="J1753" i="2"/>
  <c r="J1754" i="2" a="1"/>
  <c r="J1754" i="2" s="1"/>
  <c r="J1755" i="2" a="1"/>
  <c r="J1755" i="2" s="1"/>
  <c r="J1756" i="2" a="1"/>
  <c r="J1756" i="2"/>
  <c r="J1757" i="2" a="1"/>
  <c r="J1757" i="2"/>
  <c r="J1758" i="2" a="1"/>
  <c r="J1758" i="2"/>
  <c r="J1759" i="2" a="1"/>
  <c r="J1759" i="2"/>
  <c r="J1760" i="2" a="1"/>
  <c r="J1760" i="2" s="1"/>
  <c r="J1761" i="2" a="1"/>
  <c r="J1761" i="2" s="1"/>
  <c r="J1762" i="2" a="1"/>
  <c r="J1762" i="2"/>
  <c r="J1763" i="2" a="1"/>
  <c r="J1763" i="2"/>
  <c r="J1764" i="2" a="1"/>
  <c r="J1764" i="2"/>
  <c r="J1765" i="2" a="1"/>
  <c r="J1765" i="2"/>
  <c r="J1766" i="2" a="1"/>
  <c r="J1766" i="2" s="1"/>
  <c r="J1767" i="2" a="1"/>
  <c r="J1767" i="2" s="1"/>
  <c r="J1768" i="2" a="1"/>
  <c r="J1768" i="2" s="1"/>
  <c r="J1769" i="2" a="1"/>
  <c r="J1769" i="2"/>
  <c r="J1770" i="2" a="1"/>
  <c r="J1770" i="2"/>
  <c r="J1771" i="2" a="1"/>
  <c r="J1771" i="2"/>
  <c r="J1772" i="2" a="1"/>
  <c r="J1772" i="2" s="1"/>
  <c r="J1773" i="2" a="1"/>
  <c r="J1773" i="2"/>
  <c r="J1774" i="2" a="1"/>
  <c r="J1774" i="2" s="1"/>
  <c r="J1775" i="2" a="1"/>
  <c r="J1775" i="2"/>
  <c r="J1776" i="2" a="1"/>
  <c r="J1776" i="2"/>
  <c r="J1777" i="2" a="1"/>
  <c r="J1777" i="2"/>
  <c r="J1778" i="2" a="1"/>
  <c r="J1778" i="2" s="1"/>
  <c r="J1779" i="2" a="1"/>
  <c r="J1779" i="2"/>
  <c r="J1780" i="2" a="1"/>
  <c r="J1780" i="2" s="1"/>
  <c r="J1781" i="2" a="1"/>
  <c r="J1781" i="2" s="1"/>
  <c r="J1782" i="2" a="1"/>
  <c r="J1782" i="2"/>
  <c r="J1783" i="2" a="1"/>
  <c r="J1783" i="2"/>
  <c r="J1784" i="2" a="1"/>
  <c r="J1784" i="2" s="1"/>
  <c r="J1785" i="2" a="1"/>
  <c r="J1785" i="2"/>
  <c r="J1786" i="2" a="1"/>
  <c r="J1786" i="2"/>
  <c r="J1787" i="2" a="1"/>
  <c r="J1787" i="2" s="1"/>
  <c r="J1788" i="2" a="1"/>
  <c r="J1788" i="2"/>
  <c r="J1789" i="2" a="1"/>
  <c r="J1789" i="2"/>
  <c r="J1790" i="2" a="1"/>
  <c r="J1790" i="2" s="1"/>
  <c r="J1791" i="2" a="1"/>
  <c r="J1791" i="2"/>
  <c r="J1792" i="2" a="1"/>
  <c r="J1792" i="2"/>
  <c r="J1793" i="2" a="1"/>
  <c r="J1793" i="2" s="1"/>
  <c r="J1794" i="2" a="1"/>
  <c r="J1794" i="2" s="1"/>
  <c r="J1795" i="2" a="1"/>
  <c r="J1795" i="2"/>
  <c r="J1796" i="2" a="1"/>
  <c r="J1796" i="2" s="1"/>
  <c r="J1797" i="2" a="1"/>
  <c r="J1797" i="2"/>
  <c r="J1798" i="2" a="1"/>
  <c r="J1798" i="2"/>
  <c r="J1799" i="2" a="1"/>
  <c r="J1799" i="2"/>
  <c r="J1800" i="2" a="1"/>
  <c r="J1800" i="2" s="1"/>
  <c r="J1801" i="2" a="1"/>
  <c r="J1801" i="2"/>
  <c r="J1802" i="2" a="1"/>
  <c r="J1802" i="2" s="1"/>
  <c r="J1803" i="2" a="1"/>
  <c r="J1803" i="2"/>
  <c r="J1804" i="2" a="1"/>
  <c r="J1804" i="2"/>
  <c r="J1805" i="2" a="1"/>
  <c r="J1805" i="2"/>
  <c r="J1806" i="2" a="1"/>
  <c r="J1806" i="2" s="1"/>
  <c r="J1807" i="2" a="1"/>
  <c r="J1807" i="2" s="1"/>
  <c r="J1808" i="2" a="1"/>
  <c r="J1808" i="2" s="1"/>
  <c r="J1809" i="2" a="1"/>
  <c r="J1809" i="2"/>
  <c r="J1810" i="2" a="1"/>
  <c r="J1810" i="2"/>
  <c r="J1811" i="2" a="1"/>
  <c r="J1811" i="2"/>
  <c r="J1812" i="2" a="1"/>
  <c r="J1812" i="2"/>
  <c r="J1813" i="2" a="1"/>
  <c r="J1813" i="2" s="1"/>
  <c r="J1814" i="2" a="1"/>
  <c r="J1814" i="2" s="1"/>
  <c r="J1815" i="2" a="1"/>
  <c r="J1815" i="2"/>
  <c r="J1816" i="2" a="1"/>
  <c r="J1816" i="2"/>
  <c r="J1817" i="2" a="1"/>
  <c r="J1817" i="2"/>
  <c r="J1818" i="2" a="1"/>
  <c r="J1818" i="2"/>
  <c r="J1819" i="2" a="1"/>
  <c r="J1819" i="2" s="1"/>
  <c r="J1820" i="2" a="1"/>
  <c r="J1820" i="2" s="1"/>
  <c r="J1821" i="2" a="1"/>
  <c r="J1821" i="2"/>
  <c r="J1822" i="2" a="1"/>
  <c r="J1822" i="2"/>
  <c r="J1823" i="2" a="1"/>
  <c r="J1823" i="2"/>
  <c r="J1824" i="2" a="1"/>
  <c r="J1824" i="2"/>
  <c r="J1825" i="2" a="1"/>
  <c r="J1825" i="2"/>
  <c r="J1826" i="2" a="1"/>
  <c r="J1826" i="2" s="1"/>
  <c r="J1827" i="2" a="1"/>
  <c r="J1827" i="2" s="1"/>
  <c r="J1828" i="2" a="1"/>
  <c r="J1828" i="2"/>
  <c r="J1829" i="2" a="1"/>
  <c r="J1829" i="2"/>
  <c r="J1830" i="2" a="1"/>
  <c r="J1830" i="2"/>
  <c r="J1831" i="2" a="1"/>
  <c r="J1831" i="2"/>
  <c r="J1832" i="2" a="1"/>
  <c r="J1832" i="2" s="1"/>
  <c r="J1833" i="2" a="1"/>
  <c r="J1833" i="2" s="1"/>
  <c r="J1834" i="2" a="1"/>
  <c r="J1834" i="2"/>
  <c r="J1835" i="2" a="1"/>
  <c r="J1835" i="2"/>
  <c r="J1836" i="2" a="1"/>
  <c r="J1836" i="2"/>
  <c r="J1837" i="2" a="1"/>
  <c r="J1837" i="2"/>
  <c r="J1838" i="2" a="1"/>
  <c r="J1838" i="2"/>
  <c r="J1839" i="2" a="1"/>
  <c r="J1839" i="2" s="1"/>
  <c r="J1840" i="2" a="1"/>
  <c r="J1840" i="2"/>
  <c r="J1841" i="2" a="1"/>
  <c r="J1841" i="2"/>
  <c r="J1842" i="2" a="1"/>
  <c r="J1842" i="2"/>
  <c r="J1843" i="2" a="1"/>
  <c r="J1843" i="2"/>
  <c r="J1844" i="2" a="1"/>
  <c r="J1844" i="2"/>
  <c r="J1845" i="2" a="1"/>
  <c r="J1845" i="2" s="1"/>
  <c r="J1846" i="2" a="1"/>
  <c r="J1846" i="2"/>
  <c r="J1847" i="2" a="1"/>
  <c r="J1847" i="2"/>
  <c r="J1848" i="2" a="1"/>
  <c r="J1848" i="2"/>
  <c r="J1849" i="2" a="1"/>
  <c r="J1849" i="2"/>
  <c r="J1850" i="2" a="1"/>
  <c r="J1850" i="2"/>
  <c r="J1851" i="2" a="1"/>
  <c r="J1851" i="2" s="1"/>
  <c r="J1852" i="2" a="1"/>
  <c r="J1852" i="2"/>
  <c r="J1853" i="2" a="1"/>
  <c r="J1853" i="2"/>
  <c r="J1854" i="2" a="1"/>
  <c r="J1854" i="2"/>
  <c r="J1855" i="2" a="1"/>
  <c r="J1855" i="2"/>
  <c r="J1856" i="2" a="1"/>
  <c r="J1856" i="2"/>
  <c r="J1857" i="2" a="1"/>
  <c r="J1857" i="2" s="1"/>
  <c r="J1858" i="2" a="1"/>
  <c r="J1858" i="2"/>
  <c r="J1859" i="2" a="1"/>
  <c r="J1859" i="2"/>
  <c r="J1860" i="2" a="1"/>
  <c r="J1860" i="2"/>
  <c r="J1861" i="2" a="1"/>
  <c r="J1861" i="2"/>
  <c r="J1862" i="2" a="1"/>
  <c r="J1862" i="2"/>
  <c r="J1863" i="2" a="1"/>
  <c r="J1863" i="2" s="1"/>
  <c r="J1864" i="2" a="1"/>
  <c r="J1864" i="2"/>
  <c r="J1865" i="2" a="1"/>
  <c r="J1865" i="2"/>
  <c r="J1866" i="2" a="1"/>
  <c r="J1866" i="2"/>
  <c r="J1867" i="2" a="1"/>
  <c r="J1867" i="2"/>
  <c r="J1868" i="2" a="1"/>
  <c r="J1868" i="2"/>
  <c r="J1869" i="2" a="1"/>
  <c r="J1869" i="2" s="1"/>
  <c r="J1870" i="2" a="1"/>
  <c r="J1870" i="2"/>
  <c r="J1871" i="2" a="1"/>
  <c r="J1871" i="2"/>
  <c r="J1872" i="2" a="1"/>
  <c r="J1872" i="2"/>
  <c r="J1873" i="2" a="1"/>
  <c r="J1873" i="2"/>
  <c r="J1874" i="2" a="1"/>
  <c r="J1874" i="2"/>
  <c r="J1875" i="2" a="1"/>
  <c r="J1875" i="2" s="1"/>
  <c r="J1876" i="2" a="1"/>
  <c r="J1876" i="2"/>
  <c r="J1877" i="2" a="1"/>
  <c r="J1877" i="2"/>
  <c r="J1878" i="2" a="1"/>
  <c r="J1878" i="2"/>
  <c r="J1879" i="2" a="1"/>
  <c r="J1879" i="2"/>
  <c r="J1880" i="2" a="1"/>
  <c r="J1880" i="2"/>
  <c r="J1881" i="2" a="1"/>
  <c r="J1881" i="2" s="1"/>
  <c r="J1882" i="2" a="1"/>
  <c r="J1882" i="2"/>
  <c r="J1883" i="2" a="1"/>
  <c r="J1883" i="2"/>
  <c r="J1884" i="2" a="1"/>
  <c r="J1884" i="2"/>
  <c r="J1885" i="2" a="1"/>
  <c r="J1885" i="2"/>
  <c r="J1886" i="2" a="1"/>
  <c r="J1886" i="2"/>
  <c r="J1887" i="2" a="1"/>
  <c r="J1887" i="2" s="1"/>
  <c r="J1888" i="2" a="1"/>
  <c r="J1888" i="2"/>
  <c r="J1889" i="2" a="1"/>
  <c r="J1889" i="2"/>
  <c r="J1890" i="2" a="1"/>
  <c r="J1890" i="2"/>
  <c r="J1891" i="2" a="1"/>
  <c r="J1891" i="2"/>
  <c r="J1892" i="2" a="1"/>
  <c r="J1892" i="2"/>
  <c r="J1893" i="2" a="1"/>
  <c r="J1893" i="2" s="1"/>
  <c r="J1894" i="2" a="1"/>
  <c r="J1894" i="2"/>
  <c r="J1895" i="2" a="1"/>
  <c r="J1895" i="2"/>
  <c r="J1896" i="2" a="1"/>
  <c r="J1896" i="2"/>
  <c r="J1897" i="2" a="1"/>
  <c r="J1897" i="2"/>
  <c r="J1898" i="2" a="1"/>
  <c r="J1898" i="2"/>
  <c r="J1899" i="2" a="1"/>
  <c r="J1899" i="2" s="1"/>
  <c r="J1900" i="2" a="1"/>
  <c r="J1900" i="2"/>
  <c r="J1901" i="2" a="1"/>
  <c r="J1901" i="2"/>
  <c r="J1902" i="2" a="1"/>
  <c r="J1902" i="2"/>
  <c r="J1903" i="2" a="1"/>
  <c r="J1903" i="2"/>
  <c r="J1904" i="2" a="1"/>
  <c r="J1904" i="2"/>
  <c r="J1905" i="2" a="1"/>
  <c r="J1905" i="2" s="1"/>
  <c r="J1906" i="2" a="1"/>
  <c r="J1906" i="2"/>
  <c r="J1907" i="2" a="1"/>
  <c r="J1907" i="2"/>
  <c r="J1908" i="2" a="1"/>
  <c r="J1908" i="2"/>
  <c r="J1909" i="2" a="1"/>
  <c r="J1909" i="2"/>
  <c r="J1910" i="2" a="1"/>
  <c r="J1910" i="2"/>
  <c r="J1911" i="2" a="1"/>
  <c r="J1911" i="2" s="1"/>
  <c r="J1912" i="2" a="1"/>
  <c r="J1912" i="2"/>
  <c r="J1913" i="2" a="1"/>
  <c r="J1913" i="2"/>
  <c r="J1914" i="2" a="1"/>
  <c r="J1914" i="2"/>
  <c r="J1915" i="2" a="1"/>
  <c r="J1915" i="2"/>
  <c r="J1916" i="2" a="1"/>
  <c r="J1916" i="2"/>
  <c r="J1917" i="2" a="1"/>
  <c r="J1917" i="2" s="1"/>
  <c r="J1918" i="2" a="1"/>
  <c r="J1918" i="2"/>
  <c r="J1919" i="2" a="1"/>
  <c r="J1919" i="2"/>
  <c r="J1920" i="2" a="1"/>
  <c r="J1920" i="2"/>
  <c r="J1921" i="2" a="1"/>
  <c r="J1921" i="2"/>
  <c r="J1922" i="2" a="1"/>
  <c r="J1922" i="2"/>
  <c r="J1923" i="2" a="1"/>
  <c r="J1923" i="2" s="1"/>
  <c r="J1924" i="2" a="1"/>
  <c r="J1924" i="2"/>
  <c r="J1925" i="2" a="1"/>
  <c r="J1925" i="2"/>
  <c r="J1926" i="2" a="1"/>
  <c r="J1926" i="2"/>
  <c r="J1927" i="2" a="1"/>
  <c r="J1927" i="2"/>
  <c r="J1928" i="2" a="1"/>
  <c r="J1928" i="2"/>
  <c r="J1929" i="2" a="1"/>
  <c r="J1929" i="2" s="1"/>
  <c r="J1930" i="2" a="1"/>
  <c r="J1930" i="2"/>
  <c r="J1931" i="2" a="1"/>
  <c r="J1931" i="2"/>
  <c r="J1932" i="2" a="1"/>
  <c r="J1932" i="2"/>
  <c r="J1933" i="2" a="1"/>
  <c r="J1933" i="2"/>
  <c r="J1934" i="2" a="1"/>
  <c r="J1934" i="2"/>
  <c r="J1935" i="2" a="1"/>
  <c r="J1935" i="2" s="1"/>
  <c r="J1936" i="2" a="1"/>
  <c r="J1936" i="2"/>
  <c r="J1937" i="2" a="1"/>
  <c r="J1937" i="2"/>
  <c r="J1938" i="2" a="1"/>
  <c r="J1938" i="2"/>
  <c r="J1939" i="2" a="1"/>
  <c r="J1939" i="2"/>
  <c r="J1940" i="2" a="1"/>
  <c r="J1940" i="2"/>
  <c r="J1941" i="2" a="1"/>
  <c r="J1941" i="2" s="1"/>
  <c r="J1942" i="2" a="1"/>
  <c r="J1942" i="2"/>
  <c r="J1943" i="2" a="1"/>
  <c r="J1943" i="2"/>
  <c r="J1944" i="2" a="1"/>
  <c r="J1944" i="2"/>
  <c r="J1945" i="2" a="1"/>
  <c r="J1945" i="2"/>
  <c r="J1946" i="2" a="1"/>
  <c r="J1946" i="2"/>
  <c r="J1947" i="2" a="1"/>
  <c r="J1947" i="2" s="1"/>
  <c r="J1948" i="2" a="1"/>
  <c r="J1948" i="2"/>
  <c r="J1949" i="2" a="1"/>
  <c r="J1949" i="2"/>
  <c r="J1950" i="2" a="1"/>
  <c r="J1950" i="2"/>
  <c r="J1951" i="2" a="1"/>
  <c r="J1951" i="2"/>
  <c r="J1952" i="2" a="1"/>
  <c r="J1952" i="2"/>
  <c r="J1953" i="2" a="1"/>
  <c r="J1953" i="2" s="1"/>
  <c r="J1954" i="2" a="1"/>
  <c r="J1954" i="2"/>
  <c r="J1955" i="2" a="1"/>
  <c r="J1955" i="2"/>
  <c r="J1956" i="2" a="1"/>
  <c r="J1956" i="2"/>
  <c r="J1957" i="2" a="1"/>
  <c r="J1957" i="2"/>
  <c r="J1958" i="2" a="1"/>
  <c r="J1958" i="2"/>
  <c r="J1959" i="2" a="1"/>
  <c r="J1959" i="2" s="1"/>
  <c r="J1960" i="2" a="1"/>
  <c r="J1960" i="2"/>
  <c r="J1961" i="2" a="1"/>
  <c r="J1961" i="2"/>
  <c r="J1962" i="2" a="1"/>
  <c r="J1962" i="2"/>
  <c r="J1963" i="2" a="1"/>
  <c r="J1963" i="2"/>
  <c r="J1964" i="2" a="1"/>
  <c r="J1964" i="2"/>
  <c r="J1965" i="2" a="1"/>
  <c r="J1965" i="2" s="1"/>
  <c r="J1966" i="2" a="1"/>
  <c r="J1966" i="2"/>
  <c r="J1967" i="2" a="1"/>
  <c r="J1967" i="2"/>
  <c r="J1968" i="2" a="1"/>
  <c r="J1968" i="2"/>
  <c r="J1969" i="2" a="1"/>
  <c r="J1969" i="2"/>
  <c r="J1970" i="2" a="1"/>
  <c r="J1970" i="2"/>
  <c r="J1971" i="2" a="1"/>
  <c r="J1971" i="2" s="1"/>
  <c r="J1972" i="2" a="1"/>
  <c r="J1972" i="2"/>
  <c r="J1973" i="2" a="1"/>
  <c r="J1973" i="2"/>
  <c r="J1974" i="2" a="1"/>
  <c r="J1974" i="2"/>
  <c r="J1975" i="2" a="1"/>
  <c r="J1975" i="2"/>
  <c r="J1976" i="2" a="1"/>
  <c r="J1976" i="2"/>
  <c r="J1977" i="2" a="1"/>
  <c r="J1977" i="2" s="1"/>
  <c r="J1978" i="2" a="1"/>
  <c r="J1978" i="2"/>
  <c r="J1979" i="2" a="1"/>
  <c r="J1979" i="2"/>
  <c r="J1980" i="2" a="1"/>
  <c r="J1980" i="2"/>
  <c r="J1981" i="2" a="1"/>
  <c r="J1981" i="2"/>
  <c r="J1982" i="2" a="1"/>
  <c r="J1982" i="2"/>
  <c r="J1983" i="2" a="1"/>
  <c r="J1983" i="2" s="1"/>
  <c r="J1984" i="2" a="1"/>
  <c r="J1984" i="2"/>
  <c r="J1985" i="2" a="1"/>
  <c r="J1985" i="2"/>
  <c r="J1986" i="2" a="1"/>
  <c r="J1986" i="2"/>
  <c r="J1987" i="2" a="1"/>
  <c r="J1987" i="2"/>
  <c r="J1988" i="2" a="1"/>
  <c r="J1988" i="2"/>
  <c r="J1989" i="2" a="1"/>
  <c r="J1989" i="2" s="1"/>
  <c r="J1990" i="2" a="1"/>
  <c r="J1990" i="2"/>
  <c r="J1991" i="2" a="1"/>
  <c r="J1991" i="2"/>
  <c r="J1992" i="2" a="1"/>
  <c r="J1992" i="2"/>
  <c r="J1993" i="2" a="1"/>
  <c r="J1993" i="2"/>
  <c r="J1994" i="2" a="1"/>
  <c r="J1994" i="2"/>
  <c r="J1995" i="2" a="1"/>
  <c r="J1995" i="2" s="1"/>
  <c r="J1996" i="2" a="1"/>
  <c r="J1996" i="2"/>
  <c r="J1997" i="2" a="1"/>
  <c r="J1997" i="2"/>
  <c r="J1998" i="2" a="1"/>
  <c r="J1998" i="2"/>
  <c r="J1999" i="2" a="1"/>
  <c r="J1999" i="2"/>
  <c r="J2000" i="2" a="1"/>
  <c r="J2000" i="2"/>
  <c r="J2001" i="2" a="1"/>
  <c r="J2001" i="2" s="1"/>
  <c r="J2002" i="2" a="1"/>
  <c r="J2002" i="2"/>
  <c r="J2003" i="2" a="1"/>
  <c r="J2003" i="2"/>
  <c r="J2004" i="2" a="1"/>
  <c r="J2004" i="2"/>
  <c r="J2005" i="2" a="1"/>
  <c r="J2005" i="2"/>
  <c r="J2006" i="2" a="1"/>
  <c r="J2006" i="2"/>
  <c r="J2007" i="2" a="1"/>
  <c r="J2007" i="2" s="1"/>
  <c r="J2008" i="2" a="1"/>
  <c r="J2008" i="2"/>
  <c r="J2009" i="2" a="1"/>
  <c r="J2009" i="2"/>
  <c r="J2010" i="2" a="1"/>
  <c r="J2010" i="2"/>
  <c r="J2011" i="2" a="1"/>
  <c r="J2011" i="2"/>
  <c r="J2012" i="2" a="1"/>
  <c r="J2012" i="2"/>
  <c r="J2013" i="2" a="1"/>
  <c r="J2013" i="2" s="1"/>
  <c r="J2014" i="2" a="1"/>
  <c r="J2014" i="2"/>
  <c r="J2015" i="2" a="1"/>
  <c r="J2015" i="2"/>
  <c r="J2016" i="2" a="1"/>
  <c r="J2016" i="2"/>
  <c r="J2017" i="2" a="1"/>
  <c r="J2017" i="2"/>
  <c r="J2018" i="2" a="1"/>
  <c r="J2018" i="2"/>
  <c r="J2019" i="2" a="1"/>
  <c r="J2019" i="2" s="1"/>
  <c r="J2020" i="2" a="1"/>
  <c r="J2020" i="2"/>
  <c r="J2021" i="2" a="1"/>
  <c r="J2021" i="2"/>
  <c r="J2022" i="2" a="1"/>
  <c r="J2022" i="2"/>
  <c r="J2023" i="2" a="1"/>
  <c r="J2023" i="2"/>
  <c r="J2024" i="2" a="1"/>
  <c r="J2024" i="2"/>
  <c r="J2025" i="2" a="1"/>
  <c r="J2025" i="2" s="1"/>
  <c r="J2026" i="2" a="1"/>
  <c r="J2026" i="2"/>
  <c r="J2027" i="2" a="1"/>
  <c r="J2027" i="2"/>
  <c r="J2028" i="2" a="1"/>
  <c r="J2028" i="2"/>
  <c r="J2029" i="2" a="1"/>
  <c r="J2029" i="2"/>
  <c r="J2030" i="2" a="1"/>
  <c r="J2030" i="2"/>
  <c r="J2031" i="2" a="1"/>
  <c r="J2031" i="2" s="1"/>
  <c r="J2032" i="2" a="1"/>
  <c r="J2032" i="2"/>
  <c r="J2033" i="2" a="1"/>
  <c r="J2033" i="2"/>
  <c r="J2034" i="2" a="1"/>
  <c r="J2034" i="2"/>
  <c r="J2035" i="2" a="1"/>
  <c r="J2035" i="2"/>
  <c r="J2036" i="2" a="1"/>
  <c r="J2036" i="2"/>
  <c r="J2037" i="2" a="1"/>
  <c r="J2037" i="2" s="1"/>
  <c r="J2038" i="2" a="1"/>
  <c r="J2038" i="2"/>
  <c r="J2039" i="2" a="1"/>
  <c r="J2039" i="2"/>
  <c r="J2040" i="2" a="1"/>
  <c r="J2040" i="2"/>
  <c r="J2041" i="2" a="1"/>
  <c r="J2041" i="2"/>
  <c r="J2042" i="2" a="1"/>
  <c r="J2042" i="2"/>
  <c r="J2043" i="2" a="1"/>
  <c r="J2043" i="2" s="1"/>
  <c r="J2044" i="2" a="1"/>
  <c r="J2044" i="2"/>
  <c r="J2045" i="2" a="1"/>
  <c r="J2045" i="2"/>
  <c r="J2046" i="2" a="1"/>
  <c r="J2046" i="2"/>
  <c r="J2047" i="2" a="1"/>
  <c r="J2047" i="2"/>
  <c r="J2048" i="2" a="1"/>
  <c r="J2048" i="2"/>
  <c r="J2049" i="2" a="1"/>
  <c r="J2049" i="2" s="1"/>
  <c r="J2050" i="2" a="1"/>
  <c r="J2050" i="2"/>
  <c r="J2051" i="2" a="1"/>
  <c r="J2051" i="2"/>
  <c r="J2052" i="2" a="1"/>
  <c r="J2052" i="2"/>
  <c r="J2053" i="2" a="1"/>
  <c r="J2053" i="2"/>
  <c r="J2054" i="2" a="1"/>
  <c r="J2054" i="2"/>
  <c r="J2055" i="2" a="1"/>
  <c r="J2055" i="2" s="1"/>
  <c r="J2056" i="2" a="1"/>
  <c r="J2056" i="2"/>
  <c r="J2057" i="2" a="1"/>
  <c r="J2057" i="2"/>
  <c r="J2058" i="2" a="1"/>
  <c r="J2058" i="2"/>
  <c r="J2059" i="2" a="1"/>
  <c r="J2059" i="2"/>
  <c r="J2060" i="2" a="1"/>
  <c r="J2060" i="2"/>
  <c r="J2061" i="2" a="1"/>
  <c r="J2061" i="2" s="1"/>
  <c r="J2062" i="2" a="1"/>
  <c r="J2062" i="2"/>
  <c r="J2063" i="2" a="1"/>
  <c r="J2063" i="2"/>
  <c r="J2064" i="2" a="1"/>
  <c r="J2064" i="2"/>
  <c r="J2065" i="2" a="1"/>
  <c r="J2065" i="2"/>
  <c r="J2066" i="2" a="1"/>
  <c r="J2066" i="2"/>
  <c r="J2067" i="2" a="1"/>
  <c r="J2067" i="2" s="1"/>
  <c r="J2068" i="2" a="1"/>
  <c r="J2068" i="2"/>
  <c r="J2069" i="2" a="1"/>
  <c r="J2069" i="2"/>
  <c r="J2070" i="2" a="1"/>
  <c r="J2070" i="2"/>
  <c r="J2071" i="2" a="1"/>
  <c r="J2071" i="2"/>
  <c r="J2072" i="2" a="1"/>
  <c r="J2072" i="2"/>
  <c r="J2073" i="2" a="1"/>
  <c r="J2073" i="2" s="1"/>
  <c r="J2074" i="2" a="1"/>
  <c r="J2074" i="2"/>
  <c r="J2075" i="2" a="1"/>
  <c r="J2075" i="2"/>
  <c r="J2076" i="2" a="1"/>
  <c r="J2076" i="2"/>
  <c r="J2077" i="2" a="1"/>
  <c r="J2077" i="2"/>
  <c r="J2078" i="2" a="1"/>
  <c r="J2078" i="2"/>
  <c r="J2079" i="2" a="1"/>
  <c r="J2079" i="2" s="1"/>
  <c r="J2080" i="2" a="1"/>
  <c r="J2080" i="2"/>
  <c r="J2081" i="2" a="1"/>
  <c r="J2081" i="2"/>
  <c r="J2082" i="2" a="1"/>
  <c r="J2082" i="2"/>
  <c r="J2083" i="2" a="1"/>
  <c r="J2083" i="2"/>
  <c r="J2084" i="2" a="1"/>
  <c r="J2084" i="2"/>
  <c r="J2085" i="2" a="1"/>
  <c r="J2085" i="2" s="1"/>
  <c r="J2086" i="2" a="1"/>
  <c r="J2086" i="2"/>
  <c r="J2087" i="2" a="1"/>
  <c r="J2087" i="2"/>
  <c r="J2088" i="2" a="1"/>
  <c r="J2088" i="2"/>
  <c r="J2089" i="2" a="1"/>
  <c r="J2089" i="2"/>
  <c r="J2090" i="2" a="1"/>
  <c r="J2090" i="2"/>
  <c r="J2091" i="2" a="1"/>
  <c r="J2091" i="2" s="1"/>
  <c r="J2092" i="2" a="1"/>
  <c r="J2092" i="2"/>
  <c r="J2093" i="2" a="1"/>
  <c r="J2093" i="2"/>
  <c r="J2094" i="2" a="1"/>
  <c r="J2094" i="2"/>
  <c r="J2095" i="2" a="1"/>
  <c r="J2095" i="2"/>
  <c r="J2096" i="2" a="1"/>
  <c r="J2096" i="2"/>
  <c r="J2097" i="2" a="1"/>
  <c r="J2097" i="2" s="1"/>
  <c r="J2098" i="2" a="1"/>
  <c r="J2098" i="2"/>
  <c r="J2099" i="2" a="1"/>
  <c r="J2099" i="2"/>
  <c r="J2100" i="2" a="1"/>
  <c r="J2100" i="2"/>
  <c r="J2101" i="2" a="1"/>
  <c r="J2101" i="2"/>
  <c r="J2102" i="2" a="1"/>
  <c r="J2102" i="2"/>
  <c r="J2103" i="2" a="1"/>
  <c r="J2103" i="2" s="1"/>
  <c r="J2104" i="2" a="1"/>
  <c r="J2104" i="2"/>
  <c r="J2105" i="2" a="1"/>
  <c r="J2105" i="2"/>
  <c r="J2106" i="2" a="1"/>
  <c r="J2106" i="2"/>
  <c r="J2107" i="2" a="1"/>
  <c r="J2107" i="2"/>
  <c r="J2108" i="2" a="1"/>
  <c r="J2108" i="2"/>
  <c r="J2109" i="2" a="1"/>
  <c r="J2109" i="2" s="1"/>
  <c r="J2110" i="2" a="1"/>
  <c r="J2110" i="2"/>
  <c r="J2111" i="2" a="1"/>
  <c r="J2111" i="2"/>
  <c r="J2112" i="2" a="1"/>
  <c r="J2112" i="2"/>
  <c r="J2113" i="2" a="1"/>
  <c r="J2113" i="2"/>
  <c r="J2114" i="2" a="1"/>
  <c r="J2114" i="2"/>
  <c r="J2115" i="2" a="1"/>
  <c r="J2115" i="2" s="1"/>
  <c r="J2116" i="2" a="1"/>
  <c r="J2116" i="2"/>
  <c r="J2117" i="2" a="1"/>
  <c r="J2117" i="2"/>
  <c r="J2118" i="2" a="1"/>
  <c r="J2118" i="2"/>
  <c r="J2119" i="2" a="1"/>
  <c r="J2119" i="2"/>
  <c r="J2120" i="2" a="1"/>
  <c r="J2120" i="2"/>
  <c r="J2121" i="2" a="1"/>
  <c r="J2121" i="2" s="1"/>
  <c r="J2122" i="2" a="1"/>
  <c r="J2122" i="2"/>
  <c r="J2123" i="2" a="1"/>
  <c r="J2123" i="2"/>
  <c r="J2124" i="2" a="1"/>
  <c r="J2124" i="2"/>
  <c r="J2125" i="2" a="1"/>
  <c r="J2125" i="2"/>
  <c r="J2126" i="2" a="1"/>
  <c r="J2126" i="2"/>
  <c r="J2127" i="2" a="1"/>
  <c r="J2127" i="2" s="1"/>
  <c r="J2128" i="2" a="1"/>
  <c r="J2128" i="2"/>
  <c r="J2129" i="2" a="1"/>
  <c r="J2129" i="2"/>
  <c r="J2130" i="2" a="1"/>
  <c r="J2130" i="2"/>
  <c r="J2131" i="2" a="1"/>
  <c r="J2131" i="2"/>
  <c r="J2132" i="2" a="1"/>
  <c r="J2132" i="2"/>
  <c r="J2133" i="2" a="1"/>
  <c r="J2133" i="2" s="1"/>
  <c r="J2134" i="2" a="1"/>
  <c r="J2134" i="2"/>
  <c r="J2135" i="2" a="1"/>
  <c r="J2135" i="2"/>
  <c r="J2136" i="2" a="1"/>
  <c r="J2136" i="2"/>
  <c r="J2137" i="2" a="1"/>
  <c r="J2137" i="2"/>
  <c r="J2138" i="2" a="1"/>
  <c r="J2138" i="2"/>
  <c r="J2139" i="2" a="1"/>
  <c r="J2139" i="2" s="1"/>
  <c r="J2140" i="2" a="1"/>
  <c r="J2140" i="2"/>
  <c r="J2141" i="2" a="1"/>
  <c r="J2141" i="2"/>
  <c r="J2142" i="2" a="1"/>
  <c r="J2142" i="2"/>
  <c r="J2143" i="2" a="1"/>
  <c r="J2143" i="2"/>
  <c r="J2144" i="2" a="1"/>
  <c r="J2144" i="2"/>
  <c r="J2145" i="2" a="1"/>
  <c r="J2145" i="2" s="1"/>
  <c r="J2146" i="2" a="1"/>
  <c r="J2146" i="2"/>
  <c r="J2147" i="2" a="1"/>
  <c r="J2147" i="2"/>
  <c r="J2148" i="2" a="1"/>
  <c r="J2148" i="2"/>
  <c r="J2149" i="2" a="1"/>
  <c r="J2149" i="2"/>
  <c r="J2150" i="2" a="1"/>
  <c r="J2150" i="2"/>
  <c r="J2151" i="2" a="1"/>
  <c r="J2151" i="2" s="1"/>
  <c r="J2152" i="2" a="1"/>
  <c r="J2152" i="2"/>
  <c r="J2153" i="2" a="1"/>
  <c r="J2153" i="2"/>
  <c r="J2154" i="2" a="1"/>
  <c r="J2154" i="2"/>
  <c r="J2155" i="2" a="1"/>
  <c r="J2155" i="2"/>
  <c r="J2156" i="2" a="1"/>
  <c r="J2156" i="2"/>
  <c r="J2157" i="2" a="1"/>
  <c r="J2157" i="2" s="1"/>
  <c r="J2158" i="2" a="1"/>
  <c r="J2158" i="2"/>
  <c r="J2159" i="2" a="1"/>
  <c r="J2159" i="2"/>
  <c r="J2160" i="2" a="1"/>
  <c r="J2160" i="2"/>
  <c r="J2161" i="2" a="1"/>
  <c r="J2161" i="2"/>
  <c r="J2162" i="2" a="1"/>
  <c r="J2162" i="2"/>
  <c r="J2163" i="2" a="1"/>
  <c r="J2163" i="2" s="1"/>
  <c r="J2164" i="2" a="1"/>
  <c r="J2164" i="2"/>
  <c r="J2165" i="2" a="1"/>
  <c r="J2165" i="2"/>
  <c r="J2166" i="2" a="1"/>
  <c r="J2166" i="2"/>
  <c r="J2167" i="2" a="1"/>
  <c r="J2167" i="2"/>
  <c r="J2168" i="2" a="1"/>
  <c r="J2168" i="2"/>
  <c r="J2169" i="2" a="1"/>
  <c r="J2169" i="2" s="1"/>
  <c r="J2170" i="2" a="1"/>
  <c r="J2170" i="2"/>
  <c r="J2171" i="2" a="1"/>
  <c r="J2171" i="2"/>
  <c r="J2172" i="2" a="1"/>
  <c r="J2172" i="2"/>
  <c r="J2173" i="2" a="1"/>
  <c r="J2173" i="2"/>
  <c r="J2174" i="2" a="1"/>
  <c r="J2174" i="2"/>
  <c r="J2175" i="2" a="1"/>
  <c r="J2175" i="2" s="1"/>
  <c r="J2176" i="2" a="1"/>
  <c r="J2176" i="2"/>
  <c r="J2177" i="2" a="1"/>
  <c r="J2177" i="2"/>
  <c r="J2178" i="2" a="1"/>
  <c r="J2178" i="2"/>
  <c r="J2179" i="2" a="1"/>
  <c r="J2179" i="2"/>
  <c r="J2180" i="2" a="1"/>
  <c r="J2180" i="2"/>
  <c r="J2181" i="2" a="1"/>
  <c r="J2181" i="2" s="1"/>
  <c r="J2182" i="2" a="1"/>
  <c r="J2182" i="2"/>
  <c r="J2183" i="2" a="1"/>
  <c r="J2183" i="2"/>
  <c r="J2184" i="2" a="1"/>
  <c r="J2184" i="2"/>
  <c r="J2185" i="2" a="1"/>
  <c r="J2185" i="2"/>
  <c r="J2186" i="2" a="1"/>
  <c r="J2186" i="2"/>
  <c r="J2187" i="2" a="1"/>
  <c r="J2187" i="2" s="1"/>
  <c r="J2188" i="2" a="1"/>
  <c r="J2188" i="2"/>
  <c r="J2189" i="2" a="1"/>
  <c r="J2189" i="2"/>
  <c r="J2190" i="2" a="1"/>
  <c r="J2190" i="2"/>
  <c r="J2191" i="2" a="1"/>
  <c r="J2191" i="2"/>
  <c r="J2192" i="2" a="1"/>
  <c r="J2192" i="2"/>
  <c r="J2193" i="2" a="1"/>
  <c r="J2193" i="2" s="1"/>
  <c r="J2194" i="2" a="1"/>
  <c r="J2194" i="2"/>
  <c r="J2195" i="2" a="1"/>
  <c r="J2195" i="2"/>
  <c r="J2196" i="2" a="1"/>
  <c r="J2196" i="2"/>
  <c r="J2197" i="2" a="1"/>
  <c r="J2197" i="2"/>
  <c r="J2198" i="2" a="1"/>
  <c r="J2198" i="2"/>
  <c r="J2199" i="2" a="1"/>
  <c r="J2199" i="2" s="1"/>
  <c r="J2200" i="2" a="1"/>
  <c r="J2200" i="2"/>
  <c r="J2201" i="2" a="1"/>
  <c r="J2201" i="2"/>
  <c r="J2202" i="2" a="1"/>
  <c r="J2202" i="2"/>
  <c r="J2203" i="2" a="1"/>
  <c r="J2203" i="2"/>
  <c r="J2204" i="2" a="1"/>
  <c r="J2204" i="2"/>
  <c r="J2205" i="2" a="1"/>
  <c r="J2205" i="2" s="1"/>
  <c r="J2206" i="2" a="1"/>
  <c r="J2206" i="2"/>
  <c r="J2207" i="2" a="1"/>
  <c r="J2207" i="2"/>
  <c r="J2208" i="2" a="1"/>
  <c r="J2208" i="2"/>
  <c r="J2209" i="2" a="1"/>
  <c r="J2209" i="2"/>
  <c r="J2210" i="2" a="1"/>
  <c r="J2210" i="2"/>
  <c r="J2211" i="2" a="1"/>
  <c r="J2211" i="2" s="1"/>
  <c r="J2212" i="2" a="1"/>
  <c r="J2212" i="2"/>
  <c r="J2213" i="2" a="1"/>
  <c r="J2213" i="2"/>
  <c r="J2214" i="2" a="1"/>
  <c r="J2214" i="2"/>
  <c r="J2215" i="2" a="1"/>
  <c r="J2215" i="2"/>
  <c r="J2216" i="2" a="1"/>
  <c r="J2216" i="2"/>
  <c r="J2217" i="2" a="1"/>
  <c r="J2217" i="2" s="1"/>
  <c r="J2218" i="2" a="1"/>
  <c r="J2218" i="2"/>
  <c r="J2219" i="2" a="1"/>
  <c r="J2219" i="2"/>
  <c r="J2220" i="2" a="1"/>
  <c r="J2220" i="2"/>
  <c r="J2221" i="2" a="1"/>
  <c r="J2221" i="2"/>
  <c r="J2222" i="2" a="1"/>
  <c r="J2222" i="2"/>
  <c r="J2223" i="2" a="1"/>
  <c r="J2223" i="2" s="1"/>
  <c r="J2224" i="2" a="1"/>
  <c r="J2224" i="2"/>
  <c r="J2225" i="2" a="1"/>
  <c r="J2225" i="2"/>
  <c r="J2226" i="2" a="1"/>
  <c r="J2226" i="2"/>
  <c r="J2227" i="2" a="1"/>
  <c r="J2227" i="2"/>
  <c r="J2228" i="2" a="1"/>
  <c r="J2228" i="2"/>
  <c r="J2229" i="2" a="1"/>
  <c r="J2229" i="2" s="1"/>
  <c r="J2230" i="2" a="1"/>
  <c r="J2230" i="2"/>
  <c r="J2231" i="2" a="1"/>
  <c r="J2231" i="2"/>
  <c r="J2232" i="2" a="1"/>
  <c r="J2232" i="2"/>
  <c r="J2233" i="2" a="1"/>
  <c r="J2233" i="2"/>
  <c r="J2234" i="2" a="1"/>
  <c r="J2234" i="2"/>
  <c r="J2235" i="2" a="1"/>
  <c r="J2235" i="2" s="1"/>
  <c r="J2236" i="2" a="1"/>
  <c r="J2236" i="2"/>
  <c r="J2237" i="2" a="1"/>
  <c r="J2237" i="2"/>
  <c r="J2238" i="2" a="1"/>
  <c r="J2238" i="2"/>
  <c r="J2239" i="2" a="1"/>
  <c r="J2239" i="2"/>
  <c r="J2240" i="2" a="1"/>
  <c r="J2240" i="2"/>
  <c r="J2241" i="2" a="1"/>
  <c r="J2241" i="2" s="1"/>
  <c r="J2242" i="2" a="1"/>
  <c r="J2242" i="2"/>
  <c r="J2243" i="2" a="1"/>
  <c r="J2243" i="2"/>
  <c r="J2244" i="2" a="1"/>
  <c r="J2244" i="2"/>
  <c r="J2245" i="2" a="1"/>
  <c r="J2245" i="2"/>
  <c r="J2246" i="2" a="1"/>
  <c r="J2246" i="2"/>
  <c r="J2247" i="2" a="1"/>
  <c r="J2247" i="2" s="1"/>
  <c r="J2248" i="2" a="1"/>
  <c r="J2248" i="2"/>
  <c r="J2249" i="2" a="1"/>
  <c r="J2249" i="2"/>
  <c r="J2250" i="2" a="1"/>
  <c r="J2250" i="2"/>
  <c r="J2251" i="2" a="1"/>
  <c r="J2251" i="2"/>
  <c r="J2252" i="2" a="1"/>
  <c r="J2252" i="2"/>
  <c r="J2253" i="2" a="1"/>
  <c r="J2253" i="2" s="1"/>
  <c r="J2254" i="2" a="1"/>
  <c r="J2254" i="2"/>
  <c r="J2255" i="2" a="1"/>
  <c r="J2255" i="2"/>
  <c r="J2256" i="2" a="1"/>
  <c r="J2256" i="2"/>
  <c r="J2257" i="2" a="1"/>
  <c r="J2257" i="2"/>
  <c r="J2258" i="2" a="1"/>
  <c r="J2258" i="2"/>
  <c r="J2259" i="2" a="1"/>
  <c r="J2259" i="2" s="1"/>
  <c r="J2260" i="2" a="1"/>
  <c r="J2260" i="2"/>
  <c r="J2261" i="2" a="1"/>
  <c r="J2261" i="2"/>
  <c r="J2262" i="2" a="1"/>
  <c r="J2262" i="2"/>
  <c r="J2263" i="2" a="1"/>
  <c r="J2263" i="2"/>
  <c r="J2264" i="2" a="1"/>
  <c r="J2264" i="2"/>
  <c r="J2265" i="2" a="1"/>
  <c r="J2265" i="2" s="1"/>
  <c r="J2266" i="2" a="1"/>
  <c r="J2266" i="2"/>
  <c r="J2267" i="2" a="1"/>
  <c r="J2267" i="2"/>
  <c r="J2268" i="2" a="1"/>
  <c r="J2268" i="2"/>
  <c r="J2269" i="2" a="1"/>
  <c r="J2269" i="2"/>
  <c r="J2270" i="2" a="1"/>
  <c r="J2270" i="2"/>
  <c r="J2271" i="2" a="1"/>
  <c r="J2271" i="2" s="1"/>
  <c r="J2272" i="2" a="1"/>
  <c r="J2272" i="2"/>
  <c r="J2273" i="2" a="1"/>
  <c r="J2273" i="2"/>
  <c r="J2274" i="2" a="1"/>
  <c r="J2274" i="2"/>
  <c r="J2275" i="2" a="1"/>
  <c r="J2275" i="2"/>
  <c r="J2276" i="2" a="1"/>
  <c r="J2276" i="2"/>
  <c r="J2277" i="2" a="1"/>
  <c r="J2277" i="2" s="1"/>
  <c r="J2278" i="2" a="1"/>
  <c r="J2278" i="2"/>
  <c r="J2279" i="2" a="1"/>
  <c r="J2279" i="2"/>
  <c r="J2280" i="2" a="1"/>
  <c r="J2280" i="2"/>
  <c r="J2281" i="2" a="1"/>
  <c r="J2281" i="2"/>
  <c r="J2282" i="2" a="1"/>
  <c r="J2282" i="2"/>
  <c r="J2283" i="2" a="1"/>
  <c r="J2283" i="2" s="1"/>
  <c r="J2284" i="2" a="1"/>
  <c r="J2284" i="2"/>
  <c r="J2285" i="2" a="1"/>
  <c r="J2285" i="2"/>
  <c r="J2286" i="2" a="1"/>
  <c r="J2286" i="2"/>
  <c r="J2287" i="2" a="1"/>
  <c r="J2287" i="2"/>
  <c r="J2288" i="2" a="1"/>
  <c r="J2288" i="2"/>
  <c r="J2289" i="2" a="1"/>
  <c r="J2289" i="2" s="1"/>
  <c r="J2290" i="2" a="1"/>
  <c r="J2290" i="2"/>
  <c r="J2291" i="2" a="1"/>
  <c r="J2291" i="2"/>
  <c r="J2292" i="2" a="1"/>
  <c r="J2292" i="2"/>
  <c r="J2293" i="2" a="1"/>
  <c r="J2293" i="2"/>
  <c r="J2294" i="2" a="1"/>
  <c r="J2294" i="2"/>
  <c r="J2295" i="2" a="1"/>
  <c r="J2295" i="2" s="1"/>
  <c r="J2296" i="2" a="1"/>
  <c r="J2296" i="2"/>
  <c r="J2297" i="2" a="1"/>
  <c r="J2297" i="2"/>
  <c r="J2298" i="2" a="1"/>
  <c r="J2298" i="2"/>
  <c r="J2299" i="2" a="1"/>
  <c r="J2299" i="2"/>
  <c r="J2300" i="2" a="1"/>
  <c r="J2300" i="2"/>
  <c r="J2301" i="2" a="1"/>
  <c r="J2301" i="2" s="1"/>
  <c r="J2302" i="2" a="1"/>
  <c r="J2302" i="2"/>
  <c r="J2303" i="2" a="1"/>
  <c r="J2303" i="2"/>
  <c r="J2304" i="2" a="1"/>
  <c r="J2304" i="2"/>
  <c r="J2305" i="2" a="1"/>
  <c r="J2305" i="2"/>
  <c r="J2306" i="2" a="1"/>
  <c r="J2306" i="2"/>
  <c r="J2307" i="2" a="1"/>
  <c r="J2307" i="2" s="1"/>
  <c r="J2308" i="2" a="1"/>
  <c r="J2308" i="2"/>
  <c r="J2309" i="2" a="1"/>
  <c r="J2309" i="2"/>
  <c r="J2310" i="2" a="1"/>
  <c r="J2310" i="2"/>
  <c r="J2311" i="2" a="1"/>
  <c r="J2311" i="2"/>
  <c r="J2312" i="2" a="1"/>
  <c r="J2312" i="2"/>
  <c r="J2313" i="2" a="1"/>
  <c r="J2313" i="2" s="1"/>
  <c r="J2314" i="2" a="1"/>
  <c r="J2314" i="2"/>
  <c r="J2315" i="2" a="1"/>
  <c r="J2315" i="2"/>
  <c r="J2316" i="2" a="1"/>
  <c r="J2316" i="2"/>
  <c r="J2317" i="2" a="1"/>
  <c r="J2317" i="2"/>
  <c r="J2318" i="2" a="1"/>
  <c r="J2318" i="2"/>
  <c r="J2319" i="2" a="1"/>
  <c r="J2319" i="2" s="1"/>
  <c r="J2320" i="2" a="1"/>
  <c r="J2320" i="2"/>
  <c r="J2321" i="2" a="1"/>
  <c r="J2321" i="2"/>
  <c r="J2322" i="2" a="1"/>
  <c r="J2322" i="2"/>
  <c r="J2323" i="2" a="1"/>
  <c r="J2323" i="2"/>
  <c r="J2324" i="2" a="1"/>
  <c r="J2324" i="2"/>
  <c r="J2325" i="2" a="1"/>
  <c r="J2325" i="2" s="1"/>
  <c r="J2326" i="2" a="1"/>
  <c r="J2326" i="2"/>
  <c r="J2327" i="2" a="1"/>
  <c r="J2327" i="2"/>
  <c r="J2328" i="2" a="1"/>
  <c r="J2328" i="2"/>
  <c r="J2329" i="2" a="1"/>
  <c r="J2329" i="2"/>
  <c r="J2330" i="2" a="1"/>
  <c r="J2330" i="2"/>
  <c r="J2331" i="2" a="1"/>
  <c r="J2331" i="2" s="1"/>
  <c r="J2332" i="2" a="1"/>
  <c r="J2332" i="2"/>
  <c r="J2333" i="2" a="1"/>
  <c r="J2333" i="2"/>
  <c r="J2334" i="2" a="1"/>
  <c r="J2334" i="2"/>
  <c r="J2335" i="2" a="1"/>
  <c r="J2335" i="2"/>
  <c r="J2336" i="2" a="1"/>
  <c r="J2336" i="2"/>
  <c r="J2" i="2" a="1"/>
  <c r="J2" i="2" s="1"/>
  <c r="I459" i="2" a="1"/>
  <c r="I459" i="2" s="1"/>
  <c r="I460" i="2" a="1"/>
  <c r="I460" i="2" s="1"/>
  <c r="I461" i="2" a="1"/>
  <c r="I461" i="2"/>
  <c r="I462" i="2" a="1"/>
  <c r="I462" i="2"/>
  <c r="I463" i="2" a="1"/>
  <c r="I463" i="2"/>
  <c r="I464" i="2" a="1"/>
  <c r="I464" i="2"/>
  <c r="I465" i="2" a="1"/>
  <c r="I465" i="2" s="1"/>
  <c r="I466" i="2" a="1"/>
  <c r="I466" i="2" s="1"/>
  <c r="I467" i="2" a="1"/>
  <c r="I467" i="2" s="1"/>
  <c r="I468" i="2" a="1"/>
  <c r="I468" i="2"/>
  <c r="I469" i="2" a="1"/>
  <c r="I469" i="2"/>
  <c r="I470" i="2" a="1"/>
  <c r="I470" i="2"/>
  <c r="I471" i="2" a="1"/>
  <c r="I471" i="2" s="1"/>
  <c r="I472" i="2" a="1"/>
  <c r="I472" i="2" s="1"/>
  <c r="I473" i="2" a="1"/>
  <c r="I473" i="2"/>
  <c r="I474" i="2" a="1"/>
  <c r="I474" i="2" s="1"/>
  <c r="I475" i="2" a="1"/>
  <c r="I475" i="2" s="1"/>
  <c r="I476" i="2" a="1"/>
  <c r="I476" i="2"/>
  <c r="I477" i="2" a="1"/>
  <c r="I477" i="2" s="1"/>
  <c r="I478" i="2" a="1"/>
  <c r="I478" i="2" s="1"/>
  <c r="I479" i="2" a="1"/>
  <c r="I479" i="2"/>
  <c r="I480" i="2" a="1"/>
  <c r="I480" i="2"/>
  <c r="I481" i="2" a="1"/>
  <c r="I481" i="2" s="1"/>
  <c r="I482" i="2" a="1"/>
  <c r="I482" i="2" s="1"/>
  <c r="I483" i="2" a="1"/>
  <c r="I483" i="2" s="1"/>
  <c r="I484" i="2" a="1"/>
  <c r="I484" i="2" s="1"/>
  <c r="I485" i="2" a="1"/>
  <c r="I485" i="2"/>
  <c r="I486" i="2" a="1"/>
  <c r="I486" i="2"/>
  <c r="I487" i="2" a="1"/>
  <c r="I487" i="2"/>
  <c r="I488" i="2" a="1"/>
  <c r="I488" i="2" s="1"/>
  <c r="I489" i="2" a="1"/>
  <c r="I489" i="2" s="1"/>
  <c r="I490" i="2" a="1"/>
  <c r="I490" i="2" s="1"/>
  <c r="I491" i="2" a="1"/>
  <c r="I491" i="2" s="1"/>
  <c r="I492" i="2" a="1"/>
  <c r="I492" i="2"/>
  <c r="I493" i="2" a="1"/>
  <c r="I493" i="2"/>
  <c r="I494" i="2" a="1"/>
  <c r="I494" i="2"/>
  <c r="I495" i="2" a="1"/>
  <c r="I495" i="2" s="1"/>
  <c r="I496" i="2" a="1"/>
  <c r="I496" i="2" s="1"/>
  <c r="I497" i="2" a="1"/>
  <c r="I497" i="2"/>
  <c r="I498" i="2" a="1"/>
  <c r="I498" i="2" s="1"/>
  <c r="I499" i="2" a="1"/>
  <c r="I499" i="2"/>
  <c r="I500" i="2" a="1"/>
  <c r="I500" i="2"/>
  <c r="I501" i="2" a="1"/>
  <c r="I501" i="2" s="1"/>
  <c r="I502" i="2" a="1"/>
  <c r="I502" i="2" s="1"/>
  <c r="I503" i="2" a="1"/>
  <c r="I503" i="2" s="1"/>
  <c r="I504" i="2" a="1"/>
  <c r="I504" i="2"/>
  <c r="I505" i="2" a="1"/>
  <c r="I505" i="2" s="1"/>
  <c r="I506" i="2" a="1"/>
  <c r="I506" i="2"/>
  <c r="I507" i="2" a="1"/>
  <c r="I507" i="2" s="1"/>
  <c r="I508" i="2" a="1"/>
  <c r="I508" i="2" s="1"/>
  <c r="I509" i="2" a="1"/>
  <c r="I509" i="2"/>
  <c r="I510" i="2" a="1"/>
  <c r="I510" i="2" s="1"/>
  <c r="I511" i="2" a="1"/>
  <c r="I511" i="2"/>
  <c r="I512" i="2" a="1"/>
  <c r="I512" i="2"/>
  <c r="I513" i="2" a="1"/>
  <c r="I513" i="2" s="1"/>
  <c r="I514" i="2" a="1"/>
  <c r="I514" i="2" s="1"/>
  <c r="I515" i="2" a="1"/>
  <c r="I515" i="2"/>
  <c r="I516" i="2" a="1"/>
  <c r="I516" i="2"/>
  <c r="I517" i="2" a="1"/>
  <c r="I517" i="2" s="1"/>
  <c r="I518" i="2" a="1"/>
  <c r="I518" i="2"/>
  <c r="I519" i="2" a="1"/>
  <c r="I519" i="2" s="1"/>
  <c r="I520" i="2" a="1"/>
  <c r="I520" i="2" s="1"/>
  <c r="I521" i="2" a="1"/>
  <c r="I521" i="2" s="1"/>
  <c r="I522" i="2" a="1"/>
  <c r="I522" i="2"/>
  <c r="I523" i="2" a="1"/>
  <c r="I523" i="2"/>
  <c r="I524" i="2" a="1"/>
  <c r="I524" i="2" s="1"/>
  <c r="I525" i="2" a="1"/>
  <c r="I525" i="2" s="1"/>
  <c r="I526" i="2" a="1"/>
  <c r="I526" i="2" s="1"/>
  <c r="I527" i="2" a="1"/>
  <c r="I527" i="2"/>
  <c r="I528" i="2" a="1"/>
  <c r="I528" i="2"/>
  <c r="I529" i="2" a="1"/>
  <c r="I529" i="2" s="1"/>
  <c r="I530" i="2" a="1"/>
  <c r="I530" i="2"/>
  <c r="I531" i="2" a="1"/>
  <c r="I531" i="2" s="1"/>
  <c r="I532" i="2" a="1"/>
  <c r="I532" i="2" s="1"/>
  <c r="I533" i="2" a="1"/>
  <c r="I533" i="2"/>
  <c r="I534" i="2" a="1"/>
  <c r="I534" i="2"/>
  <c r="I535" i="2" a="1"/>
  <c r="I535" i="2"/>
  <c r="I536" i="2" a="1"/>
  <c r="I536" i="2" s="1"/>
  <c r="I537" i="2" a="1"/>
  <c r="I537" i="2" s="1"/>
  <c r="I538" i="2" a="1"/>
  <c r="I538" i="2" s="1"/>
  <c r="I539" i="2" a="1"/>
  <c r="I539" i="2" s="1"/>
  <c r="I540" i="2" a="1"/>
  <c r="I540" i="2"/>
  <c r="I541" i="2" a="1"/>
  <c r="I541" i="2"/>
  <c r="I542" i="2" a="1"/>
  <c r="I542" i="2"/>
  <c r="I543" i="2" a="1"/>
  <c r="I543" i="2" s="1"/>
  <c r="I544" i="2" a="1"/>
  <c r="I544" i="2" s="1"/>
  <c r="I545" i="2" a="1"/>
  <c r="I545" i="2"/>
  <c r="I546" i="2" a="1"/>
  <c r="I546" i="2" s="1"/>
  <c r="I547" i="2" a="1"/>
  <c r="I547" i="2"/>
  <c r="I548" i="2" a="1"/>
  <c r="I548" i="2"/>
  <c r="I549" i="2" a="1"/>
  <c r="I549" i="2" s="1"/>
  <c r="I550" i="2" a="1"/>
  <c r="I550" i="2" s="1"/>
  <c r="I551" i="2" a="1"/>
  <c r="I551" i="2"/>
  <c r="I552" i="2" a="1"/>
  <c r="I552" i="2" s="1"/>
  <c r="I553" i="2" a="1"/>
  <c r="I553" i="2" s="1"/>
  <c r="I554" i="2" a="1"/>
  <c r="I554" i="2"/>
  <c r="I555" i="2" a="1"/>
  <c r="I555" i="2" s="1"/>
  <c r="I556" i="2" a="1"/>
  <c r="I556" i="2" s="1"/>
  <c r="I557" i="2" a="1"/>
  <c r="I557" i="2"/>
  <c r="I558" i="2" a="1"/>
  <c r="I558" i="2"/>
  <c r="I559" i="2" a="1"/>
  <c r="I559" i="2" s="1"/>
  <c r="I560" i="2" a="1"/>
  <c r="I560" i="2" s="1"/>
  <c r="I561" i="2" a="1"/>
  <c r="I561" i="2" s="1"/>
  <c r="I562" i="2" a="1"/>
  <c r="I562" i="2" s="1"/>
  <c r="I563" i="2" a="1"/>
  <c r="I563" i="2"/>
  <c r="I564" i="2" a="1"/>
  <c r="I564" i="2"/>
  <c r="I565" i="2" a="1"/>
  <c r="I565" i="2"/>
  <c r="I566" i="2" a="1"/>
  <c r="I566" i="2"/>
  <c r="I567" i="2" a="1"/>
  <c r="I567" i="2" s="1"/>
  <c r="I568" i="2" a="1"/>
  <c r="I568" i="2" s="1"/>
  <c r="I569" i="2" a="1"/>
  <c r="I569" i="2"/>
  <c r="I570" i="2" a="1"/>
  <c r="I570" i="2"/>
  <c r="I571" i="2" a="1"/>
  <c r="I571" i="2"/>
  <c r="I572" i="2" a="1"/>
  <c r="I572" i="2"/>
  <c r="I573" i="2" a="1"/>
  <c r="I573" i="2" s="1"/>
  <c r="I574" i="2" a="1"/>
  <c r="I574" i="2" s="1"/>
  <c r="I575" i="2" a="1"/>
  <c r="I575" i="2" s="1"/>
  <c r="I576" i="2" a="1"/>
  <c r="I576" i="2"/>
  <c r="I577" i="2" a="1"/>
  <c r="I577" i="2"/>
  <c r="I578" i="2" a="1"/>
  <c r="I578" i="2"/>
  <c r="I579" i="2" a="1"/>
  <c r="I579" i="2" s="1"/>
  <c r="I580" i="2" a="1"/>
  <c r="I580" i="2" s="1"/>
  <c r="I581" i="2" a="1"/>
  <c r="I581" i="2"/>
  <c r="I582" i="2" a="1"/>
  <c r="I582" i="2" s="1"/>
  <c r="I583" i="2" a="1"/>
  <c r="I583" i="2" s="1"/>
  <c r="I584" i="2" a="1"/>
  <c r="I584" i="2"/>
  <c r="I585" i="2" a="1"/>
  <c r="I585" i="2" s="1"/>
  <c r="I586" i="2" a="1"/>
  <c r="I586" i="2" s="1"/>
  <c r="I587" i="2" a="1"/>
  <c r="I587" i="2"/>
  <c r="I588" i="2" a="1"/>
  <c r="I588" i="2"/>
  <c r="I589" i="2" a="1"/>
  <c r="I589" i="2" s="1"/>
  <c r="I590" i="2" a="1"/>
  <c r="I590" i="2" s="1"/>
  <c r="I591" i="2" a="1"/>
  <c r="I591" i="2" s="1"/>
  <c r="I592" i="2" a="1"/>
  <c r="I592" i="2" s="1"/>
  <c r="I593" i="2" a="1"/>
  <c r="I593" i="2"/>
  <c r="I594" i="2" a="1"/>
  <c r="I594" i="2"/>
  <c r="I595" i="2" a="1"/>
  <c r="I595" i="2"/>
  <c r="I596" i="2" a="1"/>
  <c r="I596" i="2" s="1"/>
  <c r="I597" i="2" a="1"/>
  <c r="I597" i="2" s="1"/>
  <c r="I598" i="2" a="1"/>
  <c r="I598" i="2" s="1"/>
  <c r="I599" i="2" a="1"/>
  <c r="I599" i="2" s="1"/>
  <c r="I600" i="2" a="1"/>
  <c r="I600" i="2"/>
  <c r="I601" i="2" a="1"/>
  <c r="I601" i="2"/>
  <c r="I602" i="2" a="1"/>
  <c r="I602" i="2"/>
  <c r="I603" i="2" a="1"/>
  <c r="I603" i="2" s="1"/>
  <c r="I604" i="2" a="1"/>
  <c r="I604" i="2" s="1"/>
  <c r="I605" i="2" a="1"/>
  <c r="I605" i="2"/>
  <c r="I606" i="2" a="1"/>
  <c r="I606" i="2" s="1"/>
  <c r="I607" i="2" a="1"/>
  <c r="I607" i="2"/>
  <c r="I608" i="2" a="1"/>
  <c r="I608" i="2"/>
  <c r="I609" i="2" a="1"/>
  <c r="I609" i="2" s="1"/>
  <c r="I610" i="2" a="1"/>
  <c r="I610" i="2" s="1"/>
  <c r="I611" i="2" a="1"/>
  <c r="I611" i="2" s="1"/>
  <c r="I612" i="2" a="1"/>
  <c r="I612" i="2"/>
  <c r="I613" i="2" a="1"/>
  <c r="I613" i="2" s="1"/>
  <c r="I614" i="2" a="1"/>
  <c r="I614" i="2"/>
  <c r="I615" i="2" a="1"/>
  <c r="I615" i="2" s="1"/>
  <c r="I616" i="2" a="1"/>
  <c r="I616" i="2" s="1"/>
  <c r="I617" i="2" a="1"/>
  <c r="I617" i="2"/>
  <c r="I618" i="2" a="1"/>
  <c r="I618" i="2" s="1"/>
  <c r="I619" i="2" a="1"/>
  <c r="I619" i="2"/>
  <c r="I620" i="2" a="1"/>
  <c r="I620" i="2"/>
  <c r="I621" i="2" a="1"/>
  <c r="I621" i="2" s="1"/>
  <c r="I622" i="2" a="1"/>
  <c r="I622" i="2" s="1"/>
  <c r="I623" i="2" a="1"/>
  <c r="I623" i="2"/>
  <c r="I624" i="2" a="1"/>
  <c r="I624" i="2"/>
  <c r="I625" i="2" a="1"/>
  <c r="I625" i="2" s="1"/>
  <c r="I626" i="2" a="1"/>
  <c r="I626" i="2"/>
  <c r="I627" i="2" a="1"/>
  <c r="I627" i="2" s="1"/>
  <c r="I628" i="2" a="1"/>
  <c r="I628" i="2" s="1"/>
  <c r="I629" i="2" a="1"/>
  <c r="I629" i="2" s="1"/>
  <c r="I630" i="2" a="1"/>
  <c r="I630" i="2"/>
  <c r="I631" i="2" a="1"/>
  <c r="I631" i="2"/>
  <c r="I632" i="2" a="1"/>
  <c r="I632" i="2" s="1"/>
  <c r="I633" i="2" a="1"/>
  <c r="I633" i="2" s="1"/>
  <c r="I634" i="2" a="1"/>
  <c r="I634" i="2" s="1"/>
  <c r="I635" i="2" a="1"/>
  <c r="I635" i="2"/>
  <c r="I636" i="2" a="1"/>
  <c r="I636" i="2"/>
  <c r="I637" i="2" a="1"/>
  <c r="I637" i="2" s="1"/>
  <c r="I638" i="2" a="1"/>
  <c r="I638" i="2"/>
  <c r="I639" i="2" a="1"/>
  <c r="I639" i="2" s="1"/>
  <c r="I640" i="2" a="1"/>
  <c r="I640" i="2" s="1"/>
  <c r="I641" i="2" a="1"/>
  <c r="I641" i="2"/>
  <c r="I642" i="2" a="1"/>
  <c r="I642" i="2"/>
  <c r="I643" i="2" a="1"/>
  <c r="I643" i="2"/>
  <c r="I644" i="2" a="1"/>
  <c r="I644" i="2" s="1"/>
  <c r="I645" i="2" a="1"/>
  <c r="I645" i="2" s="1"/>
  <c r="I646" i="2" a="1"/>
  <c r="I646" i="2" s="1"/>
  <c r="I647" i="2" a="1"/>
  <c r="I647" i="2" s="1"/>
  <c r="I648" i="2" a="1"/>
  <c r="I648" i="2"/>
  <c r="I649" i="2" a="1"/>
  <c r="I649" i="2"/>
  <c r="I650" i="2" a="1"/>
  <c r="I650" i="2"/>
  <c r="I651" i="2" a="1"/>
  <c r="I651" i="2" s="1"/>
  <c r="I652" i="2" a="1"/>
  <c r="I652" i="2" s="1"/>
  <c r="I653" i="2" a="1"/>
  <c r="I653" i="2"/>
  <c r="I654" i="2" a="1"/>
  <c r="I654" i="2" s="1"/>
  <c r="I655" i="2" a="1"/>
  <c r="I655" i="2"/>
  <c r="I656" i="2" a="1"/>
  <c r="I656" i="2"/>
  <c r="I657" i="2" a="1"/>
  <c r="I657" i="2" s="1"/>
  <c r="I658" i="2" a="1"/>
  <c r="I658" i="2" s="1"/>
  <c r="I659" i="2" a="1"/>
  <c r="I659" i="2"/>
  <c r="I660" i="2" a="1"/>
  <c r="I660" i="2" s="1"/>
  <c r="I661" i="2" a="1"/>
  <c r="I661" i="2" s="1"/>
  <c r="I662" i="2" a="1"/>
  <c r="I662" i="2"/>
  <c r="I663" i="2" a="1"/>
  <c r="I663" i="2" s="1"/>
  <c r="I664" i="2" a="1"/>
  <c r="I664" i="2" s="1"/>
  <c r="I665" i="2" a="1"/>
  <c r="I665" i="2"/>
  <c r="I666" i="2" a="1"/>
  <c r="I666" i="2"/>
  <c r="I667" i="2" a="1"/>
  <c r="I667" i="2" s="1"/>
  <c r="I668" i="2" a="1"/>
  <c r="I668" i="2" s="1"/>
  <c r="I669" i="2" a="1"/>
  <c r="I669" i="2" s="1"/>
  <c r="I670" i="2" a="1"/>
  <c r="I670" i="2" s="1"/>
  <c r="I671" i="2" a="1"/>
  <c r="I671" i="2"/>
  <c r="I672" i="2" a="1"/>
  <c r="I672" i="2"/>
  <c r="I673" i="2" a="1"/>
  <c r="I673" i="2"/>
  <c r="I674" i="2" a="1"/>
  <c r="I674" i="2"/>
  <c r="I675" i="2" a="1"/>
  <c r="I675" i="2" s="1"/>
  <c r="I676" i="2" a="1"/>
  <c r="I676" i="2" s="1"/>
  <c r="I677" i="2" a="1"/>
  <c r="I677" i="2"/>
  <c r="I678" i="2" a="1"/>
  <c r="I678" i="2"/>
  <c r="I679" i="2" a="1"/>
  <c r="I679" i="2"/>
  <c r="I680" i="2" a="1"/>
  <c r="I680" i="2"/>
  <c r="I681" i="2" a="1"/>
  <c r="I681" i="2" s="1"/>
  <c r="I682" i="2" a="1"/>
  <c r="I682" i="2" s="1"/>
  <c r="I683" i="2" a="1"/>
  <c r="I683" i="2" s="1"/>
  <c r="I684" i="2" a="1"/>
  <c r="I684" i="2"/>
  <c r="I685" i="2" a="1"/>
  <c r="I685" i="2"/>
  <c r="I686" i="2" a="1"/>
  <c r="I686" i="2"/>
  <c r="I687" i="2" a="1"/>
  <c r="I687" i="2" s="1"/>
  <c r="I688" i="2" a="1"/>
  <c r="I688" i="2" s="1"/>
  <c r="I689" i="2" a="1"/>
  <c r="I689" i="2"/>
  <c r="I690" i="2" a="1"/>
  <c r="I690" i="2" s="1"/>
  <c r="I691" i="2" a="1"/>
  <c r="I691" i="2" s="1"/>
  <c r="I692" i="2" a="1"/>
  <c r="I692" i="2"/>
  <c r="I693" i="2" a="1"/>
  <c r="I693" i="2" s="1"/>
  <c r="I694" i="2" a="1"/>
  <c r="I694" i="2" s="1"/>
  <c r="I695" i="2" a="1"/>
  <c r="I695" i="2"/>
  <c r="I696" i="2" a="1"/>
  <c r="I696" i="2"/>
  <c r="I697" i="2" a="1"/>
  <c r="I697" i="2" s="1"/>
  <c r="I698" i="2" a="1"/>
  <c r="I698" i="2" s="1"/>
  <c r="I699" i="2" a="1"/>
  <c r="I699" i="2" s="1"/>
  <c r="I700" i="2" a="1"/>
  <c r="I700" i="2" s="1"/>
  <c r="I701" i="2" a="1"/>
  <c r="I701" i="2"/>
  <c r="I702" i="2" a="1"/>
  <c r="I702" i="2"/>
  <c r="I703" i="2" a="1"/>
  <c r="I703" i="2"/>
  <c r="I704" i="2" a="1"/>
  <c r="I704" i="2" s="1"/>
  <c r="I705" i="2" a="1"/>
  <c r="I705" i="2" s="1"/>
  <c r="I706" i="2" a="1"/>
  <c r="I706" i="2" s="1"/>
  <c r="I707" i="2" a="1"/>
  <c r="I707" i="2" s="1"/>
  <c r="I708" i="2" a="1"/>
  <c r="I708" i="2"/>
  <c r="I709" i="2" a="1"/>
  <c r="I709" i="2"/>
  <c r="I710" i="2" a="1"/>
  <c r="I710" i="2"/>
  <c r="I711" i="2" a="1"/>
  <c r="I711" i="2" s="1"/>
  <c r="I712" i="2" a="1"/>
  <c r="I712" i="2" s="1"/>
  <c r="I713" i="2" a="1"/>
  <c r="I713" i="2"/>
  <c r="I714" i="2" a="1"/>
  <c r="I714" i="2" s="1"/>
  <c r="I715" i="2" a="1"/>
  <c r="I715" i="2"/>
  <c r="I716" i="2" a="1"/>
  <c r="I716" i="2"/>
  <c r="I717" i="2" a="1"/>
  <c r="I717" i="2" s="1"/>
  <c r="I718" i="2" a="1"/>
  <c r="I718" i="2" s="1"/>
  <c r="I719" i="2" a="1"/>
  <c r="I719" i="2" s="1"/>
  <c r="I720" i="2" a="1"/>
  <c r="I720" i="2"/>
  <c r="I721" i="2" a="1"/>
  <c r="I721" i="2" s="1"/>
  <c r="I722" i="2" a="1"/>
  <c r="I722" i="2"/>
  <c r="I723" i="2" a="1"/>
  <c r="I723" i="2" s="1"/>
  <c r="I724" i="2" a="1"/>
  <c r="I724" i="2" s="1"/>
  <c r="I725" i="2" a="1"/>
  <c r="I725" i="2"/>
  <c r="I726" i="2" a="1"/>
  <c r="I726" i="2" s="1"/>
  <c r="I727" i="2" a="1"/>
  <c r="I727" i="2"/>
  <c r="I728" i="2" a="1"/>
  <c r="I728" i="2"/>
  <c r="I729" i="2" a="1"/>
  <c r="I729" i="2" s="1"/>
  <c r="I730" i="2" a="1"/>
  <c r="I730" i="2" s="1"/>
  <c r="I731" i="2" a="1"/>
  <c r="I731" i="2"/>
  <c r="I732" i="2" a="1"/>
  <c r="I732" i="2"/>
  <c r="I733" i="2" a="1"/>
  <c r="I733" i="2" s="1"/>
  <c r="I734" i="2" a="1"/>
  <c r="I734" i="2"/>
  <c r="I735" i="2" a="1"/>
  <c r="I735" i="2" s="1"/>
  <c r="I736" i="2" a="1"/>
  <c r="I736" i="2" s="1"/>
  <c r="I737" i="2" a="1"/>
  <c r="I737" i="2" s="1"/>
  <c r="I738" i="2" a="1"/>
  <c r="I738" i="2"/>
  <c r="I739" i="2" a="1"/>
  <c r="I739" i="2"/>
  <c r="I740" i="2" a="1"/>
  <c r="I740" i="2" s="1"/>
  <c r="I741" i="2" a="1"/>
  <c r="I741" i="2" s="1"/>
  <c r="I742" i="2" a="1"/>
  <c r="I742" i="2" s="1"/>
  <c r="I743" i="2" a="1"/>
  <c r="I743" i="2"/>
  <c r="I744" i="2" a="1"/>
  <c r="I744" i="2"/>
  <c r="I745" i="2" a="1"/>
  <c r="I745" i="2" s="1"/>
  <c r="I746" i="2" a="1"/>
  <c r="I746" i="2"/>
  <c r="I747" i="2" a="1"/>
  <c r="I747" i="2" s="1"/>
  <c r="I748" i="2" a="1"/>
  <c r="I748" i="2" s="1"/>
  <c r="I749" i="2" a="1"/>
  <c r="I749" i="2"/>
  <c r="I750" i="2" a="1"/>
  <c r="I750" i="2"/>
  <c r="I751" i="2" a="1"/>
  <c r="I751" i="2"/>
  <c r="I752" i="2" a="1"/>
  <c r="I752" i="2" s="1"/>
  <c r="I753" i="2" a="1"/>
  <c r="I753" i="2" s="1"/>
  <c r="I754" i="2" a="1"/>
  <c r="I754" i="2" s="1"/>
  <c r="I755" i="2" a="1"/>
  <c r="I755" i="2" s="1"/>
  <c r="I756" i="2" a="1"/>
  <c r="I756" i="2"/>
  <c r="I757" i="2" a="1"/>
  <c r="I757" i="2"/>
  <c r="I758" i="2" a="1"/>
  <c r="I758" i="2"/>
  <c r="I759" i="2" a="1"/>
  <c r="I759" i="2" s="1"/>
  <c r="I760" i="2" a="1"/>
  <c r="I760" i="2" s="1"/>
  <c r="I761" i="2" a="1"/>
  <c r="I761" i="2"/>
  <c r="I762" i="2" a="1"/>
  <c r="I762" i="2" s="1"/>
  <c r="I763" i="2" a="1"/>
  <c r="I763" i="2"/>
  <c r="I764" i="2" a="1"/>
  <c r="I764" i="2"/>
  <c r="I765" i="2" a="1"/>
  <c r="I765" i="2" s="1"/>
  <c r="I766" i="2" a="1"/>
  <c r="I766" i="2" s="1"/>
  <c r="I767" i="2" a="1"/>
  <c r="I767" i="2"/>
  <c r="I768" i="2" a="1"/>
  <c r="I768" i="2" s="1"/>
  <c r="I769" i="2" a="1"/>
  <c r="I769" i="2" s="1"/>
  <c r="I770" i="2" a="1"/>
  <c r="I770" i="2"/>
  <c r="I771" i="2" a="1"/>
  <c r="I771" i="2" s="1"/>
  <c r="I772" i="2" a="1"/>
  <c r="I772" i="2" s="1"/>
  <c r="I773" i="2" a="1"/>
  <c r="I773" i="2"/>
  <c r="I774" i="2" a="1"/>
  <c r="I774" i="2"/>
  <c r="I775" i="2" a="1"/>
  <c r="I775" i="2" s="1"/>
  <c r="I776" i="2" a="1"/>
  <c r="I776" i="2" s="1"/>
  <c r="I777" i="2" a="1"/>
  <c r="I777" i="2" s="1"/>
  <c r="I778" i="2" a="1"/>
  <c r="I778" i="2" s="1"/>
  <c r="I779" i="2" a="1"/>
  <c r="I779" i="2"/>
  <c r="I780" i="2" a="1"/>
  <c r="I780" i="2"/>
  <c r="I781" i="2" a="1"/>
  <c r="I781" i="2"/>
  <c r="I782" i="2" a="1"/>
  <c r="I782" i="2"/>
  <c r="I783" i="2" a="1"/>
  <c r="I783" i="2" s="1"/>
  <c r="I784" i="2" a="1"/>
  <c r="I784" i="2" s="1"/>
  <c r="I785" i="2" a="1"/>
  <c r="I785" i="2"/>
  <c r="I786" i="2" a="1"/>
  <c r="I786" i="2"/>
  <c r="I787" i="2" a="1"/>
  <c r="I787" i="2"/>
  <c r="I788" i="2" a="1"/>
  <c r="I788" i="2"/>
  <c r="I789" i="2" a="1"/>
  <c r="I789" i="2" s="1"/>
  <c r="I790" i="2" a="1"/>
  <c r="I790" i="2" s="1"/>
  <c r="I791" i="2" a="1"/>
  <c r="I791" i="2" s="1"/>
  <c r="I792" i="2" a="1"/>
  <c r="I792" i="2"/>
  <c r="I793" i="2" a="1"/>
  <c r="I793" i="2"/>
  <c r="I794" i="2" a="1"/>
  <c r="I794" i="2"/>
  <c r="I795" i="2" a="1"/>
  <c r="I795" i="2" s="1"/>
  <c r="I796" i="2" a="1"/>
  <c r="I796" i="2" s="1"/>
  <c r="I797" i="2" a="1"/>
  <c r="I797" i="2"/>
  <c r="I798" i="2" a="1"/>
  <c r="I798" i="2" s="1"/>
  <c r="I799" i="2" a="1"/>
  <c r="I799" i="2" s="1"/>
  <c r="I800" i="2" a="1"/>
  <c r="I800" i="2"/>
  <c r="I801" i="2" a="1"/>
  <c r="I801" i="2" s="1"/>
  <c r="I802" i="2" a="1"/>
  <c r="I802" i="2" s="1"/>
  <c r="I803" i="2" a="1"/>
  <c r="I803" i="2"/>
  <c r="I804" i="2" a="1"/>
  <c r="I804" i="2"/>
  <c r="I805" i="2" a="1"/>
  <c r="I805" i="2" s="1"/>
  <c r="I806" i="2" a="1"/>
  <c r="I806" i="2" s="1"/>
  <c r="I807" i="2" a="1"/>
  <c r="I807" i="2" s="1"/>
  <c r="I808" i="2" a="1"/>
  <c r="I808" i="2" s="1"/>
  <c r="I809" i="2" a="1"/>
  <c r="I809" i="2"/>
  <c r="I810" i="2" a="1"/>
  <c r="I810" i="2"/>
  <c r="I811" i="2" a="1"/>
  <c r="I811" i="2"/>
  <c r="I812" i="2" a="1"/>
  <c r="I812" i="2" s="1"/>
  <c r="I813" i="2" a="1"/>
  <c r="I813" i="2" s="1"/>
  <c r="I814" i="2" a="1"/>
  <c r="I814" i="2" s="1"/>
  <c r="I815" i="2" a="1"/>
  <c r="I815" i="2" s="1"/>
  <c r="I816" i="2" a="1"/>
  <c r="I816" i="2"/>
  <c r="I817" i="2" a="1"/>
  <c r="I817" i="2"/>
  <c r="I818" i="2" a="1"/>
  <c r="I818" i="2"/>
  <c r="I819" i="2" a="1"/>
  <c r="I819" i="2" s="1"/>
  <c r="I820" i="2" a="1"/>
  <c r="I820" i="2" s="1"/>
  <c r="I821" i="2" a="1"/>
  <c r="I821" i="2"/>
  <c r="I822" i="2" a="1"/>
  <c r="I822" i="2" s="1"/>
  <c r="I823" i="2" a="1"/>
  <c r="I823" i="2"/>
  <c r="I824" i="2" a="1"/>
  <c r="I824" i="2"/>
  <c r="I825" i="2" a="1"/>
  <c r="I825" i="2" s="1"/>
  <c r="I826" i="2" a="1"/>
  <c r="I826" i="2" s="1"/>
  <c r="I827" i="2" a="1"/>
  <c r="I827" i="2" s="1"/>
  <c r="I828" i="2" a="1"/>
  <c r="I828" i="2"/>
  <c r="I829" i="2" a="1"/>
  <c r="I829" i="2" s="1"/>
  <c r="I830" i="2" a="1"/>
  <c r="I830" i="2"/>
  <c r="I831" i="2" a="1"/>
  <c r="I831" i="2" s="1"/>
  <c r="I832" i="2" a="1"/>
  <c r="I832" i="2" s="1"/>
  <c r="I833" i="2" a="1"/>
  <c r="I833" i="2"/>
  <c r="I834" i="2" a="1"/>
  <c r="I834" i="2" s="1"/>
  <c r="I835" i="2" a="1"/>
  <c r="I835" i="2"/>
  <c r="I836" i="2" a="1"/>
  <c r="I836" i="2"/>
  <c r="I837" i="2" a="1"/>
  <c r="I837" i="2" s="1"/>
  <c r="I838" i="2" a="1"/>
  <c r="I838" i="2" s="1"/>
  <c r="I839" i="2" a="1"/>
  <c r="I839" i="2"/>
  <c r="I840" i="2" a="1"/>
  <c r="I840" i="2"/>
  <c r="I841" i="2" a="1"/>
  <c r="I841" i="2" s="1"/>
  <c r="I842" i="2" a="1"/>
  <c r="I842" i="2"/>
  <c r="I843" i="2" a="1"/>
  <c r="I843" i="2" s="1"/>
  <c r="I844" i="2" a="1"/>
  <c r="I844" i="2" s="1"/>
  <c r="I845" i="2" a="1"/>
  <c r="I845" i="2" s="1"/>
  <c r="I846" i="2" a="1"/>
  <c r="I846" i="2"/>
  <c r="I847" i="2" a="1"/>
  <c r="I847" i="2"/>
  <c r="I848" i="2" a="1"/>
  <c r="I848" i="2" s="1"/>
  <c r="I849" i="2" a="1"/>
  <c r="I849" i="2" s="1"/>
  <c r="I850" i="2" a="1"/>
  <c r="I850" i="2" s="1"/>
  <c r="I851" i="2" a="1"/>
  <c r="I851" i="2"/>
  <c r="I852" i="2" a="1"/>
  <c r="I852" i="2"/>
  <c r="I853" i="2" a="1"/>
  <c r="I853" i="2" s="1"/>
  <c r="I854" i="2" a="1"/>
  <c r="I854" i="2"/>
  <c r="I855" i="2" a="1"/>
  <c r="I855" i="2" s="1"/>
  <c r="I856" i="2" a="1"/>
  <c r="I856" i="2" s="1"/>
  <c r="I857" i="2" a="1"/>
  <c r="I857" i="2"/>
  <c r="I858" i="2" a="1"/>
  <c r="I858" i="2"/>
  <c r="I859" i="2" a="1"/>
  <c r="I859" i="2"/>
  <c r="I860" i="2" a="1"/>
  <c r="I860" i="2" s="1"/>
  <c r="I861" i="2" a="1"/>
  <c r="I861" i="2" s="1"/>
  <c r="I862" i="2" a="1"/>
  <c r="I862" i="2" s="1"/>
  <c r="I863" i="2" a="1"/>
  <c r="I863" i="2" s="1"/>
  <c r="I864" i="2" a="1"/>
  <c r="I864" i="2"/>
  <c r="I865" i="2" a="1"/>
  <c r="I865" i="2"/>
  <c r="I866" i="2" a="1"/>
  <c r="I866" i="2"/>
  <c r="I867" i="2" a="1"/>
  <c r="I867" i="2" s="1"/>
  <c r="I868" i="2" a="1"/>
  <c r="I868" i="2" s="1"/>
  <c r="I869" i="2" a="1"/>
  <c r="I869" i="2"/>
  <c r="I870" i="2" a="1"/>
  <c r="I870" i="2" s="1"/>
  <c r="I871" i="2" a="1"/>
  <c r="I871" i="2"/>
  <c r="I872" i="2" a="1"/>
  <c r="I872" i="2"/>
  <c r="I873" i="2" a="1"/>
  <c r="I873" i="2" s="1"/>
  <c r="I874" i="2" a="1"/>
  <c r="I874" i="2" s="1"/>
  <c r="I875" i="2" a="1"/>
  <c r="I875" i="2"/>
  <c r="I876" i="2" a="1"/>
  <c r="I876" i="2" s="1"/>
  <c r="I877" i="2" a="1"/>
  <c r="I877" i="2" s="1"/>
  <c r="I878" i="2" a="1"/>
  <c r="I878" i="2"/>
  <c r="I879" i="2" a="1"/>
  <c r="I879" i="2" s="1"/>
  <c r="I880" i="2" a="1"/>
  <c r="I880" i="2" s="1"/>
  <c r="I881" i="2" a="1"/>
  <c r="I881" i="2"/>
  <c r="I882" i="2" a="1"/>
  <c r="I882" i="2"/>
  <c r="I883" i="2" a="1"/>
  <c r="I883" i="2" s="1"/>
  <c r="I884" i="2" a="1"/>
  <c r="I884" i="2" s="1"/>
  <c r="I885" i="2" a="1"/>
  <c r="I885" i="2" s="1"/>
  <c r="I886" i="2" a="1"/>
  <c r="I886" i="2" s="1"/>
  <c r="I887" i="2" a="1"/>
  <c r="I887" i="2"/>
  <c r="I888" i="2" a="1"/>
  <c r="I888" i="2"/>
  <c r="I889" i="2" a="1"/>
  <c r="I889" i="2"/>
  <c r="I890" i="2" a="1"/>
  <c r="I890" i="2"/>
  <c r="I891" i="2" a="1"/>
  <c r="I891" i="2" s="1"/>
  <c r="I892" i="2" a="1"/>
  <c r="I892" i="2" s="1"/>
  <c r="I893" i="2" a="1"/>
  <c r="I893" i="2"/>
  <c r="I894" i="2" a="1"/>
  <c r="I894" i="2"/>
  <c r="I895" i="2" a="1"/>
  <c r="I895" i="2"/>
  <c r="I896" i="2" a="1"/>
  <c r="I896" i="2"/>
  <c r="I897" i="2" a="1"/>
  <c r="I897" i="2" s="1"/>
  <c r="I898" i="2" a="1"/>
  <c r="I898" i="2" s="1"/>
  <c r="I899" i="2" a="1"/>
  <c r="I899" i="2" s="1"/>
  <c r="I900" i="2" a="1"/>
  <c r="I900" i="2"/>
  <c r="I901" i="2" a="1"/>
  <c r="I901" i="2"/>
  <c r="I902" i="2" a="1"/>
  <c r="I902" i="2"/>
  <c r="I903" i="2" a="1"/>
  <c r="I903" i="2" s="1"/>
  <c r="I904" i="2" a="1"/>
  <c r="I904" i="2" s="1"/>
  <c r="I905" i="2" a="1"/>
  <c r="I905" i="2"/>
  <c r="I906" i="2" a="1"/>
  <c r="I906" i="2" s="1"/>
  <c r="I907" i="2" a="1"/>
  <c r="I907" i="2" s="1"/>
  <c r="I908" i="2" a="1"/>
  <c r="I908" i="2"/>
  <c r="I909" i="2" a="1"/>
  <c r="I909" i="2" s="1"/>
  <c r="I910" i="2" a="1"/>
  <c r="I910" i="2" s="1"/>
  <c r="I911" i="2" a="1"/>
  <c r="I911" i="2"/>
  <c r="I912" i="2" a="1"/>
  <c r="I912" i="2"/>
  <c r="I913" i="2" a="1"/>
  <c r="I913" i="2" s="1"/>
  <c r="I914" i="2" a="1"/>
  <c r="I914" i="2" s="1"/>
  <c r="I915" i="2" a="1"/>
  <c r="I915" i="2" s="1"/>
  <c r="I916" i="2" a="1"/>
  <c r="I916" i="2" s="1"/>
  <c r="I917" i="2" a="1"/>
  <c r="I917" i="2"/>
  <c r="I918" i="2" a="1"/>
  <c r="I918" i="2"/>
  <c r="I919" i="2" a="1"/>
  <c r="I919" i="2"/>
  <c r="I920" i="2" a="1"/>
  <c r="I920" i="2" s="1"/>
  <c r="I921" i="2" a="1"/>
  <c r="I921" i="2" s="1"/>
  <c r="I922" i="2" a="1"/>
  <c r="I922" i="2" s="1"/>
  <c r="I923" i="2" a="1"/>
  <c r="I923" i="2" s="1"/>
  <c r="I924" i="2" a="1"/>
  <c r="I924" i="2"/>
  <c r="I925" i="2" a="1"/>
  <c r="I925" i="2"/>
  <c r="I926" i="2" a="1"/>
  <c r="I926" i="2"/>
  <c r="I927" i="2" a="1"/>
  <c r="I927" i="2" s="1"/>
  <c r="I928" i="2" a="1"/>
  <c r="I928" i="2" s="1"/>
  <c r="I929" i="2" a="1"/>
  <c r="I929" i="2"/>
  <c r="I930" i="2" a="1"/>
  <c r="I930" i="2" s="1"/>
  <c r="I931" i="2" a="1"/>
  <c r="I931" i="2"/>
  <c r="I932" i="2" a="1"/>
  <c r="I932" i="2"/>
  <c r="I933" i="2" a="1"/>
  <c r="I933" i="2" s="1"/>
  <c r="I934" i="2" a="1"/>
  <c r="I934" i="2" s="1"/>
  <c r="I935" i="2" a="1"/>
  <c r="I935" i="2" s="1"/>
  <c r="I936" i="2" a="1"/>
  <c r="I936" i="2"/>
  <c r="I937" i="2" a="1"/>
  <c r="I937" i="2" s="1"/>
  <c r="I938" i="2" a="1"/>
  <c r="I938" i="2"/>
  <c r="I939" i="2" a="1"/>
  <c r="I939" i="2" s="1"/>
  <c r="I940" i="2" a="1"/>
  <c r="I940" i="2" s="1"/>
  <c r="I941" i="2" a="1"/>
  <c r="I941" i="2"/>
  <c r="I942" i="2" a="1"/>
  <c r="I942" i="2" s="1"/>
  <c r="I943" i="2" a="1"/>
  <c r="I943" i="2"/>
  <c r="I944" i="2" a="1"/>
  <c r="I944" i="2"/>
  <c r="I945" i="2" a="1"/>
  <c r="I945" i="2" s="1"/>
  <c r="I946" i="2" a="1"/>
  <c r="I946" i="2" s="1"/>
  <c r="I947" i="2" a="1"/>
  <c r="I947" i="2"/>
  <c r="I948" i="2" a="1"/>
  <c r="I948" i="2"/>
  <c r="I949" i="2" a="1"/>
  <c r="I949" i="2" s="1"/>
  <c r="I950" i="2" a="1"/>
  <c r="I950" i="2"/>
  <c r="I951" i="2" a="1"/>
  <c r="I951" i="2" s="1"/>
  <c r="I952" i="2" a="1"/>
  <c r="I952" i="2" s="1"/>
  <c r="I953" i="2" a="1"/>
  <c r="I953" i="2" s="1"/>
  <c r="I954" i="2" a="1"/>
  <c r="I954" i="2"/>
  <c r="I955" i="2" a="1"/>
  <c r="I955" i="2"/>
  <c r="I956" i="2" a="1"/>
  <c r="I956" i="2" s="1"/>
  <c r="I957" i="2" a="1"/>
  <c r="I957" i="2" s="1"/>
  <c r="I958" i="2" a="1"/>
  <c r="I958" i="2" s="1"/>
  <c r="I959" i="2" a="1"/>
  <c r="I959" i="2"/>
  <c r="I960" i="2" a="1"/>
  <c r="I960" i="2"/>
  <c r="I961" i="2" a="1"/>
  <c r="I961" i="2" s="1"/>
  <c r="I962" i="2" a="1"/>
  <c r="I962" i="2"/>
  <c r="I963" i="2" a="1"/>
  <c r="I963" i="2" s="1"/>
  <c r="I964" i="2" a="1"/>
  <c r="I964" i="2" s="1"/>
  <c r="I965" i="2" a="1"/>
  <c r="I965" i="2"/>
  <c r="I966" i="2" a="1"/>
  <c r="I966" i="2"/>
  <c r="I967" i="2" a="1"/>
  <c r="I967" i="2"/>
  <c r="I968" i="2" a="1"/>
  <c r="I968" i="2" s="1"/>
  <c r="I969" i="2" a="1"/>
  <c r="I969" i="2"/>
  <c r="I970" i="2" a="1"/>
  <c r="I970" i="2" s="1"/>
  <c r="I971" i="2" a="1"/>
  <c r="I971" i="2"/>
  <c r="I972" i="2" a="1"/>
  <c r="I972" i="2"/>
  <c r="I973" i="2" a="1"/>
  <c r="I973" i="2"/>
  <c r="I974" i="2" a="1"/>
  <c r="I974" i="2" s="1"/>
  <c r="I975" i="2" a="1"/>
  <c r="I975" i="2"/>
  <c r="I976" i="2" a="1"/>
  <c r="I976" i="2" s="1"/>
  <c r="I977" i="2" a="1"/>
  <c r="I977" i="2"/>
  <c r="I978" i="2" a="1"/>
  <c r="I978" i="2"/>
  <c r="I979" i="2" a="1"/>
  <c r="I979" i="2"/>
  <c r="I980" i="2" a="1"/>
  <c r="I980" i="2"/>
  <c r="I981" i="2" a="1"/>
  <c r="I981" i="2" s="1"/>
  <c r="I982" i="2" a="1"/>
  <c r="I982" i="2" s="1"/>
  <c r="I983" i="2" a="1"/>
  <c r="I983" i="2"/>
  <c r="I984" i="2" a="1"/>
  <c r="I984" i="2"/>
  <c r="I985" i="2" a="1"/>
  <c r="I985" i="2"/>
  <c r="I986" i="2" a="1"/>
  <c r="I986" i="2"/>
  <c r="I987" i="2" a="1"/>
  <c r="I987" i="2" s="1"/>
  <c r="I988" i="2" a="1"/>
  <c r="I988" i="2" s="1"/>
  <c r="I989" i="2" a="1"/>
  <c r="I989" i="2"/>
  <c r="I990" i="2" a="1"/>
  <c r="I990" i="2"/>
  <c r="I991" i="2" a="1"/>
  <c r="I991" i="2"/>
  <c r="I992" i="2" a="1"/>
  <c r="I992" i="2"/>
  <c r="I993" i="2" a="1"/>
  <c r="I993" i="2"/>
  <c r="I994" i="2" a="1"/>
  <c r="I994" i="2" s="1"/>
  <c r="I995" i="2" a="1"/>
  <c r="I995" i="2"/>
  <c r="I996" i="2" a="1"/>
  <c r="I996" i="2"/>
  <c r="I997" i="2" a="1"/>
  <c r="I997" i="2"/>
  <c r="I998" i="2" a="1"/>
  <c r="I998" i="2"/>
  <c r="I999" i="2" a="1"/>
  <c r="I999" i="2"/>
  <c r="I1000" i="2" a="1"/>
  <c r="I1000" i="2" s="1"/>
  <c r="I1001" i="2" a="1"/>
  <c r="I1001" i="2" s="1"/>
  <c r="I1002" i="2" a="1"/>
  <c r="I1002" i="2"/>
  <c r="I1003" i="2" a="1"/>
  <c r="I1003" i="2"/>
  <c r="I1004" i="2" a="1"/>
  <c r="I1004" i="2"/>
  <c r="I1005" i="2" a="1"/>
  <c r="I1005" i="2"/>
  <c r="I1006" i="2" a="1"/>
  <c r="I1006" i="2" s="1"/>
  <c r="I1007" i="2" a="1"/>
  <c r="I1007" i="2" s="1"/>
  <c r="I1008" i="2" a="1"/>
  <c r="I1008" i="2"/>
  <c r="I1009" i="2" a="1"/>
  <c r="I1009" i="2"/>
  <c r="I1010" i="2" a="1"/>
  <c r="I1010" i="2"/>
  <c r="I1011" i="2" a="1"/>
  <c r="I1011" i="2"/>
  <c r="I1012" i="2" a="1"/>
  <c r="I1012" i="2" s="1"/>
  <c r="I1013" i="2" a="1"/>
  <c r="I1013" i="2"/>
  <c r="I1014" i="2" a="1"/>
  <c r="I1014" i="2" s="1"/>
  <c r="I1015" i="2" a="1"/>
  <c r="I1015" i="2"/>
  <c r="I1016" i="2" a="1"/>
  <c r="I1016" i="2"/>
  <c r="I1017" i="2" a="1"/>
  <c r="I1017" i="2"/>
  <c r="I1018" i="2" a="1"/>
  <c r="I1018" i="2" s="1"/>
  <c r="I1019" i="2" a="1"/>
  <c r="I1019" i="2"/>
  <c r="I1020" i="2" a="1"/>
  <c r="I1020" i="2" s="1"/>
  <c r="I1021" i="2" a="1"/>
  <c r="I1021" i="2"/>
  <c r="I1022" i="2" a="1"/>
  <c r="I1022" i="2"/>
  <c r="I1023" i="2" a="1"/>
  <c r="I1023" i="2"/>
  <c r="I1024" i="2" a="1"/>
  <c r="I1024" i="2" s="1"/>
  <c r="I1025" i="2" a="1"/>
  <c r="I1025" i="2"/>
  <c r="I1026" i="2" a="1"/>
  <c r="I1026" i="2"/>
  <c r="I1027" i="2" a="1"/>
  <c r="I1027" i="2" s="1"/>
  <c r="I1028" i="2" a="1"/>
  <c r="I1028" i="2"/>
  <c r="I1029" i="2" a="1"/>
  <c r="I1029" i="2"/>
  <c r="I1030" i="2" a="1"/>
  <c r="I1030" i="2" s="1"/>
  <c r="I1031" i="2" a="1"/>
  <c r="I1031" i="2"/>
  <c r="I1032" i="2" a="1"/>
  <c r="I1032" i="2"/>
  <c r="I1033" i="2" a="1"/>
  <c r="I1033" i="2" s="1"/>
  <c r="I1034" i="2" a="1"/>
  <c r="I1034" i="2"/>
  <c r="I1035" i="2" a="1"/>
  <c r="I1035" i="2"/>
  <c r="I1036" i="2" a="1"/>
  <c r="I1036" i="2" s="1"/>
  <c r="I1037" i="2" a="1"/>
  <c r="I1037" i="2"/>
  <c r="I1038" i="2" a="1"/>
  <c r="I1038" i="2"/>
  <c r="I1039" i="2" a="1"/>
  <c r="I1039" i="2"/>
  <c r="I1040" i="2" a="1"/>
  <c r="I1040" i="2" s="1"/>
  <c r="I1041" i="2" a="1"/>
  <c r="I1041" i="2"/>
  <c r="I1042" i="2" a="1"/>
  <c r="I1042" i="2" s="1"/>
  <c r="I1043" i="2" a="1"/>
  <c r="I1043" i="2"/>
  <c r="I1044" i="2" a="1"/>
  <c r="I1044" i="2"/>
  <c r="I1045" i="2" a="1"/>
  <c r="I1045" i="2"/>
  <c r="I1046" i="2" a="1"/>
  <c r="I1046" i="2" s="1"/>
  <c r="I1047" i="2" a="1"/>
  <c r="I1047" i="2"/>
  <c r="I1048" i="2" a="1"/>
  <c r="I1048" i="2" s="1"/>
  <c r="I1049" i="2" a="1"/>
  <c r="I1049" i="2"/>
  <c r="I1050" i="2" a="1"/>
  <c r="I1050" i="2"/>
  <c r="I1051" i="2" a="1"/>
  <c r="I1051" i="2"/>
  <c r="I1052" i="2" a="1"/>
  <c r="I1052" i="2"/>
  <c r="I1053" i="2" a="1"/>
  <c r="I1053" i="2" s="1"/>
  <c r="I1054" i="2" a="1"/>
  <c r="I1054" i="2" s="1"/>
  <c r="I1055" i="2" a="1"/>
  <c r="I1055" i="2"/>
  <c r="I1056" i="2" a="1"/>
  <c r="I1056" i="2"/>
  <c r="I1057" i="2" a="1"/>
  <c r="I1057" i="2"/>
  <c r="I1058" i="2" a="1"/>
  <c r="I1058" i="2"/>
  <c r="I1059" i="2" a="1"/>
  <c r="I1059" i="2" s="1"/>
  <c r="I1060" i="2" a="1"/>
  <c r="I1060" i="2" s="1"/>
  <c r="I1061" i="2" a="1"/>
  <c r="I1061" i="2"/>
  <c r="I1062" i="2" a="1"/>
  <c r="I1062" i="2"/>
  <c r="I1063" i="2" a="1"/>
  <c r="I1063" i="2"/>
  <c r="I1064" i="2" a="1"/>
  <c r="I1064" i="2"/>
  <c r="I1065" i="2" a="1"/>
  <c r="I1065" i="2"/>
  <c r="I1066" i="2" a="1"/>
  <c r="I1066" i="2" s="1"/>
  <c r="I1067" i="2" a="1"/>
  <c r="I1067" i="2"/>
  <c r="I1068" i="2" a="1"/>
  <c r="I1068" i="2"/>
  <c r="I1069" i="2" a="1"/>
  <c r="I1069" i="2"/>
  <c r="I1070" i="2" a="1"/>
  <c r="I1070" i="2"/>
  <c r="I1071" i="2" a="1"/>
  <c r="I1071" i="2"/>
  <c r="I1072" i="2" a="1"/>
  <c r="I1072" i="2" s="1"/>
  <c r="I1073" i="2" a="1"/>
  <c r="I1073" i="2" s="1"/>
  <c r="I1074" i="2" a="1"/>
  <c r="I1074" i="2"/>
  <c r="I1075" i="2" a="1"/>
  <c r="I1075" i="2"/>
  <c r="I1076" i="2" a="1"/>
  <c r="I1076" i="2"/>
  <c r="I1077" i="2" a="1"/>
  <c r="I1077" i="2"/>
  <c r="I1078" i="2" a="1"/>
  <c r="I1078" i="2" s="1"/>
  <c r="I1079" i="2" a="1"/>
  <c r="I1079" i="2" s="1"/>
  <c r="I1080" i="2" a="1"/>
  <c r="I1080" i="2"/>
  <c r="I1081" i="2" a="1"/>
  <c r="I1081" i="2"/>
  <c r="I1082" i="2" a="1"/>
  <c r="I1082" i="2"/>
  <c r="I1083" i="2" a="1"/>
  <c r="I1083" i="2"/>
  <c r="I1084" i="2" a="1"/>
  <c r="I1084" i="2" s="1"/>
  <c r="I1085" i="2" a="1"/>
  <c r="I1085" i="2"/>
  <c r="I1086" i="2" a="1"/>
  <c r="I1086" i="2" s="1"/>
  <c r="I1087" i="2" a="1"/>
  <c r="I1087" i="2"/>
  <c r="I1088" i="2" a="1"/>
  <c r="I1088" i="2"/>
  <c r="I1089" i="2" a="1"/>
  <c r="I1089" i="2"/>
  <c r="I1090" i="2" a="1"/>
  <c r="I1090" i="2" s="1"/>
  <c r="I1091" i="2" a="1"/>
  <c r="I1091" i="2"/>
  <c r="I1092" i="2" a="1"/>
  <c r="I1092" i="2" s="1"/>
  <c r="I1093" i="2" a="1"/>
  <c r="I1093" i="2"/>
  <c r="I1094" i="2" a="1"/>
  <c r="I1094" i="2"/>
  <c r="I1095" i="2" a="1"/>
  <c r="I1095" i="2"/>
  <c r="I1096" i="2" a="1"/>
  <c r="I1096" i="2" s="1"/>
  <c r="I1097" i="2" a="1"/>
  <c r="I1097" i="2"/>
  <c r="I1098" i="2" a="1"/>
  <c r="I1098" i="2"/>
  <c r="I1099" i="2" a="1"/>
  <c r="I1099" i="2" s="1"/>
  <c r="I1100" i="2" a="1"/>
  <c r="I1100" i="2"/>
  <c r="I1101" i="2" a="1"/>
  <c r="I1101" i="2"/>
  <c r="I1102" i="2" a="1"/>
  <c r="I1102" i="2" s="1"/>
  <c r="I1103" i="2" a="1"/>
  <c r="I1103" i="2"/>
  <c r="I1104" i="2" a="1"/>
  <c r="I1104" i="2"/>
  <c r="I1105" i="2" a="1"/>
  <c r="I1105" i="2" s="1"/>
  <c r="I1106" i="2" a="1"/>
  <c r="I1106" i="2"/>
  <c r="I1107" i="2" a="1"/>
  <c r="I1107" i="2"/>
  <c r="I1108" i="2" a="1"/>
  <c r="I1108" i="2" s="1"/>
  <c r="I1109" i="2" a="1"/>
  <c r="I1109" i="2"/>
  <c r="I1110" i="2" a="1"/>
  <c r="I1110" i="2"/>
  <c r="I1111" i="2" a="1"/>
  <c r="I1111" i="2"/>
  <c r="I1112" i="2" a="1"/>
  <c r="I1112" i="2" s="1"/>
  <c r="I1113" i="2" a="1"/>
  <c r="I1113" i="2"/>
  <c r="I1114" i="2" a="1"/>
  <c r="I1114" i="2" s="1"/>
  <c r="I1115" i="2" a="1"/>
  <c r="I1115" i="2"/>
  <c r="I1116" i="2" a="1"/>
  <c r="I1116" i="2"/>
  <c r="I1117" i="2" a="1"/>
  <c r="I1117" i="2"/>
  <c r="I1118" i="2" a="1"/>
  <c r="I1118" i="2" s="1"/>
  <c r="I1119" i="2" a="1"/>
  <c r="I1119" i="2"/>
  <c r="I1120" i="2" a="1"/>
  <c r="I1120" i="2" s="1"/>
  <c r="I1121" i="2" a="1"/>
  <c r="I1121" i="2"/>
  <c r="I1122" i="2" a="1"/>
  <c r="I1122" i="2"/>
  <c r="I1123" i="2" a="1"/>
  <c r="I1123" i="2"/>
  <c r="I1124" i="2" a="1"/>
  <c r="I1124" i="2"/>
  <c r="I1125" i="2" a="1"/>
  <c r="I1125" i="2" s="1"/>
  <c r="I1126" i="2" a="1"/>
  <c r="I1126" i="2" s="1"/>
  <c r="I1127" i="2" a="1"/>
  <c r="I1127" i="2"/>
  <c r="I1128" i="2" a="1"/>
  <c r="I1128" i="2"/>
  <c r="I1129" i="2" a="1"/>
  <c r="I1129" i="2"/>
  <c r="I1130" i="2" a="1"/>
  <c r="I1130" i="2"/>
  <c r="I1131" i="2" a="1"/>
  <c r="I1131" i="2" s="1"/>
  <c r="I1132" i="2" a="1"/>
  <c r="I1132" i="2" s="1"/>
  <c r="I1133" i="2" a="1"/>
  <c r="I1133" i="2"/>
  <c r="I1134" i="2" a="1"/>
  <c r="I1134" i="2"/>
  <c r="I1135" i="2" a="1"/>
  <c r="I1135" i="2"/>
  <c r="I1136" i="2" a="1"/>
  <c r="I1136" i="2"/>
  <c r="I1137" i="2" a="1"/>
  <c r="I1137" i="2"/>
  <c r="I1138" i="2" a="1"/>
  <c r="I1138" i="2" s="1"/>
  <c r="I1139" i="2" a="1"/>
  <c r="I1139" i="2"/>
  <c r="I1140" i="2" a="1"/>
  <c r="I1140" i="2"/>
  <c r="I1141" i="2" a="1"/>
  <c r="I1141" i="2"/>
  <c r="I1142" i="2" a="1"/>
  <c r="I1142" i="2"/>
  <c r="I1143" i="2" a="1"/>
  <c r="I1143" i="2"/>
  <c r="I1144" i="2" a="1"/>
  <c r="I1144" i="2" s="1"/>
  <c r="I1145" i="2" a="1"/>
  <c r="I1145" i="2" s="1"/>
  <c r="I1146" i="2" a="1"/>
  <c r="I1146" i="2"/>
  <c r="I1147" i="2" a="1"/>
  <c r="I1147" i="2"/>
  <c r="I1148" i="2" a="1"/>
  <c r="I1148" i="2"/>
  <c r="I1149" i="2" a="1"/>
  <c r="I1149" i="2"/>
  <c r="I1150" i="2" a="1"/>
  <c r="I1150" i="2" s="1"/>
  <c r="I1151" i="2" a="1"/>
  <c r="I1151" i="2" s="1"/>
  <c r="I1152" i="2" a="1"/>
  <c r="I1152" i="2"/>
  <c r="I1153" i="2" a="1"/>
  <c r="I1153" i="2"/>
  <c r="I1154" i="2" a="1"/>
  <c r="I1154" i="2"/>
  <c r="I1155" i="2" a="1"/>
  <c r="I1155" i="2"/>
  <c r="I1156" i="2" a="1"/>
  <c r="I1156" i="2" s="1"/>
  <c r="I1157" i="2" a="1"/>
  <c r="I1157" i="2"/>
  <c r="I1158" i="2" a="1"/>
  <c r="I1158" i="2" s="1"/>
  <c r="I1159" i="2" a="1"/>
  <c r="I1159" i="2"/>
  <c r="I1160" i="2" a="1"/>
  <c r="I1160" i="2"/>
  <c r="I1161" i="2" a="1"/>
  <c r="I1161" i="2"/>
  <c r="I1162" i="2" a="1"/>
  <c r="I1162" i="2" s="1"/>
  <c r="I1163" i="2" a="1"/>
  <c r="I1163" i="2"/>
  <c r="I1164" i="2" a="1"/>
  <c r="I1164" i="2" s="1"/>
  <c r="I1165" i="2" a="1"/>
  <c r="I1165" i="2"/>
  <c r="I1166" i="2" a="1"/>
  <c r="I1166" i="2"/>
  <c r="I1167" i="2" a="1"/>
  <c r="I1167" i="2"/>
  <c r="I1168" i="2" a="1"/>
  <c r="I1168" i="2" s="1"/>
  <c r="I1169" i="2" a="1"/>
  <c r="I1169" i="2"/>
  <c r="I1170" i="2" a="1"/>
  <c r="I1170" i="2"/>
  <c r="I1171" i="2" a="1"/>
  <c r="I1171" i="2" s="1"/>
  <c r="I1172" i="2" a="1"/>
  <c r="I1172" i="2"/>
  <c r="I1173" i="2" a="1"/>
  <c r="I1173" i="2"/>
  <c r="I1174" i="2" a="1"/>
  <c r="I1174" i="2" s="1"/>
  <c r="I1175" i="2" a="1"/>
  <c r="I1175" i="2"/>
  <c r="I1176" i="2" a="1"/>
  <c r="I1176" i="2"/>
  <c r="I1177" i="2" a="1"/>
  <c r="I1177" i="2" s="1"/>
  <c r="I1178" i="2" a="1"/>
  <c r="I1178" i="2"/>
  <c r="I1179" i="2" a="1"/>
  <c r="I1179" i="2"/>
  <c r="I1180" i="2" a="1"/>
  <c r="I1180" i="2" s="1"/>
  <c r="I1181" i="2" a="1"/>
  <c r="I1181" i="2"/>
  <c r="I1182" i="2" a="1"/>
  <c r="I1182" i="2"/>
  <c r="I1183" i="2" a="1"/>
  <c r="I1183" i="2"/>
  <c r="I1184" i="2" a="1"/>
  <c r="I1184" i="2" s="1"/>
  <c r="I1185" i="2" a="1"/>
  <c r="I1185" i="2"/>
  <c r="I1186" i="2" a="1"/>
  <c r="I1186" i="2" s="1"/>
  <c r="I1187" i="2" a="1"/>
  <c r="I1187" i="2"/>
  <c r="I1188" i="2" a="1"/>
  <c r="I1188" i="2"/>
  <c r="I1189" i="2" a="1"/>
  <c r="I1189" i="2"/>
  <c r="I1190" i="2" a="1"/>
  <c r="I1190" i="2" s="1"/>
  <c r="I1191" i="2" a="1"/>
  <c r="I1191" i="2"/>
  <c r="I1192" i="2" a="1"/>
  <c r="I1192" i="2" s="1"/>
  <c r="I1193" i="2" a="1"/>
  <c r="I1193" i="2"/>
  <c r="I1194" i="2" a="1"/>
  <c r="I1194" i="2"/>
  <c r="I1195" i="2" a="1"/>
  <c r="I1195" i="2"/>
  <c r="I1196" i="2" a="1"/>
  <c r="I1196" i="2"/>
  <c r="I1197" i="2" a="1"/>
  <c r="I1197" i="2" s="1"/>
  <c r="I1198" i="2" a="1"/>
  <c r="I1198" i="2" s="1"/>
  <c r="I1199" i="2" a="1"/>
  <c r="I1199" i="2"/>
  <c r="I1200" i="2" a="1"/>
  <c r="I1200" i="2"/>
  <c r="I1201" i="2" a="1"/>
  <c r="I1201" i="2"/>
  <c r="I1202" i="2" a="1"/>
  <c r="I1202" i="2"/>
  <c r="I1203" i="2" a="1"/>
  <c r="I1203" i="2" s="1"/>
  <c r="I1204" i="2" a="1"/>
  <c r="I1204" i="2" s="1"/>
  <c r="I1205" i="2" a="1"/>
  <c r="I1205" i="2"/>
  <c r="I1206" i="2" a="1"/>
  <c r="I1206" i="2"/>
  <c r="I1207" i="2" a="1"/>
  <c r="I1207" i="2"/>
  <c r="I1208" i="2" a="1"/>
  <c r="I1208" i="2"/>
  <c r="I1209" i="2" a="1"/>
  <c r="I1209" i="2"/>
  <c r="I1210" i="2" a="1"/>
  <c r="I1210" i="2" s="1"/>
  <c r="I1211" i="2" a="1"/>
  <c r="I1211" i="2"/>
  <c r="I1212" i="2" a="1"/>
  <c r="I1212" i="2"/>
  <c r="I1213" i="2" a="1"/>
  <c r="I1213" i="2"/>
  <c r="I1214" i="2" a="1"/>
  <c r="I1214" i="2"/>
  <c r="I1215" i="2" a="1"/>
  <c r="I1215" i="2"/>
  <c r="I1216" i="2" a="1"/>
  <c r="I1216" i="2" s="1"/>
  <c r="I1217" i="2" a="1"/>
  <c r="I1217" i="2" s="1"/>
  <c r="I1218" i="2" a="1"/>
  <c r="I1218" i="2"/>
  <c r="I1219" i="2" a="1"/>
  <c r="I1219" i="2"/>
  <c r="I1220" i="2" a="1"/>
  <c r="I1220" i="2"/>
  <c r="I1221" i="2" a="1"/>
  <c r="I1221" i="2"/>
  <c r="I1222" i="2" a="1"/>
  <c r="I1222" i="2" s="1"/>
  <c r="I1223" i="2" a="1"/>
  <c r="I1223" i="2" s="1"/>
  <c r="I1224" i="2" a="1"/>
  <c r="I1224" i="2"/>
  <c r="I1225" i="2" a="1"/>
  <c r="I1225" i="2"/>
  <c r="I1226" i="2" a="1"/>
  <c r="I1226" i="2"/>
  <c r="I1227" i="2" a="1"/>
  <c r="I1227" i="2"/>
  <c r="I1228" i="2" a="1"/>
  <c r="I1228" i="2" s="1"/>
  <c r="I1229" i="2" a="1"/>
  <c r="I1229" i="2"/>
  <c r="I1230" i="2" a="1"/>
  <c r="I1230" i="2" s="1"/>
  <c r="I1231" i="2" a="1"/>
  <c r="I1231" i="2"/>
  <c r="I1232" i="2" a="1"/>
  <c r="I1232" i="2"/>
  <c r="I1233" i="2" a="1"/>
  <c r="I1233" i="2"/>
  <c r="I1234" i="2" a="1"/>
  <c r="I1234" i="2" s="1"/>
  <c r="I1235" i="2" a="1"/>
  <c r="I1235" i="2"/>
  <c r="I1236" i="2" a="1"/>
  <c r="I1236" i="2" s="1"/>
  <c r="I1237" i="2" a="1"/>
  <c r="I1237" i="2"/>
  <c r="I1238" i="2" a="1"/>
  <c r="I1238" i="2"/>
  <c r="I1239" i="2" a="1"/>
  <c r="I1239" i="2"/>
  <c r="I1240" i="2" a="1"/>
  <c r="I1240" i="2" s="1"/>
  <c r="I1241" i="2" a="1"/>
  <c r="I1241" i="2"/>
  <c r="I1242" i="2" a="1"/>
  <c r="I1242" i="2"/>
  <c r="I1243" i="2" a="1"/>
  <c r="I1243" i="2" s="1"/>
  <c r="I1244" i="2" a="1"/>
  <c r="I1244" i="2"/>
  <c r="I1245" i="2" a="1"/>
  <c r="I1245" i="2"/>
  <c r="I1246" i="2" a="1"/>
  <c r="I1246" i="2" s="1"/>
  <c r="I1247" i="2" a="1"/>
  <c r="I1247" i="2"/>
  <c r="I1248" i="2" a="1"/>
  <c r="I1248" i="2"/>
  <c r="I1249" i="2" a="1"/>
  <c r="I1249" i="2" s="1"/>
  <c r="I1250" i="2" a="1"/>
  <c r="I1250" i="2"/>
  <c r="I1251" i="2" a="1"/>
  <c r="I1251" i="2"/>
  <c r="I1252" i="2" a="1"/>
  <c r="I1252" i="2" s="1"/>
  <c r="I1253" i="2" a="1"/>
  <c r="I1253" i="2"/>
  <c r="I1254" i="2" a="1"/>
  <c r="I1254" i="2"/>
  <c r="I1255" i="2" a="1"/>
  <c r="I1255" i="2"/>
  <c r="I1256" i="2" a="1"/>
  <c r="I1256" i="2" s="1"/>
  <c r="I1257" i="2" a="1"/>
  <c r="I1257" i="2"/>
  <c r="I1258" i="2" a="1"/>
  <c r="I1258" i="2" s="1"/>
  <c r="I1259" i="2" a="1"/>
  <c r="I1259" i="2"/>
  <c r="I1260" i="2" a="1"/>
  <c r="I1260" i="2"/>
  <c r="I1261" i="2" a="1"/>
  <c r="I1261" i="2"/>
  <c r="I1262" i="2" a="1"/>
  <c r="I1262" i="2" s="1"/>
  <c r="I1263" i="2" a="1"/>
  <c r="I1263" i="2"/>
  <c r="I1264" i="2" a="1"/>
  <c r="I1264" i="2" s="1"/>
  <c r="I1265" i="2" a="1"/>
  <c r="I1265" i="2"/>
  <c r="I1266" i="2" a="1"/>
  <c r="I1266" i="2"/>
  <c r="I1267" i="2" a="1"/>
  <c r="I1267" i="2"/>
  <c r="I1268" i="2" a="1"/>
  <c r="I1268" i="2"/>
  <c r="I1269" i="2" a="1"/>
  <c r="I1269" i="2" s="1"/>
  <c r="I1270" i="2" a="1"/>
  <c r="I1270" i="2" s="1"/>
  <c r="I1271" i="2" a="1"/>
  <c r="I1271" i="2"/>
  <c r="I1272" i="2" a="1"/>
  <c r="I1272" i="2"/>
  <c r="I1273" i="2" a="1"/>
  <c r="I1273" i="2"/>
  <c r="I1274" i="2" a="1"/>
  <c r="I1274" i="2"/>
  <c r="I1275" i="2" a="1"/>
  <c r="I1275" i="2" s="1"/>
  <c r="I1276" i="2" a="1"/>
  <c r="I1276" i="2" s="1"/>
  <c r="I1277" i="2" a="1"/>
  <c r="I1277" i="2"/>
  <c r="I1278" i="2" a="1"/>
  <c r="I1278" i="2"/>
  <c r="I1279" i="2" a="1"/>
  <c r="I1279" i="2"/>
  <c r="I1280" i="2" a="1"/>
  <c r="I1280" i="2"/>
  <c r="I1281" i="2" a="1"/>
  <c r="I1281" i="2"/>
  <c r="I1282" i="2" a="1"/>
  <c r="I1282" i="2" s="1"/>
  <c r="I1283" i="2" a="1"/>
  <c r="I1283" i="2"/>
  <c r="I1284" i="2" a="1"/>
  <c r="I1284" i="2"/>
  <c r="I1285" i="2" a="1"/>
  <c r="I1285" i="2"/>
  <c r="I1286" i="2" a="1"/>
  <c r="I1286" i="2"/>
  <c r="I1287" i="2" a="1"/>
  <c r="I1287" i="2"/>
  <c r="I1288" i="2" a="1"/>
  <c r="I1288" i="2" s="1"/>
  <c r="I1289" i="2" a="1"/>
  <c r="I1289" i="2" s="1"/>
  <c r="I1290" i="2" a="1"/>
  <c r="I1290" i="2"/>
  <c r="I1291" i="2" a="1"/>
  <c r="I1291" i="2"/>
  <c r="I1292" i="2" a="1"/>
  <c r="I1292" i="2"/>
  <c r="I1293" i="2" a="1"/>
  <c r="I1293" i="2"/>
  <c r="I1294" i="2" a="1"/>
  <c r="I1294" i="2" s="1"/>
  <c r="I1295" i="2" a="1"/>
  <c r="I1295" i="2" s="1"/>
  <c r="I1296" i="2" a="1"/>
  <c r="I1296" i="2"/>
  <c r="I1297" i="2" a="1"/>
  <c r="I1297" i="2"/>
  <c r="I1298" i="2" a="1"/>
  <c r="I1298" i="2"/>
  <c r="I1299" i="2" a="1"/>
  <c r="I1299" i="2"/>
  <c r="I1300" i="2" a="1"/>
  <c r="I1300" i="2" s="1"/>
  <c r="I1301" i="2" a="1"/>
  <c r="I1301" i="2"/>
  <c r="I1302" i="2" a="1"/>
  <c r="I1302" i="2" s="1"/>
  <c r="I1303" i="2" a="1"/>
  <c r="I1303" i="2"/>
  <c r="I1304" i="2" a="1"/>
  <c r="I1304" i="2"/>
  <c r="I1305" i="2" a="1"/>
  <c r="I1305" i="2"/>
  <c r="I1306" i="2" a="1"/>
  <c r="I1306" i="2" s="1"/>
  <c r="I1307" i="2" a="1"/>
  <c r="I1307" i="2"/>
  <c r="I1308" i="2" a="1"/>
  <c r="I1308" i="2" s="1"/>
  <c r="I1309" i="2" a="1"/>
  <c r="I1309" i="2"/>
  <c r="I1310" i="2" a="1"/>
  <c r="I1310" i="2"/>
  <c r="I1311" i="2" a="1"/>
  <c r="I1311" i="2"/>
  <c r="I1312" i="2" a="1"/>
  <c r="I1312" i="2" s="1"/>
  <c r="I1313" i="2" a="1"/>
  <c r="I1313" i="2"/>
  <c r="I1314" i="2" a="1"/>
  <c r="I1314" i="2"/>
  <c r="I1315" i="2" a="1"/>
  <c r="I1315" i="2" s="1"/>
  <c r="I1316" i="2" a="1"/>
  <c r="I1316" i="2"/>
  <c r="I1317" i="2" a="1"/>
  <c r="I1317" i="2"/>
  <c r="I1318" i="2" a="1"/>
  <c r="I1318" i="2" s="1"/>
  <c r="I1319" i="2" a="1"/>
  <c r="I1319" i="2"/>
  <c r="I1320" i="2" a="1"/>
  <c r="I1320" i="2"/>
  <c r="I1321" i="2" a="1"/>
  <c r="I1321" i="2" s="1"/>
  <c r="I1322" i="2" a="1"/>
  <c r="I1322" i="2"/>
  <c r="I1323" i="2" a="1"/>
  <c r="I1323" i="2"/>
  <c r="I1324" i="2" a="1"/>
  <c r="I1324" i="2" s="1"/>
  <c r="I1325" i="2" a="1"/>
  <c r="I1325" i="2"/>
  <c r="I1326" i="2" a="1"/>
  <c r="I1326" i="2"/>
  <c r="I1327" i="2" a="1"/>
  <c r="I1327" i="2"/>
  <c r="I1328" i="2" a="1"/>
  <c r="I1328" i="2" s="1"/>
  <c r="I1329" i="2" a="1"/>
  <c r="I1329" i="2"/>
  <c r="I1330" i="2" a="1"/>
  <c r="I1330" i="2" s="1"/>
  <c r="I1331" i="2" a="1"/>
  <c r="I1331" i="2"/>
  <c r="I1332" i="2" a="1"/>
  <c r="I1332" i="2"/>
  <c r="I1333" i="2" a="1"/>
  <c r="I1333" i="2"/>
  <c r="I1334" i="2" a="1"/>
  <c r="I1334" i="2" s="1"/>
  <c r="I1335" i="2" a="1"/>
  <c r="I1335" i="2"/>
  <c r="I1336" i="2" a="1"/>
  <c r="I1336" i="2" s="1"/>
  <c r="I1337" i="2" a="1"/>
  <c r="I1337" i="2"/>
  <c r="I1338" i="2" a="1"/>
  <c r="I1338" i="2"/>
  <c r="I1339" i="2" a="1"/>
  <c r="I1339" i="2"/>
  <c r="I1340" i="2" a="1"/>
  <c r="I1340" i="2"/>
  <c r="I1341" i="2" a="1"/>
  <c r="I1341" i="2" s="1"/>
  <c r="I1342" i="2" a="1"/>
  <c r="I1342" i="2" s="1"/>
  <c r="I1343" i="2" a="1"/>
  <c r="I1343" i="2"/>
  <c r="I1344" i="2" a="1"/>
  <c r="I1344" i="2"/>
  <c r="I1345" i="2" a="1"/>
  <c r="I1345" i="2"/>
  <c r="I1346" i="2" a="1"/>
  <c r="I1346" i="2"/>
  <c r="I1347" i="2" a="1"/>
  <c r="I1347" i="2" s="1"/>
  <c r="I1348" i="2" a="1"/>
  <c r="I1348" i="2" s="1"/>
  <c r="I1349" i="2" a="1"/>
  <c r="I1349" i="2"/>
  <c r="I1350" i="2" a="1"/>
  <c r="I1350" i="2"/>
  <c r="I1351" i="2" a="1"/>
  <c r="I1351" i="2"/>
  <c r="I1352" i="2" a="1"/>
  <c r="I1352" i="2"/>
  <c r="I1353" i="2" a="1"/>
  <c r="I1353" i="2"/>
  <c r="I1354" i="2" a="1"/>
  <c r="I1354" i="2" s="1"/>
  <c r="I1355" i="2" a="1"/>
  <c r="I1355" i="2"/>
  <c r="I1356" i="2" a="1"/>
  <c r="I1356" i="2"/>
  <c r="I1357" i="2" a="1"/>
  <c r="I1357" i="2"/>
  <c r="I1358" i="2" a="1"/>
  <c r="I1358" i="2"/>
  <c r="I1359" i="2" a="1"/>
  <c r="I1359" i="2"/>
  <c r="I1360" i="2" a="1"/>
  <c r="I1360" i="2" s="1"/>
  <c r="I1361" i="2" a="1"/>
  <c r="I1361" i="2" s="1"/>
  <c r="I1362" i="2" a="1"/>
  <c r="I1362" i="2"/>
  <c r="I1363" i="2" a="1"/>
  <c r="I1363" i="2"/>
  <c r="I1364" i="2" a="1"/>
  <c r="I1364" i="2"/>
  <c r="I1365" i="2" a="1"/>
  <c r="I1365" i="2"/>
  <c r="I1366" i="2" a="1"/>
  <c r="I1366" i="2" s="1"/>
  <c r="I1367" i="2" a="1"/>
  <c r="I1367" i="2" s="1"/>
  <c r="I1368" i="2" a="1"/>
  <c r="I1368" i="2"/>
  <c r="I1369" i="2" a="1"/>
  <c r="I1369" i="2"/>
  <c r="I1370" i="2" a="1"/>
  <c r="I1370" i="2"/>
  <c r="I1371" i="2" a="1"/>
  <c r="I1371" i="2"/>
  <c r="I1372" i="2" a="1"/>
  <c r="I1372" i="2" s="1"/>
  <c r="I1373" i="2" a="1"/>
  <c r="I1373" i="2"/>
  <c r="I1374" i="2" a="1"/>
  <c r="I1374" i="2" s="1"/>
  <c r="I1375" i="2" a="1"/>
  <c r="I1375" i="2"/>
  <c r="I1376" i="2" a="1"/>
  <c r="I1376" i="2"/>
  <c r="I1377" i="2" a="1"/>
  <c r="I1377" i="2"/>
  <c r="I1378" i="2" a="1"/>
  <c r="I1378" i="2" s="1"/>
  <c r="I1379" i="2" a="1"/>
  <c r="I1379" i="2"/>
  <c r="I1380" i="2" a="1"/>
  <c r="I1380" i="2" s="1"/>
  <c r="I1381" i="2" a="1"/>
  <c r="I1381" i="2"/>
  <c r="I1382" i="2" a="1"/>
  <c r="I1382" i="2"/>
  <c r="I1383" i="2" a="1"/>
  <c r="I1383" i="2"/>
  <c r="I1384" i="2" a="1"/>
  <c r="I1384" i="2" s="1"/>
  <c r="I1385" i="2" a="1"/>
  <c r="I1385" i="2"/>
  <c r="I1386" i="2" a="1"/>
  <c r="I1386" i="2"/>
  <c r="I1387" i="2" a="1"/>
  <c r="I1387" i="2" s="1"/>
  <c r="I1388" i="2" a="1"/>
  <c r="I1388" i="2"/>
  <c r="I1389" i="2" a="1"/>
  <c r="I1389" i="2"/>
  <c r="I1390" i="2" a="1"/>
  <c r="I1390" i="2" s="1"/>
  <c r="I1391" i="2" a="1"/>
  <c r="I1391" i="2"/>
  <c r="I1392" i="2" a="1"/>
  <c r="I1392" i="2"/>
  <c r="I1393" i="2" a="1"/>
  <c r="I1393" i="2" s="1"/>
  <c r="I1394" i="2" a="1"/>
  <c r="I1394" i="2"/>
  <c r="I1395" i="2" a="1"/>
  <c r="I1395" i="2"/>
  <c r="I1396" i="2" a="1"/>
  <c r="I1396" i="2" s="1"/>
  <c r="I1397" i="2" a="1"/>
  <c r="I1397" i="2"/>
  <c r="I1398" i="2" a="1"/>
  <c r="I1398" i="2"/>
  <c r="I1399" i="2" a="1"/>
  <c r="I1399" i="2"/>
  <c r="I1400" i="2" a="1"/>
  <c r="I1400" i="2" s="1"/>
  <c r="I1401" i="2" a="1"/>
  <c r="I1401" i="2"/>
  <c r="I1402" i="2" a="1"/>
  <c r="I1402" i="2" s="1"/>
  <c r="I1403" i="2" a="1"/>
  <c r="I1403" i="2"/>
  <c r="I1404" i="2" a="1"/>
  <c r="I1404" i="2"/>
  <c r="I1405" i="2" a="1"/>
  <c r="I1405" i="2"/>
  <c r="I1406" i="2" a="1"/>
  <c r="I1406" i="2" s="1"/>
  <c r="I1407" i="2" a="1"/>
  <c r="I1407" i="2"/>
  <c r="I1408" i="2" a="1"/>
  <c r="I1408" i="2" s="1"/>
  <c r="I1409" i="2" a="1"/>
  <c r="I1409" i="2"/>
  <c r="I1410" i="2" a="1"/>
  <c r="I1410" i="2"/>
  <c r="I1411" i="2" a="1"/>
  <c r="I1411" i="2"/>
  <c r="I1412" i="2" a="1"/>
  <c r="I1412" i="2"/>
  <c r="I1413" i="2" a="1"/>
  <c r="I1413" i="2" s="1"/>
  <c r="I1414" i="2" a="1"/>
  <c r="I1414" i="2" s="1"/>
  <c r="I1415" i="2" a="1"/>
  <c r="I1415" i="2"/>
  <c r="I1416" i="2" a="1"/>
  <c r="I1416" i="2"/>
  <c r="I1417" i="2" a="1"/>
  <c r="I1417" i="2"/>
  <c r="I1418" i="2" a="1"/>
  <c r="I1418" i="2"/>
  <c r="I1419" i="2" a="1"/>
  <c r="I1419" i="2" s="1"/>
  <c r="I1420" i="2" a="1"/>
  <c r="I1420" i="2" s="1"/>
  <c r="I1421" i="2" a="1"/>
  <c r="I1421" i="2"/>
  <c r="I1422" i="2" a="1"/>
  <c r="I1422" i="2"/>
  <c r="I1423" i="2" a="1"/>
  <c r="I1423" i="2"/>
  <c r="I1424" i="2" a="1"/>
  <c r="I1424" i="2"/>
  <c r="I1425" i="2" a="1"/>
  <c r="I1425" i="2"/>
  <c r="I1426" i="2" a="1"/>
  <c r="I1426" i="2" s="1"/>
  <c r="I1427" i="2" a="1"/>
  <c r="I1427" i="2"/>
  <c r="I1428" i="2" a="1"/>
  <c r="I1428" i="2"/>
  <c r="I1429" i="2" a="1"/>
  <c r="I1429" i="2"/>
  <c r="I1430" i="2" a="1"/>
  <c r="I1430" i="2"/>
  <c r="I1431" i="2" a="1"/>
  <c r="I1431" i="2"/>
  <c r="I1432" i="2" a="1"/>
  <c r="I1432" i="2" s="1"/>
  <c r="I1433" i="2" a="1"/>
  <c r="I1433" i="2" s="1"/>
  <c r="I1434" i="2" a="1"/>
  <c r="I1434" i="2"/>
  <c r="I1435" i="2" a="1"/>
  <c r="I1435" i="2"/>
  <c r="I1436" i="2" a="1"/>
  <c r="I1436" i="2"/>
  <c r="I1437" i="2" a="1"/>
  <c r="I1437" i="2"/>
  <c r="I1438" i="2" a="1"/>
  <c r="I1438" i="2" s="1"/>
  <c r="I1439" i="2" a="1"/>
  <c r="I1439" i="2" s="1"/>
  <c r="I1440" i="2" a="1"/>
  <c r="I1440" i="2"/>
  <c r="I1441" i="2" a="1"/>
  <c r="I1441" i="2"/>
  <c r="I1442" i="2" a="1"/>
  <c r="I1442" i="2"/>
  <c r="I1443" i="2" a="1"/>
  <c r="I1443" i="2"/>
  <c r="I1444" i="2" a="1"/>
  <c r="I1444" i="2" s="1"/>
  <c r="I1445" i="2" a="1"/>
  <c r="I1445" i="2"/>
  <c r="I1446" i="2" a="1"/>
  <c r="I1446" i="2" s="1"/>
  <c r="I1447" i="2" a="1"/>
  <c r="I1447" i="2"/>
  <c r="I1448" i="2" a="1"/>
  <c r="I1448" i="2"/>
  <c r="I1449" i="2" a="1"/>
  <c r="I1449" i="2"/>
  <c r="I1450" i="2" a="1"/>
  <c r="I1450" i="2" s="1"/>
  <c r="I1451" i="2" a="1"/>
  <c r="I1451" i="2"/>
  <c r="I1452" i="2" a="1"/>
  <c r="I1452" i="2" s="1"/>
  <c r="I1453" i="2" a="1"/>
  <c r="I1453" i="2"/>
  <c r="I1454" i="2" a="1"/>
  <c r="I1454" i="2"/>
  <c r="I1455" i="2" a="1"/>
  <c r="I1455" i="2"/>
  <c r="I1456" i="2" a="1"/>
  <c r="I1456" i="2" s="1"/>
  <c r="I1457" i="2" a="1"/>
  <c r="I1457" i="2"/>
  <c r="I1458" i="2" a="1"/>
  <c r="I1458" i="2"/>
  <c r="I1459" i="2" a="1"/>
  <c r="I1459" i="2" s="1"/>
  <c r="I1460" i="2" a="1"/>
  <c r="I1460" i="2"/>
  <c r="I1461" i="2" a="1"/>
  <c r="I1461" i="2"/>
  <c r="I1462" i="2" a="1"/>
  <c r="I1462" i="2" s="1"/>
  <c r="I1463" i="2" a="1"/>
  <c r="I1463" i="2"/>
  <c r="I1464" i="2" a="1"/>
  <c r="I1464" i="2"/>
  <c r="I1465" i="2" a="1"/>
  <c r="I1465" i="2" s="1"/>
  <c r="I1466" i="2" a="1"/>
  <c r="I1466" i="2"/>
  <c r="I1467" i="2" a="1"/>
  <c r="I1467" i="2"/>
  <c r="I1468" i="2" a="1"/>
  <c r="I1468" i="2" s="1"/>
  <c r="I1469" i="2" a="1"/>
  <c r="I1469" i="2"/>
  <c r="I1470" i="2" a="1"/>
  <c r="I1470" i="2"/>
  <c r="I1471" i="2" a="1"/>
  <c r="I1471" i="2"/>
  <c r="I1472" i="2" a="1"/>
  <c r="I1472" i="2" s="1"/>
  <c r="I1473" i="2" a="1"/>
  <c r="I1473" i="2"/>
  <c r="I1474" i="2" a="1"/>
  <c r="I1474" i="2" s="1"/>
  <c r="I1475" i="2" a="1"/>
  <c r="I1475" i="2"/>
  <c r="I1476" i="2" a="1"/>
  <c r="I1476" i="2"/>
  <c r="I1477" i="2" a="1"/>
  <c r="I1477" i="2"/>
  <c r="I1478" i="2" a="1"/>
  <c r="I1478" i="2" s="1"/>
  <c r="I1479" i="2" a="1"/>
  <c r="I1479" i="2"/>
  <c r="I1480" i="2" a="1"/>
  <c r="I1480" i="2" s="1"/>
  <c r="I1481" i="2" a="1"/>
  <c r="I1481" i="2"/>
  <c r="I1482" i="2" a="1"/>
  <c r="I1482" i="2"/>
  <c r="I1483" i="2" a="1"/>
  <c r="I1483" i="2"/>
  <c r="I1484" i="2" a="1"/>
  <c r="I1484" i="2"/>
  <c r="I1485" i="2" a="1"/>
  <c r="I1485" i="2" s="1"/>
  <c r="I1486" i="2" a="1"/>
  <c r="I1486" i="2" s="1"/>
  <c r="I1487" i="2" a="1"/>
  <c r="I1487" i="2"/>
  <c r="I1488" i="2" a="1"/>
  <c r="I1488" i="2"/>
  <c r="I1489" i="2" a="1"/>
  <c r="I1489" i="2"/>
  <c r="I1490" i="2" a="1"/>
  <c r="I1490" i="2"/>
  <c r="I1491" i="2" a="1"/>
  <c r="I1491" i="2" s="1"/>
  <c r="I1492" i="2" a="1"/>
  <c r="I1492" i="2" s="1"/>
  <c r="I1493" i="2" a="1"/>
  <c r="I1493" i="2"/>
  <c r="I1494" i="2" a="1"/>
  <c r="I1494" i="2"/>
  <c r="I1495" i="2" a="1"/>
  <c r="I1495" i="2"/>
  <c r="I1496" i="2" a="1"/>
  <c r="I1496" i="2"/>
  <c r="I1497" i="2" a="1"/>
  <c r="I1497" i="2"/>
  <c r="I1498" i="2" a="1"/>
  <c r="I1498" i="2" s="1"/>
  <c r="I1499" i="2" a="1"/>
  <c r="I1499" i="2"/>
  <c r="I1500" i="2" a="1"/>
  <c r="I1500" i="2"/>
  <c r="I1501" i="2" a="1"/>
  <c r="I1501" i="2"/>
  <c r="I1502" i="2" a="1"/>
  <c r="I1502" i="2"/>
  <c r="I1503" i="2" a="1"/>
  <c r="I1503" i="2"/>
  <c r="I1504" i="2" a="1"/>
  <c r="I1504" i="2" s="1"/>
  <c r="I1505" i="2" a="1"/>
  <c r="I1505" i="2" s="1"/>
  <c r="I1506" i="2" a="1"/>
  <c r="I1506" i="2"/>
  <c r="I1507" i="2" a="1"/>
  <c r="I1507" i="2"/>
  <c r="I1508" i="2" a="1"/>
  <c r="I1508" i="2"/>
  <c r="I1509" i="2" a="1"/>
  <c r="I1509" i="2"/>
  <c r="I1510" i="2" a="1"/>
  <c r="I1510" i="2" s="1"/>
  <c r="I1511" i="2" a="1"/>
  <c r="I1511" i="2" s="1"/>
  <c r="I1512" i="2" a="1"/>
  <c r="I1512" i="2"/>
  <c r="I1513" i="2" a="1"/>
  <c r="I1513" i="2"/>
  <c r="I1514" i="2" a="1"/>
  <c r="I1514" i="2"/>
  <c r="I1515" i="2" a="1"/>
  <c r="I1515" i="2"/>
  <c r="I1516" i="2" a="1"/>
  <c r="I1516" i="2" s="1"/>
  <c r="I1517" i="2" a="1"/>
  <c r="I1517" i="2"/>
  <c r="I1518" i="2" a="1"/>
  <c r="I1518" i="2" s="1"/>
  <c r="I1519" i="2" a="1"/>
  <c r="I1519" i="2"/>
  <c r="I1520" i="2" a="1"/>
  <c r="I1520" i="2"/>
  <c r="I1521" i="2" a="1"/>
  <c r="I1521" i="2"/>
  <c r="I1522" i="2" a="1"/>
  <c r="I1522" i="2" s="1"/>
  <c r="I1523" i="2" a="1"/>
  <c r="I1523" i="2"/>
  <c r="I1524" i="2" a="1"/>
  <c r="I1524" i="2" s="1"/>
  <c r="I1525" i="2" a="1"/>
  <c r="I1525" i="2"/>
  <c r="I1526" i="2" a="1"/>
  <c r="I1526" i="2"/>
  <c r="I1527" i="2" a="1"/>
  <c r="I1527" i="2"/>
  <c r="I1528" i="2" a="1"/>
  <c r="I1528" i="2" s="1"/>
  <c r="I1529" i="2" a="1"/>
  <c r="I1529" i="2"/>
  <c r="I1530" i="2" a="1"/>
  <c r="I1530" i="2"/>
  <c r="I1531" i="2" a="1"/>
  <c r="I1531" i="2" s="1"/>
  <c r="I1532" i="2" a="1"/>
  <c r="I1532" i="2"/>
  <c r="I1533" i="2" a="1"/>
  <c r="I1533" i="2"/>
  <c r="I1534" i="2" a="1"/>
  <c r="I1534" i="2" s="1"/>
  <c r="I1535" i="2" a="1"/>
  <c r="I1535" i="2"/>
  <c r="I1536" i="2" a="1"/>
  <c r="I1536" i="2"/>
  <c r="I1537" i="2" a="1"/>
  <c r="I1537" i="2" s="1"/>
  <c r="I1538" i="2" a="1"/>
  <c r="I1538" i="2"/>
  <c r="I1539" i="2" a="1"/>
  <c r="I1539" i="2"/>
  <c r="I1540" i="2" a="1"/>
  <c r="I1540" i="2" s="1"/>
  <c r="I1541" i="2" a="1"/>
  <c r="I1541" i="2"/>
  <c r="I1542" i="2" a="1"/>
  <c r="I1542" i="2"/>
  <c r="I1543" i="2" a="1"/>
  <c r="I1543" i="2"/>
  <c r="I1544" i="2" a="1"/>
  <c r="I1544" i="2" s="1"/>
  <c r="I1545" i="2" a="1"/>
  <c r="I1545" i="2"/>
  <c r="I1546" i="2" a="1"/>
  <c r="I1546" i="2" s="1"/>
  <c r="I1547" i="2" a="1"/>
  <c r="I1547" i="2"/>
  <c r="I1548" i="2" a="1"/>
  <c r="I1548" i="2"/>
  <c r="I1549" i="2" a="1"/>
  <c r="I1549" i="2"/>
  <c r="I1550" i="2" a="1"/>
  <c r="I1550" i="2" s="1"/>
  <c r="I1551" i="2" a="1"/>
  <c r="I1551" i="2"/>
  <c r="I1552" i="2" a="1"/>
  <c r="I1552" i="2" s="1"/>
  <c r="I1553" i="2" a="1"/>
  <c r="I1553" i="2"/>
  <c r="I1554" i="2" a="1"/>
  <c r="I1554" i="2"/>
  <c r="I1555" i="2" a="1"/>
  <c r="I1555" i="2"/>
  <c r="I1556" i="2" a="1"/>
  <c r="I1556" i="2"/>
  <c r="I1557" i="2" a="1"/>
  <c r="I1557" i="2" s="1"/>
  <c r="I1558" i="2" a="1"/>
  <c r="I1558" i="2" s="1"/>
  <c r="I1559" i="2" a="1"/>
  <c r="I1559" i="2"/>
  <c r="I1560" i="2" a="1"/>
  <c r="I1560" i="2"/>
  <c r="I1561" i="2" a="1"/>
  <c r="I1561" i="2"/>
  <c r="I1562" i="2" a="1"/>
  <c r="I1562" i="2"/>
  <c r="I1563" i="2" a="1"/>
  <c r="I1563" i="2" s="1"/>
  <c r="I1564" i="2" a="1"/>
  <c r="I1564" i="2" s="1"/>
  <c r="I1565" i="2" a="1"/>
  <c r="I1565" i="2"/>
  <c r="I1566" i="2" a="1"/>
  <c r="I1566" i="2"/>
  <c r="I1567" i="2" a="1"/>
  <c r="I1567" i="2"/>
  <c r="I1568" i="2" a="1"/>
  <c r="I1568" i="2"/>
  <c r="I1569" i="2" a="1"/>
  <c r="I1569" i="2"/>
  <c r="I1570" i="2" a="1"/>
  <c r="I1570" i="2" s="1"/>
  <c r="I1571" i="2" a="1"/>
  <c r="I1571" i="2"/>
  <c r="I1572" i="2" a="1"/>
  <c r="I1572" i="2"/>
  <c r="I1573" i="2" a="1"/>
  <c r="I1573" i="2"/>
  <c r="I1574" i="2" a="1"/>
  <c r="I1574" i="2"/>
  <c r="I1575" i="2" a="1"/>
  <c r="I1575" i="2"/>
  <c r="I1576" i="2" a="1"/>
  <c r="I1576" i="2" s="1"/>
  <c r="I1577" i="2" a="1"/>
  <c r="I1577" i="2" s="1"/>
  <c r="I1578" i="2" a="1"/>
  <c r="I1578" i="2"/>
  <c r="I1579" i="2" a="1"/>
  <c r="I1579" i="2"/>
  <c r="I1580" i="2" a="1"/>
  <c r="I1580" i="2"/>
  <c r="I1581" i="2" a="1"/>
  <c r="I1581" i="2"/>
  <c r="I1582" i="2" a="1"/>
  <c r="I1582" i="2" s="1"/>
  <c r="I1583" i="2" a="1"/>
  <c r="I1583" i="2" s="1"/>
  <c r="I1584" i="2" a="1"/>
  <c r="I1584" i="2"/>
  <c r="I1585" i="2" a="1"/>
  <c r="I1585" i="2"/>
  <c r="I1586" i="2" a="1"/>
  <c r="I1586" i="2"/>
  <c r="I1587" i="2" a="1"/>
  <c r="I1587" i="2"/>
  <c r="I1588" i="2" a="1"/>
  <c r="I1588" i="2" s="1"/>
  <c r="I1589" i="2" a="1"/>
  <c r="I1589" i="2"/>
  <c r="I1590" i="2" a="1"/>
  <c r="I1590" i="2" s="1"/>
  <c r="I1591" i="2" a="1"/>
  <c r="I1591" i="2"/>
  <c r="I1592" i="2" a="1"/>
  <c r="I1592" i="2"/>
  <c r="I1593" i="2" a="1"/>
  <c r="I1593" i="2"/>
  <c r="I1594" i="2" a="1"/>
  <c r="I1594" i="2" s="1"/>
  <c r="I1595" i="2" a="1"/>
  <c r="I1595" i="2"/>
  <c r="I1596" i="2" a="1"/>
  <c r="I1596" i="2" s="1"/>
  <c r="I1597" i="2" a="1"/>
  <c r="I1597" i="2"/>
  <c r="I1598" i="2" a="1"/>
  <c r="I1598" i="2"/>
  <c r="I1599" i="2" a="1"/>
  <c r="I1599" i="2"/>
  <c r="I1600" i="2" a="1"/>
  <c r="I1600" i="2" s="1"/>
  <c r="I1601" i="2" a="1"/>
  <c r="I1601" i="2"/>
  <c r="I1602" i="2" a="1"/>
  <c r="I1602" i="2"/>
  <c r="I1603" i="2" a="1"/>
  <c r="I1603" i="2" s="1"/>
  <c r="I1604" i="2" a="1"/>
  <c r="I1604" i="2"/>
  <c r="I1605" i="2" a="1"/>
  <c r="I1605" i="2"/>
  <c r="I1606" i="2" a="1"/>
  <c r="I1606" i="2" s="1"/>
  <c r="I1607" i="2" a="1"/>
  <c r="I1607" i="2"/>
  <c r="I1608" i="2" a="1"/>
  <c r="I1608" i="2"/>
  <c r="I1609" i="2" a="1"/>
  <c r="I1609" i="2" s="1"/>
  <c r="I1610" i="2" a="1"/>
  <c r="I1610" i="2"/>
  <c r="I1611" i="2" a="1"/>
  <c r="I1611" i="2"/>
  <c r="I1612" i="2" a="1"/>
  <c r="I1612" i="2" s="1"/>
  <c r="I1613" i="2" a="1"/>
  <c r="I1613" i="2"/>
  <c r="I1614" i="2" a="1"/>
  <c r="I1614" i="2"/>
  <c r="I1615" i="2" a="1"/>
  <c r="I1615" i="2"/>
  <c r="I1616" i="2" a="1"/>
  <c r="I1616" i="2" s="1"/>
  <c r="I1617" i="2" a="1"/>
  <c r="I1617" i="2"/>
  <c r="I1618" i="2" a="1"/>
  <c r="I1618" i="2" s="1"/>
  <c r="I1619" i="2" a="1"/>
  <c r="I1619" i="2"/>
  <c r="I1620" i="2" a="1"/>
  <c r="I1620" i="2"/>
  <c r="I1621" i="2" a="1"/>
  <c r="I1621" i="2"/>
  <c r="I1622" i="2" a="1"/>
  <c r="I1622" i="2" s="1"/>
  <c r="I1623" i="2" a="1"/>
  <c r="I1623" i="2"/>
  <c r="I1624" i="2" a="1"/>
  <c r="I1624" i="2" s="1"/>
  <c r="I1625" i="2" a="1"/>
  <c r="I1625" i="2"/>
  <c r="I1626" i="2" a="1"/>
  <c r="I1626" i="2"/>
  <c r="I1627" i="2" a="1"/>
  <c r="I1627" i="2"/>
  <c r="I1628" i="2" a="1"/>
  <c r="I1628" i="2"/>
  <c r="I1629" i="2" a="1"/>
  <c r="I1629" i="2" s="1"/>
  <c r="I1630" i="2" a="1"/>
  <c r="I1630" i="2" s="1"/>
  <c r="I1631" i="2" a="1"/>
  <c r="I1631" i="2"/>
  <c r="I1632" i="2" a="1"/>
  <c r="I1632" i="2"/>
  <c r="I1633" i="2" a="1"/>
  <c r="I1633" i="2"/>
  <c r="I1634" i="2" a="1"/>
  <c r="I1634" i="2"/>
  <c r="I1635" i="2" a="1"/>
  <c r="I1635" i="2" s="1"/>
  <c r="I1636" i="2" a="1"/>
  <c r="I1636" i="2" s="1"/>
  <c r="I1637" i="2" a="1"/>
  <c r="I1637" i="2"/>
  <c r="I1638" i="2" a="1"/>
  <c r="I1638" i="2"/>
  <c r="I1639" i="2" a="1"/>
  <c r="I1639" i="2"/>
  <c r="I1640" i="2" a="1"/>
  <c r="I1640" i="2"/>
  <c r="I1641" i="2" a="1"/>
  <c r="I1641" i="2"/>
  <c r="I1642" i="2" a="1"/>
  <c r="I1642" i="2" s="1"/>
  <c r="I1643" i="2" a="1"/>
  <c r="I1643" i="2"/>
  <c r="I1644" i="2" a="1"/>
  <c r="I1644" i="2"/>
  <c r="I1645" i="2" a="1"/>
  <c r="I1645" i="2"/>
  <c r="I1646" i="2" a="1"/>
  <c r="I1646" i="2"/>
  <c r="I1647" i="2" a="1"/>
  <c r="I1647" i="2"/>
  <c r="I1648" i="2" a="1"/>
  <c r="I1648" i="2" s="1"/>
  <c r="I1649" i="2" a="1"/>
  <c r="I1649" i="2" s="1"/>
  <c r="I1650" i="2" a="1"/>
  <c r="I1650" i="2"/>
  <c r="I1651" i="2" a="1"/>
  <c r="I1651" i="2"/>
  <c r="I1652" i="2" a="1"/>
  <c r="I1652" i="2"/>
  <c r="I1653" i="2" a="1"/>
  <c r="I1653" i="2"/>
  <c r="I1654" i="2" a="1"/>
  <c r="I1654" i="2"/>
  <c r="I1655" i="2" a="1"/>
  <c r="I1655" i="2" s="1"/>
  <c r="I1656" i="2" a="1"/>
  <c r="I1656" i="2"/>
  <c r="I1657" i="2" a="1"/>
  <c r="I1657" i="2"/>
  <c r="I1658" i="2" a="1"/>
  <c r="I1658" i="2"/>
  <c r="I1659" i="2" a="1"/>
  <c r="I1659" i="2"/>
  <c r="I1660" i="2" a="1"/>
  <c r="I1660" i="2"/>
  <c r="I1661" i="2" a="1"/>
  <c r="I1661" i="2" s="1"/>
  <c r="I1662" i="2" a="1"/>
  <c r="I1662" i="2"/>
  <c r="I1663" i="2" a="1"/>
  <c r="I1663" i="2"/>
  <c r="I1664" i="2" a="1"/>
  <c r="I1664" i="2"/>
  <c r="I1665" i="2" a="1"/>
  <c r="I1665" i="2"/>
  <c r="I1666" i="2" a="1"/>
  <c r="I1666" i="2"/>
  <c r="I1667" i="2" a="1"/>
  <c r="I1667" i="2" s="1"/>
  <c r="I1668" i="2" a="1"/>
  <c r="I1668" i="2"/>
  <c r="I1669" i="2" a="1"/>
  <c r="I1669" i="2"/>
  <c r="I1670" i="2" a="1"/>
  <c r="I1670" i="2"/>
  <c r="I1671" i="2" a="1"/>
  <c r="I1671" i="2"/>
  <c r="I1672" i="2" a="1"/>
  <c r="I1672" i="2"/>
  <c r="I1673" i="2" a="1"/>
  <c r="I1673" i="2" s="1"/>
  <c r="I1674" i="2" a="1"/>
  <c r="I1674" i="2"/>
  <c r="I1675" i="2" a="1"/>
  <c r="I1675" i="2"/>
  <c r="I1676" i="2" a="1"/>
  <c r="I1676" i="2"/>
  <c r="I1677" i="2" a="1"/>
  <c r="I1677" i="2"/>
  <c r="I1678" i="2" a="1"/>
  <c r="I1678" i="2"/>
  <c r="I1679" i="2" a="1"/>
  <c r="I1679" i="2" s="1"/>
  <c r="I1680" i="2" a="1"/>
  <c r="I1680" i="2"/>
  <c r="I1681" i="2" a="1"/>
  <c r="I1681" i="2"/>
  <c r="I1682" i="2" a="1"/>
  <c r="I1682" i="2"/>
  <c r="I1683" i="2" a="1"/>
  <c r="I1683" i="2"/>
  <c r="I1684" i="2" a="1"/>
  <c r="I1684" i="2"/>
  <c r="I1685" i="2" a="1"/>
  <c r="I1685" i="2" s="1"/>
  <c r="I1686" i="2" a="1"/>
  <c r="I1686" i="2"/>
  <c r="I1687" i="2" a="1"/>
  <c r="I1687" i="2"/>
  <c r="I1688" i="2" a="1"/>
  <c r="I1688" i="2"/>
  <c r="I1689" i="2" a="1"/>
  <c r="I1689" i="2"/>
  <c r="I1690" i="2" a="1"/>
  <c r="I1690" i="2"/>
  <c r="I1691" i="2" a="1"/>
  <c r="I1691" i="2" s="1"/>
  <c r="I1692" i="2" a="1"/>
  <c r="I1692" i="2"/>
  <c r="I1693" i="2" a="1"/>
  <c r="I1693" i="2"/>
  <c r="I1694" i="2" a="1"/>
  <c r="I1694" i="2"/>
  <c r="I1695" i="2" a="1"/>
  <c r="I1695" i="2"/>
  <c r="I1696" i="2" a="1"/>
  <c r="I1696" i="2"/>
  <c r="I1697" i="2" a="1"/>
  <c r="I1697" i="2" s="1"/>
  <c r="I1698" i="2" a="1"/>
  <c r="I1698" i="2"/>
  <c r="I1699" i="2" a="1"/>
  <c r="I1699" i="2"/>
  <c r="I1700" i="2" a="1"/>
  <c r="I1700" i="2"/>
  <c r="I1701" i="2" a="1"/>
  <c r="I1701" i="2"/>
  <c r="I1702" i="2" a="1"/>
  <c r="I1702" i="2"/>
  <c r="I1703" i="2" a="1"/>
  <c r="I1703" i="2" s="1"/>
  <c r="I1704" i="2" a="1"/>
  <c r="I1704" i="2"/>
  <c r="I1705" i="2" a="1"/>
  <c r="I1705" i="2"/>
  <c r="I1706" i="2" a="1"/>
  <c r="I1706" i="2"/>
  <c r="I1707" i="2" a="1"/>
  <c r="I1707" i="2"/>
  <c r="I1708" i="2" a="1"/>
  <c r="I1708" i="2"/>
  <c r="I1709" i="2" a="1"/>
  <c r="I1709" i="2" s="1"/>
  <c r="I1710" i="2" a="1"/>
  <c r="I1710" i="2"/>
  <c r="I1711" i="2" a="1"/>
  <c r="I1711" i="2"/>
  <c r="I1712" i="2" a="1"/>
  <c r="I1712" i="2"/>
  <c r="I1713" i="2" a="1"/>
  <c r="I1713" i="2"/>
  <c r="I1714" i="2" a="1"/>
  <c r="I1714" i="2"/>
  <c r="I1715" i="2" a="1"/>
  <c r="I1715" i="2" s="1"/>
  <c r="I1716" i="2" a="1"/>
  <c r="I1716" i="2"/>
  <c r="I1717" i="2" a="1"/>
  <c r="I1717" i="2"/>
  <c r="I1718" i="2" a="1"/>
  <c r="I1718" i="2"/>
  <c r="I1719" i="2" a="1"/>
  <c r="I1719" i="2"/>
  <c r="I1720" i="2" a="1"/>
  <c r="I1720" i="2"/>
  <c r="I1721" i="2" a="1"/>
  <c r="I1721" i="2" s="1"/>
  <c r="I1722" i="2" a="1"/>
  <c r="I1722" i="2"/>
  <c r="I1723" i="2" a="1"/>
  <c r="I1723" i="2"/>
  <c r="I1724" i="2" a="1"/>
  <c r="I1724" i="2"/>
  <c r="I1725" i="2" a="1"/>
  <c r="I1725" i="2"/>
  <c r="I1726" i="2" a="1"/>
  <c r="I1726" i="2"/>
  <c r="I1727" i="2" a="1"/>
  <c r="I1727" i="2" s="1"/>
  <c r="I1728" i="2" a="1"/>
  <c r="I1728" i="2"/>
  <c r="I1729" i="2" a="1"/>
  <c r="I1729" i="2"/>
  <c r="I1730" i="2" a="1"/>
  <c r="I1730" i="2"/>
  <c r="I1731" i="2" a="1"/>
  <c r="I1731" i="2"/>
  <c r="I1732" i="2" a="1"/>
  <c r="I1732" i="2"/>
  <c r="I1733" i="2" a="1"/>
  <c r="I1733" i="2" s="1"/>
  <c r="I1734" i="2" a="1"/>
  <c r="I1734" i="2"/>
  <c r="I1735" i="2" a="1"/>
  <c r="I1735" i="2"/>
  <c r="I1736" i="2" a="1"/>
  <c r="I1736" i="2"/>
  <c r="I1737" i="2" a="1"/>
  <c r="I1737" i="2"/>
  <c r="I1738" i="2" a="1"/>
  <c r="I1738" i="2"/>
  <c r="I1739" i="2" a="1"/>
  <c r="I1739" i="2" s="1"/>
  <c r="I1740" i="2" a="1"/>
  <c r="I1740" i="2"/>
  <c r="I1741" i="2" a="1"/>
  <c r="I1741" i="2"/>
  <c r="I1742" i="2" a="1"/>
  <c r="I1742" i="2"/>
  <c r="I1743" i="2" a="1"/>
  <c r="I1743" i="2"/>
  <c r="I1744" i="2" a="1"/>
  <c r="I1744" i="2"/>
  <c r="I1745" i="2" a="1"/>
  <c r="I1745" i="2" s="1"/>
  <c r="I1746" i="2" a="1"/>
  <c r="I1746" i="2"/>
  <c r="I1747" i="2" a="1"/>
  <c r="I1747" i="2"/>
  <c r="I1748" i="2" a="1"/>
  <c r="I1748" i="2"/>
  <c r="I1749" i="2" a="1"/>
  <c r="I1749" i="2"/>
  <c r="I1750" i="2" a="1"/>
  <c r="I1750" i="2"/>
  <c r="I1751" i="2" a="1"/>
  <c r="I1751" i="2" s="1"/>
  <c r="I1752" i="2" a="1"/>
  <c r="I1752" i="2"/>
  <c r="I1753" i="2" a="1"/>
  <c r="I1753" i="2"/>
  <c r="I1754" i="2" a="1"/>
  <c r="I1754" i="2"/>
  <c r="I1755" i="2" a="1"/>
  <c r="I1755" i="2"/>
  <c r="I1756" i="2" a="1"/>
  <c r="I1756" i="2"/>
  <c r="I1757" i="2" a="1"/>
  <c r="I1757" i="2" s="1"/>
  <c r="I1758" i="2" a="1"/>
  <c r="I1758" i="2"/>
  <c r="I1759" i="2" a="1"/>
  <c r="I1759" i="2"/>
  <c r="I1760" i="2" a="1"/>
  <c r="I1760" i="2"/>
  <c r="I1761" i="2" a="1"/>
  <c r="I1761" i="2"/>
  <c r="I1762" i="2" a="1"/>
  <c r="I1762" i="2"/>
  <c r="I1763" i="2" a="1"/>
  <c r="I1763" i="2" s="1"/>
  <c r="I1764" i="2" a="1"/>
  <c r="I1764" i="2"/>
  <c r="I1765" i="2" a="1"/>
  <c r="I1765" i="2"/>
  <c r="I1766" i="2" a="1"/>
  <c r="I1766" i="2"/>
  <c r="I1767" i="2" a="1"/>
  <c r="I1767" i="2"/>
  <c r="I1768" i="2" a="1"/>
  <c r="I1768" i="2"/>
  <c r="I1769" i="2" a="1"/>
  <c r="I1769" i="2" s="1"/>
  <c r="I1770" i="2" a="1"/>
  <c r="I1770" i="2"/>
  <c r="I1771" i="2" a="1"/>
  <c r="I1771" i="2"/>
  <c r="I1772" i="2" a="1"/>
  <c r="I1772" i="2"/>
  <c r="I1773" i="2" a="1"/>
  <c r="I1773" i="2"/>
  <c r="I1774" i="2" a="1"/>
  <c r="I1774" i="2"/>
  <c r="I1775" i="2" a="1"/>
  <c r="I1775" i="2" s="1"/>
  <c r="I1776" i="2" a="1"/>
  <c r="I1776" i="2"/>
  <c r="I1777" i="2" a="1"/>
  <c r="I1777" i="2"/>
  <c r="I1778" i="2" a="1"/>
  <c r="I1778" i="2"/>
  <c r="I1779" i="2" a="1"/>
  <c r="I1779" i="2"/>
  <c r="I1780" i="2" a="1"/>
  <c r="I1780" i="2"/>
  <c r="I1781" i="2" a="1"/>
  <c r="I1781" i="2" s="1"/>
  <c r="I1782" i="2" a="1"/>
  <c r="I1782" i="2"/>
  <c r="I1783" i="2" a="1"/>
  <c r="I1783" i="2"/>
  <c r="I1784" i="2" a="1"/>
  <c r="I1784" i="2"/>
  <c r="I1785" i="2" a="1"/>
  <c r="I1785" i="2"/>
  <c r="I1786" i="2" a="1"/>
  <c r="I1786" i="2"/>
  <c r="I1787" i="2" a="1"/>
  <c r="I1787" i="2" s="1"/>
  <c r="I1788" i="2" a="1"/>
  <c r="I1788" i="2"/>
  <c r="I1789" i="2" a="1"/>
  <c r="I1789" i="2"/>
  <c r="I1790" i="2" a="1"/>
  <c r="I1790" i="2"/>
  <c r="I1791" i="2" a="1"/>
  <c r="I1791" i="2"/>
  <c r="I1792" i="2" a="1"/>
  <c r="I1792" i="2"/>
  <c r="I1793" i="2" a="1"/>
  <c r="I1793" i="2" s="1"/>
  <c r="I1794" i="2" a="1"/>
  <c r="I1794" i="2"/>
  <c r="I1795" i="2" a="1"/>
  <c r="I1795" i="2"/>
  <c r="I1796" i="2" a="1"/>
  <c r="I1796" i="2"/>
  <c r="I1797" i="2" a="1"/>
  <c r="I1797" i="2"/>
  <c r="I1798" i="2" a="1"/>
  <c r="I1798" i="2"/>
  <c r="I1799" i="2" a="1"/>
  <c r="I1799" i="2" s="1"/>
  <c r="I1800" i="2" a="1"/>
  <c r="I1800" i="2"/>
  <c r="I1801" i="2" a="1"/>
  <c r="I1801" i="2"/>
  <c r="I1802" i="2" a="1"/>
  <c r="I1802" i="2"/>
  <c r="I1803" i="2" a="1"/>
  <c r="I1803" i="2"/>
  <c r="I1804" i="2" a="1"/>
  <c r="I1804" i="2"/>
  <c r="I1805" i="2" a="1"/>
  <c r="I1805" i="2" s="1"/>
  <c r="I1806" i="2" a="1"/>
  <c r="I1806" i="2"/>
  <c r="I1807" i="2" a="1"/>
  <c r="I1807" i="2"/>
  <c r="I1808" i="2" a="1"/>
  <c r="I1808" i="2"/>
  <c r="I1809" i="2" a="1"/>
  <c r="I1809" i="2"/>
  <c r="I1810" i="2" a="1"/>
  <c r="I1810" i="2"/>
  <c r="I1811" i="2" a="1"/>
  <c r="I1811" i="2" s="1"/>
  <c r="I1812" i="2" a="1"/>
  <c r="I1812" i="2"/>
  <c r="I1813" i="2" a="1"/>
  <c r="I1813" i="2"/>
  <c r="I1814" i="2" a="1"/>
  <c r="I1814" i="2"/>
  <c r="I1815" i="2" a="1"/>
  <c r="I1815" i="2"/>
  <c r="I1816" i="2" a="1"/>
  <c r="I1816" i="2"/>
  <c r="I1817" i="2" a="1"/>
  <c r="I1817" i="2" s="1"/>
  <c r="I1818" i="2" a="1"/>
  <c r="I1818" i="2"/>
  <c r="I1819" i="2" a="1"/>
  <c r="I1819" i="2"/>
  <c r="I1820" i="2" a="1"/>
  <c r="I1820" i="2"/>
  <c r="I1821" i="2" a="1"/>
  <c r="I1821" i="2"/>
  <c r="I1822" i="2" a="1"/>
  <c r="I1822" i="2"/>
  <c r="I1823" i="2" a="1"/>
  <c r="I1823" i="2" s="1"/>
  <c r="I1824" i="2" a="1"/>
  <c r="I1824" i="2"/>
  <c r="I1825" i="2" a="1"/>
  <c r="I1825" i="2"/>
  <c r="I1826" i="2" a="1"/>
  <c r="I1826" i="2"/>
  <c r="I1827" i="2" a="1"/>
  <c r="I1827" i="2"/>
  <c r="I1828" i="2" a="1"/>
  <c r="I1828" i="2"/>
  <c r="I1829" i="2" a="1"/>
  <c r="I1829" i="2" s="1"/>
  <c r="I1830" i="2" a="1"/>
  <c r="I1830" i="2"/>
  <c r="I1831" i="2" a="1"/>
  <c r="I1831" i="2"/>
  <c r="I1832" i="2" a="1"/>
  <c r="I1832" i="2"/>
  <c r="I1833" i="2" a="1"/>
  <c r="I1833" i="2"/>
  <c r="I1834" i="2" a="1"/>
  <c r="I1834" i="2"/>
  <c r="I1835" i="2" a="1"/>
  <c r="I1835" i="2" s="1"/>
  <c r="I1836" i="2" a="1"/>
  <c r="I1836" i="2"/>
  <c r="I1837" i="2" a="1"/>
  <c r="I1837" i="2"/>
  <c r="I1838" i="2" a="1"/>
  <c r="I1838" i="2"/>
  <c r="I1839" i="2" a="1"/>
  <c r="I1839" i="2"/>
  <c r="I1840" i="2" a="1"/>
  <c r="I1840" i="2"/>
  <c r="I1841" i="2" a="1"/>
  <c r="I1841" i="2" s="1"/>
  <c r="I1842" i="2" a="1"/>
  <c r="I1842" i="2"/>
  <c r="I1843" i="2" a="1"/>
  <c r="I1843" i="2"/>
  <c r="I1844" i="2" a="1"/>
  <c r="I1844" i="2"/>
  <c r="I1845" i="2" a="1"/>
  <c r="I1845" i="2"/>
  <c r="I1846" i="2" a="1"/>
  <c r="I1846" i="2"/>
  <c r="I1847" i="2" a="1"/>
  <c r="I1847" i="2" s="1"/>
  <c r="I1848" i="2" a="1"/>
  <c r="I1848" i="2"/>
  <c r="I1849" i="2" a="1"/>
  <c r="I1849" i="2"/>
  <c r="I1850" i="2" a="1"/>
  <c r="I1850" i="2"/>
  <c r="I1851" i="2" a="1"/>
  <c r="I1851" i="2"/>
  <c r="I1852" i="2" a="1"/>
  <c r="I1852" i="2"/>
  <c r="I1853" i="2" a="1"/>
  <c r="I1853" i="2" s="1"/>
  <c r="I1854" i="2" a="1"/>
  <c r="I1854" i="2"/>
  <c r="I1855" i="2" a="1"/>
  <c r="I1855" i="2"/>
  <c r="I1856" i="2" a="1"/>
  <c r="I1856" i="2"/>
  <c r="I1857" i="2" a="1"/>
  <c r="I1857" i="2"/>
  <c r="I1858" i="2" a="1"/>
  <c r="I1858" i="2"/>
  <c r="I1859" i="2" a="1"/>
  <c r="I1859" i="2" s="1"/>
  <c r="I1860" i="2" a="1"/>
  <c r="I1860" i="2"/>
  <c r="I1861" i="2" a="1"/>
  <c r="I1861" i="2"/>
  <c r="I1862" i="2" a="1"/>
  <c r="I1862" i="2"/>
  <c r="I1863" i="2" a="1"/>
  <c r="I1863" i="2"/>
  <c r="I1864" i="2" a="1"/>
  <c r="I1864" i="2"/>
  <c r="I1865" i="2" a="1"/>
  <c r="I1865" i="2" s="1"/>
  <c r="I1866" i="2" a="1"/>
  <c r="I1866" i="2"/>
  <c r="I1867" i="2" a="1"/>
  <c r="I1867" i="2"/>
  <c r="I1868" i="2" a="1"/>
  <c r="I1868" i="2"/>
  <c r="I1869" i="2" a="1"/>
  <c r="I1869" i="2"/>
  <c r="I1870" i="2" a="1"/>
  <c r="I1870" i="2"/>
  <c r="I1871" i="2" a="1"/>
  <c r="I1871" i="2" s="1"/>
  <c r="I1872" i="2" a="1"/>
  <c r="I1872" i="2"/>
  <c r="I1873" i="2" a="1"/>
  <c r="I1873" i="2"/>
  <c r="I1874" i="2" a="1"/>
  <c r="I1874" i="2"/>
  <c r="I1875" i="2" a="1"/>
  <c r="I1875" i="2"/>
  <c r="I1876" i="2" a="1"/>
  <c r="I1876" i="2"/>
  <c r="I1877" i="2" a="1"/>
  <c r="I1877" i="2" s="1"/>
  <c r="I1878" i="2" a="1"/>
  <c r="I1878" i="2"/>
  <c r="I1879" i="2" a="1"/>
  <c r="I1879" i="2"/>
  <c r="I1880" i="2" a="1"/>
  <c r="I1880" i="2"/>
  <c r="I1881" i="2" a="1"/>
  <c r="I1881" i="2"/>
  <c r="I1882" i="2" a="1"/>
  <c r="I1882" i="2"/>
  <c r="I1883" i="2" a="1"/>
  <c r="I1883" i="2" s="1"/>
  <c r="I1884" i="2" a="1"/>
  <c r="I1884" i="2"/>
  <c r="I1885" i="2" a="1"/>
  <c r="I1885" i="2"/>
  <c r="I1886" i="2" a="1"/>
  <c r="I1886" i="2"/>
  <c r="I1887" i="2" a="1"/>
  <c r="I1887" i="2"/>
  <c r="I1888" i="2" a="1"/>
  <c r="I1888" i="2"/>
  <c r="I1889" i="2" a="1"/>
  <c r="I1889" i="2" s="1"/>
  <c r="I1890" i="2" a="1"/>
  <c r="I1890" i="2"/>
  <c r="I1891" i="2" a="1"/>
  <c r="I1891" i="2"/>
  <c r="I1892" i="2" a="1"/>
  <c r="I1892" i="2"/>
  <c r="I1893" i="2" a="1"/>
  <c r="I1893" i="2"/>
  <c r="I1894" i="2" a="1"/>
  <c r="I1894" i="2"/>
  <c r="I1895" i="2" a="1"/>
  <c r="I1895" i="2" s="1"/>
  <c r="I1896" i="2" a="1"/>
  <c r="I1896" i="2"/>
  <c r="I1897" i="2" a="1"/>
  <c r="I1897" i="2"/>
  <c r="I1898" i="2" a="1"/>
  <c r="I1898" i="2"/>
  <c r="I1899" i="2" a="1"/>
  <c r="I1899" i="2"/>
  <c r="I1900" i="2" a="1"/>
  <c r="I1900" i="2"/>
  <c r="I1901" i="2" a="1"/>
  <c r="I1901" i="2" s="1"/>
  <c r="I1902" i="2" a="1"/>
  <c r="I1902" i="2"/>
  <c r="I1903" i="2" a="1"/>
  <c r="I1903" i="2"/>
  <c r="I1904" i="2" a="1"/>
  <c r="I1904" i="2"/>
  <c r="I1905" i="2" a="1"/>
  <c r="I1905" i="2"/>
  <c r="I1906" i="2" a="1"/>
  <c r="I1906" i="2"/>
  <c r="I1907" i="2" a="1"/>
  <c r="I1907" i="2" s="1"/>
  <c r="I1908" i="2" a="1"/>
  <c r="I1908" i="2"/>
  <c r="I1909" i="2" a="1"/>
  <c r="I1909" i="2"/>
  <c r="I1910" i="2" a="1"/>
  <c r="I1910" i="2"/>
  <c r="I1911" i="2" a="1"/>
  <c r="I1911" i="2"/>
  <c r="I1912" i="2" a="1"/>
  <c r="I1912" i="2"/>
  <c r="I1913" i="2" a="1"/>
  <c r="I1913" i="2" s="1"/>
  <c r="I1914" i="2" a="1"/>
  <c r="I1914" i="2"/>
  <c r="I1915" i="2" a="1"/>
  <c r="I1915" i="2"/>
  <c r="I1916" i="2" a="1"/>
  <c r="I1916" i="2"/>
  <c r="I1917" i="2" a="1"/>
  <c r="I1917" i="2"/>
  <c r="I1918" i="2" a="1"/>
  <c r="I1918" i="2"/>
  <c r="I1919" i="2" a="1"/>
  <c r="I1919" i="2" s="1"/>
  <c r="I1920" i="2" a="1"/>
  <c r="I1920" i="2"/>
  <c r="I1921" i="2" a="1"/>
  <c r="I1921" i="2"/>
  <c r="I1922" i="2" a="1"/>
  <c r="I1922" i="2"/>
  <c r="I1923" i="2" a="1"/>
  <c r="I1923" i="2"/>
  <c r="I1924" i="2" a="1"/>
  <c r="I1924" i="2"/>
  <c r="I1925" i="2" a="1"/>
  <c r="I1925" i="2" s="1"/>
  <c r="I1926" i="2" a="1"/>
  <c r="I1926" i="2"/>
  <c r="I1927" i="2" a="1"/>
  <c r="I1927" i="2"/>
  <c r="I1928" i="2" a="1"/>
  <c r="I1928" i="2"/>
  <c r="I1929" i="2" a="1"/>
  <c r="I1929" i="2"/>
  <c r="I1930" i="2" a="1"/>
  <c r="I1930" i="2"/>
  <c r="I1931" i="2" a="1"/>
  <c r="I1931" i="2" s="1"/>
  <c r="I1932" i="2" a="1"/>
  <c r="I1932" i="2"/>
  <c r="I1933" i="2" a="1"/>
  <c r="I1933" i="2"/>
  <c r="I1934" i="2" a="1"/>
  <c r="I1934" i="2"/>
  <c r="I1935" i="2" a="1"/>
  <c r="I1935" i="2"/>
  <c r="I1936" i="2" a="1"/>
  <c r="I1936" i="2"/>
  <c r="I1937" i="2" a="1"/>
  <c r="I1937" i="2" s="1"/>
  <c r="I1938" i="2" a="1"/>
  <c r="I1938" i="2"/>
  <c r="I1939" i="2" a="1"/>
  <c r="I1939" i="2"/>
  <c r="I1940" i="2" a="1"/>
  <c r="I1940" i="2"/>
  <c r="I1941" i="2" a="1"/>
  <c r="I1941" i="2"/>
  <c r="I1942" i="2" a="1"/>
  <c r="I1942" i="2"/>
  <c r="I1943" i="2" a="1"/>
  <c r="I1943" i="2" s="1"/>
  <c r="I1944" i="2" a="1"/>
  <c r="I1944" i="2"/>
  <c r="I1945" i="2" a="1"/>
  <c r="I1945" i="2"/>
  <c r="I1946" i="2" a="1"/>
  <c r="I1946" i="2"/>
  <c r="I1947" i="2" a="1"/>
  <c r="I1947" i="2"/>
  <c r="I1948" i="2" a="1"/>
  <c r="I1948" i="2"/>
  <c r="I1949" i="2" a="1"/>
  <c r="I1949" i="2" s="1"/>
  <c r="I1950" i="2" a="1"/>
  <c r="I1950" i="2"/>
  <c r="I1951" i="2" a="1"/>
  <c r="I1951" i="2"/>
  <c r="I1952" i="2" a="1"/>
  <c r="I1952" i="2"/>
  <c r="I1953" i="2" a="1"/>
  <c r="I1953" i="2"/>
  <c r="I1954" i="2" a="1"/>
  <c r="I1954" i="2"/>
  <c r="I1955" i="2" a="1"/>
  <c r="I1955" i="2" s="1"/>
  <c r="I1956" i="2" a="1"/>
  <c r="I1956" i="2"/>
  <c r="I1957" i="2" a="1"/>
  <c r="I1957" i="2"/>
  <c r="I1958" i="2" a="1"/>
  <c r="I1958" i="2"/>
  <c r="I1959" i="2" a="1"/>
  <c r="I1959" i="2"/>
  <c r="I1960" i="2" a="1"/>
  <c r="I1960" i="2"/>
  <c r="I1961" i="2" a="1"/>
  <c r="I1961" i="2" s="1"/>
  <c r="I1962" i="2" a="1"/>
  <c r="I1962" i="2"/>
  <c r="I1963" i="2" a="1"/>
  <c r="I1963" i="2"/>
  <c r="I1964" i="2" a="1"/>
  <c r="I1964" i="2"/>
  <c r="I1965" i="2" a="1"/>
  <c r="I1965" i="2"/>
  <c r="I1966" i="2" a="1"/>
  <c r="I1966" i="2"/>
  <c r="I1967" i="2" a="1"/>
  <c r="I1967" i="2" s="1"/>
  <c r="I1968" i="2" a="1"/>
  <c r="I1968" i="2"/>
  <c r="I1969" i="2" a="1"/>
  <c r="I1969" i="2"/>
  <c r="I1970" i="2" a="1"/>
  <c r="I1970" i="2"/>
  <c r="I1971" i="2" a="1"/>
  <c r="I1971" i="2"/>
  <c r="I1972" i="2" a="1"/>
  <c r="I1972" i="2"/>
  <c r="I1973" i="2" a="1"/>
  <c r="I1973" i="2" s="1"/>
  <c r="I1974" i="2" a="1"/>
  <c r="I1974" i="2"/>
  <c r="I1975" i="2" a="1"/>
  <c r="I1975" i="2"/>
  <c r="I1976" i="2" a="1"/>
  <c r="I1976" i="2"/>
  <c r="I1977" i="2" a="1"/>
  <c r="I1977" i="2"/>
  <c r="I1978" i="2" a="1"/>
  <c r="I1978" i="2"/>
  <c r="I1979" i="2" a="1"/>
  <c r="I1979" i="2" s="1"/>
  <c r="I1980" i="2" a="1"/>
  <c r="I1980" i="2"/>
  <c r="I1981" i="2" a="1"/>
  <c r="I1981" i="2"/>
  <c r="I1982" i="2" a="1"/>
  <c r="I1982" i="2"/>
  <c r="I1983" i="2" a="1"/>
  <c r="I1983" i="2"/>
  <c r="I1984" i="2" a="1"/>
  <c r="I1984" i="2"/>
  <c r="I1985" i="2" a="1"/>
  <c r="I1985" i="2" s="1"/>
  <c r="I1986" i="2" a="1"/>
  <c r="I1986" i="2"/>
  <c r="I1987" i="2" a="1"/>
  <c r="I1987" i="2"/>
  <c r="I1988" i="2" a="1"/>
  <c r="I1988" i="2"/>
  <c r="I1989" i="2" a="1"/>
  <c r="I1989" i="2"/>
  <c r="I1990" i="2" a="1"/>
  <c r="I1990" i="2"/>
  <c r="I1991" i="2" a="1"/>
  <c r="I1991" i="2" s="1"/>
  <c r="I1992" i="2" a="1"/>
  <c r="I1992" i="2"/>
  <c r="I1993" i="2" a="1"/>
  <c r="I1993" i="2"/>
  <c r="I1994" i="2" a="1"/>
  <c r="I1994" i="2"/>
  <c r="I1995" i="2" a="1"/>
  <c r="I1995" i="2"/>
  <c r="I1996" i="2" a="1"/>
  <c r="I1996" i="2"/>
  <c r="I1997" i="2" a="1"/>
  <c r="I1997" i="2" s="1"/>
  <c r="I1998" i="2" a="1"/>
  <c r="I1998" i="2"/>
  <c r="I1999" i="2" a="1"/>
  <c r="I1999" i="2"/>
  <c r="I2000" i="2" a="1"/>
  <c r="I2000" i="2"/>
  <c r="I2001" i="2" a="1"/>
  <c r="I2001" i="2"/>
  <c r="I2002" i="2" a="1"/>
  <c r="I2002" i="2"/>
  <c r="I2003" i="2" a="1"/>
  <c r="I2003" i="2" s="1"/>
  <c r="I2004" i="2" a="1"/>
  <c r="I2004" i="2"/>
  <c r="I2005" i="2" a="1"/>
  <c r="I2005" i="2"/>
  <c r="I2006" i="2" a="1"/>
  <c r="I2006" i="2"/>
  <c r="I2007" i="2" a="1"/>
  <c r="I2007" i="2"/>
  <c r="I2008" i="2" a="1"/>
  <c r="I2008" i="2"/>
  <c r="I2009" i="2" a="1"/>
  <c r="I2009" i="2" s="1"/>
  <c r="I2010" i="2" a="1"/>
  <c r="I2010" i="2"/>
  <c r="I2011" i="2" a="1"/>
  <c r="I2011" i="2"/>
  <c r="I2012" i="2" a="1"/>
  <c r="I2012" i="2"/>
  <c r="I2013" i="2" a="1"/>
  <c r="I2013" i="2"/>
  <c r="I2014" i="2" a="1"/>
  <c r="I2014" i="2"/>
  <c r="I2015" i="2" a="1"/>
  <c r="I2015" i="2" s="1"/>
  <c r="I2016" i="2" a="1"/>
  <c r="I2016" i="2"/>
  <c r="I2017" i="2" a="1"/>
  <c r="I2017" i="2"/>
  <c r="I2018" i="2" a="1"/>
  <c r="I2018" i="2"/>
  <c r="I2019" i="2" a="1"/>
  <c r="I2019" i="2"/>
  <c r="I2020" i="2" a="1"/>
  <c r="I2020" i="2"/>
  <c r="I2021" i="2" a="1"/>
  <c r="I2021" i="2" s="1"/>
  <c r="I2022" i="2" a="1"/>
  <c r="I2022" i="2"/>
  <c r="I2023" i="2" a="1"/>
  <c r="I2023" i="2"/>
  <c r="I2024" i="2" a="1"/>
  <c r="I2024" i="2"/>
  <c r="I2025" i="2" a="1"/>
  <c r="I2025" i="2"/>
  <c r="I2026" i="2" a="1"/>
  <c r="I2026" i="2"/>
  <c r="I2027" i="2" a="1"/>
  <c r="I2027" i="2" s="1"/>
  <c r="I2028" i="2" a="1"/>
  <c r="I2028" i="2"/>
  <c r="I2029" i="2" a="1"/>
  <c r="I2029" i="2"/>
  <c r="I2030" i="2" a="1"/>
  <c r="I2030" i="2"/>
  <c r="I2031" i="2" a="1"/>
  <c r="I2031" i="2"/>
  <c r="I2032" i="2" a="1"/>
  <c r="I2032" i="2"/>
  <c r="I2033" i="2" a="1"/>
  <c r="I2033" i="2" s="1"/>
  <c r="I2034" i="2" a="1"/>
  <c r="I2034" i="2"/>
  <c r="I2035" i="2" a="1"/>
  <c r="I2035" i="2"/>
  <c r="I2036" i="2" a="1"/>
  <c r="I2036" i="2"/>
  <c r="I2037" i="2" a="1"/>
  <c r="I2037" i="2"/>
  <c r="I2038" i="2" a="1"/>
  <c r="I2038" i="2"/>
  <c r="I2039" i="2" a="1"/>
  <c r="I2039" i="2" s="1"/>
  <c r="I2040" i="2" a="1"/>
  <c r="I2040" i="2"/>
  <c r="I2041" i="2" a="1"/>
  <c r="I2041" i="2"/>
  <c r="I2042" i="2" a="1"/>
  <c r="I2042" i="2"/>
  <c r="I2043" i="2" a="1"/>
  <c r="I2043" i="2"/>
  <c r="I2044" i="2" a="1"/>
  <c r="I2044" i="2"/>
  <c r="I2045" i="2" a="1"/>
  <c r="I2045" i="2" s="1"/>
  <c r="I2046" i="2" a="1"/>
  <c r="I2046" i="2"/>
  <c r="I2047" i="2" a="1"/>
  <c r="I2047" i="2"/>
  <c r="I2048" i="2" a="1"/>
  <c r="I2048" i="2"/>
  <c r="I2049" i="2" a="1"/>
  <c r="I2049" i="2"/>
  <c r="I2050" i="2" a="1"/>
  <c r="I2050" i="2"/>
  <c r="I2051" i="2" a="1"/>
  <c r="I2051" i="2" s="1"/>
  <c r="I2052" i="2" a="1"/>
  <c r="I2052" i="2"/>
  <c r="I2053" i="2" a="1"/>
  <c r="I2053" i="2"/>
  <c r="I2054" i="2" a="1"/>
  <c r="I2054" i="2"/>
  <c r="I2055" i="2" a="1"/>
  <c r="I2055" i="2"/>
  <c r="I2056" i="2" a="1"/>
  <c r="I2056" i="2"/>
  <c r="I2057" i="2" a="1"/>
  <c r="I2057" i="2" s="1"/>
  <c r="I2058" i="2" a="1"/>
  <c r="I2058" i="2"/>
  <c r="I2059" i="2" a="1"/>
  <c r="I2059" i="2"/>
  <c r="I2060" i="2" a="1"/>
  <c r="I2060" i="2"/>
  <c r="I2061" i="2" a="1"/>
  <c r="I2061" i="2"/>
  <c r="I2062" i="2" a="1"/>
  <c r="I2062" i="2"/>
  <c r="I2063" i="2" a="1"/>
  <c r="I2063" i="2" s="1"/>
  <c r="I2064" i="2" a="1"/>
  <c r="I2064" i="2"/>
  <c r="I2065" i="2" a="1"/>
  <c r="I2065" i="2"/>
  <c r="I2066" i="2" a="1"/>
  <c r="I2066" i="2"/>
  <c r="I2067" i="2" a="1"/>
  <c r="I2067" i="2"/>
  <c r="I2068" i="2" a="1"/>
  <c r="I2068" i="2"/>
  <c r="I2069" i="2" a="1"/>
  <c r="I2069" i="2" s="1"/>
  <c r="I2070" i="2" a="1"/>
  <c r="I2070" i="2"/>
  <c r="I2071" i="2" a="1"/>
  <c r="I2071" i="2"/>
  <c r="I2072" i="2" a="1"/>
  <c r="I2072" i="2"/>
  <c r="I2073" i="2" a="1"/>
  <c r="I2073" i="2"/>
  <c r="I2074" i="2" a="1"/>
  <c r="I2074" i="2"/>
  <c r="I2075" i="2" a="1"/>
  <c r="I2075" i="2" s="1"/>
  <c r="I2076" i="2" a="1"/>
  <c r="I2076" i="2"/>
  <c r="I2077" i="2" a="1"/>
  <c r="I2077" i="2"/>
  <c r="I2078" i="2" a="1"/>
  <c r="I2078" i="2"/>
  <c r="I2079" i="2" a="1"/>
  <c r="I2079" i="2"/>
  <c r="I2080" i="2" a="1"/>
  <c r="I2080" i="2"/>
  <c r="I2081" i="2" a="1"/>
  <c r="I2081" i="2" s="1"/>
  <c r="I2082" i="2" a="1"/>
  <c r="I2082" i="2"/>
  <c r="I2083" i="2" a="1"/>
  <c r="I2083" i="2"/>
  <c r="I2084" i="2" a="1"/>
  <c r="I2084" i="2"/>
  <c r="I2085" i="2" a="1"/>
  <c r="I2085" i="2"/>
  <c r="I2086" i="2" a="1"/>
  <c r="I2086" i="2"/>
  <c r="I2087" i="2" a="1"/>
  <c r="I2087" i="2" s="1"/>
  <c r="I2088" i="2" a="1"/>
  <c r="I2088" i="2"/>
  <c r="I2089" i="2" a="1"/>
  <c r="I2089" i="2"/>
  <c r="I2090" i="2" a="1"/>
  <c r="I2090" i="2"/>
  <c r="I2091" i="2" a="1"/>
  <c r="I2091" i="2"/>
  <c r="I2092" i="2" a="1"/>
  <c r="I2092" i="2"/>
  <c r="I2093" i="2" a="1"/>
  <c r="I2093" i="2" s="1"/>
  <c r="I2094" i="2" a="1"/>
  <c r="I2094" i="2"/>
  <c r="I2095" i="2" a="1"/>
  <c r="I2095" i="2"/>
  <c r="I2096" i="2" a="1"/>
  <c r="I2096" i="2"/>
  <c r="I2097" i="2" a="1"/>
  <c r="I2097" i="2"/>
  <c r="I2098" i="2" a="1"/>
  <c r="I2098" i="2"/>
  <c r="I2099" i="2" a="1"/>
  <c r="I2099" i="2" s="1"/>
  <c r="I2100" i="2" a="1"/>
  <c r="I2100" i="2"/>
  <c r="I2101" i="2" a="1"/>
  <c r="I2101" i="2"/>
  <c r="I2102" i="2" a="1"/>
  <c r="I2102" i="2"/>
  <c r="I2103" i="2" a="1"/>
  <c r="I2103" i="2"/>
  <c r="I2104" i="2" a="1"/>
  <c r="I2104" i="2"/>
  <c r="I2105" i="2" a="1"/>
  <c r="I2105" i="2" s="1"/>
  <c r="I2106" i="2" a="1"/>
  <c r="I2106" i="2"/>
  <c r="I2107" i="2" a="1"/>
  <c r="I2107" i="2"/>
  <c r="I2108" i="2" a="1"/>
  <c r="I2108" i="2"/>
  <c r="I2109" i="2" a="1"/>
  <c r="I2109" i="2"/>
  <c r="I2110" i="2" a="1"/>
  <c r="I2110" i="2"/>
  <c r="I2111" i="2" a="1"/>
  <c r="I2111" i="2" s="1"/>
  <c r="I2112" i="2" a="1"/>
  <c r="I2112" i="2"/>
  <c r="I2113" i="2" a="1"/>
  <c r="I2113" i="2"/>
  <c r="I2114" i="2" a="1"/>
  <c r="I2114" i="2"/>
  <c r="I2115" i="2" a="1"/>
  <c r="I2115" i="2"/>
  <c r="I2116" i="2" a="1"/>
  <c r="I2116" i="2"/>
  <c r="I2117" i="2" a="1"/>
  <c r="I2117" i="2" s="1"/>
  <c r="I2118" i="2" a="1"/>
  <c r="I2118" i="2"/>
  <c r="I2119" i="2" a="1"/>
  <c r="I2119" i="2"/>
  <c r="I2120" i="2" a="1"/>
  <c r="I2120" i="2"/>
  <c r="I2121" i="2" a="1"/>
  <c r="I2121" i="2"/>
  <c r="I2122" i="2" a="1"/>
  <c r="I2122" i="2"/>
  <c r="I2123" i="2" a="1"/>
  <c r="I2123" i="2" s="1"/>
  <c r="I2124" i="2" a="1"/>
  <c r="I2124" i="2"/>
  <c r="I2125" i="2" a="1"/>
  <c r="I2125" i="2"/>
  <c r="I2126" i="2" a="1"/>
  <c r="I2126" i="2"/>
  <c r="I2127" i="2" a="1"/>
  <c r="I2127" i="2"/>
  <c r="I2128" i="2" a="1"/>
  <c r="I2128" i="2"/>
  <c r="I2129" i="2" a="1"/>
  <c r="I2129" i="2" s="1"/>
  <c r="I2130" i="2" a="1"/>
  <c r="I2130" i="2"/>
  <c r="I2131" i="2" a="1"/>
  <c r="I2131" i="2"/>
  <c r="I2132" i="2" a="1"/>
  <c r="I2132" i="2"/>
  <c r="I2133" i="2" a="1"/>
  <c r="I2133" i="2"/>
  <c r="I2134" i="2" a="1"/>
  <c r="I2134" i="2"/>
  <c r="I2135" i="2" a="1"/>
  <c r="I2135" i="2" s="1"/>
  <c r="I2136" i="2" a="1"/>
  <c r="I2136" i="2"/>
  <c r="I2137" i="2" a="1"/>
  <c r="I2137" i="2"/>
  <c r="I2138" i="2" a="1"/>
  <c r="I2138" i="2"/>
  <c r="I2139" i="2" a="1"/>
  <c r="I2139" i="2"/>
  <c r="I2140" i="2" a="1"/>
  <c r="I2140" i="2"/>
  <c r="I2141" i="2" a="1"/>
  <c r="I2141" i="2" s="1"/>
  <c r="I2142" i="2" a="1"/>
  <c r="I2142" i="2"/>
  <c r="I2143" i="2" a="1"/>
  <c r="I2143" i="2"/>
  <c r="I2144" i="2" a="1"/>
  <c r="I2144" i="2"/>
  <c r="I2145" i="2" a="1"/>
  <c r="I2145" i="2"/>
  <c r="I2146" i="2" a="1"/>
  <c r="I2146" i="2"/>
  <c r="I2147" i="2" a="1"/>
  <c r="I2147" i="2" s="1"/>
  <c r="I2148" i="2" a="1"/>
  <c r="I2148" i="2"/>
  <c r="I2149" i="2" a="1"/>
  <c r="I2149" i="2"/>
  <c r="I2150" i="2" a="1"/>
  <c r="I2150" i="2"/>
  <c r="I2151" i="2" a="1"/>
  <c r="I2151" i="2"/>
  <c r="I2152" i="2" a="1"/>
  <c r="I2152" i="2"/>
  <c r="I2153" i="2" a="1"/>
  <c r="I2153" i="2" s="1"/>
  <c r="I2154" i="2" a="1"/>
  <c r="I2154" i="2"/>
  <c r="I2155" i="2" a="1"/>
  <c r="I2155" i="2"/>
  <c r="I2156" i="2" a="1"/>
  <c r="I2156" i="2"/>
  <c r="I2157" i="2" a="1"/>
  <c r="I2157" i="2"/>
  <c r="I2158" i="2" a="1"/>
  <c r="I2158" i="2"/>
  <c r="I2159" i="2" a="1"/>
  <c r="I2159" i="2" s="1"/>
  <c r="I2160" i="2" a="1"/>
  <c r="I2160" i="2"/>
  <c r="I2161" i="2" a="1"/>
  <c r="I2161" i="2"/>
  <c r="I2162" i="2" a="1"/>
  <c r="I2162" i="2"/>
  <c r="I2163" i="2" a="1"/>
  <c r="I2163" i="2"/>
  <c r="I2164" i="2" a="1"/>
  <c r="I2164" i="2"/>
  <c r="I2165" i="2" a="1"/>
  <c r="I2165" i="2" s="1"/>
  <c r="I2166" i="2" a="1"/>
  <c r="I2166" i="2"/>
  <c r="I2167" i="2" a="1"/>
  <c r="I2167" i="2"/>
  <c r="I2168" i="2" a="1"/>
  <c r="I2168" i="2"/>
  <c r="I2169" i="2" a="1"/>
  <c r="I2169" i="2"/>
  <c r="I2170" i="2" a="1"/>
  <c r="I2170" i="2"/>
  <c r="I2171" i="2" a="1"/>
  <c r="I2171" i="2" s="1"/>
  <c r="I2172" i="2" a="1"/>
  <c r="I2172" i="2"/>
  <c r="I2173" i="2" a="1"/>
  <c r="I2173" i="2"/>
  <c r="I2174" i="2" a="1"/>
  <c r="I2174" i="2"/>
  <c r="I2175" i="2" a="1"/>
  <c r="I2175" i="2"/>
  <c r="I2176" i="2" a="1"/>
  <c r="I2176" i="2"/>
  <c r="I2177" i="2" a="1"/>
  <c r="I2177" i="2" s="1"/>
  <c r="I2178" i="2" a="1"/>
  <c r="I2178" i="2"/>
  <c r="I2179" i="2" a="1"/>
  <c r="I2179" i="2"/>
  <c r="I2180" i="2" a="1"/>
  <c r="I2180" i="2"/>
  <c r="I2181" i="2" a="1"/>
  <c r="I2181" i="2"/>
  <c r="I2182" i="2" a="1"/>
  <c r="I2182" i="2"/>
  <c r="I2183" i="2" a="1"/>
  <c r="I2183" i="2" s="1"/>
  <c r="I2184" i="2" a="1"/>
  <c r="I2184" i="2"/>
  <c r="I2185" i="2" a="1"/>
  <c r="I2185" i="2"/>
  <c r="I2186" i="2" a="1"/>
  <c r="I2186" i="2"/>
  <c r="I2187" i="2" a="1"/>
  <c r="I2187" i="2"/>
  <c r="I2188" i="2" a="1"/>
  <c r="I2188" i="2"/>
  <c r="I2189" i="2" a="1"/>
  <c r="I2189" i="2" s="1"/>
  <c r="I2190" i="2" a="1"/>
  <c r="I2190" i="2"/>
  <c r="I2191" i="2" a="1"/>
  <c r="I2191" i="2"/>
  <c r="I2192" i="2" a="1"/>
  <c r="I2192" i="2"/>
  <c r="I2193" i="2" a="1"/>
  <c r="I2193" i="2"/>
  <c r="I2194" i="2" a="1"/>
  <c r="I2194" i="2"/>
  <c r="I2195" i="2" a="1"/>
  <c r="I2195" i="2" s="1"/>
  <c r="I2196" i="2" a="1"/>
  <c r="I2196" i="2"/>
  <c r="I2197" i="2" a="1"/>
  <c r="I2197" i="2"/>
  <c r="I2198" i="2" a="1"/>
  <c r="I2198" i="2"/>
  <c r="I2199" i="2" a="1"/>
  <c r="I2199" i="2"/>
  <c r="I2200" i="2" a="1"/>
  <c r="I2200" i="2"/>
  <c r="I2201" i="2" a="1"/>
  <c r="I2201" i="2" s="1"/>
  <c r="I2202" i="2" a="1"/>
  <c r="I2202" i="2"/>
  <c r="I2203" i="2" a="1"/>
  <c r="I2203" i="2"/>
  <c r="I2204" i="2" a="1"/>
  <c r="I2204" i="2"/>
  <c r="I2205" i="2" a="1"/>
  <c r="I2205" i="2"/>
  <c r="I2206" i="2" a="1"/>
  <c r="I2206" i="2"/>
  <c r="I2207" i="2" a="1"/>
  <c r="I2207" i="2" s="1"/>
  <c r="I2208" i="2" a="1"/>
  <c r="I2208" i="2"/>
  <c r="I2209" i="2" a="1"/>
  <c r="I2209" i="2"/>
  <c r="I2210" i="2" a="1"/>
  <c r="I2210" i="2"/>
  <c r="I2211" i="2" a="1"/>
  <c r="I2211" i="2"/>
  <c r="I2212" i="2" a="1"/>
  <c r="I2212" i="2"/>
  <c r="I2213" i="2" a="1"/>
  <c r="I2213" i="2" s="1"/>
  <c r="I2214" i="2" a="1"/>
  <c r="I2214" i="2"/>
  <c r="I2215" i="2" a="1"/>
  <c r="I2215" i="2"/>
  <c r="I2216" i="2" a="1"/>
  <c r="I2216" i="2"/>
  <c r="I2217" i="2" a="1"/>
  <c r="I2217" i="2"/>
  <c r="I2218" i="2" a="1"/>
  <c r="I2218" i="2"/>
  <c r="I2219" i="2" a="1"/>
  <c r="I2219" i="2" s="1"/>
  <c r="I2220" i="2" a="1"/>
  <c r="I2220" i="2"/>
  <c r="I2221" i="2" a="1"/>
  <c r="I2221" i="2"/>
  <c r="I2222" i="2" a="1"/>
  <c r="I2222" i="2"/>
  <c r="I2223" i="2" a="1"/>
  <c r="I2223" i="2"/>
  <c r="I2224" i="2" a="1"/>
  <c r="I2224" i="2"/>
  <c r="I2225" i="2" a="1"/>
  <c r="I2225" i="2" s="1"/>
  <c r="I2226" i="2" a="1"/>
  <c r="I2226" i="2"/>
  <c r="I2227" i="2" a="1"/>
  <c r="I2227" i="2"/>
  <c r="I2228" i="2" a="1"/>
  <c r="I2228" i="2"/>
  <c r="I2229" i="2" a="1"/>
  <c r="I2229" i="2"/>
  <c r="I2230" i="2" a="1"/>
  <c r="I2230" i="2"/>
  <c r="I2231" i="2" a="1"/>
  <c r="I2231" i="2" s="1"/>
  <c r="I2232" i="2" a="1"/>
  <c r="I2232" i="2"/>
  <c r="I2233" i="2" a="1"/>
  <c r="I2233" i="2"/>
  <c r="I2234" i="2" a="1"/>
  <c r="I2234" i="2"/>
  <c r="I2235" i="2" a="1"/>
  <c r="I2235" i="2"/>
  <c r="I2236" i="2" a="1"/>
  <c r="I2236" i="2"/>
  <c r="I2237" i="2" a="1"/>
  <c r="I2237" i="2" s="1"/>
  <c r="I2238" i="2" a="1"/>
  <c r="I2238" i="2"/>
  <c r="I2239" i="2" a="1"/>
  <c r="I2239" i="2"/>
  <c r="I2240" i="2" a="1"/>
  <c r="I2240" i="2"/>
  <c r="I2241" i="2" a="1"/>
  <c r="I2241" i="2"/>
  <c r="I2242" i="2" a="1"/>
  <c r="I2242" i="2"/>
  <c r="I2243" i="2" a="1"/>
  <c r="I2243" i="2" s="1"/>
  <c r="I2244" i="2" a="1"/>
  <c r="I2244" i="2"/>
  <c r="I2245" i="2" a="1"/>
  <c r="I2245" i="2"/>
  <c r="I2246" i="2" a="1"/>
  <c r="I2246" i="2"/>
  <c r="I2247" i="2" a="1"/>
  <c r="I2247" i="2"/>
  <c r="I2248" i="2" a="1"/>
  <c r="I2248" i="2"/>
  <c r="I2249" i="2" a="1"/>
  <c r="I2249" i="2" s="1"/>
  <c r="I2250" i="2" a="1"/>
  <c r="I2250" i="2"/>
  <c r="I2251" i="2" a="1"/>
  <c r="I2251" i="2"/>
  <c r="I2252" i="2" a="1"/>
  <c r="I2252" i="2"/>
  <c r="I2253" i="2" a="1"/>
  <c r="I2253" i="2"/>
  <c r="I2254" i="2" a="1"/>
  <c r="I2254" i="2"/>
  <c r="I2255" i="2" a="1"/>
  <c r="I2255" i="2" s="1"/>
  <c r="I2256" i="2" a="1"/>
  <c r="I2256" i="2"/>
  <c r="I2257" i="2" a="1"/>
  <c r="I2257" i="2"/>
  <c r="I2258" i="2" a="1"/>
  <c r="I2258" i="2"/>
  <c r="I2259" i="2" a="1"/>
  <c r="I2259" i="2"/>
  <c r="I2260" i="2" a="1"/>
  <c r="I2260" i="2"/>
  <c r="I2261" i="2" a="1"/>
  <c r="I2261" i="2" s="1"/>
  <c r="I2262" i="2" a="1"/>
  <c r="I2262" i="2"/>
  <c r="I2263" i="2" a="1"/>
  <c r="I2263" i="2"/>
  <c r="I2264" i="2" a="1"/>
  <c r="I2264" i="2"/>
  <c r="I2265" i="2" a="1"/>
  <c r="I2265" i="2"/>
  <c r="I2266" i="2" a="1"/>
  <c r="I2266" i="2"/>
  <c r="I2267" i="2" a="1"/>
  <c r="I2267" i="2" s="1"/>
  <c r="I2268" i="2" a="1"/>
  <c r="I2268" i="2"/>
  <c r="I2269" i="2" a="1"/>
  <c r="I2269" i="2"/>
  <c r="I2270" i="2" a="1"/>
  <c r="I2270" i="2"/>
  <c r="I2271" i="2" a="1"/>
  <c r="I2271" i="2"/>
  <c r="I2272" i="2" a="1"/>
  <c r="I2272" i="2"/>
  <c r="I2273" i="2" a="1"/>
  <c r="I2273" i="2" s="1"/>
  <c r="I2274" i="2" a="1"/>
  <c r="I2274" i="2"/>
  <c r="I2275" i="2" a="1"/>
  <c r="I2275" i="2"/>
  <c r="I2276" i="2" a="1"/>
  <c r="I2276" i="2"/>
  <c r="I2277" i="2" a="1"/>
  <c r="I2277" i="2"/>
  <c r="I2278" i="2" a="1"/>
  <c r="I2278" i="2"/>
  <c r="I2279" i="2" a="1"/>
  <c r="I2279" i="2" s="1"/>
  <c r="I2280" i="2" a="1"/>
  <c r="I2280" i="2"/>
  <c r="I2281" i="2" a="1"/>
  <c r="I2281" i="2"/>
  <c r="I2282" i="2" a="1"/>
  <c r="I2282" i="2"/>
  <c r="I2283" i="2" a="1"/>
  <c r="I2283" i="2"/>
  <c r="I2284" i="2" a="1"/>
  <c r="I2284" i="2"/>
  <c r="I2285" i="2" a="1"/>
  <c r="I2285" i="2" s="1"/>
  <c r="I2286" i="2" a="1"/>
  <c r="I2286" i="2"/>
  <c r="I2287" i="2" a="1"/>
  <c r="I2287" i="2"/>
  <c r="I2288" i="2" a="1"/>
  <c r="I2288" i="2"/>
  <c r="I2289" i="2" a="1"/>
  <c r="I2289" i="2"/>
  <c r="I2290" i="2" a="1"/>
  <c r="I2290" i="2"/>
  <c r="I2291" i="2" a="1"/>
  <c r="I2291" i="2" s="1"/>
  <c r="I2292" i="2" a="1"/>
  <c r="I2292" i="2"/>
  <c r="I2293" i="2" a="1"/>
  <c r="I2293" i="2"/>
  <c r="I2294" i="2" a="1"/>
  <c r="I2294" i="2"/>
  <c r="I2295" i="2" a="1"/>
  <c r="I2295" i="2"/>
  <c r="I2296" i="2" a="1"/>
  <c r="I2296" i="2"/>
  <c r="I2297" i="2" a="1"/>
  <c r="I2297" i="2" s="1"/>
  <c r="I2298" i="2" a="1"/>
  <c r="I2298" i="2"/>
  <c r="I2299" i="2" a="1"/>
  <c r="I2299" i="2"/>
  <c r="I2300" i="2" a="1"/>
  <c r="I2300" i="2"/>
  <c r="I2301" i="2" a="1"/>
  <c r="I2301" i="2"/>
  <c r="I2302" i="2" a="1"/>
  <c r="I2302" i="2"/>
  <c r="I2303" i="2" a="1"/>
  <c r="I2303" i="2" s="1"/>
  <c r="I2304" i="2" a="1"/>
  <c r="I2304" i="2"/>
  <c r="I2305" i="2" a="1"/>
  <c r="I2305" i="2"/>
  <c r="I2306" i="2" a="1"/>
  <c r="I2306" i="2"/>
  <c r="I2307" i="2" a="1"/>
  <c r="I2307" i="2"/>
  <c r="I2308" i="2" a="1"/>
  <c r="I2308" i="2"/>
  <c r="I2309" i="2" a="1"/>
  <c r="I2309" i="2" s="1"/>
  <c r="I2310" i="2" a="1"/>
  <c r="I2310" i="2"/>
  <c r="I2311" i="2" a="1"/>
  <c r="I2311" i="2"/>
  <c r="I2312" i="2" a="1"/>
  <c r="I2312" i="2"/>
  <c r="I2313" i="2" a="1"/>
  <c r="I2313" i="2"/>
  <c r="I2314" i="2" a="1"/>
  <c r="I2314" i="2"/>
  <c r="I2315" i="2" a="1"/>
  <c r="I2315" i="2" s="1"/>
  <c r="I2316" i="2" a="1"/>
  <c r="I2316" i="2"/>
  <c r="I2317" i="2" a="1"/>
  <c r="I2317" i="2"/>
  <c r="I2318" i="2" a="1"/>
  <c r="I2318" i="2"/>
  <c r="I2319" i="2" a="1"/>
  <c r="I2319" i="2"/>
  <c r="I2320" i="2" a="1"/>
  <c r="I2320" i="2"/>
  <c r="I2321" i="2" a="1"/>
  <c r="I2321" i="2" s="1"/>
  <c r="I2322" i="2" a="1"/>
  <c r="I2322" i="2"/>
  <c r="I2323" i="2" a="1"/>
  <c r="I2323" i="2"/>
  <c r="I2324" i="2" a="1"/>
  <c r="I2324" i="2"/>
  <c r="I2325" i="2" a="1"/>
  <c r="I2325" i="2"/>
  <c r="I2326" i="2" a="1"/>
  <c r="I2326" i="2"/>
  <c r="I2327" i="2" a="1"/>
  <c r="I2327" i="2" s="1"/>
  <c r="I2328" i="2" a="1"/>
  <c r="I2328" i="2"/>
  <c r="I2329" i="2" a="1"/>
  <c r="I2329" i="2"/>
  <c r="I2330" i="2" a="1"/>
  <c r="I2330" i="2"/>
  <c r="I2331" i="2" a="1"/>
  <c r="I2331" i="2"/>
  <c r="I2332" i="2" a="1"/>
  <c r="I2332" i="2"/>
  <c r="I2333" i="2" a="1"/>
  <c r="I2333" i="2" s="1"/>
  <c r="I2334" i="2" a="1"/>
  <c r="I2334" i="2"/>
  <c r="I2335" i="2" a="1"/>
  <c r="I2335" i="2"/>
  <c r="I2336" i="2" a="1"/>
  <c r="I2336" i="2"/>
  <c r="I260" i="2" a="1"/>
  <c r="I260" i="2" s="1"/>
  <c r="I261" i="2" a="1"/>
  <c r="I261" i="2" s="1"/>
  <c r="I262" i="2" a="1"/>
  <c r="I262" i="2" s="1"/>
  <c r="I263" i="2" a="1"/>
  <c r="I263" i="2" s="1"/>
  <c r="I264" i="2" a="1"/>
  <c r="I264" i="2"/>
  <c r="I265" i="2" a="1"/>
  <c r="I265" i="2" s="1"/>
  <c r="I266" i="2" a="1"/>
  <c r="I266" i="2" s="1"/>
  <c r="I267" i="2" a="1"/>
  <c r="I267" i="2" s="1"/>
  <c r="I268" i="2" a="1"/>
  <c r="I268" i="2" s="1"/>
  <c r="I269" i="2" a="1"/>
  <c r="I269" i="2" s="1"/>
  <c r="I270" i="2" a="1"/>
  <c r="I270" i="2"/>
  <c r="I271" i="2" a="1"/>
  <c r="I271" i="2"/>
  <c r="I272" i="2" a="1"/>
  <c r="I272" i="2" s="1"/>
  <c r="I273" i="2" a="1"/>
  <c r="I273" i="2" s="1"/>
  <c r="I274" i="2" a="1"/>
  <c r="I274" i="2" s="1"/>
  <c r="I275" i="2" a="1"/>
  <c r="I275" i="2" s="1"/>
  <c r="I276" i="2" a="1"/>
  <c r="I276" i="2"/>
  <c r="I277" i="2" a="1"/>
  <c r="I277" i="2"/>
  <c r="I278" i="2" a="1"/>
  <c r="I278" i="2" s="1"/>
  <c r="I279" i="2" a="1"/>
  <c r="I279" i="2" s="1"/>
  <c r="I280" i="2" a="1"/>
  <c r="I280" i="2" s="1"/>
  <c r="I281" i="2" a="1"/>
  <c r="I281" i="2" s="1"/>
  <c r="I282" i="2" a="1"/>
  <c r="I282" i="2"/>
  <c r="I283" i="2" a="1"/>
  <c r="I283" i="2"/>
  <c r="I284" i="2" a="1"/>
  <c r="I284" i="2" s="1"/>
  <c r="I285" i="2" a="1"/>
  <c r="I285" i="2" s="1"/>
  <c r="I286" i="2" a="1"/>
  <c r="I286" i="2" s="1"/>
  <c r="I287" i="2" a="1"/>
  <c r="I287" i="2" s="1"/>
  <c r="I288" i="2" a="1"/>
  <c r="I288" i="2"/>
  <c r="I289" i="2" a="1"/>
  <c r="I289" i="2"/>
  <c r="I290" i="2" a="1"/>
  <c r="I290" i="2" s="1"/>
  <c r="I291" i="2" a="1"/>
  <c r="I291" i="2" s="1"/>
  <c r="I292" i="2" a="1"/>
  <c r="I292" i="2" s="1"/>
  <c r="I293" i="2" a="1"/>
  <c r="I293" i="2" s="1"/>
  <c r="I294" i="2" a="1"/>
  <c r="I294" i="2"/>
  <c r="I295" i="2" a="1"/>
  <c r="I295" i="2"/>
  <c r="I296" i="2" a="1"/>
  <c r="I296" i="2" s="1"/>
  <c r="I297" i="2" a="1"/>
  <c r="I297" i="2" s="1"/>
  <c r="I298" i="2" a="1"/>
  <c r="I298" i="2" s="1"/>
  <c r="I299" i="2" a="1"/>
  <c r="I299" i="2" s="1"/>
  <c r="I300" i="2" a="1"/>
  <c r="I300" i="2"/>
  <c r="I301" i="2" a="1"/>
  <c r="I301" i="2"/>
  <c r="I302" i="2" a="1"/>
  <c r="I302" i="2" s="1"/>
  <c r="I303" i="2" a="1"/>
  <c r="I303" i="2" s="1"/>
  <c r="I304" i="2" a="1"/>
  <c r="I304" i="2" s="1"/>
  <c r="I305" i="2" a="1"/>
  <c r="I305" i="2" s="1"/>
  <c r="I306" i="2" a="1"/>
  <c r="I306" i="2"/>
  <c r="I307" i="2" a="1"/>
  <c r="I307" i="2"/>
  <c r="I308" i="2" a="1"/>
  <c r="I308" i="2" s="1"/>
  <c r="I309" i="2" a="1"/>
  <c r="I309" i="2" s="1"/>
  <c r="I310" i="2" a="1"/>
  <c r="I310" i="2" s="1"/>
  <c r="I311" i="2" a="1"/>
  <c r="I311" i="2" s="1"/>
  <c r="I312" i="2" a="1"/>
  <c r="I312" i="2"/>
  <c r="I313" i="2" a="1"/>
  <c r="I313" i="2"/>
  <c r="I314" i="2" a="1"/>
  <c r="I314" i="2" s="1"/>
  <c r="I315" i="2" a="1"/>
  <c r="I315" i="2" s="1"/>
  <c r="I316" i="2" a="1"/>
  <c r="I316" i="2" s="1"/>
  <c r="I317" i="2" a="1"/>
  <c r="I317" i="2" s="1"/>
  <c r="I318" i="2" a="1"/>
  <c r="I318" i="2"/>
  <c r="I319" i="2" a="1"/>
  <c r="I319" i="2"/>
  <c r="I320" i="2" a="1"/>
  <c r="I320" i="2" s="1"/>
  <c r="I321" i="2" a="1"/>
  <c r="I321" i="2" s="1"/>
  <c r="I322" i="2" a="1"/>
  <c r="I322" i="2" s="1"/>
  <c r="I323" i="2" a="1"/>
  <c r="I323" i="2" s="1"/>
  <c r="I324" i="2" a="1"/>
  <c r="I324" i="2"/>
  <c r="I325" i="2" a="1"/>
  <c r="I325" i="2"/>
  <c r="I326" i="2" a="1"/>
  <c r="I326" i="2" s="1"/>
  <c r="I327" i="2" a="1"/>
  <c r="I327" i="2" s="1"/>
  <c r="I328" i="2" a="1"/>
  <c r="I328" i="2" s="1"/>
  <c r="I329" i="2" a="1"/>
  <c r="I329" i="2" s="1"/>
  <c r="I330" i="2" a="1"/>
  <c r="I330" i="2"/>
  <c r="I331" i="2" a="1"/>
  <c r="I331" i="2"/>
  <c r="I332" i="2" a="1"/>
  <c r="I332" i="2" s="1"/>
  <c r="I333" i="2" a="1"/>
  <c r="I333" i="2" s="1"/>
  <c r="I334" i="2" a="1"/>
  <c r="I334" i="2" s="1"/>
  <c r="I335" i="2" a="1"/>
  <c r="I335" i="2" s="1"/>
  <c r="I336" i="2" a="1"/>
  <c r="I336" i="2"/>
  <c r="I337" i="2" a="1"/>
  <c r="I337" i="2"/>
  <c r="I338" i="2" a="1"/>
  <c r="I338" i="2" s="1"/>
  <c r="I339" i="2" a="1"/>
  <c r="I339" i="2" s="1"/>
  <c r="I340" i="2" a="1"/>
  <c r="I340" i="2" s="1"/>
  <c r="I341" i="2" a="1"/>
  <c r="I341" i="2" s="1"/>
  <c r="I342" i="2" a="1"/>
  <c r="I342" i="2"/>
  <c r="I343" i="2" a="1"/>
  <c r="I343" i="2"/>
  <c r="I344" i="2" a="1"/>
  <c r="I344" i="2" s="1"/>
  <c r="I345" i="2" a="1"/>
  <c r="I345" i="2" s="1"/>
  <c r="I346" i="2" a="1"/>
  <c r="I346" i="2" s="1"/>
  <c r="I347" i="2" a="1"/>
  <c r="I347" i="2" s="1"/>
  <c r="I348" i="2" a="1"/>
  <c r="I348" i="2"/>
  <c r="I349" i="2" a="1"/>
  <c r="I349" i="2"/>
  <c r="I350" i="2" a="1"/>
  <c r="I350" i="2" s="1"/>
  <c r="I351" i="2" a="1"/>
  <c r="I351" i="2" s="1"/>
  <c r="I352" i="2" a="1"/>
  <c r="I352" i="2" s="1"/>
  <c r="I353" i="2" a="1"/>
  <c r="I353" i="2" s="1"/>
  <c r="I354" i="2" a="1"/>
  <c r="I354" i="2"/>
  <c r="I355" i="2" a="1"/>
  <c r="I355" i="2"/>
  <c r="I356" i="2" a="1"/>
  <c r="I356" i="2" s="1"/>
  <c r="I357" i="2" a="1"/>
  <c r="I357" i="2" s="1"/>
  <c r="I358" i="2" a="1"/>
  <c r="I358" i="2" s="1"/>
  <c r="I359" i="2" a="1"/>
  <c r="I359" i="2" s="1"/>
  <c r="I360" i="2" a="1"/>
  <c r="I360" i="2"/>
  <c r="I361" i="2" a="1"/>
  <c r="I361" i="2"/>
  <c r="I362" i="2" a="1"/>
  <c r="I362" i="2" s="1"/>
  <c r="I363" i="2" a="1"/>
  <c r="I363" i="2" s="1"/>
  <c r="I364" i="2" a="1"/>
  <c r="I364" i="2" s="1"/>
  <c r="I365" i="2" a="1"/>
  <c r="I365" i="2" s="1"/>
  <c r="I366" i="2" a="1"/>
  <c r="I366" i="2"/>
  <c r="I367" i="2" a="1"/>
  <c r="I367" i="2"/>
  <c r="I368" i="2" a="1"/>
  <c r="I368" i="2" s="1"/>
  <c r="I369" i="2" a="1"/>
  <c r="I369" i="2" s="1"/>
  <c r="I370" i="2" a="1"/>
  <c r="I370" i="2" s="1"/>
  <c r="I371" i="2" a="1"/>
  <c r="I371" i="2" s="1"/>
  <c r="I372" i="2" a="1"/>
  <c r="I372" i="2"/>
  <c r="I373" i="2" a="1"/>
  <c r="I373" i="2"/>
  <c r="I374" i="2" a="1"/>
  <c r="I374" i="2" s="1"/>
  <c r="I375" i="2" a="1"/>
  <c r="I375" i="2" s="1"/>
  <c r="I376" i="2" a="1"/>
  <c r="I376" i="2" s="1"/>
  <c r="I377" i="2" a="1"/>
  <c r="I377" i="2" s="1"/>
  <c r="I378" i="2" a="1"/>
  <c r="I378" i="2"/>
  <c r="I379" i="2" a="1"/>
  <c r="I379" i="2"/>
  <c r="I380" i="2" a="1"/>
  <c r="I380" i="2" s="1"/>
  <c r="I381" i="2" a="1"/>
  <c r="I381" i="2" s="1"/>
  <c r="I382" i="2" a="1"/>
  <c r="I382" i="2" s="1"/>
  <c r="I383" i="2" a="1"/>
  <c r="I383" i="2" s="1"/>
  <c r="I384" i="2" a="1"/>
  <c r="I384" i="2"/>
  <c r="I385" i="2" a="1"/>
  <c r="I385" i="2"/>
  <c r="I386" i="2" a="1"/>
  <c r="I386" i="2" s="1"/>
  <c r="I387" i="2" a="1"/>
  <c r="I387" i="2" s="1"/>
  <c r="I388" i="2" a="1"/>
  <c r="I388" i="2" s="1"/>
  <c r="I389" i="2" a="1"/>
  <c r="I389" i="2" s="1"/>
  <c r="I390" i="2" a="1"/>
  <c r="I390" i="2"/>
  <c r="I391" i="2" a="1"/>
  <c r="I391" i="2"/>
  <c r="I392" i="2" a="1"/>
  <c r="I392" i="2" s="1"/>
  <c r="I393" i="2" a="1"/>
  <c r="I393" i="2" s="1"/>
  <c r="I394" i="2" a="1"/>
  <c r="I394" i="2" s="1"/>
  <c r="I395" i="2" a="1"/>
  <c r="I395" i="2" s="1"/>
  <c r="I396" i="2" a="1"/>
  <c r="I396" i="2"/>
  <c r="I397" i="2" a="1"/>
  <c r="I397" i="2"/>
  <c r="I398" i="2" a="1"/>
  <c r="I398" i="2" s="1"/>
  <c r="I399" i="2" a="1"/>
  <c r="I399" i="2" s="1"/>
  <c r="I400" i="2" a="1"/>
  <c r="I400" i="2" s="1"/>
  <c r="I401" i="2" a="1"/>
  <c r="I401" i="2" s="1"/>
  <c r="I402" i="2" a="1"/>
  <c r="I402" i="2"/>
  <c r="I403" i="2" a="1"/>
  <c r="I403" i="2"/>
  <c r="I404" i="2" a="1"/>
  <c r="I404" i="2" s="1"/>
  <c r="I405" i="2" a="1"/>
  <c r="I405" i="2" s="1"/>
  <c r="I406" i="2" a="1"/>
  <c r="I406" i="2" s="1"/>
  <c r="I407" i="2" a="1"/>
  <c r="I407" i="2" s="1"/>
  <c r="I408" i="2" a="1"/>
  <c r="I408" i="2"/>
  <c r="I409" i="2" a="1"/>
  <c r="I409" i="2"/>
  <c r="I410" i="2" a="1"/>
  <c r="I410" i="2" s="1"/>
  <c r="I411" i="2" a="1"/>
  <c r="I411" i="2" s="1"/>
  <c r="I412" i="2" a="1"/>
  <c r="I412" i="2" s="1"/>
  <c r="I413" i="2" a="1"/>
  <c r="I413" i="2" s="1"/>
  <c r="I414" i="2" a="1"/>
  <c r="I414" i="2"/>
  <c r="I415" i="2" a="1"/>
  <c r="I415" i="2"/>
  <c r="I416" i="2" a="1"/>
  <c r="I416" i="2" s="1"/>
  <c r="I417" i="2" a="1"/>
  <c r="I417" i="2" s="1"/>
  <c r="I418" i="2" a="1"/>
  <c r="I418" i="2" s="1"/>
  <c r="I419" i="2" a="1"/>
  <c r="I419" i="2" s="1"/>
  <c r="I420" i="2" a="1"/>
  <c r="I420" i="2"/>
  <c r="I421" i="2" a="1"/>
  <c r="I421" i="2"/>
  <c r="I422" i="2" a="1"/>
  <c r="I422" i="2" s="1"/>
  <c r="I423" i="2" a="1"/>
  <c r="I423" i="2" s="1"/>
  <c r="I424" i="2" a="1"/>
  <c r="I424" i="2" s="1"/>
  <c r="I425" i="2" a="1"/>
  <c r="I425" i="2" s="1"/>
  <c r="I426" i="2" a="1"/>
  <c r="I426" i="2"/>
  <c r="I427" i="2" a="1"/>
  <c r="I427" i="2"/>
  <c r="I428" i="2" a="1"/>
  <c r="I428" i="2" s="1"/>
  <c r="I429" i="2" a="1"/>
  <c r="I429" i="2" s="1"/>
  <c r="I430" i="2" a="1"/>
  <c r="I430" i="2" s="1"/>
  <c r="I431" i="2" a="1"/>
  <c r="I431" i="2" s="1"/>
  <c r="I432" i="2" a="1"/>
  <c r="I432" i="2"/>
  <c r="I433" i="2" a="1"/>
  <c r="I433" i="2"/>
  <c r="I434" i="2" a="1"/>
  <c r="I434" i="2" s="1"/>
  <c r="I435" i="2" a="1"/>
  <c r="I435" i="2" s="1"/>
  <c r="I436" i="2" a="1"/>
  <c r="I436" i="2" s="1"/>
  <c r="I437" i="2" a="1"/>
  <c r="I437" i="2" s="1"/>
  <c r="I438" i="2" a="1"/>
  <c r="I438" i="2"/>
  <c r="I439" i="2" a="1"/>
  <c r="I439" i="2"/>
  <c r="I440" i="2" a="1"/>
  <c r="I440" i="2" s="1"/>
  <c r="I441" i="2" a="1"/>
  <c r="I441" i="2" s="1"/>
  <c r="I442" i="2" a="1"/>
  <c r="I442" i="2" s="1"/>
  <c r="I443" i="2" a="1"/>
  <c r="I443" i="2" s="1"/>
  <c r="I444" i="2" a="1"/>
  <c r="I444" i="2"/>
  <c r="I445" i="2" a="1"/>
  <c r="I445" i="2"/>
  <c r="I446" i="2" a="1"/>
  <c r="I446" i="2" s="1"/>
  <c r="I447" i="2" a="1"/>
  <c r="I447" i="2" s="1"/>
  <c r="I448" i="2" a="1"/>
  <c r="I448" i="2" s="1"/>
  <c r="I449" i="2" a="1"/>
  <c r="I449" i="2" s="1"/>
  <c r="I450" i="2" a="1"/>
  <c r="I450" i="2"/>
  <c r="I451" i="2" a="1"/>
  <c r="I451" i="2"/>
  <c r="I452" i="2" a="1"/>
  <c r="I452" i="2" s="1"/>
  <c r="I453" i="2" a="1"/>
  <c r="I453" i="2" s="1"/>
  <c r="I454" i="2" a="1"/>
  <c r="I454" i="2" s="1"/>
  <c r="I455" i="2" a="1"/>
  <c r="I455" i="2" s="1"/>
  <c r="I456" i="2" a="1"/>
  <c r="I456" i="2"/>
  <c r="I457" i="2" a="1"/>
  <c r="I457" i="2"/>
  <c r="I458" i="2" a="1"/>
  <c r="I458" i="2" s="1"/>
  <c r="I3" i="2" a="1"/>
  <c r="I3" i="2" s="1"/>
  <c r="I4" i="2" a="1"/>
  <c r="I4" i="2"/>
  <c r="I5" i="2" a="1"/>
  <c r="I5" i="2"/>
  <c r="I6" i="2" a="1"/>
  <c r="I6" i="2"/>
  <c r="I7" i="2" a="1"/>
  <c r="I7" i="2"/>
  <c r="I8" i="2" a="1"/>
  <c r="I8" i="2"/>
  <c r="I9" i="2" a="1"/>
  <c r="I9" i="2" s="1"/>
  <c r="I10" i="2" a="1"/>
  <c r="I10" i="2"/>
  <c r="I11" i="2" a="1"/>
  <c r="I11" i="2"/>
  <c r="I12" i="2" a="1"/>
  <c r="I12" i="2"/>
  <c r="I13" i="2" a="1"/>
  <c r="I13" i="2"/>
  <c r="I14" i="2" a="1"/>
  <c r="I14" i="2"/>
  <c r="I15" i="2" a="1"/>
  <c r="I15" i="2" s="1"/>
  <c r="I16" i="2" a="1"/>
  <c r="I16" i="2"/>
  <c r="I17" i="2" a="1"/>
  <c r="I17" i="2"/>
  <c r="I18" i="2" a="1"/>
  <c r="I18" i="2"/>
  <c r="I19" i="2" a="1"/>
  <c r="I19" i="2"/>
  <c r="I20" i="2" a="1"/>
  <c r="I20" i="2"/>
  <c r="I21" i="2" a="1"/>
  <c r="I21" i="2" s="1"/>
  <c r="I22" i="2" a="1"/>
  <c r="I22" i="2"/>
  <c r="I23" i="2" a="1"/>
  <c r="I23" i="2"/>
  <c r="I24" i="2" a="1"/>
  <c r="I24" i="2"/>
  <c r="I25" i="2" a="1"/>
  <c r="I25" i="2"/>
  <c r="I26" i="2" a="1"/>
  <c r="I26" i="2"/>
  <c r="I27" i="2" a="1"/>
  <c r="I27" i="2" s="1"/>
  <c r="I28" i="2" a="1"/>
  <c r="I28" i="2"/>
  <c r="I29" i="2" a="1"/>
  <c r="I29" i="2"/>
  <c r="I30" i="2" a="1"/>
  <c r="I30" i="2"/>
  <c r="I31" i="2" a="1"/>
  <c r="I31" i="2"/>
  <c r="I32" i="2" a="1"/>
  <c r="I32" i="2"/>
  <c r="I33" i="2" a="1"/>
  <c r="I33" i="2" s="1"/>
  <c r="I34" i="2" a="1"/>
  <c r="I34" i="2"/>
  <c r="I35" i="2" a="1"/>
  <c r="I35" i="2"/>
  <c r="I36" i="2" a="1"/>
  <c r="I36" i="2"/>
  <c r="I37" i="2" a="1"/>
  <c r="I37" i="2"/>
  <c r="I38" i="2" a="1"/>
  <c r="I38" i="2"/>
  <c r="I39" i="2" a="1"/>
  <c r="I39" i="2" s="1"/>
  <c r="I40" i="2" a="1"/>
  <c r="I40" i="2"/>
  <c r="I41" i="2" a="1"/>
  <c r="I41" i="2"/>
  <c r="I42" i="2" a="1"/>
  <c r="I42" i="2"/>
  <c r="I43" i="2" a="1"/>
  <c r="I43" i="2"/>
  <c r="I44" i="2" a="1"/>
  <c r="I44" i="2"/>
  <c r="I45" i="2" a="1"/>
  <c r="I45" i="2" s="1"/>
  <c r="I46" i="2" a="1"/>
  <c r="I46" i="2"/>
  <c r="I47" i="2" a="1"/>
  <c r="I47" i="2"/>
  <c r="I48" i="2" a="1"/>
  <c r="I48" i="2"/>
  <c r="I49" i="2" a="1"/>
  <c r="I49" i="2"/>
  <c r="I50" i="2" a="1"/>
  <c r="I50" i="2"/>
  <c r="I51" i="2" a="1"/>
  <c r="I51" i="2" s="1"/>
  <c r="I52" i="2" a="1"/>
  <c r="I52" i="2"/>
  <c r="I53" i="2" a="1"/>
  <c r="I53" i="2"/>
  <c r="I54" i="2" a="1"/>
  <c r="I54" i="2"/>
  <c r="I55" i="2" a="1"/>
  <c r="I55" i="2"/>
  <c r="I56" i="2" a="1"/>
  <c r="I56" i="2"/>
  <c r="I57" i="2" a="1"/>
  <c r="I57" i="2" s="1"/>
  <c r="I58" i="2" a="1"/>
  <c r="I58" i="2"/>
  <c r="I59" i="2" a="1"/>
  <c r="I59" i="2"/>
  <c r="I60" i="2" a="1"/>
  <c r="I60" i="2"/>
  <c r="I61" i="2" a="1"/>
  <c r="I61" i="2"/>
  <c r="I62" i="2" a="1"/>
  <c r="I62" i="2"/>
  <c r="I63" i="2" a="1"/>
  <c r="I63" i="2" s="1"/>
  <c r="I64" i="2" a="1"/>
  <c r="I64" i="2"/>
  <c r="I65" i="2" a="1"/>
  <c r="I65" i="2"/>
  <c r="I66" i="2" a="1"/>
  <c r="I66" i="2"/>
  <c r="I67" i="2" a="1"/>
  <c r="I67" i="2"/>
  <c r="I68" i="2" a="1"/>
  <c r="I68" i="2"/>
  <c r="I69" i="2" a="1"/>
  <c r="I69" i="2" s="1"/>
  <c r="I70" i="2" a="1"/>
  <c r="I70" i="2"/>
  <c r="I71" i="2" a="1"/>
  <c r="I71" i="2"/>
  <c r="I72" i="2" a="1"/>
  <c r="I72" i="2"/>
  <c r="I73" i="2" a="1"/>
  <c r="I73" i="2"/>
  <c r="I74" i="2" a="1"/>
  <c r="I74" i="2"/>
  <c r="I75" i="2" a="1"/>
  <c r="I75" i="2" s="1"/>
  <c r="I76" i="2" a="1"/>
  <c r="I76" i="2"/>
  <c r="I77" i="2" a="1"/>
  <c r="I77" i="2"/>
  <c r="I78" i="2" a="1"/>
  <c r="I78" i="2"/>
  <c r="I79" i="2" a="1"/>
  <c r="I79" i="2"/>
  <c r="I80" i="2" a="1"/>
  <c r="I80" i="2"/>
  <c r="I81" i="2" a="1"/>
  <c r="I81" i="2" s="1"/>
  <c r="I82" i="2" a="1"/>
  <c r="I82" i="2"/>
  <c r="I83" i="2" a="1"/>
  <c r="I83" i="2"/>
  <c r="I84" i="2" a="1"/>
  <c r="I84" i="2"/>
  <c r="I85" i="2" a="1"/>
  <c r="I85" i="2"/>
  <c r="I86" i="2" a="1"/>
  <c r="I86" i="2"/>
  <c r="I87" i="2" a="1"/>
  <c r="I87" i="2" s="1"/>
  <c r="I88" i="2" a="1"/>
  <c r="I88" i="2"/>
  <c r="I89" i="2" a="1"/>
  <c r="I89" i="2"/>
  <c r="I90" i="2" a="1"/>
  <c r="I90" i="2"/>
  <c r="I91" i="2" a="1"/>
  <c r="I91" i="2"/>
  <c r="I92" i="2" a="1"/>
  <c r="I92" i="2"/>
  <c r="I93" i="2" a="1"/>
  <c r="I93" i="2" s="1"/>
  <c r="I94" i="2" a="1"/>
  <c r="I94" i="2"/>
  <c r="I95" i="2" a="1"/>
  <c r="I95" i="2"/>
  <c r="I96" i="2" a="1"/>
  <c r="I96" i="2"/>
  <c r="I97" i="2" a="1"/>
  <c r="I97" i="2"/>
  <c r="I98" i="2" a="1"/>
  <c r="I98" i="2"/>
  <c r="I99" i="2" a="1"/>
  <c r="I99" i="2" s="1"/>
  <c r="I100" i="2" a="1"/>
  <c r="I100" i="2"/>
  <c r="I101" i="2" a="1"/>
  <c r="I101" i="2"/>
  <c r="I102" i="2" a="1"/>
  <c r="I102" i="2"/>
  <c r="I103" i="2" a="1"/>
  <c r="I103" i="2"/>
  <c r="I104" i="2" a="1"/>
  <c r="I104" i="2"/>
  <c r="I105" i="2" a="1"/>
  <c r="I105" i="2" s="1"/>
  <c r="I106" i="2" a="1"/>
  <c r="I106" i="2"/>
  <c r="I107" i="2" a="1"/>
  <c r="I107" i="2"/>
  <c r="I108" i="2" a="1"/>
  <c r="I108" i="2"/>
  <c r="I109" i="2" a="1"/>
  <c r="I109" i="2"/>
  <c r="I110" i="2" a="1"/>
  <c r="I110" i="2"/>
  <c r="I111" i="2" a="1"/>
  <c r="I111" i="2" s="1"/>
  <c r="I112" i="2" a="1"/>
  <c r="I112" i="2"/>
  <c r="I113" i="2" a="1"/>
  <c r="I113" i="2"/>
  <c r="I114" i="2" a="1"/>
  <c r="I114" i="2"/>
  <c r="I115" i="2" a="1"/>
  <c r="I115" i="2"/>
  <c r="I116" i="2" a="1"/>
  <c r="I116" i="2"/>
  <c r="I117" i="2" a="1"/>
  <c r="I117" i="2" s="1"/>
  <c r="I118" i="2" a="1"/>
  <c r="I118" i="2"/>
  <c r="I119" i="2" a="1"/>
  <c r="I119" i="2"/>
  <c r="I120" i="2" a="1"/>
  <c r="I120" i="2"/>
  <c r="I121" i="2" a="1"/>
  <c r="I121" i="2"/>
  <c r="I122" i="2" a="1"/>
  <c r="I122" i="2"/>
  <c r="I123" i="2" a="1"/>
  <c r="I123" i="2" s="1"/>
  <c r="I124" i="2" a="1"/>
  <c r="I124" i="2"/>
  <c r="I125" i="2" a="1"/>
  <c r="I125" i="2"/>
  <c r="I126" i="2" a="1"/>
  <c r="I126" i="2"/>
  <c r="I127" i="2" a="1"/>
  <c r="I127" i="2"/>
  <c r="I128" i="2" a="1"/>
  <c r="I128" i="2"/>
  <c r="I129" i="2" a="1"/>
  <c r="I129" i="2" s="1"/>
  <c r="I130" i="2" a="1"/>
  <c r="I130" i="2"/>
  <c r="I131" i="2" a="1"/>
  <c r="I131" i="2"/>
  <c r="I132" i="2" a="1"/>
  <c r="I132" i="2"/>
  <c r="I133" i="2" a="1"/>
  <c r="I133" i="2"/>
  <c r="I134" i="2" a="1"/>
  <c r="I134" i="2"/>
  <c r="I135" i="2" a="1"/>
  <c r="I135" i="2" s="1"/>
  <c r="I136" i="2" a="1"/>
  <c r="I136" i="2"/>
  <c r="I137" i="2" a="1"/>
  <c r="I137" i="2"/>
  <c r="I138" i="2" a="1"/>
  <c r="I138" i="2"/>
  <c r="I139" i="2" a="1"/>
  <c r="I139" i="2"/>
  <c r="I140" i="2" a="1"/>
  <c r="I140" i="2"/>
  <c r="I141" i="2" a="1"/>
  <c r="I141" i="2" s="1"/>
  <c r="I142" i="2" a="1"/>
  <c r="I142" i="2"/>
  <c r="I143" i="2" a="1"/>
  <c r="I143" i="2"/>
  <c r="I144" i="2" a="1"/>
  <c r="I144" i="2"/>
  <c r="I145" i="2" a="1"/>
  <c r="I145" i="2"/>
  <c r="I146" i="2" a="1"/>
  <c r="I146" i="2"/>
  <c r="I147" i="2" a="1"/>
  <c r="I147" i="2" s="1"/>
  <c r="I148" i="2" a="1"/>
  <c r="I148" i="2"/>
  <c r="I149" i="2" a="1"/>
  <c r="I149" i="2"/>
  <c r="I150" i="2" a="1"/>
  <c r="I150" i="2"/>
  <c r="I151" i="2" a="1"/>
  <c r="I151" i="2"/>
  <c r="I152" i="2" a="1"/>
  <c r="I152" i="2"/>
  <c r="I153" i="2" a="1"/>
  <c r="I153" i="2" s="1"/>
  <c r="I154" i="2" a="1"/>
  <c r="I154" i="2"/>
  <c r="I155" i="2" a="1"/>
  <c r="I155" i="2"/>
  <c r="I156" i="2" a="1"/>
  <c r="I156" i="2"/>
  <c r="I157" i="2" a="1"/>
  <c r="I157" i="2"/>
  <c r="I158" i="2" a="1"/>
  <c r="I158" i="2"/>
  <c r="I159" i="2" a="1"/>
  <c r="I159" i="2" s="1"/>
  <c r="I160" i="2" a="1"/>
  <c r="I160" i="2"/>
  <c r="I161" i="2" a="1"/>
  <c r="I161" i="2"/>
  <c r="I162" i="2" a="1"/>
  <c r="I162" i="2"/>
  <c r="I163" i="2" a="1"/>
  <c r="I163" i="2"/>
  <c r="I164" i="2" a="1"/>
  <c r="I164" i="2"/>
  <c r="I165" i="2" a="1"/>
  <c r="I165" i="2" s="1"/>
  <c r="I166" i="2" a="1"/>
  <c r="I166" i="2"/>
  <c r="I167" i="2" a="1"/>
  <c r="I167" i="2"/>
  <c r="I168" i="2" a="1"/>
  <c r="I168" i="2"/>
  <c r="I169" i="2" a="1"/>
  <c r="I169" i="2"/>
  <c r="I170" i="2" a="1"/>
  <c r="I170" i="2"/>
  <c r="I171" i="2" a="1"/>
  <c r="I171" i="2" s="1"/>
  <c r="I172" i="2" a="1"/>
  <c r="I172" i="2"/>
  <c r="I173" i="2" a="1"/>
  <c r="I173" i="2"/>
  <c r="I174" i="2" a="1"/>
  <c r="I174" i="2"/>
  <c r="I175" i="2" a="1"/>
  <c r="I175" i="2"/>
  <c r="I176" i="2" a="1"/>
  <c r="I176" i="2"/>
  <c r="I177" i="2" a="1"/>
  <c r="I177" i="2" s="1"/>
  <c r="I178" i="2" a="1"/>
  <c r="I178" i="2"/>
  <c r="I179" i="2" a="1"/>
  <c r="I179" i="2"/>
  <c r="I180" i="2" a="1"/>
  <c r="I180" i="2"/>
  <c r="I181" i="2" a="1"/>
  <c r="I181" i="2"/>
  <c r="I182" i="2" a="1"/>
  <c r="I182" i="2"/>
  <c r="I183" i="2" a="1"/>
  <c r="I183" i="2" s="1"/>
  <c r="I184" i="2" a="1"/>
  <c r="I184" i="2"/>
  <c r="I185" i="2" a="1"/>
  <c r="I185" i="2"/>
  <c r="I186" i="2" a="1"/>
  <c r="I186" i="2"/>
  <c r="I187" i="2" a="1"/>
  <c r="I187" i="2"/>
  <c r="I188" i="2" a="1"/>
  <c r="I188" i="2"/>
  <c r="I189" i="2" a="1"/>
  <c r="I189" i="2" s="1"/>
  <c r="I190" i="2" a="1"/>
  <c r="I190" i="2"/>
  <c r="I191" i="2" a="1"/>
  <c r="I191" i="2"/>
  <c r="I192" i="2" a="1"/>
  <c r="I192" i="2"/>
  <c r="I193" i="2" a="1"/>
  <c r="I193" i="2"/>
  <c r="I194" i="2" a="1"/>
  <c r="I194" i="2"/>
  <c r="I195" i="2" a="1"/>
  <c r="I195" i="2" s="1"/>
  <c r="I196" i="2" a="1"/>
  <c r="I196" i="2"/>
  <c r="I197" i="2" a="1"/>
  <c r="I197" i="2"/>
  <c r="I198" i="2" a="1"/>
  <c r="I198" i="2"/>
  <c r="I199" i="2" a="1"/>
  <c r="I199" i="2"/>
  <c r="I200" i="2" a="1"/>
  <c r="I200" i="2"/>
  <c r="I201" i="2" a="1"/>
  <c r="I201" i="2" s="1"/>
  <c r="I202" i="2" a="1"/>
  <c r="I202" i="2"/>
  <c r="I203" i="2" a="1"/>
  <c r="I203" i="2"/>
  <c r="I204" i="2" a="1"/>
  <c r="I204" i="2"/>
  <c r="I205" i="2" a="1"/>
  <c r="I205" i="2"/>
  <c r="I206" i="2" a="1"/>
  <c r="I206" i="2"/>
  <c r="I207" i="2" a="1"/>
  <c r="I207" i="2" s="1"/>
  <c r="I208" i="2" a="1"/>
  <c r="I208" i="2"/>
  <c r="I209" i="2" a="1"/>
  <c r="I209" i="2"/>
  <c r="I210" i="2" a="1"/>
  <c r="I210" i="2"/>
  <c r="I211" i="2" a="1"/>
  <c r="I211" i="2"/>
  <c r="I212" i="2" a="1"/>
  <c r="I212" i="2"/>
  <c r="I213" i="2" a="1"/>
  <c r="I213" i="2" s="1"/>
  <c r="I214" i="2" a="1"/>
  <c r="I214" i="2"/>
  <c r="I215" i="2" a="1"/>
  <c r="I215" i="2"/>
  <c r="I216" i="2" a="1"/>
  <c r="I216" i="2"/>
  <c r="I217" i="2" a="1"/>
  <c r="I217" i="2"/>
  <c r="I218" i="2" a="1"/>
  <c r="I218" i="2"/>
  <c r="I219" i="2" a="1"/>
  <c r="I219" i="2" s="1"/>
  <c r="I220" i="2" a="1"/>
  <c r="I220" i="2"/>
  <c r="I221" i="2" a="1"/>
  <c r="I221" i="2"/>
  <c r="I222" i="2" a="1"/>
  <c r="I222" i="2"/>
  <c r="I223" i="2" a="1"/>
  <c r="I223" i="2"/>
  <c r="I224" i="2" a="1"/>
  <c r="I224" i="2"/>
  <c r="I225" i="2" a="1"/>
  <c r="I225" i="2" s="1"/>
  <c r="I226" i="2" a="1"/>
  <c r="I226" i="2"/>
  <c r="I227" i="2" a="1"/>
  <c r="I227" i="2"/>
  <c r="I228" i="2" a="1"/>
  <c r="I228" i="2"/>
  <c r="I229" i="2" a="1"/>
  <c r="I229" i="2"/>
  <c r="I230" i="2" a="1"/>
  <c r="I230" i="2"/>
  <c r="I231" i="2" a="1"/>
  <c r="I231" i="2" s="1"/>
  <c r="I232" i="2" a="1"/>
  <c r="I232" i="2"/>
  <c r="I233" i="2" a="1"/>
  <c r="I233" i="2"/>
  <c r="I234" i="2" a="1"/>
  <c r="I234" i="2"/>
  <c r="I235" i="2" a="1"/>
  <c r="I235" i="2"/>
  <c r="I236" i="2" a="1"/>
  <c r="I236" i="2"/>
  <c r="I237" i="2" a="1"/>
  <c r="I237" i="2" s="1"/>
  <c r="I238" i="2" a="1"/>
  <c r="I238" i="2"/>
  <c r="I239" i="2" a="1"/>
  <c r="I239" i="2"/>
  <c r="I240" i="2" a="1"/>
  <c r="I240" i="2"/>
  <c r="I241" i="2" a="1"/>
  <c r="I241" i="2"/>
  <c r="I242" i="2" a="1"/>
  <c r="I242" i="2"/>
  <c r="I243" i="2" a="1"/>
  <c r="I243" i="2" s="1"/>
  <c r="I244" i="2" a="1"/>
  <c r="I244" i="2"/>
  <c r="I245" i="2" a="1"/>
  <c r="I245" i="2"/>
  <c r="I246" i="2" a="1"/>
  <c r="I246" i="2"/>
  <c r="I247" i="2" a="1"/>
  <c r="I247" i="2"/>
  <c r="I248" i="2" a="1"/>
  <c r="I248" i="2"/>
  <c r="I249" i="2" a="1"/>
  <c r="I249" i="2" s="1"/>
  <c r="I250" i="2" a="1"/>
  <c r="I250" i="2"/>
  <c r="I251" i="2" a="1"/>
  <c r="I251" i="2"/>
  <c r="I252" i="2" a="1"/>
  <c r="I252" i="2"/>
  <c r="I253" i="2" a="1"/>
  <c r="I253" i="2"/>
  <c r="I254" i="2" a="1"/>
  <c r="I254" i="2"/>
  <c r="I255" i="2" a="1"/>
  <c r="I255" i="2" s="1"/>
  <c r="I256" i="2" a="1"/>
  <c r="I256" i="2"/>
  <c r="I257" i="2" a="1"/>
  <c r="I257" i="2"/>
  <c r="I258" i="2" a="1"/>
  <c r="I258" i="2"/>
  <c r="I259" i="2" a="1"/>
  <c r="I259" i="2"/>
  <c r="I2" i="2" a="1"/>
  <c r="I2" i="2" s="1"/>
  <c r="L4" i="2"/>
  <c r="L3" i="2"/>
  <c r="M7" i="2" a="1"/>
  <c r="M7" i="2" s="1"/>
  <c r="L17" i="1"/>
  <c r="J546" i="1"/>
  <c r="P5" i="1"/>
  <c r="P6" i="1"/>
  <c r="P4" i="1"/>
  <c r="L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<sst xmlns="http://schemas.openxmlformats.org/spreadsheetml/2006/main" count="39780" uniqueCount="12829">
  <si>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</si>
  <si>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</si>
  <si>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</si>
  <si>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</si>
  <si>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</si>
  <si>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</si>
  <si>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</si>
  <si>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</si>
  <si>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</si>
  <si>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</si>
  <si>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</si>
  <si>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</si>
  <si>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</si>
  <si>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</si>
  <si>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</si>
  <si>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</si>
  <si>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</si>
  <si>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</si>
  <si>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</si>
  <si>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</si>
  <si>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</si>
  <si>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</si>
  <si>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</si>
  <si>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</si>
  <si>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</si>
  <si>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</si>
  <si>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</si>
  <si>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</si>
  <si>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</si>
  <si>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</si>
  <si>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</si>
  <si>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</si>
  <si>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</si>
  <si>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</si>
  <si>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</si>
  <si>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</si>
  <si>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</si>
  <si>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</si>
  <si>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</si>
  <si>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</si>
  <si>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</si>
  <si>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</si>
  <si>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</si>
  <si>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</si>
  <si>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</si>
  <si>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</si>
  <si>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</si>
  <si>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</si>
  <si>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</si>
  <si>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</si>
  <si>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</si>
  <si>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</si>
  <si>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</si>
  <si>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</si>
  <si>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</si>
  <si>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</si>
  <si>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</si>
  <si>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</si>
  <si>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</si>
  <si>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</si>
  <si>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</si>
  <si>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</si>
  <si>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</si>
  <si>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</si>
  <si>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</si>
  <si>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</si>
  <si>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</si>
  <si>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</si>
  <si>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</si>
  <si>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</si>
  <si>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</si>
  <si>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</si>
  <si>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</si>
  <si>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</si>
  <si>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</si>
  <si>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</si>
  <si>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</si>
  <si>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</si>
  <si>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</si>
  <si>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</si>
  <si>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</si>
  <si>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</si>
  <si>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</si>
  <si>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</si>
  <si>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</si>
  <si>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</si>
  <si>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</si>
  <si>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</si>
  <si>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</si>
  <si>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</si>
  <si>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</si>
  <si>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</si>
  <si>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</si>
  <si>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</si>
  <si>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</si>
  <si>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</si>
  <si>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</si>
  <si>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</si>
  <si>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</si>
  <si>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</si>
  <si>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</si>
  <si>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</si>
  <si>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</si>
  <si>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</si>
  <si>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</si>
  <si>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</si>
  <si>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</si>
  <si>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</si>
  <si>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</si>
  <si>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</si>
  <si>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</si>
  <si>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</si>
  <si>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</si>
  <si>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</si>
  <si>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</si>
  <si>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</si>
  <si>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</si>
  <si>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</si>
  <si>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</si>
  <si>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</si>
  <si>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</si>
  <si>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</si>
  <si>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</si>
  <si>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</si>
  <si>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</si>
  <si>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</si>
  <si>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</si>
  <si>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</si>
  <si>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</si>
  <si>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</si>
  <si>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</si>
  <si>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</si>
  <si>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</si>
  <si>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</si>
  <si>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</si>
  <si>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</si>
  <si>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</si>
  <si>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</si>
  <si>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</si>
  <si>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</si>
  <si>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</si>
  <si>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</si>
  <si>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</si>
  <si>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</si>
  <si>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</si>
  <si>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</si>
  <si>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</si>
  <si>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</si>
  <si>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</si>
  <si>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</si>
  <si>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</si>
  <si>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</si>
  <si>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</si>
  <si>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</si>
  <si>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</si>
  <si>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</si>
  <si>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</si>
  <si>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</si>
  <si>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</si>
  <si>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</si>
  <si>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</si>
  <si>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</si>
  <si>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</si>
  <si>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</si>
  <si>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</si>
  <si>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</si>
  <si>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</si>
  <si>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</si>
  <si>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</si>
  <si>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</si>
  <si>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</si>
  <si>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</si>
  <si>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</si>
  <si>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</si>
  <si>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</si>
  <si>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</si>
  <si>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</si>
  <si>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</si>
  <si>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</si>
  <si>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</si>
  <si>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</si>
  <si>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</si>
  <si>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</si>
  <si>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</si>
  <si>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</si>
  <si>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</si>
  <si>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</si>
  <si>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</si>
  <si>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</si>
  <si>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</si>
  <si>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</si>
  <si>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</si>
  <si>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</si>
  <si>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</si>
  <si>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</si>
  <si>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</si>
  <si>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</si>
  <si>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</si>
  <si>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</si>
  <si>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</si>
  <si>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</si>
  <si>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</si>
  <si>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</si>
  <si>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</si>
  <si>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</si>
  <si>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</si>
  <si>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</si>
  <si>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</si>
  <si>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</si>
  <si>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</si>
  <si>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</si>
  <si>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</si>
  <si>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</si>
  <si>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</si>
  <si>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</si>
  <si>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</si>
  <si>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</si>
  <si>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</si>
  <si>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</si>
  <si>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</si>
  <si>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</si>
  <si>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</si>
  <si>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</si>
  <si>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</si>
  <si>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</si>
  <si>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</si>
  <si>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</si>
  <si>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</si>
  <si>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</si>
  <si>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</si>
  <si>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</si>
  <si>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</si>
  <si>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</si>
  <si>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</si>
  <si>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</si>
  <si>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</si>
  <si>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</si>
  <si>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</si>
  <si>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</si>
  <si>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</si>
  <si>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</si>
  <si>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</si>
  <si>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</si>
  <si>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</si>
  <si>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</si>
  <si>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</si>
  <si>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</si>
  <si>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</si>
  <si>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</si>
  <si>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</si>
  <si>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</si>
  <si>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</si>
  <si>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</si>
  <si>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</si>
  <si>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</si>
  <si>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</si>
  <si>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</si>
  <si>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</si>
  <si>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</si>
  <si>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</si>
  <si>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</si>
  <si>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</si>
  <si>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</si>
  <si>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</si>
  <si>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</si>
  <si>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</si>
  <si>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</si>
  <si>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</si>
  <si>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</si>
  <si>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</si>
  <si>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</si>
  <si>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</si>
  <si>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</si>
  <si>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</si>
  <si>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</si>
  <si>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</si>
  <si>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</si>
  <si>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</si>
  <si>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</si>
  <si>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</si>
  <si>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</si>
  <si>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</si>
  <si>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</si>
  <si>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</si>
  <si>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</si>
  <si>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</si>
  <si>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</si>
  <si>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</si>
  <si>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</si>
  <si>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</si>
  <si>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</si>
  <si>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</si>
  <si>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</si>
  <si>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</si>
  <si>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</si>
  <si>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</si>
  <si>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</si>
  <si>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</si>
  <si>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</si>
  <si>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</si>
  <si>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</si>
  <si>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</si>
  <si>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</si>
  <si>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</si>
  <si>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</si>
  <si>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</si>
  <si>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</si>
  <si>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</si>
  <si>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</si>
  <si>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</si>
  <si>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</si>
  <si>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</si>
  <si>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</si>
  <si>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</si>
  <si>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</si>
  <si>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</si>
  <si>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</si>
  <si>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</si>
  <si>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</si>
  <si>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</si>
  <si>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</si>
  <si>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</si>
  <si>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</si>
  <si>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</si>
  <si>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</si>
  <si>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</si>
  <si>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</si>
  <si>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</si>
  <si>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</si>
  <si>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</si>
  <si>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</si>
  <si>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</si>
  <si>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</si>
  <si>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</si>
  <si>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</si>
  <si>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</si>
  <si>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</si>
  <si>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</si>
  <si>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</si>
  <si>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</si>
  <si>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</si>
  <si>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</si>
  <si>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</si>
  <si>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</si>
  <si>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</si>
  <si>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</si>
  <si>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</si>
  <si>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</si>
  <si>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</si>
  <si>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</si>
  <si>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</si>
  <si>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</si>
  <si>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</si>
  <si>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</si>
  <si>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</si>
  <si>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</si>
  <si>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</si>
  <si>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</si>
  <si>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</si>
  <si>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</si>
  <si>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</si>
  <si>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</si>
  <si>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</si>
  <si>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</si>
  <si>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</si>
  <si>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</si>
  <si>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</si>
  <si>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</si>
  <si>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</si>
  <si>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</si>
  <si>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</si>
  <si>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</si>
  <si>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</si>
  <si>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</si>
  <si>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</si>
  <si>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</si>
  <si>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</si>
  <si>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</si>
  <si>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</si>
  <si>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</si>
  <si>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</si>
  <si>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</si>
  <si>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</si>
  <si>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</si>
  <si>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</si>
  <si>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</si>
  <si>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</si>
  <si>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</si>
  <si>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</si>
  <si>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</si>
  <si>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</si>
  <si>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</si>
  <si>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</si>
  <si>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</si>
  <si>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</si>
  <si>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</si>
  <si>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</si>
  <si>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</si>
  <si>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</si>
  <si>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</si>
  <si>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</si>
  <si>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</si>
  <si>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</si>
  <si>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</si>
  <si>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</si>
  <si>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</si>
  <si>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</si>
  <si>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</si>
  <si>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</si>
  <si>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</si>
  <si>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</si>
  <si>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</si>
  <si>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</si>
  <si>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</si>
  <si>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</si>
  <si>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</si>
  <si>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</si>
  <si>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</si>
  <si>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</si>
  <si>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</si>
  <si>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</si>
  <si>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</si>
  <si>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</si>
  <si>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</si>
  <si>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</si>
  <si>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</si>
  <si>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</si>
  <si>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</si>
  <si>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</si>
  <si>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</si>
  <si>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</si>
  <si>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</si>
  <si>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</si>
  <si>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</si>
  <si>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</si>
  <si>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</si>
  <si>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</si>
  <si>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</si>
  <si>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</si>
  <si>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</si>
  <si>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</si>
  <si>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</si>
  <si>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</si>
  <si>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</si>
  <si>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</si>
  <si>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</si>
  <si>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</si>
  <si>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</si>
  <si>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</si>
  <si>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</si>
  <si>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</si>
  <si>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</si>
  <si>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</si>
  <si>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</si>
  <si>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</si>
  <si>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</si>
  <si>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</si>
  <si>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</si>
  <si>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</si>
  <si>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</si>
  <si>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</si>
  <si>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</si>
  <si>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</si>
  <si>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</si>
  <si>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</si>
  <si>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</si>
  <si>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</si>
  <si>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</si>
  <si>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</si>
  <si>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</si>
  <si>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</si>
  <si>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</si>
  <si>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</si>
  <si>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</si>
  <si>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</si>
  <si>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</si>
  <si>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</si>
  <si>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</si>
  <si>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</si>
  <si>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</si>
  <si>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</si>
  <si>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</si>
  <si>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</si>
  <si>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</si>
  <si>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</si>
  <si>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</si>
  <si>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</si>
  <si>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</si>
  <si>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</si>
  <si>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</si>
  <si>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</si>
  <si>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</si>
  <si>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</si>
  <si>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</si>
  <si>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</si>
  <si>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</si>
  <si>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</si>
  <si>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</si>
  <si>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</si>
  <si>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</si>
  <si>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</si>
  <si>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</si>
  <si>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</si>
  <si>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</si>
  <si>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</si>
  <si>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</si>
  <si>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</si>
  <si>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</si>
  <si>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</si>
  <si>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</si>
  <si>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</si>
  <si>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</si>
  <si>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</si>
  <si>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</si>
  <si>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</si>
  <si>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</si>
  <si>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</si>
  <si>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</si>
  <si>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</si>
  <si>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</si>
  <si>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</si>
  <si>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</si>
  <si>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</si>
  <si>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</si>
  <si>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</si>
  <si>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</si>
  <si>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</si>
  <si>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</si>
  <si>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</si>
  <si>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</si>
  <si>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</si>
  <si>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</si>
  <si>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</si>
  <si>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</si>
  <si>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</si>
  <si>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</si>
  <si>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</si>
  <si>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</si>
  <si>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</si>
  <si>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</si>
  <si>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</si>
  <si>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</si>
  <si>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</si>
  <si>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</si>
  <si>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</si>
  <si>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</si>
  <si>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</si>
  <si>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</si>
  <si>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</si>
  <si>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</si>
  <si>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</si>
  <si>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</si>
  <si>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</si>
  <si>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</si>
  <si>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</si>
  <si>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</si>
  <si>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</si>
  <si>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</si>
  <si>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</si>
  <si>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</si>
  <si>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</si>
  <si>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</si>
  <si>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</si>
  <si>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</si>
  <si>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</si>
  <si>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</si>
  <si>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</si>
  <si>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</si>
  <si>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</si>
  <si>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</si>
  <si>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</si>
  <si>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</si>
  <si>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</si>
  <si>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</si>
  <si>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</si>
  <si>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</si>
  <si>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</si>
  <si>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</si>
  <si>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</si>
  <si>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</si>
  <si>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</si>
  <si>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</si>
  <si>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</si>
  <si>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</si>
  <si>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</si>
  <si>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</si>
  <si>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</si>
  <si>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</si>
  <si>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</si>
  <si>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</si>
  <si>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</si>
  <si>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</si>
  <si>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</si>
  <si>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</si>
  <si>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</si>
  <si>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</si>
  <si>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</si>
  <si>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</si>
  <si>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</si>
  <si>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</si>
  <si>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</si>
  <si>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</si>
  <si>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</si>
  <si>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</si>
  <si>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</si>
  <si>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</si>
  <si>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</si>
  <si>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</si>
  <si>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</si>
  <si>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</si>
  <si>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</si>
  <si>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</si>
  <si>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</si>
  <si>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</si>
  <si>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</si>
  <si>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</si>
  <si>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</si>
  <si>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</si>
  <si>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</si>
  <si>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</si>
  <si>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</si>
  <si>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</si>
  <si>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</si>
  <si>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</si>
  <si>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</si>
  <si>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</si>
  <si>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</si>
  <si>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</si>
  <si>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</si>
  <si>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</si>
  <si>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</si>
  <si>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</si>
  <si>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</si>
  <si>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</si>
  <si>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</si>
  <si>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</si>
  <si>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</si>
  <si>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</si>
  <si>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</si>
  <si>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</si>
  <si>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</si>
  <si>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</si>
  <si>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</si>
  <si>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</si>
  <si>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</si>
  <si>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</si>
  <si>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</si>
  <si>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</si>
  <si>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</si>
  <si>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</si>
  <si>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</si>
  <si>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</si>
  <si>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</si>
  <si>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</si>
  <si>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</si>
  <si>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</si>
  <si>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</si>
  <si>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</si>
  <si>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</si>
  <si>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</si>
  <si>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</si>
  <si>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</si>
  <si>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</si>
  <si>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</si>
  <si>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</si>
  <si>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</si>
  <si>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</si>
  <si>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</si>
  <si>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</si>
  <si>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</si>
  <si>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</si>
  <si>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</si>
  <si>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</si>
  <si>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</si>
  <si>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</si>
  <si>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</si>
  <si>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</si>
  <si>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</si>
  <si>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</si>
  <si>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</si>
  <si>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</si>
  <si>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</si>
  <si>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</si>
  <si>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</si>
  <si>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</si>
  <si>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</si>
  <si>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</si>
  <si>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</si>
  <si>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</si>
  <si>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</si>
  <si>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</si>
  <si>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</si>
  <si>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</si>
  <si>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</si>
  <si>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</si>
  <si>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</si>
  <si>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</si>
  <si>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</si>
  <si>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</si>
  <si>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</si>
  <si>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</si>
  <si>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</si>
  <si>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</si>
  <si>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</si>
  <si>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</si>
  <si>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</si>
  <si>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</si>
  <si>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</si>
  <si>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</si>
  <si>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</si>
  <si>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</si>
  <si>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</si>
  <si>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</si>
  <si>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</si>
  <si>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</si>
  <si>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</si>
  <si>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</si>
  <si>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</si>
  <si>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</si>
  <si>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</si>
  <si>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</si>
  <si>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</si>
  <si>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</si>
  <si>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</si>
  <si>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</si>
  <si>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</si>
  <si>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</si>
  <si>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</si>
  <si>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</si>
  <si>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</si>
  <si>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</si>
  <si>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</si>
  <si>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</si>
  <si>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</si>
  <si>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</si>
  <si>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</si>
  <si>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</si>
  <si>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</si>
  <si>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</si>
  <si>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</si>
  <si>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</si>
  <si>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</si>
  <si>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</si>
  <si>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</si>
  <si>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</si>
  <si>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</si>
  <si>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</si>
  <si>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</si>
  <si>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</si>
  <si>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</si>
  <si>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</si>
  <si>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</si>
  <si>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</si>
  <si>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</si>
  <si>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</si>
  <si>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</si>
  <si>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</si>
  <si>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</si>
  <si>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</si>
  <si>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</si>
  <si>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</si>
  <si>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</si>
  <si>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</si>
  <si>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</si>
  <si>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</si>
  <si>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</si>
  <si>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</si>
  <si>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</si>
  <si>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</si>
  <si>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</si>
  <si>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</si>
  <si>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</si>
  <si>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</si>
  <si>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</si>
  <si>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</si>
  <si>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</si>
  <si>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</si>
  <si>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</si>
  <si>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</si>
  <si>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</si>
  <si>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</si>
  <si>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</si>
  <si>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</si>
  <si>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</si>
  <si>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</si>
  <si>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</si>
  <si>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</si>
  <si>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</si>
  <si>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</si>
  <si>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</si>
  <si>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</si>
  <si>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</si>
  <si>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</si>
  <si>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</si>
  <si>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</si>
  <si>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</si>
  <si>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</si>
  <si>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</si>
  <si>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</si>
  <si>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</si>
  <si>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</si>
  <si>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</si>
  <si>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</si>
  <si>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</si>
  <si>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</si>
  <si>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</si>
  <si>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</si>
  <si>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</si>
  <si>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</si>
  <si>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</si>
  <si>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</si>
  <si>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</si>
  <si>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</si>
  <si>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</si>
  <si>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</si>
  <si>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</si>
  <si>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</si>
  <si>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</si>
  <si>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</si>
  <si>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</si>
  <si>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</si>
  <si>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</si>
  <si>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</si>
  <si>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</si>
  <si>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</si>
  <si>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</si>
  <si>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</si>
  <si>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</si>
  <si>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</si>
  <si>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</si>
  <si>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</si>
  <si>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</si>
  <si>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</si>
  <si>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</si>
  <si>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</si>
  <si>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</si>
  <si>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</si>
  <si>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</si>
  <si>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</si>
  <si>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</si>
  <si>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</si>
  <si>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</si>
  <si>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</si>
  <si>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</si>
  <si>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</si>
  <si>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</si>
  <si>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</si>
  <si>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</si>
  <si>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</si>
  <si>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</si>
  <si>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</si>
  <si>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</si>
  <si>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</si>
  <si>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</si>
  <si>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</si>
  <si>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</si>
  <si>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</si>
  <si>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</si>
  <si>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</si>
  <si>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</si>
  <si>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</si>
  <si>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</si>
  <si>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</si>
  <si>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</si>
  <si>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</si>
  <si>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</si>
  <si>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</si>
  <si>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</si>
  <si>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</si>
  <si>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</si>
  <si>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</si>
  <si>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</si>
  <si>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</si>
  <si>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</si>
  <si>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</si>
  <si>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</si>
  <si>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</si>
  <si>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</si>
  <si>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</si>
  <si>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</si>
  <si>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</si>
  <si>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</si>
  <si>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</si>
  <si>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</si>
  <si>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</si>
  <si>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</si>
  <si>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</si>
  <si>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</si>
  <si>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</si>
  <si>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</si>
  <si>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</si>
  <si>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</si>
  <si>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</si>
  <si>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</si>
  <si>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</si>
  <si>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</si>
  <si>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</si>
  <si>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</si>
  <si>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</si>
  <si>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</si>
  <si>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</si>
  <si>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</si>
  <si>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</si>
  <si>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</si>
  <si>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</si>
  <si>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</si>
  <si>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</si>
  <si>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</si>
  <si>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</si>
  <si>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</si>
  <si>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</si>
  <si>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</si>
  <si>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</si>
  <si>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</si>
  <si>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</si>
  <si>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</si>
  <si>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</si>
  <si>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</si>
  <si>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</si>
  <si>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</si>
  <si>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</si>
  <si>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</si>
  <si>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</si>
  <si>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</si>
  <si>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</si>
  <si>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</si>
  <si>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</si>
  <si>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</si>
  <si>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</si>
  <si>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</si>
  <si>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</si>
  <si>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</si>
  <si>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</si>
  <si>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</si>
  <si>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</si>
  <si>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</si>
  <si>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</si>
  <si>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</si>
  <si>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</si>
  <si>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</si>
  <si>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</si>
  <si>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</si>
  <si>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</si>
  <si>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</si>
  <si>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</si>
  <si>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</si>
  <si>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</si>
  <si>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</si>
  <si>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</si>
  <si>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</si>
  <si>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</si>
  <si>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</si>
  <si>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</si>
  <si>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</si>
  <si>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</si>
  <si>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</si>
  <si>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</si>
  <si>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</si>
  <si>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</si>
  <si>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</si>
  <si>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</si>
  <si>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</si>
  <si>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</si>
  <si>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</si>
  <si>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</si>
  <si>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</si>
  <si>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</si>
  <si>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</si>
  <si>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</si>
  <si>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</si>
  <si>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</si>
  <si>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</si>
  <si>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</si>
  <si>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</si>
  <si>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</si>
  <si>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</si>
  <si>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</si>
  <si>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</si>
  <si>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</si>
  <si>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</si>
  <si>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</si>
  <si>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</si>
  <si>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</si>
  <si>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</si>
  <si>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</si>
  <si>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</si>
  <si>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</si>
  <si>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</si>
  <si>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</si>
  <si>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</si>
  <si>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</si>
  <si>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</si>
  <si>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</si>
  <si>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</si>
  <si>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</si>
  <si>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</si>
  <si>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</si>
  <si>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</si>
  <si>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</si>
  <si>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</si>
  <si>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</si>
  <si>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</si>
  <si>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</si>
  <si>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</si>
  <si>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</si>
  <si>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</si>
  <si>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</si>
  <si>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</si>
  <si>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</si>
  <si>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</si>
  <si>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</si>
  <si>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</si>
  <si>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</si>
  <si>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</si>
  <si>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</si>
  <si>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</si>
  <si>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</si>
  <si>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</si>
  <si>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</si>
  <si>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</si>
  <si>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</si>
  <si>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</si>
  <si>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</si>
  <si>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</si>
  <si>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</si>
  <si>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</si>
  <si>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</si>
  <si>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</si>
  <si>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</si>
  <si>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</si>
  <si>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</si>
  <si>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</si>
  <si>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</si>
  <si>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</si>
  <si>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</si>
  <si>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</si>
  <si>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</si>
  <si>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</si>
  <si>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</si>
  <si>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</si>
  <si>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</si>
  <si>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</si>
  <si>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</si>
  <si>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</si>
  <si>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</si>
  <si>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</si>
  <si>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</si>
  <si>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</si>
  <si>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</si>
  <si>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</si>
  <si>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</si>
  <si>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</si>
  <si>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</si>
  <si>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</si>
  <si>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</si>
  <si>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</si>
  <si>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</si>
  <si>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</si>
  <si>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</si>
  <si>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</si>
  <si>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</si>
  <si>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</si>
  <si>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</si>
  <si>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</si>
  <si>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</si>
  <si>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</si>
  <si>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</si>
  <si>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</si>
  <si>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</si>
  <si>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</si>
  <si>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</si>
  <si>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</si>
  <si>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</si>
  <si>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</si>
  <si>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</si>
  <si>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</si>
  <si>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</si>
  <si>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</si>
  <si>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</si>
  <si>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</si>
  <si>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</si>
  <si>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</si>
  <si>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</si>
  <si>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</si>
  <si>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</si>
  <si>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</si>
  <si>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</si>
  <si>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</si>
  <si>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</si>
  <si>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</si>
  <si>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</si>
  <si>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</si>
  <si>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</si>
  <si>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</si>
  <si>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</si>
  <si>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</si>
  <si>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</si>
  <si>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</si>
  <si>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</si>
  <si>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</si>
  <si>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</si>
  <si>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</si>
  <si>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</si>
  <si>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</si>
  <si>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</si>
  <si>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</si>
  <si>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</si>
  <si>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</si>
  <si>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</si>
  <si>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</si>
  <si>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</si>
  <si>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</si>
  <si>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</si>
  <si>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</si>
  <si>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</si>
  <si>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</si>
  <si>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</si>
  <si>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</si>
  <si>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</si>
  <si>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</si>
  <si>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</si>
  <si>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</si>
  <si>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</si>
  <si>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</si>
  <si>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</si>
  <si>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</si>
  <si>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</si>
  <si>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</si>
  <si>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</si>
  <si>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</si>
  <si>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</si>
  <si>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</si>
  <si>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</si>
  <si>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</si>
  <si>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</si>
  <si>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</si>
  <si>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</si>
  <si>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</si>
  <si>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</si>
  <si>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</si>
  <si>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</si>
  <si>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</si>
  <si>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</si>
  <si>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</si>
  <si>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</si>
  <si>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</si>
  <si>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</si>
  <si>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</si>
  <si>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</si>
  <si>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</si>
  <si>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</si>
  <si>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</si>
  <si>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</si>
  <si>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</si>
  <si>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</si>
  <si>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</si>
  <si>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</si>
  <si>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</si>
  <si>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</si>
  <si>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</si>
  <si>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</si>
  <si>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</si>
  <si>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</si>
  <si>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</si>
  <si>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</si>
  <si>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</si>
  <si>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</si>
  <si>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</si>
  <si>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</si>
  <si>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</si>
  <si>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</si>
  <si>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</si>
  <si>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</si>
  <si>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</si>
  <si>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</si>
  <si>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</si>
  <si>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</si>
  <si>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</si>
  <si>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</si>
  <si>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</si>
  <si>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</si>
  <si>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</si>
  <si>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</si>
  <si>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</si>
  <si>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</si>
  <si>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</si>
  <si>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</si>
  <si>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</si>
  <si>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</si>
  <si>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</si>
  <si>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</si>
  <si>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</si>
  <si>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</si>
  <si>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</si>
  <si>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</si>
  <si>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</si>
  <si>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</si>
  <si>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</si>
  <si>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</si>
  <si>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</si>
  <si>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</si>
  <si>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</si>
  <si>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</si>
  <si>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</si>
  <si>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</si>
  <si>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</si>
  <si>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</si>
  <si>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</si>
  <si>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</si>
  <si>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</si>
  <si>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</si>
  <si>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</si>
  <si>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</si>
  <si>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</si>
  <si>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</si>
  <si>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</si>
  <si>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</si>
  <si>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</si>
  <si>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</si>
  <si>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</si>
  <si>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</si>
  <si>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</si>
  <si>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</si>
  <si>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</si>
  <si>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</si>
  <si>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</si>
  <si>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</si>
  <si>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</si>
  <si>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</si>
  <si>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</si>
  <si>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</si>
  <si>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</si>
  <si>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</si>
  <si>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</si>
  <si>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</si>
  <si>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</si>
  <si>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</si>
  <si>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</si>
  <si>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</si>
  <si>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</si>
  <si>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</si>
  <si>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</si>
  <si>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</si>
  <si>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</si>
  <si>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</si>
  <si>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</si>
  <si>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</si>
  <si>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</si>
  <si>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</si>
  <si>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</si>
  <si>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</si>
  <si>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</si>
  <si>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</si>
  <si>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</si>
  <si>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</si>
  <si>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</si>
  <si>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</si>
  <si>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</si>
  <si>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</si>
  <si>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</si>
  <si>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</si>
  <si>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</si>
  <si>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</si>
  <si>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</si>
  <si>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</si>
  <si>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</si>
  <si>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</si>
  <si>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</si>
  <si>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</si>
  <si>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</si>
  <si>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</si>
  <si>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</si>
  <si>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</si>
  <si>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</si>
  <si>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</si>
  <si>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</si>
  <si>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</si>
  <si>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</si>
  <si>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</si>
  <si>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</si>
  <si>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</si>
  <si>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</si>
  <si>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</si>
  <si>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</si>
  <si>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</si>
  <si>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</si>
  <si>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</si>
  <si>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</si>
  <si>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</si>
  <si>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</si>
  <si>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</si>
  <si>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</si>
  <si>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</si>
  <si>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</si>
  <si>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</si>
  <si>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</si>
  <si>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</si>
  <si>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</si>
  <si>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</si>
  <si>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</si>
  <si>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</si>
  <si>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</si>
  <si>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</si>
  <si>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</si>
  <si>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</si>
  <si>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</si>
  <si>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</si>
  <si>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</si>
  <si>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</si>
  <si>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</si>
  <si>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</si>
  <si>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</si>
  <si>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</si>
  <si>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</si>
  <si>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</si>
  <si>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</si>
  <si>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</si>
  <si>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</si>
  <si>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</si>
  <si>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</si>
  <si>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</si>
  <si>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</si>
  <si>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</si>
  <si>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</si>
  <si>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</si>
  <si>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</si>
  <si>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</si>
  <si>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</si>
  <si>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</si>
  <si>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</si>
  <si>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</si>
  <si>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</si>
  <si>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</si>
  <si>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</si>
  <si>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</si>
  <si>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</si>
  <si>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</si>
  <si>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</si>
  <si>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</si>
  <si>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</si>
  <si>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</si>
  <si>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</si>
  <si>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</si>
  <si>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</si>
  <si>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</si>
  <si>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</si>
  <si>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</si>
  <si>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</si>
  <si>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</si>
  <si>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</si>
  <si>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</si>
  <si>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</si>
  <si>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</si>
  <si>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</si>
  <si>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</si>
  <si>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</si>
  <si>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</si>
  <si>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</si>
  <si>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</si>
  <si>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</si>
  <si>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</si>
  <si>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</si>
  <si>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</si>
  <si>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</si>
  <si>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</si>
  <si>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</si>
  <si>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</si>
  <si>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</si>
  <si>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</si>
  <si>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</si>
  <si>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</si>
  <si>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</si>
  <si>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</si>
  <si>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</si>
  <si>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</si>
  <si>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</si>
  <si>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</si>
  <si>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</si>
  <si>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</si>
  <si>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</si>
  <si>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</si>
  <si>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</si>
  <si>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</si>
  <si>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</si>
  <si>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</si>
  <si>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</si>
  <si>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</si>
  <si>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</si>
  <si>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</si>
  <si>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</si>
  <si>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</si>
  <si>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</si>
  <si>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</si>
  <si>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</si>
  <si>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</si>
  <si>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</si>
  <si>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</si>
  <si>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</si>
  <si>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</si>
  <si>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</si>
  <si>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</si>
  <si>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</si>
  <si>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</si>
  <si>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</si>
  <si>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</si>
  <si>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</si>
  <si>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</si>
  <si>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</si>
  <si>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</si>
  <si>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</si>
  <si>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</si>
  <si>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</si>
  <si>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</si>
  <si>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</si>
  <si>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</si>
  <si>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</si>
  <si>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</si>
  <si>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</si>
  <si>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</si>
  <si>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</si>
  <si>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</si>
  <si>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</si>
  <si>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</si>
  <si>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</si>
  <si>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</si>
  <si>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</si>
  <si>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</si>
  <si>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</si>
  <si>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</si>
  <si>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</si>
  <si>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</si>
  <si>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</si>
  <si>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</si>
  <si>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</si>
  <si>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</si>
  <si>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</si>
  <si>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</si>
  <si>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</si>
  <si>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</si>
  <si>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</si>
  <si>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</si>
  <si>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</si>
  <si>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</si>
  <si>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</si>
  <si>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</si>
  <si>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</si>
  <si>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</si>
  <si>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</si>
  <si>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</si>
  <si>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</si>
  <si>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</si>
  <si>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</si>
  <si>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</si>
  <si>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</si>
  <si>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</si>
  <si>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</si>
  <si>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</si>
  <si>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</si>
  <si>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</si>
  <si>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</si>
  <si>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</si>
  <si>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</si>
  <si>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</si>
  <si>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</si>
  <si>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</si>
  <si>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</si>
  <si>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</si>
  <si>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</si>
  <si>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</si>
  <si>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</si>
  <si>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</si>
  <si>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</si>
  <si>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</si>
  <si>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</si>
  <si>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</si>
  <si>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</si>
  <si>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</si>
  <si>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</si>
  <si>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</si>
  <si>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</si>
  <si>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</si>
  <si>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</si>
  <si>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</si>
  <si>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</si>
  <si>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</si>
  <si>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</si>
  <si>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</si>
  <si>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</si>
  <si>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</si>
  <si>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</si>
  <si>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</si>
  <si>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</si>
  <si>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</si>
  <si>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</si>
  <si>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</si>
  <si>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</si>
  <si>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</si>
  <si>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</si>
  <si>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</si>
  <si>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</si>
  <si>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</si>
  <si>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</si>
  <si>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</si>
  <si>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</si>
  <si>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</si>
  <si>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</si>
  <si>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</si>
  <si>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</si>
  <si>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</si>
  <si>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</si>
  <si>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</si>
  <si>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</si>
  <si>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</si>
  <si>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</si>
  <si>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</si>
  <si>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</si>
  <si>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</si>
  <si>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</si>
  <si>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</si>
  <si>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</si>
  <si>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</si>
  <si>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</si>
  <si>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</si>
  <si>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</si>
  <si>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</si>
  <si>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</si>
  <si>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</si>
  <si>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</si>
  <si>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</si>
  <si>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</si>
  <si>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</si>
  <si>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</si>
  <si>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</si>
  <si>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</si>
  <si>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</si>
  <si>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</si>
  <si>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</si>
  <si>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</si>
  <si>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</si>
  <si>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</si>
  <si>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</si>
  <si>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</si>
  <si>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</si>
  <si>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</si>
  <si>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</si>
  <si>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</si>
  <si>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</si>
  <si>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</si>
  <si>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</si>
  <si>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</si>
  <si>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</si>
  <si>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</si>
  <si>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</si>
  <si>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</si>
  <si>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</si>
  <si>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</si>
  <si>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</si>
  <si>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</si>
  <si>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</si>
  <si>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</si>
  <si>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</si>
  <si>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</si>
  <si>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</si>
  <si>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</si>
  <si>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</si>
  <si>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</si>
  <si>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</si>
  <si>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</si>
  <si>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</si>
  <si>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</si>
  <si>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</si>
  <si>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</si>
  <si>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</si>
  <si>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</si>
  <si>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</si>
  <si>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</si>
  <si>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</si>
  <si>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</si>
  <si>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</si>
  <si>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</si>
  <si>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</si>
  <si>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</si>
  <si>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</si>
  <si>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</si>
  <si>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</si>
  <si>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</si>
  <si>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</si>
  <si>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</si>
  <si>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</si>
  <si>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</si>
  <si>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</si>
  <si>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</si>
  <si>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</si>
  <si>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</si>
  <si>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</si>
  <si>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</si>
  <si>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</si>
  <si>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</si>
  <si>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</si>
  <si>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</si>
  <si>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</si>
  <si>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</si>
  <si>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</si>
  <si>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</si>
  <si>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</si>
  <si>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</si>
  <si>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</si>
  <si>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</si>
  <si>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</si>
  <si>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</si>
  <si>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</si>
  <si>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</si>
  <si>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</si>
  <si>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</si>
  <si>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</si>
  <si>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</si>
  <si>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</si>
  <si>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</si>
  <si>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</si>
  <si>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</si>
  <si>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</si>
  <si>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</si>
  <si>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</si>
  <si>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</si>
  <si>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</si>
  <si>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</si>
  <si>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</si>
  <si>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</si>
  <si>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</si>
  <si>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</si>
  <si>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</si>
  <si>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</si>
  <si>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</si>
  <si>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</si>
  <si>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</si>
  <si>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</si>
  <si>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</si>
  <si>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</si>
  <si>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</si>
  <si>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</si>
  <si>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</si>
  <si>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</si>
  <si>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</si>
  <si>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</si>
  <si>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</si>
  <si>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</si>
  <si>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</si>
  <si>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</si>
  <si>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</si>
  <si>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</si>
  <si>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</si>
  <si>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</si>
  <si>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</si>
  <si>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</si>
  <si>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</si>
  <si>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</si>
  <si>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</si>
  <si>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</si>
  <si>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</si>
  <si>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</si>
  <si>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</si>
  <si>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</si>
  <si>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</si>
  <si>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</si>
  <si>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</si>
  <si>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</si>
  <si>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</si>
  <si>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</si>
  <si>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</si>
  <si>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</si>
  <si>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</si>
  <si>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</si>
  <si>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</si>
  <si>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</si>
  <si>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</si>
  <si>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</si>
  <si>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</si>
  <si>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</si>
  <si>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</si>
  <si>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</si>
  <si>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</si>
  <si>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</si>
  <si>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</si>
  <si>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</si>
  <si>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</si>
  <si>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</si>
  <si>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</si>
  <si>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</si>
  <si>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</si>
  <si>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</si>
  <si>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</si>
  <si>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</si>
  <si>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</si>
  <si>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</si>
  <si>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</si>
  <si>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</si>
  <si>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</si>
  <si>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</si>
  <si>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</si>
  <si>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</si>
  <si>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</si>
  <si>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</si>
  <si>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</si>
  <si>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</si>
  <si>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</si>
  <si>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</si>
  <si>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</si>
  <si>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</si>
  <si>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</si>
  <si>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</si>
  <si>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</si>
  <si>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</si>
  <si>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</si>
  <si>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</si>
  <si>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</si>
  <si>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</si>
  <si>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</si>
  <si>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</si>
  <si>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</si>
  <si>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</si>
  <si>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</si>
  <si>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</si>
  <si>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</si>
  <si>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</si>
  <si>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</si>
  <si>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</si>
  <si>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</si>
  <si>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</si>
  <si>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</si>
  <si>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</si>
  <si>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</si>
  <si>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</si>
  <si>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</si>
  <si>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</si>
  <si>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</si>
  <si>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</si>
  <si>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</si>
  <si>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</si>
  <si>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</si>
  <si>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</si>
  <si>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</si>
  <si>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</si>
  <si>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</si>
  <si>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</si>
  <si>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</si>
  <si>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</si>
  <si>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</si>
  <si>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</si>
  <si>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</si>
  <si>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</si>
  <si>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</si>
  <si>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</si>
  <si>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</si>
  <si>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</si>
  <si>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</si>
  <si>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</si>
  <si>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</si>
  <si>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</si>
  <si>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</si>
  <si>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</si>
  <si>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</si>
  <si>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</si>
  <si>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</si>
  <si>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</si>
  <si>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</si>
  <si>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</si>
  <si>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</si>
  <si>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</si>
  <si>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</si>
  <si>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</si>
  <si>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</si>
  <si>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</si>
  <si>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</si>
  <si>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</si>
  <si>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</si>
  <si>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</si>
  <si>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</si>
  <si>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</si>
  <si>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</si>
  <si>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</si>
  <si>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</si>
  <si>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</si>
  <si>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</si>
  <si>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</si>
  <si>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</si>
  <si>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</si>
  <si>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</si>
  <si>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</si>
  <si>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</si>
  <si>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</si>
  <si>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</si>
  <si>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</si>
  <si>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</si>
  <si>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</si>
  <si>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</si>
  <si>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</si>
  <si>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</si>
  <si>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</si>
  <si>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</si>
  <si>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</si>
  <si>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</si>
  <si>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</si>
  <si>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</si>
  <si>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</si>
  <si>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</si>
  <si>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</si>
  <si>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</si>
  <si>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</si>
  <si>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</si>
  <si>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</si>
  <si>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</si>
  <si>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</si>
  <si>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</si>
  <si>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</si>
  <si>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</si>
  <si>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</si>
  <si>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</si>
  <si>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</si>
  <si>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</si>
  <si>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</si>
  <si>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</si>
  <si>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</si>
  <si>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</si>
  <si>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</si>
  <si>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</si>
  <si>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</si>
  <si>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</si>
  <si>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</si>
  <si>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</si>
  <si>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</si>
  <si>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</si>
  <si>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</si>
  <si>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</si>
  <si>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</si>
  <si>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</si>
  <si>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</si>
  <si>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</si>
  <si>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</si>
  <si>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</si>
  <si>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</si>
  <si>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</si>
  <si>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</si>
  <si>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</si>
  <si>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</si>
  <si>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</si>
  <si>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</si>
  <si>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</si>
  <si>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</si>
  <si>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</si>
  <si>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</si>
  <si>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</si>
  <si>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</si>
  <si>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</si>
  <si>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</si>
  <si>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</si>
  <si>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</si>
  <si>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</si>
  <si>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</si>
  <si>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</si>
  <si>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</si>
  <si>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</si>
  <si>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</si>
  <si>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</si>
  <si>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</si>
  <si>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</si>
  <si>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</si>
  <si>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</si>
  <si>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</si>
  <si>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</si>
  <si>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</si>
  <si>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</si>
  <si>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</si>
  <si>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</si>
  <si>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</si>
  <si>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</si>
  <si>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</si>
  <si>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</si>
  <si>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</si>
  <si>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</si>
  <si>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</si>
  <si>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</si>
  <si>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</si>
  <si>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</si>
  <si>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</si>
  <si>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</si>
  <si>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</si>
  <si>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</si>
  <si>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</si>
  <si>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</si>
  <si>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</si>
  <si>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</si>
  <si>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</si>
  <si>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</si>
  <si>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</si>
  <si>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</si>
  <si>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</si>
  <si>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</si>
  <si>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</si>
  <si>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</si>
  <si>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</si>
  <si>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</si>
  <si>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</si>
  <si>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</si>
  <si>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</si>
  <si>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</si>
  <si>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</si>
  <si>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</si>
  <si>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</si>
  <si>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</si>
  <si>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</si>
  <si>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</si>
  <si>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</si>
  <si>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</si>
  <si>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</si>
  <si>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</si>
  <si>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</si>
  <si>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</si>
  <si>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</si>
  <si>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</si>
  <si>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</si>
  <si>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</si>
  <si>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</si>
  <si>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</si>
  <si>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</si>
  <si>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</si>
  <si>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</si>
  <si>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</si>
  <si>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</si>
  <si>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</si>
  <si>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</si>
  <si>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</si>
  <si>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</si>
  <si>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</si>
  <si>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</si>
  <si>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</si>
  <si>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</si>
  <si>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</si>
  <si>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</si>
  <si>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</si>
  <si>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</si>
  <si>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</si>
  <si>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</si>
  <si>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</si>
  <si>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</si>
  <si>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</si>
  <si>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</si>
  <si>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</si>
  <si>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</si>
  <si>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</si>
  <si>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</si>
  <si>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</si>
  <si>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</si>
  <si>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</si>
  <si>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</si>
  <si>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</si>
  <si>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</si>
  <si>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</si>
  <si>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</si>
  <si>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</si>
  <si>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</si>
  <si>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</si>
  <si>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</si>
  <si>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</si>
  <si>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</si>
  <si>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</si>
  <si>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</si>
  <si>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</si>
  <si>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</si>
  <si>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</si>
  <si>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</si>
  <si>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</si>
  <si>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</si>
  <si>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</si>
  <si>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</si>
  <si>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</si>
  <si>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</si>
  <si>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</si>
  <si>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</si>
  <si>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</si>
  <si>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</si>
  <si>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</si>
  <si>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</si>
  <si>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</si>
  <si>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</si>
  <si>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</si>
  <si>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</si>
  <si>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</si>
  <si>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</si>
  <si>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</si>
  <si>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</si>
  <si>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</si>
  <si>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</si>
  <si>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</si>
  <si>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</si>
  <si>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</si>
  <si>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</si>
  <si>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</si>
  <si>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</si>
  <si>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</si>
  <si>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</si>
  <si>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</si>
  <si>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</si>
  <si>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</si>
  <si>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</si>
  <si>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</si>
  <si>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</si>
  <si>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</si>
  <si>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</si>
  <si>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</si>
  <si>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</si>
  <si>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</si>
  <si>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</si>
  <si>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</si>
  <si>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</si>
  <si>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</si>
  <si>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</si>
  <si>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</si>
  <si>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</si>
  <si>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</si>
  <si>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</si>
  <si>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</si>
  <si>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</si>
  <si>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</si>
  <si>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</si>
  <si>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</si>
  <si>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</si>
  <si>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</si>
  <si>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</si>
  <si>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</si>
  <si>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</si>
  <si>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</si>
  <si>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</si>
  <si>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</si>
  <si>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</si>
  <si>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</si>
  <si>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</si>
  <si>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</si>
  <si>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</si>
  <si>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</si>
  <si>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</si>
  <si>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</si>
  <si>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</si>
  <si>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</si>
  <si>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</si>
  <si>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</si>
  <si>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</si>
  <si>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</si>
  <si>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</si>
  <si>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</si>
  <si>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</si>
  <si>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</si>
  <si>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</si>
  <si>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</si>
  <si>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</si>
  <si>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</si>
  <si>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</si>
  <si>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</si>
  <si>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</si>
  <si>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</si>
  <si>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</si>
  <si>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</si>
  <si>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</si>
  <si>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</si>
  <si>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</si>
  <si>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</si>
  <si>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</si>
  <si>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</si>
  <si>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</si>
  <si>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</si>
  <si>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</si>
  <si>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</si>
  <si>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</si>
  <si>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</si>
  <si>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</si>
  <si>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</si>
  <si>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</si>
  <si>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</si>
  <si>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</si>
  <si>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</si>
  <si>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</si>
  <si>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</si>
  <si>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</si>
  <si>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</si>
  <si>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</si>
  <si>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</si>
  <si>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</si>
  <si>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</si>
  <si>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</si>
  <si>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</si>
  <si>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</si>
  <si>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</si>
  <si>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</si>
  <si>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</si>
  <si>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</si>
  <si>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</si>
  <si>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</si>
  <si>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</si>
  <si>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</si>
  <si>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</si>
  <si>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</si>
  <si>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</si>
  <si>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</si>
  <si>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</si>
  <si>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</si>
  <si>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</si>
  <si>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</si>
  <si>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</si>
  <si>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</si>
  <si>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</si>
  <si>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</si>
  <si>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</si>
  <si>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</si>
  <si>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</si>
  <si>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</si>
  <si>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</si>
  <si>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</si>
  <si>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</si>
  <si>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</si>
  <si>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</si>
  <si>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</si>
  <si>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</si>
  <si>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</si>
  <si>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</si>
  <si>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</si>
  <si>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</si>
  <si>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</si>
  <si>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</si>
  <si>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</si>
  <si>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</si>
  <si>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</si>
  <si>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</si>
  <si>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</si>
  <si>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</si>
  <si>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</si>
  <si>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</si>
  <si>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</si>
  <si>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</si>
  <si>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</si>
  <si>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</si>
  <si>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</si>
  <si>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</si>
  <si>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</si>
  <si>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</si>
  <si>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</si>
  <si>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</si>
  <si>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</si>
  <si>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</si>
  <si>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</si>
  <si>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</si>
  <si>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</si>
  <si>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</si>
  <si>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</si>
  <si>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</si>
  <si>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</si>
  <si>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</si>
  <si>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</si>
  <si>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</si>
  <si>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</si>
  <si>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</si>
  <si>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</si>
  <si>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</si>
  <si>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</si>
  <si>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</si>
  <si>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</si>
  <si>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</si>
  <si>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</si>
  <si>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</si>
  <si>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</si>
  <si>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</si>
  <si>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</si>
  <si>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</si>
  <si>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</si>
  <si>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</si>
  <si>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</si>
  <si>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</si>
  <si>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</si>
  <si>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</si>
  <si>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</si>
  <si>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</si>
  <si>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</si>
  <si>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</si>
  <si>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</si>
  <si>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</si>
  <si>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</si>
  <si>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</si>
  <si>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</si>
  <si>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</si>
  <si>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</si>
  <si>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</si>
  <si>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</si>
  <si>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</si>
  <si>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</si>
  <si>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</si>
  <si>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</si>
  <si>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</si>
  <si>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</si>
  <si>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</si>
  <si>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</si>
  <si>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</si>
  <si>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</si>
  <si>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</si>
  <si>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</si>
  <si>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</si>
  <si>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</si>
  <si>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</si>
  <si>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</si>
  <si>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</si>
  <si>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</si>
  <si>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</si>
  <si>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</si>
  <si>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</si>
  <si>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</si>
  <si>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</si>
  <si>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</si>
  <si>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</si>
  <si>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</si>
  <si>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</si>
  <si>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</si>
  <si>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</si>
  <si>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</si>
  <si>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</si>
  <si>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</si>
  <si>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</si>
  <si>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</si>
  <si>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</si>
  <si>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</si>
  <si>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</si>
  <si>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</si>
  <si>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</si>
  <si>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</si>
  <si>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</si>
  <si>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</si>
  <si>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</si>
  <si>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</si>
  <si>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</si>
  <si>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</si>
  <si>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</si>
  <si>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</si>
  <si>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</si>
  <si>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</si>
  <si>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</si>
  <si>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</si>
  <si>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</si>
  <si>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</si>
  <si>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</si>
  <si>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</si>
  <si>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</si>
  <si>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</si>
  <si>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</si>
  <si>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</si>
  <si>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</si>
  <si>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</si>
  <si>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</si>
  <si>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</si>
  <si>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</si>
  <si>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</si>
  <si>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</si>
  <si>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</si>
  <si>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</si>
  <si>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</si>
  <si>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</si>
  <si>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</si>
  <si>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</si>
  <si>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</si>
  <si>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</si>
  <si>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</si>
  <si>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</si>
  <si>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</si>
  <si>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</si>
  <si>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</si>
  <si>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</si>
  <si>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</si>
  <si>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</si>
  <si>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</si>
  <si>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</si>
  <si>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</si>
  <si>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</si>
  <si>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</si>
  <si>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</si>
  <si>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</si>
  <si>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</si>
  <si>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</si>
  <si>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</si>
  <si>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</si>
  <si>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</si>
  <si>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</si>
  <si>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</si>
  <si>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</si>
  <si>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</si>
  <si>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</si>
  <si>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</si>
  <si>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</si>
  <si>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</si>
  <si>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</si>
  <si>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</si>
  <si>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</si>
  <si>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</si>
  <si>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</si>
  <si>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</si>
  <si>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</si>
  <si>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</si>
  <si>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</si>
  <si>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</si>
  <si>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</si>
  <si>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</si>
  <si>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</si>
  <si>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</si>
  <si>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</si>
  <si>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</si>
  <si>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</si>
  <si>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</si>
  <si>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</si>
  <si>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</si>
  <si>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</si>
  <si>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</si>
  <si>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</si>
  <si>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</si>
  <si>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</si>
  <si>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</si>
  <si>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</si>
  <si>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</si>
  <si>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</si>
  <si>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</si>
  <si>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</si>
  <si>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</si>
  <si>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</si>
  <si>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</si>
  <si>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</si>
  <si>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</si>
  <si>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</si>
  <si>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</si>
  <si>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</si>
  <si>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</si>
  <si>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</si>
  <si>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</si>
  <si>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</si>
  <si>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</si>
  <si>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</si>
  <si>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</si>
  <si>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</si>
  <si>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</si>
  <si>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</si>
  <si>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</si>
  <si>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</si>
  <si>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</si>
  <si>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</si>
  <si>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</si>
  <si>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</si>
  <si>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</si>
  <si>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</si>
  <si>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</si>
  <si>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</si>
  <si>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</si>
  <si>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</si>
  <si>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</si>
  <si>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</si>
  <si>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</si>
  <si>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</si>
  <si>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</si>
  <si>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</si>
  <si>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</si>
  <si>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</si>
  <si>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</si>
  <si>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</si>
  <si>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</si>
  <si>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</si>
  <si>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</si>
  <si>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</si>
  <si>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</si>
  <si>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</si>
  <si>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</si>
  <si>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</si>
  <si>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</si>
  <si>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</si>
  <si>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</si>
  <si>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</si>
  <si>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</si>
  <si>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</si>
  <si>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</si>
  <si>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No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</si>
  <si>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</si>
  <si>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</si>
  <si>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</si>
  <si>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</si>
  <si>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</si>
  <si>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</si>
  <si>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</si>
  <si>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</si>
  <si>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</si>
  <si>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</si>
  <si>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</si>
  <si>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</si>
  <si>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</si>
  <si>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</si>
  <si>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</si>
  <si>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</si>
  <si>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</si>
  <si>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</si>
  <si>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</si>
  <si>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</si>
  <si>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</si>
  <si>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</si>
  <si>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</si>
  <si>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</si>
  <si>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</si>
  <si>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</si>
  <si>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</si>
  <si>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</si>
  <si>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</si>
  <si>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</si>
  <si>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</si>
  <si>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</si>
  <si>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</si>
  <si>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</si>
  <si>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</si>
  <si>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</si>
  <si>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</si>
  <si>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</si>
  <si>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</si>
  <si>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</si>
  <si>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</si>
  <si>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</si>
  <si>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</si>
  <si>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</si>
  <si>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</si>
  <si>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</si>
  <si>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</si>
  <si>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</si>
  <si>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</si>
  <si>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</si>
  <si>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</si>
  <si>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</si>
  <si>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</si>
  <si>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</si>
  <si>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</si>
  <si>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</si>
  <si>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</si>
  <si>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</si>
  <si>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</si>
  <si>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</si>
  <si>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</si>
  <si>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</si>
  <si>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</si>
  <si>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</si>
  <si>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</si>
  <si>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</si>
  <si>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</si>
  <si>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</si>
  <si>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</si>
  <si>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</si>
  <si>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</si>
  <si>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</si>
  <si>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</si>
  <si>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</si>
  <si>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</si>
  <si>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</si>
  <si>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</si>
  <si>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</si>
  <si>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</si>
  <si>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</si>
  <si>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</si>
  <si>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</si>
  <si>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</si>
  <si>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</si>
  <si>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</si>
  <si>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</si>
  <si>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</si>
  <si>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</si>
  <si>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</si>
  <si>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</si>
  <si>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</si>
  <si>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</si>
  <si>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</si>
  <si>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</si>
  <si>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</si>
  <si>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</si>
  <si>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</si>
  <si>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</si>
  <si>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</si>
  <si>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</si>
  <si>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</si>
  <si>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</si>
  <si>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</si>
  <si>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</si>
  <si>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</si>
  <si>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</si>
  <si>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</si>
  <si>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</si>
  <si>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</si>
  <si>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</si>
  <si>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</si>
  <si>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</si>
  <si>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</si>
  <si>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</si>
  <si>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</si>
  <si>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</si>
  <si>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</si>
  <si>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</si>
  <si>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</si>
  <si>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</si>
  <si>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</si>
  <si>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</si>
  <si>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</si>
  <si>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</si>
  <si>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</si>
  <si>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</si>
  <si>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</si>
  <si>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</si>
  <si>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</si>
  <si>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</si>
  <si>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</si>
  <si>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</si>
  <si>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</si>
  <si>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</si>
  <si>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</si>
  <si>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</si>
  <si>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</si>
  <si>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</si>
  <si>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</si>
  <si>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</si>
  <si>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</si>
  <si>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</si>
  <si>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</si>
  <si>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</si>
  <si>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</si>
  <si>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</si>
  <si>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</si>
  <si>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</si>
  <si>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</si>
  <si>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</si>
  <si>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</si>
  <si>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</si>
  <si>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</si>
  <si>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</si>
  <si>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</si>
  <si>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</si>
  <si>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</si>
  <si>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</si>
  <si>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</si>
  <si>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</si>
  <si>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</si>
  <si>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</si>
  <si>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</si>
  <si>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</si>
  <si>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</si>
  <si>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</si>
  <si>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</si>
  <si>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</si>
  <si>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</si>
  <si>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</si>
  <si>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</si>
  <si>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</si>
  <si>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</si>
  <si>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</si>
  <si>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</si>
  <si>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</si>
  <si>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</si>
  <si>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</si>
  <si>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</si>
  <si>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</si>
  <si>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</si>
  <si>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</si>
  <si>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</si>
  <si>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</si>
  <si>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</si>
  <si>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</si>
  <si>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</si>
  <si>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</si>
  <si>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</si>
  <si>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</si>
  <si>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</si>
  <si>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</si>
  <si>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</si>
  <si>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</si>
  <si>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</si>
  <si>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</si>
  <si>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</si>
  <si>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</si>
  <si>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</si>
  <si>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</si>
  <si>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</si>
  <si>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</si>
  <si>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</si>
  <si>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</si>
  <si>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</si>
  <si>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</si>
  <si>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</si>
  <si>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</si>
  <si>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</si>
  <si>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</si>
  <si>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</si>
  <si>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</si>
  <si>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</si>
  <si>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</si>
  <si>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</si>
  <si>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</si>
  <si>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</si>
  <si>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</si>
  <si>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</si>
  <si>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</si>
  <si>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</si>
  <si>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</si>
  <si>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</si>
  <si>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</si>
  <si>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</si>
  <si>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</si>
  <si>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</si>
  <si>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</si>
  <si>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</si>
  <si>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</si>
  <si>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</si>
  <si>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</si>
  <si>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</si>
  <si>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</si>
  <si>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</si>
  <si>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</si>
  <si>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</si>
  <si>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</si>
  <si>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</si>
  <si>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</si>
  <si>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</si>
  <si>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</si>
  <si>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</si>
  <si>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</si>
  <si>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</si>
  <si>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</si>
  <si>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</si>
  <si>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</si>
  <si>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</si>
  <si>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</si>
  <si>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</si>
  <si>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</si>
  <si>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</si>
  <si>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</si>
  <si>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</si>
  <si>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</si>
  <si>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</si>
  <si>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</si>
  <si>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</si>
  <si>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</si>
  <si>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</si>
  <si>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</si>
  <si>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</si>
  <si>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</si>
  <si>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</si>
  <si>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</si>
  <si>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</si>
  <si>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</si>
  <si>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</si>
  <si>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</si>
  <si>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</si>
  <si>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</si>
  <si>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</si>
  <si>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</si>
  <si>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</si>
  <si>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</si>
  <si>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</si>
  <si>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</si>
  <si>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</si>
  <si>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</si>
  <si>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</si>
  <si>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</si>
  <si>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</si>
  <si>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</si>
  <si>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</si>
  <si>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</si>
  <si>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</si>
  <si>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</si>
  <si>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</si>
  <si>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</si>
  <si>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</si>
  <si>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</si>
  <si>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</si>
  <si>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</si>
  <si>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</si>
  <si>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</si>
  <si>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</si>
  <si>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</si>
  <si>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</si>
  <si>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</si>
  <si>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</si>
  <si>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</si>
  <si>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</si>
  <si>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</si>
  <si>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</si>
  <si>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</si>
  <si>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</si>
  <si>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</si>
  <si>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</si>
  <si>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</si>
  <si>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</si>
  <si>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</si>
  <si>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</si>
  <si>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</si>
  <si>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</si>
  <si>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</si>
  <si>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</si>
  <si>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</si>
  <si>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</si>
  <si>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</si>
  <si>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</si>
  <si>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</si>
  <si>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</si>
  <si>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</si>
  <si>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</si>
  <si>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</si>
  <si>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</si>
  <si>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</si>
  <si>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</si>
  <si>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</si>
  <si>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</si>
  <si>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</si>
  <si>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</si>
  <si>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</si>
  <si>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</si>
  <si>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</si>
  <si>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</si>
  <si>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</si>
  <si>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</si>
  <si>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</si>
  <si>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</si>
  <si>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</si>
  <si>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</si>
  <si>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</si>
  <si>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</si>
  <si>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</si>
  <si>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</si>
  <si>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</si>
  <si>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</si>
  <si>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</si>
  <si>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</si>
  <si>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</si>
  <si>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</si>
  <si>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</si>
  <si>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</si>
  <si>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</si>
  <si>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</si>
  <si>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</si>
  <si>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</si>
  <si>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</si>
  <si>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</si>
  <si>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</si>
  <si>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</si>
  <si>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</si>
  <si>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</si>
  <si>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</si>
  <si>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</si>
  <si>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</si>
  <si>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</si>
  <si>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</si>
  <si>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</si>
  <si>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</si>
  <si>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</si>
  <si>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</si>
  <si>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</si>
  <si>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</si>
  <si>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</si>
  <si>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</si>
  <si>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</si>
  <si>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</si>
  <si>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</si>
  <si>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</si>
  <si>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</si>
  <si>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</si>
  <si>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</si>
  <si>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</si>
  <si>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</si>
  <si>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</si>
  <si>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</si>
  <si>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</si>
  <si>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</si>
  <si>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</si>
  <si>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</si>
  <si>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</si>
  <si>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</si>
  <si>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</si>
  <si>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</si>
  <si>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</si>
  <si>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</si>
  <si>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</si>
  <si>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</si>
  <si>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</si>
  <si>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</si>
  <si>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</si>
  <si>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</si>
  <si>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</si>
  <si>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</si>
  <si>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</si>
  <si>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</si>
  <si>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</si>
  <si>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</si>
  <si>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</si>
  <si>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</si>
  <si>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</si>
  <si>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</si>
  <si>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</si>
  <si>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</si>
  <si>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</si>
  <si>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</si>
  <si>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</si>
  <si>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</si>
  <si>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</si>
  <si>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</si>
  <si>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</si>
  <si>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</si>
  <si>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</si>
  <si>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</si>
  <si>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</si>
  <si>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</si>
  <si>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</si>
  <si>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</si>
  <si>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</si>
  <si>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</si>
  <si>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</si>
  <si>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</si>
  <si>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</si>
  <si>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</si>
  <si>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</si>
  <si>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</si>
  <si>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</si>
  <si>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</si>
  <si>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</si>
  <si>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</si>
  <si>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</si>
  <si>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</si>
  <si>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</si>
  <si>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</si>
  <si>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</si>
  <si>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</si>
  <si>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</si>
  <si>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</si>
  <si>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</si>
  <si>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</si>
  <si>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</si>
  <si>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</si>
  <si>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</si>
  <si>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</si>
  <si>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</si>
  <si>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</si>
  <si>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</si>
  <si>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</si>
  <si>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</si>
  <si>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</si>
  <si>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</si>
  <si>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</si>
  <si>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</si>
  <si>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</si>
  <si>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</si>
  <si>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</si>
  <si>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</si>
  <si>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</si>
  <si>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</si>
  <si>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</si>
  <si>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</si>
  <si>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</si>
  <si>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</si>
  <si>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</si>
  <si>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</si>
  <si>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</si>
  <si>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</si>
  <si>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</si>
  <si>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</si>
  <si>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</si>
  <si>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</si>
  <si>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</si>
  <si>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</si>
  <si>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</si>
  <si>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</si>
  <si>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</si>
  <si>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</si>
  <si>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</si>
  <si>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</si>
  <si>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</si>
  <si>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</si>
  <si>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</si>
  <si>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</si>
  <si>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</si>
  <si>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</si>
  <si>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</si>
  <si>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</si>
  <si>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</si>
  <si>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</si>
  <si>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</si>
  <si>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</si>
  <si>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</si>
  <si>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</si>
  <si>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</si>
  <si>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</si>
  <si>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</si>
  <si>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</si>
  <si>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</si>
  <si>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</si>
  <si>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</si>
  <si>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</si>
  <si>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</si>
  <si>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</si>
  <si>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</si>
  <si>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</si>
  <si>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</si>
  <si>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</si>
  <si>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</si>
  <si>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</si>
  <si>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</si>
  <si>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</si>
  <si>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</si>
  <si>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</si>
  <si>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</si>
  <si>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</si>
  <si>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</si>
  <si>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</si>
  <si>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</si>
  <si>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</si>
  <si>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</si>
  <si>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</si>
  <si>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</si>
  <si>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</si>
  <si>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</si>
  <si>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</si>
  <si>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</si>
  <si>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</si>
  <si>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</si>
  <si>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</si>
  <si>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</si>
  <si>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</si>
  <si>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</si>
  <si>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</si>
  <si>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</si>
  <si>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</si>
  <si>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</si>
  <si>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</si>
  <si>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</si>
  <si>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</si>
  <si>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</si>
  <si>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</si>
  <si>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</si>
  <si>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</si>
  <si>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</si>
  <si>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</si>
  <si>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</si>
  <si>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</si>
  <si>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</si>
  <si>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</si>
  <si>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</si>
  <si>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</si>
  <si>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</si>
  <si>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</si>
  <si>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</si>
  <si>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</si>
  <si>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</si>
  <si>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</si>
  <si>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</si>
  <si>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</si>
  <si>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</si>
  <si>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</si>
  <si>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</si>
  <si>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</si>
  <si>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</si>
  <si>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</si>
  <si>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</si>
  <si>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</si>
  <si>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</si>
  <si>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</si>
  <si>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</si>
  <si>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</si>
  <si>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</si>
  <si>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</si>
  <si>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</si>
  <si>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</si>
  <si>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</si>
  <si>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</si>
  <si>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</si>
  <si>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</si>
  <si>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</si>
  <si>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</si>
  <si>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</si>
  <si>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</si>
  <si>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</si>
  <si>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</si>
  <si>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</si>
  <si>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</si>
  <si>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</si>
  <si>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</si>
  <si>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</si>
  <si>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</si>
  <si>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</si>
  <si>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</si>
  <si>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</si>
  <si>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</si>
  <si>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</si>
  <si>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</si>
  <si>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</si>
  <si>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</si>
  <si>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</si>
  <si>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</si>
  <si>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</si>
  <si>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</si>
  <si>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</si>
  <si>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</si>
  <si>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</si>
  <si>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</si>
  <si>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</si>
  <si>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</si>
  <si>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</si>
  <si>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</si>
  <si>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</si>
  <si>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</si>
  <si>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</si>
  <si>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</si>
  <si>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</si>
  <si>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</si>
  <si>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</si>
  <si>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</si>
  <si>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</si>
  <si>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</si>
  <si>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</si>
  <si>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</si>
  <si>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</si>
  <si>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</si>
  <si>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</si>
  <si>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</si>
  <si>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</si>
  <si>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</si>
  <si>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</si>
  <si>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</si>
  <si>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</si>
  <si>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</si>
  <si>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</si>
  <si>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</si>
  <si>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</si>
  <si>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</si>
  <si>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</si>
  <si>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</si>
  <si>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</si>
  <si>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</si>
  <si>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</si>
  <si>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</si>
  <si>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</si>
  <si>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</si>
  <si>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</si>
  <si>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</si>
  <si>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</si>
  <si>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</si>
  <si>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</si>
  <si>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</si>
  <si>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</si>
  <si>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</si>
  <si>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</si>
  <si>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</si>
  <si>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</si>
  <si>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</si>
  <si>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</si>
  <si>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</si>
  <si>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</si>
  <si>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</si>
  <si>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</si>
  <si>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</si>
  <si>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</si>
  <si>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</si>
  <si>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</si>
  <si>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</si>
  <si>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</si>
  <si>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</si>
  <si>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</si>
  <si>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</si>
  <si>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</si>
  <si>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</si>
  <si>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</si>
  <si>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</si>
  <si>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</si>
  <si>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</si>
  <si>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</si>
  <si>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</si>
  <si>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</si>
  <si>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</si>
  <si>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</si>
  <si>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</si>
  <si>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</si>
  <si>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</si>
  <si>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</si>
  <si>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</si>
  <si>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</si>
  <si>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</si>
  <si>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</si>
  <si>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</si>
  <si>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</si>
  <si>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</si>
  <si>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</si>
  <si>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</si>
  <si>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</si>
  <si>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</si>
  <si>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</si>
  <si>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</si>
  <si>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</si>
  <si>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</si>
  <si>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</si>
  <si>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</si>
  <si>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</si>
  <si>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</si>
  <si>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</si>
  <si>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</si>
  <si>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</si>
  <si>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</si>
  <si>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</si>
  <si>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</si>
  <si>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</si>
  <si>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</si>
  <si>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</si>
  <si>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</si>
  <si>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</si>
  <si>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</si>
  <si>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</si>
  <si>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</si>
  <si>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</si>
  <si>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</si>
  <si>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</si>
  <si>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</si>
  <si>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</si>
  <si>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</si>
  <si>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</si>
  <si>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</si>
  <si>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</si>
  <si>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</si>
  <si>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</si>
  <si>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</si>
  <si>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</si>
  <si>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</si>
  <si>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</si>
  <si>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</si>
  <si>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</si>
  <si>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</si>
  <si>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</si>
  <si>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</si>
  <si>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</si>
  <si>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</si>
  <si>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</si>
  <si>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</si>
  <si>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</si>
  <si>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</si>
  <si>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</si>
  <si>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</si>
  <si>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</si>
  <si>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</si>
  <si>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</si>
  <si>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</si>
  <si>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</si>
  <si>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</si>
  <si>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</si>
  <si>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</si>
  <si>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</si>
  <si>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</si>
  <si>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</si>
  <si>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</si>
  <si>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</si>
  <si>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</si>
  <si>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</si>
  <si>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</si>
  <si>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</si>
  <si>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</si>
  <si>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</si>
  <si>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</si>
  <si>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</si>
  <si>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</si>
  <si>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</si>
  <si>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</si>
  <si>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</si>
  <si>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</si>
  <si>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</si>
  <si>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</si>
  <si>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</si>
  <si>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</si>
  <si>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</si>
  <si>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</si>
  <si>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</si>
  <si>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</si>
  <si>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</si>
  <si>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</si>
  <si>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</si>
  <si>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</si>
  <si>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</si>
  <si>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</si>
  <si>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</si>
  <si>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</si>
  <si>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</si>
  <si>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</si>
  <si>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</si>
  <si>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</si>
  <si>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</si>
  <si>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</si>
  <si>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</si>
  <si>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</si>
  <si>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</si>
  <si>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</si>
  <si>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</si>
  <si>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</si>
  <si>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</si>
  <si>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</si>
  <si>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</si>
  <si>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</si>
  <si>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</si>
  <si>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</si>
  <si>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</si>
  <si>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</si>
  <si>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</si>
  <si>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</si>
  <si>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</si>
  <si>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</si>
  <si>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</si>
  <si>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</si>
  <si>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</si>
  <si>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</si>
  <si>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</si>
  <si>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</si>
  <si>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</si>
  <si>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</si>
  <si>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</si>
  <si>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</si>
  <si>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</si>
  <si>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</si>
  <si>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</si>
  <si>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</si>
  <si>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</si>
  <si>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</si>
  <si>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</si>
  <si>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</si>
  <si>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</si>
  <si>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</si>
  <si>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</si>
  <si>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</si>
  <si>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</si>
  <si>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</si>
  <si>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</si>
  <si>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</si>
  <si>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</si>
  <si>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</si>
  <si>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</si>
  <si>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</si>
  <si>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</si>
  <si>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</si>
  <si>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</si>
  <si>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</si>
  <si>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</si>
  <si>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</si>
  <si>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</si>
  <si>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</si>
  <si>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</si>
  <si>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</si>
  <si>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</si>
  <si>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</si>
  <si>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</si>
  <si>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</si>
  <si>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</si>
  <si>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</si>
  <si>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</si>
  <si>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</si>
  <si>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</si>
  <si>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</si>
  <si>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</si>
  <si>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</si>
  <si>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</si>
  <si>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</si>
  <si>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</si>
  <si>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</si>
  <si>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</si>
  <si>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</si>
  <si>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</si>
  <si>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</si>
  <si>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</si>
  <si>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</si>
  <si>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</si>
  <si>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</si>
  <si>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</si>
  <si>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</si>
  <si>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</si>
  <si>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</si>
  <si>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</si>
  <si>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</si>
  <si>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</si>
  <si>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</si>
  <si>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</si>
  <si>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</si>
  <si>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</si>
  <si>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</si>
  <si>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</si>
  <si>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</si>
  <si>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</si>
  <si>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</si>
  <si>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</si>
  <si>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</si>
  <si>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</si>
  <si>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</si>
  <si>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</si>
  <si>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</si>
  <si>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</si>
  <si>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</si>
  <si>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</si>
  <si>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</si>
  <si>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</si>
  <si>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</si>
  <si>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</si>
  <si>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</si>
  <si>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</si>
  <si>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</si>
  <si>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</si>
  <si>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</si>
  <si>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</si>
  <si>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</si>
  <si>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</si>
  <si>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</si>
  <si>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</si>
  <si>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</si>
  <si>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</si>
  <si>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</si>
  <si>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</si>
  <si>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</si>
  <si>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</si>
  <si>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</si>
  <si>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</si>
  <si>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</si>
  <si>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</si>
  <si>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</si>
  <si>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</si>
  <si>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</si>
  <si>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</si>
  <si>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</si>
  <si>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</si>
  <si>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</si>
  <si>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</si>
  <si>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</si>
  <si>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</si>
  <si>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</si>
  <si>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</si>
  <si>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</si>
  <si>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</si>
  <si>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</si>
  <si>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</si>
  <si>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</si>
  <si>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</si>
  <si>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</si>
  <si>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</si>
  <si>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</si>
  <si>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</si>
  <si>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</si>
  <si>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</si>
  <si>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</si>
  <si>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</si>
  <si>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</si>
  <si>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</si>
  <si>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</si>
  <si>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</si>
  <si>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</si>
  <si>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</si>
  <si>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</si>
  <si>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</si>
  <si>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</si>
  <si>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</si>
  <si>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</si>
  <si>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</si>
  <si>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</si>
  <si>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</si>
  <si>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</si>
  <si>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</si>
  <si>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</si>
  <si>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</si>
  <si>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</si>
  <si>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</si>
  <si>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</si>
  <si>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</si>
  <si>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</si>
  <si>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</si>
  <si>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</si>
  <si>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</si>
  <si>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</si>
  <si>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</si>
  <si>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</si>
  <si>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</si>
  <si>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</si>
  <si>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</si>
  <si>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</si>
  <si>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</si>
  <si>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</si>
  <si>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</si>
  <si>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</si>
  <si>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</si>
  <si>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</si>
  <si>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</si>
  <si>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</si>
  <si>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</si>
  <si>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</si>
  <si>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</si>
  <si>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</si>
  <si>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</si>
  <si>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</si>
  <si>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</si>
  <si>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</si>
  <si>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</si>
  <si>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</si>
  <si>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</si>
  <si>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</si>
  <si>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</si>
  <si>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</si>
  <si>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</si>
  <si>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</si>
  <si>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</si>
  <si>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</si>
  <si>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</si>
  <si>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</si>
  <si>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</si>
  <si>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</si>
  <si>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</si>
  <si>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</si>
  <si>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</si>
  <si>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</si>
  <si>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</si>
  <si>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</si>
  <si>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</si>
  <si>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</si>
  <si>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</si>
  <si>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</si>
  <si>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</si>
  <si>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</si>
  <si>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</si>
  <si>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</si>
  <si>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</si>
  <si>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</si>
  <si>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</si>
  <si>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</si>
  <si>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</si>
  <si>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</si>
  <si>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</si>
  <si>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</si>
  <si>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</si>
  <si>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</si>
  <si>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</si>
  <si>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</si>
  <si>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</si>
  <si>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</si>
  <si>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</si>
  <si>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</si>
  <si>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</si>
  <si>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</si>
  <si>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</si>
  <si>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</si>
  <si>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</si>
  <si>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</si>
  <si>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</si>
  <si>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</si>
  <si>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</si>
  <si>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</si>
  <si>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</si>
  <si>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</si>
  <si>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</si>
  <si>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</si>
  <si>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</si>
  <si>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</si>
  <si>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</si>
  <si>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</si>
  <si>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</si>
  <si>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</si>
  <si>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</si>
  <si>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</si>
  <si>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</si>
  <si>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</si>
  <si>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</si>
  <si>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</si>
  <si>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</si>
  <si>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</si>
  <si>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</si>
  <si>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</si>
  <si>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</si>
  <si>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</si>
  <si>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</si>
  <si>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</si>
  <si>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</si>
  <si>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</si>
  <si>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</si>
  <si>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</si>
  <si>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</si>
  <si>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</si>
  <si>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</si>
  <si>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</si>
  <si>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</si>
  <si>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</si>
  <si>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</si>
  <si>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</si>
  <si>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</si>
  <si>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</si>
  <si>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</si>
  <si>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</si>
  <si>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</si>
  <si>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</si>
  <si>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</si>
  <si>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</si>
  <si>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</si>
  <si>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</si>
  <si>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</si>
  <si>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</si>
  <si>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</si>
  <si>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</si>
  <si>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</si>
  <si>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</si>
  <si>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</si>
  <si>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</si>
  <si>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</si>
  <si>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</si>
  <si>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</si>
  <si>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</si>
  <si>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</si>
  <si>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</si>
  <si>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</si>
  <si>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</si>
  <si>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</si>
  <si>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</si>
  <si>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</si>
  <si>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</si>
  <si>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</si>
  <si>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</si>
  <si>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</si>
  <si>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</si>
  <si>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</si>
  <si>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</si>
  <si>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</si>
  <si>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</si>
  <si>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</si>
  <si>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</si>
  <si>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</si>
  <si>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</si>
  <si>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</si>
  <si>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</si>
  <si>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</si>
  <si>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</si>
  <si>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</si>
  <si>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</si>
  <si>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</si>
  <si>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</si>
  <si>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</si>
  <si>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</si>
  <si>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</si>
  <si>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</si>
  <si>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</si>
  <si>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</si>
  <si>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</si>
  <si>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</si>
  <si>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</si>
  <si>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</si>
  <si>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</si>
  <si>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</si>
  <si>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</si>
  <si>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</si>
  <si>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</si>
  <si>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</si>
  <si>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</si>
  <si>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</si>
  <si>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</si>
  <si>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</si>
  <si>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</si>
  <si>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</si>
  <si>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</si>
  <si>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</si>
  <si>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</si>
  <si>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</si>
  <si>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</si>
  <si>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</si>
  <si>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</si>
  <si>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</si>
  <si>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</si>
  <si>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</si>
  <si>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</si>
  <si>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</si>
  <si>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</si>
  <si>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</si>
  <si>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</si>
  <si>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</si>
  <si>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</si>
  <si>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</si>
  <si>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</si>
  <si>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</si>
  <si>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</si>
  <si>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</si>
  <si>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</si>
  <si>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</si>
  <si>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</si>
  <si>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</si>
  <si>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</si>
  <si>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</si>
  <si>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</si>
  <si>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</si>
  <si>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</si>
  <si>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</si>
  <si>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</si>
  <si>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</si>
  <si>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</si>
  <si>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</si>
  <si>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</si>
  <si>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</si>
  <si>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</si>
  <si>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</si>
  <si>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</si>
  <si>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</si>
  <si>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</si>
  <si>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</si>
  <si>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</si>
  <si>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</si>
  <si>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</si>
  <si>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</si>
  <si>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</si>
  <si>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</si>
  <si>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</si>
  <si>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</si>
  <si>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</si>
  <si>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</si>
  <si>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</si>
  <si>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</si>
  <si>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</si>
  <si>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</si>
  <si>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</si>
  <si>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</si>
  <si>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</si>
  <si>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</si>
  <si>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</si>
  <si>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</si>
  <si>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</si>
  <si>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</si>
  <si>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</si>
  <si>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</si>
  <si>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</si>
  <si>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</si>
  <si>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</si>
  <si>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</si>
  <si>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</si>
  <si>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</si>
  <si>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</si>
  <si>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</si>
  <si>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</si>
  <si>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</si>
  <si>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</si>
  <si>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</si>
  <si>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</si>
  <si>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</si>
  <si>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</si>
  <si>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</si>
  <si>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</si>
  <si>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</si>
  <si>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</si>
  <si>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</si>
  <si>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</si>
  <si>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</si>
  <si>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</si>
  <si>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</si>
  <si>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</si>
  <si>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</si>
  <si>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</si>
  <si>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</si>
  <si>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</si>
  <si>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</si>
  <si>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</si>
  <si>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</si>
  <si>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</si>
  <si>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</si>
  <si>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</si>
  <si>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</si>
  <si>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</si>
  <si>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</si>
  <si>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</si>
  <si>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</si>
  <si>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</si>
  <si>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</si>
  <si>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</si>
  <si>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</si>
  <si>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</si>
  <si>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</si>
  <si>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</si>
  <si>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</si>
  <si>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</si>
  <si>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</si>
  <si>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</si>
  <si>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</si>
  <si>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</si>
  <si>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</si>
  <si>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</si>
  <si>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</si>
  <si>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</si>
  <si>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</si>
  <si>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</si>
  <si>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</si>
  <si>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</si>
  <si>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</si>
  <si>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</si>
  <si>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</si>
  <si>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</si>
  <si>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</si>
  <si>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</si>
  <si>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</si>
  <si>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</si>
  <si>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</si>
  <si>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</si>
  <si>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</si>
  <si>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</si>
  <si>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</si>
  <si>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</si>
  <si>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</si>
  <si>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</si>
  <si>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</si>
  <si>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</si>
  <si>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</si>
  <si>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</si>
  <si>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</si>
  <si>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</si>
  <si>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</si>
  <si>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</si>
  <si>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</si>
  <si>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</si>
  <si>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</si>
  <si>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</si>
  <si>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</si>
  <si>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</si>
  <si>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</si>
  <si>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</si>
  <si>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</si>
  <si>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</si>
  <si>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</si>
  <si>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</si>
  <si>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</si>
  <si>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</si>
  <si>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</si>
  <si>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</si>
  <si>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</si>
  <si>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</si>
  <si>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</si>
  <si>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</si>
  <si>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</si>
  <si>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</si>
  <si>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</si>
  <si>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</si>
  <si>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</si>
  <si>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</si>
  <si>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</si>
  <si>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</si>
  <si>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</si>
  <si>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</si>
  <si>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</si>
  <si>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</si>
  <si>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</si>
  <si>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</si>
  <si>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</si>
  <si>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</si>
  <si>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</si>
  <si>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</si>
  <si>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</si>
  <si>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</si>
  <si>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</si>
  <si>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</si>
  <si>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</si>
  <si>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</si>
  <si>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</si>
  <si>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</si>
  <si>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</si>
  <si>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</si>
  <si>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</si>
  <si>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</si>
  <si>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</si>
  <si>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</si>
  <si>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</si>
  <si>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</si>
  <si>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</si>
  <si>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</si>
  <si>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</si>
  <si>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</si>
  <si>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</si>
  <si>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</si>
  <si>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</si>
  <si>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</si>
  <si>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</si>
  <si>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</si>
  <si>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</si>
  <si>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</si>
  <si>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</si>
  <si>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</si>
  <si>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</si>
  <si>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</si>
  <si>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</si>
  <si>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</si>
  <si>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</si>
  <si>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</si>
  <si>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</si>
  <si>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</si>
  <si>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</si>
  <si>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</si>
  <si>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</si>
  <si>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</si>
  <si>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</si>
  <si>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</si>
  <si>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</si>
  <si>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</si>
  <si>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</si>
  <si>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</si>
  <si>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</si>
  <si>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</si>
  <si>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</si>
  <si>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</si>
  <si>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</si>
  <si>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</si>
  <si>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</si>
  <si>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</si>
  <si>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</si>
  <si>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</si>
  <si>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</si>
  <si>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</si>
  <si>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</si>
  <si>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</si>
  <si>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</si>
  <si>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</si>
  <si>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</si>
  <si>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</si>
  <si>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</si>
  <si>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</si>
  <si>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</si>
  <si>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</si>
  <si>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</si>
  <si>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</si>
  <si>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</si>
  <si>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</si>
  <si>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</si>
  <si>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</si>
  <si>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</si>
  <si>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</si>
  <si>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</si>
  <si>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</si>
  <si>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</si>
  <si>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</si>
  <si>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</si>
  <si>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</si>
  <si>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</si>
  <si>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</si>
  <si>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</si>
  <si>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</si>
  <si>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</si>
  <si>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</si>
  <si>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</si>
  <si>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</si>
  <si>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</si>
  <si>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</si>
  <si>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</si>
  <si>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</si>
  <si>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</si>
  <si>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</si>
  <si>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</si>
  <si>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</si>
  <si>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</si>
  <si>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</si>
  <si>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</si>
  <si>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</si>
  <si>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</si>
  <si>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</si>
  <si>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</si>
  <si>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</si>
  <si>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</si>
  <si>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</si>
  <si>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</si>
  <si>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</si>
  <si>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</si>
  <si>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</si>
  <si>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</si>
  <si>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</si>
  <si>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</si>
  <si>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</si>
  <si>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</si>
  <si>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</si>
  <si>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</si>
  <si>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</si>
  <si>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</si>
  <si>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</si>
  <si>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</si>
  <si>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</si>
  <si>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</si>
  <si>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</si>
  <si>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</si>
  <si>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</si>
  <si>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</si>
  <si>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</si>
  <si>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</si>
  <si>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</si>
  <si>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</si>
  <si>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</si>
  <si>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</si>
  <si>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</si>
  <si>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</si>
  <si>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</si>
  <si>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</si>
  <si>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</si>
  <si>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</si>
  <si>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</si>
  <si>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</si>
  <si>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</si>
  <si>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</si>
  <si>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</si>
  <si>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</si>
  <si>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</si>
  <si>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</si>
  <si>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</si>
  <si>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</si>
  <si>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</si>
  <si>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</si>
  <si>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</si>
  <si>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</si>
  <si>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</si>
  <si>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</si>
  <si>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</si>
  <si>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</si>
  <si>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</si>
  <si>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</si>
  <si>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</si>
  <si>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</si>
  <si>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</si>
  <si>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</si>
  <si>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</si>
  <si>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</si>
  <si>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</si>
  <si>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</si>
  <si>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</si>
  <si>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</si>
  <si>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</si>
  <si>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</si>
  <si>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</si>
  <si>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</si>
  <si>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</si>
  <si>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</si>
  <si>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</si>
  <si>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</si>
  <si>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</si>
  <si>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</si>
  <si>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</si>
  <si>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</si>
  <si>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</si>
  <si>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</si>
  <si>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</si>
  <si>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</si>
  <si>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</si>
  <si>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</si>
  <si>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</si>
  <si>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</si>
  <si>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</si>
  <si>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</si>
  <si>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</si>
  <si>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</si>
  <si>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</si>
  <si>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</si>
  <si>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</si>
  <si>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</si>
  <si>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</si>
  <si>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</si>
  <si>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</si>
  <si>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</si>
  <si>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</si>
  <si>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</si>
  <si>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</si>
  <si>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</si>
  <si>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</si>
  <si>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</si>
  <si>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</si>
  <si>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</si>
  <si>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</si>
  <si>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</si>
  <si>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</si>
  <si>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</si>
  <si>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</si>
  <si>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</si>
  <si>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</si>
  <si>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</si>
  <si>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</si>
  <si>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</si>
  <si>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</si>
  <si>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</si>
  <si>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</si>
  <si>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</si>
  <si>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</si>
  <si>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</si>
  <si>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</si>
  <si>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</si>
  <si>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</si>
  <si>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</si>
  <si>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</si>
  <si>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</si>
  <si>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</si>
  <si>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</si>
  <si>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</si>
  <si>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</si>
  <si>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</si>
  <si>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</si>
  <si>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</si>
  <si>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</si>
  <si>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</si>
  <si>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</si>
  <si>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</si>
  <si>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</si>
  <si>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</si>
  <si>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</si>
  <si>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</si>
  <si>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</si>
  <si>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</si>
  <si>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</si>
  <si>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</si>
  <si>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</si>
  <si>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</si>
  <si>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</si>
  <si>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</si>
  <si>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</si>
  <si>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</si>
  <si>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</si>
  <si>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</si>
  <si>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</si>
  <si>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</si>
  <si>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</si>
  <si>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</si>
  <si>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</si>
  <si>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</si>
  <si>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</si>
  <si>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</si>
  <si>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</si>
  <si>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</si>
  <si>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</si>
  <si>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</si>
  <si>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</si>
  <si>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</si>
  <si>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</si>
  <si>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</si>
  <si>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</si>
  <si>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</si>
  <si>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</si>
  <si>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</si>
  <si>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</si>
  <si>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</si>
  <si>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</si>
  <si>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</si>
  <si>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</si>
  <si>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</si>
  <si>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</si>
  <si>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</si>
  <si>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</si>
  <si>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</si>
  <si>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</si>
  <si>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</si>
  <si>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</si>
  <si>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</si>
  <si>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</si>
  <si>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</si>
  <si>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</si>
  <si>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</si>
  <si>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</si>
  <si>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</si>
  <si>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</si>
  <si>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</si>
  <si>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</si>
  <si>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</si>
  <si>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</si>
  <si>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</si>
  <si>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</si>
  <si>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</si>
  <si>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</si>
  <si>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</si>
  <si>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</si>
  <si>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</si>
  <si>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</si>
  <si>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</si>
  <si>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</si>
  <si>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</si>
  <si>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</si>
  <si>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</si>
  <si>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</si>
  <si>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</si>
  <si>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</si>
  <si>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</si>
  <si>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</si>
  <si>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</si>
  <si>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</si>
  <si>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</si>
  <si>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</si>
  <si>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</si>
  <si>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</si>
  <si>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</si>
  <si>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</si>
  <si>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</si>
  <si>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</si>
  <si>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</si>
  <si>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</si>
  <si>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</si>
  <si>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</si>
  <si>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</si>
  <si>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</si>
  <si>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</si>
  <si>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</si>
  <si>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</si>
  <si>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</si>
  <si>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</si>
  <si>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</si>
  <si>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</si>
  <si>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</si>
  <si>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</si>
  <si>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</si>
  <si>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</si>
  <si>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</si>
  <si>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</si>
  <si>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</si>
  <si>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</si>
  <si>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</si>
  <si>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</si>
  <si>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</si>
  <si>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</si>
  <si>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</si>
  <si>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</si>
  <si>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</si>
  <si>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</si>
  <si>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</si>
  <si>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</si>
  <si>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</si>
  <si>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</si>
  <si>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</si>
  <si>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</si>
  <si>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</si>
  <si>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</si>
  <si>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</si>
  <si>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</si>
  <si>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</si>
  <si>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</si>
  <si>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</si>
  <si>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</si>
  <si>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</si>
  <si>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</si>
  <si>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</si>
  <si>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</si>
  <si>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</si>
  <si>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</si>
  <si>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</si>
  <si>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</si>
  <si>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</si>
  <si>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</si>
  <si>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</si>
  <si>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</si>
  <si>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</si>
  <si>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</si>
  <si>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</si>
  <si>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</si>
  <si>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</si>
  <si>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</si>
  <si>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</si>
  <si>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</si>
  <si>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</si>
  <si>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</si>
  <si>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</si>
  <si>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</si>
  <si>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</si>
  <si>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</si>
  <si>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</si>
  <si>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</si>
  <si>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</si>
  <si>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</si>
  <si>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</si>
  <si>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</si>
  <si>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</si>
  <si>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</si>
  <si>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</si>
  <si>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</si>
  <si>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</si>
  <si>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</si>
  <si>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</si>
  <si>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</si>
  <si>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</si>
  <si>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</si>
  <si>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</si>
  <si>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</si>
  <si>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</si>
  <si>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</si>
  <si>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</si>
  <si>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</si>
  <si>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</si>
  <si>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</si>
  <si>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</si>
  <si>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</si>
  <si>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</si>
  <si>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</si>
  <si>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</si>
  <si>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</si>
  <si>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</si>
  <si>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</si>
  <si>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</si>
  <si>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</si>
  <si>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</si>
  <si>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</si>
  <si>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</si>
  <si>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</si>
  <si>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</si>
  <si>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</si>
  <si>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</si>
  <si>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</si>
  <si>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</si>
  <si>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</si>
  <si>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</si>
  <si>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</si>
  <si>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</si>
  <si>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</si>
  <si>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</si>
  <si>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</si>
  <si>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</si>
  <si>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</si>
  <si>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</si>
  <si>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</si>
  <si>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</si>
  <si>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</si>
  <si>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</si>
  <si>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</si>
  <si>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</si>
  <si>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</si>
  <si>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</si>
  <si>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</si>
  <si>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</si>
  <si>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</si>
  <si>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</si>
  <si>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</si>
  <si>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</si>
  <si>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</si>
  <si>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</si>
  <si>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</si>
  <si>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</si>
  <si>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</si>
  <si>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</si>
  <si>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</si>
  <si>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</si>
  <si>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</si>
  <si>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</si>
  <si>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</si>
  <si>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</si>
  <si>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</si>
  <si>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</si>
  <si>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</si>
  <si>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</si>
  <si>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</si>
  <si>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</si>
  <si>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</si>
  <si>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</si>
  <si>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</si>
  <si>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</si>
  <si>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</si>
  <si>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</si>
  <si>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</si>
  <si>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</si>
  <si>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</si>
  <si>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</si>
  <si>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</si>
  <si>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</si>
  <si>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</si>
  <si>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</si>
  <si>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</si>
  <si>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</si>
  <si>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</si>
  <si>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</si>
  <si>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</si>
  <si>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</si>
  <si>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</si>
  <si>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</si>
  <si>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</si>
  <si>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</si>
  <si>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</si>
  <si>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</si>
  <si>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</si>
  <si>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</si>
  <si>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</si>
  <si>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</si>
  <si>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</si>
  <si>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</si>
  <si>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</si>
  <si>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</si>
  <si>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</si>
  <si>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</si>
  <si>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</si>
  <si>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</si>
  <si>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</si>
  <si>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</si>
  <si>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</si>
  <si>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</si>
  <si>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</si>
  <si>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</si>
  <si>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</si>
  <si>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</si>
  <si>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</si>
  <si>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</si>
  <si>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</si>
  <si>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</si>
  <si>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</si>
  <si>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</si>
  <si>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</si>
  <si>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</si>
  <si>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</si>
  <si>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</si>
  <si>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</si>
  <si>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</si>
  <si>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</si>
  <si>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</si>
  <si>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</si>
  <si>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</si>
  <si>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</si>
  <si>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</si>
  <si>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</si>
  <si>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</si>
  <si>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</si>
  <si>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</si>
  <si>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</si>
  <si>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</si>
  <si>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</si>
  <si>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</si>
  <si>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</si>
  <si>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</si>
  <si>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</si>
  <si>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</si>
  <si>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</si>
  <si>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</si>
  <si>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</si>
  <si>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</si>
  <si>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</si>
  <si>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</si>
  <si>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</si>
  <si>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</si>
  <si>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</si>
  <si>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</si>
  <si>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</si>
  <si>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</si>
  <si>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</si>
  <si>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</si>
  <si>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</si>
  <si>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</si>
  <si>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</si>
  <si>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</si>
  <si>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</si>
  <si>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</si>
  <si>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</si>
  <si>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</si>
  <si>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</si>
  <si>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</si>
  <si>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</si>
  <si>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</si>
  <si>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</si>
  <si>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</si>
  <si>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</si>
  <si>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</si>
  <si>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</si>
  <si>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</si>
  <si>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</si>
  <si>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</si>
  <si>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</si>
  <si>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</si>
  <si>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</si>
  <si>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</si>
  <si>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</si>
  <si>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</si>
  <si>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</si>
  <si>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</si>
  <si>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</si>
  <si>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</si>
  <si>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</si>
  <si>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</si>
  <si>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</si>
  <si>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</si>
  <si>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</si>
  <si>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</si>
  <si>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</si>
  <si>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</si>
  <si>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</si>
  <si>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</si>
  <si>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</si>
  <si>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</si>
  <si>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</si>
  <si>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</si>
  <si>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</si>
  <si>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</si>
  <si>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</si>
  <si>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</si>
  <si>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</si>
  <si>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</si>
  <si>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</si>
  <si>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</si>
  <si>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</si>
  <si>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</si>
  <si>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</si>
  <si>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</si>
  <si>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</si>
  <si>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</si>
  <si>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</si>
  <si>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</si>
  <si>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</si>
  <si>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</si>
  <si>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</si>
  <si>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</si>
  <si>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</si>
  <si>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</si>
  <si>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</si>
  <si>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</si>
  <si>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</si>
  <si>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</si>
  <si>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</si>
  <si>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</si>
  <si>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</si>
  <si>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</si>
  <si>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</si>
  <si>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</si>
  <si>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</si>
  <si>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</si>
  <si>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</si>
  <si>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</si>
  <si>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</si>
  <si>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</si>
  <si>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</si>
  <si>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</si>
  <si>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</si>
  <si>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</si>
  <si>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</si>
  <si>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</si>
  <si>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</si>
  <si>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</si>
  <si>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</si>
  <si>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</si>
  <si>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</si>
  <si>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</si>
  <si>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</si>
  <si>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</si>
  <si>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</si>
  <si>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</si>
  <si>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</si>
  <si>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</si>
  <si>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</si>
  <si>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</si>
  <si>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</si>
  <si>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</si>
  <si>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</si>
  <si>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</si>
  <si>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</si>
  <si>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</si>
  <si>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</si>
  <si>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</si>
  <si>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</si>
  <si>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</si>
  <si>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</si>
  <si>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</si>
  <si>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</si>
  <si>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</si>
  <si>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</si>
  <si>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</si>
  <si>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</si>
  <si>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</si>
  <si>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</si>
  <si>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</si>
  <si>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</si>
  <si>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</si>
  <si>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</si>
  <si>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</si>
  <si>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</si>
  <si>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</si>
  <si>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</si>
  <si>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</si>
  <si>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</si>
  <si>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</si>
  <si>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</si>
  <si>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</si>
  <si>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</si>
  <si>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</si>
  <si>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</si>
  <si>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</si>
  <si>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</si>
  <si>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</si>
  <si>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</si>
  <si>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</si>
  <si>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</si>
  <si>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</si>
  <si>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</si>
  <si>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</si>
  <si>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</si>
  <si>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</si>
  <si>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</si>
  <si>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</si>
  <si>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</si>
  <si>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</si>
  <si>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</si>
  <si>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</si>
  <si>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</si>
  <si>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</si>
  <si>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</si>
  <si>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</si>
  <si>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</si>
  <si>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</si>
  <si>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</si>
  <si>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</si>
  <si>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</si>
  <si>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</si>
  <si>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</si>
  <si>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</si>
  <si>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</si>
  <si>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</si>
  <si>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</si>
  <si>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</si>
  <si>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</si>
  <si>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</si>
  <si>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</si>
  <si>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</si>
  <si>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</si>
  <si>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</si>
  <si>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</si>
  <si>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</si>
  <si>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</si>
  <si>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</si>
  <si>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</si>
  <si>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</si>
  <si>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</si>
  <si>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</si>
  <si>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</si>
  <si>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</si>
  <si>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</si>
  <si>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</si>
  <si>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</si>
  <si>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</si>
  <si>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</si>
  <si>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</si>
  <si>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</si>
  <si>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</si>
  <si>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</si>
  <si>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</si>
  <si>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</si>
  <si>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</si>
  <si>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</si>
  <si>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</si>
  <si>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</si>
  <si>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</si>
  <si>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</si>
  <si>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</si>
  <si>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</si>
  <si>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</si>
  <si>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</si>
  <si>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</si>
  <si>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</si>
  <si>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</si>
  <si>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</si>
  <si>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</si>
  <si>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</si>
  <si>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</si>
  <si>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</si>
  <si>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</si>
  <si>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</si>
  <si>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</si>
  <si>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</si>
  <si>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</si>
  <si>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</si>
  <si>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</si>
  <si>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</si>
  <si>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</si>
  <si>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</si>
  <si>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</si>
  <si>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</si>
  <si>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</si>
  <si>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</si>
  <si>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</si>
  <si>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</si>
  <si>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</si>
  <si>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</si>
  <si>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</si>
  <si>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</si>
  <si>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</si>
  <si>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</si>
  <si>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</si>
  <si>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</si>
  <si>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</si>
  <si>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</si>
  <si>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</si>
  <si>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</si>
  <si>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</si>
  <si>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</si>
  <si>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</si>
  <si>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</si>
  <si>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</si>
  <si>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</si>
  <si>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</si>
  <si>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</si>
  <si>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</si>
  <si>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</si>
  <si>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</si>
  <si>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</si>
  <si>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</si>
  <si>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</si>
  <si>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</si>
  <si>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</si>
  <si>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</si>
  <si>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</si>
  <si>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</si>
  <si>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</si>
  <si>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</si>
  <si>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</si>
  <si>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</si>
  <si>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</si>
  <si>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</si>
  <si>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</si>
  <si>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</si>
  <si>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</si>
  <si>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</si>
  <si>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</si>
  <si>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</si>
  <si>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</si>
  <si>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</si>
  <si>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</si>
  <si>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</si>
  <si>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</si>
  <si>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</si>
  <si>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</si>
  <si>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</si>
  <si>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</si>
  <si>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</si>
  <si>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</si>
  <si>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</si>
  <si>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</si>
  <si>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</si>
  <si>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</si>
  <si>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</si>
  <si>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</si>
  <si>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</si>
  <si>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</si>
  <si>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</si>
  <si>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</si>
  <si>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</si>
  <si>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</si>
  <si>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</si>
  <si>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</si>
  <si>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</si>
  <si>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</si>
  <si>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</si>
  <si>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</si>
  <si>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</si>
  <si>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</si>
  <si>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</si>
  <si>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</si>
  <si>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</si>
  <si>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</si>
  <si>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</si>
  <si>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</si>
  <si>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</si>
  <si>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</si>
  <si>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</si>
  <si>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</si>
  <si>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</si>
  <si>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</si>
  <si>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</si>
  <si>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</si>
  <si>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</si>
  <si>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</si>
  <si>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</si>
  <si>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</si>
  <si>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</si>
  <si>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</si>
  <si>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</si>
  <si>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</si>
  <si>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</si>
  <si>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</si>
  <si>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</si>
  <si>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</si>
  <si>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</si>
  <si>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</si>
  <si>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</si>
  <si>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</si>
  <si>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</si>
  <si>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</si>
  <si>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</si>
  <si>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</si>
  <si>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</si>
  <si>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</si>
  <si>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</si>
  <si>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</si>
  <si>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</si>
  <si>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</si>
  <si>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</si>
  <si>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</si>
  <si>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</si>
  <si>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</si>
  <si>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</si>
  <si>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</si>
  <si>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</si>
  <si>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</si>
  <si>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</si>
  <si>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</si>
  <si>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</si>
  <si>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</si>
  <si>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</si>
  <si>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</si>
  <si>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</si>
  <si>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</si>
  <si>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</si>
  <si>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</si>
  <si>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</si>
  <si>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</si>
  <si>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</si>
  <si>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</si>
  <si>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</si>
  <si>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</si>
  <si>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</si>
  <si>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</si>
  <si>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</si>
  <si>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</si>
  <si>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</si>
  <si>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</si>
  <si>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</si>
  <si>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</si>
  <si>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</si>
  <si>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</si>
  <si>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</si>
  <si>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</si>
  <si>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</si>
  <si>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</si>
  <si>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</si>
  <si>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</si>
  <si>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</si>
  <si>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</si>
  <si>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</si>
  <si>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</si>
  <si>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</si>
  <si>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</si>
  <si>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</si>
  <si>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I546</t>
  </si>
  <si>
    <t>Title</t>
  </si>
  <si>
    <t>First Name</t>
  </si>
  <si>
    <t>Last Name</t>
  </si>
  <si>
    <t>Mr.  Elenilton V. Sr. Rangel</t>
  </si>
  <si>
    <t>Mr.  George M. V Cleland</t>
  </si>
  <si>
    <t>Mr.  J P. II Royston</t>
  </si>
  <si>
    <t>Mr.  William D. Jr. Appman</t>
  </si>
  <si>
    <t>Mr.  Francisco J. Sr. Mendoza</t>
  </si>
  <si>
    <t>Mr.  William H. III Steele</t>
  </si>
  <si>
    <t>Mr.  Edivaldo B. Sr. Do Prado</t>
  </si>
  <si>
    <t>Mr.  Mauricio J. Sr. Sanchez Antognini</t>
  </si>
  <si>
    <t>Mr.  Thomas R. Jr. Gennaro</t>
  </si>
  <si>
    <t>Mr.  Peter W. Sr. Richter</t>
  </si>
  <si>
    <t>Mr.  Jose Guadalupe P. Sr. De Jesus</t>
  </si>
  <si>
    <t>Mr.  Peter J. Jr. Mone</t>
  </si>
  <si>
    <t>Mr.  John I. Jr. Martin</t>
  </si>
  <si>
    <t>Mr.  Daniel J. Jr. Stanton</t>
  </si>
  <si>
    <t>Mr.  Dan C. Jr. Wilson</t>
  </si>
  <si>
    <t>Mr.  Chuck W. Jr. Dent</t>
  </si>
  <si>
    <t>Mr.  John K. Jr. Werner</t>
  </si>
  <si>
    <t>Mr.  Juan D. Sr. Riveros Gonzalez</t>
  </si>
  <si>
    <t xml:space="preserve">Ms.  Kelly Hawks </t>
  </si>
  <si>
    <t>Mr.  Matthew D Lehner</t>
  </si>
  <si>
    <t>Mr.  Phil Lu</t>
  </si>
  <si>
    <t>Ms.  Kelsey Osborne</t>
  </si>
  <si>
    <t>Ms.  Kristyn Kadala</t>
  </si>
  <si>
    <t>Mr.  Russell B. Baker</t>
  </si>
  <si>
    <t>Mr.  Scott Macpherson</t>
  </si>
  <si>
    <t>Mr.  Stephen Hallman</t>
  </si>
  <si>
    <t>Mr.  Patrick R. Moran</t>
  </si>
  <si>
    <t>Ms.  Brooke N. Benner</t>
  </si>
  <si>
    <t>Ms.  Paola Andrea Fierro Vargas</t>
  </si>
  <si>
    <t>Mr.  David Franz</t>
  </si>
  <si>
    <t>Mr.  Wade Foster</t>
  </si>
  <si>
    <t>Mr.  Franklin Tenorio</t>
  </si>
  <si>
    <t>Ms.  Leilani M. Rios</t>
  </si>
  <si>
    <t>Mr.  Philippe Viau-Dupuis</t>
  </si>
  <si>
    <t>Ms.  Jennifer A. Cronin</t>
  </si>
  <si>
    <t>Ms.  Christina M. Noordstar</t>
  </si>
  <si>
    <t>Mr.  Said Sr. Boudalia</t>
  </si>
  <si>
    <t>Mr.  John Flor</t>
  </si>
  <si>
    <t>Mr.  Myles Fennon</t>
  </si>
  <si>
    <t>Ms.  Madelyn C Hribar</t>
  </si>
  <si>
    <t>Ms.  Nicole Tassello</t>
  </si>
  <si>
    <t>Mr.  Eric A. Mauricette</t>
  </si>
  <si>
    <t>Mr.  Emiliano I. Garcia</t>
  </si>
  <si>
    <t>Mr.  Adam Airoldi</t>
  </si>
  <si>
    <t>Mr.  Zach Cater-Cyker</t>
  </si>
  <si>
    <t>Ms.  Stephanie W. Hamm</t>
  </si>
  <si>
    <t>Mr.  Stephen Cox</t>
  </si>
  <si>
    <t>Ms.  Natalie Sachrajda</t>
  </si>
  <si>
    <t>Ms.  Nicole J. Gareri</t>
  </si>
  <si>
    <t>Mr.  Jefferson D Welch</t>
  </si>
  <si>
    <t>Mr.  Brendan D. Prindiville</t>
  </si>
  <si>
    <t>Ms.  Courtney Kincaid</t>
  </si>
  <si>
    <t>Ms.  Sydney L. Bruestle</t>
  </si>
  <si>
    <t>Mr.  Julien Lachance</t>
  </si>
  <si>
    <t>Mr.  Ryan M Eason</t>
  </si>
  <si>
    <t>Ms.  Anna H. Grummon</t>
  </si>
  <si>
    <t>Ms.  Samantha Vanwechel</t>
  </si>
  <si>
    <t>Mr.  Robert Fisher</t>
  </si>
  <si>
    <t>Mr.  James R. Jenkins</t>
  </si>
  <si>
    <t>Ms.  Roseann Peters</t>
  </si>
  <si>
    <t>Ms.  Nicole Aha</t>
  </si>
  <si>
    <t>Mr.  Spencer McElwain</t>
  </si>
  <si>
    <t>Mr.  Eric W Januszewski</t>
  </si>
  <si>
    <t>Ms.  Brianna L Rohne</t>
  </si>
  <si>
    <t>Mr.  Thomas J. O'Grady</t>
  </si>
  <si>
    <t>Ms.  Melissa L Peters</t>
  </si>
  <si>
    <t>Mr.  Flavio De Simone</t>
  </si>
  <si>
    <t>Mr.  Ryan Beckett</t>
  </si>
  <si>
    <t>Mr.  Anthony J. Sobrilsky</t>
  </si>
  <si>
    <t>Ms.  Alex Wang</t>
  </si>
  <si>
    <t>Mr.  David Campa</t>
  </si>
  <si>
    <t>Mr.  Andrew B Clifford</t>
  </si>
  <si>
    <t>Ms.  Dara E Dalmata</t>
  </si>
  <si>
    <t>Ms.  Inna Vishik</t>
  </si>
  <si>
    <t>Mr.  Ari Schorr</t>
  </si>
  <si>
    <t>Ms.  Lindsey Lusardi</t>
  </si>
  <si>
    <t>Mr.  Kenny Rayner</t>
  </si>
  <si>
    <t>Ms.  Louise Voghel</t>
  </si>
  <si>
    <t>Mr.  Cameron Rieth</t>
  </si>
  <si>
    <t>Ms.  Katie T. Gollotto</t>
  </si>
  <si>
    <t>Ms.  Casey Dunn</t>
  </si>
  <si>
    <t>Mr.  David Blitzer</t>
  </si>
  <si>
    <t>Mr.  Bryson C. Smith</t>
  </si>
  <si>
    <t>Ms.  Megan Hyland</t>
  </si>
  <si>
    <t>Mr.  Daniel Ducharme</t>
  </si>
  <si>
    <t>Mr.  Steven M. Johnson</t>
  </si>
  <si>
    <t>Ms.  Jenna L. Mutz</t>
  </si>
  <si>
    <t>Mr.  Freeman Lee</t>
  </si>
  <si>
    <t>Mr.  Jeff Turner</t>
  </si>
  <si>
    <t>Ms.  Maurya Lacey</t>
  </si>
  <si>
    <t>Ms.  Samantha C Stiger</t>
  </si>
  <si>
    <t>Ms.  Bethany A Caldwell</t>
  </si>
  <si>
    <t>Mr.  Yves Marmillod</t>
  </si>
  <si>
    <t>Ms.  Danielle Cloutier-Simons</t>
  </si>
  <si>
    <t>Ms.  Julia Vegas</t>
  </si>
  <si>
    <t>Mr.  Joshua Cochran</t>
  </si>
  <si>
    <t>Ms.  Jennifer Holtzapple</t>
  </si>
  <si>
    <t>Ms.  Gwen M. Meyer</t>
  </si>
  <si>
    <t>Mr.  Patrick Brickley</t>
  </si>
  <si>
    <t>Ms.  Kate Magee</t>
  </si>
  <si>
    <t>Mr.  Kevin Thoma</t>
  </si>
  <si>
    <t>Mr.  Stephen II Heagy</t>
  </si>
  <si>
    <t>Mr.  Philip Regnier</t>
  </si>
  <si>
    <t>Mr.  Brett A Parendo</t>
  </si>
  <si>
    <t>Ms.  Rebecca Schell</t>
  </si>
  <si>
    <t>Ms.  Kelley Driscoll</t>
  </si>
  <si>
    <t>Ms.  Abigail K Mitchell</t>
  </si>
  <si>
    <t>Ms.  Hope Cutler</t>
  </si>
  <si>
    <t>Ms.  Elyse M. Derian</t>
  </si>
  <si>
    <t>Mr.  Nicholas Farina</t>
  </si>
  <si>
    <t>Mr.  David Saunders</t>
  </si>
  <si>
    <t>Ms.  Natalie Kratz</t>
  </si>
  <si>
    <t>Mr.  Thomas Boland</t>
  </si>
  <si>
    <t>Ms.  Pamela J. Van Hout</t>
  </si>
  <si>
    <t>Ms.  Jessica Ramsey</t>
  </si>
  <si>
    <t>Mr.  Ron N Gage</t>
  </si>
  <si>
    <t>Mr.  Daniel Gollins</t>
  </si>
  <si>
    <t>Mr.  Brian Benestad</t>
  </si>
  <si>
    <t>Ms.  Sari Aviv</t>
  </si>
  <si>
    <t>Mr.  Robert M. Burns</t>
  </si>
  <si>
    <t>Mr.  Ricardo Maldonado</t>
  </si>
  <si>
    <t>Mr.  Gedion Yitref</t>
  </si>
  <si>
    <t>Mr.  Mark Loudon-Brown</t>
  </si>
  <si>
    <t>Mr.  Gamini P. Sugathadasa</t>
  </si>
  <si>
    <t>Ms.  Emily J Ganley</t>
  </si>
  <si>
    <t>Ms.  Amanda Potter</t>
  </si>
  <si>
    <t>Mr.  Nicholas Rasmussen</t>
  </si>
  <si>
    <t>Mr.  Knox Robinson</t>
  </si>
  <si>
    <t>Ms.  Yianna Antonopoulos</t>
  </si>
  <si>
    <t>Ms.  Roberta Groner</t>
  </si>
  <si>
    <t>Mr.  Benjamin P. Zywicki</t>
  </si>
  <si>
    <t>Mr.  Craig Cardinal</t>
  </si>
  <si>
    <t>Ms.  Ann Alleman</t>
  </si>
  <si>
    <t>Mr.  Jamie P Stroffolino</t>
  </si>
  <si>
    <t>Mr.  John Clubb</t>
  </si>
  <si>
    <t>Mr.  Charlie McGoogan</t>
  </si>
  <si>
    <t>Mr.  Meb Keflezighi</t>
  </si>
  <si>
    <t>Mr.  Aaqib L. Syed</t>
  </si>
  <si>
    <t>Mr.  Craig A. Segal</t>
  </si>
  <si>
    <t>Ms.  Meredith Defranco</t>
  </si>
  <si>
    <t>Mr.  Doug Kells</t>
  </si>
  <si>
    <t>Ms.  Elizabeth J. Lawton</t>
  </si>
  <si>
    <t>Mr.  Matthew P Bejar</t>
  </si>
  <si>
    <t>Mr.  Guillermo Sr. Navarro Castro</t>
  </si>
  <si>
    <t>Mr.  Ryan C Tice</t>
  </si>
  <si>
    <t>Mr.  Dane Wolf</t>
  </si>
  <si>
    <t>Mr.  Jonas Oppedal</t>
  </si>
  <si>
    <t>Mr.  George E Wright</t>
  </si>
  <si>
    <t>Ms.  Sara S Ellis</t>
  </si>
  <si>
    <t>Mr.  Nick Taormina</t>
  </si>
  <si>
    <t>Mr.  Timothy Lynch</t>
  </si>
  <si>
    <t>Ms.  Becky L Tavella</t>
  </si>
  <si>
    <t>Ms.  Steph K. Neufeld</t>
  </si>
  <si>
    <t>Ms.  Kristine B. Walhovd</t>
  </si>
  <si>
    <t>Mr.  Taylor B Washburn</t>
  </si>
  <si>
    <t>Mr.  William Mroz</t>
  </si>
  <si>
    <t>Mr.  Sage Canaday</t>
  </si>
  <si>
    <t>Mr.  Cole Atkins</t>
  </si>
  <si>
    <t>Mr.  Jesse Kropelnicki</t>
  </si>
  <si>
    <t>Ms.  Tammi J. Braund</t>
  </si>
  <si>
    <t>Mr.  Matthew S. Anderson</t>
  </si>
  <si>
    <t>Mr.  Eric Bilbrey</t>
  </si>
  <si>
    <t>Ms.  Valeria R Curtis</t>
  </si>
  <si>
    <t>Mr.  Michael P Meyer</t>
  </si>
  <si>
    <t>Mr.  Rami Bardeesy</t>
  </si>
  <si>
    <t>Mr.  Denis Shanahan</t>
  </si>
  <si>
    <t>Mr.  Brian E Sutter</t>
  </si>
  <si>
    <t>Ms.  Bonnie Yesian</t>
  </si>
  <si>
    <t>Mr.  Michael P Meers</t>
  </si>
  <si>
    <t>Mr.  Paul Conlon</t>
  </si>
  <si>
    <t>Mr.  Michael Arnstein</t>
  </si>
  <si>
    <t>Mr.  Samuel Jurek</t>
  </si>
  <si>
    <t>Mr.  Matthew Thill</t>
  </si>
  <si>
    <t>Mr.  Daniel Glaz</t>
  </si>
  <si>
    <t>Ms.  Syndy Sampson</t>
  </si>
  <si>
    <t>Ms.  Aleksandra Duliba</t>
  </si>
  <si>
    <t>Mr.  Steeve T Sr. Tanguay</t>
  </si>
  <si>
    <t>Mr.  Richard McClelland</t>
  </si>
  <si>
    <t>Mr.  Aaron T Gorman</t>
  </si>
  <si>
    <t>Mr.  Akira Nishimura</t>
  </si>
  <si>
    <t>Mr.  Ben Brimble</t>
  </si>
  <si>
    <t>Ms.  Jana Trenk</t>
  </si>
  <si>
    <t>Mr.  Jay T. Wittmann</t>
  </si>
  <si>
    <t>Ms.  Marie-Helene Tremblay</t>
  </si>
  <si>
    <t>Ms.  Bret R Scofield</t>
  </si>
  <si>
    <t>Mr.  Gardner L Yost</t>
  </si>
  <si>
    <t>Mr.  Bobby Torphy</t>
  </si>
  <si>
    <t>Ms.  Natalie Busby</t>
  </si>
  <si>
    <t>Ms.  Lina Nguyen</t>
  </si>
  <si>
    <t>Mr.  Zebulon Hanley</t>
  </si>
  <si>
    <t>Ms.  Amanda Scheer</t>
  </si>
  <si>
    <t>Mr.  Greg Rankin</t>
  </si>
  <si>
    <t>Mr.  John Ricardi</t>
  </si>
  <si>
    <t>Ms.  Kelsey A. Karkos</t>
  </si>
  <si>
    <t>Ms.  Bronwen L Price-Dierksen</t>
  </si>
  <si>
    <t>Ms.  Manuela Knispel</t>
  </si>
  <si>
    <t>Ms.  Jennifer L King</t>
  </si>
  <si>
    <t>Ms.  Abby W. Samuelson</t>
  </si>
  <si>
    <t>Mr.  Tyler Fredsall</t>
  </si>
  <si>
    <t>Mr.  Jeffrey Eggleston</t>
  </si>
  <si>
    <t>Mr.  Matthew F Palombaro</t>
  </si>
  <si>
    <t>Mr.  Ryan J. Silva</t>
  </si>
  <si>
    <t>Ms.  Amy Bugala</t>
  </si>
  <si>
    <t>Mr.  Andrew P Dublin</t>
  </si>
  <si>
    <t>Ms.  Sarah Evans</t>
  </si>
  <si>
    <t>Ms.  Lara Boyd</t>
  </si>
  <si>
    <t>Mr.  Sebastien Roulier</t>
  </si>
  <si>
    <t>Mr.  Padraig Mullins</t>
  </si>
  <si>
    <t>Ms.  Heather Hofmann</t>
  </si>
  <si>
    <t>Mr.  Jorge Garcia Garcia</t>
  </si>
  <si>
    <t>Mr.  Jack R Klecker</t>
  </si>
  <si>
    <t>Mr.  Felix Cancre</t>
  </si>
  <si>
    <t>Mr.  Christopher C Denucci</t>
  </si>
  <si>
    <t>Mr.  Jesse Saldana</t>
  </si>
  <si>
    <t>Ms.  Jill Weinberg</t>
  </si>
  <si>
    <t>Mr.  William Walsh</t>
  </si>
  <si>
    <t>Mr.  Alejandro Pasten</t>
  </si>
  <si>
    <t>Mr.  Ian E. LaBelle</t>
  </si>
  <si>
    <t>Mr.  Hector Sr. Guzman</t>
  </si>
  <si>
    <t>Ms.  Rebecca Turnbull</t>
  </si>
  <si>
    <t>Mr.  Matt Aguero</t>
  </si>
  <si>
    <t>Ms.  Elizabeth H Woodward</t>
  </si>
  <si>
    <t>Ms.  Grace McElroy</t>
  </si>
  <si>
    <t>Mr.  Jaime Lopez</t>
  </si>
  <si>
    <t>Ms.  Calesse Cardosi</t>
  </si>
  <si>
    <t>Ms.  Kate L Looney</t>
  </si>
  <si>
    <t>Mr.  Sergey Zyryanov</t>
  </si>
  <si>
    <t>Mr.  Timothy V Gavin</t>
  </si>
  <si>
    <t>Mr.  Andrew S Littlefield</t>
  </si>
  <si>
    <t>Mr.  Matthew D Shearer</t>
  </si>
  <si>
    <t>Ms.  Jessica Armstrong</t>
  </si>
  <si>
    <t>Mr.  Lawrence Warriner</t>
  </si>
  <si>
    <t>Mr.  Alex White</t>
  </si>
  <si>
    <t>Mr.  Kevin Cordaro</t>
  </si>
  <si>
    <t>Mr.  Gavin M. Hamilton</t>
  </si>
  <si>
    <t>Mr.  Rick E Meyer</t>
  </si>
  <si>
    <t>Ms.  Andrea H. Duke</t>
  </si>
  <si>
    <t>Mr.  Anthony S Malatesta</t>
  </si>
  <si>
    <t>Mr.  Erik Hinrichsen</t>
  </si>
  <si>
    <t>Ms.  Kiley D Lucan</t>
  </si>
  <si>
    <t>Ms.  Jennifer Koch</t>
  </si>
  <si>
    <t>Mr.  Chris Smith</t>
  </si>
  <si>
    <t>Ms.  Marian M. O'Connor</t>
  </si>
  <si>
    <t>Mr.  Jeremy Kampwerth</t>
  </si>
  <si>
    <t>Ms.  Allison H Federoff</t>
  </si>
  <si>
    <t>Ms.  Elizabeth Goya</t>
  </si>
  <si>
    <t>Mr.  Andrew Hodges</t>
  </si>
  <si>
    <t>Mr.  Anders J Erickson</t>
  </si>
  <si>
    <t>Mr.  Sean Welleck</t>
  </si>
  <si>
    <t>Mr.  Brian M. Polen</t>
  </si>
  <si>
    <t>Mr.  Jeremy Lynch</t>
  </si>
  <si>
    <t>Ms.  Susannah Hufstader</t>
  </si>
  <si>
    <t>Mr.  Randy Doak</t>
  </si>
  <si>
    <t>Mr.  Leslie Noya</t>
  </si>
  <si>
    <t>Ms.  Brittany L. Heninger</t>
  </si>
  <si>
    <t>Ms.  Cassie J. Richardson</t>
  </si>
  <si>
    <t>Mr.  Peter W Deucher</t>
  </si>
  <si>
    <t>Mr.  Douglas Wilson</t>
  </si>
  <si>
    <t>Mr.  Dan Hall</t>
  </si>
  <si>
    <t>Mr.  Dan M. Reed</t>
  </si>
  <si>
    <t>Mr.  Eric L. Frome</t>
  </si>
  <si>
    <t>Mr.  Les J Creasy</t>
  </si>
  <si>
    <t>Ms.  Stephanie Latimer</t>
  </si>
  <si>
    <t>Ms.  Melissa Y Wei</t>
  </si>
  <si>
    <t>Ms.  Ashley Hayes</t>
  </si>
  <si>
    <t>Ms.  Stephanie M. Velardo</t>
  </si>
  <si>
    <t>Ms.  Kylie Kastes</t>
  </si>
  <si>
    <t>Ms.  Kelly Escorcia</t>
  </si>
  <si>
    <t>Ms.  Carrie Larscheid</t>
  </si>
  <si>
    <t>Mr.  Alex O'Bannon</t>
  </si>
  <si>
    <t>Mr.  Zach S Ridgway</t>
  </si>
  <si>
    <t>Mr.  Alan Black</t>
  </si>
  <si>
    <t>Mr.  Nate Canton</t>
  </si>
  <si>
    <t>Mr.  Jesse G. Fine</t>
  </si>
  <si>
    <t>Mr.  Jason Bui</t>
  </si>
  <si>
    <t>Ms.  Megan A. Riepma</t>
  </si>
  <si>
    <t>Mr.  Luke M Inman</t>
  </si>
  <si>
    <t>Ms.  Jacy D Kruzel</t>
  </si>
  <si>
    <t>Mr.  Simon G. Lindsay</t>
  </si>
  <si>
    <t>Ms.  Ainsley E. Land</t>
  </si>
  <si>
    <t>Ms.  Erica A. Brecher</t>
  </si>
  <si>
    <t>Mr.  Erik Debolt</t>
  </si>
  <si>
    <t>Ms.  Erin C. Oswalt</t>
  </si>
  <si>
    <t>Ms.  Adrienne Boyd</t>
  </si>
  <si>
    <t>Mr.  Adam Bulewich</t>
  </si>
  <si>
    <t>Mr.  Yutaka Fukuda</t>
  </si>
  <si>
    <t>Mr.  Tyler M Phillips</t>
  </si>
  <si>
    <t>Mr.  Stephen Maddison</t>
  </si>
  <si>
    <t>Mr.  Andrew B. Lockwood</t>
  </si>
  <si>
    <t>Mr.  James Defilippi</t>
  </si>
  <si>
    <t>Mr.  Shawn P. Jackson</t>
  </si>
  <si>
    <t>Mr.  Matt Ozahowski</t>
  </si>
  <si>
    <t>Mr.  Nathaniel Guthals</t>
  </si>
  <si>
    <t>Mr.  Kevin D. Yates</t>
  </si>
  <si>
    <t>Ms.  Joan Samuelson</t>
  </si>
  <si>
    <t>Mr.  Christopher A Lemos</t>
  </si>
  <si>
    <t>Ms.  Kacy L. Seynders</t>
  </si>
  <si>
    <t>Mr.  Benjamin H. Saunders</t>
  </si>
  <si>
    <t>Mr.  Xaviour J. Walker</t>
  </si>
  <si>
    <t>Mr.  Michael T. Lam</t>
  </si>
  <si>
    <t>Mr.  Bradley Sweigart</t>
  </si>
  <si>
    <t>Ms.  Andrea Sieczkowski</t>
  </si>
  <si>
    <t>Ms.  Nancy M Jurgens</t>
  </si>
  <si>
    <t>Mr.  Matt Hackman</t>
  </si>
  <si>
    <t>Mr.  Lee Klarich</t>
  </si>
  <si>
    <t>Mr.  Chris Schulten</t>
  </si>
  <si>
    <t>Mr.  Erik T. Fagerstrom</t>
  </si>
  <si>
    <t>Mr.  Rod W Bien</t>
  </si>
  <si>
    <t>Mr.  Joey Hess</t>
  </si>
  <si>
    <t>Ms.  Hillary L. Shaw</t>
  </si>
  <si>
    <t>Mr.  Eric J Williams</t>
  </si>
  <si>
    <t>Mr.  Nicolas Menzies</t>
  </si>
  <si>
    <t>Mr.  Marcel Buehler</t>
  </si>
  <si>
    <t>Ms.  Ashley N Degen</t>
  </si>
  <si>
    <t>Mr.  Evan D Arsenault</t>
  </si>
  <si>
    <t>Ms.  Krisana Hoff</t>
  </si>
  <si>
    <t>Mr.  Kyle Hall</t>
  </si>
  <si>
    <t>Ms.  Kate Ashley</t>
  </si>
  <si>
    <t>Mr.  Martin A. Rindahl</t>
  </si>
  <si>
    <t>Ms.  Stacey Clark</t>
  </si>
  <si>
    <t>Ms.  Christine Irish</t>
  </si>
  <si>
    <t>Ms.  Sarah C. Richardson</t>
  </si>
  <si>
    <t>Ms.  Megan Dewitt</t>
  </si>
  <si>
    <t>Mr.  Jason W Hickman</t>
  </si>
  <si>
    <t>Ms.  Michele Gonzalez</t>
  </si>
  <si>
    <t>Ms.  Nikki Difani</t>
  </si>
  <si>
    <t>Mr.  Philip J. Turner</t>
  </si>
  <si>
    <t>Mr.  Bryan L Widmann</t>
  </si>
  <si>
    <t>Mr.  Timothy F Tunney</t>
  </si>
  <si>
    <t>Ms.  Angielyn M San Juan</t>
  </si>
  <si>
    <t>Ms.  Jeanie M. Croll</t>
  </si>
  <si>
    <t>Mr.  Greg Rolfes</t>
  </si>
  <si>
    <t>Mr.  John Hinkle</t>
  </si>
  <si>
    <t>Mr.  Aliaksandr Leuchanka</t>
  </si>
  <si>
    <t>Mr.  Jason M. Ayr</t>
  </si>
  <si>
    <t>Ms.  Sheera K Siegel</t>
  </si>
  <si>
    <t>Ms.  Janice Penrose</t>
  </si>
  <si>
    <t>Mr.  Timothy G. Schuler</t>
  </si>
  <si>
    <t>Mr.  Alan R Walker</t>
  </si>
  <si>
    <t>Mr.  Michael Stange</t>
  </si>
  <si>
    <t>Ms.  Marie-France Roy</t>
  </si>
  <si>
    <t>Mr.  Erik F. Potere</t>
  </si>
  <si>
    <t>Mr.  Andrew Podgurski</t>
  </si>
  <si>
    <t>Mr.  Anthony Diamond</t>
  </si>
  <si>
    <t>Mr.  Chris Sallade</t>
  </si>
  <si>
    <t>Mr.  Yu Zhang</t>
  </si>
  <si>
    <t>Mr.  Caleb N Chatfield</t>
  </si>
  <si>
    <t>Mr.  Jason M. Bruns</t>
  </si>
  <si>
    <t>Ms.  Angela R Yochum</t>
  </si>
  <si>
    <t>Mr.  Keith J Freeburn</t>
  </si>
  <si>
    <t>Ms.  Emma Spencer</t>
  </si>
  <si>
    <t>Mr.  Nathan A Jarosik</t>
  </si>
  <si>
    <t>Ms.  Kathryn Heinzen</t>
  </si>
  <si>
    <t>Ms.  Elizabeth H. Kelley</t>
  </si>
  <si>
    <t>Mr.  Ben Thacker</t>
  </si>
  <si>
    <t>Ms.  Cheryl A Jeseritz</t>
  </si>
  <si>
    <t>Ms.  Kimberly A Hohman</t>
  </si>
  <si>
    <t>Ms.  Cynthia Hill</t>
  </si>
  <si>
    <t>Ms.  Jessica Kuepfer</t>
  </si>
  <si>
    <t>Mr.  Bruce Kaczmarek</t>
  </si>
  <si>
    <t>Ms.  Allison Pitt</t>
  </si>
  <si>
    <t>Mr.  Alex Lorton</t>
  </si>
  <si>
    <t>Ms.  Gabriela Castaneda</t>
  </si>
  <si>
    <t>Ms.  Sharon Cherop</t>
  </si>
  <si>
    <t>Mr.  Jason A Howell</t>
  </si>
  <si>
    <t>Ms.  Chelsey C. Palmer</t>
  </si>
  <si>
    <t>Mr.  Devon A. Olson</t>
  </si>
  <si>
    <t>Ms.  Joni L Waldron</t>
  </si>
  <si>
    <t>Mr.  Colin Meyer</t>
  </si>
  <si>
    <t>Ms.  Rachael Stack</t>
  </si>
  <si>
    <t>Ms.  Maricela Sanchez Y Torres</t>
  </si>
  <si>
    <t>Ms.  Marie Daniels</t>
  </si>
  <si>
    <t>Mr.  Frank Pepp</t>
  </si>
  <si>
    <t>Mr.  Jeffry Buechler</t>
  </si>
  <si>
    <t>Mr.  Mike Buenting</t>
  </si>
  <si>
    <t>Mr.  Rick Evans</t>
  </si>
  <si>
    <t>Mr.  Pierre-Michel Arcand</t>
  </si>
  <si>
    <t>Mr.  Daniel Kesack</t>
  </si>
  <si>
    <t>Mr.  Brian L. Post</t>
  </si>
  <si>
    <t>Ms.  Morgan M. Dunne</t>
  </si>
  <si>
    <t>Ms.  Caroline Kilel</t>
  </si>
  <si>
    <t>Mr.  Drew T. Nicholson</t>
  </si>
  <si>
    <t>Mr.  Austin W Susmann</t>
  </si>
  <si>
    <t>Ms.  Berenice Harsh</t>
  </si>
  <si>
    <t>Mr.  Kenneth A Pocasangre</t>
  </si>
  <si>
    <t>Mr.  Miguel Martinez Lopez</t>
  </si>
  <si>
    <t>Ms.  Hadley T. Riegel</t>
  </si>
  <si>
    <t>Mr.  Taylor Monson</t>
  </si>
  <si>
    <t>Ms.  Tenielle M Klubben</t>
  </si>
  <si>
    <t>Ms.  Andrea Mascaro</t>
  </si>
  <si>
    <t>Ms.  Nora P Norvell</t>
  </si>
  <si>
    <t>Mr.  Zachary Ornelas</t>
  </si>
  <si>
    <t>Mr.  Michael Fitzpatrick</t>
  </si>
  <si>
    <t>Ms.  Alyssa K. Bloomquist</t>
  </si>
  <si>
    <t>Ms.  Heather Wick</t>
  </si>
  <si>
    <t>Mr.  Dante Zappala</t>
  </si>
  <si>
    <t>Ms.  Sara E. Earle</t>
  </si>
  <si>
    <t>Mr.  Scott Majewski</t>
  </si>
  <si>
    <t>Mr.  Sean Apfelbaum</t>
  </si>
  <si>
    <t>Ms.  Danielle Graham</t>
  </si>
  <si>
    <t>Mr.  Andrew D. Whitacre</t>
  </si>
  <si>
    <t>Mr.  Joel D Wegener</t>
  </si>
  <si>
    <t>Ms.  Michelle Collie</t>
  </si>
  <si>
    <t>Mr.  Michael J. Murphy</t>
  </si>
  <si>
    <t>Ms.  Nikki Butters</t>
  </si>
  <si>
    <t>Ms.  Summer B. Cook</t>
  </si>
  <si>
    <t>Mr.  Edward Breen</t>
  </si>
  <si>
    <t>Mr.  Ryan Fitzsimons</t>
  </si>
  <si>
    <t>Ms.  Kacee Houle</t>
  </si>
  <si>
    <t>Mr.  Dave Woodward</t>
  </si>
  <si>
    <t>Ms.  Maryanna Ray</t>
  </si>
  <si>
    <t>Ms.  Jessica H. Jennings</t>
  </si>
  <si>
    <t>Ms.  Deanna Fuller</t>
  </si>
  <si>
    <t>Mr.  Peter Lovisek</t>
  </si>
  <si>
    <t>Ms.  Rebecca Painter</t>
  </si>
  <si>
    <t>Ms.  Elizabeth M. Edwards</t>
  </si>
  <si>
    <t>Mr.  Gregory Liebl</t>
  </si>
  <si>
    <t>Ms.  Sarah E. Kasabian-Larson</t>
  </si>
  <si>
    <t>Ms.  Anne Elise Creamer</t>
  </si>
  <si>
    <t>Mr.  Christopher R Kimbel</t>
  </si>
  <si>
    <t>Mr.  Elliot Livensparger</t>
  </si>
  <si>
    <t>Mr.  Christopher D. Grange</t>
  </si>
  <si>
    <t>Mr.  Corey Nunlist</t>
  </si>
  <si>
    <t>Mr.  Patrick D. Cutter</t>
  </si>
  <si>
    <t>Mr.  Anthony D. Martin</t>
  </si>
  <si>
    <t>Ms.  Melissa Cooney</t>
  </si>
  <si>
    <t>Ms.  Raven Bier</t>
  </si>
  <si>
    <t>Mr.  Christopher Muskopf</t>
  </si>
  <si>
    <t>Ms.  Kendra A Sirak</t>
  </si>
  <si>
    <t>Ms.  Jordan Nelsen</t>
  </si>
  <si>
    <t>Mr.  Nils Schallner</t>
  </si>
  <si>
    <t>Mr.  Scott Dunlap</t>
  </si>
  <si>
    <t>Ms.  Angela Messing</t>
  </si>
  <si>
    <t>Ms.  Allison Bondell</t>
  </si>
  <si>
    <t>Ms.  Caitlin O. Gaughan</t>
  </si>
  <si>
    <t>Ms.  Tracy M Gruman</t>
  </si>
  <si>
    <t>Mr.  Dustin M. Whitlow</t>
  </si>
  <si>
    <t>Ms.  Jenny Robinson</t>
  </si>
  <si>
    <t>Ms.  Emily Sabo</t>
  </si>
  <si>
    <t>Ms.  Fabienne Nazarian</t>
  </si>
  <si>
    <t>Mr.  Jordan Lerma</t>
  </si>
  <si>
    <t>Mr.  Matt Dahl</t>
  </si>
  <si>
    <t>Ms.  Taryn L Surtees</t>
  </si>
  <si>
    <t>Ms.  Temima Spetner</t>
  </si>
  <si>
    <t>Ms.  Jennifer Brandon</t>
  </si>
  <si>
    <t>Ms.  Serena M. Eley</t>
  </si>
  <si>
    <t>Ms.  Victoria M. Sedicum</t>
  </si>
  <si>
    <t>Ms.  Phoebe Markle</t>
  </si>
  <si>
    <t>Mr.  Corey Kunz</t>
  </si>
  <si>
    <t>Ms.  Rebecca Wimert</t>
  </si>
  <si>
    <t>Mr.  Nicholas D Peterson</t>
  </si>
  <si>
    <t>Mr.  Christian Mercier</t>
  </si>
  <si>
    <t>Mr.  Jonathon S. Laurie</t>
  </si>
  <si>
    <t>Ms.  Caroline Sekaquaptewa</t>
  </si>
  <si>
    <t>Mr.  Joshua D. Frash</t>
  </si>
  <si>
    <t>Ms.  Nichole Bukowski</t>
  </si>
  <si>
    <t>Ms.  Denise M Sandahl</t>
  </si>
  <si>
    <t>Mr.  Peter R. Speight</t>
  </si>
  <si>
    <t>Mr.  Johnson K Lee</t>
  </si>
  <si>
    <t>Ms.  Katherine Nielsen</t>
  </si>
  <si>
    <t>Ms.  Lynda Zirdok</t>
  </si>
  <si>
    <t>Mr.  Anthony Crudale</t>
  </si>
  <si>
    <t>Ms.  Linnea C. Koopmans</t>
  </si>
  <si>
    <t>Mr.  Massimiliano A. Milani</t>
  </si>
  <si>
    <t>Mr.  James M. Kelly</t>
  </si>
  <si>
    <t>Ms.  Lauren Finelli</t>
  </si>
  <si>
    <t>Ms.  Michele V. Palmer</t>
  </si>
  <si>
    <t>Mr.  Xiao Wang</t>
  </si>
  <si>
    <t>Ms.  Harper L Beasley</t>
  </si>
  <si>
    <t>Mr.  Nick Bedbury</t>
  </si>
  <si>
    <t>Mr.  Scott Stemberger</t>
  </si>
  <si>
    <t>Mr.  Wilson Chebet</t>
  </si>
  <si>
    <t>Mr.  Lee Muir</t>
  </si>
  <si>
    <t>Mr.  Shizhong Yang</t>
  </si>
  <si>
    <t>Ms.  Marie-Claire Gravel</t>
  </si>
  <si>
    <t>Mr.  Todd J. Smith</t>
  </si>
  <si>
    <t>Ms.  Carolyn Williams</t>
  </si>
  <si>
    <t>Ms.  Lindsey Meyer</t>
  </si>
  <si>
    <t>Ms.  Marissa D Jamieson</t>
  </si>
  <si>
    <t>Mr.  Jean Luc Dufeal</t>
  </si>
  <si>
    <t>Ms.  Danielle Sansonetti</t>
  </si>
  <si>
    <t>Mr.  Jim Koneazny</t>
  </si>
  <si>
    <t>Mr.  Matthew T Johnson</t>
  </si>
  <si>
    <t>Ms.  Rachel L. Glasson</t>
  </si>
  <si>
    <t>Ms.  Corina Canitz</t>
  </si>
  <si>
    <t>Mr.  Guannan Li</t>
  </si>
  <si>
    <t>Mr.  Don Parsons</t>
  </si>
  <si>
    <t>Mr.  Chris Raulli</t>
  </si>
  <si>
    <t>Mr.  Gavin V. Frome</t>
  </si>
  <si>
    <t>Mr.  David Sevcik</t>
  </si>
  <si>
    <t>Mr.  Jatin Narang</t>
  </si>
  <si>
    <t>Ms.  Angela M. Tieri</t>
  </si>
  <si>
    <t>Mr.  Blake K. Whitney</t>
  </si>
  <si>
    <t>Mr.  Brian T. Wandzilak</t>
  </si>
  <si>
    <t>Mr.  Damon Valenzona</t>
  </si>
  <si>
    <t>Mr.  Jeffrey Young</t>
  </si>
  <si>
    <t>Mr.  Malcolm J. Richards</t>
  </si>
  <si>
    <t>Ms.  Margaret B. Alexson</t>
  </si>
  <si>
    <t>Ms.  Helen Wright</t>
  </si>
  <si>
    <t>Mr.  Matthew McKenna</t>
  </si>
  <si>
    <t>Mr.  Jeff Sallade</t>
  </si>
  <si>
    <t>Mrs.  Tara R Argall</t>
  </si>
  <si>
    <t>Ms.  Kristin Patchell</t>
  </si>
  <si>
    <t>Mr.  Timothy Catoggio</t>
  </si>
  <si>
    <t>Mr.  Scott Adams</t>
  </si>
  <si>
    <t>Ms.  Carly E Windt</t>
  </si>
  <si>
    <t>Ms.  Lisa Ryan</t>
  </si>
  <si>
    <t>Ms.  Stacey Marion</t>
  </si>
  <si>
    <t>Mr.  Louis Raffetto</t>
  </si>
  <si>
    <t>Mr.  Brian R. Young</t>
  </si>
  <si>
    <t>Mrs.  Jessica Oehlke</t>
  </si>
  <si>
    <t>Ms.  Dawn M. Sudol</t>
  </si>
  <si>
    <t>Mr.  Chris Van Es</t>
  </si>
  <si>
    <t>Ms.  Karen Dolge</t>
  </si>
  <si>
    <t>Ms.  Jessica Marlier</t>
  </si>
  <si>
    <t>Mr.  Mathieu Girard</t>
  </si>
  <si>
    <t>Mr.  Kam S. Lee</t>
  </si>
  <si>
    <t>Ms.  Valerie A Hubbard</t>
  </si>
  <si>
    <t>Ms.  Freya R Koester</t>
  </si>
  <si>
    <t>Ms.  Jennifer Matthews</t>
  </si>
  <si>
    <t>Ms.  Kara Rubinich</t>
  </si>
  <si>
    <t>Mr.  Bradley A. Alban</t>
  </si>
  <si>
    <t>Mr.  Brendan Corcoran</t>
  </si>
  <si>
    <t>Ms.  Amber R Sargent</t>
  </si>
  <si>
    <t>Mr.  Sean K Watson</t>
  </si>
  <si>
    <t>Mr.  Rick Esponda</t>
  </si>
  <si>
    <t>Mr.  Matthew Krall</t>
  </si>
  <si>
    <t>Mr.  Brady Poskin</t>
  </si>
  <si>
    <t>Ms.  Kameko Halfmann</t>
  </si>
  <si>
    <t>Mr.  Jeremy A Klapper</t>
  </si>
  <si>
    <t>Mr.  Daniel George</t>
  </si>
  <si>
    <t>Ms.  Amanda Hicks</t>
  </si>
  <si>
    <t>Ms.  Karen Lockyer</t>
  </si>
  <si>
    <t>Mr.  Gregory Byrnes</t>
  </si>
  <si>
    <t>Ms.  Sabine Norris</t>
  </si>
  <si>
    <t>Mr.  Joseph Darda</t>
  </si>
  <si>
    <t>Mr.  Adam Otstot</t>
  </si>
  <si>
    <t>Ms.  Karolyn A Bowley</t>
  </si>
  <si>
    <t>Mrs.  Anita L. Rogers</t>
  </si>
  <si>
    <t>Ms.  Laura E. Mclaughlin</t>
  </si>
  <si>
    <t>Ms.  Sarah Ziegler</t>
  </si>
  <si>
    <t>Mrs.  Ashley E Hughey</t>
  </si>
  <si>
    <t>Ms.  Lindsey Knast</t>
  </si>
  <si>
    <t>Mr.  Alan Stob</t>
  </si>
  <si>
    <t>Mr.  Dan R. Jensen</t>
  </si>
  <si>
    <t>Ms.  Katie Mutter</t>
  </si>
  <si>
    <t>Mr.  Eric Ahern</t>
  </si>
  <si>
    <t>Ms.  Cathryn Chviruk</t>
  </si>
  <si>
    <t>Mr.  Brendan Meehan</t>
  </si>
  <si>
    <t>Ms.  Shauna Gammon</t>
  </si>
  <si>
    <t>Mr.  Terence Lee</t>
  </si>
  <si>
    <t>Ms.  Marisol Franco</t>
  </si>
  <si>
    <t>Ms.  Lindsay Patterson</t>
  </si>
  <si>
    <t>Ms.  Katie Valdes</t>
  </si>
  <si>
    <t>Mr.  Daniel Craig</t>
  </si>
  <si>
    <t>Mr.  Brett W Whipple</t>
  </si>
  <si>
    <t>Mr.  Dylan J Marton</t>
  </si>
  <si>
    <t>Ms.  Elizabeth Hildebrandt</t>
  </si>
  <si>
    <t>Ms.  Brooke M. Biggs</t>
  </si>
  <si>
    <t>Mrs.  Teiko Shigezumi</t>
  </si>
  <si>
    <t>Mr.  Zachary Meineke</t>
  </si>
  <si>
    <t>Ms.  Johannah Ludington</t>
  </si>
  <si>
    <t>Mr.  Ryan A Perrich</t>
  </si>
  <si>
    <t>Mr.  Andres Sr. Cervantes</t>
  </si>
  <si>
    <t>Mr.  Bryan Andrews</t>
  </si>
  <si>
    <t>Ms.  Lizette Ruvalcaba</t>
  </si>
  <si>
    <t>Mr.  Don King</t>
  </si>
  <si>
    <t>Mr.  Jeb Stone</t>
  </si>
  <si>
    <t>Ms.  Amy R. Campbell</t>
  </si>
  <si>
    <t>Mr.  Brian Asher</t>
  </si>
  <si>
    <t>Mr.  Mike G Mazzotta</t>
  </si>
  <si>
    <t>Ms.  Simonezitrone Sr. Huttl</t>
  </si>
  <si>
    <t>Mr.  Nicholas Ferron</t>
  </si>
  <si>
    <t>Ms.  Angela M Colarusso</t>
  </si>
  <si>
    <t>Mr.  Oz Pearlman</t>
  </si>
  <si>
    <t>Ms.  Erin M. O'Mara</t>
  </si>
  <si>
    <t>Mr.  Bobby E. Niska</t>
  </si>
  <si>
    <t>Mr.  Daniel P. Schlich</t>
  </si>
  <si>
    <t>Ms.  Marie E. Zidek</t>
  </si>
  <si>
    <t>Mrs.  Katie Ellgass</t>
  </si>
  <si>
    <t>Mr.  Eric D Lowe</t>
  </si>
  <si>
    <t>Ms.  Tara Malone</t>
  </si>
  <si>
    <t>Ms.  Haley L Dumke</t>
  </si>
  <si>
    <t>Ms.  Kayla B. Strong</t>
  </si>
  <si>
    <t>Mr.  Mark D. Ferguson</t>
  </si>
  <si>
    <t>Mr.  Patrick J. Klein</t>
  </si>
  <si>
    <t>Mr.  Alejandro Eusebio</t>
  </si>
  <si>
    <t>Mrs.  Beth A Szolosi</t>
  </si>
  <si>
    <t>Mr.  Jason R Butler</t>
  </si>
  <si>
    <t>Mr.  Yoshinori Fukuchi</t>
  </si>
  <si>
    <t>Ms.  Adrienne G. Drucker</t>
  </si>
  <si>
    <t>Mrs.  Meredith Aziz</t>
  </si>
  <si>
    <t>Mr.  Junyong Pak</t>
  </si>
  <si>
    <t>Ms.  Kristen A. Kieta</t>
  </si>
  <si>
    <t>Ms.  Maria I. Velez</t>
  </si>
  <si>
    <t>Mr.  Jonathan Bussiere</t>
  </si>
  <si>
    <t>Mr.  Phil McCartney</t>
  </si>
  <si>
    <t>Ms.  Benjamina C Bambauer</t>
  </si>
  <si>
    <t>Mr.  Christopher Mertz</t>
  </si>
  <si>
    <t>Ms.  Alison B Mason</t>
  </si>
  <si>
    <t>Ms.  Caroline Rotich</t>
  </si>
  <si>
    <t>Ms.  Alexis N Fetzer</t>
  </si>
  <si>
    <t>Ms.  Shanda L Mattis</t>
  </si>
  <si>
    <t>Mrs.  Lacey Cochran</t>
  </si>
  <si>
    <t>Ms.  Laurette Balinsky</t>
  </si>
  <si>
    <t>Mr.  Jason Reilly</t>
  </si>
  <si>
    <t>Ms.  Mary Johnson</t>
  </si>
  <si>
    <t>Ms.  Kati A Petry</t>
  </si>
  <si>
    <t>Mrs.  Kelly J Laleman</t>
  </si>
  <si>
    <t>Ms.  Greer D Colby</t>
  </si>
  <si>
    <t>Mr.  Brent Wathke</t>
  </si>
  <si>
    <t>Mr.  Eugene M Daly</t>
  </si>
  <si>
    <t>Ms.  Erin D Dillon</t>
  </si>
  <si>
    <t>Ms.  Kamilla Pontes</t>
  </si>
  <si>
    <t>Mr.  Wayne I. Spies</t>
  </si>
  <si>
    <t>Ms.  Tracy L Greig</t>
  </si>
  <si>
    <t>Mrs.  Heather Scott</t>
  </si>
  <si>
    <t>Mrs.  Megan C Erlandson</t>
  </si>
  <si>
    <t>Mr.  Jonathan Autrey</t>
  </si>
  <si>
    <t>Mr.  Greg D. Alleman</t>
  </si>
  <si>
    <t>Mr.  Steven L. Michalski</t>
  </si>
  <si>
    <t>Mr.  Gianfilippo Grillo</t>
  </si>
  <si>
    <t>Mr.  Hector Coronado</t>
  </si>
  <si>
    <t>Mr.  Mark W. Dewine</t>
  </si>
  <si>
    <t>Mrs.  Aubri Carman</t>
  </si>
  <si>
    <t>Mr.  Justin Neems</t>
  </si>
  <si>
    <t>Ms.  Megan A. Pesyna</t>
  </si>
  <si>
    <t>Ms.  Erika M. Meling</t>
  </si>
  <si>
    <t>Mr.  Daniel G. Widlowski</t>
  </si>
  <si>
    <t>Ms.  Devin C. Nadar</t>
  </si>
  <si>
    <t>Ms.  Louise A Turner</t>
  </si>
  <si>
    <t>Mrs.  Sarah Walker</t>
  </si>
  <si>
    <t>Ms.  Amy Leedham</t>
  </si>
  <si>
    <t>Ms.  Brittany L. Haglund</t>
  </si>
  <si>
    <t>Ms.  Jessica L Mills</t>
  </si>
  <si>
    <t>Mrs.  Kristina K Drnjevich</t>
  </si>
  <si>
    <t>Mr.  Brad Clay</t>
  </si>
  <si>
    <t>Ms.  Margaret O Marbury</t>
  </si>
  <si>
    <t>Mr.  Craig R. Coon</t>
  </si>
  <si>
    <t>Mr.  Simo Vanttinen</t>
  </si>
  <si>
    <t>Mr.  Christopher J Garges</t>
  </si>
  <si>
    <t>Mr.  Mario Sr. Rivel</t>
  </si>
  <si>
    <t>Mrs.  Meghann R. Lawson</t>
  </si>
  <si>
    <t>Mr.  Scott M Cale</t>
  </si>
  <si>
    <t>Ms.  Caitlin E. Phillips</t>
  </si>
  <si>
    <t>Mrs.  Samantha A. Stewart</t>
  </si>
  <si>
    <t>Mr.  Erik Drotz</t>
  </si>
  <si>
    <t>Mr.  Christopher Mutai</t>
  </si>
  <si>
    <t>Mrs.  Maya Lovlien</t>
  </si>
  <si>
    <t>Mr.  Zachary T Bruns</t>
  </si>
  <si>
    <t>Mrs.  Hilda Stoney</t>
  </si>
  <si>
    <t>Ms.  Stephanie Markert</t>
  </si>
  <si>
    <t>Mr.  Doug McLucas</t>
  </si>
  <si>
    <t>Ms.  Bethany N. Erwin</t>
  </si>
  <si>
    <t>Mrs.  Sandra H Osborne</t>
  </si>
  <si>
    <t>Mr.  Takuo Otsuka</t>
  </si>
  <si>
    <t>Ms.  Kelly A. Smith</t>
  </si>
  <si>
    <t>Mr.  Scott Myers</t>
  </si>
  <si>
    <t>Mr.  Benoit Cote</t>
  </si>
  <si>
    <t>Ms.  Elizabeth M. Ehrhardt</t>
  </si>
  <si>
    <t>Ms.  Jessica A. Petersen</t>
  </si>
  <si>
    <t>Ms.  Monica K Ertel</t>
  </si>
  <si>
    <t>Mr.  Kevin L Lanza</t>
  </si>
  <si>
    <t>Mr.  Gregory Picklesimer</t>
  </si>
  <si>
    <t>Ms.  Della Giles</t>
  </si>
  <si>
    <t>Mr.  David Harmon</t>
  </si>
  <si>
    <t>Ms.  Victoria Pennings</t>
  </si>
  <si>
    <t>Mr.  Tasos Tseronis</t>
  </si>
  <si>
    <t>Mr.  Thomas Aliff</t>
  </si>
  <si>
    <t>Mr.  Lukasz Willenberg</t>
  </si>
  <si>
    <t>Mr.  Matthew A. Millett</t>
  </si>
  <si>
    <t>Ms.  Meta Haley</t>
  </si>
  <si>
    <t>Ms.  Rachel E Ackerman</t>
  </si>
  <si>
    <t>Ms.  Angelica Valdez</t>
  </si>
  <si>
    <t>Ms.  Kathleen Michaud</t>
  </si>
  <si>
    <t>Mr.  Gabriel D. Gunnink</t>
  </si>
  <si>
    <t>Mr.  Jeff T Knight</t>
  </si>
  <si>
    <t>Mr.  Neil D Grosscup</t>
  </si>
  <si>
    <t>Ms.  Katherine L. Koniuch</t>
  </si>
  <si>
    <t>Ms.  Ariel E Heitzman</t>
  </si>
  <si>
    <t>Mr.  Christopher P Tatton</t>
  </si>
  <si>
    <t>Mrs.  Erin M. Flanagan</t>
  </si>
  <si>
    <t>Mrs.  Molly K. Funk</t>
  </si>
  <si>
    <t>Mr.  Ryan J. Davenport</t>
  </si>
  <si>
    <t>Mrs.  Jennifer Nicholson</t>
  </si>
  <si>
    <t>Mr.  Daniel M Lindbloom</t>
  </si>
  <si>
    <t>Ms.  Hiruni Wijayaratne</t>
  </si>
  <si>
    <t>Ms.  Reina H. Ainsworth</t>
  </si>
  <si>
    <t>Ms.  Kristi Gayagoy</t>
  </si>
  <si>
    <t>Ms.  Meredith L. Fitzmaurice</t>
  </si>
  <si>
    <t>Ms.  Jocelyn Rodriguez</t>
  </si>
  <si>
    <t>Mrs.  Daphne Tsoucas</t>
  </si>
  <si>
    <t>Ms.  Margaret E Muhly</t>
  </si>
  <si>
    <t>Mr.  Mario J. Lund</t>
  </si>
  <si>
    <t>Mr.  Peter Battaglino</t>
  </si>
  <si>
    <t>Ms.  Carolina Pena</t>
  </si>
  <si>
    <t>Mrs.  Jenny K. Thomason</t>
  </si>
  <si>
    <t>Ms.  Jessica Hancox</t>
  </si>
  <si>
    <t>Ms.  Kimberly D Canarecci</t>
  </si>
  <si>
    <t>Mr.  Marc-Olivier Toupin</t>
  </si>
  <si>
    <t>Mr.  Russell J Mulley</t>
  </si>
  <si>
    <t>Ms.  Karine Parry</t>
  </si>
  <si>
    <t>Ms.  Cheryl Mason Cox</t>
  </si>
  <si>
    <t>Ms.  Allison M. Thompson</t>
  </si>
  <si>
    <t>Ms.  Adriana Nelson</t>
  </si>
  <si>
    <t>Ms.  Miranda J Forte</t>
  </si>
  <si>
    <t>Mr.  Roberto Corona Iturriaga</t>
  </si>
  <si>
    <t>Mrs.  Rebecca B. McCollum</t>
  </si>
  <si>
    <t>Ms.  Tiffany Hevner</t>
  </si>
  <si>
    <t>Mr.  Alexander Looi</t>
  </si>
  <si>
    <t>Mr.  Rich M Power</t>
  </si>
  <si>
    <t>Mr.  Aaron C Routon</t>
  </si>
  <si>
    <t>Ms.  Kate Dochelli</t>
  </si>
  <si>
    <t>Ms.  Maria M Gillespie</t>
  </si>
  <si>
    <t>Mr.  Daven W Oskvig</t>
  </si>
  <si>
    <t>Mrs.  Brianne Holland-Stergar</t>
  </si>
  <si>
    <t>Mr.  Hiroki Arai</t>
  </si>
  <si>
    <t>Mr.  Anders Olausson</t>
  </si>
  <si>
    <t>Ms.  Danielle Wagner</t>
  </si>
  <si>
    <t>Ms.  Candace N Delong</t>
  </si>
  <si>
    <t>Mr.  Bruno F. Mehech</t>
  </si>
  <si>
    <t>Ms.  Emily Machiela</t>
  </si>
  <si>
    <t>Mrs.  Katie Young</t>
  </si>
  <si>
    <t>Mrs.  Sally Dupere</t>
  </si>
  <si>
    <t>Ms.  Meaghan J Iandolo</t>
  </si>
  <si>
    <t>Ms.  Rina Ito</t>
  </si>
  <si>
    <t>Ms.  Kristin P. Barry</t>
  </si>
  <si>
    <t>Mr.  Albert Boyce</t>
  </si>
  <si>
    <t>Mrs.  Ashley Lin</t>
  </si>
  <si>
    <t>Mrs.  Shannon L Smith</t>
  </si>
  <si>
    <t>Ms.  Amy B Nalven</t>
  </si>
  <si>
    <t>Ms.  A Danielle Bourgeois</t>
  </si>
  <si>
    <t>Mr.  Conrad F Orloff</t>
  </si>
  <si>
    <t>Mr.  Josh Ramirez</t>
  </si>
  <si>
    <t>Mr.  Maxime Fouquet</t>
  </si>
  <si>
    <t>Ms.  Natalie McPhillips</t>
  </si>
  <si>
    <t>Ms.  Melissa Burgin</t>
  </si>
  <si>
    <t>Ms.  Laura P. Roberts</t>
  </si>
  <si>
    <t>Mrs.  Lisa Nemec</t>
  </si>
  <si>
    <t>Mr.  James Driscoll</t>
  </si>
  <si>
    <t>Mr.  John Glotzbach</t>
  </si>
  <si>
    <t>Mr.  Adam S Tenforde</t>
  </si>
  <si>
    <t>Mr.  Armando Ramirez</t>
  </si>
  <si>
    <t>Ms.  Dana Stanley Torres</t>
  </si>
  <si>
    <t>Ms.  Jennifer L Vandongen</t>
  </si>
  <si>
    <t>Mr.  Benjamin Liebald</t>
  </si>
  <si>
    <t>Ms.  Tanya Holte</t>
  </si>
  <si>
    <t>Ms.  Tracy Johnson</t>
  </si>
  <si>
    <t>Ms.  Emily S Bartlett</t>
  </si>
  <si>
    <t>Ms.  Kelly R Bergman</t>
  </si>
  <si>
    <t>Mr.  Kyle Aitken</t>
  </si>
  <si>
    <t>Mr.  Bruce A Jr. Berger</t>
  </si>
  <si>
    <t>Mr.  Cary J Richey</t>
  </si>
  <si>
    <t>Mrs.  Jill M Trotter</t>
  </si>
  <si>
    <t>Mr.  Chris Chavez</t>
  </si>
  <si>
    <t>Mr.  Michael E. Orifice</t>
  </si>
  <si>
    <t>Mrs.  Lauren Farkash</t>
  </si>
  <si>
    <t>Mrs.  Kathryn E Hribar</t>
  </si>
  <si>
    <t>Ms.  Polly Crawford</t>
  </si>
  <si>
    <t>Mr.  Mark H. Sittlington</t>
  </si>
  <si>
    <t>Mrs.  Jessie M. Silbert</t>
  </si>
  <si>
    <t>Mr.  Chris Carrique</t>
  </si>
  <si>
    <t>Mr.  Daniel Kosla</t>
  </si>
  <si>
    <t>Ms.  Megan Parker</t>
  </si>
  <si>
    <t>Mr.  Kevin Horton</t>
  </si>
  <si>
    <t>Ms.  Caroline S. Boller</t>
  </si>
  <si>
    <t>Ms.  Nuta Olaru</t>
  </si>
  <si>
    <t>Ms.  Margie Prescott</t>
  </si>
  <si>
    <t>Mrs.  Heidi Hines</t>
  </si>
  <si>
    <t>Mr.  Diego J Blanton</t>
  </si>
  <si>
    <t>Mr.  Enrique M Sr. Bustamante</t>
  </si>
  <si>
    <t>Mr.  Greg McCann</t>
  </si>
  <si>
    <t>Mr.  Filip Schmole</t>
  </si>
  <si>
    <t>Ms.  Rosemary E. Barber</t>
  </si>
  <si>
    <t>Ms.  Lisa Reichmann</t>
  </si>
  <si>
    <t>Mr.  Jason Cavatorta</t>
  </si>
  <si>
    <t>Ms.  Courtney Yaeger</t>
  </si>
  <si>
    <t>Ms.  Jennifer R. Hughes</t>
  </si>
  <si>
    <t>Ms.  Lauren E Donahue</t>
  </si>
  <si>
    <t>Ms.  Ashley M. Greenwell</t>
  </si>
  <si>
    <t>Ms.  Alison R. Steele</t>
  </si>
  <si>
    <t>Ms.  Madeleine Gunter</t>
  </si>
  <si>
    <t>Ms.  Stacey McDonough</t>
  </si>
  <si>
    <t>Ms.  Kimberly Sweetland</t>
  </si>
  <si>
    <t>Mr.  Matthew D Hammersmith</t>
  </si>
  <si>
    <t>Mr.  Michael French</t>
  </si>
  <si>
    <t>Mr.  Ben Garbe</t>
  </si>
  <si>
    <t>Mr.  Chris Duncan</t>
  </si>
  <si>
    <t>Mr.  Jeremy J Wallace</t>
  </si>
  <si>
    <t>Mrs.  Amy L. Tillman</t>
  </si>
  <si>
    <t>Mrs.  Karen L. Lee</t>
  </si>
  <si>
    <t>Ms.  Tennille Taylor</t>
  </si>
  <si>
    <t>Mr.  Matt McSween</t>
  </si>
  <si>
    <t>Ms.  Emily Schubert</t>
  </si>
  <si>
    <t>Mr.  Justin E Lalanne</t>
  </si>
  <si>
    <t>Ms.  Shalane Flanagan</t>
  </si>
  <si>
    <t>Ms.  Jessica N. Arellano</t>
  </si>
  <si>
    <t>Ms.  Melanie Charette</t>
  </si>
  <si>
    <t>Ms.  Ruth Angelica Pena Reyes</t>
  </si>
  <si>
    <t>Ms.  Una M Broderick</t>
  </si>
  <si>
    <t>Ms.  Taralyn Summers</t>
  </si>
  <si>
    <t>Mr.  James A Fisher</t>
  </si>
  <si>
    <t>Mr.  Ning Zhou</t>
  </si>
  <si>
    <t>Mr.  Joel Clarke-Ames</t>
  </si>
  <si>
    <t>Ms.  Pamela J. Staton</t>
  </si>
  <si>
    <t>Ms.  Brittney Forster</t>
  </si>
  <si>
    <t>Mrs.  Sheila Monaghan</t>
  </si>
  <si>
    <t>Mr.  Koji Kawamoto</t>
  </si>
  <si>
    <t>Ms.  Sarah Dicharry</t>
  </si>
  <si>
    <t>Mrs.  Colleen M Berry</t>
  </si>
  <si>
    <t>Ms.  Deedra G. Porfirio</t>
  </si>
  <si>
    <t>Mrs.  Kulwinder Thind</t>
  </si>
  <si>
    <t>Ms.  Ann M. Ryan</t>
  </si>
  <si>
    <t>Ms.  Sarah E Horn</t>
  </si>
  <si>
    <t>Ms.  Apryl J. Sabadosa</t>
  </si>
  <si>
    <t>Mrs.  Ilana Casady</t>
  </si>
  <si>
    <t>Ms.  Katherine Phillips</t>
  </si>
  <si>
    <t>Ms.  Katherine Ahokas</t>
  </si>
  <si>
    <t>Mr.  Karl Hebert</t>
  </si>
  <si>
    <t>Mr.  Stephen Fair</t>
  </si>
  <si>
    <t>Mr.  Will Swenson</t>
  </si>
  <si>
    <t>Mr.  Bradley D Revenis</t>
  </si>
  <si>
    <t>Mrs.  Amy M Engnes</t>
  </si>
  <si>
    <t>Mr.  Matthew W. Wiltse</t>
  </si>
  <si>
    <t>Mr.  Doug Fernandez</t>
  </si>
  <si>
    <t>Mr.  Tom Edwards</t>
  </si>
  <si>
    <t>Mr.  Jonathan Pinney</t>
  </si>
  <si>
    <t>Mr.  Wayne A. Levy</t>
  </si>
  <si>
    <t>Mr.  Nobuyori Takeda</t>
  </si>
  <si>
    <t>Mr.  Rich Burke</t>
  </si>
  <si>
    <t>Mr.  Marcos S Duarte</t>
  </si>
  <si>
    <t>Mr.  Dave Clark</t>
  </si>
  <si>
    <t>Mr.  Andy Nice</t>
  </si>
  <si>
    <t>Ms.  Mary Windler</t>
  </si>
  <si>
    <t>Mr.  Marcus B Jones</t>
  </si>
  <si>
    <t>Mr.  Thomas K. Stevenson</t>
  </si>
  <si>
    <t>Mr.  Robert Humphrey</t>
  </si>
  <si>
    <t>Mr.  Geoff Nelson</t>
  </si>
  <si>
    <t>Mr.  Chris J. Payne</t>
  </si>
  <si>
    <t>Ms.  Kate A. Hails</t>
  </si>
  <si>
    <t>Ms.  Kelli Proctor</t>
  </si>
  <si>
    <t>Mrs.  Maggie M Ryan</t>
  </si>
  <si>
    <t>Mrs.  Michelle L. Watson</t>
  </si>
  <si>
    <t>Mrs.  Ashley K Gresh</t>
  </si>
  <si>
    <t>Mr.  Michael Anis</t>
  </si>
  <si>
    <t>Mr.  Ryan K. Swartz</t>
  </si>
  <si>
    <t>Mr.  Matthew J Schluneker</t>
  </si>
  <si>
    <t>Mrs.  Karine Bellemare</t>
  </si>
  <si>
    <t>Ms.  Antonia G Vitalo</t>
  </si>
  <si>
    <t>Ms.  Casondra L Hamilton</t>
  </si>
  <si>
    <t>Ms.  Wendy Marshall</t>
  </si>
  <si>
    <t>Mr.  Eric D Cale</t>
  </si>
  <si>
    <t>Ms.  Elizabeth Pittaway</t>
  </si>
  <si>
    <t>Ms.  Laura F Bill</t>
  </si>
  <si>
    <t>Ms.  Amelia F. Antrim</t>
  </si>
  <si>
    <t>Ms.  Amy L. Doolittle-Crider</t>
  </si>
  <si>
    <t>Ms.  Katie J Ruhlman</t>
  </si>
  <si>
    <t>Ms.  Laura E. Anderson</t>
  </si>
  <si>
    <t>Mrs.  Mayumi Uchiyama</t>
  </si>
  <si>
    <t>Ms.  Vanessa Desota</t>
  </si>
  <si>
    <t>Ms.  Natali N Edmonds</t>
  </si>
  <si>
    <t>Ms.  Beth Otto</t>
  </si>
  <si>
    <t>Mr.  Alex Kurt</t>
  </si>
  <si>
    <t>Mr.  Spencer Duhaime</t>
  </si>
  <si>
    <t>Ms.  Andee W. Swann</t>
  </si>
  <si>
    <t>Mrs.  Amy Burton</t>
  </si>
  <si>
    <t>Mr.  Joshua Ricardi</t>
  </si>
  <si>
    <t>Mr.  C Fred Joslyn</t>
  </si>
  <si>
    <t>Mr.  Jeremy Bennie</t>
  </si>
  <si>
    <t>Mr.  Patrick Sr. Kanyane</t>
  </si>
  <si>
    <t>Ms.  Kelly M. McFadden</t>
  </si>
  <si>
    <t>Ms.  Katherine Connolly</t>
  </si>
  <si>
    <t>Ms.  Keila L Merino</t>
  </si>
  <si>
    <t>Ms.  Zanae E Baird</t>
  </si>
  <si>
    <t>Mr.  Alex Locatelli</t>
  </si>
  <si>
    <t>Ms.  Kathryn Brake</t>
  </si>
  <si>
    <t>Mr.  Jason L. Jacobs</t>
  </si>
  <si>
    <t>Mr.  Benjamin J. Vaught</t>
  </si>
  <si>
    <t>Mr.  Steven M. Monteleone</t>
  </si>
  <si>
    <t>Mrs.  Erika Verdugo</t>
  </si>
  <si>
    <t>Mr.  Chad Sellers</t>
  </si>
  <si>
    <t>Mr.  Mark Bowman</t>
  </si>
  <si>
    <t>Mr.  David Marley</t>
  </si>
  <si>
    <t>Mr.  Matthew R Grey</t>
  </si>
  <si>
    <t>Mrs.  Orla O'Rourke</t>
  </si>
  <si>
    <t>Ms.  Shaista S Fatehali</t>
  </si>
  <si>
    <t>Mrs.  Emily Piza-Taylor</t>
  </si>
  <si>
    <t>Ms.  Julie A. Cavanaugh</t>
  </si>
  <si>
    <t>Ms.  Megumi Amako</t>
  </si>
  <si>
    <t>Ms.  Skylar Musa</t>
  </si>
  <si>
    <t>Mrs.  Victoria Phillippi</t>
  </si>
  <si>
    <t>Mrs.  Amanda L Hoskins</t>
  </si>
  <si>
    <t>Ms.  Renee Imbalzano Zegar</t>
  </si>
  <si>
    <t>Ms.  Nellie A. Triedman</t>
  </si>
  <si>
    <t>Ms.  Tamara Lovuolo</t>
  </si>
  <si>
    <t>Ms.  Joan Chung</t>
  </si>
  <si>
    <t>Ms.  Aimee J. Newsom</t>
  </si>
  <si>
    <t>Ms.  Suzanne Harrington</t>
  </si>
  <si>
    <t>Ms.  Kristin A. Hoffman</t>
  </si>
  <si>
    <t>Ms.  Bronwyn Van Vugt</t>
  </si>
  <si>
    <t>Ms.  Taylor J Feehley</t>
  </si>
  <si>
    <t>Mrs.  Kimberly M. Ashworth</t>
  </si>
  <si>
    <t>Mr.  Joshua E. Hansen</t>
  </si>
  <si>
    <t>Mr.  Jeffrey Czyz</t>
  </si>
  <si>
    <t>Mr.  Andrew R Bauder</t>
  </si>
  <si>
    <t>Mrs.  Rhonda Glass</t>
  </si>
  <si>
    <t>Mr.  John Butcher</t>
  </si>
  <si>
    <t>Mr.  Miles J. Traiser</t>
  </si>
  <si>
    <t>Ms.  Justyna I. Mudy-Mader</t>
  </si>
  <si>
    <t>Ms.  Lucille Rogers</t>
  </si>
  <si>
    <t>Ms.  April Woo</t>
  </si>
  <si>
    <t>Mr.  Robert Walsh</t>
  </si>
  <si>
    <t>Mrs.  Alyssa White</t>
  </si>
  <si>
    <t>Ms.  Jessica E. Sheppard</t>
  </si>
  <si>
    <t>Mr.  Patrick J. Doran</t>
  </si>
  <si>
    <t>Ms.  Emilie Labrosse</t>
  </si>
  <si>
    <t>Ms.  Caitlin B. Thomas</t>
  </si>
  <si>
    <t>Mr.  Joseph W Lesniak</t>
  </si>
  <si>
    <t>Ms.  Wendy Prowse</t>
  </si>
  <si>
    <t>Mrs.  Leah L. Seigel</t>
  </si>
  <si>
    <t>Mr.  Wayne L. Blas</t>
  </si>
  <si>
    <t>Mr.  Jason M. Simpson</t>
  </si>
  <si>
    <t>Mr.  Floris Gierman</t>
  </si>
  <si>
    <t>Mr.  Marc Jeuland</t>
  </si>
  <si>
    <t>Mr.  Christopher Chorney</t>
  </si>
  <si>
    <t>Mr.  Kevin Rook</t>
  </si>
  <si>
    <t>Mr.  Aharon N Wright</t>
  </si>
  <si>
    <t>Mr.  Lawrence D. Chin</t>
  </si>
  <si>
    <t>Mr.  Malcolm White</t>
  </si>
  <si>
    <t>Ms.  Anna E. Savage</t>
  </si>
  <si>
    <t>Ms.  Jenny Hitchings</t>
  </si>
  <si>
    <t>Ms.  Melissa L Truitt</t>
  </si>
  <si>
    <t>Ms.  Chia J. Chang</t>
  </si>
  <si>
    <t>Ms.  Laura A Frey</t>
  </si>
  <si>
    <t>Ms.  Aditi Krishna</t>
  </si>
  <si>
    <t>Ms.  Leah A. Maher</t>
  </si>
  <si>
    <t>Ms.  Marianne Boivin</t>
  </si>
  <si>
    <t>Ms.  Carla McAlister</t>
  </si>
  <si>
    <t>Ms.  Oksana Akhmedova</t>
  </si>
  <si>
    <t>Ms.  Rebecca B. Tucker</t>
  </si>
  <si>
    <t>Ms.  Maria A. Gramelspacher</t>
  </si>
  <si>
    <t>Mrs.  Lisa M Goldsmith</t>
  </si>
  <si>
    <t>Mr.  Steve Jr. Tranter</t>
  </si>
  <si>
    <t>Mrs.  Tiffany Tu</t>
  </si>
  <si>
    <t>Mr.  Greg Kaczka</t>
  </si>
  <si>
    <t>Mr.  Dale Hunter</t>
  </si>
  <si>
    <t>Ms.  Brittany A. Moran</t>
  </si>
  <si>
    <t>Mr.  Robert S Ashby</t>
  </si>
  <si>
    <t>Mr.  Cameron Ausen</t>
  </si>
  <si>
    <t>Mrs.  Ulrike Savage</t>
  </si>
  <si>
    <t>Ms.  Katlyn A. O'Leary</t>
  </si>
  <si>
    <t>Mr.  Morgan B. Scoville</t>
  </si>
  <si>
    <t>Mr.  Peter Kaus</t>
  </si>
  <si>
    <t>Ms.  Chandler Rainey</t>
  </si>
  <si>
    <t>Ms.  Silvana M. Rasch</t>
  </si>
  <si>
    <t>Ms.  Natty Plunkett</t>
  </si>
  <si>
    <t>Mr.  Nicholas T Murphy</t>
  </si>
  <si>
    <t>Ms.  Rebecca Gusmer</t>
  </si>
  <si>
    <t>Mr.  John Loftus</t>
  </si>
  <si>
    <t>Mr.  Antony G Scott</t>
  </si>
  <si>
    <t>Mr.  Eric Alvarez</t>
  </si>
  <si>
    <t>Mr.  Erik Petersson</t>
  </si>
  <si>
    <t>Mr.  Matthew T Liaw</t>
  </si>
  <si>
    <t>Ms.  Cassandra Tripaldi</t>
  </si>
  <si>
    <t>Ms.  Rosemary C Kelley</t>
  </si>
  <si>
    <t>Ms.  Carrie A. Endara</t>
  </si>
  <si>
    <t>Mr.  Gerardo Sr. Valle</t>
  </si>
  <si>
    <t>Mr.  Matthew R. Germain</t>
  </si>
  <si>
    <t>Mrs.  Meghan E Finecey</t>
  </si>
  <si>
    <t>Mr.  Eric Mendoza</t>
  </si>
  <si>
    <t>Ms.  Lisa B Roe</t>
  </si>
  <si>
    <t>Mrs.  Jane R. Webb</t>
  </si>
  <si>
    <t>Ms.  Allison M Stocker</t>
  </si>
  <si>
    <t>Mrs.  Sarah E. Jacobson</t>
  </si>
  <si>
    <t>Mr.  Philip J Shaw</t>
  </si>
  <si>
    <t>Ms.  Jillian A. Goodwin</t>
  </si>
  <si>
    <t>Mrs.  Laura D Brock</t>
  </si>
  <si>
    <t>Ms.  Megan E. Papp</t>
  </si>
  <si>
    <t>Ms.  Shannon J. Siragusa</t>
  </si>
  <si>
    <t>Ms.  Rachelle M Pizarro</t>
  </si>
  <si>
    <t>Mr.  Casey Strange</t>
  </si>
  <si>
    <t>Ms.  Jessica L Eidinger</t>
  </si>
  <si>
    <t>Mr.  Brandon F Ginsburg</t>
  </si>
  <si>
    <t>Ms.  Melissa Truex</t>
  </si>
  <si>
    <t>Ms.  Danielle N Higgins</t>
  </si>
  <si>
    <t>Mr.  Matthew McCurdy</t>
  </si>
  <si>
    <t>Mrs.  Bettina Hughes</t>
  </si>
  <si>
    <t>Mr.  Alexander Varner</t>
  </si>
  <si>
    <t>Mrs.  Holli Dahmen</t>
  </si>
  <si>
    <t>Mrs.  Heather C Young</t>
  </si>
  <si>
    <t>Mr.  Kyle Fraser</t>
  </si>
  <si>
    <t>Mr.  Thomas J Deeg</t>
  </si>
  <si>
    <t>Mr.  Chris Robertson</t>
  </si>
  <si>
    <t>Mr.  Graham Peck</t>
  </si>
  <si>
    <t>Mr.  Garrett Burger</t>
  </si>
  <si>
    <t>Mr.  Andrew Blain</t>
  </si>
  <si>
    <t>Mrs.  Annabelle M Winters</t>
  </si>
  <si>
    <t>Mr.  Daniel T. McCue</t>
  </si>
  <si>
    <t>Ms.  Deanne Webster</t>
  </si>
  <si>
    <t>Ms.  Carrie Anderson</t>
  </si>
  <si>
    <t>Mrs.  Suzanne Chiappone</t>
  </si>
  <si>
    <t>Ms.  Jasmine P. Opie</t>
  </si>
  <si>
    <t>Ms.  Jennifer Donnelly</t>
  </si>
  <si>
    <t>Ms.  Tracie Rall</t>
  </si>
  <si>
    <t>Mr.  Tristan D. Mitchell</t>
  </si>
  <si>
    <t>Mr.  Peiweng Chen</t>
  </si>
  <si>
    <t>Ms.  Theresa M. Tufaro</t>
  </si>
  <si>
    <t>Mr.  Daniel J Peters</t>
  </si>
  <si>
    <t>Mrs.  Courtney M. Susedik</t>
  </si>
  <si>
    <t>Mr.  Jose A. Garcia</t>
  </si>
  <si>
    <t>Mrs.  Lauren Deady</t>
  </si>
  <si>
    <t>Mr.  Jonathon M. Campbell</t>
  </si>
  <si>
    <t>Mrs.  Stephanie A Schaefer</t>
  </si>
  <si>
    <t>Mr.  Patrick D'Alessandro</t>
  </si>
  <si>
    <t>Mrs.  Krista Wyss</t>
  </si>
  <si>
    <t>Ms.  Jenessa Rose</t>
  </si>
  <si>
    <t>Mr.  Ryan M. Hopper</t>
  </si>
  <si>
    <t>Mr.  Thomas Finneran</t>
  </si>
  <si>
    <t>Ms.  Amanda N. Basham</t>
  </si>
  <si>
    <t>Ms.  Teresa P. Inman</t>
  </si>
  <si>
    <t>Mr.  Dorian Oscal</t>
  </si>
  <si>
    <t>Ms.  Amy Craft</t>
  </si>
  <si>
    <t>Ms.  Aberu Kebede</t>
  </si>
  <si>
    <t>Ms.  Ashley Strobel</t>
  </si>
  <si>
    <t>Ms.  Anna E Dalton</t>
  </si>
  <si>
    <t>Ms.  Tania K. Morimoto</t>
  </si>
  <si>
    <t>Ms.  Ashley E Manlove</t>
  </si>
  <si>
    <t>Ms.  Aleksandra Madzik</t>
  </si>
  <si>
    <t>Ms.  Valery L Hobson</t>
  </si>
  <si>
    <t>Mrs.  Joanna G. Reyes</t>
  </si>
  <si>
    <t>Mrs.  Stefanie F. Tierney</t>
  </si>
  <si>
    <t>Mr.  Stephen Gabris</t>
  </si>
  <si>
    <t>Ms.  Liza J. Howard</t>
  </si>
  <si>
    <t>Mr.  Ian M. Kallay</t>
  </si>
  <si>
    <t>Ms.  Claudia L. Leguizamo</t>
  </si>
  <si>
    <t>Ms.  Jessica M Escartin</t>
  </si>
  <si>
    <t>Mr.  Billy Jr. Chorey</t>
  </si>
  <si>
    <t>Mr.  David McVay</t>
  </si>
  <si>
    <t>Mr.  Tim Vinson</t>
  </si>
  <si>
    <t>Ms.  Emma M Astrike-Davis</t>
  </si>
  <si>
    <t>Mr.  Tim Harder</t>
  </si>
  <si>
    <t>Mr.  Patrick Bell</t>
  </si>
  <si>
    <t>Ms.  Bridget K. Dawes</t>
  </si>
  <si>
    <t>Mr.  Gabriel Larios</t>
  </si>
  <si>
    <t>Ms.  Natasha Yaremczuk</t>
  </si>
  <si>
    <t>Ms.  Abby A. Knight</t>
  </si>
  <si>
    <t>Ms.  Michelle Eversman</t>
  </si>
  <si>
    <t>Ms.  Mckendree Hickory</t>
  </si>
  <si>
    <t>Ms.  Tara Mooney</t>
  </si>
  <si>
    <t>Mr.  Daniel Craighead</t>
  </si>
  <si>
    <t>Mr.  Joshua P Gardner</t>
  </si>
  <si>
    <t>Ms.  Erin C Lohrenz</t>
  </si>
  <si>
    <t>Ms.  Shure Demise</t>
  </si>
  <si>
    <t>Mr.  Richard Nelson</t>
  </si>
  <si>
    <t>Ms.  Brenda Guitard</t>
  </si>
  <si>
    <t>Mr.  Joseph M Navas</t>
  </si>
  <si>
    <t>Mr.  Stephen J. Ptucha</t>
  </si>
  <si>
    <t>Mrs.  Kathya Kirouac</t>
  </si>
  <si>
    <t>Mr.  Wesley Toews</t>
  </si>
  <si>
    <t>Mr.  Tim Perry</t>
  </si>
  <si>
    <t>Ms.  Jamie L. Kretz</t>
  </si>
  <si>
    <t>Ms.  Alexandra Hempel</t>
  </si>
  <si>
    <t>Ms.  Tiffany McBroom</t>
  </si>
  <si>
    <t>Mrs.  Rebecca J Yoo</t>
  </si>
  <si>
    <t>Mr.  Austin T. Rand</t>
  </si>
  <si>
    <t>Ms.  Jamie T Wolfe</t>
  </si>
  <si>
    <t>Mr.  Matthew T. Vance</t>
  </si>
  <si>
    <t>Mrs.  Emily Burnett</t>
  </si>
  <si>
    <t>Ms.  Gillian Clason</t>
  </si>
  <si>
    <t>Mrs.  Brenn E. Donnelly</t>
  </si>
  <si>
    <t>Ms.  Lisa M Pietz</t>
  </si>
  <si>
    <t>Mr.  Matt Tegenkamp</t>
  </si>
  <si>
    <t>Mr.  Thomas A. Dover</t>
  </si>
  <si>
    <t>Mr.  Kevin J Dockemeyer</t>
  </si>
  <si>
    <t>Mr.  Gal Harel</t>
  </si>
  <si>
    <t>Mr.  Anton Aguila</t>
  </si>
  <si>
    <t>Ms.  Yazmin Vallejo Sarmiento</t>
  </si>
  <si>
    <t>Mr.  Florian Beisheim</t>
  </si>
  <si>
    <t>Ms.  Karen L Lenhoff</t>
  </si>
  <si>
    <t>Mr.  Scott Wehrwein</t>
  </si>
  <si>
    <t>Ms.  Claire Wallace</t>
  </si>
  <si>
    <t>Ms.  Lynn M. Markowitz</t>
  </si>
  <si>
    <t>Ms.  Sharon Vos</t>
  </si>
  <si>
    <t>Mrs.  Candice McLeod</t>
  </si>
  <si>
    <t>Ms.  Jennifer D Balcom</t>
  </si>
  <si>
    <t>Mr.  Eric Dirth</t>
  </si>
  <si>
    <t>Mr.  Bryan Inglish</t>
  </si>
  <si>
    <t>Mr.  Devon R. Matthews</t>
  </si>
  <si>
    <t>Ms.  Elena Massa-Musiak</t>
  </si>
  <si>
    <t>Mr.  Chris Bailey</t>
  </si>
  <si>
    <t>Mr.  Bert Jacoby</t>
  </si>
  <si>
    <t>Mr.  John P. Crimmings</t>
  </si>
  <si>
    <t>Mr.  Daniel P Crane</t>
  </si>
  <si>
    <t>Mrs.  Lisa K. Swartzfager</t>
  </si>
  <si>
    <t>Mrs.  Kristine Clevenger</t>
  </si>
  <si>
    <t>Mr.  Paul A Reichardt</t>
  </si>
  <si>
    <t>Mr.  Bryan Morton</t>
  </si>
  <si>
    <t>Mr.  Chris Sunstrum</t>
  </si>
  <si>
    <t>Ms.  Milah B Frownfelter</t>
  </si>
  <si>
    <t>Ms.  Annette M. Richter</t>
  </si>
  <si>
    <t>Mrs.  Yoko England</t>
  </si>
  <si>
    <t>Ms.  Laura McLean</t>
  </si>
  <si>
    <t>Ms.  Tess A. Gardner</t>
  </si>
  <si>
    <t>Mr.  William G. Lane</t>
  </si>
  <si>
    <t>Ms.  Paige Vonachen</t>
  </si>
  <si>
    <t>Mr.  Matthew J Smith</t>
  </si>
  <si>
    <t>Mr.  Matthew Kidwell</t>
  </si>
  <si>
    <t>Mrs.  Maria Betancourth</t>
  </si>
  <si>
    <t>Ms.  Stephanie D Henstrom</t>
  </si>
  <si>
    <t>Ms.  Tiffany Pereira</t>
  </si>
  <si>
    <t>Ms.  Sara M. Black</t>
  </si>
  <si>
    <t>Mr.  Scott A. Brown</t>
  </si>
  <si>
    <t>Mrs.  Lauren Reasoner</t>
  </si>
  <si>
    <t>Mr.  Scott Wandzilak</t>
  </si>
  <si>
    <t>Mr.  Brian A. Carver</t>
  </si>
  <si>
    <t>Ms.  Kaitlin R. Borror</t>
  </si>
  <si>
    <t>Mr.  Mohammad Saad</t>
  </si>
  <si>
    <t>Mr.  Charlie Paul</t>
  </si>
  <si>
    <t>Mr.  Brent Trail</t>
  </si>
  <si>
    <t>Ms.  Kelli M Benton</t>
  </si>
  <si>
    <t>Mrs.  Sheridan H Bauman</t>
  </si>
  <si>
    <t>Mrs.  Sarah M. Bakula</t>
  </si>
  <si>
    <t>Ms.  Jennifer Edwards</t>
  </si>
  <si>
    <t>Mrs.  Laura J Davis</t>
  </si>
  <si>
    <t>Mr.  Thomas Weiler</t>
  </si>
  <si>
    <t>Ms.  Gisele Schaaf</t>
  </si>
  <si>
    <t>Ms.  Myra L Sack</t>
  </si>
  <si>
    <t>Ms.  Melissa M. Chenard</t>
  </si>
  <si>
    <t>Ms.  Eleanor F. Williamson</t>
  </si>
  <si>
    <t>Ms.  Elizabeth Dollas</t>
  </si>
  <si>
    <t>Mr.  Kenneth Sprague</t>
  </si>
  <si>
    <t>Mr.  Robert G. Michell</t>
  </si>
  <si>
    <t>Mr.  Thomas C. Datwyler</t>
  </si>
  <si>
    <t>Mr.  Matthew J. Mead</t>
  </si>
  <si>
    <t>Ms.  Mallory D. Kennedy</t>
  </si>
  <si>
    <t>Mr.  Christopher D. Czech</t>
  </si>
  <si>
    <t>Mrs.  Jamie O'Brien</t>
  </si>
  <si>
    <t>Ms.  Ariell Bachman</t>
  </si>
  <si>
    <t>Mr.  Christopher Bednar</t>
  </si>
  <si>
    <t>Mr.  Ryan Daye</t>
  </si>
  <si>
    <t>Mr.  Thomas B. Clarke</t>
  </si>
  <si>
    <t>Ms.  Katie Koren</t>
  </si>
  <si>
    <t>Mrs.  Rachelle L Kuramoto</t>
  </si>
  <si>
    <t>Ms.  Colleen Lynn</t>
  </si>
  <si>
    <t>Mr.  Gregory A Dierksen</t>
  </si>
  <si>
    <t>Ms.  Lara Zoeller</t>
  </si>
  <si>
    <t>Ms.  Megan Flesch</t>
  </si>
  <si>
    <t>Ms.  Sara Maltby</t>
  </si>
  <si>
    <t>Ms.  Lucie J. Custance</t>
  </si>
  <si>
    <t>Ms.  Elizabeth S. Choi</t>
  </si>
  <si>
    <t>Ms.  Carma S Barnett</t>
  </si>
  <si>
    <t>Mr.  Ryan Proulx</t>
  </si>
  <si>
    <t>Mr.  Daniel Hamilton</t>
  </si>
  <si>
    <t>Ms.  Sarah Lundine</t>
  </si>
  <si>
    <t>Mr.  Matthew J Paullin</t>
  </si>
  <si>
    <t>Ms.  Francesca Delucia</t>
  </si>
  <si>
    <t>Ms.  Nicole Valentine</t>
  </si>
  <si>
    <t>Mr.  Toshiyuki Mohara</t>
  </si>
  <si>
    <t>Mr.  Tom L. Fairbrother</t>
  </si>
  <si>
    <t>Mr.  Brian Fagan</t>
  </si>
  <si>
    <t>Mr.  Matthew Toth</t>
  </si>
  <si>
    <t>Ms.  Julee Guinn</t>
  </si>
  <si>
    <t>Mr.  Christopher M. Rogers</t>
  </si>
  <si>
    <t>Mr.  Ciaran Diviney</t>
  </si>
  <si>
    <t>Ms.  Kara Marlatt</t>
  </si>
  <si>
    <t>Ms.  Makie Ohler</t>
  </si>
  <si>
    <t>Ms.  Emily E Mossler</t>
  </si>
  <si>
    <t>Mr.  Cary Segall</t>
  </si>
  <si>
    <t>Mr.  Steven Sprieser</t>
  </si>
  <si>
    <t>Mr.  Jose Antonio Sr. Blanco</t>
  </si>
  <si>
    <t>Ms.  Tatiana Sheptock</t>
  </si>
  <si>
    <t>Mr.  Dan T. Chruniak</t>
  </si>
  <si>
    <t>Ms.  Liisa A. Miller</t>
  </si>
  <si>
    <t>Ms.  Kathryn E. Theis</t>
  </si>
  <si>
    <t>Mr.  Maxwell Sadler</t>
  </si>
  <si>
    <t>Ms.  Pascale Auger</t>
  </si>
  <si>
    <t>Ms.  Becca Steadman</t>
  </si>
  <si>
    <t>Ms.  Grace McCarron</t>
  </si>
  <si>
    <t>Ms.  Samantha Roecker</t>
  </si>
  <si>
    <t>Mrs.  Nicole R. Giumarra</t>
  </si>
  <si>
    <t>Mr.  David W Peters</t>
  </si>
  <si>
    <t>Mr.  Grant Bower</t>
  </si>
  <si>
    <t>Mrs.  Sophia Chen</t>
  </si>
  <si>
    <t>Ms.  Christina Capriccioso</t>
  </si>
  <si>
    <t>Mr.  Sam L. Starbuck</t>
  </si>
  <si>
    <t>Mrs.  Haley R. McMahon</t>
  </si>
  <si>
    <t>Mr.  Ethan Rissell</t>
  </si>
  <si>
    <t>Mr.  Andrew W Kromroy</t>
  </si>
  <si>
    <t>Mr.  Mark G Manfredi</t>
  </si>
  <si>
    <t>Ms.  Kasey E. Manwaring</t>
  </si>
  <si>
    <t>Mr.  Jeff Tomaszewski</t>
  </si>
  <si>
    <t>Ms.  Amy Gannon</t>
  </si>
  <si>
    <t>Mr.  Adam Frye</t>
  </si>
  <si>
    <t>Ms.  Kristin M Jenkins</t>
  </si>
  <si>
    <t>Ms.  Mary-Lynn B. Currier</t>
  </si>
  <si>
    <t>Mrs.  Jamie A Whittendale</t>
  </si>
  <si>
    <t>Mr.  Jeffrey A. Rixe</t>
  </si>
  <si>
    <t>Ms.  Nicole Ballon-Landa</t>
  </si>
  <si>
    <t>Ms.  Audrey Zaferos</t>
  </si>
  <si>
    <t>Mr.  Jacob Jackson</t>
  </si>
  <si>
    <t>Mr.  Daniel S Evans Marke</t>
  </si>
  <si>
    <t>Mr.  Marc C. Samland</t>
  </si>
  <si>
    <t>Mr.  Mark S Shapiro</t>
  </si>
  <si>
    <t>Mr.  Dan Snitzer</t>
  </si>
  <si>
    <t>Ms.  Gabriela Herra Arroyo</t>
  </si>
  <si>
    <t>Ms.  Amanda Watters</t>
  </si>
  <si>
    <t>Ms.  Dara Steele-Belkin</t>
  </si>
  <si>
    <t>Ms.  Rachelle R Christensen</t>
  </si>
  <si>
    <t>Ms.  Brenda J Hodge</t>
  </si>
  <si>
    <t>Mr.  Tim Rusterholz</t>
  </si>
  <si>
    <t>Mr.  Sylvain Lafrance</t>
  </si>
  <si>
    <t>Mrs.  Lisa M Hallis</t>
  </si>
  <si>
    <t>Mr.  Ryan Marshall</t>
  </si>
  <si>
    <t>Mrs.  Kaitlin M Salowitz</t>
  </si>
  <si>
    <t>Mr.  William R. Blake</t>
  </si>
  <si>
    <t>Mr.  Bruce Langerak</t>
  </si>
  <si>
    <t>Mrs.  Veronica Bonilla</t>
  </si>
  <si>
    <t>Mr.  Warren Ciabattoni</t>
  </si>
  <si>
    <t>Mrs.  Daniela Escanero Palmer</t>
  </si>
  <si>
    <t>Ms.  Deirdre A Lowe</t>
  </si>
  <si>
    <t>Mr.  Mathias Osmark</t>
  </si>
  <si>
    <t>Mr.  Matthew Lawson</t>
  </si>
  <si>
    <t>Mr.  Kurt Warwick</t>
  </si>
  <si>
    <t>Mr.  Samuel Magnuson</t>
  </si>
  <si>
    <t>Mrs.  Emily Marsh</t>
  </si>
  <si>
    <t>Ms.  Tiffany Kari</t>
  </si>
  <si>
    <t>Mr.  Alex F Standiford</t>
  </si>
  <si>
    <t>Ms.  Alice Sherwin</t>
  </si>
  <si>
    <t>Ms.  Allison M. Parker</t>
  </si>
  <si>
    <t>Mr.  Johannes Fiskerstand Blekeli</t>
  </si>
  <si>
    <t>Mr.  Stephen Vangampleare</t>
  </si>
  <si>
    <t>Mr.  Jon M Hiatt</t>
  </si>
  <si>
    <t>Mr.  Fasil Tadesse</t>
  </si>
  <si>
    <t>Ms.  Megan C. Jaswell</t>
  </si>
  <si>
    <t>Ms.  Lisa J. Phillips-Cook</t>
  </si>
  <si>
    <t>Mr.  Doron P Clark</t>
  </si>
  <si>
    <t>Ms.  Katharina Wang</t>
  </si>
  <si>
    <t>Mr.  Carl Desruisseaux</t>
  </si>
  <si>
    <t>Ms.  Kelsey J. Ripp</t>
  </si>
  <si>
    <t>Mr.  Stephen A. Harris</t>
  </si>
  <si>
    <t>Mr.  Dan Shafer</t>
  </si>
  <si>
    <t>Ms.  Katie C Hemesath</t>
  </si>
  <si>
    <t>Ms.  Melissa K Vinci</t>
  </si>
  <si>
    <t>Ms.  Kara H Diamond-Husmann</t>
  </si>
  <si>
    <t>Mr.  Juan Carlos Soto</t>
  </si>
  <si>
    <t>Mr.  John III Howard</t>
  </si>
  <si>
    <t>Mrs.  Sarah M Patrick</t>
  </si>
  <si>
    <t>Mrs.  Kristin C Dacko</t>
  </si>
  <si>
    <t>Ms.  Casey M. Glassey</t>
  </si>
  <si>
    <t>Mr.  Samuel Frechette</t>
  </si>
  <si>
    <t>Mr.  Braulio Benitez</t>
  </si>
  <si>
    <t>Ms.  Anne-Marie Gauthier</t>
  </si>
  <si>
    <t>Mr.  Samuel K. Fazioli</t>
  </si>
  <si>
    <t>Mrs.  Yuki Chorney</t>
  </si>
  <si>
    <t>Mr.  Rafer Dannenhauer</t>
  </si>
  <si>
    <t>Ms.  Claire McComb</t>
  </si>
  <si>
    <t>Ms.  Erynn J. Blake</t>
  </si>
  <si>
    <t>Mr.  Mahesh Sambasivam</t>
  </si>
  <si>
    <t>Mr.  Stanley Maina</t>
  </si>
  <si>
    <t>Mr.  Gregory Keshian</t>
  </si>
  <si>
    <t>Mr.  Eric Maas</t>
  </si>
  <si>
    <t>Ms.  Rachel M Sinasac</t>
  </si>
  <si>
    <t>Mr.  Fritz Van De Kamp</t>
  </si>
  <si>
    <t>Mr.  Brad Ruffo</t>
  </si>
  <si>
    <t>Ms.  Claire M Long</t>
  </si>
  <si>
    <t>Mrs.  Jennifer Rohde</t>
  </si>
  <si>
    <t>Ms.  Maria S. Bonzi</t>
  </si>
  <si>
    <t>Ms.  Katherine E Moore</t>
  </si>
  <si>
    <t>Mr.  Michael McGrane</t>
  </si>
  <si>
    <t>Ms.  Roxanne Stepnowski</t>
  </si>
  <si>
    <t>Mr.  Israel Merkle</t>
  </si>
  <si>
    <t>Mr.  Samalya Schaefer</t>
  </si>
  <si>
    <t>Mr.  Peter Vigneron</t>
  </si>
  <si>
    <t>Ms.  Alicia Mucci</t>
  </si>
  <si>
    <t>Ms.  Sarah K. MacDonald</t>
  </si>
  <si>
    <t>Mr.  Guomin Deng</t>
  </si>
  <si>
    <t>Mr.  Javier De Mata</t>
  </si>
  <si>
    <t>Mr.  Matt Strickland</t>
  </si>
  <si>
    <t>Mr.  Thomas S Cheney</t>
  </si>
  <si>
    <t>Ms.  Martha Patricia Godoy</t>
  </si>
  <si>
    <t>Ms.  Alicia Rider</t>
  </si>
  <si>
    <t>Ms.  Jennifer V. Evans</t>
  </si>
  <si>
    <t>Mr.  Michael W. Anderson</t>
  </si>
  <si>
    <t>Mr.  Eddie C Walters</t>
  </si>
  <si>
    <t>Mr.  Maxime M Leboeuf</t>
  </si>
  <si>
    <t>Mr.  Mark D Scheibel</t>
  </si>
  <si>
    <t>Mr.  Adam Ritter</t>
  </si>
  <si>
    <t>Mr.  Justin M Deeg</t>
  </si>
  <si>
    <t>Ms.  Svetlana V. Pretot</t>
  </si>
  <si>
    <t>Ms.  Jana L Willsey</t>
  </si>
  <si>
    <t>Ms.  Laura Roach</t>
  </si>
  <si>
    <t>Mr.  Torrey C III Jacobsen</t>
  </si>
  <si>
    <t>Mr.  Paul O'Hora</t>
  </si>
  <si>
    <t>Ms.  Jennifer D. Amato</t>
  </si>
  <si>
    <t>Mr.  Erik Reed</t>
  </si>
  <si>
    <t>Ms.  Lana J Wegner</t>
  </si>
  <si>
    <t>Ms.  Rebecca E Bokun</t>
  </si>
  <si>
    <t>Ms.  Katie M. Ainsley</t>
  </si>
  <si>
    <t>Ms.  Elizabeth A. Foster</t>
  </si>
  <si>
    <t>Ms.  Sarah Overpeck</t>
  </si>
  <si>
    <t>Ms.  Annie J. Levine</t>
  </si>
  <si>
    <t>Ms.  Annie Jean</t>
  </si>
  <si>
    <t>Ms.  Lindsey Wild</t>
  </si>
  <si>
    <t>Ms.  Laura Tabor</t>
  </si>
  <si>
    <t>Ms.  Amy T Steffen</t>
  </si>
  <si>
    <t>Ms.  Katarina D Tadich</t>
  </si>
  <si>
    <t>Mr.  B.j. Christenson</t>
  </si>
  <si>
    <t>Ms.  Alison Shell</t>
  </si>
  <si>
    <t>Mr.  Neil K. Rao</t>
  </si>
  <si>
    <t>Mrs.  Anne Hunter Myers</t>
  </si>
  <si>
    <t>Ms.  Sandra McLean</t>
  </si>
  <si>
    <t>Mr.  Robert Gomez</t>
  </si>
  <si>
    <t>Mr.  Rodney Hemingway</t>
  </si>
  <si>
    <t>Mr.  Carl R Pett</t>
  </si>
  <si>
    <t>Mr.  Maximilian Meingast</t>
  </si>
  <si>
    <t>Mr.  Erik McCarthy</t>
  </si>
  <si>
    <t>Mr.  Christopher Boyle</t>
  </si>
  <si>
    <t>Mr.  Eirik Gundersen</t>
  </si>
  <si>
    <t>Mr.  Rik Wolswinkel</t>
  </si>
  <si>
    <t>Mr.  Matthew R Bomberger</t>
  </si>
  <si>
    <t>Mr.  Daniel G Roy</t>
  </si>
  <si>
    <t>Mr.  Yannick Lapierre</t>
  </si>
  <si>
    <t>Mr.  Sean R Beaty</t>
  </si>
  <si>
    <t>Mr.  Peter Hammer</t>
  </si>
  <si>
    <t>Ms.  Sara A. Randolph</t>
  </si>
  <si>
    <t>Ms.  Erin C. Masterson</t>
  </si>
  <si>
    <t>Mr.  Thibaud Friess</t>
  </si>
  <si>
    <t>Ms.  Lisa Mantoni</t>
  </si>
  <si>
    <t>Ms.  Gretchen K. Bodeen</t>
  </si>
  <si>
    <t>Ms.  Martina McPherson</t>
  </si>
  <si>
    <t>Mr.  Dustin J Palko</t>
  </si>
  <si>
    <t>Ms.  Kelsey Breathitt</t>
  </si>
  <si>
    <t>Mr.  Daniel V. Evora</t>
  </si>
  <si>
    <t>Ms.  Saeger Fischer</t>
  </si>
  <si>
    <t>Ms.  Buzunesh Deba</t>
  </si>
  <si>
    <t>Ms.  Mirte Leloup</t>
  </si>
  <si>
    <t>Ms.  Megan Labare</t>
  </si>
  <si>
    <t>Ms.  Kerry A. Arouca</t>
  </si>
  <si>
    <t>Ms.  Kristin Reese</t>
  </si>
  <si>
    <t>Mr.  Christopher R. McCloskey</t>
  </si>
  <si>
    <t>Mrs.  Elizabeth A Tedsen</t>
  </si>
  <si>
    <t>Mr.  Andrew Koehlinger</t>
  </si>
  <si>
    <t>Ms.  Dawn M. Pielechaty</t>
  </si>
  <si>
    <t>Mr.  Jonathan P Korhonen</t>
  </si>
  <si>
    <t>Mrs.  Gina Kehr</t>
  </si>
  <si>
    <t>Mr.  Dino Montagna</t>
  </si>
  <si>
    <t>Mr.  Jan M√ºller</t>
  </si>
  <si>
    <t>Mr.  Jonathan E. Baker</t>
  </si>
  <si>
    <t>Mr.  Mark A Sidebottom</t>
  </si>
  <si>
    <t>Mrs.  Mary Johnson</t>
  </si>
  <si>
    <t>Mr.  Samuel Morris</t>
  </si>
  <si>
    <t>Mr.  Stan J Chaisson</t>
  </si>
  <si>
    <t>Mrs.  Jessica L. Pigott</t>
  </si>
  <si>
    <t>Ms.  Krysta Cochrane</t>
  </si>
  <si>
    <t>Mrs.  Natascia Armitage</t>
  </si>
  <si>
    <t>Ms.  Jenny Shen</t>
  </si>
  <si>
    <t>Mr.  Brian O'Kelly</t>
  </si>
  <si>
    <t>Ms.  Monica Huff</t>
  </si>
  <si>
    <t>Mr.  Tyler Dye</t>
  </si>
  <si>
    <t>Ms.  Kelly C Willard</t>
  </si>
  <si>
    <t>Mrs.  Emily D'Addario</t>
  </si>
  <si>
    <t>Mr.  James V Buchanan</t>
  </si>
  <si>
    <t>Ms.  Angie Clark</t>
  </si>
  <si>
    <t>Mr.  Michael J. Waterson</t>
  </si>
  <si>
    <t>Ms.  Sabina Piras</t>
  </si>
  <si>
    <t>Ms.  Amy C Olson</t>
  </si>
  <si>
    <t>Ms.  Victoria U Manfredi</t>
  </si>
  <si>
    <t>Ms.  Amelia B Landberg</t>
  </si>
  <si>
    <t>Ms.  Jackie J Flynn</t>
  </si>
  <si>
    <t>Mr.  Justin Bishop</t>
  </si>
  <si>
    <t>Ms.  Kerry Devitt</t>
  </si>
  <si>
    <t>Ms.  Cindy G. Lynch</t>
  </si>
  <si>
    <t>Mr.  Gennaro Tramontano</t>
  </si>
  <si>
    <t>Mr.  Terry Davidson</t>
  </si>
  <si>
    <t>Mr.  Patrick J Burke</t>
  </si>
  <si>
    <t>Ms.  Keara McGraw</t>
  </si>
  <si>
    <t>Ms.  Nicole Fellure</t>
  </si>
  <si>
    <t>Mrs.  Katena Sanford</t>
  </si>
  <si>
    <t>Ms.  Bean K. Wrenn</t>
  </si>
  <si>
    <t>Mr.  Brian Lindsey</t>
  </si>
  <si>
    <t>Mr.  Jan-Patrick Krueger</t>
  </si>
  <si>
    <t>Mr.  Jesse J Babler</t>
  </si>
  <si>
    <t>Ms.  Lindsey M Brezenski</t>
  </si>
  <si>
    <t>Ms.  Marguerite K. Marschner</t>
  </si>
  <si>
    <t>Mr.  Travis King</t>
  </si>
  <si>
    <t>Mr.  Ricky Montez</t>
  </si>
  <si>
    <t>Mrs.  Colleen L. Campbell</t>
  </si>
  <si>
    <t>Mr.  Charlie A Hurt</t>
  </si>
  <si>
    <t>Mr.  Rick Garey</t>
  </si>
  <si>
    <t>Ms.  Lauren C Reddy</t>
  </si>
  <si>
    <t>Mr.  Daniel Mueller</t>
  </si>
  <si>
    <t>Mr.  Jaime Julia</t>
  </si>
  <si>
    <t>Mr.  Erik R Uribe</t>
  </si>
  <si>
    <t>Ms.  Katie Hand</t>
  </si>
  <si>
    <t>Mr.  Thomas A Petersen</t>
  </si>
  <si>
    <t>Mr.  Jean-Marc Mac-Thiong</t>
  </si>
  <si>
    <t>Ms.  Kerry L Walker</t>
  </si>
  <si>
    <t>Mr.  Ulrich Steidl</t>
  </si>
  <si>
    <t>Mr.  Justin P Rose</t>
  </si>
  <si>
    <t>Ms.  Hannah E. Alderfer</t>
  </si>
  <si>
    <t>Mr.  David Ryland</t>
  </si>
  <si>
    <t>Mr.  Jim Bethea</t>
  </si>
  <si>
    <t>Mr.  Joseph P Kelly</t>
  </si>
  <si>
    <t>Mr.  Michael Blois</t>
  </si>
  <si>
    <t>Ms.  Gina M Dayton</t>
  </si>
  <si>
    <t>Ms.  Shantel C. Cloud</t>
  </si>
  <si>
    <t>Mr.  Brian Betournay</t>
  </si>
  <si>
    <t>Mr.  Brian Temple</t>
  </si>
  <si>
    <t>Ms.  Jessica R Rollie</t>
  </si>
  <si>
    <t>Mrs.  Robyn Roybal</t>
  </si>
  <si>
    <t>Ms.  Ashley Turgeon</t>
  </si>
  <si>
    <t>Ms.  Dana Deingenis</t>
  </si>
  <si>
    <t>Ms.  Jessica F. Hodge</t>
  </si>
  <si>
    <t>Ms.  Lindsey Gibbs</t>
  </si>
  <si>
    <t>Ms.  Kelly A Trom</t>
  </si>
  <si>
    <t>Ms.  Brooke E Sizer</t>
  </si>
  <si>
    <t>Ms.  Katelyn E. Ellison</t>
  </si>
  <si>
    <t>Mr.  Adam Sulkowski</t>
  </si>
  <si>
    <t>Ms.  Dana Maringo</t>
  </si>
  <si>
    <t>Mr.  Eric W Lattin</t>
  </si>
  <si>
    <t>Mr.  Matthew D Deblander</t>
  </si>
  <si>
    <t>Mr.  Eoghan O'Neill</t>
  </si>
  <si>
    <t>Ms.  Pamela W Davis</t>
  </si>
  <si>
    <t>Ms.  Lindsey M. Stanek</t>
  </si>
  <si>
    <t>Ms.  Kassie Harris</t>
  </si>
  <si>
    <t>Mr.  Matthew Manning</t>
  </si>
  <si>
    <t>Mr.  Ruben Dario Barrera Munoz</t>
  </si>
  <si>
    <t>Mr.  Kevin Schauwaers</t>
  </si>
  <si>
    <t>Ms.  Lindsay M Hartman</t>
  </si>
  <si>
    <t>Mrs.  Amanda Fire</t>
  </si>
  <si>
    <t>Mr.  James Waliaula</t>
  </si>
  <si>
    <t>Mr.  Samuel H. Blackshear</t>
  </si>
  <si>
    <t>Ms.  Jenni Nettik</t>
  </si>
  <si>
    <t>Mr.  Estuardo F Novales</t>
  </si>
  <si>
    <t>Mr.  Brett Rosauer</t>
  </si>
  <si>
    <t>Ms.  Sharon E. Ryder</t>
  </si>
  <si>
    <t>Mr.  Jacob W√¶ver Larsen</t>
  </si>
  <si>
    <t>Mr.  Scott Keate</t>
  </si>
  <si>
    <t>Ms.  Brooke S. Williams</t>
  </si>
  <si>
    <t>Ms.  Kaye A. Starosciak</t>
  </si>
  <si>
    <t>Ms.  Carolyn Smith</t>
  </si>
  <si>
    <t>Mr.  Daniel C. Henderson</t>
  </si>
  <si>
    <t>Mrs.  Laurie A Winkelman</t>
  </si>
  <si>
    <t>Ms.  Nicole Monette</t>
  </si>
  <si>
    <t>Ms.  Shelby Kramer</t>
  </si>
  <si>
    <t>Ms.  Allison Goldstein</t>
  </si>
  <si>
    <t>Ms.  Leticia Gonzalez</t>
  </si>
  <si>
    <t>Mr.  John S. Barrett</t>
  </si>
  <si>
    <t>Ms.  April Irwin</t>
  </si>
  <si>
    <t>Ms.  Ashley N. Glenn</t>
  </si>
  <si>
    <t>Ms.  Madeleine O'Meara</t>
  </si>
  <si>
    <t>Ms.  Nelly S Budrow</t>
  </si>
  <si>
    <t>Ms.  Meredith S Anderson</t>
  </si>
  <si>
    <t>Mr.  Kevin Douglas</t>
  </si>
  <si>
    <t>Ms.  Lisa Tecklenburg</t>
  </si>
  <si>
    <t>Ms.  Katherine A Baker</t>
  </si>
  <si>
    <t>Mr.  Steve Schenck</t>
  </si>
  <si>
    <t>Ms.  Kate L. Johnson</t>
  </si>
  <si>
    <t>Ms.  Beth Blendell</t>
  </si>
  <si>
    <t>Ms.  Katharine Parodi</t>
  </si>
  <si>
    <t>Ms.  Heather L Morgan</t>
  </si>
  <si>
    <t>Ms.  Desiree Linden</t>
  </si>
  <si>
    <t>Mr.  Peter B. Horning</t>
  </si>
  <si>
    <t>Mr.  Adam Goode</t>
  </si>
  <si>
    <t>Mr.  Jeremy J Doden</t>
  </si>
  <si>
    <t>Mr.  Adam C Groff</t>
  </si>
  <si>
    <t>Mr.  Jon Kuehler</t>
  </si>
  <si>
    <t>Mr.  Steven J Daniels</t>
  </si>
  <si>
    <t>Ms.  Jessica P. Gibby</t>
  </si>
  <si>
    <t>Ms.  Ashley Busa</t>
  </si>
  <si>
    <t>Mr.  Arturo H. Moyo</t>
  </si>
  <si>
    <t>Mr.  Ketil Horn</t>
  </si>
  <si>
    <t>Ms.  Katie Bien</t>
  </si>
  <si>
    <t>Ms.  Christi O'Connor</t>
  </si>
  <si>
    <t>Mr.  Alan Ash</t>
  </si>
  <si>
    <t>Ms.  Eve Phillips</t>
  </si>
  <si>
    <t>Mr.  Devin Kelly</t>
  </si>
  <si>
    <t>Mr.  Shaun R Dever</t>
  </si>
  <si>
    <t>Mr.  Adrian Horvath</t>
  </si>
  <si>
    <t>Mr.  Andrew Danner</t>
  </si>
  <si>
    <t>Ms.  Mallory Weiss</t>
  </si>
  <si>
    <t>Mr.  Shawn E D'Andrea</t>
  </si>
  <si>
    <t>Ms.  Sarah E Olesky</t>
  </si>
  <si>
    <t>Mr.  Josh Whitcraft</t>
  </si>
  <si>
    <t>Mr.  Johann A Salazar</t>
  </si>
  <si>
    <t>Ms.  Robin M. Todd</t>
  </si>
  <si>
    <t>Mr.  Kyle K Pond</t>
  </si>
  <si>
    <t>Ms.  Alison Egan</t>
  </si>
  <si>
    <t>Mr.  Michael A. Bersani</t>
  </si>
  <si>
    <t>Mr.  Byron A Creech</t>
  </si>
  <si>
    <t>Ms.  Carine A Sudres</t>
  </si>
  <si>
    <t>Mr.  Nathaniel Couture</t>
  </si>
  <si>
    <t>Ms.  Lindsay A. Willard</t>
  </si>
  <si>
    <t>Mr.  Justin R Patronick</t>
  </si>
  <si>
    <t>Ms.  Casey Depasquale</t>
  </si>
  <si>
    <t>Ms.  Amanda L Lavergne</t>
  </si>
  <si>
    <t>Ms.  Ayako N. Kawakami</t>
  </si>
  <si>
    <t>Ms.  Emilee Gonsalves</t>
  </si>
  <si>
    <t>Mr.  Stephen M Peck</t>
  </si>
  <si>
    <t>Ms.  Annemarie A Aure</t>
  </si>
  <si>
    <t>Ms.  Ashley R Mattingly</t>
  </si>
  <si>
    <t>Ms.  Leslie A Stelpflug</t>
  </si>
  <si>
    <t>Mr.  Kieran Condon</t>
  </si>
  <si>
    <t>Ms.  Elizabeth A Magato</t>
  </si>
  <si>
    <t>Mr.  Zeke M. Dombrowski</t>
  </si>
  <si>
    <t>Mr.  Chip Ohara</t>
  </si>
  <si>
    <t>Mr.  Miguel Angel Sr. Cifuentes Fetiva</t>
  </si>
  <si>
    <t>Mr.  Brian Keno</t>
  </si>
  <si>
    <t>Ms.  Meghan Bruce</t>
  </si>
  <si>
    <t>Ms.  Meredith L. Lorch</t>
  </si>
  <si>
    <t>Mrs.  Millicent M Sullivan</t>
  </si>
  <si>
    <t>Ms.  Kathleen Cave</t>
  </si>
  <si>
    <t>Ms.  Kimberly K Gudenkauf</t>
  </si>
  <si>
    <t>Mr.  Justin C Thomas</t>
  </si>
  <si>
    <t>Mr.  Tristan P. Holley</t>
  </si>
  <si>
    <t>Ms.  Traci A Kemble</t>
  </si>
  <si>
    <t>Mr.  Justin P Bentley</t>
  </si>
  <si>
    <t>Mr.  Logan M Jones</t>
  </si>
  <si>
    <t>Mr.  Sebastien Tremblay</t>
  </si>
  <si>
    <t>Ms.  Tiffany A Bellucci</t>
  </si>
  <si>
    <t>Mr.  Matthew Collins</t>
  </si>
  <si>
    <t>Mr.  Luke Gillman</t>
  </si>
  <si>
    <t>Ms.  Leigh West</t>
  </si>
  <si>
    <t>Mr.  Yosuke Chida</t>
  </si>
  <si>
    <t>Mr.  Matthew Reisenauer</t>
  </si>
  <si>
    <t>Mr.  Jacob Rosenberg-Wohl</t>
  </si>
  <si>
    <t>Ms.  Jodi Theriault</t>
  </si>
  <si>
    <t>Ms.  Lauren Manuel</t>
  </si>
  <si>
    <t>Ms.  Misti C Demko</t>
  </si>
  <si>
    <t>Ms.  Angela J Battaglia</t>
  </si>
  <si>
    <t>Mr.  Jonathan D. Follo</t>
  </si>
  <si>
    <t>Ms.  Victoria Barana</t>
  </si>
  <si>
    <t>Mr.  Adrian R. Lysaght</t>
  </si>
  <si>
    <t>Mr.  Andrew Chalmers</t>
  </si>
  <si>
    <t>Mr.  Jason A. Phillippi</t>
  </si>
  <si>
    <t>Ms.  Rachel MacPherson</t>
  </si>
  <si>
    <t>Ms.  Susan Delfidio</t>
  </si>
  <si>
    <t>Mr.  Cameron M. Cummings</t>
  </si>
  <si>
    <t>Ms.  Claudia A. Schroegel</t>
  </si>
  <si>
    <t>Ms.  Kate Williams</t>
  </si>
  <si>
    <t>Ms.  Nicole M. Casey</t>
  </si>
  <si>
    <t>Mr.  Jack Randall</t>
  </si>
  <si>
    <t>Mr.  Gregory Doyon</t>
  </si>
  <si>
    <t>Ms.  Rebecca Sankey</t>
  </si>
  <si>
    <t>Mr.  Adam Stilgenbauer</t>
  </si>
  <si>
    <t>Mr.  Ryan Jaskiewicz</t>
  </si>
  <si>
    <t>Ms.  Jackie K. Deppen</t>
  </si>
  <si>
    <t>Mr.  Chris Hine</t>
  </si>
  <si>
    <t>Mr.  Tyler C Mathews</t>
  </si>
  <si>
    <t>Ms.  Yoshie Yabu</t>
  </si>
  <si>
    <t>Ms.  Lauren A Strang</t>
  </si>
  <si>
    <t>Mr.  Mason D. Frank</t>
  </si>
  <si>
    <t>Mr.  Ryan Shanley</t>
  </si>
  <si>
    <t>Mr.  Arturo Mancebo Garcia</t>
  </si>
  <si>
    <t>Mr.  Jake Keehan</t>
  </si>
  <si>
    <t>Ms.  Sarah E Mahaney</t>
  </si>
  <si>
    <t>Ms.  Alison L. Nolan</t>
  </si>
  <si>
    <t>Ms.  Karen A. Sobrino</t>
  </si>
  <si>
    <t>Ms.  Stephanie W. Mayer</t>
  </si>
  <si>
    <t>Mr.  Ezra Becker</t>
  </si>
  <si>
    <t>Mr.  Jim Moore</t>
  </si>
  <si>
    <t>Mr.  Ari L. Platt</t>
  </si>
  <si>
    <t>Ms.  Fanny Brodeur</t>
  </si>
  <si>
    <t>Ms.  Heather Knight Pech</t>
  </si>
  <si>
    <t>Ms.  Catherine A Jubinski</t>
  </si>
  <si>
    <t>Ms.  Kelly A Wall</t>
  </si>
  <si>
    <t>Ms.  Janel N. McKay</t>
  </si>
  <si>
    <t>Ms.  Yann Kai Oh</t>
  </si>
  <si>
    <t>Mr.  Zachary R. Kessell</t>
  </si>
  <si>
    <t>Mr.  Alejandro Sr. Hidalgo Zambrano</t>
  </si>
  <si>
    <t>Mr.  Nicholas R. Caprario</t>
  </si>
  <si>
    <t>Mr.  Paul Ryan</t>
  </si>
  <si>
    <t>Mr.  Michael D Hoffman</t>
  </si>
  <si>
    <t>Ms.  Marina Wong</t>
  </si>
  <si>
    <t>Ms.  Caroline Lea</t>
  </si>
  <si>
    <t>Mr.  Ross P Patterson</t>
  </si>
  <si>
    <t>Ms.  Aoife Quigley</t>
  </si>
  <si>
    <t>Mr.  Wesley Korir</t>
  </si>
  <si>
    <t>Ms.  Rebecca J Downs</t>
  </si>
  <si>
    <t>Mr.  Barry P. Young</t>
  </si>
  <si>
    <t>Mr.  Maciej Zywek</t>
  </si>
  <si>
    <t>Mr.  Jerry D. Faulkner</t>
  </si>
  <si>
    <t>Mr.  Eric A. Erspamer</t>
  </si>
  <si>
    <t>Ms.  Cathi Campbell</t>
  </si>
  <si>
    <t>Mr.  Alex M Addison</t>
  </si>
  <si>
    <t>Mr.  Liang Wu</t>
  </si>
  <si>
    <t>Ms.  Lexy Millett</t>
  </si>
  <si>
    <t>Mr.  Michael Bosl</t>
  </si>
  <si>
    <t>Mr.  Samuel L Goldberg</t>
  </si>
  <si>
    <t>Mr.  Spencer A. Kelley</t>
  </si>
  <si>
    <t>Mrs.  Rochelle Johnston</t>
  </si>
  <si>
    <t>Ms.  Paula Keating</t>
  </si>
  <si>
    <t>Mrs.  Madeline E. Duhon</t>
  </si>
  <si>
    <t>Ms.  Maria Isabel Briseno</t>
  </si>
  <si>
    <t>Mr.  Arthur M. Besse</t>
  </si>
  <si>
    <t>Mr.  Joseph R. Shillings</t>
  </si>
  <si>
    <t>Ms.  Sachiko Tate</t>
  </si>
  <si>
    <t>Mr.  Christopher Arsenault</t>
  </si>
  <si>
    <t>Mr.  Joseph Hengoed</t>
  </si>
  <si>
    <t>Mr.  Lawrence Aller</t>
  </si>
  <si>
    <t>Mrs.  Katie Pisano</t>
  </si>
  <si>
    <t>Mr.  Ruben Sanca</t>
  </si>
  <si>
    <t>Ms.  Sarah Bond</t>
  </si>
  <si>
    <t>Mrs.  Angela R. Carron</t>
  </si>
  <si>
    <t>Mr.  Chatham Ellwanger</t>
  </si>
  <si>
    <t>Mr.  Derek Hanson</t>
  </si>
  <si>
    <t>Mr.  Kalvin J. Tucker</t>
  </si>
  <si>
    <t>Mr.  Dave Counts</t>
  </si>
  <si>
    <t>Ms.  Barbara G. Carson</t>
  </si>
  <si>
    <t>Mr.  Skylar Haines</t>
  </si>
  <si>
    <t>Mr.  Nick Schnabel</t>
  </si>
  <si>
    <t>Mr.  Sunny S Thind</t>
  </si>
  <si>
    <t>Mrs.  Anne-Marie Simon</t>
  </si>
  <si>
    <t>Mr.  Nicholas Arciniaga</t>
  </si>
  <si>
    <t>Mr.  Scott M. Ryan</t>
  </si>
  <si>
    <t>Ms.  Marisa A Lizak</t>
  </si>
  <si>
    <t>Ms.  Katie Howery</t>
  </si>
  <si>
    <t>Ms.  Amy L Crain</t>
  </si>
  <si>
    <t>Ms.  Jenna M Hotze</t>
  </si>
  <si>
    <t>Ms.  Elizabeth M. Chauhan</t>
  </si>
  <si>
    <t>Mr.  Lyazid Raab</t>
  </si>
  <si>
    <t>Ms.  Lindsey A. McKown</t>
  </si>
  <si>
    <t>Mr.  Chris Schiemann</t>
  </si>
  <si>
    <t>Ms.  Jennifer A Cress</t>
  </si>
  <si>
    <t>Mr.  Leif S. Mawson</t>
  </si>
  <si>
    <t>Ms.  Stephanie A Wigginton</t>
  </si>
  <si>
    <t>Mr.  Bo Wang</t>
  </si>
  <si>
    <t>Ms.  Leah Schroeder</t>
  </si>
  <si>
    <t>Ms.  Kara Lynne Leonard</t>
  </si>
  <si>
    <t>Mr.  Jeffrey Tissue</t>
  </si>
  <si>
    <t>Mr.  Justin Wood</t>
  </si>
  <si>
    <t>Ms.  Emily Denny</t>
  </si>
  <si>
    <t>Ms.  Rebecca Testa</t>
  </si>
  <si>
    <t>Mrs.  Allie Mooney</t>
  </si>
  <si>
    <t>Ms.  Trasi Buchholtz</t>
  </si>
  <si>
    <t>Mr.  Kevin Hoyt</t>
  </si>
  <si>
    <t>Mr.  Fernando Cabada</t>
  </si>
  <si>
    <t>Ms.  Ieva Lobaciute</t>
  </si>
  <si>
    <t>Mr.  Chris Dawes</t>
  </si>
  <si>
    <t>Mr.  Drew L. Deppen</t>
  </si>
  <si>
    <t>Ms.  Christina Oberndorfer</t>
  </si>
  <si>
    <t>Mr.  Alexander G Hetherington</t>
  </si>
  <si>
    <t>Ms.  Meaghan Murray</t>
  </si>
  <si>
    <t>Ms.  Kristin Higden</t>
  </si>
  <si>
    <t>Ms.  Andrea K. Rediger</t>
  </si>
  <si>
    <t>Ms.  Kris Huff</t>
  </si>
  <si>
    <t>Mr.  Alden W Hall</t>
  </si>
  <si>
    <t>Ms.  Suzanne M Grise</t>
  </si>
  <si>
    <t>Ms.  Heidi Z. Skildum</t>
  </si>
  <si>
    <t>Ms.  Carolyn Yang</t>
  </si>
  <si>
    <t>Ms.  Sabine Fischer-Daly</t>
  </si>
  <si>
    <t>Mr.  Bobby Asher</t>
  </si>
  <si>
    <t>Mr.  Fan Zhou</t>
  </si>
  <si>
    <t>Mrs.  Rachel M Rudder</t>
  </si>
  <si>
    <t>Mr.  Greg Cartmell</t>
  </si>
  <si>
    <t>Mr.  Dan Troland</t>
  </si>
  <si>
    <t>Ms.  Jennifer A Hall</t>
  </si>
  <si>
    <t>Mrs.  Jessica Berg</t>
  </si>
  <si>
    <t>Mr.  Chaiwat Engtrakul</t>
  </si>
  <si>
    <t>Ms.  Kerri Leonhardt</t>
  </si>
  <si>
    <t>Ms.  Lisa Goetz</t>
  </si>
  <si>
    <t>Mr.  Nicholas G Cacharelis</t>
  </si>
  <si>
    <t>Mr.  Vasilis S Kariolis</t>
  </si>
  <si>
    <t>Mr.  Michael P Zelwin</t>
  </si>
  <si>
    <t>Ms.  Colleen C. Barry</t>
  </si>
  <si>
    <t>Mrs.  Annika Bannon</t>
  </si>
  <si>
    <t>Ms.  Kelly Chang</t>
  </si>
  <si>
    <t>Mr.  Nicholas C. Vetter</t>
  </si>
  <si>
    <t>Mrs.  Kelly K Jablonski</t>
  </si>
  <si>
    <t>Mr.  Andrew Jakubowitch</t>
  </si>
  <si>
    <t>Ms.  Hannah Altshuler</t>
  </si>
  <si>
    <t>Mr.  Patricio Sr. Ugarte</t>
  </si>
  <si>
    <t>Mr.  Robert B Tusso</t>
  </si>
  <si>
    <t>Mr.  Benjamin M Johnson</t>
  </si>
  <si>
    <t>Mr.  Robert Landry</t>
  </si>
  <si>
    <t>Mr.  Eric R. McDonald</t>
  </si>
  <si>
    <t>Mr.  Matthew Dunlap</t>
  </si>
  <si>
    <t>Mr.  Bob R Larue</t>
  </si>
  <si>
    <t>Ms.  Stephanie J. Hodge</t>
  </si>
  <si>
    <t>Mr.  Jake Marcus</t>
  </si>
  <si>
    <t>Ms.  Alison L. Daubert</t>
  </si>
  <si>
    <t>Ms.  Lindsay M Close</t>
  </si>
  <si>
    <t>Mr.  Guillaume Roels</t>
  </si>
  <si>
    <t>Ms.  Kaylee Venosky</t>
  </si>
  <si>
    <t>Ms.  Theresa Gosnell</t>
  </si>
  <si>
    <t>Mr.  Travis G. Chewning-Kulick</t>
  </si>
  <si>
    <t>Ms.  Emma L. McCarron</t>
  </si>
  <si>
    <t>Ms.  Linda Manion</t>
  </si>
  <si>
    <t>Mr.  Owen R Strong</t>
  </si>
  <si>
    <t>Mr.  Jacob Leblanc</t>
  </si>
  <si>
    <t>Ms.  Jacqueline Palmer</t>
  </si>
  <si>
    <t>Mr.  Yefeng Shen</t>
  </si>
  <si>
    <t>Mr.  Thomas J Goldsby</t>
  </si>
  <si>
    <t>Mr.  Ken Whitney</t>
  </si>
  <si>
    <t>Ms.  Annie E Mahoney</t>
  </si>
  <si>
    <t>Mrs.  Noel K. McCracken</t>
  </si>
  <si>
    <t>Mr.  Mark S Spewak</t>
  </si>
  <si>
    <t>Ms.  Federica Cottini</t>
  </si>
  <si>
    <t>Ms.  Pamela L Findlay</t>
  </si>
  <si>
    <t>Mr.  Andrew W. Strasburg</t>
  </si>
  <si>
    <t>Mr.  Randall Adams</t>
  </si>
  <si>
    <t>Ms.  Tracy L Deeter</t>
  </si>
  <si>
    <t>Ms.  Azelie Arpin</t>
  </si>
  <si>
    <t>Ms.  Monica M. Schoeneck</t>
  </si>
  <si>
    <t>Ms.  Katarina K. Mueller</t>
  </si>
  <si>
    <t>Ms.  Jamie L. Willits</t>
  </si>
  <si>
    <t>Mr.  Brian Syring</t>
  </si>
  <si>
    <t>Ms.  Stacey L. Strike</t>
  </si>
  <si>
    <t>Mr.  Stephen Hennigar</t>
  </si>
  <si>
    <t>Mr.  Joshua May</t>
  </si>
  <si>
    <t>Mr.  Josh Metcalf</t>
  </si>
  <si>
    <t>Ms.  Heather Tiska</t>
  </si>
  <si>
    <t>Mr.  James C. McDonough</t>
  </si>
  <si>
    <t>Ms.  Kim Fairley</t>
  </si>
  <si>
    <t>Ms.  Marie E. Barnett</t>
  </si>
  <si>
    <t>Mr.  Dariusz Piasta</t>
  </si>
  <si>
    <t>Ms.  Jessica E. Mueller</t>
  </si>
  <si>
    <t>Ms.  Kristen Olsen</t>
  </si>
  <si>
    <t>Ms.  Cynthia Bartus</t>
  </si>
  <si>
    <t>Mr.  Tyler Stevens</t>
  </si>
  <si>
    <t>Ms.  Holly J Rich</t>
  </si>
  <si>
    <t>Ms.  Kristen Fayter</t>
  </si>
  <si>
    <t>Mr.  Thomas Parise</t>
  </si>
  <si>
    <t>Ms.  Tricity M Andrew</t>
  </si>
  <si>
    <t>Ms.  Sarah A Gryniewicz</t>
  </si>
  <si>
    <t>Ms.  Lisa M. Panora</t>
  </si>
  <si>
    <t>Ms.  Tracy A. Woodward</t>
  </si>
  <si>
    <t>Mr.  Patrick Lambe</t>
  </si>
  <si>
    <t>Mr.  Trent Casto</t>
  </si>
  <si>
    <t>Ms.  Julie Martelli</t>
  </si>
  <si>
    <t>Mr.  Sawomir Naskret</t>
  </si>
  <si>
    <t>Ms.  Micah Morgan</t>
  </si>
  <si>
    <t>Ms.  Kelly H. Maloney</t>
  </si>
  <si>
    <t>Ms.  Lindsay M. Amherst</t>
  </si>
  <si>
    <t>Mr.  Austen G Davenport</t>
  </si>
  <si>
    <t>Mr.  Tory J. Johansen</t>
  </si>
  <si>
    <t>Mr.  Robert J. Bond</t>
  </si>
  <si>
    <t>Ms.  Steph Reilly</t>
  </si>
  <si>
    <t>Ms.  Kate Chandler</t>
  </si>
  <si>
    <t>Ms.  Kristina Kaufmann</t>
  </si>
  <si>
    <t>Ms.  Flo Barnes-Zurkinden</t>
  </si>
  <si>
    <t>Mrs.  Sarah P. Wolter</t>
  </si>
  <si>
    <t>Ms.  Anabel Pearson</t>
  </si>
  <si>
    <t>Mr.  Ian Thomas</t>
  </si>
  <si>
    <t>Mr.  Alex Leon</t>
  </si>
  <si>
    <t>Mr.  Richard J Marriott</t>
  </si>
  <si>
    <t>Ms.  Jacqueline N. Wilkins</t>
  </si>
  <si>
    <t>Ms.  Cindy Saiter</t>
  </si>
  <si>
    <t>Ms.  Marcia Winrow</t>
  </si>
  <si>
    <t>Ms.  Samantha R. Gries</t>
  </si>
  <si>
    <t>Ms.  Katie Strohschein</t>
  </si>
  <si>
    <t>Mr.  John P Berger</t>
  </si>
  <si>
    <t>Ms.  Rachel Coogan</t>
  </si>
  <si>
    <t>Ms.  Isabelle Gagnon</t>
  </si>
  <si>
    <t>Mr.  Neil Pearson</t>
  </si>
  <si>
    <t>Mr.  Tom Brian</t>
  </si>
  <si>
    <t>Mr.  Nathan Brown</t>
  </si>
  <si>
    <t>Mrs.  Kelli N Fox</t>
  </si>
  <si>
    <t>Mr.  Scott M. Traver</t>
  </si>
  <si>
    <t>Mr.  Grant A Quick</t>
  </si>
  <si>
    <t>Mr.  Jonathan C Scott</t>
  </si>
  <si>
    <t>Ms.  Rachael M. Theriot</t>
  </si>
  <si>
    <t>Ms.  Pilar Michalis</t>
  </si>
  <si>
    <t>Mr.  Kyle M Hall</t>
  </si>
  <si>
    <t>Mrs.  Christie Tjong Clemons</t>
  </si>
  <si>
    <t>Mr.  David A. Palma</t>
  </si>
  <si>
    <t>Mr.  Masahiro Takaoka</t>
  </si>
  <si>
    <t>Mr.  Logan B. Sherman</t>
  </si>
  <si>
    <t>Ms.  Stephanie L. Andre</t>
  </si>
  <si>
    <t>Ms.  Angela H Switt</t>
  </si>
  <si>
    <t>Ms.  Britt K Erickson</t>
  </si>
  <si>
    <t>Ms.  Joyce R. Miller</t>
  </si>
  <si>
    <t>Mr.  Ben Whitbeck</t>
  </si>
  <si>
    <t>Ms.  Sarah M. Auer</t>
  </si>
  <si>
    <t>Ms.  Sarah Attar</t>
  </si>
  <si>
    <t>Ms.  Katie Misuraca</t>
  </si>
  <si>
    <t>Ms.  Michaela L Spannaus</t>
  </si>
  <si>
    <t>Ms.  Shalaleh Tarbiat</t>
  </si>
  <si>
    <t>Ms.  Karen Pulkkinen</t>
  </si>
  <si>
    <t>Ms.  Zuzana Trnovcova</t>
  </si>
  <si>
    <t>Mr.  Daniel J. Anthony</t>
  </si>
  <si>
    <t>Ms.  Alexandra Hetrick</t>
  </si>
  <si>
    <t>Ms.  Jessica Stern</t>
  </si>
  <si>
    <t>Mr.  Matthew M Newman</t>
  </si>
  <si>
    <t>Ms.  Nadine A. Reasoner</t>
  </si>
  <si>
    <t>Ms.  Colleen M Powers</t>
  </si>
  <si>
    <t>Ms.  Julie A. Ulery</t>
  </si>
  <si>
    <t>Mr.  Douglas W Haines</t>
  </si>
  <si>
    <t>Ms.  Catherine Airoldi</t>
  </si>
  <si>
    <t>Mr.  James A Mattis</t>
  </si>
  <si>
    <t>Mr.  Youngseong Cho</t>
  </si>
  <si>
    <t>Mr.  John Reumann</t>
  </si>
  <si>
    <t>Mr.  Brandon S. Cooper</t>
  </si>
  <si>
    <t>Mr.  Sean P Kennedy</t>
  </si>
  <si>
    <t>Mr.  Scott Cichon</t>
  </si>
  <si>
    <t>Mr.  Janez Maroevic</t>
  </si>
  <si>
    <t>Ms.  Heather Schulz</t>
  </si>
  <si>
    <t>Mr.  Michael Capriolo</t>
  </si>
  <si>
    <t>Ms.  Kathleen Borleis</t>
  </si>
  <si>
    <t>Mr.  Ryan M Kramer</t>
  </si>
  <si>
    <t>Ms.  Sara Conrad</t>
  </si>
  <si>
    <t>Mr.  Deniz Karakoyunlu</t>
  </si>
  <si>
    <t>Ms.  Shannon L. Desrosiers</t>
  </si>
  <si>
    <t>Ms.  Kaitlin M. O'Mara</t>
  </si>
  <si>
    <t>Mr.  Alfredo Shabot Marcos</t>
  </si>
  <si>
    <t>Ms.  Kristen Comment</t>
  </si>
  <si>
    <t>Mr.  Daniel Moss</t>
  </si>
  <si>
    <t>Mr.  Jonathan Guzman</t>
  </si>
  <si>
    <t>Mr.  Troy Cox</t>
  </si>
  <si>
    <t>Mr.  Daniel C Clash</t>
  </si>
  <si>
    <t>Ms.  Lauren Blankenship</t>
  </si>
  <si>
    <t>Ms.  Jennefer Lloyd</t>
  </si>
  <si>
    <t>Ms.  Tracey L. Kong</t>
  </si>
  <si>
    <t>Ms.  Ashley Benson</t>
  </si>
  <si>
    <t>Ms.  Cindy Huntington</t>
  </si>
  <si>
    <t>Ms.  Esther Kendall</t>
  </si>
  <si>
    <t>Ms.  Jackie Gast</t>
  </si>
  <si>
    <t>Mr.  Timothy P. Scanlin</t>
  </si>
  <si>
    <t>Ms.  Lauren Philbrook</t>
  </si>
  <si>
    <t>Mr.  Benjamin Cowan</t>
  </si>
  <si>
    <t>Mr.  Hugo M Sousa</t>
  </si>
  <si>
    <t>Mr.  Justin R Mollak</t>
  </si>
  <si>
    <t>Mr.  Colin Bell</t>
  </si>
  <si>
    <t>Mr.  Rob Weston</t>
  </si>
  <si>
    <t>Mr.  Patrick Rabuzzi</t>
  </si>
  <si>
    <t>Mr.  Austin D Hendrix</t>
  </si>
  <si>
    <t>Ms.  Brittany Van Nielen</t>
  </si>
  <si>
    <t>Mr.  Matthew T Blanton</t>
  </si>
  <si>
    <t>Ms.  Becky G. Schout</t>
  </si>
  <si>
    <t>Ms.  Virginie Schmaltz</t>
  </si>
  <si>
    <t>Ms.  Allison A Eagen</t>
  </si>
  <si>
    <t>Ms.  Julie Rotramel</t>
  </si>
  <si>
    <t>Ms.  Katherine Prevost</t>
  </si>
  <si>
    <t>Mr.  Caleb Boyd</t>
  </si>
  <si>
    <t>Ms.  Jaime Dawes</t>
  </si>
  <si>
    <t>Ms.  Hannah Jennings</t>
  </si>
  <si>
    <t>Mr.  Zachariah Nyambaso</t>
  </si>
  <si>
    <t>Ms.  Patricia A Shaffer</t>
  </si>
  <si>
    <t>Mrs.  Elizabeth A. Corkum</t>
  </si>
  <si>
    <t>Mr.  Benjamin Pedersen</t>
  </si>
  <si>
    <t>Mr.  Breno Melo</t>
  </si>
  <si>
    <t>Mr.  Takaya Sakamoto</t>
  </si>
  <si>
    <t>Mr.  Thomas IV McMahon</t>
  </si>
  <si>
    <t>Mr.  Bradley E Harris</t>
  </si>
  <si>
    <t>Ms.  Megan Lombardo</t>
  </si>
  <si>
    <t>Ms.  Ruby J Bode</t>
  </si>
  <si>
    <t>Mr.  Bart Johnson</t>
  </si>
  <si>
    <t>Mr.  Robert A. Norcross</t>
  </si>
  <si>
    <t>Mr.  Adam Lazrus</t>
  </si>
  <si>
    <t>Mr.  Yemane Adhane Tsegay</t>
  </si>
  <si>
    <t>Mr.  Jesse A. Schneider</t>
  </si>
  <si>
    <t>Mr.  Bird Loreto</t>
  </si>
  <si>
    <t>Mr.  Patrick M. Callahan</t>
  </si>
  <si>
    <t>Mr.  Kyle Timko</t>
  </si>
  <si>
    <t>Mr.  Ryan Achatz</t>
  </si>
  <si>
    <t>Mr.  Yuri Horwitz</t>
  </si>
  <si>
    <t>Mr.  Ryan Gordyan</t>
  </si>
  <si>
    <t>Ms.  Debbie Hetherington</t>
  </si>
  <si>
    <t>Mr.  Mark D Thompson</t>
  </si>
  <si>
    <t>Mr.  Christopher Battoo</t>
  </si>
  <si>
    <t>Ms.  Daniell L Barker</t>
  </si>
  <si>
    <t>Mr.  Janne Saarnilehto</t>
  </si>
  <si>
    <t>Ms.  Martina Morton</t>
  </si>
  <si>
    <t>Ms.  Elizabeth L Thomas</t>
  </si>
  <si>
    <t>Ms.  Stephanie C. Hillman</t>
  </si>
  <si>
    <t>Ms.  Katie Edwards</t>
  </si>
  <si>
    <t>Ms.  Callie Bartel</t>
  </si>
  <si>
    <t>Ms.  Inna Potekhina</t>
  </si>
  <si>
    <t>Ms.  Mary K. Kelly</t>
  </si>
  <si>
    <t>Mr.  Samuel M. Lapp</t>
  </si>
  <si>
    <t>Ms.  Kimberly Burke</t>
  </si>
  <si>
    <t>Mr.  Tom J. Barry</t>
  </si>
  <si>
    <t>Mr.  Zachary McCormick</t>
  </si>
  <si>
    <t>Mr.  Dane McElroy</t>
  </si>
  <si>
    <t>Mr.  Dougie J Coffed</t>
  </si>
  <si>
    <t>Mr.  Jeremiah H Estes</t>
  </si>
  <si>
    <t>Mr.  Ashley J. Miles</t>
  </si>
  <si>
    <t>Mr.  Turner J. Zamore</t>
  </si>
  <si>
    <t>Mr.  Roger Donaghy</t>
  </si>
  <si>
    <t>Ms.  Pamela Kennedy</t>
  </si>
  <si>
    <t>Ms.  Allison M. Fiorini</t>
  </si>
  <si>
    <t>Mrs.  Katherine H. Alexander</t>
  </si>
  <si>
    <t>Ms.  Robin Watkins</t>
  </si>
  <si>
    <t>Ms.  Terri Cassel</t>
  </si>
  <si>
    <t>Mr.  Eddie Ferguson</t>
  </si>
  <si>
    <t>Ms.  Pamela O'Sullivan</t>
  </si>
  <si>
    <t>Ms.  Joyce Chepkirui</t>
  </si>
  <si>
    <t>Ms.  Alison W. Gurney</t>
  </si>
  <si>
    <t>Ms.  Tammara C Francis</t>
  </si>
  <si>
    <t>Ms.  Dorota Gruca</t>
  </si>
  <si>
    <t>Mr.  Jose Norberto Sr. Rojas Alvarez</t>
  </si>
  <si>
    <t>Mr.  Peter Denton</t>
  </si>
  <si>
    <t>Mr.  Bryant Mason</t>
  </si>
  <si>
    <t>Ms.  Christina Trout</t>
  </si>
  <si>
    <t>Mr.  John Gilbert</t>
  </si>
  <si>
    <t>Mr.  Eduardo Chong</t>
  </si>
  <si>
    <t>Ms.  Laura M. Henry</t>
  </si>
  <si>
    <t>Mr.  Charlie Brenneman</t>
  </si>
  <si>
    <t>Ms.  Melissa D. Kemp</t>
  </si>
  <si>
    <t>Mr.  Matthew Hillyard</t>
  </si>
  <si>
    <t>Mr.  Wesley C. Turner</t>
  </si>
  <si>
    <t>Mr.  Christopher Benestad</t>
  </si>
  <si>
    <t>Ms.  Jessica Gonzales</t>
  </si>
  <si>
    <t>Ms.  Christin Newman</t>
  </si>
  <si>
    <t>Ms.  Sara Sayre</t>
  </si>
  <si>
    <t>Ms.  Elizabeth Panke</t>
  </si>
  <si>
    <t>Ms.  Margaret P. Brennan</t>
  </si>
  <si>
    <t>Ms.  Tiffany K Ngo</t>
  </si>
  <si>
    <t>Mr.  David M. Guerdan</t>
  </si>
  <si>
    <t>Ms.  Christine E Shaw</t>
  </si>
  <si>
    <t>Ms.  Donna Mills-Honarvar</t>
  </si>
  <si>
    <t>Mr.  Rod Farvard</t>
  </si>
  <si>
    <t>Mr.  Joe Kelly</t>
  </si>
  <si>
    <t>Ms.  Kayleigh Skinner</t>
  </si>
  <si>
    <t>Mr.  Lorcan A. Murphy</t>
  </si>
  <si>
    <t>Mr.  Billy Shue</t>
  </si>
  <si>
    <t>Mr.  Paul M. Reilly</t>
  </si>
  <si>
    <t>Ms.  Brenda M. Blinn</t>
  </si>
  <si>
    <t>Mr.  Jeff H Duyn</t>
  </si>
  <si>
    <t>Mr.  Michael Wardian</t>
  </si>
  <si>
    <t>Mr.  Jan Heuninck</t>
  </si>
  <si>
    <t>Mr.  Bernard Kipyego</t>
  </si>
  <si>
    <t>Mr.  Craig Kuehl</t>
  </si>
  <si>
    <t>Mrs.  Bryn Burkholder</t>
  </si>
  <si>
    <t>Mr.  Michael Stadolnik</t>
  </si>
  <si>
    <t>Mr.  Benjamin Shields</t>
  </si>
  <si>
    <t>Mr.  Jay Margolis</t>
  </si>
  <si>
    <t>Mr.  William Uffenbeck</t>
  </si>
  <si>
    <t>Ms.  Shelley Brake</t>
  </si>
  <si>
    <t>Ms.  Jekaterina Stepanova</t>
  </si>
  <si>
    <t>Mr.  Daniel Verdi</t>
  </si>
  <si>
    <t>Ms.  Pauline McLean</t>
  </si>
  <si>
    <t>Ms.  Colleen Ryan</t>
  </si>
  <si>
    <t>Ms.  Aleah K Mickelson</t>
  </si>
  <si>
    <t>Ms.  Mare Dibaba</t>
  </si>
  <si>
    <t>Mr.  Kevin Shilling</t>
  </si>
  <si>
    <t>Ms.  Jessica Bashaw</t>
  </si>
  <si>
    <t>Ms.  Amanda R Jacob</t>
  </si>
  <si>
    <t>Mr.  Murray W. McCutcheon</t>
  </si>
  <si>
    <t>Mrs.  Meghan P. Connor</t>
  </si>
  <si>
    <t>Mr.  David May</t>
  </si>
  <si>
    <t>Mr.  Seth Geoghegan</t>
  </si>
  <si>
    <t>Mr.  Michael P. McGinn</t>
  </si>
  <si>
    <t>Mr.  Russell M Jones</t>
  </si>
  <si>
    <t>Mr.  Martin Quinteros</t>
  </si>
  <si>
    <t>Mr.  Michael Loenser</t>
  </si>
  <si>
    <t>Mr.  Miles Aitken</t>
  </si>
  <si>
    <t>Ms.  Amanda Furrer</t>
  </si>
  <si>
    <t>Mr.  Roger Konigs</t>
  </si>
  <si>
    <t>Mr.  Brock J Tesdahl</t>
  </si>
  <si>
    <t>Mr.  Stephen F. Engel</t>
  </si>
  <si>
    <t>Ms.  Missy Kuck</t>
  </si>
  <si>
    <t>Mr.  William Dillon</t>
  </si>
  <si>
    <t>Ms.  Lauren M Neuschel</t>
  </si>
  <si>
    <t>Mr.  Apolo U. Rosales Ramirez</t>
  </si>
  <si>
    <t>Mr.  Alfons Marquez</t>
  </si>
  <si>
    <t>Ms.  Amber Green</t>
  </si>
  <si>
    <t>Ms.  Leah C. Schubel</t>
  </si>
  <si>
    <t>Ms.  Lilia Jimenez</t>
  </si>
  <si>
    <t>Mr.  Danny Zimny-Schmitt</t>
  </si>
  <si>
    <t>Ms.  Lauren Hill</t>
  </si>
  <si>
    <t>Ms.  Courtney Brohart</t>
  </si>
  <si>
    <t>Ms.  Elizabeth Ryan</t>
  </si>
  <si>
    <t>Ms.  Satomi Oka</t>
  </si>
  <si>
    <t>Mr.  Matthew D Newman</t>
  </si>
  <si>
    <t>Mr.  Peter T II Metzger</t>
  </si>
  <si>
    <t>Mr.  Manuel Gonzalez</t>
  </si>
  <si>
    <t>Ms.  Kindsey P. Vaughn</t>
  </si>
  <si>
    <t>Mr.  Thomas G. Clifford</t>
  </si>
  <si>
    <t>Mr.  Kyle S Petty</t>
  </si>
  <si>
    <t>Mr.  Alexander J. Sanford</t>
  </si>
  <si>
    <t>Mr.  Dustin L Sprague</t>
  </si>
  <si>
    <t>Mrs.  Chloe Lasseron</t>
  </si>
  <si>
    <t>Ms.  Cailtlin Bushong</t>
  </si>
  <si>
    <t>Mr.  Joshua Dennison</t>
  </si>
  <si>
    <t>Mr.  Chuy Lira</t>
  </si>
  <si>
    <t>Ms.  Laurie B Nahigian</t>
  </si>
  <si>
    <t>Ms.  Rachel B. Cackett</t>
  </si>
  <si>
    <t>Ms.  Liza Hunter-Galvan</t>
  </si>
  <si>
    <t>Ms.  Lindsey Pierret</t>
  </si>
  <si>
    <t>Ms.  Lindsay E. White</t>
  </si>
  <si>
    <t>Ms.  Kathleen M. O'Neil</t>
  </si>
  <si>
    <t>Ms.  Aya Leitz</t>
  </si>
  <si>
    <t>Ms.  Carolyn R Durfee</t>
  </si>
  <si>
    <t>Ms.  Bethany Maylone</t>
  </si>
  <si>
    <t>Ms.  Holly A Reiland</t>
  </si>
  <si>
    <t>Mr.  Ping Hu</t>
  </si>
  <si>
    <t>Mr.  Tim Lessek</t>
  </si>
  <si>
    <t>Mr.  John Colavincenzo</t>
  </si>
  <si>
    <t>Mrs.  Cynthia Mendez-Karr</t>
  </si>
  <si>
    <t>Mr.  Emmett Saulnier</t>
  </si>
  <si>
    <t>Ms.  Kate Schoonover</t>
  </si>
  <si>
    <t>Mr.  Christopher L. Hass</t>
  </si>
  <si>
    <t>Mr.  Christopher P. Cadotte</t>
  </si>
  <si>
    <t>Mr.  Christopher W Cacciapaglia</t>
  </si>
  <si>
    <t>Mr.  Norman H. Mininger</t>
  </si>
  <si>
    <t>Ms.  Susan Mayo</t>
  </si>
  <si>
    <t>Ms.  Tatyana K Zicko</t>
  </si>
  <si>
    <t>Ms.  Chrissy Graham</t>
  </si>
  <si>
    <t>Ms.  Carrie Boland</t>
  </si>
  <si>
    <t>Ms.  Halle Cupp</t>
  </si>
  <si>
    <t>Ms.  Carolyn Shaw</t>
  </si>
  <si>
    <t>Ms.  Tara D. Klassen</t>
  </si>
  <si>
    <t>Mr.  Rasim M Musal</t>
  </si>
  <si>
    <t>Ms.  Dina Kitayama</t>
  </si>
  <si>
    <t>Ms.  Lisa Altman</t>
  </si>
  <si>
    <t>Ms.  Caitrin Demchko</t>
  </si>
  <si>
    <t>Ms.  Adriana S Wild</t>
  </si>
  <si>
    <t>Ms.  Megan Betts</t>
  </si>
  <si>
    <t>Mrs.  Kristen M Martin</t>
  </si>
  <si>
    <t>Ms.  Alix Vandeventer</t>
  </si>
  <si>
    <t>Mr.  Kakushin Hirano</t>
  </si>
  <si>
    <t>Mr.  Michael J Davi</t>
  </si>
  <si>
    <t>Mr.  Bradley Sloan</t>
  </si>
  <si>
    <t>Mr.  Matt Homich</t>
  </si>
  <si>
    <t>Ms.  Amanda C. Bell</t>
  </si>
  <si>
    <t>Mr.  Valur Kristjansson</t>
  </si>
  <si>
    <t>Ms.  Erica J Pitman</t>
  </si>
  <si>
    <t>Mr.  Stephen F. Curley</t>
  </si>
  <si>
    <t>Ms.  Lissa Zimmer</t>
  </si>
  <si>
    <t>Ms.  Megan Granski</t>
  </si>
  <si>
    <t>Ms.  Alyson Dunn</t>
  </si>
  <si>
    <t>Mr.  Chance B Regina</t>
  </si>
  <si>
    <t>Mr.  Sean P O'Connor</t>
  </si>
  <si>
    <t>Ms.  Therese Howe</t>
  </si>
  <si>
    <t>Mr.  Beau Atwater</t>
  </si>
  <si>
    <t>Ms.  Kelsey M Gurganus</t>
  </si>
  <si>
    <t>Ms.  Gretchen Holden</t>
  </si>
  <si>
    <t>Mr.  Nicholas E. Parton</t>
  </si>
  <si>
    <t>Ms.  Deborah Downs</t>
  </si>
  <si>
    <t>Mr.  Daniel Ranti</t>
  </si>
  <si>
    <t>Ms.  Amany Ishaq</t>
  </si>
  <si>
    <t>Ms.  Kipling Wiles</t>
  </si>
  <si>
    <t>Mr.  Duncan Roberts</t>
  </si>
  <si>
    <t>Mr.  Louis C. Serafini</t>
  </si>
  <si>
    <t>Mr.  Daniel J Button</t>
  </si>
  <si>
    <t>Ms.  Ildiko M. Gaal</t>
  </si>
  <si>
    <t>Ms.  Melinda E. Liptak</t>
  </si>
  <si>
    <t>Ms.  Ashley M Kellam</t>
  </si>
  <si>
    <t>Ms.  Stephanie Gordon</t>
  </si>
  <si>
    <t>Mr.  Sean P. Hyland</t>
  </si>
  <si>
    <t>Ms.  Emily G Wagoner</t>
  </si>
  <si>
    <t>Mr.  Malcolm Thomas</t>
  </si>
  <si>
    <t>Mr.  Danilo Goffi</t>
  </si>
  <si>
    <t>Mr.  Mikko Salovaara</t>
  </si>
  <si>
    <t>Ms.  Paula C. Reid</t>
  </si>
  <si>
    <t>Ms.  Kirsten N. Allan</t>
  </si>
  <si>
    <t>Ms.  Christy McLaughlin</t>
  </si>
  <si>
    <t>Ms.  Jennifer Lee</t>
  </si>
  <si>
    <t>Ms.  Jingjing Tang</t>
  </si>
  <si>
    <t>Mr.  Morgan Kennedy</t>
  </si>
  <si>
    <t>Mr.  Patrick J. Condon</t>
  </si>
  <si>
    <t>Mr.  Frankline Chepkwony</t>
  </si>
  <si>
    <t>Ms.  Laura T. Rodriguez</t>
  </si>
  <si>
    <t>Ms.  Natalia Szynkarczuk</t>
  </si>
  <si>
    <t>Ms.  Jennifer L. Brill</t>
  </si>
  <si>
    <t>Ms.  Brooke Adams</t>
  </si>
  <si>
    <t>Mr.  Jeremy M Nunn</t>
  </si>
  <si>
    <t>Ms.  Megan L. Blair</t>
  </si>
  <si>
    <t>Mr.  Bryan Sharkey</t>
  </si>
  <si>
    <t>Ms.  Marny Scalard</t>
  </si>
  <si>
    <t>Mr.  Marc Burget</t>
  </si>
  <si>
    <t>Mr.  Benjamin L English</t>
  </si>
  <si>
    <t>Mr.  Rob G Hampton</t>
  </si>
  <si>
    <t>Ms.  Stefanie A Flynn</t>
  </si>
  <si>
    <t>Ms.  Stephanie Knast</t>
  </si>
  <si>
    <t>Ms.  Caroline F. Lucas</t>
  </si>
  <si>
    <t>Ms.  Julia J. Thomas</t>
  </si>
  <si>
    <t>Mr.  Jack Cherewatti</t>
  </si>
  <si>
    <t>Mr.  Bernat Olle</t>
  </si>
  <si>
    <t>Mr.  Hicham Hamsi</t>
  </si>
  <si>
    <t>Ms.  Sarah Finnegan</t>
  </si>
  <si>
    <t>Mr.  Anthony S Walsh</t>
  </si>
  <si>
    <t>Ms.  Elisabetta Villa</t>
  </si>
  <si>
    <t>Mr.  Trevor N. Cable</t>
  </si>
  <si>
    <t>Ms.  Nancy Eiring</t>
  </si>
  <si>
    <t>Ms.  Allison R. Connor</t>
  </si>
  <si>
    <t>Mr.  Robert J. Friedman</t>
  </si>
  <si>
    <t>Mr.  Nicholas Croker</t>
  </si>
  <si>
    <t>Mr.  Kevin L Beganics</t>
  </si>
  <si>
    <t>Mr.  Bryan Huberty</t>
  </si>
  <si>
    <t>Ms.  Janae N. Jacobs</t>
  </si>
  <si>
    <t>Ms.  Audrey Hazlehurst</t>
  </si>
  <si>
    <t>Ms.  Laura Marin</t>
  </si>
  <si>
    <t>Ms.  Nicole F Dear</t>
  </si>
  <si>
    <t>Ms.  Krista L Lederer</t>
  </si>
  <si>
    <t>Ms.  Denise Robson</t>
  </si>
  <si>
    <t>Mr.  Ariel Galvan</t>
  </si>
  <si>
    <t>Mr.  Jeremy Walsh</t>
  </si>
  <si>
    <t>Ms.  Rosalie Teeuwen</t>
  </si>
  <si>
    <t>Mr.  Jay List</t>
  </si>
  <si>
    <t>Mr.  Vitaliy Shafar</t>
  </si>
  <si>
    <t>Mr.  Benjamin W. Copenhaver</t>
  </si>
  <si>
    <t>Mr.  Jesse Stump</t>
  </si>
  <si>
    <t>Mr.  Mark Wehrman</t>
  </si>
  <si>
    <t>Ms.  Lauren Sischo</t>
  </si>
  <si>
    <t>Mr.  Massimiliano Fonti</t>
  </si>
  <si>
    <t>Mr.  Josh Merlis</t>
  </si>
  <si>
    <t>Mr.  Kiyokatsu Hasegawa</t>
  </si>
  <si>
    <t>Ms.  Amanda L Haselden</t>
  </si>
  <si>
    <t>Mr.  Matthew Simonson</t>
  </si>
  <si>
    <t>Ms.  Julia M Montag</t>
  </si>
  <si>
    <t>Ms.  Rhea Deroian</t>
  </si>
  <si>
    <t>Mr.  Justin Goetz</t>
  </si>
  <si>
    <t>Mr.  Shamus M. Brady</t>
  </si>
  <si>
    <t>Mr.  Mike Moran</t>
  </si>
  <si>
    <t>Ms.  Mary Beth Strickler</t>
  </si>
  <si>
    <t>Ms.  Erin Simone</t>
  </si>
  <si>
    <t>Ms.  Hallie Von Rock</t>
  </si>
  <si>
    <t>Ms.  Paige P Woodard</t>
  </si>
  <si>
    <t>Ms.  Ji Li</t>
  </si>
  <si>
    <t>Ms.  Carissa A Sinda</t>
  </si>
  <si>
    <t>Ms.  Mona Rydland</t>
  </si>
  <si>
    <t>Ms.  Kristin R. Vespa</t>
  </si>
  <si>
    <t>Ms.  Beth Meadows</t>
  </si>
  <si>
    <t>Ms.  Allison Toppen</t>
  </si>
  <si>
    <t>Ms.  Ashley E Ermer</t>
  </si>
  <si>
    <t>Ms.  Hilary K. Dionne</t>
  </si>
  <si>
    <t>Ms.  Dominique Stasulli</t>
  </si>
  <si>
    <t>Mr.  Carlos I Duran</t>
  </si>
  <si>
    <t>Mr.  Matthew Klundt</t>
  </si>
  <si>
    <t>Ms.  Kara Waters</t>
  </si>
  <si>
    <t>Ms.  Sarah S Rusk</t>
  </si>
  <si>
    <t>Ms.  Shauna R. Gersbach</t>
  </si>
  <si>
    <t>Ms.  Lindsay J. Taylor-Watson</t>
  </si>
  <si>
    <t>Ms.  Danya A. Crawford</t>
  </si>
  <si>
    <t>Ms.  Lorraine Levitsky</t>
  </si>
  <si>
    <t>Ms.  Jennifer L. Carroll</t>
  </si>
  <si>
    <t>Mr.  Jesus Sr. Campos</t>
  </si>
  <si>
    <t>Ms.  Kristen Flajslik</t>
  </si>
  <si>
    <t>Ms.  Catherine C. Chua</t>
  </si>
  <si>
    <t>Ms.  Paula Wiltse</t>
  </si>
  <si>
    <t>Ms.  Evan Fisher</t>
  </si>
  <si>
    <t>Mr.  Nathan J Wilzbacher</t>
  </si>
  <si>
    <t>Ms.  Ashley M Thayer</t>
  </si>
  <si>
    <t>Mr.  Jason Brosseau</t>
  </si>
  <si>
    <t>Mr.  Marshall Phares</t>
  </si>
  <si>
    <t>Mr.  Lavar Curley</t>
  </si>
  <si>
    <t>Mr.  Charlie T. Johnston</t>
  </si>
  <si>
    <t>Mrs.  Lauren Padula</t>
  </si>
  <si>
    <t>Mr.  Arthur Gamirov</t>
  </si>
  <si>
    <t>Mr.  Thomas Briot</t>
  </si>
  <si>
    <t>Ms.  Jennifer De Hueck</t>
  </si>
  <si>
    <t>Ms.  Tammy Putt</t>
  </si>
  <si>
    <t>Ms.  Lena Deiman</t>
  </si>
  <si>
    <t>Ms.  Valentina Bonanni</t>
  </si>
  <si>
    <t>Mr.  Russell N. Stein</t>
  </si>
  <si>
    <t>Mr.  Scott R. Laumann</t>
  </si>
  <si>
    <t>Mr.  Jose Francisco Sr. Galaviz</t>
  </si>
  <si>
    <t>Mr.  Paul J Piper</t>
  </si>
  <si>
    <t>Mr.  Adam Cantini</t>
  </si>
  <si>
    <t>Mr.  Edward J. Hartman</t>
  </si>
  <si>
    <t>Mr.  Patrick A. Werhane</t>
  </si>
  <si>
    <t>Mr.  Geraint H Davies</t>
  </si>
  <si>
    <t>Mr.  Dj Hummel</t>
  </si>
  <si>
    <t>Mr.  Zachary A Lutz</t>
  </si>
  <si>
    <t>Mr.  Brian W. Waters</t>
  </si>
  <si>
    <t>Mr.  Joe Viglienzoni</t>
  </si>
  <si>
    <t>Mr.  Stephen Rathbun</t>
  </si>
  <si>
    <t>Ms.  Ellen L. crane</t>
  </si>
  <si>
    <t>Ms.  Cindy Conant</t>
  </si>
  <si>
    <t>Ms.  Abigail R. Huyser-Wierenga</t>
  </si>
  <si>
    <t>Ms.  Amy L. Natalini</t>
  </si>
  <si>
    <t>Ms.  Amy Robbins</t>
  </si>
  <si>
    <t>Mrs.  Grace H Stanislav</t>
  </si>
  <si>
    <t>Ms.  Caitie J. Meyer</t>
  </si>
  <si>
    <t>Mr.  Benjamin Mears</t>
  </si>
  <si>
    <t>Mr.  Ian T Neill</t>
  </si>
  <si>
    <t>Mr.  Tadese Tola</t>
  </si>
  <si>
    <t>Mr.  Jonathan Briskman</t>
  </si>
  <si>
    <t>Mr.  Dathan Ritzenhein</t>
  </si>
  <si>
    <t>Mr.  Eric Malkowski</t>
  </si>
  <si>
    <t>Ms.  Allison M Andreyko</t>
  </si>
  <si>
    <t>Mr.  Paul Landry</t>
  </si>
  <si>
    <t>Mr.  Aaron R Lozier</t>
  </si>
  <si>
    <t>Ms.  Caitlin H. O'Brien</t>
  </si>
  <si>
    <t>Mr.  Harald E. Rodas</t>
  </si>
  <si>
    <t>Ms.  Siobhan A. O'Connor</t>
  </si>
  <si>
    <t>Ms.  Andrea J. White</t>
  </si>
  <si>
    <t>Ms.  Marie Davenport</t>
  </si>
  <si>
    <t>Ms.  Rachel A. Karmen</t>
  </si>
  <si>
    <t>Ms.  Emma Miller</t>
  </si>
  <si>
    <t>Ms.  Kiersten Lippmann</t>
  </si>
  <si>
    <t>Ms.  Rachael Klehm</t>
  </si>
  <si>
    <t>Mr.  Timothy P. Murphy</t>
  </si>
  <si>
    <t>Mr.  Lelisa Desisa</t>
  </si>
  <si>
    <t>Mr.  Nate Brooks</t>
  </si>
  <si>
    <t>Mr.  Chris C. Stone</t>
  </si>
  <si>
    <t>Mr.  Scott Weispfennig</t>
  </si>
  <si>
    <t>Mr.  Kevin Sorrell</t>
  </si>
  <si>
    <t>Mr.  Erik C. Morris</t>
  </si>
  <si>
    <t>Mr.  Shawn C Marek</t>
  </si>
  <si>
    <t>Mr.  Vajin L. Armstrong</t>
  </si>
  <si>
    <t>Mr.  Kevin J. Gries</t>
  </si>
  <si>
    <t>Mr.  Kirby W. Mills</t>
  </si>
  <si>
    <t>Mr.  J A Penny</t>
  </si>
  <si>
    <t>Mr.  Dustin G. Hicks</t>
  </si>
  <si>
    <t>Mr.  Anthony G Masayesva</t>
  </si>
  <si>
    <t>Mr.  Ryan Paavola</t>
  </si>
  <si>
    <t>Mr.  Eric N Gehlsen</t>
  </si>
  <si>
    <t>Mr.  Connor Roche</t>
  </si>
  <si>
    <t>Mr.  Patrick H. Hearn</t>
  </si>
  <si>
    <t>Mr.  Tyler Dimson</t>
  </si>
  <si>
    <t>Ms.  Deborah L. Slason</t>
  </si>
  <si>
    <t>Ms.  Andrea K Gibson</t>
  </si>
  <si>
    <t>Ms.  Elleree Erdos</t>
  </si>
  <si>
    <t>Mr.  Brandon J Cushman</t>
  </si>
  <si>
    <t>Mr.  Steve Hammel</t>
  </si>
  <si>
    <t>Ms.  Nina Wavik Sr. Ytterstad</t>
  </si>
  <si>
    <t>Ms.  Dani Prince</t>
  </si>
  <si>
    <t>Ms.  Jennifer A. Freeman</t>
  </si>
  <si>
    <t>Mr.  Martin Petrulak</t>
  </si>
  <si>
    <t>Mr.  Steve Lloyd</t>
  </si>
  <si>
    <t>Mr.  Christopher Zablocki</t>
  </si>
  <si>
    <t>Ms.  Kathryn M. Van Meter</t>
  </si>
  <si>
    <t>Ms.  Emily Babay</t>
  </si>
  <si>
    <t>Mr.  Trent A Taylor</t>
  </si>
  <si>
    <t>Ms.  Jennifer E Smith</t>
  </si>
  <si>
    <t>Ms.  Polly Moody</t>
  </si>
  <si>
    <t>Ms.  Elizabeth Swierzbinski</t>
  </si>
  <si>
    <t>Ms.  Tiffany A. Schwartz</t>
  </si>
  <si>
    <t>Mr.  Cole Sanseverino</t>
  </si>
  <si>
    <t>Mr.  Matthew T. Lawder</t>
  </si>
  <si>
    <t>Mr.  Zachary Young</t>
  </si>
  <si>
    <t>Mr.  Matthew T. Hoerner</t>
  </si>
  <si>
    <t>Mr.  Pat Benson</t>
  </si>
  <si>
    <t>Ms.  Ashley Horton</t>
  </si>
  <si>
    <t>Ms.  Elizabeth A. McGraw</t>
  </si>
  <si>
    <t>Ms.  Rebecca M. Beaulne</t>
  </si>
  <si>
    <t>Ms.  Ruth Lunz</t>
  </si>
  <si>
    <t>Mr.  Gregory S Kyle</t>
  </si>
  <si>
    <t>Ms.  Alexandra S Brackenwagen</t>
  </si>
  <si>
    <t>Ms.  Hillary Schmitt</t>
  </si>
  <si>
    <t>Ms.  Amy K. Borden</t>
  </si>
  <si>
    <t>Mr.  Scott McLean</t>
  </si>
  <si>
    <t>Mr.  John Regan</t>
  </si>
  <si>
    <t>Mr.  Maaikel Koenis</t>
  </si>
  <si>
    <t>Mr.  Daniel C Kittaka</t>
  </si>
  <si>
    <t>Mr.  Christopher S. Concannon</t>
  </si>
  <si>
    <t>Mr.  William R Johnson</t>
  </si>
  <si>
    <t>Ms.  Lyndsy Schultz</t>
  </si>
  <si>
    <t>Ms.  Jessica Brannigan</t>
  </si>
  <si>
    <t>Ms.  Anna Cavallo</t>
  </si>
  <si>
    <t>Mr.  Jordan Chang</t>
  </si>
  <si>
    <t>Mr.  Brian Axelrod</t>
  </si>
  <si>
    <t>Ms.  Katherine A Davenport</t>
  </si>
  <si>
    <t>Ms.  Melanie Roberge</t>
  </si>
  <si>
    <t>Ms.  Jessica Schmidt</t>
  </si>
  <si>
    <t>Mr.  Eric S Kosters</t>
  </si>
  <si>
    <t>Mr.  Joseph Dykes</t>
  </si>
  <si>
    <t>Ms.  Mary Velan</t>
  </si>
  <si>
    <t>Ms.  Natalie Goolik</t>
  </si>
  <si>
    <t>Mr.  Christopher Bain</t>
  </si>
  <si>
    <t>Ms.  Sonja Wieck</t>
  </si>
  <si>
    <t>Ms.  Alexandra Friel</t>
  </si>
  <si>
    <t>Ms.  Martha L. Santandreu</t>
  </si>
  <si>
    <t>Mr.  Ryan C. Johnson</t>
  </si>
  <si>
    <t>Mr.  Cliff Gerber</t>
  </si>
  <si>
    <t>Mr.  Blue Benadum</t>
  </si>
  <si>
    <t>Mr.  Jeffrey M Ragazzini</t>
  </si>
  <si>
    <t>Mr.  Andrew Kessinger</t>
  </si>
  <si>
    <t>Ms.  Julia Bezgin</t>
  </si>
  <si>
    <t>Mr.  Daniel Woldesilassie</t>
  </si>
  <si>
    <t>Mr.  Jaime Ruiz Herrero</t>
  </si>
  <si>
    <t>Mr.  Mohd Syahidan Bin Alias</t>
  </si>
  <si>
    <t>Mr.  Matthew Fischer-Daly</t>
  </si>
  <si>
    <t>Ms.  Elizabeth S. Pulliam</t>
  </si>
  <si>
    <t>Ms.  Katie Guisinger</t>
  </si>
  <si>
    <t>Ms.  Christi A. Arnerich</t>
  </si>
  <si>
    <t>Ms.  Sandra K. Lynch</t>
  </si>
  <si>
    <t>Ms.  Katharine Reilly</t>
  </si>
  <si>
    <t>Mr.  Jerome Nolette</t>
  </si>
  <si>
    <t>Ms.  Julia R Chabrier</t>
  </si>
  <si>
    <t>Mr.  Sean Henry Lee</t>
  </si>
  <si>
    <t>Ms.  Rachel A. Knotts</t>
  </si>
  <si>
    <t>Mr.  Jim Pultorak</t>
  </si>
  <si>
    <t>Mr.  Tim Maxon</t>
  </si>
  <si>
    <t>Ms.  Abby L. Kraai</t>
  </si>
  <si>
    <t>Mr.  Mark Larosa</t>
  </si>
  <si>
    <t>Mr.  Ali King</t>
  </si>
  <si>
    <t>Mr.  Joshua Haney</t>
  </si>
  <si>
    <t>Mr.  Pierre Boulay</t>
  </si>
  <si>
    <t>Ms.  Kate Peters</t>
  </si>
  <si>
    <t>Mr.  David Luy</t>
  </si>
  <si>
    <t>Ms.  Carla Fava</t>
  </si>
  <si>
    <t>Mr.  Alvaro Sr. Montoya</t>
  </si>
  <si>
    <t>Ms.  Hope Bain</t>
  </si>
  <si>
    <t>Mr.  Mark P. Albertson</t>
  </si>
  <si>
    <t>Ms.  Desiree Barger</t>
  </si>
  <si>
    <t>Mr.  Mario Jr. Fraioli</t>
  </si>
  <si>
    <t>Mr.  Lusapho April</t>
  </si>
  <si>
    <t>Ms.  Erin C. King</t>
  </si>
  <si>
    <t>Mr.  Alan F Talhelm</t>
  </si>
  <si>
    <t>Mr.  Ryan Regnier</t>
  </si>
  <si>
    <t>Ms.  Hope Treece</t>
  </si>
  <si>
    <t>Mr.  Josh Beisel</t>
  </si>
  <si>
    <t>Mr.  Jacob J Enke</t>
  </si>
  <si>
    <t>Mr.  Jose Tomas Ruiz-Tagle Barros</t>
  </si>
  <si>
    <t>Ms.  Mary Evan Ferrell</t>
  </si>
  <si>
    <t>Mr.  Justin K. Gates</t>
  </si>
  <si>
    <t>Mr.  Patrick Jeffers</t>
  </si>
  <si>
    <t>Mr.  Roman Sulhanek</t>
  </si>
  <si>
    <t>Mr.  David Ozahowski</t>
  </si>
  <si>
    <t>Ms.  Evelyn L Caron</t>
  </si>
  <si>
    <t>Mr.  Jim Fullarton</t>
  </si>
  <si>
    <t>Mr.  Matthew S Lindgren</t>
  </si>
  <si>
    <t>Mr.  Kenneth Akiha</t>
  </si>
  <si>
    <t>Ms.  Andrea Sweny</t>
  </si>
  <si>
    <t>Ms.  Kristina Tobin</t>
  </si>
  <si>
    <t>Ms.  Kristen Pedersen</t>
  </si>
  <si>
    <t>Mr.  Matthew Lynch</t>
  </si>
  <si>
    <t>Mrs.  Kathleen Keys</t>
  </si>
  <si>
    <t>Ms.  Lindsey Wilbur</t>
  </si>
  <si>
    <t>Mr.  Robert Ditota</t>
  </si>
  <si>
    <t>Ms.  Sarah E. Horbol</t>
  </si>
  <si>
    <t>Ms.  Flannery O'Rourke</t>
  </si>
  <si>
    <t>Mr.  John T Williams</t>
  </si>
  <si>
    <t>Mr.  Koji Murakami</t>
  </si>
  <si>
    <t>Ms.  Candice M Gagnon</t>
  </si>
  <si>
    <t>Mr.  Theodore A. Petermann</t>
  </si>
  <si>
    <t>Ms.  Lindy Graves - Rostro</t>
  </si>
  <si>
    <t>Mr.  Thomas Danielson</t>
  </si>
  <si>
    <t>Ms.  Holly Street</t>
  </si>
  <si>
    <t>Mr.  Matthew Buss</t>
  </si>
  <si>
    <t>Ms.  Meghan K Duffy</t>
  </si>
  <si>
    <t>Mr.  Fred Hines</t>
  </si>
  <si>
    <t>Mr.  Sebastian Castro</t>
  </si>
  <si>
    <t>Ms.  Laura Howell</t>
  </si>
  <si>
    <t>Ms.  Nicole Avery</t>
  </si>
  <si>
    <t>Ms.  Susan E Bohinski</t>
  </si>
  <si>
    <t>Ms.  Katy Kohls</t>
  </si>
  <si>
    <t>Mr.  Jordan Brietzke</t>
  </si>
  <si>
    <t>Ms.  Julie Albano</t>
  </si>
  <si>
    <t>Mr.  Evan P Rosendahl</t>
  </si>
  <si>
    <t>Mr.  Aaron K German</t>
  </si>
  <si>
    <t>Mr.  Elenilton V. Sr.</t>
  </si>
  <si>
    <t>Mr.  George M. V</t>
  </si>
  <si>
    <t>Mr.  J P. II</t>
  </si>
  <si>
    <t>Mr.  William D. Jr.</t>
  </si>
  <si>
    <t>Mr.  Francisco J. Sr.</t>
  </si>
  <si>
    <t>Mr.  William H. III</t>
  </si>
  <si>
    <t>Mr.  Edivaldo B. Sr.</t>
  </si>
  <si>
    <t>Mr.  Mauricio J. Sr.</t>
  </si>
  <si>
    <t>Mr.  Thomas R. Jr.</t>
  </si>
  <si>
    <t>Mr.  Peter W. Sr.</t>
  </si>
  <si>
    <t>Mr.  Jose Guadalupe P. Sr.</t>
  </si>
  <si>
    <t>Mr.  Peter J. Jr.</t>
  </si>
  <si>
    <t>Mr.  John I. Jr.</t>
  </si>
  <si>
    <t>Mr.  Daniel J. Jr.</t>
  </si>
  <si>
    <t>Mr.  Dan C. Jr.</t>
  </si>
  <si>
    <t>Mr.  Chuck W. Jr.</t>
  </si>
  <si>
    <t>Mr.  John K. Jr.</t>
  </si>
  <si>
    <t>Mr.  Juan D. Sr.</t>
  </si>
  <si>
    <t>Ms.  Kelly</t>
  </si>
  <si>
    <t>Mr.  Matthew D</t>
  </si>
  <si>
    <t>Mr.  Phil</t>
  </si>
  <si>
    <t>Ms.  Kelsey</t>
  </si>
  <si>
    <t>Ms.  Kristyn</t>
  </si>
  <si>
    <t>Mr.  Russell B.</t>
  </si>
  <si>
    <t>Mr.  Scott</t>
  </si>
  <si>
    <t>Mr.  Stephen</t>
  </si>
  <si>
    <t>Mr.  Patrick R.</t>
  </si>
  <si>
    <t>Ms.  Brooke N.</t>
  </si>
  <si>
    <t>Ms.  Paola Andrea</t>
  </si>
  <si>
    <t>Mr.  David</t>
  </si>
  <si>
    <t>Mr.  Wade</t>
  </si>
  <si>
    <t>Mr.  Franklin</t>
  </si>
  <si>
    <t>Ms.  Leilani M.</t>
  </si>
  <si>
    <t>Mr.  Philippe</t>
  </si>
  <si>
    <t>Ms.  Jennifer A.</t>
  </si>
  <si>
    <t>Ms.  Christina M.</t>
  </si>
  <si>
    <t>Mr.  Said Sr.</t>
  </si>
  <si>
    <t>Mr.  John</t>
  </si>
  <si>
    <t>Mr.  Myles</t>
  </si>
  <si>
    <t>Ms.  Madelyn C</t>
  </si>
  <si>
    <t>Ms.  Nicole</t>
  </si>
  <si>
    <t>Mr.  Eric A.</t>
  </si>
  <si>
    <t>Mr.  Emiliano I.</t>
  </si>
  <si>
    <t>Mr.  Adam</t>
  </si>
  <si>
    <t>Mr.  Zach</t>
  </si>
  <si>
    <t>Ms.  Stephanie W.</t>
  </si>
  <si>
    <t>Ms.  Natalie</t>
  </si>
  <si>
    <t>Ms.  Nicole J.</t>
  </si>
  <si>
    <t>Mr.  Jefferson D</t>
  </si>
  <si>
    <t>Mr.  Brendan D.</t>
  </si>
  <si>
    <t>Ms.  Courtney</t>
  </si>
  <si>
    <t>Ms.  Sydney L.</t>
  </si>
  <si>
    <t>Mr.  Julien</t>
  </si>
  <si>
    <t>Mr.  Ryan M</t>
  </si>
  <si>
    <t>Ms.  Anna H.</t>
  </si>
  <si>
    <t>Ms.  Samantha</t>
  </si>
  <si>
    <t>Mr.  Robert</t>
  </si>
  <si>
    <t>Mr.  James R.</t>
  </si>
  <si>
    <t>Ms.  Roseann</t>
  </si>
  <si>
    <t>Mr.  Spencer</t>
  </si>
  <si>
    <t>Mr.  Eric W</t>
  </si>
  <si>
    <t>Ms.  Brianna L</t>
  </si>
  <si>
    <t>Mr.  Thomas J.</t>
  </si>
  <si>
    <t>Ms.  Melissa L</t>
  </si>
  <si>
    <t>Mr.  Flavio</t>
  </si>
  <si>
    <t>Mr.  Ryan</t>
  </si>
  <si>
    <t>Mr.  Anthony J.</t>
  </si>
  <si>
    <t>Ms.  Alex</t>
  </si>
  <si>
    <t>Mr.  Andrew B</t>
  </si>
  <si>
    <t>Ms.  Dara E</t>
  </si>
  <si>
    <t>Ms.  Inna</t>
  </si>
  <si>
    <t>Mr.  Ari</t>
  </si>
  <si>
    <t>Ms.  Lindsey</t>
  </si>
  <si>
    <t>Mr.  Kenny</t>
  </si>
  <si>
    <t>Ms.  Louise</t>
  </si>
  <si>
    <t>Mr.  Cameron</t>
  </si>
  <si>
    <t>Ms.  Katie T.</t>
  </si>
  <si>
    <t>Ms.  Casey</t>
  </si>
  <si>
    <t>Mr.  Bryson C.</t>
  </si>
  <si>
    <t>Ms.  Megan</t>
  </si>
  <si>
    <t>Mr.  Daniel</t>
  </si>
  <si>
    <t>Mr.  Steven M.</t>
  </si>
  <si>
    <t>Ms.  Jenna L.</t>
  </si>
  <si>
    <t>Mr.  Freeman</t>
  </si>
  <si>
    <t>Mr.  Jeff</t>
  </si>
  <si>
    <t>Ms.  Maurya</t>
  </si>
  <si>
    <t>Ms.  Samantha C</t>
  </si>
  <si>
    <t>Ms.  Bethany A</t>
  </si>
  <si>
    <t>Mr.  Yves</t>
  </si>
  <si>
    <t>Ms.  Danielle</t>
  </si>
  <si>
    <t>Ms.  Julia</t>
  </si>
  <si>
    <t>Mr.  Joshua</t>
  </si>
  <si>
    <t>Ms.  Jennifer</t>
  </si>
  <si>
    <t>Ms.  Gwen M.</t>
  </si>
  <si>
    <t>Mr.  Patrick</t>
  </si>
  <si>
    <t>Ms.  Kate</t>
  </si>
  <si>
    <t>Mr.  Kevin</t>
  </si>
  <si>
    <t>Mr.  Stephen II</t>
  </si>
  <si>
    <t>Mr.  Philip</t>
  </si>
  <si>
    <t>Mr.  Brett A</t>
  </si>
  <si>
    <t>Ms.  Rebecca</t>
  </si>
  <si>
    <t>Ms.  Kelley</t>
  </si>
  <si>
    <t>Ms.  Abigail K</t>
  </si>
  <si>
    <t>Ms.  Hope</t>
  </si>
  <si>
    <t>Ms.  Elyse M.</t>
  </si>
  <si>
    <t>Mr.  Nicholas</t>
  </si>
  <si>
    <t>Mr.  Thomas</t>
  </si>
  <si>
    <t>Ms.  Pamela J.</t>
  </si>
  <si>
    <t>Ms.  Jessica</t>
  </si>
  <si>
    <t>Mr.  Ron N</t>
  </si>
  <si>
    <t>Mr.  Brian</t>
  </si>
  <si>
    <t>Ms.  Sari</t>
  </si>
  <si>
    <t>Mr.  Robert M.</t>
  </si>
  <si>
    <t>Mr.  Ricardo</t>
  </si>
  <si>
    <t>Mr.  Gedion</t>
  </si>
  <si>
    <t>Mr.  Mark</t>
  </si>
  <si>
    <t>Mr.  Gamini P.</t>
  </si>
  <si>
    <t>Ms.  Emily J</t>
  </si>
  <si>
    <t>Ms.  Amanda</t>
  </si>
  <si>
    <t>Mr.  Knox</t>
  </si>
  <si>
    <t>Ms.  Yianna</t>
  </si>
  <si>
    <t>Ms.  Roberta</t>
  </si>
  <si>
    <t>Mr.  Benjamin P.</t>
  </si>
  <si>
    <t>Mr.  Craig</t>
  </si>
  <si>
    <t>Ms.  Ann</t>
  </si>
  <si>
    <t>Mr.  Jamie P</t>
  </si>
  <si>
    <t>Mr.  Charlie</t>
  </si>
  <si>
    <t>Mr.  Meb</t>
  </si>
  <si>
    <t>Mr.  Aaqib L.</t>
  </si>
  <si>
    <t>Mr.  Craig A.</t>
  </si>
  <si>
    <t>Ms.  Meredith</t>
  </si>
  <si>
    <t>Mr.  Doug</t>
  </si>
  <si>
    <t>Ms.  Elizabeth J.</t>
  </si>
  <si>
    <t>Mr.  Matthew P</t>
  </si>
  <si>
    <t>Mr.  Guillermo Sr.</t>
  </si>
  <si>
    <t>Mr.  Ryan C</t>
  </si>
  <si>
    <t>Mr.  Dane</t>
  </si>
  <si>
    <t>Mr.  Jonas</t>
  </si>
  <si>
    <t>Mr.  George E</t>
  </si>
  <si>
    <t>Ms.  Sara S</t>
  </si>
  <si>
    <t>Mr.  Nick</t>
  </si>
  <si>
    <t>Mr.  Timothy</t>
  </si>
  <si>
    <t>Ms.  Becky L</t>
  </si>
  <si>
    <t>Ms.  Steph K.</t>
  </si>
  <si>
    <t>Ms.  Kristine B.</t>
  </si>
  <si>
    <t>Mr.  Taylor B</t>
  </si>
  <si>
    <t>Mr.  William</t>
  </si>
  <si>
    <t>Mr.  Sage</t>
  </si>
  <si>
    <t>Mr.  Cole</t>
  </si>
  <si>
    <t>Mr.  Jesse</t>
  </si>
  <si>
    <t>Ms.  Tammi J.</t>
  </si>
  <si>
    <t>Mr.  Matthew S.</t>
  </si>
  <si>
    <t>Mr.  Eric</t>
  </si>
  <si>
    <t>Ms.  Valeria R</t>
  </si>
  <si>
    <t>Mr.  Michael P</t>
  </si>
  <si>
    <t>Mr.  Rami</t>
  </si>
  <si>
    <t>Mr.  Denis</t>
  </si>
  <si>
    <t>Mr.  Brian E</t>
  </si>
  <si>
    <t>Ms.  Bonnie</t>
  </si>
  <si>
    <t>Mr.  Paul</t>
  </si>
  <si>
    <t>Mr.  Michael</t>
  </si>
  <si>
    <t>Mr.  Samuel</t>
  </si>
  <si>
    <t>Mr.  Matthew</t>
  </si>
  <si>
    <t>Ms.  Syndy</t>
  </si>
  <si>
    <t>Ms.  Aleksandra</t>
  </si>
  <si>
    <t>Mr.  Steeve T Sr.</t>
  </si>
  <si>
    <t>Mr.  Richard</t>
  </si>
  <si>
    <t>Mr.  Aaron T</t>
  </si>
  <si>
    <t>Mr.  Akira</t>
  </si>
  <si>
    <t>Mr.  Ben</t>
  </si>
  <si>
    <t>Ms.  Jana</t>
  </si>
  <si>
    <t>Mr.  Jay T.</t>
  </si>
  <si>
    <t>Ms.  Marie-Helene</t>
  </si>
  <si>
    <t>Ms.  Bret R</t>
  </si>
  <si>
    <t>Mr.  Gardner L</t>
  </si>
  <si>
    <t>Mr.  Bobby</t>
  </si>
  <si>
    <t>Ms.  Lina</t>
  </si>
  <si>
    <t>Mr.  Zebulon</t>
  </si>
  <si>
    <t>Mr.  Greg</t>
  </si>
  <si>
    <t>Ms.  Kelsey A.</t>
  </si>
  <si>
    <t>Ms.  Bronwen L</t>
  </si>
  <si>
    <t>Ms.  Manuela</t>
  </si>
  <si>
    <t>Ms.  Jennifer L</t>
  </si>
  <si>
    <t>Ms.  Abby W.</t>
  </si>
  <si>
    <t>Mr.  Tyler</t>
  </si>
  <si>
    <t>Mr.  Jeffrey</t>
  </si>
  <si>
    <t>Mr.  Matthew F</t>
  </si>
  <si>
    <t>Mr.  Ryan J.</t>
  </si>
  <si>
    <t>Ms.  Amy</t>
  </si>
  <si>
    <t>Mr.  Andrew P</t>
  </si>
  <si>
    <t>Ms.  Sarah</t>
  </si>
  <si>
    <t>Ms.  Lara</t>
  </si>
  <si>
    <t>Mr.  Sebastien</t>
  </si>
  <si>
    <t>Mr.  Padraig</t>
  </si>
  <si>
    <t>Ms.  Heather</t>
  </si>
  <si>
    <t>Mr.  Jorge</t>
  </si>
  <si>
    <t>Mr.  Jack R</t>
  </si>
  <si>
    <t>Mr.  Felix</t>
  </si>
  <si>
    <t>Mr.  Christopher C</t>
  </si>
  <si>
    <t>Ms.  Jill</t>
  </si>
  <si>
    <t>Mr.  Alejandro</t>
  </si>
  <si>
    <t>Mr.  Ian E.</t>
  </si>
  <si>
    <t>Mr.  Hector Sr.</t>
  </si>
  <si>
    <t>Mr.  Matt</t>
  </si>
  <si>
    <t>Ms.  Elizabeth H</t>
  </si>
  <si>
    <t>Ms.  Grace</t>
  </si>
  <si>
    <t>Mr.  Jaime</t>
  </si>
  <si>
    <t>Ms.  Calesse</t>
  </si>
  <si>
    <t>Ms.  Kate L</t>
  </si>
  <si>
    <t>Mr.  Sergey</t>
  </si>
  <si>
    <t>Mr.  Timothy V</t>
  </si>
  <si>
    <t>Mr.  Andrew S</t>
  </si>
  <si>
    <t>Mr.  Lawrence</t>
  </si>
  <si>
    <t>Mr.  Alex</t>
  </si>
  <si>
    <t>Mr.  Gavin M.</t>
  </si>
  <si>
    <t>Mr.  Rick E</t>
  </si>
  <si>
    <t>Ms.  Andrea H.</t>
  </si>
  <si>
    <t>Mr.  Anthony S</t>
  </si>
  <si>
    <t>Mr.  Erik</t>
  </si>
  <si>
    <t>Ms.  Kiley D</t>
  </si>
  <si>
    <t>Mr.  Chris</t>
  </si>
  <si>
    <t>Ms.  Marian M.</t>
  </si>
  <si>
    <t>Mr.  Jeremy</t>
  </si>
  <si>
    <t>Ms.  Allison H</t>
  </si>
  <si>
    <t>Ms.  Elizabeth</t>
  </si>
  <si>
    <t>Mr.  Andrew</t>
  </si>
  <si>
    <t>Mr.  Anders J</t>
  </si>
  <si>
    <t>Mr.  Sean</t>
  </si>
  <si>
    <t>Mr.  Brian M.</t>
  </si>
  <si>
    <t>Ms.  Susannah</t>
  </si>
  <si>
    <t>Mr.  Randy</t>
  </si>
  <si>
    <t>Mr.  Leslie</t>
  </si>
  <si>
    <t>Ms.  Brittany L.</t>
  </si>
  <si>
    <t>Ms.  Cassie J.</t>
  </si>
  <si>
    <t>Mr.  Peter W</t>
  </si>
  <si>
    <t>Mr.  Douglas</t>
  </si>
  <si>
    <t>Mr.  Dan</t>
  </si>
  <si>
    <t>Mr.  Dan M.</t>
  </si>
  <si>
    <t>Mr.  Eric L.</t>
  </si>
  <si>
    <t>Mr.  Les J</t>
  </si>
  <si>
    <t>Ms.  Stephanie</t>
  </si>
  <si>
    <t>Ms.  Melissa Y</t>
  </si>
  <si>
    <t>Ms.  Ashley</t>
  </si>
  <si>
    <t>Ms.  Stephanie M.</t>
  </si>
  <si>
    <t>Ms.  Kylie</t>
  </si>
  <si>
    <t>Ms.  Carrie</t>
  </si>
  <si>
    <t>Mr.  Zach S</t>
  </si>
  <si>
    <t>Mr.  Alan</t>
  </si>
  <si>
    <t>Mr.  Nate</t>
  </si>
  <si>
    <t>Mr.  Jesse G.</t>
  </si>
  <si>
    <t>Mr.  Jason</t>
  </si>
  <si>
    <t>Ms.  Megan A.</t>
  </si>
  <si>
    <t>Mr.  Luke M</t>
  </si>
  <si>
    <t>Ms.  Jacy D</t>
  </si>
  <si>
    <t>Mr.  Simon G.</t>
  </si>
  <si>
    <t>Ms.  Ainsley E.</t>
  </si>
  <si>
    <t>Ms.  Erica A.</t>
  </si>
  <si>
    <t>Ms.  Erin C.</t>
  </si>
  <si>
    <t>Ms.  Adrienne</t>
  </si>
  <si>
    <t>Mr.  Yutaka</t>
  </si>
  <si>
    <t>Mr.  Tyler M</t>
  </si>
  <si>
    <t>Mr.  Andrew B.</t>
  </si>
  <si>
    <t>Mr.  James</t>
  </si>
  <si>
    <t>Mr.  Shawn P.</t>
  </si>
  <si>
    <t>Mr.  Nathaniel</t>
  </si>
  <si>
    <t>Mr.  Kevin D.</t>
  </si>
  <si>
    <t>Ms.  Joan</t>
  </si>
  <si>
    <t>Mr.  Christopher A</t>
  </si>
  <si>
    <t>Ms.  Kacy L.</t>
  </si>
  <si>
    <t>Mr.  Benjamin H.</t>
  </si>
  <si>
    <t>Mr.  Xaviour J.</t>
  </si>
  <si>
    <t>Mr.  Michael T.</t>
  </si>
  <si>
    <t>Mr.  Bradley</t>
  </si>
  <si>
    <t>Ms.  Andrea</t>
  </si>
  <si>
    <t>Ms.  Nancy M</t>
  </si>
  <si>
    <t>Mr.  Lee</t>
  </si>
  <si>
    <t>Mr.  Erik T.</t>
  </si>
  <si>
    <t>Mr.  Rod W</t>
  </si>
  <si>
    <t>Mr.  Joey</t>
  </si>
  <si>
    <t>Ms.  Hillary L.</t>
  </si>
  <si>
    <t>Mr.  Eric J</t>
  </si>
  <si>
    <t>Mr.  Nicolas</t>
  </si>
  <si>
    <t>Mr.  Marcel</t>
  </si>
  <si>
    <t>Ms.  Ashley N</t>
  </si>
  <si>
    <t>Mr.  Evan D</t>
  </si>
  <si>
    <t>Ms.  Krisana</t>
  </si>
  <si>
    <t>Mr.  Kyle</t>
  </si>
  <si>
    <t>Mr.  Martin A.</t>
  </si>
  <si>
    <t>Ms.  Stacey</t>
  </si>
  <si>
    <t>Ms.  Christine</t>
  </si>
  <si>
    <t>Ms.  Sarah C.</t>
  </si>
  <si>
    <t>Mr.  Jason W</t>
  </si>
  <si>
    <t>Ms.  Michele</t>
  </si>
  <si>
    <t>Ms.  Nikki</t>
  </si>
  <si>
    <t>Mr.  Philip J.</t>
  </si>
  <si>
    <t>Mr.  Bryan L</t>
  </si>
  <si>
    <t>Mr.  Timothy F</t>
  </si>
  <si>
    <t>Ms.  Angielyn M</t>
  </si>
  <si>
    <t>Ms.  Jeanie M.</t>
  </si>
  <si>
    <t>Mr.  Aliaksandr</t>
  </si>
  <si>
    <t>Mr.  Jason M.</t>
  </si>
  <si>
    <t>Ms.  Sheera K</t>
  </si>
  <si>
    <t>Ms.  Janice</t>
  </si>
  <si>
    <t>Mr.  Timothy G.</t>
  </si>
  <si>
    <t>Mr.  Alan R</t>
  </si>
  <si>
    <t>Ms.  Marie-France</t>
  </si>
  <si>
    <t>Mr.  Erik F.</t>
  </si>
  <si>
    <t>Mr.  Anthony</t>
  </si>
  <si>
    <t>Mr.  Yu</t>
  </si>
  <si>
    <t>Mr.  Caleb N</t>
  </si>
  <si>
    <t>Ms.  Angela R</t>
  </si>
  <si>
    <t>Mr.  Keith J</t>
  </si>
  <si>
    <t>Ms.  Emma</t>
  </si>
  <si>
    <t>Mr.  Nathan A</t>
  </si>
  <si>
    <t>Ms.  Kathryn</t>
  </si>
  <si>
    <t>Ms.  Elizabeth H.</t>
  </si>
  <si>
    <t>Ms.  Cheryl A</t>
  </si>
  <si>
    <t>Ms.  Kimberly A</t>
  </si>
  <si>
    <t>Ms.  Cynthia</t>
  </si>
  <si>
    <t>Mr.  Bruce</t>
  </si>
  <si>
    <t>Ms.  Allison</t>
  </si>
  <si>
    <t>Ms.  Gabriela</t>
  </si>
  <si>
    <t>Ms.  Sharon</t>
  </si>
  <si>
    <t>Mr.  Jason A</t>
  </si>
  <si>
    <t>Ms.  Chelsey C.</t>
  </si>
  <si>
    <t>Mr.  Devon A.</t>
  </si>
  <si>
    <t>Ms.  Joni L</t>
  </si>
  <si>
    <t>Mr.  Colin</t>
  </si>
  <si>
    <t>Ms.  Rachael</t>
  </si>
  <si>
    <t>Ms.  Maricela</t>
  </si>
  <si>
    <t>Ms.  Marie</t>
  </si>
  <si>
    <t>Mr.  Frank</t>
  </si>
  <si>
    <t>Mr.  Jeffry</t>
  </si>
  <si>
    <t>Mr.  Mike</t>
  </si>
  <si>
    <t>Mr.  Rick</t>
  </si>
  <si>
    <t>Mr.  Pierre-Michel</t>
  </si>
  <si>
    <t>Mr.  Brian L.</t>
  </si>
  <si>
    <t>Ms.  Morgan M.</t>
  </si>
  <si>
    <t>Ms.  Caroline</t>
  </si>
  <si>
    <t>Mr.  Drew T.</t>
  </si>
  <si>
    <t>Mr.  Austin W</t>
  </si>
  <si>
    <t>Ms.  Berenice</t>
  </si>
  <si>
    <t>Mr.  Kenneth A</t>
  </si>
  <si>
    <t>Mr.  Miguel</t>
  </si>
  <si>
    <t>Ms.  Hadley T.</t>
  </si>
  <si>
    <t>Mr.  Taylor</t>
  </si>
  <si>
    <t>Ms.  Tenielle M</t>
  </si>
  <si>
    <t>Ms.  Nora P</t>
  </si>
  <si>
    <t>Mr.  Zachary</t>
  </si>
  <si>
    <t>Ms.  Alyssa K.</t>
  </si>
  <si>
    <t>Mr.  Dante</t>
  </si>
  <si>
    <t>Ms.  Sara E.</t>
  </si>
  <si>
    <t>Mr.  Andrew D.</t>
  </si>
  <si>
    <t>Mr.  Joel D</t>
  </si>
  <si>
    <t>Ms.  Michelle</t>
  </si>
  <si>
    <t>Mr.  Michael J.</t>
  </si>
  <si>
    <t>Ms.  Summer B.</t>
  </si>
  <si>
    <t>Mr.  Edward</t>
  </si>
  <si>
    <t>Ms.  Kacee</t>
  </si>
  <si>
    <t>Mr.  Dave</t>
  </si>
  <si>
    <t>Ms.  Maryanna</t>
  </si>
  <si>
    <t>Ms.  Jessica H.</t>
  </si>
  <si>
    <t>Ms.  Deanna</t>
  </si>
  <si>
    <t>Mr.  Peter</t>
  </si>
  <si>
    <t>Ms.  Elizabeth M.</t>
  </si>
  <si>
    <t>Mr.  Gregory</t>
  </si>
  <si>
    <t>Ms.  Sarah E.</t>
  </si>
  <si>
    <t>Ms.  Anne Elise</t>
  </si>
  <si>
    <t>Mr.  Christopher R</t>
  </si>
  <si>
    <t>Mr.  Elliot</t>
  </si>
  <si>
    <t>Mr.  Christopher D.</t>
  </si>
  <si>
    <t>Mr.  Corey</t>
  </si>
  <si>
    <t>Mr.  Patrick D.</t>
  </si>
  <si>
    <t>Mr.  Anthony D.</t>
  </si>
  <si>
    <t>Ms.  Melissa</t>
  </si>
  <si>
    <t>Ms.  Raven</t>
  </si>
  <si>
    <t>Mr.  Christopher</t>
  </si>
  <si>
    <t>Ms.  Kendra A</t>
  </si>
  <si>
    <t>Ms.  Jordan</t>
  </si>
  <si>
    <t>Mr.  Nils</t>
  </si>
  <si>
    <t>Ms.  Angela</t>
  </si>
  <si>
    <t>Ms.  Caitlin O.</t>
  </si>
  <si>
    <t>Ms.  Tracy M</t>
  </si>
  <si>
    <t>Mr.  Dustin M.</t>
  </si>
  <si>
    <t>Ms.  Jenny</t>
  </si>
  <si>
    <t>Ms.  Emily</t>
  </si>
  <si>
    <t>Ms.  Fabienne</t>
  </si>
  <si>
    <t>Mr.  Jordan</t>
  </si>
  <si>
    <t>Ms.  Taryn L</t>
  </si>
  <si>
    <t>Ms.  Temima</t>
  </si>
  <si>
    <t>Ms.  Serena M.</t>
  </si>
  <si>
    <t>Ms.  Victoria M.</t>
  </si>
  <si>
    <t>Ms.  Phoebe</t>
  </si>
  <si>
    <t>Mr.  Nicholas D</t>
  </si>
  <si>
    <t>Mr.  Christian</t>
  </si>
  <si>
    <t>Mr.  Jonathon S.</t>
  </si>
  <si>
    <t>Mr.  Joshua D.</t>
  </si>
  <si>
    <t>Ms.  Nichole</t>
  </si>
  <si>
    <t>Ms.  Denise M</t>
  </si>
  <si>
    <t>Mr.  Peter R.</t>
  </si>
  <si>
    <t>Mr.  Johnson K</t>
  </si>
  <si>
    <t>Ms.  Katherine</t>
  </si>
  <si>
    <t>Ms.  Lynda</t>
  </si>
  <si>
    <t>Ms.  Linnea C.</t>
  </si>
  <si>
    <t>Mr.  Massimiliano A.</t>
  </si>
  <si>
    <t>Mr.  James M.</t>
  </si>
  <si>
    <t>Ms.  Lauren</t>
  </si>
  <si>
    <t>Ms.  Michele V.</t>
  </si>
  <si>
    <t>Mr.  Xiao</t>
  </si>
  <si>
    <t>Ms.  Harper L</t>
  </si>
  <si>
    <t>Mr.  Wilson</t>
  </si>
  <si>
    <t>Mr.  Shizhong</t>
  </si>
  <si>
    <t>Ms.  Marie-Claire</t>
  </si>
  <si>
    <t>Mr.  Todd J.</t>
  </si>
  <si>
    <t>Ms.  Carolyn</t>
  </si>
  <si>
    <t>Ms.  Marissa D</t>
  </si>
  <si>
    <t>Mr.  Jean Luc</t>
  </si>
  <si>
    <t>Mr.  Jim</t>
  </si>
  <si>
    <t>Mr.  Matthew T</t>
  </si>
  <si>
    <t>Ms.  Rachel L.</t>
  </si>
  <si>
    <t>Ms.  Corina</t>
  </si>
  <si>
    <t>Mr.  Guannan</t>
  </si>
  <si>
    <t>Mr.  Don</t>
  </si>
  <si>
    <t>Mr.  Gavin V.</t>
  </si>
  <si>
    <t>Mr.  Jatin</t>
  </si>
  <si>
    <t>Ms.  Angela M.</t>
  </si>
  <si>
    <t>Mr.  Blake K.</t>
  </si>
  <si>
    <t>Mr.  Brian T.</t>
  </si>
  <si>
    <t>Mr.  Damon</t>
  </si>
  <si>
    <t>Mr.  Malcolm J.</t>
  </si>
  <si>
    <t>Ms.  Margaret B.</t>
  </si>
  <si>
    <t>Ms.  Helen</t>
  </si>
  <si>
    <t>Mrs.  Tara R</t>
  </si>
  <si>
    <t>Ms.  Kristin</t>
  </si>
  <si>
    <t>Ms.  Carly E</t>
  </si>
  <si>
    <t>Ms.  Lisa</t>
  </si>
  <si>
    <t>Mr.  Louis</t>
  </si>
  <si>
    <t>Mr.  Brian R.</t>
  </si>
  <si>
    <t>Mrs.  Jessica</t>
  </si>
  <si>
    <t>Ms.  Dawn M.</t>
  </si>
  <si>
    <t>Ms.  Karen</t>
  </si>
  <si>
    <t>Mr.  Mathieu</t>
  </si>
  <si>
    <t>Mr.  Kam S.</t>
  </si>
  <si>
    <t>Ms.  Valerie A</t>
  </si>
  <si>
    <t>Ms.  Freya R</t>
  </si>
  <si>
    <t>Ms.  Kara</t>
  </si>
  <si>
    <t>Mr.  Bradley A.</t>
  </si>
  <si>
    <t>Mr.  Brendan</t>
  </si>
  <si>
    <t>Ms.  Amber R</t>
  </si>
  <si>
    <t>Mr.  Sean K</t>
  </si>
  <si>
    <t>Mr.  Brady</t>
  </si>
  <si>
    <t>Ms.  Kameko</t>
  </si>
  <si>
    <t>Mr.  Jeremy A</t>
  </si>
  <si>
    <t>Ms.  Sabine</t>
  </si>
  <si>
    <t>Mr.  Joseph</t>
  </si>
  <si>
    <t>Ms.  Karolyn A</t>
  </si>
  <si>
    <t>Mrs.  Anita L.</t>
  </si>
  <si>
    <t>Ms.  Laura E.</t>
  </si>
  <si>
    <t>Mrs.  Ashley E</t>
  </si>
  <si>
    <t>Mr.  Dan R.</t>
  </si>
  <si>
    <t>Ms.  Katie</t>
  </si>
  <si>
    <t>Ms.  Cathryn</t>
  </si>
  <si>
    <t>Ms.  Shauna</t>
  </si>
  <si>
    <t>Mr.  Terence</t>
  </si>
  <si>
    <t>Ms.  Marisol</t>
  </si>
  <si>
    <t>Ms.  Lindsay</t>
  </si>
  <si>
    <t>Mr.  Brett W</t>
  </si>
  <si>
    <t>Mr.  Dylan J</t>
  </si>
  <si>
    <t>Ms.  Brooke M.</t>
  </si>
  <si>
    <t>Mrs.  Teiko</t>
  </si>
  <si>
    <t>Ms.  Johannah</t>
  </si>
  <si>
    <t>Mr.  Ryan A</t>
  </si>
  <si>
    <t>Mr.  Andres Sr.</t>
  </si>
  <si>
    <t>Mr.  Bryan</t>
  </si>
  <si>
    <t>Ms.  Lizette</t>
  </si>
  <si>
    <t>Mr.  Jeb</t>
  </si>
  <si>
    <t>Ms.  Amy R.</t>
  </si>
  <si>
    <t>Mr.  Mike G</t>
  </si>
  <si>
    <t>Ms.  Simonezitrone Sr.</t>
  </si>
  <si>
    <t>Ms.  Angela M</t>
  </si>
  <si>
    <t>Mr.  Oz</t>
  </si>
  <si>
    <t>Ms.  Erin M.</t>
  </si>
  <si>
    <t>Mr.  Bobby E.</t>
  </si>
  <si>
    <t>Mr.  Daniel P.</t>
  </si>
  <si>
    <t>Ms.  Marie E.</t>
  </si>
  <si>
    <t>Mrs.  Katie</t>
  </si>
  <si>
    <t>Mr.  Eric D</t>
  </si>
  <si>
    <t>Ms.  Tara</t>
  </si>
  <si>
    <t>Ms.  Haley L</t>
  </si>
  <si>
    <t>Ms.  Kayla B.</t>
  </si>
  <si>
    <t>Mr.  Mark D.</t>
  </si>
  <si>
    <t>Mr.  Patrick J.</t>
  </si>
  <si>
    <t>Mrs.  Beth A</t>
  </si>
  <si>
    <t>Mr.  Jason R</t>
  </si>
  <si>
    <t>Mr.  Yoshinori</t>
  </si>
  <si>
    <t>Ms.  Adrienne G.</t>
  </si>
  <si>
    <t>Mrs.  Meredith</t>
  </si>
  <si>
    <t>Mr.  Junyong</t>
  </si>
  <si>
    <t>Ms.  Kristen A.</t>
  </si>
  <si>
    <t>Ms.  Maria I.</t>
  </si>
  <si>
    <t>Mr.  Jonathan</t>
  </si>
  <si>
    <t>Ms.  Benjamina C</t>
  </si>
  <si>
    <t>Ms.  Alison B</t>
  </si>
  <si>
    <t>Ms.  Alexis N</t>
  </si>
  <si>
    <t>Ms.  Shanda L</t>
  </si>
  <si>
    <t>Mrs.  Lacey</t>
  </si>
  <si>
    <t>Ms.  Laurette</t>
  </si>
  <si>
    <t>Ms.  Mary</t>
  </si>
  <si>
    <t>Ms.  Kati A</t>
  </si>
  <si>
    <t>Mrs.  Kelly J</t>
  </si>
  <si>
    <t>Ms.  Greer D</t>
  </si>
  <si>
    <t>Mr.  Brent</t>
  </si>
  <si>
    <t>Mr.  Eugene M</t>
  </si>
  <si>
    <t>Ms.  Erin D</t>
  </si>
  <si>
    <t>Ms.  Kamilla</t>
  </si>
  <si>
    <t>Mr.  Wayne I.</t>
  </si>
  <si>
    <t>Ms.  Tracy L</t>
  </si>
  <si>
    <t>Mrs.  Heather</t>
  </si>
  <si>
    <t>Mrs.  Megan C</t>
  </si>
  <si>
    <t>Mr.  Greg D.</t>
  </si>
  <si>
    <t>Mr.  Steven L.</t>
  </si>
  <si>
    <t>Mr.  Gianfilippo</t>
  </si>
  <si>
    <t>Mr.  Hector</t>
  </si>
  <si>
    <t>Mr.  Mark W.</t>
  </si>
  <si>
    <t>Mrs.  Aubri</t>
  </si>
  <si>
    <t>Mr.  Justin</t>
  </si>
  <si>
    <t>Ms.  Erika M.</t>
  </si>
  <si>
    <t>Mr.  Daniel G.</t>
  </si>
  <si>
    <t>Ms.  Devin C.</t>
  </si>
  <si>
    <t>Ms.  Louise A</t>
  </si>
  <si>
    <t>Mrs.  Sarah</t>
  </si>
  <si>
    <t>Ms.  Jessica L</t>
  </si>
  <si>
    <t>Mrs.  Kristina K</t>
  </si>
  <si>
    <t>Mr.  Brad</t>
  </si>
  <si>
    <t>Ms.  Margaret O</t>
  </si>
  <si>
    <t>Mr.  Craig R.</t>
  </si>
  <si>
    <t>Mr.  Simo</t>
  </si>
  <si>
    <t>Mr.  Christopher J</t>
  </si>
  <si>
    <t>Mr.  Mario Sr.</t>
  </si>
  <si>
    <t>Mrs.  Meghann R.</t>
  </si>
  <si>
    <t>Mr.  Scott M</t>
  </si>
  <si>
    <t>Ms.  Caitlin E.</t>
  </si>
  <si>
    <t>Mrs.  Samantha A.</t>
  </si>
  <si>
    <t>Mrs.  Maya</t>
  </si>
  <si>
    <t>Mr.  Zachary T</t>
  </si>
  <si>
    <t>Mrs.  Hilda</t>
  </si>
  <si>
    <t>Ms.  Bethany N.</t>
  </si>
  <si>
    <t>Mrs.  Sandra H</t>
  </si>
  <si>
    <t>Mr.  Takuo</t>
  </si>
  <si>
    <t>Ms.  Kelly A.</t>
  </si>
  <si>
    <t>Mr.  Benoit</t>
  </si>
  <si>
    <t>Ms.  Jessica A.</t>
  </si>
  <si>
    <t>Ms.  Monica K</t>
  </si>
  <si>
    <t>Mr.  Kevin L</t>
  </si>
  <si>
    <t>Ms.  Della</t>
  </si>
  <si>
    <t>Ms.  Victoria</t>
  </si>
  <si>
    <t>Mr.  Tasos</t>
  </si>
  <si>
    <t>Mr.  Lukasz</t>
  </si>
  <si>
    <t>Mr.  Matthew A.</t>
  </si>
  <si>
    <t>Ms.  Meta</t>
  </si>
  <si>
    <t>Ms.  Rachel E</t>
  </si>
  <si>
    <t>Ms.  Angelica</t>
  </si>
  <si>
    <t>Ms.  Kathleen</t>
  </si>
  <si>
    <t>Mr.  Gabriel D.</t>
  </si>
  <si>
    <t>Mr.  Jeff T</t>
  </si>
  <si>
    <t>Mr.  Neil D</t>
  </si>
  <si>
    <t>Ms.  Katherine L.</t>
  </si>
  <si>
    <t>Ms.  Ariel E</t>
  </si>
  <si>
    <t>Mr.  Christopher P</t>
  </si>
  <si>
    <t>Mrs.  Erin M.</t>
  </si>
  <si>
    <t>Mrs.  Molly K.</t>
  </si>
  <si>
    <t>Mrs.  Jennifer</t>
  </si>
  <si>
    <t>Mr.  Daniel M</t>
  </si>
  <si>
    <t>Ms.  Hiruni</t>
  </si>
  <si>
    <t>Ms.  Reina H.</t>
  </si>
  <si>
    <t>Ms.  Kristi</t>
  </si>
  <si>
    <t>Ms.  Meredith L.</t>
  </si>
  <si>
    <t>Ms.  Jocelyn</t>
  </si>
  <si>
    <t>Mrs.  Daphne</t>
  </si>
  <si>
    <t>Ms.  Margaret E</t>
  </si>
  <si>
    <t>Mr.  Mario J.</t>
  </si>
  <si>
    <t>Ms.  Carolina</t>
  </si>
  <si>
    <t>Mrs.  Jenny K.</t>
  </si>
  <si>
    <t>Ms.  Kimberly D</t>
  </si>
  <si>
    <t>Mr.  Marc-Olivier</t>
  </si>
  <si>
    <t>Mr.  Russell J</t>
  </si>
  <si>
    <t>Ms.  Karine</t>
  </si>
  <si>
    <t>Ms.  Cheryl</t>
  </si>
  <si>
    <t>Ms.  Allison M.</t>
  </si>
  <si>
    <t>Ms.  Adriana</t>
  </si>
  <si>
    <t>Ms.  Miranda J</t>
  </si>
  <si>
    <t>Mr.  Roberto</t>
  </si>
  <si>
    <t>Mrs.  Rebecca B.</t>
  </si>
  <si>
    <t>Ms.  Tiffany</t>
  </si>
  <si>
    <t>Mr.  Alexander</t>
  </si>
  <si>
    <t>Mr.  Rich M</t>
  </si>
  <si>
    <t>Mr.  Aaron C</t>
  </si>
  <si>
    <t>Ms.  Maria M</t>
  </si>
  <si>
    <t>Mr.  Daven W</t>
  </si>
  <si>
    <t>Mrs.  Brianne</t>
  </si>
  <si>
    <t>Mr.  Hiroki</t>
  </si>
  <si>
    <t>Mr.  Anders</t>
  </si>
  <si>
    <t>Ms.  Candace N</t>
  </si>
  <si>
    <t>Mr.  Bruno F.</t>
  </si>
  <si>
    <t>Mrs.  Sally</t>
  </si>
  <si>
    <t>Ms.  Meaghan J</t>
  </si>
  <si>
    <t>Ms.  Rina</t>
  </si>
  <si>
    <t>Ms.  Kristin P.</t>
  </si>
  <si>
    <t>Mr.  Albert</t>
  </si>
  <si>
    <t>Mrs.  Ashley</t>
  </si>
  <si>
    <t>Mrs.  Shannon L</t>
  </si>
  <si>
    <t>Ms.  Amy B</t>
  </si>
  <si>
    <t>Ms.  A Danielle</t>
  </si>
  <si>
    <t>Mr.  Conrad F</t>
  </si>
  <si>
    <t>Mr.  Josh</t>
  </si>
  <si>
    <t>Mr.  Maxime</t>
  </si>
  <si>
    <t>Ms.  Laura P.</t>
  </si>
  <si>
    <t>Mrs.  Lisa</t>
  </si>
  <si>
    <t>Mr.  Adam S</t>
  </si>
  <si>
    <t>Mr.  Armando</t>
  </si>
  <si>
    <t>Ms.  Dana</t>
  </si>
  <si>
    <t>Mr.  Benjamin</t>
  </si>
  <si>
    <t>Ms.  Tanya</t>
  </si>
  <si>
    <t>Ms.  Tracy</t>
  </si>
  <si>
    <t>Ms.  Emily S</t>
  </si>
  <si>
    <t>Ms.  Kelly R</t>
  </si>
  <si>
    <t>Mr.  Bruce A Jr.</t>
  </si>
  <si>
    <t>Mr.  Cary J</t>
  </si>
  <si>
    <t>Mrs.  Jill M</t>
  </si>
  <si>
    <t>Mr.  Michael E.</t>
  </si>
  <si>
    <t>Mrs.  Lauren</t>
  </si>
  <si>
    <t>Mrs.  Kathryn E</t>
  </si>
  <si>
    <t>Ms.  Polly</t>
  </si>
  <si>
    <t>Mr.  Mark H.</t>
  </si>
  <si>
    <t>Mrs.  Jessie M.</t>
  </si>
  <si>
    <t>Ms.  Caroline S.</t>
  </si>
  <si>
    <t>Ms.  Nuta</t>
  </si>
  <si>
    <t>Ms.  Margie</t>
  </si>
  <si>
    <t>Mrs.  Heidi</t>
  </si>
  <si>
    <t>Mr.  Diego J</t>
  </si>
  <si>
    <t>Mr.  Enrique M Sr.</t>
  </si>
  <si>
    <t>Mr.  Filip</t>
  </si>
  <si>
    <t>Ms.  Rosemary E.</t>
  </si>
  <si>
    <t>Ms.  Jennifer R.</t>
  </si>
  <si>
    <t>Ms.  Lauren E</t>
  </si>
  <si>
    <t>Ms.  Ashley M.</t>
  </si>
  <si>
    <t>Ms.  Alison R.</t>
  </si>
  <si>
    <t>Ms.  Madeleine</t>
  </si>
  <si>
    <t>Ms.  Kimberly</t>
  </si>
  <si>
    <t>Mr.  Jeremy J</t>
  </si>
  <si>
    <t>Mrs.  Amy L.</t>
  </si>
  <si>
    <t>Mrs.  Karen L.</t>
  </si>
  <si>
    <t>Ms.  Tennille</t>
  </si>
  <si>
    <t>Mr.  Justin E</t>
  </si>
  <si>
    <t>Ms.  Shalane</t>
  </si>
  <si>
    <t>Ms.  Jessica N.</t>
  </si>
  <si>
    <t>Ms.  Melanie</t>
  </si>
  <si>
    <t>Ms.  Ruth Angelica</t>
  </si>
  <si>
    <t>Ms.  Una M</t>
  </si>
  <si>
    <t>Ms.  Taralyn</t>
  </si>
  <si>
    <t>Mr.  James A</t>
  </si>
  <si>
    <t>Mr.  Ning</t>
  </si>
  <si>
    <t>Mr.  Joel</t>
  </si>
  <si>
    <t>Ms.  Brittney</t>
  </si>
  <si>
    <t>Mrs.  Sheila</t>
  </si>
  <si>
    <t>Mr.  Koji</t>
  </si>
  <si>
    <t>Mrs.  Colleen M</t>
  </si>
  <si>
    <t>Ms.  Deedra G.</t>
  </si>
  <si>
    <t>Mrs.  Kulwinder</t>
  </si>
  <si>
    <t>Ms.  Ann M.</t>
  </si>
  <si>
    <t>Ms.  Sarah E</t>
  </si>
  <si>
    <t>Ms.  Apryl J.</t>
  </si>
  <si>
    <t>Mrs.  Ilana</t>
  </si>
  <si>
    <t>Mr.  Karl</t>
  </si>
  <si>
    <t>Mr.  Will</t>
  </si>
  <si>
    <t>Mr.  Bradley D</t>
  </si>
  <si>
    <t>Mrs.  Amy M</t>
  </si>
  <si>
    <t>Mr.  Matthew W.</t>
  </si>
  <si>
    <t>Mr.  Tom</t>
  </si>
  <si>
    <t>Mr.  Wayne A.</t>
  </si>
  <si>
    <t>Mr.  Nobuyori</t>
  </si>
  <si>
    <t>Mr.  Rich</t>
  </si>
  <si>
    <t>Mr.  Marcos S</t>
  </si>
  <si>
    <t>Mr.  Andy</t>
  </si>
  <si>
    <t>Mr.  Marcus B</t>
  </si>
  <si>
    <t>Mr.  Thomas K.</t>
  </si>
  <si>
    <t>Mr.  Geoff</t>
  </si>
  <si>
    <t>Mr.  Chris J.</t>
  </si>
  <si>
    <t>Ms.  Kate A.</t>
  </si>
  <si>
    <t>Ms.  Kelli</t>
  </si>
  <si>
    <t>Mrs.  Maggie M</t>
  </si>
  <si>
    <t>Mrs.  Michelle L.</t>
  </si>
  <si>
    <t>Mrs.  Ashley K</t>
  </si>
  <si>
    <t>Mr.  Ryan K.</t>
  </si>
  <si>
    <t>Mr.  Matthew J</t>
  </si>
  <si>
    <t>Mrs.  Karine</t>
  </si>
  <si>
    <t>Ms.  Antonia G</t>
  </si>
  <si>
    <t>Ms.  Casondra L</t>
  </si>
  <si>
    <t>Ms.  Wendy</t>
  </si>
  <si>
    <t>Ms.  Laura F</t>
  </si>
  <si>
    <t>Ms.  Amelia F.</t>
  </si>
  <si>
    <t>Ms.  Amy L.</t>
  </si>
  <si>
    <t>Ms.  Katie J</t>
  </si>
  <si>
    <t>Mrs.  Mayumi</t>
  </si>
  <si>
    <t>Ms.  Vanessa</t>
  </si>
  <si>
    <t>Ms.  Natali N</t>
  </si>
  <si>
    <t>Ms.  Beth</t>
  </si>
  <si>
    <t>Ms.  Andee W.</t>
  </si>
  <si>
    <t>Mrs.  Amy</t>
  </si>
  <si>
    <t>Mr.  C Fred</t>
  </si>
  <si>
    <t>Mr.  Patrick Sr.</t>
  </si>
  <si>
    <t>Ms.  Kelly M.</t>
  </si>
  <si>
    <t>Ms.  Keila L</t>
  </si>
  <si>
    <t>Ms.  Zanae E</t>
  </si>
  <si>
    <t>Mr.  Jason L.</t>
  </si>
  <si>
    <t>Mr.  Benjamin J.</t>
  </si>
  <si>
    <t>Mrs.  Erika</t>
  </si>
  <si>
    <t>Mr.  Chad</t>
  </si>
  <si>
    <t>Mr.  Matthew R</t>
  </si>
  <si>
    <t>Mrs.  Orla</t>
  </si>
  <si>
    <t>Ms.  Shaista S</t>
  </si>
  <si>
    <t>Mrs.  Emily</t>
  </si>
  <si>
    <t>Ms.  Julie A.</t>
  </si>
  <si>
    <t>Ms.  Megumi</t>
  </si>
  <si>
    <t>Ms.  Skylar</t>
  </si>
  <si>
    <t>Mrs.  Victoria</t>
  </si>
  <si>
    <t>Mrs.  Amanda L</t>
  </si>
  <si>
    <t>Ms.  Renee</t>
  </si>
  <si>
    <t>Ms.  Nellie A.</t>
  </si>
  <si>
    <t>Ms.  Tamara</t>
  </si>
  <si>
    <t>Ms.  Aimee J.</t>
  </si>
  <si>
    <t>Ms.  Suzanne</t>
  </si>
  <si>
    <t>Ms.  Kristin A.</t>
  </si>
  <si>
    <t>Ms.  Bronwyn</t>
  </si>
  <si>
    <t>Ms.  Taylor J</t>
  </si>
  <si>
    <t>Mrs.  Kimberly M.</t>
  </si>
  <si>
    <t>Mr.  Joshua E.</t>
  </si>
  <si>
    <t>Mr.  Andrew R</t>
  </si>
  <si>
    <t>Mrs.  Rhonda</t>
  </si>
  <si>
    <t>Mr.  Miles J.</t>
  </si>
  <si>
    <t>Ms.  Justyna I.</t>
  </si>
  <si>
    <t>Ms.  Lucille</t>
  </si>
  <si>
    <t>Ms.  April</t>
  </si>
  <si>
    <t>Mrs.  Alyssa</t>
  </si>
  <si>
    <t>Ms.  Jessica E.</t>
  </si>
  <si>
    <t>Ms.  Emilie</t>
  </si>
  <si>
    <t>Ms.  Caitlin B.</t>
  </si>
  <si>
    <t>Mr.  Joseph W</t>
  </si>
  <si>
    <t>Mrs.  Leah L.</t>
  </si>
  <si>
    <t>Mr.  Wayne L.</t>
  </si>
  <si>
    <t>Mr.  Floris</t>
  </si>
  <si>
    <t>Mr.  Marc</t>
  </si>
  <si>
    <t>Mr.  Aharon N</t>
  </si>
  <si>
    <t>Mr.  Lawrence D.</t>
  </si>
  <si>
    <t>Mr.  Malcolm</t>
  </si>
  <si>
    <t>Ms.  Anna E.</t>
  </si>
  <si>
    <t>Ms.  Chia J.</t>
  </si>
  <si>
    <t>Ms.  Laura A</t>
  </si>
  <si>
    <t>Ms.  Aditi</t>
  </si>
  <si>
    <t>Ms.  Leah A.</t>
  </si>
  <si>
    <t>Ms.  Marianne</t>
  </si>
  <si>
    <t>Ms.  Carla</t>
  </si>
  <si>
    <t>Ms.  Oksana</t>
  </si>
  <si>
    <t>Ms.  Rebecca B.</t>
  </si>
  <si>
    <t>Ms.  Maria A.</t>
  </si>
  <si>
    <t>Mrs.  Lisa M</t>
  </si>
  <si>
    <t>Mr.  Steve Jr.</t>
  </si>
  <si>
    <t>Mrs.  Tiffany</t>
  </si>
  <si>
    <t>Mr.  Dale</t>
  </si>
  <si>
    <t>Ms.  Brittany A.</t>
  </si>
  <si>
    <t>Mr.  Robert S</t>
  </si>
  <si>
    <t>Mrs.  Ulrike</t>
  </si>
  <si>
    <t>Ms.  Katlyn A.</t>
  </si>
  <si>
    <t>Mr.  Morgan B.</t>
  </si>
  <si>
    <t>Ms.  Chandler</t>
  </si>
  <si>
    <t>Ms.  Silvana M.</t>
  </si>
  <si>
    <t>Ms.  Natty</t>
  </si>
  <si>
    <t>Mr.  Nicholas T</t>
  </si>
  <si>
    <t>Mr.  Antony G</t>
  </si>
  <si>
    <t>Ms.  Cassandra</t>
  </si>
  <si>
    <t>Ms.  Rosemary C</t>
  </si>
  <si>
    <t>Ms.  Carrie A.</t>
  </si>
  <si>
    <t>Mr.  Gerardo Sr.</t>
  </si>
  <si>
    <t>Mr.  Matthew R.</t>
  </si>
  <si>
    <t>Mrs.  Meghan E</t>
  </si>
  <si>
    <t>Ms.  Lisa B</t>
  </si>
  <si>
    <t>Mrs.  Jane R.</t>
  </si>
  <si>
    <t>Ms.  Allison M</t>
  </si>
  <si>
    <t>Mrs.  Sarah E.</t>
  </si>
  <si>
    <t>Mr.  Philip J</t>
  </si>
  <si>
    <t>Ms.  Jillian A.</t>
  </si>
  <si>
    <t>Mrs.  Laura D</t>
  </si>
  <si>
    <t>Ms.  Megan E.</t>
  </si>
  <si>
    <t>Ms.  Shannon J.</t>
  </si>
  <si>
    <t>Ms.  Rachelle M</t>
  </si>
  <si>
    <t>Mr.  Casey</t>
  </si>
  <si>
    <t>Mr.  Brandon F</t>
  </si>
  <si>
    <t>Ms.  Danielle N</t>
  </si>
  <si>
    <t>Mrs.  Bettina</t>
  </si>
  <si>
    <t>Mrs.  Holli</t>
  </si>
  <si>
    <t>Mrs.  Heather C</t>
  </si>
  <si>
    <t>Mr.  Thomas J</t>
  </si>
  <si>
    <t>Mr.  Graham</t>
  </si>
  <si>
    <t>Mr.  Garrett</t>
  </si>
  <si>
    <t>Mrs.  Annabelle M</t>
  </si>
  <si>
    <t>Mr.  Daniel T.</t>
  </si>
  <si>
    <t>Ms.  Deanne</t>
  </si>
  <si>
    <t>Mrs.  Suzanne</t>
  </si>
  <si>
    <t>Ms.  Jasmine P.</t>
  </si>
  <si>
    <t>Ms.  Tracie</t>
  </si>
  <si>
    <t>Mr.  Tristan D.</t>
  </si>
  <si>
    <t>Mr.  Peiweng</t>
  </si>
  <si>
    <t>Ms.  Theresa M.</t>
  </si>
  <si>
    <t>Mr.  Daniel J</t>
  </si>
  <si>
    <t>Mrs.  Courtney M.</t>
  </si>
  <si>
    <t>Mr.  Jose A.</t>
  </si>
  <si>
    <t>Mr.  Jonathon M.</t>
  </si>
  <si>
    <t>Mrs.  Stephanie A</t>
  </si>
  <si>
    <t>Mrs.  Krista</t>
  </si>
  <si>
    <t>Ms.  Jenessa</t>
  </si>
  <si>
    <t>Mr.  Ryan M.</t>
  </si>
  <si>
    <t>Ms.  Amanda N.</t>
  </si>
  <si>
    <t>Ms.  Teresa P.</t>
  </si>
  <si>
    <t>Mr.  Dorian</t>
  </si>
  <si>
    <t>Ms.  Aberu</t>
  </si>
  <si>
    <t>Ms.  Anna E</t>
  </si>
  <si>
    <t>Ms.  Tania K.</t>
  </si>
  <si>
    <t>Ms.  Ashley E</t>
  </si>
  <si>
    <t>Ms.  Valery L</t>
  </si>
  <si>
    <t>Mrs.  Joanna G.</t>
  </si>
  <si>
    <t>Mrs.  Stefanie F.</t>
  </si>
  <si>
    <t>Ms.  Liza J.</t>
  </si>
  <si>
    <t>Mr.  Ian M.</t>
  </si>
  <si>
    <t>Ms.  Claudia L.</t>
  </si>
  <si>
    <t>Ms.  Jessica M</t>
  </si>
  <si>
    <t>Mr.  Billy Jr.</t>
  </si>
  <si>
    <t>Mr.  Tim</t>
  </si>
  <si>
    <t>Ms.  Emma M</t>
  </si>
  <si>
    <t>Ms.  Bridget K.</t>
  </si>
  <si>
    <t>Mr.  Gabriel</t>
  </si>
  <si>
    <t>Ms.  Natasha</t>
  </si>
  <si>
    <t>Ms.  Abby A.</t>
  </si>
  <si>
    <t>Ms.  Mckendree</t>
  </si>
  <si>
    <t>Mr.  Joshua P</t>
  </si>
  <si>
    <t>Ms.  Erin C</t>
  </si>
  <si>
    <t>Ms.  Shure</t>
  </si>
  <si>
    <t>Ms.  Brenda</t>
  </si>
  <si>
    <t>Mr.  Joseph M</t>
  </si>
  <si>
    <t>Mr.  Stephen J.</t>
  </si>
  <si>
    <t>Mrs.  Kathya</t>
  </si>
  <si>
    <t>Mr.  Wesley</t>
  </si>
  <si>
    <t>Ms.  Jamie L.</t>
  </si>
  <si>
    <t>Ms.  Alexandra</t>
  </si>
  <si>
    <t>Mrs.  Rebecca J</t>
  </si>
  <si>
    <t>Mr.  Austin T.</t>
  </si>
  <si>
    <t>Ms.  Jamie T</t>
  </si>
  <si>
    <t>Mr.  Matthew T.</t>
  </si>
  <si>
    <t>Ms.  Gillian</t>
  </si>
  <si>
    <t>Mrs.  Brenn E.</t>
  </si>
  <si>
    <t>Ms.  Lisa M</t>
  </si>
  <si>
    <t>Mr.  Thomas A.</t>
  </si>
  <si>
    <t>Mr.  Kevin J</t>
  </si>
  <si>
    <t>Mr.  Gal</t>
  </si>
  <si>
    <t>Mr.  Anton</t>
  </si>
  <si>
    <t>Ms.  Yazmin</t>
  </si>
  <si>
    <t>Mr.  Florian</t>
  </si>
  <si>
    <t>Ms.  Karen L</t>
  </si>
  <si>
    <t>Ms.  Claire</t>
  </si>
  <si>
    <t>Ms.  Lynn M.</t>
  </si>
  <si>
    <t>Mrs.  Candice</t>
  </si>
  <si>
    <t>Ms.  Jennifer D</t>
  </si>
  <si>
    <t>Mr.  Devon R.</t>
  </si>
  <si>
    <t>Ms.  Elena</t>
  </si>
  <si>
    <t>Mr.  Bert</t>
  </si>
  <si>
    <t>Mr.  John P.</t>
  </si>
  <si>
    <t>Mr.  Daniel P</t>
  </si>
  <si>
    <t>Mrs.  Lisa K.</t>
  </si>
  <si>
    <t>Mrs.  Kristine</t>
  </si>
  <si>
    <t>Mr.  Paul A</t>
  </si>
  <si>
    <t>Ms.  Milah B</t>
  </si>
  <si>
    <t>Ms.  Annette M.</t>
  </si>
  <si>
    <t>Mrs.  Yoko</t>
  </si>
  <si>
    <t>Ms.  Laura</t>
  </si>
  <si>
    <t>Ms.  Tess A.</t>
  </si>
  <si>
    <t>Mr.  William G.</t>
  </si>
  <si>
    <t>Ms.  Paige</t>
  </si>
  <si>
    <t>Mrs.  Maria</t>
  </si>
  <si>
    <t>Ms.  Stephanie D</t>
  </si>
  <si>
    <t>Ms.  Sara M.</t>
  </si>
  <si>
    <t>Mr.  Scott A.</t>
  </si>
  <si>
    <t>Mr.  Brian A.</t>
  </si>
  <si>
    <t>Ms.  Kaitlin R.</t>
  </si>
  <si>
    <t>Mr.  Mohammad</t>
  </si>
  <si>
    <t>Ms.  Kelli M</t>
  </si>
  <si>
    <t>Mrs.  Sheridan H</t>
  </si>
  <si>
    <t>Mrs.  Sarah M.</t>
  </si>
  <si>
    <t>Mrs.  Laura J</t>
  </si>
  <si>
    <t>Ms.  Gisele</t>
  </si>
  <si>
    <t>Ms.  Myra L</t>
  </si>
  <si>
    <t>Ms.  Melissa M.</t>
  </si>
  <si>
    <t>Ms.  Eleanor F.</t>
  </si>
  <si>
    <t>Mr.  Kenneth</t>
  </si>
  <si>
    <t>Mr.  Robert G.</t>
  </si>
  <si>
    <t>Mr.  Thomas C.</t>
  </si>
  <si>
    <t>Mr.  Matthew J.</t>
  </si>
  <si>
    <t>Ms.  Mallory D.</t>
  </si>
  <si>
    <t>Mrs.  Jamie</t>
  </si>
  <si>
    <t>Ms.  Ariell</t>
  </si>
  <si>
    <t>Mr.  Thomas B.</t>
  </si>
  <si>
    <t>Mrs.  Rachelle L</t>
  </si>
  <si>
    <t>Ms.  Colleen</t>
  </si>
  <si>
    <t>Mr.  Gregory A</t>
  </si>
  <si>
    <t>Ms.  Sara</t>
  </si>
  <si>
    <t>Ms.  Lucie J.</t>
  </si>
  <si>
    <t>Ms.  Elizabeth S.</t>
  </si>
  <si>
    <t>Ms.  Carma S</t>
  </si>
  <si>
    <t>Ms.  Francesca</t>
  </si>
  <si>
    <t>Mr.  Toshiyuki</t>
  </si>
  <si>
    <t>Mr.  Tom L.</t>
  </si>
  <si>
    <t>Ms.  Julee</t>
  </si>
  <si>
    <t>Mr.  Christopher M.</t>
  </si>
  <si>
    <t>Mr.  Ciaran</t>
  </si>
  <si>
    <t>Ms.  Makie</t>
  </si>
  <si>
    <t>Ms.  Emily E</t>
  </si>
  <si>
    <t>Mr.  Cary</t>
  </si>
  <si>
    <t>Mr.  Steven</t>
  </si>
  <si>
    <t>Mr.  Jose Antonio Sr.</t>
  </si>
  <si>
    <t>Ms.  Tatiana</t>
  </si>
  <si>
    <t>Mr.  Dan T.</t>
  </si>
  <si>
    <t>Ms.  Liisa A.</t>
  </si>
  <si>
    <t>Ms.  Kathryn E.</t>
  </si>
  <si>
    <t>Mr.  Maxwell</t>
  </si>
  <si>
    <t>Ms.  Pascale</t>
  </si>
  <si>
    <t>Ms.  Becca</t>
  </si>
  <si>
    <t>Mrs.  Nicole R.</t>
  </si>
  <si>
    <t>Mr.  David W</t>
  </si>
  <si>
    <t>Mr.  Grant</t>
  </si>
  <si>
    <t>Mrs.  Sophia</t>
  </si>
  <si>
    <t>Ms.  Christina</t>
  </si>
  <si>
    <t>Mr.  Sam L.</t>
  </si>
  <si>
    <t>Mrs.  Haley R.</t>
  </si>
  <si>
    <t>Mr.  Ethan</t>
  </si>
  <si>
    <t>Mr.  Andrew W</t>
  </si>
  <si>
    <t>Mr.  Mark G</t>
  </si>
  <si>
    <t>Ms.  Kasey E.</t>
  </si>
  <si>
    <t>Ms.  Kristin M</t>
  </si>
  <si>
    <t>Ms.  Mary-Lynn B.</t>
  </si>
  <si>
    <t>Mrs.  Jamie A</t>
  </si>
  <si>
    <t>Mr.  Jeffrey A.</t>
  </si>
  <si>
    <t>Ms.  Audrey</t>
  </si>
  <si>
    <t>Mr.  Jacob</t>
  </si>
  <si>
    <t>Mr.  Daniel S</t>
  </si>
  <si>
    <t>Mr.  Marc C.</t>
  </si>
  <si>
    <t>Mr.  Mark S</t>
  </si>
  <si>
    <t>Ms.  Dara</t>
  </si>
  <si>
    <t>Ms.  Rachelle R</t>
  </si>
  <si>
    <t>Ms.  Brenda J</t>
  </si>
  <si>
    <t>Mr.  Sylvain</t>
  </si>
  <si>
    <t>Mrs.  Kaitlin M</t>
  </si>
  <si>
    <t>Mr.  William R.</t>
  </si>
  <si>
    <t>Mrs.  Veronica</t>
  </si>
  <si>
    <t>Mr.  Warren</t>
  </si>
  <si>
    <t>Mrs.  Daniela</t>
  </si>
  <si>
    <t>Ms.  Deirdre A</t>
  </si>
  <si>
    <t>Mr.  Mathias</t>
  </si>
  <si>
    <t>Mr.  Kurt</t>
  </si>
  <si>
    <t>Mr.  Alex F</t>
  </si>
  <si>
    <t>Ms.  Alice</t>
  </si>
  <si>
    <t>Mr.  Johannes Fiskerstand</t>
  </si>
  <si>
    <t>Mr.  Jon M</t>
  </si>
  <si>
    <t>Mr.  Fasil</t>
  </si>
  <si>
    <t>Ms.  Megan C.</t>
  </si>
  <si>
    <t>Ms.  Lisa J.</t>
  </si>
  <si>
    <t>Mr.  Doron P</t>
  </si>
  <si>
    <t>Ms.  Katharina</t>
  </si>
  <si>
    <t>Mr.  Carl</t>
  </si>
  <si>
    <t>Ms.  Kelsey J.</t>
  </si>
  <si>
    <t>Mr.  Stephen A.</t>
  </si>
  <si>
    <t>Ms.  Katie C</t>
  </si>
  <si>
    <t>Ms.  Melissa K</t>
  </si>
  <si>
    <t>Ms.  Kara H</t>
  </si>
  <si>
    <t>Mr.  Juan Carlos</t>
  </si>
  <si>
    <t>Mr.  John III</t>
  </si>
  <si>
    <t>Mrs.  Sarah M</t>
  </si>
  <si>
    <t>Mrs.  Kristin C</t>
  </si>
  <si>
    <t>Ms.  Casey M.</t>
  </si>
  <si>
    <t>Mr.  Braulio</t>
  </si>
  <si>
    <t>Ms.  Anne-Marie</t>
  </si>
  <si>
    <t>Mr.  Samuel K.</t>
  </si>
  <si>
    <t>Mrs.  Yuki</t>
  </si>
  <si>
    <t>Mr.  Rafer</t>
  </si>
  <si>
    <t>Ms.  Erynn J.</t>
  </si>
  <si>
    <t>Mr.  Mahesh</t>
  </si>
  <si>
    <t>Mr.  Stanley</t>
  </si>
  <si>
    <t>Ms.  Rachel M</t>
  </si>
  <si>
    <t>Mr.  Fritz</t>
  </si>
  <si>
    <t>Ms.  Claire M</t>
  </si>
  <si>
    <t>Ms.  Maria S.</t>
  </si>
  <si>
    <t>Ms.  Katherine E</t>
  </si>
  <si>
    <t>Ms.  Roxanne</t>
  </si>
  <si>
    <t>Mr.  Israel</t>
  </si>
  <si>
    <t>Mr.  Samalya</t>
  </si>
  <si>
    <t>Ms.  Alicia</t>
  </si>
  <si>
    <t>Ms.  Sarah K.</t>
  </si>
  <si>
    <t>Mr.  Guomin</t>
  </si>
  <si>
    <t>Mr.  Javier</t>
  </si>
  <si>
    <t>Mr.  Thomas S</t>
  </si>
  <si>
    <t>Ms.  Martha Patricia</t>
  </si>
  <si>
    <t>Ms.  Jennifer V.</t>
  </si>
  <si>
    <t>Mr.  Michael W.</t>
  </si>
  <si>
    <t>Mr.  Eddie C</t>
  </si>
  <si>
    <t>Mr.  Maxime M</t>
  </si>
  <si>
    <t>Mr.  Mark D</t>
  </si>
  <si>
    <t>Mr.  Justin M</t>
  </si>
  <si>
    <t>Ms.  Svetlana V.</t>
  </si>
  <si>
    <t>Ms.  Jana L</t>
  </si>
  <si>
    <t>Mr.  Torrey C III</t>
  </si>
  <si>
    <t>Ms.  Jennifer D.</t>
  </si>
  <si>
    <t>Ms.  Lana J</t>
  </si>
  <si>
    <t>Ms.  Rebecca E</t>
  </si>
  <si>
    <t>Ms.  Katie M.</t>
  </si>
  <si>
    <t>Ms.  Elizabeth A.</t>
  </si>
  <si>
    <t>Ms.  Annie J.</t>
  </si>
  <si>
    <t>Ms.  Annie</t>
  </si>
  <si>
    <t>Ms.  Amy T</t>
  </si>
  <si>
    <t>Ms.  Katarina D</t>
  </si>
  <si>
    <t>Mr.  B.j.</t>
  </si>
  <si>
    <t>Ms.  Alison</t>
  </si>
  <si>
    <t>Mr.  Neil K.</t>
  </si>
  <si>
    <t>Mrs.  Anne Hunter</t>
  </si>
  <si>
    <t>Ms.  Sandra</t>
  </si>
  <si>
    <t>Mr.  Rodney</t>
  </si>
  <si>
    <t>Mr.  Carl R</t>
  </si>
  <si>
    <t>Mr.  Maximilian</t>
  </si>
  <si>
    <t>Mr.  Eirik</t>
  </si>
  <si>
    <t>Mr.  Rik</t>
  </si>
  <si>
    <t>Mr.  Daniel G</t>
  </si>
  <si>
    <t>Mr.  Yannick</t>
  </si>
  <si>
    <t>Mr.  Sean R</t>
  </si>
  <si>
    <t>Ms.  Sara A.</t>
  </si>
  <si>
    <t>Mr.  Thibaud</t>
  </si>
  <si>
    <t>Ms.  Gretchen K.</t>
  </si>
  <si>
    <t>Ms.  Martina</t>
  </si>
  <si>
    <t>Mr.  Dustin J</t>
  </si>
  <si>
    <t>Mr.  Daniel V.</t>
  </si>
  <si>
    <t>Ms.  Saeger</t>
  </si>
  <si>
    <t>Ms.  Buzunesh</t>
  </si>
  <si>
    <t>Ms.  Mirte</t>
  </si>
  <si>
    <t>Ms.  Kerry A.</t>
  </si>
  <si>
    <t>Mr.  Christopher R.</t>
  </si>
  <si>
    <t>Mrs.  Elizabeth A</t>
  </si>
  <si>
    <t>Mr.  Jonathan P</t>
  </si>
  <si>
    <t>Mrs.  Gina</t>
  </si>
  <si>
    <t>Mr.  Dino</t>
  </si>
  <si>
    <t>Mr.  Jan</t>
  </si>
  <si>
    <t>Mr.  Jonathan E.</t>
  </si>
  <si>
    <t>Mr.  Mark A</t>
  </si>
  <si>
    <t>Mrs.  Mary</t>
  </si>
  <si>
    <t>Mr.  Stan J</t>
  </si>
  <si>
    <t>Mrs.  Jessica L.</t>
  </si>
  <si>
    <t>Ms.  Krysta</t>
  </si>
  <si>
    <t>Mrs.  Natascia</t>
  </si>
  <si>
    <t>Ms.  Monica</t>
  </si>
  <si>
    <t>Ms.  Kelly C</t>
  </si>
  <si>
    <t>Mr.  James V</t>
  </si>
  <si>
    <t>Ms.  Angie</t>
  </si>
  <si>
    <t>Ms.  Sabina</t>
  </si>
  <si>
    <t>Ms.  Amy C</t>
  </si>
  <si>
    <t>Ms.  Victoria U</t>
  </si>
  <si>
    <t>Ms.  Amelia B</t>
  </si>
  <si>
    <t>Ms.  Jackie J</t>
  </si>
  <si>
    <t>Ms.  Kerry</t>
  </si>
  <si>
    <t>Ms.  Cindy G.</t>
  </si>
  <si>
    <t>Mr.  Gennaro</t>
  </si>
  <si>
    <t>Mr.  Terry</t>
  </si>
  <si>
    <t>Mr.  Patrick J</t>
  </si>
  <si>
    <t>Ms.  Keara</t>
  </si>
  <si>
    <t>Mrs.  Katena</t>
  </si>
  <si>
    <t>Ms.  Bean K.</t>
  </si>
  <si>
    <t>Mr.  Jan-Patrick</t>
  </si>
  <si>
    <t>Mr.  Jesse J</t>
  </si>
  <si>
    <t>Ms.  Lindsey M</t>
  </si>
  <si>
    <t>Ms.  Marguerite K.</t>
  </si>
  <si>
    <t>Mr.  Travis</t>
  </si>
  <si>
    <t>Mr.  Ricky</t>
  </si>
  <si>
    <t>Mrs.  Colleen L.</t>
  </si>
  <si>
    <t>Mr.  Charlie A</t>
  </si>
  <si>
    <t>Ms.  Lauren C</t>
  </si>
  <si>
    <t>Mr.  Erik R</t>
  </si>
  <si>
    <t>Mr.  Thomas A</t>
  </si>
  <si>
    <t>Mr.  Jean-Marc</t>
  </si>
  <si>
    <t>Ms.  Kerry L</t>
  </si>
  <si>
    <t>Mr.  Ulrich</t>
  </si>
  <si>
    <t>Mr.  Justin P</t>
  </si>
  <si>
    <t>Ms.  Hannah E.</t>
  </si>
  <si>
    <t>Mr.  Joseph P</t>
  </si>
  <si>
    <t>Ms.  Gina M</t>
  </si>
  <si>
    <t>Ms.  Shantel C.</t>
  </si>
  <si>
    <t>Ms.  Jessica R</t>
  </si>
  <si>
    <t>Mrs.  Robyn</t>
  </si>
  <si>
    <t>Ms.  Jessica F.</t>
  </si>
  <si>
    <t>Ms.  Kelly A</t>
  </si>
  <si>
    <t>Ms.  Brooke E</t>
  </si>
  <si>
    <t>Ms.  Katelyn E.</t>
  </si>
  <si>
    <t>Mr.  Eoghan</t>
  </si>
  <si>
    <t>Ms.  Pamela W</t>
  </si>
  <si>
    <t>Ms.  Lindsey M.</t>
  </si>
  <si>
    <t>Ms.  Kassie</t>
  </si>
  <si>
    <t>Mr.  Ruben Dario</t>
  </si>
  <si>
    <t>Ms.  Lindsay M</t>
  </si>
  <si>
    <t>Mrs.  Amanda</t>
  </si>
  <si>
    <t>Mr.  Samuel H.</t>
  </si>
  <si>
    <t>Ms.  Jenni</t>
  </si>
  <si>
    <t>Mr.  Estuardo F</t>
  </si>
  <si>
    <t>Mr.  Brett</t>
  </si>
  <si>
    <t>Ms.  Sharon E.</t>
  </si>
  <si>
    <t>Mr.  Jacob W√¶ver</t>
  </si>
  <si>
    <t>Ms.  Brooke S.</t>
  </si>
  <si>
    <t>Ms.  Kaye A.</t>
  </si>
  <si>
    <t>Mr.  Daniel C.</t>
  </si>
  <si>
    <t>Mrs.  Laurie A</t>
  </si>
  <si>
    <t>Ms.  Shelby</t>
  </si>
  <si>
    <t>Ms.  Leticia</t>
  </si>
  <si>
    <t>Mr.  John S.</t>
  </si>
  <si>
    <t>Ms.  Ashley N.</t>
  </si>
  <si>
    <t>Ms.  Nelly S</t>
  </si>
  <si>
    <t>Ms.  Meredith S</t>
  </si>
  <si>
    <t>Ms.  Katherine A</t>
  </si>
  <si>
    <t>Mr.  Steve</t>
  </si>
  <si>
    <t>Ms.  Kate L.</t>
  </si>
  <si>
    <t>Ms.  Katharine</t>
  </si>
  <si>
    <t>Ms.  Heather L</t>
  </si>
  <si>
    <t>Ms.  Desiree</t>
  </si>
  <si>
    <t>Mr.  Peter B.</t>
  </si>
  <si>
    <t>Mr.  Adam C</t>
  </si>
  <si>
    <t>Mr.  Jon</t>
  </si>
  <si>
    <t>Mr.  Steven J</t>
  </si>
  <si>
    <t>Ms.  Jessica P.</t>
  </si>
  <si>
    <t>Mr.  Arturo H.</t>
  </si>
  <si>
    <t>Mr.  Ketil</t>
  </si>
  <si>
    <t>Ms.  Christi</t>
  </si>
  <si>
    <t>Ms.  Eve</t>
  </si>
  <si>
    <t>Mr.  Devin</t>
  </si>
  <si>
    <t>Mr.  Shaun R</t>
  </si>
  <si>
    <t>Mr.  Adrian</t>
  </si>
  <si>
    <t>Ms.  Mallory</t>
  </si>
  <si>
    <t>Mr.  Shawn E</t>
  </si>
  <si>
    <t>Mr.  Johann A</t>
  </si>
  <si>
    <t>Ms.  Robin M.</t>
  </si>
  <si>
    <t>Mr.  Kyle K</t>
  </si>
  <si>
    <t>Mr.  Michael A.</t>
  </si>
  <si>
    <t>Mr.  Byron A</t>
  </si>
  <si>
    <t>Ms.  Carine A</t>
  </si>
  <si>
    <t>Ms.  Lindsay A.</t>
  </si>
  <si>
    <t>Mr.  Justin R</t>
  </si>
  <si>
    <t>Ms.  Amanda L</t>
  </si>
  <si>
    <t>Ms.  Ayako N.</t>
  </si>
  <si>
    <t>Ms.  Emilee</t>
  </si>
  <si>
    <t>Mr.  Stephen M</t>
  </si>
  <si>
    <t>Ms.  Annemarie A</t>
  </si>
  <si>
    <t>Ms.  Ashley R</t>
  </si>
  <si>
    <t>Ms.  Leslie A</t>
  </si>
  <si>
    <t>Mr.  Kieran</t>
  </si>
  <si>
    <t>Ms.  Elizabeth A</t>
  </si>
  <si>
    <t>Mr.  Zeke M.</t>
  </si>
  <si>
    <t>Mr.  Chip</t>
  </si>
  <si>
    <t>Mr.  Miguel Angel Sr.</t>
  </si>
  <si>
    <t>Ms.  Meghan</t>
  </si>
  <si>
    <t>Mrs.  Millicent M</t>
  </si>
  <si>
    <t>Ms.  Kimberly K</t>
  </si>
  <si>
    <t>Mr.  Justin C</t>
  </si>
  <si>
    <t>Mr.  Tristan P.</t>
  </si>
  <si>
    <t>Ms.  Traci A</t>
  </si>
  <si>
    <t>Mr.  Logan M</t>
  </si>
  <si>
    <t>Ms.  Tiffany A</t>
  </si>
  <si>
    <t>Mr.  Luke</t>
  </si>
  <si>
    <t>Ms.  Leigh</t>
  </si>
  <si>
    <t>Mr.  Yosuke</t>
  </si>
  <si>
    <t>Ms.  Jodi</t>
  </si>
  <si>
    <t>Ms.  Misti C</t>
  </si>
  <si>
    <t>Ms.  Angela J</t>
  </si>
  <si>
    <t>Mr.  Jonathan D.</t>
  </si>
  <si>
    <t>Mr.  Adrian R.</t>
  </si>
  <si>
    <t>Mr.  Jason A.</t>
  </si>
  <si>
    <t>Ms.  Rachel</t>
  </si>
  <si>
    <t>Ms.  Susan</t>
  </si>
  <si>
    <t>Mr.  Cameron M.</t>
  </si>
  <si>
    <t>Ms.  Claudia A.</t>
  </si>
  <si>
    <t>Ms.  Nicole M.</t>
  </si>
  <si>
    <t>Mr.  Jack</t>
  </si>
  <si>
    <t>Ms.  Jackie K.</t>
  </si>
  <si>
    <t>Mr.  Tyler C</t>
  </si>
  <si>
    <t>Ms.  Yoshie</t>
  </si>
  <si>
    <t>Ms.  Lauren A</t>
  </si>
  <si>
    <t>Mr.  Mason D.</t>
  </si>
  <si>
    <t>Mr.  Arturo</t>
  </si>
  <si>
    <t>Mr.  Jake</t>
  </si>
  <si>
    <t>Ms.  Alison L.</t>
  </si>
  <si>
    <t>Ms.  Karen A.</t>
  </si>
  <si>
    <t>Mr.  Ezra</t>
  </si>
  <si>
    <t>Mr.  Ari L.</t>
  </si>
  <si>
    <t>Ms.  Fanny</t>
  </si>
  <si>
    <t>Ms.  Catherine A</t>
  </si>
  <si>
    <t>Ms.  Janel N.</t>
  </si>
  <si>
    <t>Ms.  Yann Kai</t>
  </si>
  <si>
    <t>Mr.  Zachary R.</t>
  </si>
  <si>
    <t>Mr.  Alejandro Sr.</t>
  </si>
  <si>
    <t>Mr.  Nicholas R.</t>
  </si>
  <si>
    <t>Mr.  Michael D</t>
  </si>
  <si>
    <t>Ms.  Marina</t>
  </si>
  <si>
    <t>Mr.  Ross P</t>
  </si>
  <si>
    <t>Ms.  Aoife</t>
  </si>
  <si>
    <t>Ms.  Rebecca J</t>
  </si>
  <si>
    <t>Mr.  Barry P.</t>
  </si>
  <si>
    <t>Mr.  Maciej</t>
  </si>
  <si>
    <t>Mr.  Jerry D.</t>
  </si>
  <si>
    <t>Ms.  Cathi</t>
  </si>
  <si>
    <t>Mr.  Alex M</t>
  </si>
  <si>
    <t>Mr.  Liang</t>
  </si>
  <si>
    <t>Ms.  Lexy</t>
  </si>
  <si>
    <t>Mr.  Samuel L</t>
  </si>
  <si>
    <t>Mr.  Spencer A.</t>
  </si>
  <si>
    <t>Mrs.  Rochelle</t>
  </si>
  <si>
    <t>Ms.  Paula</t>
  </si>
  <si>
    <t>Mrs.  Madeline E.</t>
  </si>
  <si>
    <t>Ms.  Maria Isabel</t>
  </si>
  <si>
    <t>Mr.  Arthur M.</t>
  </si>
  <si>
    <t>Mr.  Joseph R.</t>
  </si>
  <si>
    <t>Ms.  Sachiko</t>
  </si>
  <si>
    <t>Mr.  Ruben</t>
  </si>
  <si>
    <t>Mrs.  Angela R.</t>
  </si>
  <si>
    <t>Mr.  Chatham</t>
  </si>
  <si>
    <t>Mr.  Derek</t>
  </si>
  <si>
    <t>Mr.  Kalvin J.</t>
  </si>
  <si>
    <t>Ms.  Barbara G.</t>
  </si>
  <si>
    <t>Mr.  Skylar</t>
  </si>
  <si>
    <t>Mr.  Sunny S</t>
  </si>
  <si>
    <t>Mrs.  Anne-Marie</t>
  </si>
  <si>
    <t>Mr.  Scott M.</t>
  </si>
  <si>
    <t>Ms.  Marisa A</t>
  </si>
  <si>
    <t>Ms.  Amy L</t>
  </si>
  <si>
    <t>Ms.  Jenna M</t>
  </si>
  <si>
    <t>Mr.  Lyazid</t>
  </si>
  <si>
    <t>Ms.  Lindsey A.</t>
  </si>
  <si>
    <t>Ms.  Jennifer A</t>
  </si>
  <si>
    <t>Mr.  Leif S.</t>
  </si>
  <si>
    <t>Ms.  Stephanie A</t>
  </si>
  <si>
    <t>Mr.  Bo</t>
  </si>
  <si>
    <t>Ms.  Leah</t>
  </si>
  <si>
    <t>Ms.  Kara Lynne</t>
  </si>
  <si>
    <t>Mrs.  Allie</t>
  </si>
  <si>
    <t>Ms.  Trasi</t>
  </si>
  <si>
    <t>Mr.  Fernando</t>
  </si>
  <si>
    <t>Ms.  Ieva</t>
  </si>
  <si>
    <t>Mr.  Drew L.</t>
  </si>
  <si>
    <t>Mr.  Alexander G</t>
  </si>
  <si>
    <t>Ms.  Meaghan</t>
  </si>
  <si>
    <t>Ms.  Andrea K.</t>
  </si>
  <si>
    <t>Ms.  Kris</t>
  </si>
  <si>
    <t>Mr.  Alden W</t>
  </si>
  <si>
    <t>Ms.  Suzanne M</t>
  </si>
  <si>
    <t>Ms.  Heidi Z.</t>
  </si>
  <si>
    <t>Mr.  Fan</t>
  </si>
  <si>
    <t>Mrs.  Rachel M</t>
  </si>
  <si>
    <t>Mr.  Chaiwat</t>
  </si>
  <si>
    <t>Ms.  Kerri</t>
  </si>
  <si>
    <t>Mr.  Nicholas G</t>
  </si>
  <si>
    <t>Mr.  Vasilis S</t>
  </si>
  <si>
    <t>Ms.  Colleen C.</t>
  </si>
  <si>
    <t>Mrs.  Annika</t>
  </si>
  <si>
    <t>Mr.  Nicholas C.</t>
  </si>
  <si>
    <t>Mrs.  Kelly K</t>
  </si>
  <si>
    <t>Ms.  Hannah</t>
  </si>
  <si>
    <t>Mr.  Patricio Sr.</t>
  </si>
  <si>
    <t>Mr.  Robert B</t>
  </si>
  <si>
    <t>Mr.  Benjamin M</t>
  </si>
  <si>
    <t>Mr.  Eric R.</t>
  </si>
  <si>
    <t>Mr.  Bob R</t>
  </si>
  <si>
    <t>Ms.  Stephanie J.</t>
  </si>
  <si>
    <t>Mr.  Guillaume</t>
  </si>
  <si>
    <t>Ms.  Kaylee</t>
  </si>
  <si>
    <t>Ms.  Theresa</t>
  </si>
  <si>
    <t>Mr.  Travis G.</t>
  </si>
  <si>
    <t>Ms.  Emma L.</t>
  </si>
  <si>
    <t>Ms.  Linda</t>
  </si>
  <si>
    <t>Mr.  Owen R</t>
  </si>
  <si>
    <t>Ms.  Jacqueline</t>
  </si>
  <si>
    <t>Mr.  Yefeng</t>
  </si>
  <si>
    <t>Mr.  Ken</t>
  </si>
  <si>
    <t>Ms.  Annie E</t>
  </si>
  <si>
    <t>Mrs.  Noel K.</t>
  </si>
  <si>
    <t>Ms.  Federica</t>
  </si>
  <si>
    <t>Ms.  Pamela L</t>
  </si>
  <si>
    <t>Mr.  Andrew W.</t>
  </si>
  <si>
    <t>Mr.  Randall</t>
  </si>
  <si>
    <t>Ms.  Azelie</t>
  </si>
  <si>
    <t>Ms.  Monica M.</t>
  </si>
  <si>
    <t>Ms.  Katarina K.</t>
  </si>
  <si>
    <t>Ms.  Stacey L.</t>
  </si>
  <si>
    <t>Mr.  James C.</t>
  </si>
  <si>
    <t>Ms.  Kim</t>
  </si>
  <si>
    <t>Mr.  Dariusz</t>
  </si>
  <si>
    <t>Ms.  Kristen</t>
  </si>
  <si>
    <t>Ms.  Holly J</t>
  </si>
  <si>
    <t>Ms.  Tricity M</t>
  </si>
  <si>
    <t>Ms.  Sarah A</t>
  </si>
  <si>
    <t>Ms.  Lisa M.</t>
  </si>
  <si>
    <t>Ms.  Tracy A.</t>
  </si>
  <si>
    <t>Mr.  Trent</t>
  </si>
  <si>
    <t>Ms.  Julie</t>
  </si>
  <si>
    <t>Mr.  Sawomir</t>
  </si>
  <si>
    <t>Ms.  Micah</t>
  </si>
  <si>
    <t>Ms.  Kelly H.</t>
  </si>
  <si>
    <t>Ms.  Lindsay M.</t>
  </si>
  <si>
    <t>Mr.  Austen G</t>
  </si>
  <si>
    <t>Mr.  Tory J.</t>
  </si>
  <si>
    <t>Mr.  Robert J.</t>
  </si>
  <si>
    <t>Ms.  Steph</t>
  </si>
  <si>
    <t>Ms.  Kristina</t>
  </si>
  <si>
    <t>Ms.  Flo</t>
  </si>
  <si>
    <t>Mrs.  Sarah P.</t>
  </si>
  <si>
    <t>Ms.  Anabel</t>
  </si>
  <si>
    <t>Mr.  Ian</t>
  </si>
  <si>
    <t>Mr.  Richard J</t>
  </si>
  <si>
    <t>Ms.  Jacqueline N.</t>
  </si>
  <si>
    <t>Ms.  Cindy</t>
  </si>
  <si>
    <t>Ms.  Marcia</t>
  </si>
  <si>
    <t>Ms.  Samantha R.</t>
  </si>
  <si>
    <t>Mr.  John P</t>
  </si>
  <si>
    <t>Ms.  Isabelle</t>
  </si>
  <si>
    <t>Mr.  Neil</t>
  </si>
  <si>
    <t>Mr.  Nathan</t>
  </si>
  <si>
    <t>Mrs.  Kelli N</t>
  </si>
  <si>
    <t>Mr.  Grant A</t>
  </si>
  <si>
    <t>Mr.  Jonathan C</t>
  </si>
  <si>
    <t>Ms.  Rachael M.</t>
  </si>
  <si>
    <t>Ms.  Pilar</t>
  </si>
  <si>
    <t>Mr.  Kyle M</t>
  </si>
  <si>
    <t>Mrs.  Christie</t>
  </si>
  <si>
    <t>Mr.  David A.</t>
  </si>
  <si>
    <t>Mr.  Masahiro</t>
  </si>
  <si>
    <t>Mr.  Logan B.</t>
  </si>
  <si>
    <t>Ms.  Stephanie L.</t>
  </si>
  <si>
    <t>Ms.  Angela H</t>
  </si>
  <si>
    <t>Ms.  Britt K</t>
  </si>
  <si>
    <t>Ms.  Joyce R.</t>
  </si>
  <si>
    <t>Ms.  Sarah M.</t>
  </si>
  <si>
    <t>Ms.  Michaela L</t>
  </si>
  <si>
    <t>Ms.  Shalaleh</t>
  </si>
  <si>
    <t>Ms.  Zuzana</t>
  </si>
  <si>
    <t>Mr.  Daniel J.</t>
  </si>
  <si>
    <t>Mr.  Matthew M</t>
  </si>
  <si>
    <t>Ms.  Nadine A.</t>
  </si>
  <si>
    <t>Ms.  Colleen M</t>
  </si>
  <si>
    <t>Mr.  Douglas W</t>
  </si>
  <si>
    <t>Ms.  Catherine</t>
  </si>
  <si>
    <t>Mr.  Youngseong</t>
  </si>
  <si>
    <t>Mr.  Brandon S.</t>
  </si>
  <si>
    <t>Mr.  Sean P</t>
  </si>
  <si>
    <t>Mr.  Janez</t>
  </si>
  <si>
    <t>Mr.  Deniz</t>
  </si>
  <si>
    <t>Ms.  Shannon L.</t>
  </si>
  <si>
    <t>Ms.  Kaitlin M.</t>
  </si>
  <si>
    <t>Mr.  Alfredo</t>
  </si>
  <si>
    <t>Mr.  Troy</t>
  </si>
  <si>
    <t>Mr.  Daniel C</t>
  </si>
  <si>
    <t>Ms.  Jennefer</t>
  </si>
  <si>
    <t>Ms.  Tracey L.</t>
  </si>
  <si>
    <t>Ms.  Esther</t>
  </si>
  <si>
    <t>Ms.  Jackie</t>
  </si>
  <si>
    <t>Mr.  Timothy P.</t>
  </si>
  <si>
    <t>Mr.  Hugo M</t>
  </si>
  <si>
    <t>Mr.  Rob</t>
  </si>
  <si>
    <t>Mr.  Austin D</t>
  </si>
  <si>
    <t>Ms.  Brittany</t>
  </si>
  <si>
    <t>Ms.  Becky G.</t>
  </si>
  <si>
    <t>Ms.  Virginie</t>
  </si>
  <si>
    <t>Ms.  Allison A</t>
  </si>
  <si>
    <t>Mr.  Caleb</t>
  </si>
  <si>
    <t>Ms.  Jaime</t>
  </si>
  <si>
    <t>Mr.  Zachariah</t>
  </si>
  <si>
    <t>Ms.  Patricia A</t>
  </si>
  <si>
    <t>Mrs.  Elizabeth A.</t>
  </si>
  <si>
    <t>Mr.  Breno</t>
  </si>
  <si>
    <t>Mr.  Takaya</t>
  </si>
  <si>
    <t>Mr.  Thomas IV</t>
  </si>
  <si>
    <t>Mr.  Bradley E</t>
  </si>
  <si>
    <t>Ms.  Ruby J</t>
  </si>
  <si>
    <t>Mr.  Bart</t>
  </si>
  <si>
    <t>Mr.  Robert A.</t>
  </si>
  <si>
    <t>Mr.  Yemane Adhane</t>
  </si>
  <si>
    <t>Mr.  Jesse A.</t>
  </si>
  <si>
    <t>Mr.  Bird</t>
  </si>
  <si>
    <t>Mr.  Patrick M.</t>
  </si>
  <si>
    <t>Mr.  Yuri</t>
  </si>
  <si>
    <t>Ms.  Debbie</t>
  </si>
  <si>
    <t>Ms.  Daniell L</t>
  </si>
  <si>
    <t>Mr.  Janne</t>
  </si>
  <si>
    <t>Ms.  Elizabeth L</t>
  </si>
  <si>
    <t>Ms.  Stephanie C.</t>
  </si>
  <si>
    <t>Ms.  Callie</t>
  </si>
  <si>
    <t>Ms.  Mary K.</t>
  </si>
  <si>
    <t>Mr.  Samuel M.</t>
  </si>
  <si>
    <t>Mr.  Tom J.</t>
  </si>
  <si>
    <t>Mr.  Dougie J</t>
  </si>
  <si>
    <t>Mr.  Jeremiah H</t>
  </si>
  <si>
    <t>Mr.  Ashley J.</t>
  </si>
  <si>
    <t>Mr.  Turner J.</t>
  </si>
  <si>
    <t>Mr.  Roger</t>
  </si>
  <si>
    <t>Ms.  Pamela</t>
  </si>
  <si>
    <t>Mrs.  Katherine H.</t>
  </si>
  <si>
    <t>Ms.  Robin</t>
  </si>
  <si>
    <t>Ms.  Terri</t>
  </si>
  <si>
    <t>Mr.  Eddie</t>
  </si>
  <si>
    <t>Ms.  Joyce</t>
  </si>
  <si>
    <t>Ms.  Alison W.</t>
  </si>
  <si>
    <t>Ms.  Tammara C</t>
  </si>
  <si>
    <t>Ms.  Dorota</t>
  </si>
  <si>
    <t>Mr.  Jose Norberto Sr.</t>
  </si>
  <si>
    <t>Mr.  Bryant</t>
  </si>
  <si>
    <t>Mr.  Eduardo</t>
  </si>
  <si>
    <t>Ms.  Laura M.</t>
  </si>
  <si>
    <t>Ms.  Melissa D.</t>
  </si>
  <si>
    <t>Mr.  Wesley C.</t>
  </si>
  <si>
    <t>Ms.  Christin</t>
  </si>
  <si>
    <t>Ms.  Margaret P.</t>
  </si>
  <si>
    <t>Ms.  Tiffany K</t>
  </si>
  <si>
    <t>Mr.  David M.</t>
  </si>
  <si>
    <t>Ms.  Christine E</t>
  </si>
  <si>
    <t>Ms.  Donna</t>
  </si>
  <si>
    <t>Mr.  Rod</t>
  </si>
  <si>
    <t>Mr.  Joe</t>
  </si>
  <si>
    <t>Ms.  Kayleigh</t>
  </si>
  <si>
    <t>Mr.  Lorcan A.</t>
  </si>
  <si>
    <t>Mr.  Billy</t>
  </si>
  <si>
    <t>Mr.  Paul M.</t>
  </si>
  <si>
    <t>Ms.  Brenda M.</t>
  </si>
  <si>
    <t>Mr.  Jeff H</t>
  </si>
  <si>
    <t>Mr.  Bernard</t>
  </si>
  <si>
    <t>Mrs.  Bryn</t>
  </si>
  <si>
    <t>Mr.  Jay</t>
  </si>
  <si>
    <t>Ms.  Shelley</t>
  </si>
  <si>
    <t>Ms.  Jekaterina</t>
  </si>
  <si>
    <t>Ms.  Pauline</t>
  </si>
  <si>
    <t>Ms.  Aleah K</t>
  </si>
  <si>
    <t>Ms.  Mare</t>
  </si>
  <si>
    <t>Ms.  Amanda R</t>
  </si>
  <si>
    <t>Mr.  Murray W.</t>
  </si>
  <si>
    <t>Mrs.  Meghan P.</t>
  </si>
  <si>
    <t>Mr.  Seth</t>
  </si>
  <si>
    <t>Mr.  Michael P.</t>
  </si>
  <si>
    <t>Mr.  Russell M</t>
  </si>
  <si>
    <t>Mr.  Martin</t>
  </si>
  <si>
    <t>Mr.  Miles</t>
  </si>
  <si>
    <t>Mr.  Brock J</t>
  </si>
  <si>
    <t>Mr.  Stephen F.</t>
  </si>
  <si>
    <t>Ms.  Missy</t>
  </si>
  <si>
    <t>Ms.  Lauren M</t>
  </si>
  <si>
    <t>Mr.  Apolo U.</t>
  </si>
  <si>
    <t>Mr.  Alfons</t>
  </si>
  <si>
    <t>Ms.  Amber</t>
  </si>
  <si>
    <t>Ms.  Leah C.</t>
  </si>
  <si>
    <t>Ms.  Lilia</t>
  </si>
  <si>
    <t>Mr.  Danny</t>
  </si>
  <si>
    <t>Ms.  Satomi</t>
  </si>
  <si>
    <t>Mr.  Peter T II</t>
  </si>
  <si>
    <t>Mr.  Manuel</t>
  </si>
  <si>
    <t>Ms.  Kindsey P.</t>
  </si>
  <si>
    <t>Mr.  Thomas G.</t>
  </si>
  <si>
    <t>Mr.  Kyle S</t>
  </si>
  <si>
    <t>Mr.  Alexander J.</t>
  </si>
  <si>
    <t>Mr.  Dustin L</t>
  </si>
  <si>
    <t>Mrs.  Chloe</t>
  </si>
  <si>
    <t>Ms.  Cailtlin</t>
  </si>
  <si>
    <t>Mr.  Chuy</t>
  </si>
  <si>
    <t>Ms.  Laurie B</t>
  </si>
  <si>
    <t>Ms.  Rachel B.</t>
  </si>
  <si>
    <t>Ms.  Liza</t>
  </si>
  <si>
    <t>Ms.  Lindsay E.</t>
  </si>
  <si>
    <t>Ms.  Kathleen M.</t>
  </si>
  <si>
    <t>Ms.  Aya</t>
  </si>
  <si>
    <t>Ms.  Carolyn R</t>
  </si>
  <si>
    <t>Ms.  Bethany</t>
  </si>
  <si>
    <t>Ms.  Holly A</t>
  </si>
  <si>
    <t>Mr.  Ping</t>
  </si>
  <si>
    <t>Mrs.  Cynthia</t>
  </si>
  <si>
    <t>Mr.  Emmett</t>
  </si>
  <si>
    <t>Mr.  Christopher L.</t>
  </si>
  <si>
    <t>Mr.  Christopher P.</t>
  </si>
  <si>
    <t>Mr.  Christopher W</t>
  </si>
  <si>
    <t>Mr.  Norman H.</t>
  </si>
  <si>
    <t>Ms.  Tatyana K</t>
  </si>
  <si>
    <t>Ms.  Chrissy</t>
  </si>
  <si>
    <t>Ms.  Halle</t>
  </si>
  <si>
    <t>Ms.  Tara D.</t>
  </si>
  <si>
    <t>Mr.  Rasim M</t>
  </si>
  <si>
    <t>Ms.  Dina</t>
  </si>
  <si>
    <t>Ms.  Caitrin</t>
  </si>
  <si>
    <t>Ms.  Adriana S</t>
  </si>
  <si>
    <t>Mrs.  Kristen M</t>
  </si>
  <si>
    <t>Ms.  Alix</t>
  </si>
  <si>
    <t>Mr.  Kakushin</t>
  </si>
  <si>
    <t>Mr.  Michael J</t>
  </si>
  <si>
    <t>Ms.  Amanda C.</t>
  </si>
  <si>
    <t>Mr.  Valur</t>
  </si>
  <si>
    <t>Ms.  Erica J</t>
  </si>
  <si>
    <t>Ms.  Lissa</t>
  </si>
  <si>
    <t>Ms.  Alyson</t>
  </si>
  <si>
    <t>Mr.  Chance B</t>
  </si>
  <si>
    <t>Ms.  Therese</t>
  </si>
  <si>
    <t>Mr.  Beau</t>
  </si>
  <si>
    <t>Ms.  Kelsey M</t>
  </si>
  <si>
    <t>Ms.  Gretchen</t>
  </si>
  <si>
    <t>Mr.  Nicholas E.</t>
  </si>
  <si>
    <t>Ms.  Deborah</t>
  </si>
  <si>
    <t>Ms.  Amany</t>
  </si>
  <si>
    <t>Ms.  Kipling</t>
  </si>
  <si>
    <t>Mr.  Duncan</t>
  </si>
  <si>
    <t>Mr.  Louis C.</t>
  </si>
  <si>
    <t>Ms.  Ildiko M.</t>
  </si>
  <si>
    <t>Ms.  Melinda E.</t>
  </si>
  <si>
    <t>Ms.  Ashley M</t>
  </si>
  <si>
    <t>Mr.  Sean P.</t>
  </si>
  <si>
    <t>Ms.  Emily G</t>
  </si>
  <si>
    <t>Mr.  Danilo</t>
  </si>
  <si>
    <t>Mr.  Mikko</t>
  </si>
  <si>
    <t>Ms.  Paula C.</t>
  </si>
  <si>
    <t>Ms.  Kirsten N.</t>
  </si>
  <si>
    <t>Ms.  Christy</t>
  </si>
  <si>
    <t>Ms.  Jingjing</t>
  </si>
  <si>
    <t>Mr.  Morgan</t>
  </si>
  <si>
    <t>Mr.  Frankline</t>
  </si>
  <si>
    <t>Ms.  Laura T.</t>
  </si>
  <si>
    <t>Ms.  Natalia</t>
  </si>
  <si>
    <t>Ms.  Jennifer L.</t>
  </si>
  <si>
    <t>Ms.  Brooke</t>
  </si>
  <si>
    <t>Mr.  Jeremy M</t>
  </si>
  <si>
    <t>Ms.  Megan L.</t>
  </si>
  <si>
    <t>Ms.  Marny</t>
  </si>
  <si>
    <t>Mr.  Benjamin L</t>
  </si>
  <si>
    <t>Mr.  Rob G</t>
  </si>
  <si>
    <t>Ms.  Stefanie A</t>
  </si>
  <si>
    <t>Ms.  Caroline F.</t>
  </si>
  <si>
    <t>Ms.  Julia J.</t>
  </si>
  <si>
    <t>Mr.  Bernat</t>
  </si>
  <si>
    <t>Mr.  Hicham</t>
  </si>
  <si>
    <t>Ms.  Elisabetta</t>
  </si>
  <si>
    <t>Mr.  Trevor N.</t>
  </si>
  <si>
    <t>Ms.  Nancy</t>
  </si>
  <si>
    <t>Ms.  Allison R.</t>
  </si>
  <si>
    <t>Ms.  Janae N.</t>
  </si>
  <si>
    <t>Ms.  Nicole F</t>
  </si>
  <si>
    <t>Ms.  Krista L</t>
  </si>
  <si>
    <t>Ms.  Denise</t>
  </si>
  <si>
    <t>Mr.  Ariel</t>
  </si>
  <si>
    <t>Ms.  Rosalie</t>
  </si>
  <si>
    <t>Mr.  Vitaliy</t>
  </si>
  <si>
    <t>Mr.  Benjamin W.</t>
  </si>
  <si>
    <t>Mr.  Massimiliano</t>
  </si>
  <si>
    <t>Mr.  Kiyokatsu</t>
  </si>
  <si>
    <t>Ms.  Julia M</t>
  </si>
  <si>
    <t>Ms.  Rhea</t>
  </si>
  <si>
    <t>Mr.  Shamus M.</t>
  </si>
  <si>
    <t>Ms.  Mary Beth</t>
  </si>
  <si>
    <t>Ms.  Erin</t>
  </si>
  <si>
    <t>Ms.  Hallie</t>
  </si>
  <si>
    <t>Ms.  Paige P</t>
  </si>
  <si>
    <t>Ms.  Ji</t>
  </si>
  <si>
    <t>Ms.  Carissa A</t>
  </si>
  <si>
    <t>Ms.  Mona</t>
  </si>
  <si>
    <t>Ms.  Kristin R.</t>
  </si>
  <si>
    <t>Ms.  Hilary K.</t>
  </si>
  <si>
    <t>Ms.  Dominique</t>
  </si>
  <si>
    <t>Mr.  Carlos I</t>
  </si>
  <si>
    <t>Ms.  Sarah S</t>
  </si>
  <si>
    <t>Ms.  Shauna R.</t>
  </si>
  <si>
    <t>Ms.  Lindsay J.</t>
  </si>
  <si>
    <t>Ms.  Danya A.</t>
  </si>
  <si>
    <t>Ms.  Lorraine</t>
  </si>
  <si>
    <t>Mr.  Jesus Sr.</t>
  </si>
  <si>
    <t>Ms.  Catherine C.</t>
  </si>
  <si>
    <t>Ms.  Evan</t>
  </si>
  <si>
    <t>Mr.  Nathan J</t>
  </si>
  <si>
    <t>Mr.  Marshall</t>
  </si>
  <si>
    <t>Mr.  Lavar</t>
  </si>
  <si>
    <t>Mr.  Charlie T.</t>
  </si>
  <si>
    <t>Mr.  Arthur</t>
  </si>
  <si>
    <t>Ms.  Tammy</t>
  </si>
  <si>
    <t>Ms.  Lena</t>
  </si>
  <si>
    <t>Ms.  Valentina</t>
  </si>
  <si>
    <t>Mr.  Russell N.</t>
  </si>
  <si>
    <t>Mr.  Scott R.</t>
  </si>
  <si>
    <t>Mr.  Jose Francisco Sr.</t>
  </si>
  <si>
    <t>Mr.  Paul J</t>
  </si>
  <si>
    <t>Mr.  Edward J.</t>
  </si>
  <si>
    <t>Mr.  Patrick A.</t>
  </si>
  <si>
    <t>Mr.  Geraint H</t>
  </si>
  <si>
    <t>Mr.  Dj</t>
  </si>
  <si>
    <t>Mr.  Zachary A</t>
  </si>
  <si>
    <t>Mr.  Brian W.</t>
  </si>
  <si>
    <t>Ms.  Ellen L.</t>
  </si>
  <si>
    <t>Ms.  Abigail R.</t>
  </si>
  <si>
    <t>Mrs.  Grace H</t>
  </si>
  <si>
    <t>Ms.  Caitie J.</t>
  </si>
  <si>
    <t>Mr.  Ian T</t>
  </si>
  <si>
    <t>Mr.  Tadese</t>
  </si>
  <si>
    <t>Mr.  Dathan</t>
  </si>
  <si>
    <t>Mr.  Aaron R</t>
  </si>
  <si>
    <t>Ms.  Caitlin H.</t>
  </si>
  <si>
    <t>Mr.  Harald E.</t>
  </si>
  <si>
    <t>Ms.  Siobhan A.</t>
  </si>
  <si>
    <t>Ms.  Andrea J.</t>
  </si>
  <si>
    <t>Ms.  Rachel A.</t>
  </si>
  <si>
    <t>Ms.  Kiersten</t>
  </si>
  <si>
    <t>Mr.  Lelisa</t>
  </si>
  <si>
    <t>Mr.  Chris C.</t>
  </si>
  <si>
    <t>Mr.  Erik C.</t>
  </si>
  <si>
    <t>Mr.  Shawn C</t>
  </si>
  <si>
    <t>Mr.  Vajin L.</t>
  </si>
  <si>
    <t>Mr.  Kevin J.</t>
  </si>
  <si>
    <t>Mr.  Kirby W.</t>
  </si>
  <si>
    <t>Mr.  J A</t>
  </si>
  <si>
    <t>Mr.  Dustin G.</t>
  </si>
  <si>
    <t>Mr.  Anthony G</t>
  </si>
  <si>
    <t>Mr.  Eric N</t>
  </si>
  <si>
    <t>Mr.  Connor</t>
  </si>
  <si>
    <t>Mr.  Patrick H.</t>
  </si>
  <si>
    <t>Ms.  Deborah L.</t>
  </si>
  <si>
    <t>Ms.  Andrea K</t>
  </si>
  <si>
    <t>Ms.  Elleree</t>
  </si>
  <si>
    <t>Mr.  Brandon J</t>
  </si>
  <si>
    <t>Ms.  Nina Wavik Sr.</t>
  </si>
  <si>
    <t>Ms.  Dani</t>
  </si>
  <si>
    <t>Ms.  Kathryn M.</t>
  </si>
  <si>
    <t>Mr.  Trent A</t>
  </si>
  <si>
    <t>Ms.  Jennifer E</t>
  </si>
  <si>
    <t>Ms.  Tiffany A.</t>
  </si>
  <si>
    <t>Mr.  Pat</t>
  </si>
  <si>
    <t>Ms.  Rebecca M.</t>
  </si>
  <si>
    <t>Ms.  Ruth</t>
  </si>
  <si>
    <t>Mr.  Gregory S</t>
  </si>
  <si>
    <t>Ms.  Alexandra S</t>
  </si>
  <si>
    <t>Ms.  Hillary</t>
  </si>
  <si>
    <t>Ms.  Amy K.</t>
  </si>
  <si>
    <t>Mr.  Maaikel</t>
  </si>
  <si>
    <t>Mr.  Christopher S.</t>
  </si>
  <si>
    <t>Mr.  William R</t>
  </si>
  <si>
    <t>Ms.  Lyndsy</t>
  </si>
  <si>
    <t>Ms.  Anna</t>
  </si>
  <si>
    <t>Mr.  Eric S</t>
  </si>
  <si>
    <t>Ms.  Sonja</t>
  </si>
  <si>
    <t>Ms.  Martha L.</t>
  </si>
  <si>
    <t>Mr.  Ryan C.</t>
  </si>
  <si>
    <t>Mr.  Cliff</t>
  </si>
  <si>
    <t>Mr.  Blue</t>
  </si>
  <si>
    <t>Mr.  Jeffrey M</t>
  </si>
  <si>
    <t>Mr.  Mohd Syahidan</t>
  </si>
  <si>
    <t>Ms.  Christi A.</t>
  </si>
  <si>
    <t>Ms.  Sandra K.</t>
  </si>
  <si>
    <t>Mr.  Jerome</t>
  </si>
  <si>
    <t>Ms.  Julia R</t>
  </si>
  <si>
    <t>Mr.  Sean Henry</t>
  </si>
  <si>
    <t>Ms.  Abby L.</t>
  </si>
  <si>
    <t>Mr.  Ali</t>
  </si>
  <si>
    <t>Mr.  Pierre</t>
  </si>
  <si>
    <t>Mr.  Alvaro Sr.</t>
  </si>
  <si>
    <t>Mr.  Mark P.</t>
  </si>
  <si>
    <t>Mr.  Mario Jr.</t>
  </si>
  <si>
    <t>Mr.  Lusapho</t>
  </si>
  <si>
    <t>Mr.  Alan F</t>
  </si>
  <si>
    <t>Mr.  Jacob J</t>
  </si>
  <si>
    <t>Mr.  Jose Tomas</t>
  </si>
  <si>
    <t>Ms.  Mary Evan</t>
  </si>
  <si>
    <t>Mr.  Justin K.</t>
  </si>
  <si>
    <t>Mr.  Roman</t>
  </si>
  <si>
    <t>Ms.  Evelyn L</t>
  </si>
  <si>
    <t>Mr.  Matthew S</t>
  </si>
  <si>
    <t>Mrs.  Kathleen</t>
  </si>
  <si>
    <t>Ms.  Flannery</t>
  </si>
  <si>
    <t>Mr.  John T</t>
  </si>
  <si>
    <t>Ms.  Candice M</t>
  </si>
  <si>
    <t>Mr.  Theodore A.</t>
  </si>
  <si>
    <t>Ms.  Lindy</t>
  </si>
  <si>
    <t>Ms.  Holly</t>
  </si>
  <si>
    <t>Ms.  Meghan K</t>
  </si>
  <si>
    <t>Mr.  Fred</t>
  </si>
  <si>
    <t>Mr.  Sebastian</t>
  </si>
  <si>
    <t>Ms.  Susan E</t>
  </si>
  <si>
    <t>Ms.  Katy</t>
  </si>
  <si>
    <t>Mr.  Evan P</t>
  </si>
  <si>
    <t>Mr.  Aaron K</t>
  </si>
  <si>
    <t>Hawks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</si>
  <si>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</si>
  <si>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</si>
  <si>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</si>
  <si>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</si>
  <si>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</si>
  <si>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</si>
  <si>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</si>
  <si>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</si>
  <si>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</si>
  <si>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Fierro Vargas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</si>
  <si>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</si>
  <si>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</si>
  <si>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</si>
  <si>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</si>
  <si>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</si>
  <si>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</si>
  <si>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</si>
  <si>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</si>
  <si>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</si>
  <si>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</si>
  <si>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</si>
  <si>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</si>
  <si>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</si>
  <si>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</si>
  <si>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</si>
  <si>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</si>
  <si>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</si>
  <si>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</si>
  <si>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</si>
  <si>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</si>
  <si>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</si>
  <si>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</si>
  <si>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</si>
  <si>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</si>
  <si>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</si>
  <si>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</si>
  <si>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</si>
  <si>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</si>
  <si>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</si>
  <si>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</si>
  <si>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</si>
  <si>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</si>
  <si>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</si>
  <si>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</si>
  <si>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</si>
  <si>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</si>
  <si>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De Simone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</si>
  <si>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</si>
  <si>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</si>
  <si>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</si>
  <si>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</si>
  <si>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</si>
  <si>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</si>
  <si>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</si>
  <si>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</si>
  <si>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</si>
  <si>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</si>
  <si>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</si>
  <si>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</si>
  <si>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</si>
  <si>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</si>
  <si>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</si>
  <si>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</si>
  <si>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</si>
  <si>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</si>
  <si>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</si>
  <si>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</si>
  <si>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</si>
  <si>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</si>
  <si>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</si>
  <si>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</si>
  <si>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</si>
  <si>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</si>
  <si>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</si>
  <si>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</si>
  <si>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</si>
  <si>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</si>
  <si>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</si>
  <si>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</si>
  <si>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</si>
  <si>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</si>
  <si>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</si>
  <si>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</si>
  <si>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</si>
  <si>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</si>
  <si>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</si>
  <si>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</si>
  <si>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</si>
  <si>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</si>
  <si>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</si>
  <si>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</si>
  <si>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</si>
  <si>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</si>
  <si>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</si>
  <si>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Van Hout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</si>
  <si>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</si>
  <si>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</si>
  <si>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</si>
  <si>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</si>
  <si>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</si>
  <si>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</si>
  <si>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</si>
  <si>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</si>
  <si>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</si>
  <si>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</si>
  <si>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</si>
  <si>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</si>
  <si>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</si>
  <si>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</si>
  <si>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</si>
  <si>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</si>
  <si>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</si>
  <si>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</si>
  <si>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</si>
  <si>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</si>
  <si>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</si>
  <si>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</si>
  <si>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</si>
  <si>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</si>
  <si>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</si>
  <si>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</si>
  <si>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</si>
  <si>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</si>
  <si>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</si>
  <si>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Navarro Castro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</si>
  <si>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</si>
  <si>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</si>
  <si>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</si>
  <si>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</si>
  <si>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</si>
  <si>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</si>
  <si>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</si>
  <si>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</si>
  <si>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</si>
  <si>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</si>
  <si>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</si>
  <si>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</si>
  <si>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</si>
  <si>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</si>
  <si>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</si>
  <si>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</si>
  <si>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</si>
  <si>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</si>
  <si>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</si>
  <si>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</si>
  <si>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</si>
  <si>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</si>
  <si>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</si>
  <si>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</si>
  <si>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</si>
  <si>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</si>
  <si>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</si>
  <si>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</si>
  <si>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</si>
  <si>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</si>
  <si>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</si>
  <si>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</si>
  <si>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</si>
  <si>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</si>
  <si>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</si>
  <si>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</si>
  <si>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</si>
  <si>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</si>
  <si>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</si>
  <si>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</si>
  <si>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</si>
  <si>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</si>
  <si>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</si>
  <si>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</si>
  <si>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</si>
  <si>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</si>
  <si>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</si>
  <si>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</si>
  <si>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</si>
  <si>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</si>
  <si>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</si>
  <si>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</si>
  <si>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</si>
  <si>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</si>
  <si>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</si>
  <si>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</si>
  <si>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</si>
  <si>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</si>
  <si>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</si>
  <si>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</si>
  <si>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</si>
  <si>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</si>
  <si>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</si>
  <si>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</si>
  <si>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</si>
  <si>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Garcia Garcia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</si>
  <si>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</si>
  <si>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</si>
  <si>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</si>
  <si>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</si>
  <si>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</si>
  <si>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</si>
  <si>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</si>
  <si>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</si>
  <si>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</si>
  <si>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</si>
  <si>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</si>
  <si>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</si>
  <si>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</si>
  <si>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</si>
  <si>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</si>
  <si>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</si>
  <si>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</si>
  <si>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</si>
  <si>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</si>
  <si>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</si>
  <si>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</si>
  <si>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</si>
  <si>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</si>
  <si>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</si>
  <si>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</si>
  <si>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</si>
  <si>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</si>
  <si>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</si>
  <si>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</si>
  <si>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</si>
  <si>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</si>
  <si>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</si>
  <si>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</si>
  <si>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</si>
  <si>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</si>
  <si>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</si>
  <si>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</si>
  <si>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</si>
  <si>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</si>
  <si>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</si>
  <si>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</si>
  <si>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</si>
  <si>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</si>
  <si>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</si>
  <si>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</si>
  <si>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</si>
  <si>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</si>
  <si>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</si>
  <si>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</si>
  <si>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</si>
  <si>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</si>
  <si>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</si>
  <si>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</si>
  <si>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</si>
  <si>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</si>
  <si>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</si>
  <si>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</si>
  <si>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</si>
  <si>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</si>
  <si>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</si>
  <si>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</si>
  <si>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</si>
  <si>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</si>
  <si>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</si>
  <si>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</si>
  <si>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</si>
  <si>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</si>
  <si>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</si>
  <si>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</si>
  <si>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</si>
  <si>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</si>
  <si>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</si>
  <si>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</si>
  <si>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</si>
  <si>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</si>
  <si>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</si>
  <si>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</si>
  <si>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</si>
  <si>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</si>
  <si>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</si>
  <si>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</si>
  <si>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</si>
  <si>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</si>
  <si>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</si>
  <si>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</si>
  <si>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</si>
  <si>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</si>
  <si>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</si>
  <si>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</si>
  <si>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</si>
  <si>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</si>
  <si>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</si>
  <si>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</si>
  <si>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</si>
  <si>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</si>
  <si>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</si>
  <si>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</si>
  <si>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</si>
  <si>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</si>
  <si>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</si>
  <si>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</si>
  <si>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</si>
  <si>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</si>
  <si>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</si>
  <si>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</si>
  <si>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</si>
  <si>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</si>
  <si>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</si>
  <si>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</si>
  <si>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</si>
  <si>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San Juan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</si>
  <si>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</si>
  <si>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</si>
  <si>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</si>
  <si>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</si>
  <si>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</si>
  <si>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</si>
  <si>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</si>
  <si>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</si>
  <si>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</si>
  <si>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</si>
  <si>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</si>
  <si>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</si>
  <si>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</si>
  <si>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</si>
  <si>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</si>
  <si>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</si>
  <si>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</si>
  <si>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</si>
  <si>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</si>
  <si>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</si>
  <si>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</si>
  <si>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</si>
  <si>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</si>
  <si>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</si>
  <si>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</si>
  <si>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</si>
  <si>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</si>
  <si>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</si>
  <si>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</si>
  <si>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</si>
  <si>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</si>
  <si>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</si>
  <si>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</si>
  <si>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</si>
  <si>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</si>
  <si>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</si>
  <si>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</si>
  <si>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</si>
  <si>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Sanchez Y Torres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</si>
  <si>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</si>
  <si>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</si>
  <si>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</si>
  <si>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</si>
  <si>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</si>
  <si>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</si>
  <si>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</si>
  <si>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</si>
  <si>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</si>
  <si>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</si>
  <si>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</si>
  <si>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</si>
  <si>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</si>
  <si>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Martinez Lopez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</si>
  <si>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</si>
  <si>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</si>
  <si>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</si>
  <si>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</si>
  <si>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</si>
  <si>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</si>
  <si>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</si>
  <si>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</si>
  <si>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</si>
  <si>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</si>
  <si>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</si>
  <si>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</si>
  <si>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</si>
  <si>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</si>
  <si>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</si>
  <si>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</si>
  <si>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</si>
  <si>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</si>
  <si>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</si>
  <si>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</si>
  <si>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</si>
  <si>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</si>
  <si>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</si>
  <si>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</si>
  <si>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</si>
  <si>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</si>
  <si>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</si>
  <si>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</si>
  <si>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</si>
  <si>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</si>
  <si>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</si>
  <si>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</si>
  <si>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</si>
  <si>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</si>
  <si>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</si>
  <si>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</si>
  <si>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</si>
  <si>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</si>
  <si>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</si>
  <si>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</si>
  <si>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</si>
  <si>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</si>
  <si>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</si>
  <si>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</si>
  <si>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</si>
  <si>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</si>
  <si>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</si>
  <si>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</si>
  <si>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</si>
  <si>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</si>
  <si>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</si>
  <si>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</si>
  <si>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</si>
  <si>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</si>
  <si>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</si>
  <si>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</si>
  <si>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</si>
  <si>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</si>
  <si>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</si>
  <si>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</si>
  <si>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</si>
  <si>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</si>
  <si>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</si>
  <si>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</si>
  <si>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</si>
  <si>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</si>
  <si>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</si>
  <si>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</si>
  <si>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</si>
  <si>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</si>
  <si>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</si>
  <si>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</si>
  <si>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</si>
  <si>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</si>
  <si>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</si>
  <si>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Kelly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</si>
  <si>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</si>
  <si>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</si>
  <si>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</si>
  <si>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</si>
  <si>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</si>
  <si>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</si>
  <si>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</si>
  <si>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</si>
  <si>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</si>
  <si>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</si>
  <si>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</si>
  <si>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</si>
  <si>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</si>
  <si>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</si>
  <si>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</si>
  <si>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</si>
  <si>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</si>
  <si>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</si>
  <si>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</si>
  <si>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</si>
  <si>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</si>
  <si>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</si>
  <si>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</si>
  <si>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</si>
  <si>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</si>
  <si>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</si>
  <si>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</si>
  <si>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</si>
  <si>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</si>
  <si>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</si>
  <si>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</si>
  <si>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</si>
  <si>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</si>
  <si>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</si>
  <si>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</si>
  <si>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</si>
  <si>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</si>
  <si>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</si>
  <si>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Van Es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</si>
  <si>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</si>
  <si>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</si>
  <si>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</si>
  <si>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</si>
  <si>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</si>
  <si>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</si>
  <si>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</si>
  <si>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</si>
  <si>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</si>
  <si>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</si>
  <si>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</si>
  <si>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</si>
  <si>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</si>
  <si>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</si>
  <si>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</si>
  <si>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</si>
  <si>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</si>
  <si>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</si>
  <si>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</si>
  <si>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</si>
  <si>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</si>
  <si>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</si>
  <si>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</si>
  <si>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</si>
  <si>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</si>
  <si>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</si>
  <si>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</si>
  <si>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</si>
  <si>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</si>
  <si>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</si>
  <si>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</si>
  <si>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</si>
  <si>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</si>
  <si>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</si>
  <si>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</si>
  <si>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</si>
  <si>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</si>
  <si>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</si>
  <si>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</si>
  <si>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</si>
  <si>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</si>
  <si>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</si>
  <si>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</si>
  <si>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</si>
  <si>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</si>
  <si>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</si>
  <si>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</si>
  <si>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</si>
  <si>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</si>
  <si>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</si>
  <si>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</si>
  <si>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</si>
  <si>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</si>
  <si>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</si>
  <si>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</si>
  <si>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</si>
  <si>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</si>
  <si>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</si>
  <si>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</si>
  <si>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</si>
  <si>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</si>
  <si>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</si>
  <si>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</si>
  <si>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</si>
  <si>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</si>
  <si>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</si>
  <si>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</si>
  <si>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</si>
  <si>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</si>
  <si>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</si>
  <si>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</si>
  <si>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</si>
  <si>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</si>
  <si>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</si>
  <si>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</si>
  <si>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</si>
  <si>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</si>
  <si>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</si>
  <si>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</si>
  <si>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</si>
  <si>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</si>
  <si>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</si>
  <si>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</si>
  <si>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</si>
  <si>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</si>
  <si>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</si>
  <si>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</si>
  <si>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</si>
  <si>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</si>
  <si>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</si>
  <si>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</si>
  <si>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</si>
  <si>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</si>
  <si>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</si>
  <si>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</si>
  <si>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</si>
  <si>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</si>
  <si>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</si>
  <si>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Scott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</si>
  <si>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</si>
  <si>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</si>
  <si>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</si>
  <si>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</si>
  <si>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</si>
  <si>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</si>
  <si>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</si>
  <si>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</si>
  <si>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</si>
  <si>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</si>
  <si>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</si>
  <si>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</si>
  <si>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</si>
  <si>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</si>
  <si>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</si>
  <si>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</si>
  <si>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</si>
  <si>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</si>
  <si>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</si>
  <si>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</si>
  <si>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</si>
  <si>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</si>
  <si>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</si>
  <si>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</si>
  <si>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</si>
  <si>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</si>
  <si>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</si>
  <si>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</si>
  <si>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</si>
  <si>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</si>
  <si>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</si>
  <si>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</si>
  <si>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</si>
  <si>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</si>
  <si>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</si>
  <si>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</si>
  <si>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</si>
  <si>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</si>
  <si>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</si>
  <si>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</si>
  <si>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</si>
  <si>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</si>
  <si>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</si>
  <si>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</si>
  <si>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</si>
  <si>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</si>
  <si>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</si>
  <si>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</si>
  <si>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</si>
  <si>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</si>
  <si>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</si>
  <si>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</si>
  <si>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</si>
  <si>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</si>
  <si>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</si>
  <si>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</si>
  <si>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</si>
  <si>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</si>
  <si>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</si>
  <si>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</si>
  <si>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</si>
  <si>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</si>
  <si>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</si>
  <si>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</si>
  <si>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</si>
  <si>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</si>
  <si>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</si>
  <si>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</si>
  <si>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</si>
  <si>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</si>
  <si>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</si>
  <si>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</si>
  <si>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</si>
  <si>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</si>
  <si>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</si>
  <si>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</si>
  <si>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</si>
  <si>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Mason Cox</t>
  </si>
  <si>
    <t>Thompson</t>
  </si>
  <si>
    <t>Nelson</t>
  </si>
  <si>
    <t>Forte</t>
  </si>
  <si>
    <t>Corona Iturriaga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</si>
  <si>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</si>
  <si>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</si>
  <si>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</si>
  <si>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</si>
  <si>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</si>
  <si>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</si>
  <si>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</si>
  <si>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</si>
  <si>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</si>
  <si>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</si>
  <si>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</si>
  <si>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</si>
  <si>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</si>
  <si>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</si>
  <si>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</si>
  <si>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</si>
  <si>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</si>
  <si>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</si>
  <si>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</si>
  <si>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</si>
  <si>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</si>
  <si>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</si>
  <si>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</si>
  <si>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</si>
  <si>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</si>
  <si>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</si>
  <si>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</si>
  <si>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</si>
  <si>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</si>
  <si>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</si>
  <si>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</si>
  <si>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</si>
  <si>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</si>
  <si>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Stanley Torres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</si>
  <si>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</si>
  <si>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</si>
  <si>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</si>
  <si>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</si>
  <si>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</si>
  <si>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</si>
  <si>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</si>
  <si>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</si>
  <si>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</si>
  <si>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</si>
  <si>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</si>
  <si>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</si>
  <si>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</si>
  <si>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</si>
  <si>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</si>
  <si>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</si>
  <si>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</si>
  <si>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</si>
  <si>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</si>
  <si>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</si>
  <si>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</si>
  <si>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</si>
  <si>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</si>
  <si>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</si>
  <si>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</si>
  <si>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</si>
  <si>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</si>
  <si>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</si>
  <si>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</si>
  <si>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</si>
  <si>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</si>
  <si>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</si>
  <si>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</si>
  <si>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</si>
  <si>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</si>
  <si>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</si>
  <si>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</si>
  <si>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</si>
  <si>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</si>
  <si>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</si>
  <si>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</si>
  <si>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</si>
  <si>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</si>
  <si>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</si>
  <si>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</si>
  <si>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</si>
  <si>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</si>
  <si>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</si>
  <si>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</si>
  <si>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</si>
  <si>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Pena 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</si>
  <si>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</si>
  <si>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</si>
  <si>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</si>
  <si>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</si>
  <si>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</si>
  <si>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</si>
  <si>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</si>
  <si>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</si>
  <si>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</si>
  <si>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</si>
  <si>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</si>
  <si>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</si>
  <si>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</si>
  <si>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</si>
  <si>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</si>
  <si>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</si>
  <si>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</si>
  <si>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</si>
  <si>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</si>
  <si>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</si>
  <si>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</si>
  <si>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</si>
  <si>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</si>
  <si>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</si>
  <si>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</si>
  <si>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</si>
  <si>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</si>
  <si>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</si>
  <si>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</si>
  <si>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</si>
  <si>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</si>
  <si>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</si>
  <si>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</si>
  <si>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</si>
  <si>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</si>
  <si>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</si>
  <si>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</si>
  <si>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</si>
  <si>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</si>
  <si>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</si>
  <si>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</si>
  <si>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</si>
  <si>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</si>
  <si>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</si>
  <si>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</si>
  <si>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</si>
  <si>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</si>
  <si>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</si>
  <si>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</si>
  <si>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</si>
  <si>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</si>
  <si>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</si>
  <si>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</si>
  <si>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</si>
  <si>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</si>
  <si>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</si>
  <si>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</si>
  <si>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</si>
  <si>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</si>
  <si>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</si>
  <si>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</si>
  <si>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</si>
  <si>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</si>
  <si>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</si>
  <si>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</si>
  <si>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</si>
  <si>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</si>
  <si>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</si>
  <si>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</si>
  <si>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</si>
  <si>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</si>
  <si>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</si>
  <si>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</si>
  <si>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</si>
  <si>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</si>
  <si>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</si>
  <si>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</si>
  <si>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</si>
  <si>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</si>
  <si>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</si>
  <si>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</si>
  <si>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Imbalzano Zegar</t>
  </si>
  <si>
    <t>Triedman</t>
  </si>
  <si>
    <t>Lovuolo</t>
  </si>
  <si>
    <t>Chung</t>
  </si>
  <si>
    <t>Newsom</t>
  </si>
  <si>
    <t>Harrington</t>
  </si>
  <si>
    <t>Hoffman</t>
  </si>
  <si>
    <t>Van Vugt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</si>
  <si>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</si>
  <si>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</si>
  <si>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</si>
  <si>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</si>
  <si>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</si>
  <si>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</si>
  <si>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</si>
  <si>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</si>
  <si>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</si>
  <si>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</si>
  <si>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</si>
  <si>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</si>
  <si>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</si>
  <si>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</si>
  <si>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</si>
  <si>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</si>
  <si>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</si>
  <si>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</si>
  <si>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</si>
  <si>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</si>
  <si>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</si>
  <si>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</si>
  <si>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</si>
  <si>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</si>
  <si>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</si>
  <si>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</si>
  <si>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</si>
  <si>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</si>
  <si>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</si>
  <si>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</si>
  <si>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</si>
  <si>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</si>
  <si>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</si>
  <si>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</si>
  <si>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</si>
  <si>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</si>
  <si>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</si>
  <si>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</si>
  <si>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</si>
  <si>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</si>
  <si>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</si>
  <si>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</si>
  <si>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</si>
  <si>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</si>
  <si>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</si>
  <si>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</si>
  <si>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</si>
  <si>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</si>
  <si>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</si>
  <si>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</si>
  <si>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</si>
  <si>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</si>
  <si>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</si>
  <si>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</si>
  <si>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</si>
  <si>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</si>
  <si>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</si>
  <si>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</si>
  <si>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</si>
  <si>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</si>
  <si>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</si>
  <si>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</si>
  <si>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</si>
  <si>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</si>
  <si>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</si>
  <si>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</si>
  <si>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</si>
  <si>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</si>
  <si>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</si>
  <si>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</si>
  <si>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</si>
  <si>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</si>
  <si>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</si>
  <si>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</si>
  <si>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</si>
  <si>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</si>
  <si>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</si>
  <si>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</si>
  <si>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</si>
  <si>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</si>
  <si>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</si>
  <si>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</si>
  <si>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</si>
  <si>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</si>
  <si>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</si>
  <si>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</si>
  <si>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</si>
  <si>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</si>
  <si>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</si>
  <si>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</si>
  <si>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</si>
  <si>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</si>
  <si>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</si>
  <si>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</si>
  <si>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</si>
  <si>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</si>
  <si>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</si>
  <si>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</si>
  <si>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</si>
  <si>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</si>
  <si>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</si>
  <si>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</si>
  <si>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</si>
  <si>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</si>
  <si>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</si>
  <si>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</si>
  <si>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</si>
  <si>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</si>
  <si>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</si>
  <si>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</si>
  <si>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</si>
  <si>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</si>
  <si>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</si>
  <si>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</si>
  <si>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</si>
  <si>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</si>
  <si>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</si>
  <si>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</si>
  <si>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</si>
  <si>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</si>
  <si>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</si>
  <si>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</si>
  <si>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</si>
  <si>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</si>
  <si>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</si>
  <si>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</si>
  <si>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</si>
  <si>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</si>
  <si>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</si>
  <si>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</si>
  <si>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</si>
  <si>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</si>
  <si>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</si>
  <si>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</si>
  <si>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</si>
  <si>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</si>
  <si>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</si>
  <si>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</si>
  <si>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</si>
  <si>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</si>
  <si>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</si>
  <si>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</si>
  <si>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</si>
  <si>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</si>
  <si>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</si>
  <si>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</si>
  <si>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</si>
  <si>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</si>
  <si>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</si>
  <si>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</si>
  <si>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</si>
  <si>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</si>
  <si>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</si>
  <si>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</si>
  <si>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Vallejo Sarmiento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</si>
  <si>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</si>
  <si>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</si>
  <si>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</si>
  <si>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</si>
  <si>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</si>
  <si>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</si>
  <si>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</si>
  <si>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</si>
  <si>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</si>
  <si>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</si>
  <si>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</si>
  <si>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</si>
  <si>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</si>
  <si>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</si>
  <si>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</si>
  <si>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</si>
  <si>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</si>
  <si>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</si>
  <si>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</si>
  <si>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</si>
  <si>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</si>
  <si>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</si>
  <si>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</si>
  <si>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</si>
  <si>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</si>
  <si>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</si>
  <si>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</si>
  <si>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</si>
  <si>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</si>
  <si>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</si>
  <si>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</si>
  <si>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</si>
  <si>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</si>
  <si>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</si>
  <si>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</si>
  <si>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</si>
  <si>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</si>
  <si>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</si>
  <si>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</si>
  <si>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</si>
  <si>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</si>
  <si>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</si>
  <si>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</si>
  <si>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</si>
  <si>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</si>
  <si>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</si>
  <si>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</si>
  <si>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</si>
  <si>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</si>
  <si>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</si>
  <si>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</si>
  <si>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</si>
  <si>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</si>
  <si>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</si>
  <si>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</si>
  <si>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</si>
  <si>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</si>
  <si>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</si>
  <si>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</si>
  <si>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</si>
  <si>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</si>
  <si>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</si>
  <si>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</si>
  <si>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</si>
  <si>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</si>
  <si>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</si>
  <si>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</si>
  <si>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</si>
  <si>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</si>
  <si>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</si>
  <si>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</si>
  <si>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</si>
  <si>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</si>
  <si>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</si>
  <si>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</si>
  <si>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</si>
  <si>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</si>
  <si>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</si>
  <si>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</si>
  <si>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</si>
  <si>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</si>
  <si>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</si>
  <si>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</si>
  <si>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</si>
  <si>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</si>
  <si>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</si>
  <si>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</si>
  <si>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</si>
  <si>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</si>
  <si>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</si>
  <si>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</si>
  <si>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</si>
  <si>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</si>
  <si>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</si>
  <si>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</si>
  <si>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</si>
  <si>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</si>
  <si>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</si>
  <si>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</si>
  <si>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</si>
  <si>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</si>
  <si>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</si>
  <si>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</si>
  <si>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</si>
  <si>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</si>
  <si>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</si>
  <si>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</si>
  <si>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</si>
  <si>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</si>
  <si>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</si>
  <si>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</si>
  <si>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</si>
  <si>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</si>
  <si>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</si>
  <si>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</si>
  <si>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</si>
  <si>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</si>
  <si>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</si>
  <si>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</si>
  <si>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</si>
  <si>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</si>
  <si>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</si>
  <si>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</si>
  <si>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</si>
  <si>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</si>
  <si>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</si>
  <si>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</si>
  <si>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Escanero Palmer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</si>
  <si>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</si>
  <si>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</si>
  <si>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</si>
  <si>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</si>
  <si>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</si>
  <si>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</si>
  <si>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</si>
  <si>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</si>
  <si>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</si>
  <si>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</si>
  <si>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</si>
  <si>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</si>
  <si>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</si>
  <si>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</si>
  <si>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</si>
  <si>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</si>
  <si>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</si>
  <si>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</si>
  <si>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</si>
  <si>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</si>
  <si>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</si>
  <si>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</si>
  <si>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</si>
  <si>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</si>
  <si>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</si>
  <si>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</si>
  <si>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</si>
  <si>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</si>
  <si>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</si>
  <si>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</si>
  <si>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</si>
  <si>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</si>
  <si>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</si>
  <si>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</si>
  <si>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</si>
  <si>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Van De Kamp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</si>
  <si>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</si>
  <si>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</si>
  <si>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</si>
  <si>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</si>
  <si>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</si>
  <si>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</si>
  <si>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</si>
  <si>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</si>
  <si>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</si>
  <si>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</si>
  <si>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</si>
  <si>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</si>
  <si>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De Mata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</si>
  <si>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</si>
  <si>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</si>
  <si>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</si>
  <si>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</si>
  <si>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</si>
  <si>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</si>
  <si>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</si>
  <si>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</si>
  <si>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</si>
  <si>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</si>
  <si>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</si>
  <si>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</si>
  <si>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</si>
  <si>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</si>
  <si>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</si>
  <si>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</si>
  <si>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</si>
  <si>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</si>
  <si>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</si>
  <si>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</si>
  <si>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</si>
  <si>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</si>
  <si>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</si>
  <si>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</si>
  <si>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</si>
  <si>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</si>
  <si>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</si>
  <si>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</si>
  <si>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</si>
  <si>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</si>
  <si>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</si>
  <si>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</si>
  <si>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</si>
  <si>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</si>
  <si>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</si>
  <si>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</si>
  <si>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</si>
  <si>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</si>
  <si>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</si>
  <si>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</si>
  <si>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</si>
  <si>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</si>
  <si>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</si>
  <si>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</si>
  <si>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</si>
  <si>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</si>
  <si>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</si>
  <si>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</si>
  <si>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</si>
  <si>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</si>
  <si>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</si>
  <si>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</si>
  <si>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</si>
  <si>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</si>
  <si>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</si>
  <si>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</si>
  <si>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</si>
  <si>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</si>
  <si>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</si>
  <si>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</si>
  <si>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</si>
  <si>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</si>
  <si>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</si>
  <si>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</si>
  <si>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</si>
  <si>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</si>
  <si>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</si>
  <si>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</si>
  <si>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</si>
  <si>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</si>
  <si>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</si>
  <si>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</si>
  <si>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</si>
  <si>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</si>
  <si>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</si>
  <si>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</si>
  <si>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</si>
  <si>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</si>
  <si>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</si>
  <si>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</si>
  <si>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</si>
  <si>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</si>
  <si>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</si>
  <si>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</si>
  <si>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</si>
  <si>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</si>
  <si>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</si>
  <si>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</si>
  <si>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</si>
  <si>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</si>
  <si>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</si>
  <si>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</si>
  <si>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</si>
  <si>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</si>
  <si>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</si>
  <si>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</si>
  <si>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</si>
  <si>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</si>
  <si>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</si>
  <si>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</si>
  <si>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</si>
  <si>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</si>
  <si>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</si>
  <si>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</si>
  <si>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</si>
  <si>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</si>
  <si>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</si>
  <si>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</si>
  <si>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</si>
  <si>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</si>
  <si>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</si>
  <si>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</si>
  <si>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</si>
  <si>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</si>
  <si>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</si>
  <si>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</si>
  <si>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</si>
  <si>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</si>
  <si>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</si>
  <si>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</si>
  <si>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</si>
  <si>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</si>
  <si>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</si>
  <si>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</si>
  <si>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</si>
  <si>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Barrera Munoz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</si>
  <si>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</si>
  <si>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</si>
  <si>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</si>
  <si>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</si>
  <si>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</si>
  <si>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</si>
  <si>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</si>
  <si>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</si>
  <si>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</si>
  <si>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</si>
  <si>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</si>
  <si>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</si>
  <si>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</si>
  <si>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</si>
  <si>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</si>
  <si>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</si>
  <si>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</si>
  <si>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</si>
  <si>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</si>
  <si>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</si>
  <si>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</si>
  <si>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</si>
  <si>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</si>
  <si>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</si>
  <si>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</si>
  <si>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</si>
  <si>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</si>
  <si>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</si>
  <si>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</si>
  <si>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</si>
  <si>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</si>
  <si>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</si>
  <si>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</si>
  <si>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</si>
  <si>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</si>
  <si>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</si>
  <si>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</si>
  <si>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</si>
  <si>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Do Prado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</si>
  <si>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</si>
  <si>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</si>
  <si>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</si>
  <si>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</si>
  <si>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</si>
  <si>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</si>
  <si>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</si>
  <si>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</si>
  <si>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</si>
  <si>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</si>
  <si>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</si>
  <si>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</si>
  <si>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</si>
  <si>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</si>
  <si>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</si>
  <si>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</si>
  <si>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</si>
  <si>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</si>
  <si>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</si>
  <si>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</si>
  <si>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</si>
  <si>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</si>
  <si>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</si>
  <si>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Sanchez Antognini</t>
  </si>
  <si>
    <t>Condon</t>
  </si>
  <si>
    <t>Magato</t>
  </si>
  <si>
    <t>Dombrowski</t>
  </si>
  <si>
    <t>Ohara</t>
  </si>
  <si>
    <t>Cifuentes Fetiva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</si>
  <si>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</si>
  <si>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</si>
  <si>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</si>
  <si>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</si>
  <si>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</si>
  <si>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</si>
  <si>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</si>
  <si>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</si>
  <si>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</si>
  <si>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</si>
  <si>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</si>
  <si>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</si>
  <si>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</si>
  <si>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</si>
  <si>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</si>
  <si>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</si>
  <si>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</si>
  <si>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</si>
  <si>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</si>
  <si>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</si>
  <si>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</si>
  <si>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</si>
  <si>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</si>
  <si>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</si>
  <si>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</si>
  <si>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</si>
  <si>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</si>
  <si>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</si>
  <si>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</si>
  <si>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</si>
  <si>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</si>
  <si>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</si>
  <si>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</si>
  <si>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</si>
  <si>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</si>
  <si>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</si>
  <si>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</si>
  <si>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</si>
  <si>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</si>
  <si>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</si>
  <si>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</si>
  <si>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Mancebo Garcia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</si>
  <si>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</si>
  <si>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</si>
  <si>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</si>
  <si>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</si>
  <si>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</si>
  <si>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</si>
  <si>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</si>
  <si>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</si>
  <si>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</si>
  <si>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Knight Pech</t>
  </si>
  <si>
    <t>Jubinski</t>
  </si>
  <si>
    <t>Wall</t>
  </si>
  <si>
    <t>McKay</t>
  </si>
  <si>
    <t>Oh</t>
  </si>
  <si>
    <t>Kessell</t>
  </si>
  <si>
    <t>Hidalgo Zambrano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</si>
  <si>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</si>
  <si>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</si>
  <si>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</si>
  <si>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</si>
  <si>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</si>
  <si>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</si>
  <si>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</si>
  <si>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</si>
  <si>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</si>
  <si>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</si>
  <si>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</si>
  <si>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</si>
  <si>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</si>
  <si>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</si>
  <si>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</si>
  <si>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</si>
  <si>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</si>
  <si>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</si>
  <si>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</si>
  <si>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</si>
  <si>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</si>
  <si>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</si>
  <si>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</si>
  <si>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</si>
  <si>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</si>
  <si>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</si>
  <si>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</si>
  <si>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</si>
  <si>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</si>
  <si>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</si>
  <si>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</si>
  <si>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</si>
  <si>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</si>
  <si>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</si>
  <si>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</si>
  <si>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</si>
  <si>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</si>
  <si>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</si>
  <si>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</si>
  <si>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</si>
  <si>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</si>
  <si>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</si>
  <si>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</si>
  <si>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</si>
  <si>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</si>
  <si>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</si>
  <si>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</si>
  <si>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</si>
  <si>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</si>
  <si>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</si>
  <si>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</si>
  <si>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</si>
  <si>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</si>
  <si>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</si>
  <si>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</si>
  <si>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</si>
  <si>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</si>
  <si>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</si>
  <si>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</si>
  <si>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</si>
  <si>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</si>
  <si>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</si>
  <si>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</si>
  <si>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</si>
  <si>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</si>
  <si>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</si>
  <si>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</si>
  <si>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</si>
  <si>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</si>
  <si>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</si>
  <si>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</si>
  <si>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</si>
  <si>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</si>
  <si>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</si>
  <si>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</si>
  <si>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</si>
  <si>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</si>
  <si>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</si>
  <si>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</si>
  <si>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</si>
  <si>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</si>
  <si>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</si>
  <si>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</si>
  <si>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</si>
  <si>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</si>
  <si>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</si>
  <si>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</si>
  <si>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</si>
  <si>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</si>
  <si>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</si>
  <si>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</si>
  <si>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</si>
  <si>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</si>
  <si>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</si>
  <si>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</si>
  <si>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</si>
  <si>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</si>
  <si>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</si>
  <si>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</si>
  <si>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</si>
  <si>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</si>
  <si>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</si>
  <si>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</si>
  <si>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</si>
  <si>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</si>
  <si>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</si>
  <si>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</si>
  <si>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</si>
  <si>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</si>
  <si>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</si>
  <si>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</si>
  <si>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</si>
  <si>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De Jesus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</si>
  <si>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</si>
  <si>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</si>
  <si>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</si>
  <si>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</si>
  <si>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</si>
  <si>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</si>
  <si>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</si>
  <si>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</si>
  <si>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</si>
  <si>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</si>
  <si>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</si>
  <si>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</si>
  <si>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</si>
  <si>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</si>
  <si>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</si>
  <si>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</si>
  <si>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</si>
  <si>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</si>
  <si>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</si>
  <si>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</si>
  <si>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</si>
  <si>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</si>
  <si>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</si>
  <si>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</si>
  <si>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</si>
  <si>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</si>
  <si>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</si>
  <si>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</si>
  <si>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</si>
  <si>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</si>
  <si>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</si>
  <si>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</si>
  <si>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</si>
  <si>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</si>
  <si>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</si>
  <si>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Tjong Clemons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</si>
  <si>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</si>
  <si>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</si>
  <si>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</si>
  <si>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</si>
  <si>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</si>
  <si>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</si>
  <si>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</si>
  <si>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</si>
  <si>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</si>
  <si>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</si>
  <si>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</si>
  <si>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</si>
  <si>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</si>
  <si>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</si>
  <si>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</si>
  <si>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</si>
  <si>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</si>
  <si>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</si>
  <si>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</si>
  <si>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</si>
  <si>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</si>
  <si>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</si>
  <si>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</si>
  <si>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</si>
  <si>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</si>
  <si>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</si>
  <si>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</si>
  <si>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</si>
  <si>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</si>
  <si>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</si>
  <si>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</si>
  <si>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Shabot Marcos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</si>
  <si>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</si>
  <si>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</si>
  <si>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</si>
  <si>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</si>
  <si>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</si>
  <si>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</si>
  <si>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</si>
  <si>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</si>
  <si>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</si>
  <si>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</si>
  <si>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</si>
  <si>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</si>
  <si>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</si>
  <si>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</si>
  <si>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</si>
  <si>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</si>
  <si>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</si>
  <si>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</si>
  <si>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</si>
  <si>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Van Nielen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</si>
  <si>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</si>
  <si>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</si>
  <si>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</si>
  <si>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</si>
  <si>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</si>
  <si>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</si>
  <si>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</si>
  <si>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</si>
  <si>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</si>
  <si>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</si>
  <si>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</si>
  <si>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</si>
  <si>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</si>
  <si>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</si>
  <si>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</si>
  <si>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</si>
  <si>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</si>
  <si>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</si>
  <si>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</si>
  <si>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</si>
  <si>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</si>
  <si>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</si>
  <si>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</si>
  <si>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</si>
  <si>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</si>
  <si>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</si>
  <si>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</si>
  <si>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</si>
  <si>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</si>
  <si>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</si>
  <si>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</si>
  <si>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</si>
  <si>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</si>
  <si>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</si>
  <si>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</si>
  <si>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</si>
  <si>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</si>
  <si>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</si>
  <si>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</si>
  <si>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</si>
  <si>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</si>
  <si>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</si>
  <si>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</si>
  <si>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</si>
  <si>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</si>
  <si>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Rojas Alvarez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</si>
  <si>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</si>
  <si>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</si>
  <si>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</si>
  <si>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</si>
  <si>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</si>
  <si>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</si>
  <si>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</si>
  <si>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</si>
  <si>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</si>
  <si>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</si>
  <si>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</si>
  <si>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</si>
  <si>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</si>
  <si>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</si>
  <si>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</si>
  <si>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</si>
  <si>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</si>
  <si>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</si>
  <si>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</si>
  <si>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</si>
  <si>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</si>
  <si>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</si>
  <si>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</si>
  <si>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</si>
  <si>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</si>
  <si>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</si>
  <si>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</si>
  <si>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</si>
  <si>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</si>
  <si>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</si>
  <si>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</si>
  <si>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</si>
  <si>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</si>
  <si>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</si>
  <si>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</si>
  <si>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</si>
  <si>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</si>
  <si>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</si>
  <si>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</si>
  <si>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</si>
  <si>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</si>
  <si>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</si>
  <si>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</si>
  <si>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</si>
  <si>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</si>
  <si>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</si>
  <si>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</si>
  <si>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</si>
  <si>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Rosales Ramirez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</si>
  <si>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</si>
  <si>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</si>
  <si>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</si>
  <si>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</si>
  <si>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</si>
  <si>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</si>
  <si>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</si>
  <si>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</si>
  <si>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</si>
  <si>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</si>
  <si>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</si>
  <si>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</si>
  <si>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</si>
  <si>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</si>
  <si>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</si>
  <si>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</si>
  <si>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</si>
  <si>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</si>
  <si>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</si>
  <si>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</si>
  <si>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</si>
  <si>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</si>
  <si>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</si>
  <si>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</si>
  <si>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</si>
  <si>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</si>
  <si>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</si>
  <si>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</si>
  <si>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</si>
  <si>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</si>
  <si>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</si>
  <si>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</si>
  <si>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</si>
  <si>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</si>
  <si>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</si>
  <si>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</si>
  <si>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</si>
  <si>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</si>
  <si>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</si>
  <si>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</si>
  <si>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</si>
  <si>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</si>
  <si>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</si>
  <si>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</si>
  <si>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</si>
  <si>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</si>
  <si>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</si>
  <si>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</si>
  <si>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</si>
  <si>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</si>
  <si>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</si>
  <si>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</si>
  <si>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</si>
  <si>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</si>
  <si>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</si>
  <si>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</si>
  <si>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</si>
  <si>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</si>
  <si>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</si>
  <si>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</si>
  <si>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</si>
  <si>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</si>
  <si>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</si>
  <si>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</si>
  <si>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</si>
  <si>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</si>
  <si>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</si>
  <si>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</si>
  <si>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</si>
  <si>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</si>
  <si>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</si>
  <si>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</si>
  <si>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</si>
  <si>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</si>
  <si>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</si>
  <si>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</si>
  <si>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</si>
  <si>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</si>
  <si>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</si>
  <si>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</si>
  <si>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</si>
  <si>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</si>
  <si>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</si>
  <si>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</si>
  <si>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</si>
  <si>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</si>
  <si>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</si>
  <si>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</si>
  <si>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</si>
  <si>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</si>
  <si>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</si>
  <si>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</si>
  <si>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</si>
  <si>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</si>
  <si>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</si>
  <si>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</si>
  <si>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</si>
  <si>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</si>
  <si>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</si>
  <si>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</si>
  <si>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</si>
  <si>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</si>
  <si>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</si>
  <si>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</si>
  <si>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</si>
  <si>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</si>
  <si>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</si>
  <si>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</si>
  <si>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</si>
  <si>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</si>
  <si>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</si>
  <si>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</si>
  <si>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</si>
  <si>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</si>
  <si>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</si>
  <si>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</si>
  <si>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</si>
  <si>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</si>
  <si>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</si>
  <si>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</si>
  <si>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Von Rock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</si>
  <si>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</si>
  <si>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</si>
  <si>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</si>
  <si>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</si>
  <si>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</si>
  <si>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</si>
  <si>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</si>
  <si>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</si>
  <si>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</si>
  <si>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</si>
  <si>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</si>
  <si>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</si>
  <si>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</si>
  <si>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</si>
  <si>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</si>
  <si>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</si>
  <si>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</si>
  <si>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</si>
  <si>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</si>
  <si>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</si>
  <si>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</si>
  <si>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</si>
  <si>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</si>
  <si>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</si>
  <si>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</si>
  <si>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</si>
  <si>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</si>
  <si>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De Hueck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</si>
  <si>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</si>
  <si>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</si>
  <si>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</si>
  <si>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</si>
  <si>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</si>
  <si>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</si>
  <si>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</si>
  <si>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</si>
  <si>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</si>
  <si>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</si>
  <si>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</si>
  <si>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</si>
  <si>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</si>
  <si>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</si>
  <si>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</si>
  <si>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</si>
  <si>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</si>
  <si>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</si>
  <si>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</si>
  <si>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</si>
  <si>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</si>
  <si>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</si>
  <si>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</si>
  <si>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</si>
  <si>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</si>
  <si>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</si>
  <si>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</si>
  <si>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</si>
  <si>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</si>
  <si>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</si>
  <si>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</si>
  <si>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</si>
  <si>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</si>
  <si>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</si>
  <si>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</si>
  <si>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</si>
  <si>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</si>
  <si>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</si>
  <si>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</si>
  <si>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</si>
  <si>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</si>
  <si>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</si>
  <si>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</si>
  <si>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</si>
  <si>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</si>
  <si>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</si>
  <si>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</si>
  <si>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</si>
  <si>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</si>
  <si>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</si>
  <si>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</si>
  <si>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</si>
  <si>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</si>
  <si>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</si>
  <si>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</si>
  <si>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</si>
  <si>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</si>
  <si>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</si>
  <si>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</si>
  <si>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</si>
  <si>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</si>
  <si>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</si>
  <si>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</si>
  <si>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</si>
  <si>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</si>
  <si>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</si>
  <si>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</si>
  <si>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</si>
  <si>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</si>
  <si>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</si>
  <si>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</si>
  <si>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</si>
  <si>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</si>
  <si>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</si>
  <si>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</si>
  <si>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</si>
  <si>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</si>
  <si>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</si>
  <si>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</si>
  <si>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</si>
  <si>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</si>
  <si>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</si>
  <si>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</si>
  <si>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</si>
  <si>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</si>
  <si>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</si>
  <si>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</si>
  <si>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</si>
  <si>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</si>
  <si>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</si>
  <si>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</si>
  <si>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</si>
  <si>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</si>
  <si>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Ruiz Herrero</t>
  </si>
  <si>
    <t>Bin Alias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</si>
  <si>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</si>
  <si>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</si>
  <si>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</si>
  <si>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</si>
  <si>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</si>
  <si>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</si>
  <si>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</si>
  <si>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</si>
  <si>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</si>
  <si>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</si>
  <si>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</si>
  <si>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</si>
  <si>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</si>
  <si>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</si>
  <si>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</si>
  <si>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</si>
  <si>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</si>
  <si>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</si>
  <si>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</si>
  <si>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</si>
  <si>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</si>
  <si>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</si>
  <si>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</si>
  <si>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</si>
  <si>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</si>
  <si>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</si>
  <si>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</si>
  <si>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</si>
  <si>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</si>
  <si>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</si>
  <si>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</si>
  <si>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</si>
  <si>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</si>
  <si>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</si>
  <si>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</si>
  <si>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</si>
  <si>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</si>
  <si>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</si>
  <si>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</si>
  <si>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</si>
  <si>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Graves - Rostro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</si>
  <si>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</si>
  <si>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</si>
  <si>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</si>
  <si>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</si>
  <si>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</si>
  <si>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</si>
  <si>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</si>
  <si>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</si>
  <si>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</si>
  <si>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Riveros Gonzalez</t>
  </si>
  <si>
    <t>Albano</t>
  </si>
  <si>
    <t>Rosendahl</t>
  </si>
  <si>
    <t>German</t>
  </si>
  <si>
    <t>Smoker</t>
  </si>
  <si>
    <t>Weight Status</t>
  </si>
  <si>
    <t>Diabetes Status</t>
  </si>
  <si>
    <t>Date of Birth</t>
  </si>
  <si>
    <t>9-Jul-1992</t>
  </si>
  <si>
    <t>30-Nov-1992</t>
  </si>
  <si>
    <t>30-Jun-1993</t>
  </si>
  <si>
    <t>13-Sep-1992</t>
  </si>
  <si>
    <t>27-Jul-1998</t>
  </si>
  <si>
    <t>20-Nov-2001</t>
  </si>
  <si>
    <t>1-Jun-1993</t>
  </si>
  <si>
    <t>4-Jul-1995</t>
  </si>
  <si>
    <t>29-Nov-2002</t>
  </si>
  <si>
    <t>12-Sep-2001</t>
  </si>
  <si>
    <t>26-Dec-1999</t>
  </si>
  <si>
    <t>14-Dec-1999</t>
  </si>
  <si>
    <t>19-Sep-2002</t>
  </si>
  <si>
    <t>9-Aug-1993</t>
  </si>
  <si>
    <t>22-Oct-1996</t>
  </si>
  <si>
    <t>28-Jun-1993</t>
  </si>
  <si>
    <t>18-Sep-1996</t>
  </si>
  <si>
    <t>7-Dec-1995</t>
  </si>
  <si>
    <t>7-Oct-2004</t>
  </si>
  <si>
    <t>18-Nov-2000</t>
  </si>
  <si>
    <t>27-Nov-1993</t>
  </si>
  <si>
    <t>30-Oct-1994</t>
  </si>
  <si>
    <t>28-Oct-1995</t>
  </si>
  <si>
    <t>19-Aug-2001</t>
  </si>
  <si>
    <t>22-Nov-1994</t>
  </si>
  <si>
    <t>9-Oct-2000</t>
  </si>
  <si>
    <t>5-Aug-1999</t>
  </si>
  <si>
    <t>5-Oct-1995</t>
  </si>
  <si>
    <t>17-Nov-1994</t>
  </si>
  <si>
    <t>20-Jul-2002</t>
  </si>
  <si>
    <t>1-Jul-2002</t>
  </si>
  <si>
    <t>1-Jun-1995</t>
  </si>
  <si>
    <t>28-Sep-1993</t>
  </si>
  <si>
    <t>24-Aug-2004</t>
  </si>
  <si>
    <t>13-Aug-1997</t>
  </si>
  <si>
    <t>26-Dec-1998</t>
  </si>
  <si>
    <t>13-Aug-2002</t>
  </si>
  <si>
    <t>12-Nov-2004</t>
  </si>
  <si>
    <t>14-Jun-2004</t>
  </si>
  <si>
    <t>19-Jul-2002</t>
  </si>
  <si>
    <t>6-Oct-2004</t>
  </si>
  <si>
    <t>11-Jun-2004</t>
  </si>
  <si>
    <t>28-Nov-2004</t>
  </si>
  <si>
    <t>11-Aug-2002</t>
  </si>
  <si>
    <t>15-Oct-2004</t>
  </si>
  <si>
    <t>27-Nov-2004</t>
  </si>
  <si>
    <t>25-Oct-2001</t>
  </si>
  <si>
    <t>12-Sep-2004</t>
  </si>
  <si>
    <t>1-Oct-2002</t>
  </si>
  <si>
    <t>10-Jun-2004</t>
  </si>
  <si>
    <t>12-Jun-2003</t>
  </si>
  <si>
    <t>18-Jul-2004</t>
  </si>
  <si>
    <t>26-Jul-1994</t>
  </si>
  <si>
    <t>11-Nov-2004</t>
  </si>
  <si>
    <t>11-Jun-2002</t>
  </si>
  <si>
    <t>12-Nov-2001</t>
  </si>
  <si>
    <t>11-Aug-1996</t>
  </si>
  <si>
    <t>28-Jun-1997</t>
  </si>
  <si>
    <t>26-Aug-2002</t>
  </si>
  <si>
    <t>28-Jun-1999</t>
  </si>
  <si>
    <t>6-Oct-1992</t>
  </si>
  <si>
    <t>2-Jun-2004</t>
  </si>
  <si>
    <t>4-Nov-1996</t>
  </si>
  <si>
    <t>9-Jul-2004</t>
  </si>
  <si>
    <t>16-Oct-2004</t>
  </si>
  <si>
    <t>13-Jul-1998</t>
  </si>
  <si>
    <t>12-Dec-2002</t>
  </si>
  <si>
    <t>11-Oct-1998</t>
  </si>
  <si>
    <t>2-Aug-2003</t>
  </si>
  <si>
    <t>15-Sep-2003</t>
  </si>
  <si>
    <t>8-Sep-2003</t>
  </si>
  <si>
    <t>4-Nov-1997</t>
  </si>
  <si>
    <t>10-Dec-2003</t>
  </si>
  <si>
    <t>13-Oct-2003</t>
  </si>
  <si>
    <t>30-Oct-2003</t>
  </si>
  <si>
    <t>15-Aug-2003</t>
  </si>
  <si>
    <t>21-Nov-2003</t>
  </si>
  <si>
    <t>4-Dec-2002</t>
  </si>
  <si>
    <t>26-Oct-1997</t>
  </si>
  <si>
    <t>30-Sep-2004</t>
  </si>
  <si>
    <t>28-Jul-2004</t>
  </si>
  <si>
    <t>26-Jun-2000</t>
  </si>
  <si>
    <t>4-Jun-1998</t>
  </si>
  <si>
    <t>29-Nov-2001</t>
  </si>
  <si>
    <t>10-Dec-2002</t>
  </si>
  <si>
    <t>2-Dec-1999</t>
  </si>
  <si>
    <t>13-Oct-2002</t>
  </si>
  <si>
    <t>14-Oct-1999</t>
  </si>
  <si>
    <t>12-Jul-1998</t>
  </si>
  <si>
    <t>30-Jul-1995</t>
  </si>
  <si>
    <t>7-Nov-1997</t>
  </si>
  <si>
    <t>3-Dec-1998</t>
  </si>
  <si>
    <t>15-Aug-2002</t>
  </si>
  <si>
    <t>6-Jul-1999</t>
  </si>
  <si>
    <t>14-Nov-2002</t>
  </si>
  <si>
    <t>22-Dec-2002</t>
  </si>
  <si>
    <t>5-Sep-1998</t>
  </si>
  <si>
    <t>27-Oct-1997</t>
  </si>
  <si>
    <t>23-Jun-1996</t>
  </si>
  <si>
    <t>23-Aug-2001</t>
  </si>
  <si>
    <t>5-Dec-1997</t>
  </si>
  <si>
    <t>1-Sep-2000</t>
  </si>
  <si>
    <t>19-Jun-1997</t>
  </si>
  <si>
    <t>20-Jun-2003</t>
  </si>
  <si>
    <t>7-Dec-1998</t>
  </si>
  <si>
    <t>9-Jun-1997</t>
  </si>
  <si>
    <t>7-Oct-1995</t>
  </si>
  <si>
    <t>19-Jun-1998</t>
  </si>
  <si>
    <t>25-Aug-2001</t>
  </si>
  <si>
    <t>7-Jul-2001</t>
  </si>
  <si>
    <t>2-Jun-2001</t>
  </si>
  <si>
    <t>5-Dec-2001</t>
  </si>
  <si>
    <t>22-Sep-1992</t>
  </si>
  <si>
    <t>19-Nov-2004</t>
  </si>
  <si>
    <t>22-Jul-2004</t>
  </si>
  <si>
    <t>5-Aug-1995</t>
  </si>
  <si>
    <t>14-Sep-2003</t>
  </si>
  <si>
    <t>21-Aug-2004</t>
  </si>
  <si>
    <t>25-Jul-2004</t>
  </si>
  <si>
    <t>9-Sep-2003</t>
  </si>
  <si>
    <t>4-Dec-2003</t>
  </si>
  <si>
    <t>17-Jul-2003</t>
  </si>
  <si>
    <t>4-Oct-2004</t>
  </si>
  <si>
    <t>5-Dec-2004</t>
  </si>
  <si>
    <t>3-Oct-2003</t>
  </si>
  <si>
    <t>16-Sep-2003</t>
  </si>
  <si>
    <t>13-Dec-2004</t>
  </si>
  <si>
    <t>8-Aug-2004</t>
  </si>
  <si>
    <t>13-Jun-2004</t>
  </si>
  <si>
    <t>30-Dec-2003</t>
  </si>
  <si>
    <t>21-Aug-2003</t>
  </si>
  <si>
    <t>23-Oct-2000</t>
  </si>
  <si>
    <t>10-Jun-2000</t>
  </si>
  <si>
    <t>21-Oct-2000</t>
  </si>
  <si>
    <t>17-Nov-2004</t>
  </si>
  <si>
    <t>10-Dec-2004</t>
  </si>
  <si>
    <t>7-Nov-2004</t>
  </si>
  <si>
    <t>14-Dec-2004</t>
  </si>
  <si>
    <t>6-Dec-2004</t>
  </si>
  <si>
    <t>17-Oct-2004</t>
  </si>
  <si>
    <t>12-Dec-2004</t>
  </si>
  <si>
    <t>19-Sep-2004</t>
  </si>
  <si>
    <t>21-Sep-2004</t>
  </si>
  <si>
    <t>11-Sep-2004</t>
  </si>
  <si>
    <t>21-Oct-2004</t>
  </si>
  <si>
    <t>9-Sep-2004</t>
  </si>
  <si>
    <t>1-Sep-2003</t>
  </si>
  <si>
    <t>9-Nov-2003</t>
  </si>
  <si>
    <t>14-Nov-2003</t>
  </si>
  <si>
    <t>25-Jul-2003</t>
  </si>
  <si>
    <t>28-Jul-2003</t>
  </si>
  <si>
    <t>26-Sep-2003</t>
  </si>
  <si>
    <t>7-Oct-1998</t>
  </si>
  <si>
    <t>19-Nov-2003</t>
  </si>
  <si>
    <t>13-Dec-2002</t>
  </si>
  <si>
    <t>25-Sep-1999</t>
  </si>
  <si>
    <t>19-Aug-2004</t>
  </si>
  <si>
    <t>17-Nov-1999</t>
  </si>
  <si>
    <t>1-Oct-1999</t>
  </si>
  <si>
    <t>11-Aug-2003</t>
  </si>
  <si>
    <t>4-Aug-2003</t>
  </si>
  <si>
    <t>12-Dec-1999</t>
  </si>
  <si>
    <t>20-Jul-2003</t>
  </si>
  <si>
    <t>6-Dec-1994</t>
  </si>
  <si>
    <t>27-Dec-2004</t>
  </si>
  <si>
    <t>2-Jul-1996</t>
  </si>
  <si>
    <t>22-Sep-2002</t>
  </si>
  <si>
    <t>29-Oct-2002</t>
  </si>
  <si>
    <t>29-Aug-2002</t>
  </si>
  <si>
    <t>21-Aug-2002</t>
  </si>
  <si>
    <t>10-Aug-2001</t>
  </si>
  <si>
    <t>6-Oct-1994</t>
  </si>
  <si>
    <t>3-Aug-2001</t>
  </si>
  <si>
    <t>9-Dec-2001</t>
  </si>
  <si>
    <t>7-Sep-2002</t>
  </si>
  <si>
    <t>29-Jul-2002</t>
  </si>
  <si>
    <t>28-Sep-1998</t>
  </si>
  <si>
    <t>5-Oct-1998</t>
  </si>
  <si>
    <t>29-Sep-1998</t>
  </si>
  <si>
    <t>16-Jul-2002</t>
  </si>
  <si>
    <t>29-Dec-1998</t>
  </si>
  <si>
    <t>29-Sep-2002</t>
  </si>
  <si>
    <t>14-Sep-1998</t>
  </si>
  <si>
    <t>14-Aug-2001</t>
  </si>
  <si>
    <t>1-Jul-2001</t>
  </si>
  <si>
    <t>6-Sep-2001</t>
  </si>
  <si>
    <t>4-Aug-2001</t>
  </si>
  <si>
    <t>2-Sep-2000</t>
  </si>
  <si>
    <t>26-Jul-2000</t>
  </si>
  <si>
    <t>12-Jun-2004</t>
  </si>
  <si>
    <t>22-Jun-2001</t>
  </si>
  <si>
    <t>28-Nov-2001</t>
  </si>
  <si>
    <t>21-Jul-1989</t>
  </si>
  <si>
    <t>30-Sep-2003</t>
  </si>
  <si>
    <t>4-Nov-2004</t>
  </si>
  <si>
    <t>30-Aug-2003</t>
  </si>
  <si>
    <t>22-Dec-2003</t>
  </si>
  <si>
    <t>3-Sep-1997</t>
  </si>
  <si>
    <t>19-Aug-2003</t>
  </si>
  <si>
    <t>27-Dec-2000</t>
  </si>
  <si>
    <t>22-Oct-2000</t>
  </si>
  <si>
    <t>29-Nov-2000</t>
  </si>
  <si>
    <t>10-Dec-2000</t>
  </si>
  <si>
    <t>23-Aug-2000</t>
  </si>
  <si>
    <t>27-Sep-1994</t>
  </si>
  <si>
    <t>16-Dec-1991</t>
  </si>
  <si>
    <t>7-Dec-2004</t>
  </si>
  <si>
    <t>3-Sep-2004</t>
  </si>
  <si>
    <t>27-Jul-2004</t>
  </si>
  <si>
    <t>6-Aug-2004</t>
  </si>
  <si>
    <t>28-Oct-2004</t>
  </si>
  <si>
    <t>13-Nov-2004</t>
  </si>
  <si>
    <t>25-Sep-2004</t>
  </si>
  <si>
    <t>30-Jun-2000</t>
  </si>
  <si>
    <t>11-Dec-2000</t>
  </si>
  <si>
    <t>15-Jul-2002</t>
  </si>
  <si>
    <t>12-Nov-2002</t>
  </si>
  <si>
    <t>16-Jun-1991</t>
  </si>
  <si>
    <t>5-Oct-1989</t>
  </si>
  <si>
    <t>28-Nov-1996</t>
  </si>
  <si>
    <t>6-Sep-2004</t>
  </si>
  <si>
    <t>17-Dec-1996</t>
  </si>
  <si>
    <t>18-Nov-2003</t>
  </si>
  <si>
    <t>21-Oct-1998</t>
  </si>
  <si>
    <t>5-Nov-2002</t>
  </si>
  <si>
    <t>12-Dec-1988</t>
  </si>
  <si>
    <t>17-Dec-1999</t>
  </si>
  <si>
    <t>10-Aug-1999</t>
  </si>
  <si>
    <t>3-Jun-2001</t>
  </si>
  <si>
    <t>12-Nov-1999</t>
  </si>
  <si>
    <t>21-Nov-1999</t>
  </si>
  <si>
    <t>19-Nov-1998</t>
  </si>
  <si>
    <t>11-Jul-2002</t>
  </si>
  <si>
    <t>17-Aug-1998</t>
  </si>
  <si>
    <t>2-Jul-1998</t>
  </si>
  <si>
    <t>20-Jun-1998</t>
  </si>
  <si>
    <t>6-Nov-1995</t>
  </si>
  <si>
    <t>14-Oct-1995</t>
  </si>
  <si>
    <t>9-Jul-1995</t>
  </si>
  <si>
    <t>15-Oct-1995</t>
  </si>
  <si>
    <t>5-Aug-1991</t>
  </si>
  <si>
    <t>2-Nov-1997</t>
  </si>
  <si>
    <t>25-Aug-2000</t>
  </si>
  <si>
    <t>28-Jul-1997</t>
  </si>
  <si>
    <t>1-Oct-1990</t>
  </si>
  <si>
    <t>17-Nov-1991</t>
  </si>
  <si>
    <t>11-Oct-2002</t>
  </si>
  <si>
    <t>15-Oct-2001</t>
  </si>
  <si>
    <t>28-Jul-2001</t>
  </si>
  <si>
    <t>26-Aug-2001</t>
  </si>
  <si>
    <t>26-Aug-1997</t>
  </si>
  <si>
    <t>24-Jun-2000</t>
  </si>
  <si>
    <t>9-Dec-2000</t>
  </si>
  <si>
    <t>5-Aug-1996</t>
  </si>
  <si>
    <t>17-Sep-1994</t>
  </si>
  <si>
    <t>2-Oct-1994</t>
  </si>
  <si>
    <t>11-Jun-1999</t>
  </si>
  <si>
    <t>13-Jun-1996</t>
  </si>
  <si>
    <t>1-Dec-2003</t>
  </si>
  <si>
    <t>6-Aug-2003</t>
  </si>
  <si>
    <t>30-Oct-1997</t>
  </si>
  <si>
    <t>20-Aug-1988</t>
  </si>
  <si>
    <t>6-Oct-1997</t>
  </si>
  <si>
    <t>3-Dec-2003</t>
  </si>
  <si>
    <t>17-Dec-2000</t>
  </si>
  <si>
    <t>3-Oct-2000</t>
  </si>
  <si>
    <t>11-Oct-2000</t>
  </si>
  <si>
    <t>10-Aug-1997</t>
  </si>
  <si>
    <t>14-Nov-2004</t>
  </si>
  <si>
    <t>29-Aug-1999</t>
  </si>
  <si>
    <t>24-Dec-1999</t>
  </si>
  <si>
    <t>4-Aug-2004</t>
  </si>
  <si>
    <t>23-Sep-2003</t>
  </si>
  <si>
    <t>1-Oct-2000</t>
  </si>
  <si>
    <t>15-Nov-1998</t>
  </si>
  <si>
    <t>17-Jun-1998</t>
  </si>
  <si>
    <t>4-Sep-1998</t>
  </si>
  <si>
    <t>1-Nov-1993</t>
  </si>
  <si>
    <t>12-Aug-1993</t>
  </si>
  <si>
    <t>21-Jun-1996</t>
  </si>
  <si>
    <t>14-Jul-2000</t>
  </si>
  <si>
    <t>1-Nov-1999</t>
  </si>
  <si>
    <t>24-Oct-1996</t>
  </si>
  <si>
    <t>5-Jun-2003</t>
  </si>
  <si>
    <t>30-Jun-1996</t>
  </si>
  <si>
    <t>30-Sep-2002</t>
  </si>
  <si>
    <t>24-Sep-1995</t>
  </si>
  <si>
    <t>18-Jun-1987</t>
  </si>
  <si>
    <t>20-Nov-1991</t>
  </si>
  <si>
    <t>15-Dec-2002</t>
  </si>
  <si>
    <t>28-Sep-1988</t>
  </si>
  <si>
    <t>19-Dec-1997</t>
  </si>
  <si>
    <t>15-Sep-1998</t>
  </si>
  <si>
    <t>9-Aug-1998</t>
  </si>
  <si>
    <t>22-Dec-1997</t>
  </si>
  <si>
    <t>21-Jun-2002</t>
  </si>
  <si>
    <t>26-Sep-1994</t>
  </si>
  <si>
    <t>1-Oct-1989</t>
  </si>
  <si>
    <t>10-Sep-1995</t>
  </si>
  <si>
    <t>13-Oct-2001</t>
  </si>
  <si>
    <t>1-Aug-1987</t>
  </si>
  <si>
    <t>25-Jun-1999</t>
  </si>
  <si>
    <t>10-Jul-1994</t>
  </si>
  <si>
    <t>25-Sep-1993</t>
  </si>
  <si>
    <t>29-Aug-2001</t>
  </si>
  <si>
    <t>25-Oct-1994</t>
  </si>
  <si>
    <t>6-Jul-1994</t>
  </si>
  <si>
    <t>14-Aug-1996</t>
  </si>
  <si>
    <t>3-Jul-1996</t>
  </si>
  <si>
    <t>23-Sep-2000</t>
  </si>
  <si>
    <t>2-Sep-2001</t>
  </si>
  <si>
    <t>11-Oct-1996</t>
  </si>
  <si>
    <t>5-Jul-1997</t>
  </si>
  <si>
    <t>6-Jul-1997</t>
  </si>
  <si>
    <t>2-Aug-1997</t>
  </si>
  <si>
    <t>2-Sep-1997</t>
  </si>
  <si>
    <t>13-Nov-1991</t>
  </si>
  <si>
    <t>2-Dec-1994</t>
  </si>
  <si>
    <t>1-Jul-1994</t>
  </si>
  <si>
    <t>6-Oct-2001</t>
  </si>
  <si>
    <t>3-Jul-2003</t>
  </si>
  <si>
    <t>17-Nov-1996</t>
  </si>
  <si>
    <t>5-Dec-2003</t>
  </si>
  <si>
    <t>20-Jun-1997</t>
  </si>
  <si>
    <t>1-Sep-1991</t>
  </si>
  <si>
    <t>28-Oct-1993</t>
  </si>
  <si>
    <t>23-Jun-1995</t>
  </si>
  <si>
    <t>7-Oct-1993</t>
  </si>
  <si>
    <t>14-Dec-1996</t>
  </si>
  <si>
    <t>13-Nov-1996</t>
  </si>
  <si>
    <t>10-Aug-1996</t>
  </si>
  <si>
    <t>27-Oct-1996</t>
  </si>
  <si>
    <t>16-Jul-2004</t>
  </si>
  <si>
    <t>19-Dec-1996</t>
  </si>
  <si>
    <t>26-Dec-2001</t>
  </si>
  <si>
    <t>27-Aug-1986</t>
  </si>
  <si>
    <t>20-Jun-2000</t>
  </si>
  <si>
    <t>14-Sep-1987</t>
  </si>
  <si>
    <t>29-Jul-2003</t>
  </si>
  <si>
    <t>12-Oct-1993</t>
  </si>
  <si>
    <t>26-Jun-2004</t>
  </si>
  <si>
    <t>19-Sep-1996</t>
  </si>
  <si>
    <t>22-Sep-1999</t>
  </si>
  <si>
    <t>16-Sep-1998</t>
  </si>
  <si>
    <t>24-Aug-2003</t>
  </si>
  <si>
    <t>15-Oct-1988</t>
  </si>
  <si>
    <t>22-Dec-1992</t>
  </si>
  <si>
    <t>24-Sep-1994</t>
  </si>
  <si>
    <t>9-Oct-1995</t>
  </si>
  <si>
    <t>16-Jun-1995</t>
  </si>
  <si>
    <t>10-Oct-1981</t>
  </si>
  <si>
    <t>18-Aug-1988</t>
  </si>
  <si>
    <t>23-Aug-1995</t>
  </si>
  <si>
    <t>11-Nov-2001</t>
  </si>
  <si>
    <t>27-Dec-1986</t>
  </si>
  <si>
    <t>6-Jun-1999</t>
  </si>
  <si>
    <t>12-Aug-1999</t>
  </si>
  <si>
    <t>4-Nov-1988</t>
  </si>
  <si>
    <t>11-Oct-1990</t>
  </si>
  <si>
    <t>14-Jun-1985</t>
  </si>
  <si>
    <t>17-Nov-1992</t>
  </si>
  <si>
    <t>8-Nov-1990</t>
  </si>
  <si>
    <t>14-Sep-1992</t>
  </si>
  <si>
    <t>6-Jul-1984</t>
  </si>
  <si>
    <t>10-Jul-2003</t>
  </si>
  <si>
    <t>14-Dec-1981</t>
  </si>
  <si>
    <t>21-Oct-1995</t>
  </si>
  <si>
    <t>2-Dec-1989</t>
  </si>
  <si>
    <t>5-Nov-2004</t>
  </si>
  <si>
    <t>1-Dec-1986</t>
  </si>
  <si>
    <t>22-Aug-1994</t>
  </si>
  <si>
    <t>22-Jun-1993</t>
  </si>
  <si>
    <t>9-Sep-1986</t>
  </si>
  <si>
    <t>28-Oct-1991</t>
  </si>
  <si>
    <t>25-Aug-1991</t>
  </si>
  <si>
    <t>24-Oct-1991</t>
  </si>
  <si>
    <t>21-Nov-1994</t>
  </si>
  <si>
    <t>24-Oct-1987</t>
  </si>
  <si>
    <t>13-Dec-1981</t>
  </si>
  <si>
    <t>28-Aug-1988</t>
  </si>
  <si>
    <t>24-Jun-1999</t>
  </si>
  <si>
    <t>29-Sep-1981</t>
  </si>
  <si>
    <t>12-Aug-1994</t>
  </si>
  <si>
    <t>19-Aug-1991</t>
  </si>
  <si>
    <t>6-Jun-2001</t>
  </si>
  <si>
    <t>18-Oct-2001</t>
  </si>
  <si>
    <t>24-Jun-1990</t>
  </si>
  <si>
    <t>25-Jul-1991</t>
  </si>
  <si>
    <t>23-Oct-1996</t>
  </si>
  <si>
    <t>13-Jul-2004</t>
  </si>
  <si>
    <t>14-Sep-1993</t>
  </si>
  <si>
    <t>27-Aug-1981</t>
  </si>
  <si>
    <t>24-Nov-1997</t>
  </si>
  <si>
    <t>5-Jul-1985</t>
  </si>
  <si>
    <t>10-Jul-2000</t>
  </si>
  <si>
    <t>15-Jun-2002</t>
  </si>
  <si>
    <t>24-Oct-1988</t>
  </si>
  <si>
    <t>29-Sep-1993</t>
  </si>
  <si>
    <t>11-Nov-1993</t>
  </si>
  <si>
    <t>10-Jul-1999</t>
  </si>
  <si>
    <t>11-Jul-1995</t>
  </si>
  <si>
    <t>29-Jul-1990</t>
  </si>
  <si>
    <t>17-Aug-1996</t>
  </si>
  <si>
    <t>8-Sep-1996</t>
  </si>
  <si>
    <t>22-Nov-1990</t>
  </si>
  <si>
    <t>1-Nov-1990</t>
  </si>
  <si>
    <t>10-Jul-1989</t>
  </si>
  <si>
    <t>13-Sep-2000</t>
  </si>
  <si>
    <t>11-Oct-1992</t>
  </si>
  <si>
    <t>7-Jul-1984</t>
  </si>
  <si>
    <t>10-Nov-1983</t>
  </si>
  <si>
    <t>26-Dec-1993</t>
  </si>
  <si>
    <t>30-Nov-1988</t>
  </si>
  <si>
    <t>13-Aug-1993</t>
  </si>
  <si>
    <t>14-Sep-1995</t>
  </si>
  <si>
    <t>16-Sep-1983</t>
  </si>
  <si>
    <t>18-Oct-2002</t>
  </si>
  <si>
    <t>1-Dec-1990</t>
  </si>
  <si>
    <t>14-Dec-1990</t>
  </si>
  <si>
    <t>21-Aug-1994</t>
  </si>
  <si>
    <t>6-Aug-1991</t>
  </si>
  <si>
    <t>18-Jun-1992</t>
  </si>
  <si>
    <t>28-Jun-1992</t>
  </si>
  <si>
    <t>4-Aug-1992</t>
  </si>
  <si>
    <t>26-Nov-1998</t>
  </si>
  <si>
    <t>16-Sep-1984</t>
  </si>
  <si>
    <t>25-Jun-1989</t>
  </si>
  <si>
    <t>3-Oct-1995</t>
  </si>
  <si>
    <t>6-Sep-1997</t>
  </si>
  <si>
    <t>14-Dec-1998</t>
  </si>
  <si>
    <t>27-Jun-1992</t>
  </si>
  <si>
    <t>3-Nov-1991</t>
  </si>
  <si>
    <t>1-Dec-1991</t>
  </si>
  <si>
    <t>16-Jun-1982</t>
  </si>
  <si>
    <t>20-Nov-1983</t>
  </si>
  <si>
    <t>8-Jun-2003</t>
  </si>
  <si>
    <t>25-Nov-2000</t>
  </si>
  <si>
    <t>19-Dec-1988</t>
  </si>
  <si>
    <t>2-Nov-1994</t>
  </si>
  <si>
    <t>26-Oct-1994</t>
  </si>
  <si>
    <t>1-Jun-1991</t>
  </si>
  <si>
    <t>1-Nov-1994</t>
  </si>
  <si>
    <t>13-Sep-1991</t>
  </si>
  <si>
    <t>28-Aug-1990</t>
  </si>
  <si>
    <t>29-Nov-1997</t>
  </si>
  <si>
    <t>29-Jun-1982</t>
  </si>
  <si>
    <t>18-Jul-1988</t>
  </si>
  <si>
    <t>11-Aug-1986</t>
  </si>
  <si>
    <t>13-Jul-1986</t>
  </si>
  <si>
    <t>16-Sep-1988</t>
  </si>
  <si>
    <t>15-Aug-1992</t>
  </si>
  <si>
    <t>29-Dec-1994</t>
  </si>
  <si>
    <t>4-Sep-1993</t>
  </si>
  <si>
    <t>23-Dec-1993</t>
  </si>
  <si>
    <t>8-Oct-1994</t>
  </si>
  <si>
    <t>24-Oct-1994</t>
  </si>
  <si>
    <t>3-Sep-1991</t>
  </si>
  <si>
    <t>28-Jun-1994</t>
  </si>
  <si>
    <t>8-Aug-1990</t>
  </si>
  <si>
    <t>15-Jul-1990</t>
  </si>
  <si>
    <t>4-Jul-1991</t>
  </si>
  <si>
    <t>20-Nov-1999</t>
  </si>
  <si>
    <t>12-Jul-1992</t>
  </si>
  <si>
    <t>26-Jun-1988</t>
  </si>
  <si>
    <t>13-Oct-1997</t>
  </si>
  <si>
    <t>27-Sep-1982</t>
  </si>
  <si>
    <t>16-Jun-1980</t>
  </si>
  <si>
    <t>2-Oct-2003</t>
  </si>
  <si>
    <t>5-Dec-1987</t>
  </si>
  <si>
    <t>21-Dec-1988</t>
  </si>
  <si>
    <t>13-Aug-1992</t>
  </si>
  <si>
    <t>29-Jun-1993</t>
  </si>
  <si>
    <t>13-Jun-1988</t>
  </si>
  <si>
    <t>17-Nov-1990</t>
  </si>
  <si>
    <t>22-Dec-2004</t>
  </si>
  <si>
    <t>20-Sep-1990</t>
  </si>
  <si>
    <t>25-Dec-1996</t>
  </si>
  <si>
    <t>18-Sep-1989</t>
  </si>
  <si>
    <t>2-Jul-2000</t>
  </si>
  <si>
    <t>29-Jun-1998</t>
  </si>
  <si>
    <t>22-Jun-1985</t>
  </si>
  <si>
    <t>25-Oct-1996</t>
  </si>
  <si>
    <t>5-Aug-1990</t>
  </si>
  <si>
    <t>26-Sep-1990</t>
  </si>
  <si>
    <t>13-Jul-1990</t>
  </si>
  <si>
    <t>18-Oct-1979</t>
  </si>
  <si>
    <t>4-Oct-2003</t>
  </si>
  <si>
    <t>4-Sep-1990</t>
  </si>
  <si>
    <t>22-Jun-2003</t>
  </si>
  <si>
    <t>4-Dec-1977</t>
  </si>
  <si>
    <t>12-Aug-1981</t>
  </si>
  <si>
    <t>9-Oct-1992</t>
  </si>
  <si>
    <t>28-Sep-1992</t>
  </si>
  <si>
    <t>2-Jul-1980</t>
  </si>
  <si>
    <t>5-Sep-1986</t>
  </si>
  <si>
    <t>12-Oct-1991</t>
  </si>
  <si>
    <t>24-Nov-2004</t>
  </si>
  <si>
    <t>5-Jun-1987</t>
  </si>
  <si>
    <t>2-Sep-1987</t>
  </si>
  <si>
    <t>22-Nov-1987</t>
  </si>
  <si>
    <t>16-Aug-1992</t>
  </si>
  <si>
    <t>27-Sep-1987</t>
  </si>
  <si>
    <t>1-Aug-1989</t>
  </si>
  <si>
    <t>9-Dec-1989</t>
  </si>
  <si>
    <t>22-Jun-1987</t>
  </si>
  <si>
    <t>16-Dec-1989</t>
  </si>
  <si>
    <t>3-Oct-1978</t>
  </si>
  <si>
    <t>3-Jul-1981</t>
  </si>
  <si>
    <t>1-Dec-1995</t>
  </si>
  <si>
    <t>27-Jun-2002</t>
  </si>
  <si>
    <t>10-Sep-1992</t>
  </si>
  <si>
    <t>15-Oct-1984</t>
  </si>
  <si>
    <t>29-Sep-1995</t>
  </si>
  <si>
    <t>13-Dec-1979</t>
  </si>
  <si>
    <t>11-Sep-1974</t>
  </si>
  <si>
    <t>7-Jun-2001</t>
  </si>
  <si>
    <t>27-Dec-1995</t>
  </si>
  <si>
    <t>1-Sep-1989</t>
  </si>
  <si>
    <t>29-Sep-1997</t>
  </si>
  <si>
    <t>23-Dec-1986</t>
  </si>
  <si>
    <t>27-Oct-1986</t>
  </si>
  <si>
    <t>28-Nov-1990</t>
  </si>
  <si>
    <t>23-Sep-1988</t>
  </si>
  <si>
    <t>10-Jul-1993</t>
  </si>
  <si>
    <t>18-Oct-1981</t>
  </si>
  <si>
    <t>10-Aug-1993</t>
  </si>
  <si>
    <t>23-Aug-1991</t>
  </si>
  <si>
    <t>27-Nov-1991</t>
  </si>
  <si>
    <t>26-Jun-1974</t>
  </si>
  <si>
    <t>30-Aug-1991</t>
  </si>
  <si>
    <t>7-Nov-1973</t>
  </si>
  <si>
    <t>24-Jun-1988</t>
  </si>
  <si>
    <t>5-Oct-2001</t>
  </si>
  <si>
    <t>4-Sep-1988</t>
  </si>
  <si>
    <t>9-Jun-1977</t>
  </si>
  <si>
    <t>8-Jul-1988</t>
  </si>
  <si>
    <t>9-Nov-1988</t>
  </si>
  <si>
    <t>28-Dec-1985</t>
  </si>
  <si>
    <t>10-Sep-1991</t>
  </si>
  <si>
    <t>29-Jun-1986</t>
  </si>
  <si>
    <t>4-Dec-1997</t>
  </si>
  <si>
    <t>16-Oct-2001</t>
  </si>
  <si>
    <t>29-Jul-1997</t>
  </si>
  <si>
    <t>7-Sep-1980</t>
  </si>
  <si>
    <t>11-Jun-1993</t>
  </si>
  <si>
    <t>22-Nov-1978</t>
  </si>
  <si>
    <t>14-Jul-1997</t>
  </si>
  <si>
    <t>19-Jun-1999</t>
  </si>
  <si>
    <t>18-Nov-1987</t>
  </si>
  <si>
    <t>1-Nov-1988</t>
  </si>
  <si>
    <t>13-Sep-1987</t>
  </si>
  <si>
    <t>15-Sep-1988</t>
  </si>
  <si>
    <t>10-Dec-1993</t>
  </si>
  <si>
    <t>22-Aug-1984</t>
  </si>
  <si>
    <t>22-Aug-1990</t>
  </si>
  <si>
    <t>9-Oct-1990</t>
  </si>
  <si>
    <t>29-Aug-1991</t>
  </si>
  <si>
    <t>16-Oct-1984</t>
  </si>
  <si>
    <t>12-Sep-1979</t>
  </si>
  <si>
    <t>6-Jun-2004</t>
  </si>
  <si>
    <t>24-Oct-1983</t>
  </si>
  <si>
    <t>17-Jun-1993</t>
  </si>
  <si>
    <t>1-Dec-1999</t>
  </si>
  <si>
    <t>6-Jun-1995</t>
  </si>
  <si>
    <t>29-Jun-1987</t>
  </si>
  <si>
    <t>26-Dec-1987</t>
  </si>
  <si>
    <t>5-Jul-1987</t>
  </si>
  <si>
    <t>9-Sep-1987</t>
  </si>
  <si>
    <t>6-Jul-1990</t>
  </si>
  <si>
    <t>25-Nov-1989</t>
  </si>
  <si>
    <t>19-Jul-1989</t>
  </si>
  <si>
    <t>25-Oct-1986</t>
  </si>
  <si>
    <t>20-Sep-1986</t>
  </si>
  <si>
    <t>20-Oct-1986</t>
  </si>
  <si>
    <t>1-Sep-1987</t>
  </si>
  <si>
    <t>12-Nov-1974</t>
  </si>
  <si>
    <t>22-Aug-2004</t>
  </si>
  <si>
    <t>9-Sep-2000</t>
  </si>
  <si>
    <t>13-Nov-1994</t>
  </si>
  <si>
    <t>2-Sep-1974</t>
  </si>
  <si>
    <t>28-Aug-1991</t>
  </si>
  <si>
    <t>15-Dec-1972</t>
  </si>
  <si>
    <t>7-Nov-1989</t>
  </si>
  <si>
    <t>7-Dec-1994</t>
  </si>
  <si>
    <t>1-Jun-1986</t>
  </si>
  <si>
    <t>18-Nov-1989</t>
  </si>
  <si>
    <t>22-Jul-1986</t>
  </si>
  <si>
    <t>1-Jun-1984</t>
  </si>
  <si>
    <t>8-Aug-1988</t>
  </si>
  <si>
    <t>6-Nov-1989</t>
  </si>
  <si>
    <t>3-Sep-1984</t>
  </si>
  <si>
    <t>1-Aug-1984</t>
  </si>
  <si>
    <t>23-Dec-1985</t>
  </si>
  <si>
    <t>27-Sep-1975</t>
  </si>
  <si>
    <t>6-Jul-1991</t>
  </si>
  <si>
    <t>17-Sep-1992</t>
  </si>
  <si>
    <t>8-Jun-1978</t>
  </si>
  <si>
    <t>25-Aug-1982</t>
  </si>
  <si>
    <t>25-Dec-1986</t>
  </si>
  <si>
    <t>24-Oct-1973</t>
  </si>
  <si>
    <t>2-Dec-1986</t>
  </si>
  <si>
    <t>12-Jul-1986</t>
  </si>
  <si>
    <t>30-Sep-1986</t>
  </si>
  <si>
    <t>26-Aug-1984</t>
  </si>
  <si>
    <t>17-Aug-1984</t>
  </si>
  <si>
    <t>29-Jul-1988</t>
  </si>
  <si>
    <t>7-Nov-1981</t>
  </si>
  <si>
    <t>7-Dec-1980</t>
  </si>
  <si>
    <t>18-Sep-1974</t>
  </si>
  <si>
    <t>5-Sep-1985</t>
  </si>
  <si>
    <t>21-Nov-1986</t>
  </si>
  <si>
    <t>3-Oct-1983</t>
  </si>
  <si>
    <t>18-Nov-1988</t>
  </si>
  <si>
    <t>11-Sep-1978</t>
  </si>
  <si>
    <t>15-Nov-1994</t>
  </si>
  <si>
    <t>9-Dec-1987</t>
  </si>
  <si>
    <t>8-Jun-1983</t>
  </si>
  <si>
    <t>27-Sep-1978</t>
  </si>
  <si>
    <t>3-Sep-1983</t>
  </si>
  <si>
    <t>12-Aug-1984</t>
  </si>
  <si>
    <t>28-Oct-1972</t>
  </si>
  <si>
    <t>3-Nov-1992</t>
  </si>
  <si>
    <t>6-Jul-1974</t>
  </si>
  <si>
    <t>15-Jun-1981</t>
  </si>
  <si>
    <t>3-Nov-1993</t>
  </si>
  <si>
    <t>30-Aug-1981</t>
  </si>
  <si>
    <t>18-Dec-1971</t>
  </si>
  <si>
    <t>19-Oct-1987</t>
  </si>
  <si>
    <t>21-Aug-1972</t>
  </si>
  <si>
    <t>10-Jun-1993</t>
  </si>
  <si>
    <t>30-Aug-1983</t>
  </si>
  <si>
    <t>1-Nov-2004</t>
  </si>
  <si>
    <t>18-Sep-1980</t>
  </si>
  <si>
    <t>2-Nov-1972</t>
  </si>
  <si>
    <t>22-Jul-2002</t>
  </si>
  <si>
    <t>27-Sep-1971</t>
  </si>
  <si>
    <t>27-Jul-1987</t>
  </si>
  <si>
    <t>20-Aug-1995</t>
  </si>
  <si>
    <t>30-Sep-1987</t>
  </si>
  <si>
    <t>18-Jun-1985</t>
  </si>
  <si>
    <t>22-Nov-1984</t>
  </si>
  <si>
    <t>19-Oct-1993</t>
  </si>
  <si>
    <t>8-Jul-1982</t>
  </si>
  <si>
    <t>21-Dec-1982</t>
  </si>
  <si>
    <t>29-Jul-1987</t>
  </si>
  <si>
    <t>30-Jul-1994</t>
  </si>
  <si>
    <t>14-Jul-1987</t>
  </si>
  <si>
    <t>13-Aug-2003</t>
  </si>
  <si>
    <t>15-Jul-2004</t>
  </si>
  <si>
    <t>5-Aug-1980</t>
  </si>
  <si>
    <t>21-Jul-1980</t>
  </si>
  <si>
    <t>22-Jul-1989</t>
  </si>
  <si>
    <t>19-Sep-1984</t>
  </si>
  <si>
    <t>11-Nov-1984</t>
  </si>
  <si>
    <t>25-Jun-1970</t>
  </si>
  <si>
    <t>10-Oct-1980</t>
  </si>
  <si>
    <t>11-Oct-1974</t>
  </si>
  <si>
    <t>10-Jun-1988</t>
  </si>
  <si>
    <t>17-Aug-1974</t>
  </si>
  <si>
    <t>8-Aug-1980</t>
  </si>
  <si>
    <t>16-Aug-1989</t>
  </si>
  <si>
    <t>28-Jul-1996</t>
  </si>
  <si>
    <t>8-Nov-1994</t>
  </si>
  <si>
    <t>21-Sep-1984</t>
  </si>
  <si>
    <t>8-Aug-1979</t>
  </si>
  <si>
    <t>14-Oct-1984</t>
  </si>
  <si>
    <t>25-Jul-1984</t>
  </si>
  <si>
    <t>9-Jun-1970</t>
  </si>
  <si>
    <t>9-Sep-1995</t>
  </si>
  <si>
    <t>21-Jul-1985</t>
  </si>
  <si>
    <t>11-Aug-1983</t>
  </si>
  <si>
    <t>16-Nov-1983</t>
  </si>
  <si>
    <t>18-Aug-1990</t>
  </si>
  <si>
    <t>9-Nov-1969</t>
  </si>
  <si>
    <t>5-Sep-1978</t>
  </si>
  <si>
    <t>12-Dec-1976</t>
  </si>
  <si>
    <t>14-Oct-1970</t>
  </si>
  <si>
    <t>6-Nov-1973</t>
  </si>
  <si>
    <t>15-Oct-1985</t>
  </si>
  <si>
    <t>6-Oct-1984</t>
  </si>
  <si>
    <t>9-Aug-1985</t>
  </si>
  <si>
    <t>5-Oct-1970</t>
  </si>
  <si>
    <t>22-Nov-1981</t>
  </si>
  <si>
    <t>1-Oct-1981</t>
  </si>
  <si>
    <t>23-Oct-1988</t>
  </si>
  <si>
    <t>22-Jul-1985</t>
  </si>
  <si>
    <t>22-Sep-1985</t>
  </si>
  <si>
    <t>10-Sep-1999</t>
  </si>
  <si>
    <t>12-Aug-1992</t>
  </si>
  <si>
    <t>29-Jun-1972</t>
  </si>
  <si>
    <t>19-Sep-1978</t>
  </si>
  <si>
    <t>10-Oct-1979</t>
  </si>
  <si>
    <t>11-Nov-1972</t>
  </si>
  <si>
    <t>8-Sep-1972</t>
  </si>
  <si>
    <t>11-Oct-1970</t>
  </si>
  <si>
    <t>17-Oct-1995</t>
  </si>
  <si>
    <t>25-Sep-1984</t>
  </si>
  <si>
    <t>30-Jun-1981</t>
  </si>
  <si>
    <t>16-Oct-1993</t>
  </si>
  <si>
    <t>24-Nov-1981</t>
  </si>
  <si>
    <t>26-Aug-1981</t>
  </si>
  <si>
    <t>4-Jul-1996</t>
  </si>
  <si>
    <t>17-Sep-1974</t>
  </si>
  <si>
    <t>4-Sep-1969</t>
  </si>
  <si>
    <t>19-Nov-1985</t>
  </si>
  <si>
    <t>15-Dec-1985</t>
  </si>
  <si>
    <t>13-Aug-1990</t>
  </si>
  <si>
    <t>25-Sep-1986</t>
  </si>
  <si>
    <t>21-Oct-1983</t>
  </si>
  <si>
    <t>19-Aug-1983</t>
  </si>
  <si>
    <t>30-Oct-1980</t>
  </si>
  <si>
    <t>24-Jun-1989</t>
  </si>
  <si>
    <t>7-Jul-1996</t>
  </si>
  <si>
    <t>9-Nov-1970</t>
  </si>
  <si>
    <t>13-Aug-1984</t>
  </si>
  <si>
    <t>18-Nov-1976</t>
  </si>
  <si>
    <t>6-Aug-1982</t>
  </si>
  <si>
    <t>16-Aug-1997</t>
  </si>
  <si>
    <t>28-Oct-1982</t>
  </si>
  <si>
    <t>10-Dec-1985</t>
  </si>
  <si>
    <t>20-Aug-1970</t>
  </si>
  <si>
    <t>22-Aug-1971</t>
  </si>
  <si>
    <t>4-Sep-1987</t>
  </si>
  <si>
    <t>30-Dec-1976</t>
  </si>
  <si>
    <t>5-Aug-1975</t>
  </si>
  <si>
    <t>1-Nov-1984</t>
  </si>
  <si>
    <t>27-Jul-1981</t>
  </si>
  <si>
    <t>8-Jun-1980</t>
  </si>
  <si>
    <t>1-Dec-1970</t>
  </si>
  <si>
    <t>9-Oct-1982</t>
  </si>
  <si>
    <t>28-Aug-1982</t>
  </si>
  <si>
    <t>7-Jul-1994</t>
  </si>
  <si>
    <t>23-Oct-1976</t>
  </si>
  <si>
    <t>12-Aug-1982</t>
  </si>
  <si>
    <t>2-Oct-1982</t>
  </si>
  <si>
    <t>3-Dec-1969</t>
  </si>
  <si>
    <t>18-Dec-1986</t>
  </si>
  <si>
    <t>6-Aug-1989</t>
  </si>
  <si>
    <t>11-Dec-1968</t>
  </si>
  <si>
    <t>20-Sep-1984</t>
  </si>
  <si>
    <t>20-Jul-1981</t>
  </si>
  <si>
    <t>5-Oct-1984</t>
  </si>
  <si>
    <t>22-Nov-1982</t>
  </si>
  <si>
    <t>29-Dec-1982</t>
  </si>
  <si>
    <t>7-Nov-1982</t>
  </si>
  <si>
    <t>29-Aug-1973</t>
  </si>
  <si>
    <t>4-Sep-2003</t>
  </si>
  <si>
    <t>6-Jun-1990</t>
  </si>
  <si>
    <t>8-Dec-1984</t>
  </si>
  <si>
    <t>8-Nov-1970</t>
  </si>
  <si>
    <t>1-Jul-1984</t>
  </si>
  <si>
    <t>19-Nov-1989</t>
  </si>
  <si>
    <t>17-Sep-1981</t>
  </si>
  <si>
    <t>20-Oct-1989</t>
  </si>
  <si>
    <t>9-Jul-1985</t>
  </si>
  <si>
    <t>13-Jul-1968</t>
  </si>
  <si>
    <t>12-Dec-1971</t>
  </si>
  <si>
    <t>12-Jun-1983</t>
  </si>
  <si>
    <t>13-Jun-1994</t>
  </si>
  <si>
    <t>21-Oct-1978</t>
  </si>
  <si>
    <t>18-Jul-1968</t>
  </si>
  <si>
    <t>7-Aug-1986</t>
  </si>
  <si>
    <t>5-Jun-1986</t>
  </si>
  <si>
    <t>17-Jun-1970</t>
  </si>
  <si>
    <t>9-Dec-1966</t>
  </si>
  <si>
    <t>10-Oct-1988</t>
  </si>
  <si>
    <t>21-Sep-1981</t>
  </si>
  <si>
    <t>3-Sep-1981</t>
  </si>
  <si>
    <t>8-Oct-1981</t>
  </si>
  <si>
    <t>23-Nov-1980</t>
  </si>
  <si>
    <t>24-Dec-1985</t>
  </si>
  <si>
    <t>29-Jun-1991</t>
  </si>
  <si>
    <t>17-Aug-1975</t>
  </si>
  <si>
    <t>8-Jul-1994</t>
  </si>
  <si>
    <t>15-Jul-1979</t>
  </si>
  <si>
    <t>30-Nov-2000</t>
  </si>
  <si>
    <t>15-Jun-1977</t>
  </si>
  <si>
    <t>4-Nov-1979</t>
  </si>
  <si>
    <t>19-Jun-1981</t>
  </si>
  <si>
    <t>5-Aug-1978</t>
  </si>
  <si>
    <t>23-Oct-1969</t>
  </si>
  <si>
    <t>23-Jun-1981</t>
  </si>
  <si>
    <t>24-Dec-2004</t>
  </si>
  <si>
    <t>10-Sep-1985</t>
  </si>
  <si>
    <t>21-Dec-1989</t>
  </si>
  <si>
    <t>5-Sep-1984</t>
  </si>
  <si>
    <t>29-Nov-1978</t>
  </si>
  <si>
    <t>30-Aug-1980</t>
  </si>
  <si>
    <t>5-Oct-1980</t>
  </si>
  <si>
    <t>15-Dec-1978</t>
  </si>
  <si>
    <t>18-Aug-1980</t>
  </si>
  <si>
    <t>3-Jun-1975</t>
  </si>
  <si>
    <t>18-Oct-1982</t>
  </si>
  <si>
    <t>1-Sep-1982</t>
  </si>
  <si>
    <t>6-Jul-1969</t>
  </si>
  <si>
    <t>2-Jun-1978</t>
  </si>
  <si>
    <t>29-Oct-1995</t>
  </si>
  <si>
    <t>26-Jul-1980</t>
  </si>
  <si>
    <t>22-Oct-1980</t>
  </si>
  <si>
    <t>28-Jun-1980</t>
  </si>
  <si>
    <t>24-Jun-1978</t>
  </si>
  <si>
    <t>6-Oct-1982</t>
  </si>
  <si>
    <t>11-Aug-1987</t>
  </si>
  <si>
    <t>29-Jun-1968</t>
  </si>
  <si>
    <t>1-Aug-1993</t>
  </si>
  <si>
    <t>8-Aug-1999</t>
  </si>
  <si>
    <t>21-Nov-1984</t>
  </si>
  <si>
    <t>24-Jun-1976</t>
  </si>
  <si>
    <t>30-Jul-1978</t>
  </si>
  <si>
    <t>29-Jun-1984</t>
  </si>
  <si>
    <t>6-Sep-1978</t>
  </si>
  <si>
    <t>17-Jul-1981</t>
  </si>
  <si>
    <t>22-Jun-1980</t>
  </si>
  <si>
    <t>7-Oct-1980</t>
  </si>
  <si>
    <t>30-Sep-1980</t>
  </si>
  <si>
    <t>16-Aug-1982</t>
  </si>
  <si>
    <t>19-Jul-1975</t>
  </si>
  <si>
    <t>26-Aug-1968</t>
  </si>
  <si>
    <t>14-Sep-1982</t>
  </si>
  <si>
    <t>21-Nov-1983</t>
  </si>
  <si>
    <t>28-Jun-1991</t>
  </si>
  <si>
    <t>15-Sep-1977</t>
  </si>
  <si>
    <t>2-Sep-1986</t>
  </si>
  <si>
    <t>24-Jul-1982</t>
  </si>
  <si>
    <t>14-Aug-1981</t>
  </si>
  <si>
    <t>13-Jun-1981</t>
  </si>
  <si>
    <t>25-Oct-1973</t>
  </si>
  <si>
    <t>4-Aug-1981</t>
  </si>
  <si>
    <t>18-Dec-1976</t>
  </si>
  <si>
    <t>2-Nov-1985</t>
  </si>
  <si>
    <t>26-Dec-1966</t>
  </si>
  <si>
    <t>6-Jun-1965</t>
  </si>
  <si>
    <t>25-Jun-1965</t>
  </si>
  <si>
    <t>11-Aug-1972</t>
  </si>
  <si>
    <t>11-Jul-1965</t>
  </si>
  <si>
    <t>15-Nov-2004</t>
  </si>
  <si>
    <t>19-Jun-1979</t>
  </si>
  <si>
    <t>19-Sep-1979</t>
  </si>
  <si>
    <t>15-Jun-1986</t>
  </si>
  <si>
    <t>18-Dec-1977</t>
  </si>
  <si>
    <t>26-Jun-1979</t>
  </si>
  <si>
    <t>1-Dec-1977</t>
  </si>
  <si>
    <t>5-Oct-1993</t>
  </si>
  <si>
    <t>21-Jun-1983</t>
  </si>
  <si>
    <t>16-Jul-1981</t>
  </si>
  <si>
    <t>9-Dec-1965</t>
  </si>
  <si>
    <t>22-Jul-1993</t>
  </si>
  <si>
    <t>5-Dec-1965</t>
  </si>
  <si>
    <t>19-Sep-1983</t>
  </si>
  <si>
    <t>12-Nov-1978</t>
  </si>
  <si>
    <t>2-Dec-1978</t>
  </si>
  <si>
    <t>25-Aug-1977</t>
  </si>
  <si>
    <t>1-Sep-1979</t>
  </si>
  <si>
    <t>7-Jul-1980</t>
  </si>
  <si>
    <t>25-Sep-1977</t>
  </si>
  <si>
    <t>30-Sep-1977</t>
  </si>
  <si>
    <t>1-Jun-2001</t>
  </si>
  <si>
    <t>4-Aug-1967</t>
  </si>
  <si>
    <t>14-Jun-1996</t>
  </si>
  <si>
    <t>15-Dec-1988</t>
  </si>
  <si>
    <t>28-Oct-1997</t>
  </si>
  <si>
    <t>10-Jul-1983</t>
  </si>
  <si>
    <t>18-Oct-1978</t>
  </si>
  <si>
    <t>10-Oct-1976</t>
  </si>
  <si>
    <t>14-Dec-1978</t>
  </si>
  <si>
    <t>14-Aug-1994</t>
  </si>
  <si>
    <t>17-Jul-1967</t>
  </si>
  <si>
    <t>30-Sep-1997</t>
  </si>
  <si>
    <t>3-Jul-1968</t>
  </si>
  <si>
    <t>17-Sep-1996</t>
  </si>
  <si>
    <t>28-Nov-1978</t>
  </si>
  <si>
    <t>6-Nov-1978</t>
  </si>
  <si>
    <t>24-Aug-1978</t>
  </si>
  <si>
    <t>13-Dec-2001</t>
  </si>
  <si>
    <t>20-Jun-1980</t>
  </si>
  <si>
    <t>24-Jul-1980</t>
  </si>
  <si>
    <t>15-Jun-1999</t>
  </si>
  <si>
    <t>16-Oct-1980</t>
  </si>
  <si>
    <t>30-Sep-1998</t>
  </si>
  <si>
    <t>27-Dec-1965</t>
  </si>
  <si>
    <t>9-Oct-1976</t>
  </si>
  <si>
    <t>24-Nov-1996</t>
  </si>
  <si>
    <t>13-Sep-1995</t>
  </si>
  <si>
    <t>11-Oct-1971</t>
  </si>
  <si>
    <t>19-Dec-1981</t>
  </si>
  <si>
    <t>18-Dec-1982</t>
  </si>
  <si>
    <t>12-Jul-1987</t>
  </si>
  <si>
    <t>29-Dec-1978</t>
  </si>
  <si>
    <t>2-Jun-1979</t>
  </si>
  <si>
    <t>10-Sep-1980</t>
  </si>
  <si>
    <t>4-Dec-1978</t>
  </si>
  <si>
    <t>29-Aug-1977</t>
  </si>
  <si>
    <t>18-Jul-1965</t>
  </si>
  <si>
    <t>4-Sep-1978</t>
  </si>
  <si>
    <t>21-Dec-1997</t>
  </si>
  <si>
    <t>6-Dec-1974</t>
  </si>
  <si>
    <t>25-Dec-1999</t>
  </si>
  <si>
    <t>2-Dec-1997</t>
  </si>
  <si>
    <t>9-Nov-1974</t>
  </si>
  <si>
    <t>21-Dec-1991</t>
  </si>
  <si>
    <t>12-Oct-1989</t>
  </si>
  <si>
    <t>10-Oct-1962</t>
  </si>
  <si>
    <t>20-Jul-1977</t>
  </si>
  <si>
    <t>29-Oct-1987</t>
  </si>
  <si>
    <t>9-Jul-1966</t>
  </si>
  <si>
    <t>28-Dec-1981</t>
  </si>
  <si>
    <t>19-Jun-1970</t>
  </si>
  <si>
    <t>10-Aug-1975</t>
  </si>
  <si>
    <t>23-Nov-1972</t>
  </si>
  <si>
    <t>28-Aug-1983</t>
  </si>
  <si>
    <t>20-Aug-1983</t>
  </si>
  <si>
    <t>22-Aug-1962</t>
  </si>
  <si>
    <t>18-Sep-1995</t>
  </si>
  <si>
    <t>8-Nov-1980</t>
  </si>
  <si>
    <t>3-Nov-1989</t>
  </si>
  <si>
    <t>17-Jul-1978</t>
  </si>
  <si>
    <t>20-Dec-1976</t>
  </si>
  <si>
    <t>6-Nov-1977</t>
  </si>
  <si>
    <t>12-Dec-2003</t>
  </si>
  <si>
    <t>28-Nov-1985</t>
  </si>
  <si>
    <t>27-Dec-1982</t>
  </si>
  <si>
    <t>12-Dec-1970</t>
  </si>
  <si>
    <t>28-Jun-1975</t>
  </si>
  <si>
    <t>11-Aug-1965</t>
  </si>
  <si>
    <t>15-Dec-1975</t>
  </si>
  <si>
    <t>21-Oct-1965</t>
  </si>
  <si>
    <t>7-Nov-1993</t>
  </si>
  <si>
    <t>28-Aug-2001</t>
  </si>
  <si>
    <t>12-Oct-1994</t>
  </si>
  <si>
    <t>21-Dec-1975</t>
  </si>
  <si>
    <t>10-Jun-1967</t>
  </si>
  <si>
    <t>11-Oct-1973</t>
  </si>
  <si>
    <t>1-Sep-1978</t>
  </si>
  <si>
    <t>16-Dec-1973</t>
  </si>
  <si>
    <t>30-Aug-1973</t>
  </si>
  <si>
    <t>3-Sep-1973</t>
  </si>
  <si>
    <t>21-Jun-1990</t>
  </si>
  <si>
    <t>28-Jun-1982</t>
  </si>
  <si>
    <t>5-Nov-1963</t>
  </si>
  <si>
    <t>21-Oct-1997</t>
  </si>
  <si>
    <t>23-Nov-1962</t>
  </si>
  <si>
    <t>24-Oct-1978</t>
  </si>
  <si>
    <t>30-Jun-1978</t>
  </si>
  <si>
    <t>3-Sep-1976</t>
  </si>
  <si>
    <t>30-Jun-1976</t>
  </si>
  <si>
    <t>2-Sep-1976</t>
  </si>
  <si>
    <t>5-Sep-1964</t>
  </si>
  <si>
    <t>5-Aug-1974</t>
  </si>
  <si>
    <t>28-Nov-2000</t>
  </si>
  <si>
    <t>26-Sep-1974</t>
  </si>
  <si>
    <t>22-Dec-1974</t>
  </si>
  <si>
    <t>6-Jun-1974</t>
  </si>
  <si>
    <t>26-Jun-1978</t>
  </si>
  <si>
    <t>7-Aug-1979</t>
  </si>
  <si>
    <t>12-Jul-1976</t>
  </si>
  <si>
    <t>20-Jul-1976</t>
  </si>
  <si>
    <t>7-Jul-1976</t>
  </si>
  <si>
    <t>12-Jun-1976</t>
  </si>
  <si>
    <t>21-Sep-1963</t>
  </si>
  <si>
    <t>4-Sep-1971</t>
  </si>
  <si>
    <t>18-Sep-1971</t>
  </si>
  <si>
    <t>11-Jun-1979</t>
  </si>
  <si>
    <t>4-Sep-1977</t>
  </si>
  <si>
    <t>28-Sep-1975</t>
  </si>
  <si>
    <t>24-Sep-1963</t>
  </si>
  <si>
    <t>9-Sep-1972</t>
  </si>
  <si>
    <t>4-Sep-1972</t>
  </si>
  <si>
    <t>12-Jun-1966</t>
  </si>
  <si>
    <t>19-Jun-1984</t>
  </si>
  <si>
    <t>26-Dec-1972</t>
  </si>
  <si>
    <t>9-Sep-1992</t>
  </si>
  <si>
    <t>10-Nov-1993</t>
  </si>
  <si>
    <t>26-Dec-1977</t>
  </si>
  <si>
    <t>21-Jun-1977</t>
  </si>
  <si>
    <t>29-Dec-1977</t>
  </si>
  <si>
    <t>13-Aug-1979</t>
  </si>
  <si>
    <t>26-Jul-1977</t>
  </si>
  <si>
    <t>24-Jul-1983</t>
  </si>
  <si>
    <t>27-Dec-1981</t>
  </si>
  <si>
    <t>6-Nov-1975</t>
  </si>
  <si>
    <t>12-Dec-1983</t>
  </si>
  <si>
    <t>6-Aug-1975</t>
  </si>
  <si>
    <t>21-Aug-1975</t>
  </si>
  <si>
    <t>21-Sep-1988</t>
  </si>
  <si>
    <t>26-Sep-1975</t>
  </si>
  <si>
    <t>6-Dec-1982</t>
  </si>
  <si>
    <t>11-Nov-1987</t>
  </si>
  <si>
    <t>30-Dec-1983</t>
  </si>
  <si>
    <t>25-Jul-1983</t>
  </si>
  <si>
    <t>11-Jul-1973</t>
  </si>
  <si>
    <t>24-Sep-1977</t>
  </si>
  <si>
    <t>12-Nov-1977</t>
  </si>
  <si>
    <t>15-Oct-1977</t>
  </si>
  <si>
    <t>17-Jul-1979</t>
  </si>
  <si>
    <t>2-Sep-1977</t>
  </si>
  <si>
    <t>3-Aug-1975</t>
  </si>
  <si>
    <t>10-Aug-1969</t>
  </si>
  <si>
    <t>16-Aug-1974</t>
  </si>
  <si>
    <t>28-Oct-1980</t>
  </si>
  <si>
    <t>25-Jun-1973</t>
  </si>
  <si>
    <t>17-Jun-1976</t>
  </si>
  <si>
    <t>23-Aug-1999</t>
  </si>
  <si>
    <t>9-Sep-1969</t>
  </si>
  <si>
    <t>6-Sep-1974</t>
  </si>
  <si>
    <t>23-Aug-1971</t>
  </si>
  <si>
    <t>18-Jun-1971</t>
  </si>
  <si>
    <t>29-Aug-1965</t>
  </si>
  <si>
    <t>7-Nov-2001</t>
  </si>
  <si>
    <t>14-Jun-1976</t>
  </si>
  <si>
    <t>19-Oct-1976</t>
  </si>
  <si>
    <t>22-Aug-1988</t>
  </si>
  <si>
    <t>14-Jul-1976</t>
  </si>
  <si>
    <t>14-Nov-1972</t>
  </si>
  <si>
    <t>22-Nov-1972</t>
  </si>
  <si>
    <t>18-Jun-1974</t>
  </si>
  <si>
    <t>9-Sep-1973</t>
  </si>
  <si>
    <t>16-Dec-1978</t>
  </si>
  <si>
    <t>28-Nov-1997</t>
  </si>
  <si>
    <t>6-Sep-1967</t>
  </si>
  <si>
    <t>7-Jul-1975</t>
  </si>
  <si>
    <t>6-Jun-1972</t>
  </si>
  <si>
    <t>25-Dec-1976</t>
  </si>
  <si>
    <t>27-Sep-1992</t>
  </si>
  <si>
    <t>15-Jul-1983</t>
  </si>
  <si>
    <t>8-Sep-1974</t>
  </si>
  <si>
    <t>21-Jul-1974</t>
  </si>
  <si>
    <t>16-Dec-1979</t>
  </si>
  <si>
    <t>1-Dec-1993</t>
  </si>
  <si>
    <t>7-Dec-1972</t>
  </si>
  <si>
    <t>2-Dec-1972</t>
  </si>
  <si>
    <t>4-Nov-1977</t>
  </si>
  <si>
    <t>9-Nov-1965</t>
  </si>
  <si>
    <t>2-Dec-1977</t>
  </si>
  <si>
    <t>12-Aug-1970</t>
  </si>
  <si>
    <t>18-Oct-1970</t>
  </si>
  <si>
    <t>8-Dec-1982</t>
  </si>
  <si>
    <t>23-Aug-1990</t>
  </si>
  <si>
    <t>24-Oct-1970</t>
  </si>
  <si>
    <t>29-Dec-1971</t>
  </si>
  <si>
    <t>25-Dec-1973</t>
  </si>
  <si>
    <t>10-Sep-1976</t>
  </si>
  <si>
    <t>5-Dec-1981</t>
  </si>
  <si>
    <t>6-Dec-1975</t>
  </si>
  <si>
    <t>21-Aug-1974</t>
  </si>
  <si>
    <t>6-Aug-1971</t>
  </si>
  <si>
    <t>27-Oct-1973</t>
  </si>
  <si>
    <t>2-Jul-1971</t>
  </si>
  <si>
    <t>26-Nov-1969</t>
  </si>
  <si>
    <t>16-Oct-1973</t>
  </si>
  <si>
    <t>18-Sep-1973</t>
  </si>
  <si>
    <t>3-Nov-1976</t>
  </si>
  <si>
    <t>8-Jun-1963</t>
  </si>
  <si>
    <t>12-Oct-1977</t>
  </si>
  <si>
    <t>9-Jul-1988</t>
  </si>
  <si>
    <t>12-Oct-1996</t>
  </si>
  <si>
    <t>1-Jul-1988</t>
  </si>
  <si>
    <t>8-Oct-1971</t>
  </si>
  <si>
    <t>24-Nov-1969</t>
  </si>
  <si>
    <t>26-Nov-1971</t>
  </si>
  <si>
    <t>2-Dec-1975</t>
  </si>
  <si>
    <t>20-Oct-1971</t>
  </si>
  <si>
    <t>17-Oct-1976</t>
  </si>
  <si>
    <t>30-Oct-1976</t>
  </si>
  <si>
    <t>27-Nov-1974</t>
  </si>
  <si>
    <t>8-Jun-1974</t>
  </si>
  <si>
    <t>14-Nov-1987</t>
  </si>
  <si>
    <t>4-Jun-1969</t>
  </si>
  <si>
    <t>28-Nov-1976</t>
  </si>
  <si>
    <t>24-Aug-1969</t>
  </si>
  <si>
    <t>22-Aug-1992</t>
  </si>
  <si>
    <t>29-Nov-1971</t>
  </si>
  <si>
    <t>21-Dec-1973</t>
  </si>
  <si>
    <t>28-Jul-1975</t>
  </si>
  <si>
    <t>22-Sep-1972</t>
  </si>
  <si>
    <t>14-Aug-1974</t>
  </si>
  <si>
    <t>1-Dec-1973</t>
  </si>
  <si>
    <t>4-Dec-1966</t>
  </si>
  <si>
    <t>28-Nov-1973</t>
  </si>
  <si>
    <t>15-Dec-1964</t>
  </si>
  <si>
    <t>27-Dec-1972</t>
  </si>
  <si>
    <t>29-Aug-1982</t>
  </si>
  <si>
    <t>29-Oct-1975</t>
  </si>
  <si>
    <t>16-Dec-1970</t>
  </si>
  <si>
    <t>23-Jun-1998</t>
  </si>
  <si>
    <t>19-Dec-1979</t>
  </si>
  <si>
    <t>23-Oct-1972</t>
  </si>
  <si>
    <t>22-Jun-1968</t>
  </si>
  <si>
    <t>30-Sep-1970</t>
  </si>
  <si>
    <t>19-Jul-1971</t>
  </si>
  <si>
    <t>8-Jul-1974</t>
  </si>
  <si>
    <t>8-Aug-1981</t>
  </si>
  <si>
    <t>16-Sep-1966</t>
  </si>
  <si>
    <t>7-Nov-1964</t>
  </si>
  <si>
    <t>19-Sep-1977</t>
  </si>
  <si>
    <t>10-Jul-1972</t>
  </si>
  <si>
    <t>27-Jun-1975</t>
  </si>
  <si>
    <t>12-Sep-1970</t>
  </si>
  <si>
    <t>18-Aug-1970</t>
  </si>
  <si>
    <t>4-Jul-1970</t>
  </si>
  <si>
    <t>14-Jul-2001</t>
  </si>
  <si>
    <t>5-Sep-1965</t>
  </si>
  <si>
    <t>7-Jul-1973</t>
  </si>
  <si>
    <t>8-Aug-1996</t>
  </si>
  <si>
    <t>7-Jun-1977</t>
  </si>
  <si>
    <t>17-Sep-1973</t>
  </si>
  <si>
    <t>28-Jun-1972</t>
  </si>
  <si>
    <t>26-Sep-1972</t>
  </si>
  <si>
    <t>4-Nov-1968</t>
  </si>
  <si>
    <t>23-Oct-1971</t>
  </si>
  <si>
    <t>17-Jul-1971</t>
  </si>
  <si>
    <t>20-Oct-1969</t>
  </si>
  <si>
    <t>9-Nov-1971</t>
  </si>
  <si>
    <t>13-Aug-1969</t>
  </si>
  <si>
    <t>6-Jul-1998</t>
  </si>
  <si>
    <t>22-Dec-1971</t>
  </si>
  <si>
    <t>3-Jul-1971</t>
  </si>
  <si>
    <t>3-Oct-1971</t>
  </si>
  <si>
    <t>8-Nov-1971</t>
  </si>
  <si>
    <t>5-Nov-1966</t>
  </si>
  <si>
    <t>8-Jul-1996</t>
  </si>
  <si>
    <t>17-Aug-1962</t>
  </si>
  <si>
    <t>14-Sep-1972</t>
  </si>
  <si>
    <t>19-Aug-1985</t>
  </si>
  <si>
    <t>3-Dec-1983</t>
  </si>
  <si>
    <t>11-Sep-1964</t>
  </si>
  <si>
    <t>26-Dec-1971</t>
  </si>
  <si>
    <t>6-Oct-1971</t>
  </si>
  <si>
    <t>11-Aug-1970</t>
  </si>
  <si>
    <t>3-Jul-1988</t>
  </si>
  <si>
    <t>28-Dec-1979</t>
  </si>
  <si>
    <t>30-Aug-1974</t>
  </si>
  <si>
    <t>22-Aug-1969</t>
  </si>
  <si>
    <t>27-Oct-1969</t>
  </si>
  <si>
    <t>3-Jul-1969</t>
  </si>
  <si>
    <t>19-Dec-1976</t>
  </si>
  <si>
    <t>19-Oct-1972</t>
  </si>
  <si>
    <t>8-Aug-1972</t>
  </si>
  <si>
    <t>2-Jul-1975</t>
  </si>
  <si>
    <t>16-Nov-1972</t>
  </si>
  <si>
    <t>5-Sep-1997</t>
  </si>
  <si>
    <t>30-Dec-1974</t>
  </si>
  <si>
    <t>12-Jun-1981</t>
  </si>
  <si>
    <t>13-Oct-1973</t>
  </si>
  <si>
    <t>16-Oct-1985</t>
  </si>
  <si>
    <t>24-Dec-1970</t>
  </si>
  <si>
    <t>26-Sep-1967</t>
  </si>
  <si>
    <t>28-Jun-1967</t>
  </si>
  <si>
    <t>23-Sep-1968</t>
  </si>
  <si>
    <t>15-Aug-1975</t>
  </si>
  <si>
    <t>5-Sep-1973</t>
  </si>
  <si>
    <t>27-Nov-1973</t>
  </si>
  <si>
    <t>21-Jun-1970</t>
  </si>
  <si>
    <t>14-Sep-1988</t>
  </si>
  <si>
    <t>12-Jul-1962</t>
  </si>
  <si>
    <t>21-Aug-1991</t>
  </si>
  <si>
    <t>21-Jul-1982</t>
  </si>
  <si>
    <t>19-Jul-1968</t>
  </si>
  <si>
    <t>8-Aug-1973</t>
  </si>
  <si>
    <t>29-Sep-1974</t>
  </si>
  <si>
    <t>17-Jun-1969</t>
  </si>
  <si>
    <t>6-Sep-1971</t>
  </si>
  <si>
    <t>29-Sep-1973</t>
  </si>
  <si>
    <t>19-Sep-1973</t>
  </si>
  <si>
    <t>7-Jul-1969</t>
  </si>
  <si>
    <t>5-Jun-1975</t>
  </si>
  <si>
    <t>24-Oct-1980</t>
  </si>
  <si>
    <t>25-Nov-1979</t>
  </si>
  <si>
    <t>27-Dec-1968</t>
  </si>
  <si>
    <t>23-Aug-1968</t>
  </si>
  <si>
    <t>29-Aug-1968</t>
  </si>
  <si>
    <t>8-Nov-1968</t>
  </si>
  <si>
    <t>14-Oct-1964</t>
  </si>
  <si>
    <t>3-Aug-1976</t>
  </si>
  <si>
    <t>27-Jul-1964</t>
  </si>
  <si>
    <t>22-Sep-1969</t>
  </si>
  <si>
    <t>28-Jun-1987</t>
  </si>
  <si>
    <t>21-Aug-1978</t>
  </si>
  <si>
    <t>25-Oct-1977</t>
  </si>
  <si>
    <t>26-Sep-1971</t>
  </si>
  <si>
    <t>29-Jun-1971</t>
  </si>
  <si>
    <t>17-Jul-1969</t>
  </si>
  <si>
    <t>11-Dec-1966</t>
  </si>
  <si>
    <t>25-Dec-1969</t>
  </si>
  <si>
    <t>3-Nov-1966</t>
  </si>
  <si>
    <t>29-Nov-1967</t>
  </si>
  <si>
    <t>14-Dec-1972</t>
  </si>
  <si>
    <t>20-Jul-1966</t>
  </si>
  <si>
    <t>23-Jun-1967</t>
  </si>
  <si>
    <t>2-Jul-1966</t>
  </si>
  <si>
    <t>27-Jun-1965</t>
  </si>
  <si>
    <t>23-Jul-1992</t>
  </si>
  <si>
    <t>8-Aug-1964</t>
  </si>
  <si>
    <t>22-Nov-1976</t>
  </si>
  <si>
    <t>7-Sep-1962</t>
  </si>
  <si>
    <t>2-Aug-1977</t>
  </si>
  <si>
    <t>30-Sep-1976</t>
  </si>
  <si>
    <t>24-Oct-1972</t>
  </si>
  <si>
    <t>30-Jul-1967</t>
  </si>
  <si>
    <t>5-Oct-1967</t>
  </si>
  <si>
    <t>25-Jun-1992</t>
  </si>
  <si>
    <t>9-Dec-1974</t>
  </si>
  <si>
    <t>29-Aug-1986</t>
  </si>
  <si>
    <t>11-Nov-1967</t>
  </si>
  <si>
    <t>23-Oct-1967</t>
  </si>
  <si>
    <t>28-Oct-1970</t>
  </si>
  <si>
    <t>18-Dec-1970</t>
  </si>
  <si>
    <t>2-Oct-1967</t>
  </si>
  <si>
    <t>28-Jul-1968</t>
  </si>
  <si>
    <t>20-Dec-1971</t>
  </si>
  <si>
    <t>6-Sep-1994</t>
  </si>
  <si>
    <t>13-Nov-1968</t>
  </si>
  <si>
    <t>12-Nov-1968</t>
  </si>
  <si>
    <t>10-Nov-1969</t>
  </si>
  <si>
    <t>4-Dec-1965</t>
  </si>
  <si>
    <t>14-Aug-1969</t>
  </si>
  <si>
    <t>19-Jun-1965</t>
  </si>
  <si>
    <t>21-Oct-1973</t>
  </si>
  <si>
    <t>18-Dec-1965</t>
  </si>
  <si>
    <t>17-Sep-2000</t>
  </si>
  <si>
    <t>24-Oct-1968</t>
  </si>
  <si>
    <t>15-Dec-1974</t>
  </si>
  <si>
    <t>26-Jun-1991</t>
  </si>
  <si>
    <t>21-Jul-1996</t>
  </si>
  <si>
    <t>10-Dec-1974</t>
  </si>
  <si>
    <t>25-Oct-1989</t>
  </si>
  <si>
    <t>17-Dec-2001</t>
  </si>
  <si>
    <t>18-Sep-2000</t>
  </si>
  <si>
    <t>7-Nov-1966</t>
  </si>
  <si>
    <t>20-Nov-1966</t>
  </si>
  <si>
    <t>4-Sep-1967</t>
  </si>
  <si>
    <t>7-Oct-1972</t>
  </si>
  <si>
    <t>9-Sep-1966</t>
  </si>
  <si>
    <t>5-Jul-1966</t>
  </si>
  <si>
    <t>20-Aug-1980</t>
  </si>
  <si>
    <t>30-Nov-1969</t>
  </si>
  <si>
    <t>25-Jun-1969</t>
  </si>
  <si>
    <t>6-Aug-1966</t>
  </si>
  <si>
    <t>3-Sep-1972</t>
  </si>
  <si>
    <t>14-Jun-1970</t>
  </si>
  <si>
    <t>28-Jun-1976</t>
  </si>
  <si>
    <t>30-Dec-1969</t>
  </si>
  <si>
    <t>17-Dec-1989</t>
  </si>
  <si>
    <t>20-Aug-1969</t>
  </si>
  <si>
    <t>2-Oct-1981</t>
  </si>
  <si>
    <t>11-Oct-1969</t>
  </si>
  <si>
    <t>14-Jun-1967</t>
  </si>
  <si>
    <t>22-Jun-1970</t>
  </si>
  <si>
    <t>14-Nov-1988</t>
  </si>
  <si>
    <t>25-Sep-1972</t>
  </si>
  <si>
    <t>6-Oct-1968</t>
  </si>
  <si>
    <t>22-Nov-1963</t>
  </si>
  <si>
    <t>10-Dec-1995</t>
  </si>
  <si>
    <t>11-Jul-1963</t>
  </si>
  <si>
    <t>20-Sep-2002</t>
  </si>
  <si>
    <t>19-Aug-1989</t>
  </si>
  <si>
    <t>2-Nov-1968</t>
  </si>
  <si>
    <t>12-Jul-1964</t>
  </si>
  <si>
    <t>29-Nov-1965</t>
  </si>
  <si>
    <t>26-Sep-1965</t>
  </si>
  <si>
    <t>4-Jul-1964</t>
  </si>
  <si>
    <t>3-Jul-1964</t>
  </si>
  <si>
    <t>13-Dec-1964</t>
  </si>
  <si>
    <t>7-Jun-1979</t>
  </si>
  <si>
    <t>6-Dec-1972</t>
  </si>
  <si>
    <t>13-Jun-1964</t>
  </si>
  <si>
    <t>19-Dec-1967</t>
  </si>
  <si>
    <t>2-Oct-1970</t>
  </si>
  <si>
    <t>7-Oct-1970</t>
  </si>
  <si>
    <t>23-Oct-1983</t>
  </si>
  <si>
    <t>9-Jun-1985</t>
  </si>
  <si>
    <t>17-Jul-1980</t>
  </si>
  <si>
    <t>12-Sep-1971</t>
  </si>
  <si>
    <t>14-Jun-1966</t>
  </si>
  <si>
    <t>23-Jun-1965</t>
  </si>
  <si>
    <t>7-Sep-1966</t>
  </si>
  <si>
    <t>10-Sep-2004</t>
  </si>
  <si>
    <t>13-Oct-1970</t>
  </si>
  <si>
    <t>7-Jun-1983</t>
  </si>
  <si>
    <t>11-Aug-1969</t>
  </si>
  <si>
    <t>6-Oct-1989</t>
  </si>
  <si>
    <t>24-Jun-1968</t>
  </si>
  <si>
    <t>19-Dec-1971</t>
  </si>
  <si>
    <t>12-Jun-1988</t>
  </si>
  <si>
    <t>23-Jul-1970</t>
  </si>
  <si>
    <t>3-Oct-1965</t>
  </si>
  <si>
    <t>14-Nov-1968</t>
  </si>
  <si>
    <t>1-Dec-1971</t>
  </si>
  <si>
    <t>23-Jul-1973</t>
  </si>
  <si>
    <t>27-Oct-1965</t>
  </si>
  <si>
    <t>25-Dec-1965</t>
  </si>
  <si>
    <t>6-Nov-1965</t>
  </si>
  <si>
    <t>20-Jun-1964</t>
  </si>
  <si>
    <t>17-Jul-1986</t>
  </si>
  <si>
    <t>4-Oct-1966</t>
  </si>
  <si>
    <t>20-Jul-1994</t>
  </si>
  <si>
    <t>6-Jul-1966</t>
  </si>
  <si>
    <t>23-Aug-1966</t>
  </si>
  <si>
    <t>9-Nov-1966</t>
  </si>
  <si>
    <t>21-Oct-1982</t>
  </si>
  <si>
    <t>12-Oct-1969</t>
  </si>
  <si>
    <t>26-Nov-1984</t>
  </si>
  <si>
    <t>9-Nov-1964</t>
  </si>
  <si>
    <t>5-Sep-1988</t>
  </si>
  <si>
    <t>12-Nov-1969</t>
  </si>
  <si>
    <t>9-Jun-1963</t>
  </si>
  <si>
    <t>2-Dec-1964</t>
  </si>
  <si>
    <t>6-Nov-1979</t>
  </si>
  <si>
    <t>25-Jul-1966</t>
  </si>
  <si>
    <t>20-Nov-1982</t>
  </si>
  <si>
    <t>27-Jun-1964</t>
  </si>
  <si>
    <t>25-Sep-1965</t>
  </si>
  <si>
    <t>11-Jul-1964</t>
  </si>
  <si>
    <t>10-Nov-1965</t>
  </si>
  <si>
    <t>29-Sep-1964</t>
  </si>
  <si>
    <t>7-Jul-1974</t>
  </si>
  <si>
    <t>24-Aug-1967</t>
  </si>
  <si>
    <t>14-Jul-1967</t>
  </si>
  <si>
    <t>29-Oct-1967</t>
  </si>
  <si>
    <t>19-Nov-1964</t>
  </si>
  <si>
    <t>20-Dec-1964</t>
  </si>
  <si>
    <t>2-Aug-1964</t>
  </si>
  <si>
    <t>19-Oct-1991</t>
  </si>
  <si>
    <t>25-Dec-1964</t>
  </si>
  <si>
    <t>1-Nov-1965</t>
  </si>
  <si>
    <t>22-Dec-1967</t>
  </si>
  <si>
    <t>4-Jul-1983</t>
  </si>
  <si>
    <t>12-Dec-1993</t>
  </si>
  <si>
    <t>17-Oct-1982</t>
  </si>
  <si>
    <t>9-Jun-1965</t>
  </si>
  <si>
    <t>29-Oct-1965</t>
  </si>
  <si>
    <t>16-Oct-1979</t>
  </si>
  <si>
    <t>24-Nov-1966</t>
  </si>
  <si>
    <t>7-Sep-1986</t>
  </si>
  <si>
    <t>2-Sep-1984</t>
  </si>
  <si>
    <t>21-Jun-1968</t>
  </si>
  <si>
    <t>9-Dec-1968</t>
  </si>
  <si>
    <t>25-Oct-1968</t>
  </si>
  <si>
    <t>20-Jul-1963</t>
  </si>
  <si>
    <t>4-Jun-1963</t>
  </si>
  <si>
    <t>6-Nov-1991</t>
  </si>
  <si>
    <t>16-Sep-1974</t>
  </si>
  <si>
    <t>4-Nov-1962</t>
  </si>
  <si>
    <t>15-Sep-1962</t>
  </si>
  <si>
    <t>5-Oct-1987</t>
  </si>
  <si>
    <t>14-Aug-1977</t>
  </si>
  <si>
    <t>20-Jul-1964</t>
  </si>
  <si>
    <t>2-Jul-1964</t>
  </si>
  <si>
    <t>24-Jun-1964</t>
  </si>
  <si>
    <t>19-Jul-1963</t>
  </si>
  <si>
    <t>15-Oct-1964</t>
  </si>
  <si>
    <t>29-Jul-1966</t>
  </si>
  <si>
    <t>17-Jul-1963</t>
  </si>
  <si>
    <t>23-Jun-1974</t>
  </si>
  <si>
    <t>23-Nov-1989</t>
  </si>
  <si>
    <t>13-Aug-1986</t>
  </si>
  <si>
    <t>6-Dec-1966</t>
  </si>
  <si>
    <t>30-Dec-1967</t>
  </si>
  <si>
    <t>28-Aug-1967</t>
  </si>
  <si>
    <t>16-Nov-1966</t>
  </si>
  <si>
    <t>29-Oct-1990</t>
  </si>
  <si>
    <t>28-Oct-1963</t>
  </si>
  <si>
    <t>29-Aug-1963</t>
  </si>
  <si>
    <t>2-Aug-1963</t>
  </si>
  <si>
    <t>22-Sep-1963</t>
  </si>
  <si>
    <t>29-Dec-1966</t>
  </si>
  <si>
    <t>26-Sep-1962</t>
  </si>
  <si>
    <t>29-Dec-1989</t>
  </si>
  <si>
    <t>14-Jul-1979</t>
  </si>
  <si>
    <t>4-Aug-1964</t>
  </si>
  <si>
    <t>9-Aug-1995</t>
  </si>
  <si>
    <t>26-Nov-1968</t>
  </si>
  <si>
    <t>1-Sep-1967</t>
  </si>
  <si>
    <t>3-Dec-1968</t>
  </si>
  <si>
    <t>12-Jul-1966</t>
  </si>
  <si>
    <t>16-Oct-1962</t>
  </si>
  <si>
    <t>28-Nov-1961</t>
  </si>
  <si>
    <t>18-Jun-1970</t>
  </si>
  <si>
    <t>11-Aug-1988</t>
  </si>
  <si>
    <t>18-Nov-1998</t>
  </si>
  <si>
    <t>19-Aug-1963</t>
  </si>
  <si>
    <t>28-Dec-1970</t>
  </si>
  <si>
    <t>4-Oct-1965</t>
  </si>
  <si>
    <t>22-Nov-1962</t>
  </si>
  <si>
    <t>22-Jul-1962</t>
  </si>
  <si>
    <t>5-Sep-1972</t>
  </si>
  <si>
    <t>17-Dec-1966</t>
  </si>
  <si>
    <t>11-Jul-1962</t>
  </si>
  <si>
    <t>14-Sep-1965</t>
  </si>
  <si>
    <t>27-Aug-1962</t>
  </si>
  <si>
    <t>24-Sep-1974</t>
  </si>
  <si>
    <t>7-Jul-1992</t>
  </si>
  <si>
    <t>28-Nov-1964</t>
  </si>
  <si>
    <t>8-Jul-1970</t>
  </si>
  <si>
    <t>17-Jul-1988</t>
  </si>
  <si>
    <t>2-Sep-1962</t>
  </si>
  <si>
    <t>1-Oct-1962</t>
  </si>
  <si>
    <t>25-Sep-1975</t>
  </si>
  <si>
    <t>5-Dec-1963</t>
  </si>
  <si>
    <t>29-Oct-1983</t>
  </si>
  <si>
    <t>24-Jul-1978</t>
  </si>
  <si>
    <t>25-Sep-1967</t>
  </si>
  <si>
    <t>9-Nov-2004</t>
  </si>
  <si>
    <t>27-Sep-1993</t>
  </si>
  <si>
    <t>22-Sep-1973</t>
  </si>
  <si>
    <t>27-Sep-1963</t>
  </si>
  <si>
    <t>6-Aug-1984</t>
  </si>
  <si>
    <t>16-Aug-1963</t>
  </si>
  <si>
    <t>1-Sep-1963</t>
  </si>
  <si>
    <t>14-Aug-1963</t>
  </si>
  <si>
    <t>22-Dec-1966</t>
  </si>
  <si>
    <t>20-Aug-1961</t>
  </si>
  <si>
    <t>4-Nov-1960</t>
  </si>
  <si>
    <t>22-Jun-1960</t>
  </si>
  <si>
    <t>23-Sep-1960</t>
  </si>
  <si>
    <t>28-Nov-1960</t>
  </si>
  <si>
    <t>27-Nov-1979</t>
  </si>
  <si>
    <t>30-Oct-1981</t>
  </si>
  <si>
    <t>24-Jun-1962</t>
  </si>
  <si>
    <t>13-Dec-1969</t>
  </si>
  <si>
    <t>27-Sep-1972</t>
  </si>
  <si>
    <t>20-Jul-1962</t>
  </si>
  <si>
    <t>23-Sep-1964</t>
  </si>
  <si>
    <t>4-Nov-1965</t>
  </si>
  <si>
    <t>9-Nov-1961</t>
  </si>
  <si>
    <t>23-Sep-1969</t>
  </si>
  <si>
    <t>6-Aug-1967</t>
  </si>
  <si>
    <t>26-Oct-1985</t>
  </si>
  <si>
    <t>6-Nov-1961</t>
  </si>
  <si>
    <t>30-Oct-1971</t>
  </si>
  <si>
    <t>2-Aug-1962</t>
  </si>
  <si>
    <t>14-Sep-1963</t>
  </si>
  <si>
    <t>16-Aug-1999</t>
  </si>
  <si>
    <t>7-Sep-1961</t>
  </si>
  <si>
    <t>6-Dec-1961</t>
  </si>
  <si>
    <t>5-Aug-1962</t>
  </si>
  <si>
    <t>15-Oct-1982</t>
  </si>
  <si>
    <t>7-Dec-1962</t>
  </si>
  <si>
    <t>13-Nov-1965</t>
  </si>
  <si>
    <t>24-Nov-1962</t>
  </si>
  <si>
    <t>11-Oct-1962</t>
  </si>
  <si>
    <t>23-Aug-1976</t>
  </si>
  <si>
    <t>11-Nov-1960</t>
  </si>
  <si>
    <t>2-Oct-1990</t>
  </si>
  <si>
    <t>24-Sep-1964</t>
  </si>
  <si>
    <t>30-Sep-1979</t>
  </si>
  <si>
    <t>6-Jun-1984</t>
  </si>
  <si>
    <t>9-Dec-1959</t>
  </si>
  <si>
    <t>25-Nov-1959</t>
  </si>
  <si>
    <t>20-Dec-1959</t>
  </si>
  <si>
    <t>19-Dec-1992</t>
  </si>
  <si>
    <t>22-Jul-1961</t>
  </si>
  <si>
    <t>17-Jun-1994</t>
  </si>
  <si>
    <t>3-Nov-1961</t>
  </si>
  <si>
    <t>14-Nov-1966</t>
  </si>
  <si>
    <t>29-Jun-1975</t>
  </si>
  <si>
    <t>13-Aug-1960</t>
  </si>
  <si>
    <t>11-Jul-1960</t>
  </si>
  <si>
    <t>16-Dec-1960</t>
  </si>
  <si>
    <t>28-Jul-1960</t>
  </si>
  <si>
    <t>24-Jul-1960</t>
  </si>
  <si>
    <t>7-Aug-1975</t>
  </si>
  <si>
    <t>30-Aug-1990</t>
  </si>
  <si>
    <t>14-Oct-1963</t>
  </si>
  <si>
    <t>15-Jul-1968</t>
  </si>
  <si>
    <t>14-Aug-1992</t>
  </si>
  <si>
    <t>10-Sep-1964</t>
  </si>
  <si>
    <t>18-Nov-1961</t>
  </si>
  <si>
    <t>26-Jul-1969</t>
  </si>
  <si>
    <t>24-Dec-1961</t>
  </si>
  <si>
    <t>20-Jul-1984</t>
  </si>
  <si>
    <t>4-Aug-1963</t>
  </si>
  <si>
    <t>14-Sep-1985</t>
  </si>
  <si>
    <t>24-Nov-1986</t>
  </si>
  <si>
    <t>2-Aug-1981</t>
  </si>
  <si>
    <t>29-Aug-1985</t>
  </si>
  <si>
    <t>6-Aug-1959</t>
  </si>
  <si>
    <t>10-Nov-1966</t>
  </si>
  <si>
    <t>8-Dec-1986</t>
  </si>
  <si>
    <t>25-Nov-1958</t>
  </si>
  <si>
    <t>10-Dec-1958</t>
  </si>
  <si>
    <t>7-Jun-2003</t>
  </si>
  <si>
    <t>21-Jul-1960</t>
  </si>
  <si>
    <t>19-Dec-1978</t>
  </si>
  <si>
    <t>5-Oct-1959</t>
  </si>
  <si>
    <t>25-Sep-1985</t>
  </si>
  <si>
    <t>29-Dec-1959</t>
  </si>
  <si>
    <t>7-Jul-1959</t>
  </si>
  <si>
    <t>27-Jul-1962</t>
  </si>
  <si>
    <t>18-Jun-1960</t>
  </si>
  <si>
    <t>29-Aug-1959</t>
  </si>
  <si>
    <t>6-Sep-1959</t>
  </si>
  <si>
    <t>23-Dec-1963</t>
  </si>
  <si>
    <t>6-Jul-1963</t>
  </si>
  <si>
    <t>8-Jul-1963</t>
  </si>
  <si>
    <t>8-Nov-1960</t>
  </si>
  <si>
    <t>12-Sep-1991</t>
  </si>
  <si>
    <t>26-Sep-1976</t>
  </si>
  <si>
    <t>14-Jun-1961</t>
  </si>
  <si>
    <t>6-Jul-2004</t>
  </si>
  <si>
    <t>25-Dec-1968</t>
  </si>
  <si>
    <t>17-Nov-1983</t>
  </si>
  <si>
    <t>21-Sep-1958</t>
  </si>
  <si>
    <t>25-Sep-1961</t>
  </si>
  <si>
    <t>10-Oct-1959</t>
  </si>
  <si>
    <t>8-Nov-1959</t>
  </si>
  <si>
    <t>26-Dec-1974</t>
  </si>
  <si>
    <t>13-Jul-1972</t>
  </si>
  <si>
    <t>15-Dec-1968</t>
  </si>
  <si>
    <t>15-Oct-1958</t>
  </si>
  <si>
    <t>10-Jul-1958</t>
  </si>
  <si>
    <t>26-Sep-1969</t>
  </si>
  <si>
    <t>24-Dec-1959</t>
  </si>
  <si>
    <t>10-Oct-1967</t>
  </si>
  <si>
    <t>16-Nov-1988</t>
  </si>
  <si>
    <t>16-Jul-1963</t>
  </si>
  <si>
    <t>22-Jun-1965</t>
  </si>
  <si>
    <t>14-Sep-1958</t>
  </si>
  <si>
    <t>29-Jul-1958</t>
  </si>
  <si>
    <t>20-Sep-1958</t>
  </si>
  <si>
    <t>15-Aug-1967</t>
  </si>
  <si>
    <t>4-Nov-1967</t>
  </si>
  <si>
    <t>29-Jun-1959</t>
  </si>
  <si>
    <t>3-Aug-1959</t>
  </si>
  <si>
    <t>10-Nov-1996</t>
  </si>
  <si>
    <t>27-Nov-1976</t>
  </si>
  <si>
    <t>20-Nov-1959</t>
  </si>
  <si>
    <t>20-Oct-1979</t>
  </si>
  <si>
    <t>14-Jul-1989</t>
  </si>
  <si>
    <t>12-Sep-1998</t>
  </si>
  <si>
    <t>3-Dec-1962</t>
  </si>
  <si>
    <t>18-Jul-1967</t>
  </si>
  <si>
    <t>8-Nov-1965</t>
  </si>
  <si>
    <t>13-Nov-1981</t>
  </si>
  <si>
    <t>23-Jul-1958</t>
  </si>
  <si>
    <t>4-Sep-1982</t>
  </si>
  <si>
    <t>24-Sep-2002</t>
  </si>
  <si>
    <t>29-Jul-1962</t>
  </si>
  <si>
    <t>27-Jul-1965</t>
  </si>
  <si>
    <t>10-Dec-1975</t>
  </si>
  <si>
    <t>5-Jun-1981</t>
  </si>
  <si>
    <t>11-Nov-1970</t>
  </si>
  <si>
    <t>17-Oct-1958</t>
  </si>
  <si>
    <t>4-Jul-1981</t>
  </si>
  <si>
    <t>29-Nov-1962</t>
  </si>
  <si>
    <t>2-Aug-1995</t>
  </si>
  <si>
    <t>8-Aug-1960</t>
  </si>
  <si>
    <t>11-Sep-1970</t>
  </si>
  <si>
    <t>15-Aug-1971</t>
  </si>
  <si>
    <t>12-Jun-1968</t>
  </si>
  <si>
    <t>26-Oct-1975</t>
  </si>
  <si>
    <t>7-Nov-1972</t>
  </si>
  <si>
    <t>25-Nov-1971</t>
  </si>
  <si>
    <t>25-Oct-1962</t>
  </si>
  <si>
    <t>4-Jun-1959</t>
  </si>
  <si>
    <t>3-Dec-1959</t>
  </si>
  <si>
    <t>17-Jun-1962</t>
  </si>
  <si>
    <t>23-Nov-1978</t>
  </si>
  <si>
    <t>25-Jul-1960</t>
  </si>
  <si>
    <t>16-Sep-1969</t>
  </si>
  <si>
    <t>13-Dec-1963</t>
  </si>
  <si>
    <t>17-Dec-1988</t>
  </si>
  <si>
    <t>6-Sep-1962</t>
  </si>
  <si>
    <t>4-Sep-1964</t>
  </si>
  <si>
    <t>25-Oct-1990</t>
  </si>
  <si>
    <t>17-Jul-2004</t>
  </si>
  <si>
    <t>28-Jun-1974</t>
  </si>
  <si>
    <t>2-Oct-1959</t>
  </si>
  <si>
    <t>30-Jul-1974</t>
  </si>
  <si>
    <t>28-Oct-1965</t>
  </si>
  <si>
    <t>6-Jun-1960</t>
  </si>
  <si>
    <t>22-Dec-1988</t>
  </si>
  <si>
    <t>26-Jun-1973</t>
  </si>
  <si>
    <t>20-Sep-1976</t>
  </si>
  <si>
    <t>29-Aug-1974</t>
  </si>
  <si>
    <t>9-Oct-1997</t>
  </si>
  <si>
    <t>26-Jun-1984</t>
  </si>
  <si>
    <t>11-Nov-1982</t>
  </si>
  <si>
    <t>25-Dec-1962</t>
  </si>
  <si>
    <t>12-Oct-1980</t>
  </si>
  <si>
    <t>19-Sep-1980</t>
  </si>
  <si>
    <t>5-Dec-1988</t>
  </si>
  <si>
    <t>16-Sep-1978</t>
  </si>
  <si>
    <t>22-Oct-1958</t>
  </si>
  <si>
    <t>21-Jun-1958</t>
  </si>
  <si>
    <t>27-Aug-1985</t>
  </si>
  <si>
    <t>8-Aug-1993</t>
  </si>
  <si>
    <t>6-Oct-1987</t>
  </si>
  <si>
    <t>6-Jul-1982</t>
  </si>
  <si>
    <t>6-Aug-1988</t>
  </si>
  <si>
    <t>21-Aug-1988</t>
  </si>
  <si>
    <t>8-Sep-2002</t>
  </si>
  <si>
    <t>30-Jul-1972</t>
  </si>
  <si>
    <t>8-Aug-1969</t>
  </si>
  <si>
    <t>28-Sep-1995</t>
  </si>
  <si>
    <t>20-Dec-2003</t>
  </si>
  <si>
    <t>10-Oct-1958</t>
  </si>
  <si>
    <t>23-Dec-1995</t>
  </si>
  <si>
    <t>25-Jun-2001</t>
  </si>
  <si>
    <t>25-Jun-1963</t>
  </si>
  <si>
    <t>10-Jul-1970</t>
  </si>
  <si>
    <t>24-Jul-1975</t>
  </si>
  <si>
    <t>5-Nov-1993</t>
  </si>
  <si>
    <t>28-Aug-1974</t>
  </si>
  <si>
    <t>23-Sep-1989</t>
  </si>
  <si>
    <t>19-Oct-1995</t>
  </si>
  <si>
    <t>8-Aug-1974</t>
  </si>
  <si>
    <t>10-Sep-2003</t>
  </si>
  <si>
    <t>21-Oct-1968</t>
  </si>
  <si>
    <t>16-Jul-1980</t>
  </si>
  <si>
    <t>10-Jun-1996</t>
  </si>
  <si>
    <t>26-Dec-2003</t>
  </si>
  <si>
    <t>28-Jun-2002</t>
  </si>
  <si>
    <t>3-Jun-1998</t>
  </si>
  <si>
    <t>16-Sep-1965</t>
  </si>
  <si>
    <t>7-Jun-1964</t>
  </si>
  <si>
    <t>18-Aug-2004</t>
  </si>
  <si>
    <t>22-Oct-1982</t>
  </si>
  <si>
    <t>25-Aug-1975</t>
  </si>
  <si>
    <t>12-Jul-1963</t>
  </si>
  <si>
    <t>1-Nov-2003</t>
  </si>
  <si>
    <t>18-Oct-1992</t>
  </si>
  <si>
    <t>2-Nov-2003</t>
  </si>
  <si>
    <t>8-Jun-1971</t>
  </si>
  <si>
    <t>29-Dec-1990</t>
  </si>
  <si>
    <t>16-Jun-1965</t>
  </si>
  <si>
    <t>12-Jul-1968</t>
  </si>
  <si>
    <t>16-Nov-1963</t>
  </si>
  <si>
    <t>25-Aug-2002</t>
  </si>
  <si>
    <t>26-Jul-1970</t>
  </si>
  <si>
    <t>14-Jul-2003</t>
  </si>
  <si>
    <t>21-Jun-1966</t>
  </si>
  <si>
    <t>8-Dec-1963</t>
  </si>
  <si>
    <t>12-Nov-1979</t>
  </si>
  <si>
    <t>4-Dec-1989</t>
  </si>
  <si>
    <t>17-Oct-1977</t>
  </si>
  <si>
    <t>28-Sep-2001</t>
  </si>
  <si>
    <t>17-Oct-1965</t>
  </si>
  <si>
    <t>24-Oct-1999</t>
  </si>
  <si>
    <t>12-Jul-1993</t>
  </si>
  <si>
    <t>4-Jul-1963</t>
  </si>
  <si>
    <t>15-Jun-1997</t>
  </si>
  <si>
    <t>3-Aug-1995</t>
  </si>
  <si>
    <t>25-Dec-1992</t>
  </si>
  <si>
    <t>15-Dec-1999</t>
  </si>
  <si>
    <t>26-Sep-1964</t>
  </si>
  <si>
    <t>12-Aug-1986</t>
  </si>
  <si>
    <t>23-Sep-1998</t>
  </si>
  <si>
    <t>17-Oct-1970</t>
  </si>
  <si>
    <t>30-Aug-1967</t>
  </si>
  <si>
    <t>27-Dec-1992</t>
  </si>
  <si>
    <t>19-Nov-1979</t>
  </si>
  <si>
    <t>28-Nov-1995</t>
  </si>
  <si>
    <t>15-Oct-1979</t>
  </si>
  <si>
    <t>18-Dec-1962</t>
  </si>
  <si>
    <t>24-Jul-2003</t>
  </si>
  <si>
    <t>6-Dec-1963</t>
  </si>
  <si>
    <t>27-Sep-1995</t>
  </si>
  <si>
    <t>3-Aug-1969</t>
  </si>
  <si>
    <t>20-Oct-1963</t>
  </si>
  <si>
    <t>6-Aug-1998</t>
  </si>
  <si>
    <t>19-Dec-1983</t>
  </si>
  <si>
    <t>5-Jun-1989</t>
  </si>
  <si>
    <t>2-Jul-1979</t>
  </si>
  <si>
    <t>16-Sep-1991</t>
  </si>
  <si>
    <t>29-Jul-1967</t>
  </si>
  <si>
    <t>15-Nov-1966</t>
  </si>
  <si>
    <t>24-Aug-1991</t>
  </si>
  <si>
    <t>30-Jun-1987</t>
  </si>
  <si>
    <t>6-Sep-1993</t>
  </si>
  <si>
    <t>15-Dec-1982</t>
  </si>
  <si>
    <t>30-Nov-1987</t>
  </si>
  <si>
    <t>19-Aug-1992</t>
  </si>
  <si>
    <t>17-Sep-1985</t>
  </si>
  <si>
    <t>14-Jul-1963</t>
  </si>
  <si>
    <t>24-Sep-1978</t>
  </si>
  <si>
    <t>27-Aug-1994</t>
  </si>
  <si>
    <t>14-Jun-1972</t>
  </si>
  <si>
    <t>30-Oct-1979</t>
  </si>
  <si>
    <t>18-Oct-1997</t>
  </si>
  <si>
    <t>9-Oct-1980</t>
  </si>
  <si>
    <t>10-Aug-1966</t>
  </si>
  <si>
    <t>25-Jul-1988</t>
  </si>
  <si>
    <t>6-Oct-1983</t>
  </si>
  <si>
    <t>9-Jul-2002</t>
  </si>
  <si>
    <t>8-Jun-1994</t>
  </si>
  <si>
    <t>17-Oct-1987</t>
  </si>
  <si>
    <t>22-Aug-1966</t>
  </si>
  <si>
    <t>7-Sep-1993</t>
  </si>
  <si>
    <t>2-Jul-1962</t>
  </si>
  <si>
    <t>12-Jul-1985</t>
  </si>
  <si>
    <t>18-Oct-1962</t>
  </si>
  <si>
    <t>13-Oct-1969</t>
  </si>
  <si>
    <t>17-Dec-1967</t>
  </si>
  <si>
    <t>1-Aug-1965</t>
  </si>
  <si>
    <t>4-Aug-1986</t>
  </si>
  <si>
    <t>8-Sep-1967</t>
  </si>
  <si>
    <t>8-Dec-1975</t>
  </si>
  <si>
    <t>27-Nov-1987</t>
  </si>
  <si>
    <t>2-Jul-1983</t>
  </si>
  <si>
    <t>23-Nov-1977</t>
  </si>
  <si>
    <t>26-Aug-1969</t>
  </si>
  <si>
    <t>14-Oct-1974</t>
  </si>
  <si>
    <t>3-Sep-1974</t>
  </si>
  <si>
    <t>10-Dec-1980</t>
  </si>
  <si>
    <t>4-Sep-1980</t>
  </si>
  <si>
    <t>21-Nov-1990</t>
  </si>
  <si>
    <t>12-Jun-1999</t>
  </si>
  <si>
    <t>25-Dec-1983</t>
  </si>
  <si>
    <t>16-Nov-1962</t>
  </si>
  <si>
    <t>18-Jul-1976</t>
  </si>
  <si>
    <t>20-Sep-1979</t>
  </si>
  <si>
    <t>28-Sep-1979</t>
  </si>
  <si>
    <t>27-Aug-1963</t>
  </si>
  <si>
    <t>17-Aug-1979</t>
  </si>
  <si>
    <t>28-Sep-2003</t>
  </si>
  <si>
    <t>19-Dec-1975</t>
  </si>
  <si>
    <t>14-Oct-1989</t>
  </si>
  <si>
    <t>12-Sep-1980</t>
  </si>
  <si>
    <t>24-Aug-1965</t>
  </si>
  <si>
    <t>16-Jun-1971</t>
  </si>
  <si>
    <t>26-Aug-1999</t>
  </si>
  <si>
    <t>18-Aug-1966</t>
  </si>
  <si>
    <t>21-Dec-1983</t>
  </si>
  <si>
    <t>14-Nov-1979</t>
  </si>
  <si>
    <t>9-Sep-1975</t>
  </si>
  <si>
    <t>14-Dec-2003</t>
  </si>
  <si>
    <t>7-Aug-1997</t>
  </si>
  <si>
    <t>14-Nov-1969</t>
  </si>
  <si>
    <t>3-Oct-1994</t>
  </si>
  <si>
    <t>22-Oct-1973</t>
  </si>
  <si>
    <t>13-Nov-1975</t>
  </si>
  <si>
    <t>26-Aug-1983</t>
  </si>
  <si>
    <t>2-Jun-1974</t>
  </si>
  <si>
    <t>27-Jun-1973</t>
  </si>
  <si>
    <t>8-Aug-1970</t>
  </si>
  <si>
    <t>10-Jul-1971</t>
  </si>
  <si>
    <t>13-Jun-1973</t>
  </si>
  <si>
    <t>10-Sep-1974</t>
  </si>
  <si>
    <t>16-Dec-1964</t>
  </si>
  <si>
    <t>3-Aug-2004</t>
  </si>
  <si>
    <t>7-Oct-1999</t>
  </si>
  <si>
    <t>30-Nov-1970</t>
  </si>
  <si>
    <t>6-Jul-1968</t>
  </si>
  <si>
    <t>21-Oct-1961</t>
  </si>
  <si>
    <t>13-Jun-1975</t>
  </si>
  <si>
    <t>12-Oct-1976</t>
  </si>
  <si>
    <t>12-Jun-1970</t>
  </si>
  <si>
    <t>28-Aug-1996</t>
  </si>
  <si>
    <t>9-Sep-1994</t>
  </si>
  <si>
    <t>10-Jun-1995</t>
  </si>
  <si>
    <t>26-Nov-1970</t>
  </si>
  <si>
    <t>23-Jul-1969</t>
  </si>
  <si>
    <t>14-Jun-1987</t>
  </si>
  <si>
    <t>14-Nov-1975</t>
  </si>
  <si>
    <t>4-Dec-1995</t>
  </si>
  <si>
    <t>14-Jun-1998</t>
  </si>
  <si>
    <t>24-Nov-1998</t>
  </si>
  <si>
    <t>14-Dec-1975</t>
  </si>
  <si>
    <t>22-Aug-1968</t>
  </si>
  <si>
    <t>2-Aug-2001</t>
  </si>
  <si>
    <t>17-Jul-1972</t>
  </si>
  <si>
    <t>21-Aug-1963</t>
  </si>
  <si>
    <t>3-Dec-1970</t>
  </si>
  <si>
    <t>5-Jun-2001</t>
  </si>
  <si>
    <t>26-Dec-2000</t>
  </si>
  <si>
    <t>4-Jun-1975</t>
  </si>
  <si>
    <t>21-Sep-1974</t>
  </si>
  <si>
    <t>27-Aug-1970</t>
  </si>
  <si>
    <t>5-Sep-2004</t>
  </si>
  <si>
    <t>22-Jul-1988</t>
  </si>
  <si>
    <t>22-Aug-1991</t>
  </si>
  <si>
    <t>25-Dec-1958</t>
  </si>
  <si>
    <t>17-Jun-2002</t>
  </si>
  <si>
    <t>9-Nov-2000</t>
  </si>
  <si>
    <t>9-Jul-1960</t>
  </si>
  <si>
    <t>30-Jun-1958</t>
  </si>
  <si>
    <t>2-Jul-1994</t>
  </si>
  <si>
    <t>13-Dec-1990</t>
  </si>
  <si>
    <t>21-Dec-1965</t>
  </si>
  <si>
    <t>6-Jun-1968</t>
  </si>
  <si>
    <t>16-Oct-1969</t>
  </si>
  <si>
    <t>5-Dec-1985</t>
  </si>
  <si>
    <t>3-Oct-1981</t>
  </si>
  <si>
    <t>19-Oct-1965</t>
  </si>
  <si>
    <t>22-Jul-1984</t>
  </si>
  <si>
    <t>6-Nov-1985</t>
  </si>
  <si>
    <t>11-Jun-1992</t>
  </si>
  <si>
    <t>9-Sep-1997</t>
  </si>
  <si>
    <t>7-Oct-1997</t>
  </si>
  <si>
    <t>3-Jul-1992</t>
  </si>
  <si>
    <t>6-Dec-2002</t>
  </si>
  <si>
    <t>6-Jul-1960</t>
  </si>
  <si>
    <t>4-Dec-1985</t>
  </si>
  <si>
    <t>21-Nov-1989</t>
  </si>
  <si>
    <t>4-Jun-1991</t>
  </si>
  <si>
    <t>28-Jul-1961</t>
  </si>
  <si>
    <t>21-Dec-1999</t>
  </si>
  <si>
    <t>29-Nov-1985</t>
  </si>
  <si>
    <t>22-Nov-1960</t>
  </si>
  <si>
    <t>6-Sep-1999</t>
  </si>
  <si>
    <t>25-Nov-1963</t>
  </si>
  <si>
    <t>24-Dec-1990</t>
  </si>
  <si>
    <t>11-Dec-1982</t>
  </si>
  <si>
    <t>27-Sep-1985</t>
  </si>
  <si>
    <t>5-Dec-1990</t>
  </si>
  <si>
    <t>3-Aug-1961</t>
  </si>
  <si>
    <t>25-Jul-1962</t>
  </si>
  <si>
    <t>5-Dec-1959</t>
  </si>
  <si>
    <t>14-Jul-1980</t>
  </si>
  <si>
    <t>8-Nov-1976</t>
  </si>
  <si>
    <t>9-Jul-1969</t>
  </si>
  <si>
    <t>21-Jul-1978</t>
  </si>
  <si>
    <t>5-Jun-1958</t>
  </si>
  <si>
    <t>7-Nov-1985</t>
  </si>
  <si>
    <t>16-Jul-1987</t>
  </si>
  <si>
    <t>20-Oct-1959</t>
  </si>
  <si>
    <t>3-Nov-1975</t>
  </si>
  <si>
    <t>27-Jul-1993</t>
  </si>
  <si>
    <t>23-Aug-1973</t>
  </si>
  <si>
    <t>13-Aug-1981</t>
  </si>
  <si>
    <t>29-Oct-1982</t>
  </si>
  <si>
    <t>30-Dec-1989</t>
  </si>
  <si>
    <t>19-Aug-1975</t>
  </si>
  <si>
    <t>30-Dec-1988</t>
  </si>
  <si>
    <t>5-Oct-1991</t>
  </si>
  <si>
    <t>16-Jun-1967</t>
  </si>
  <si>
    <t>2-Sep-1979</t>
  </si>
  <si>
    <t>25-Dec-1971</t>
  </si>
  <si>
    <t>11-Aug-1958</t>
  </si>
  <si>
    <t>13-Sep-1963</t>
  </si>
  <si>
    <t>24-Jul-1972</t>
  </si>
  <si>
    <t>1-Jun-2004</t>
  </si>
  <si>
    <t>30-Jul-1969</t>
  </si>
  <si>
    <t>28-Oct-1998</t>
  </si>
  <si>
    <t>10-Aug-1986</t>
  </si>
  <si>
    <t>21-Sep-1999</t>
  </si>
  <si>
    <t>9-Sep-1961</t>
  </si>
  <si>
    <t>22-Jul-2000</t>
  </si>
  <si>
    <t>9-Jul-1968</t>
  </si>
  <si>
    <t>8-Oct-1974</t>
  </si>
  <si>
    <t>13-Dec-1960</t>
  </si>
  <si>
    <t>14-Oct-1977</t>
  </si>
  <si>
    <t>10-Sep-1984</t>
  </si>
  <si>
    <t>21-Sep-1972</t>
  </si>
  <si>
    <t>13-Sep-1993</t>
  </si>
  <si>
    <t>10-Nov-1978</t>
  </si>
  <si>
    <t>11-Sep-1969</t>
  </si>
  <si>
    <t>8-Sep-1994</t>
  </si>
  <si>
    <t>17-Dec-1975</t>
  </si>
  <si>
    <t>9-Aug-1976</t>
  </si>
  <si>
    <t>27-Sep-1981</t>
  </si>
  <si>
    <t>19-Sep-1976</t>
  </si>
  <si>
    <t>8-Oct-2003</t>
  </si>
  <si>
    <t>1-Nov-1968</t>
  </si>
  <si>
    <t>30-Sep-1990</t>
  </si>
  <si>
    <t>9-Jul-1990</t>
  </si>
  <si>
    <t>12-Dec-1980</t>
  </si>
  <si>
    <t>17-Nov-1981</t>
  </si>
  <si>
    <t>24-Aug-1971</t>
  </si>
  <si>
    <t>8-Jul-1995</t>
  </si>
  <si>
    <t>10-Jul-1967</t>
  </si>
  <si>
    <t>28-Jul-1994</t>
  </si>
  <si>
    <t>1-Jul-1962</t>
  </si>
  <si>
    <t>30-Oct-1969</t>
  </si>
  <si>
    <t>15-Jul-1985</t>
  </si>
  <si>
    <t>12-Oct-1990</t>
  </si>
  <si>
    <t>28-Nov-2003</t>
  </si>
  <si>
    <t>7-Dec-1985</t>
  </si>
  <si>
    <t>28-Nov-1993</t>
  </si>
  <si>
    <t>12-Sep-2003</t>
  </si>
  <si>
    <t>11-Dec-1962</t>
  </si>
  <si>
    <t>26-Oct-2000</t>
  </si>
  <si>
    <t>9-Aug-1997</t>
  </si>
  <si>
    <t>25-Sep-1994</t>
  </si>
  <si>
    <t>26-Jul-1972</t>
  </si>
  <si>
    <t>26-Dec-2002</t>
  </si>
  <si>
    <t>6-Nov-1999</t>
  </si>
  <si>
    <t>25-Aug-1971</t>
  </si>
  <si>
    <t>21-Jul-1975</t>
  </si>
  <si>
    <t>5-Jul-1962</t>
  </si>
  <si>
    <t>11-Jun-1998</t>
  </si>
  <si>
    <t>30-Oct-1995</t>
  </si>
  <si>
    <t>11-Oct-1986</t>
  </si>
  <si>
    <t>2-Oct-1983</t>
  </si>
  <si>
    <t>1-Oct-1984</t>
  </si>
  <si>
    <t>5-Oct-2003</t>
  </si>
  <si>
    <t>24-Sep-1990</t>
  </si>
  <si>
    <t>24-Jun-1998</t>
  </si>
  <si>
    <t>25-Nov-1976</t>
  </si>
  <si>
    <t>9-Oct-2004</t>
  </si>
  <si>
    <t>17-Sep-2003</t>
  </si>
  <si>
    <t>29-Jul-1983</t>
  </si>
  <si>
    <t>7-Oct-1967</t>
  </si>
  <si>
    <t>22-Aug-1998</t>
  </si>
  <si>
    <t>22-Aug-1997</t>
  </si>
  <si>
    <t>5-Jul-1982</t>
  </si>
  <si>
    <t>29-Aug-1975</t>
  </si>
  <si>
    <t>29-Jun-1977</t>
  </si>
  <si>
    <t>22-Dec-1998</t>
  </si>
  <si>
    <t>9-Jul-1997</t>
  </si>
  <si>
    <t>19-Sep-1988</t>
  </si>
  <si>
    <t>22-Sep-1971</t>
  </si>
  <si>
    <t>20-Nov-1988</t>
  </si>
  <si>
    <t>29-Aug-1964</t>
  </si>
  <si>
    <t>10-Aug-1971</t>
  </si>
  <si>
    <t>19-Nov-2000</t>
  </si>
  <si>
    <t>15-Jul-1974</t>
  </si>
  <si>
    <t>4-Oct-1976</t>
  </si>
  <si>
    <t>4-Sep-1999</t>
  </si>
  <si>
    <t>22-Jul-1963</t>
  </si>
  <si>
    <t>20-Aug-1996</t>
  </si>
  <si>
    <t>12-Jun-1997</t>
  </si>
  <si>
    <t>30-Aug-2004</t>
  </si>
  <si>
    <t>28-Dec-1993</t>
  </si>
  <si>
    <t>5-Sep-2003</t>
  </si>
  <si>
    <t>25-Dec-2004</t>
  </si>
  <si>
    <t>16-Jun-1992</t>
  </si>
  <si>
    <t>18-Oct-1967</t>
  </si>
  <si>
    <t>9-Dec-2003</t>
  </si>
  <si>
    <t>19-Nov-1962</t>
  </si>
  <si>
    <t>9-Aug-1973</t>
  </si>
  <si>
    <t>29-Jul-1961</t>
  </si>
  <si>
    <t>14-Jul-1970</t>
  </si>
  <si>
    <t>28-Dec-1965</t>
  </si>
  <si>
    <t>4-Jul-1992</t>
  </si>
  <si>
    <t>5-Dec-1972</t>
  </si>
  <si>
    <t>21-Jun-2003</t>
  </si>
  <si>
    <t>24-Jul-1963</t>
  </si>
  <si>
    <t>10-Jun-1991</t>
  </si>
  <si>
    <t>22-Oct-1968</t>
  </si>
  <si>
    <t>13-Aug-1977</t>
  </si>
  <si>
    <t>25-Aug-1992</t>
  </si>
  <si>
    <t>1-Nov-1991</t>
  </si>
  <si>
    <t>10-Jun-1989</t>
  </si>
  <si>
    <t>5-Sep-2000</t>
  </si>
  <si>
    <t>17-Oct-1990</t>
  </si>
  <si>
    <t>17-Nov-1985</t>
  </si>
  <si>
    <t>9-Nov-1975</t>
  </si>
  <si>
    <t>3-Aug-1979</t>
  </si>
  <si>
    <t>27-Sep-2002</t>
  </si>
  <si>
    <t>12-Oct-2000</t>
  </si>
  <si>
    <t>16-Nov-1990</t>
  </si>
  <si>
    <t>20-Jun-1982</t>
  </si>
  <si>
    <t>18-Sep-1976</t>
  </si>
  <si>
    <t>15-Aug-1986</t>
  </si>
  <si>
    <t>26-Jul-1983</t>
  </si>
  <si>
    <t>9-Sep-1979</t>
  </si>
  <si>
    <t>29-Jul-1998</t>
  </si>
  <si>
    <t>19-Nov-1972</t>
  </si>
  <si>
    <t>8-Sep-1989</t>
  </si>
  <si>
    <t>16-Jun-1964</t>
  </si>
  <si>
    <t>16-Aug-1980</t>
  </si>
  <si>
    <t>30-Oct-1989</t>
  </si>
  <si>
    <t>12-Jun-1980</t>
  </si>
  <si>
    <t>17-Sep-2002</t>
  </si>
  <si>
    <t>22-Aug-1970</t>
  </si>
  <si>
    <t>23-Dec-1971</t>
  </si>
  <si>
    <t>21-Jun-1986</t>
  </si>
  <si>
    <t>20-Jul-1986</t>
  </si>
  <si>
    <t>2-Nov-1991</t>
  </si>
  <si>
    <t>15-Jun-1976</t>
  </si>
  <si>
    <t>8-Nov-1991</t>
  </si>
  <si>
    <t>3-Dec-1979</t>
  </si>
  <si>
    <t>6-Jun-1964</t>
  </si>
  <si>
    <t>16-Jun-1987</t>
  </si>
  <si>
    <t>15-Dec-1976</t>
  </si>
  <si>
    <t>24-Sep-1980</t>
  </si>
  <si>
    <t>12-Oct-1978</t>
  </si>
  <si>
    <t>20-Sep-1985</t>
  </si>
  <si>
    <t>4-Aug-1982</t>
  </si>
  <si>
    <t>7-Jul-1962</t>
  </si>
  <si>
    <t>24-Jun-1966</t>
  </si>
  <si>
    <t>12-Jul-1978</t>
  </si>
  <si>
    <t>5-Jul-1981</t>
  </si>
  <si>
    <t>7-Aug-1995</t>
  </si>
  <si>
    <t>17-Dec-1977</t>
  </si>
  <si>
    <t>29-Sep-1968</t>
  </si>
  <si>
    <t>16-Jul-2003</t>
  </si>
  <si>
    <t>12-Aug-1977</t>
  </si>
  <si>
    <t>17-Dec-1973</t>
  </si>
  <si>
    <t>24-Jul-1987</t>
  </si>
  <si>
    <t>17-Jul-1985</t>
  </si>
  <si>
    <t>1-Jun-1983</t>
  </si>
  <si>
    <t>22-Aug-1985</t>
  </si>
  <si>
    <t>8-Aug-1987</t>
  </si>
  <si>
    <t>25-Dec-1982</t>
  </si>
  <si>
    <t>20-Dec-1978</t>
  </si>
  <si>
    <t>12-Aug-1966</t>
  </si>
  <si>
    <t>14-Oct-1983</t>
  </si>
  <si>
    <t>21-Oct-1985</t>
  </si>
  <si>
    <t>18-Aug-1979</t>
  </si>
  <si>
    <t>28-Jul-1981</t>
  </si>
  <si>
    <t>4-Oct-1981</t>
  </si>
  <si>
    <t>27-Jun-1977</t>
  </si>
  <si>
    <t>4-Sep-1962</t>
  </si>
  <si>
    <t>3-Nov-1985</t>
  </si>
  <si>
    <t>10-Jul-1975</t>
  </si>
  <si>
    <t>25-Sep-1970</t>
  </si>
  <si>
    <t>26-Dec-1976</t>
  </si>
  <si>
    <t>10-Jun-1972</t>
  </si>
  <si>
    <t>2-Jul-1999</t>
  </si>
  <si>
    <t>16-Sep-1979</t>
  </si>
  <si>
    <t>8-Sep-1983</t>
  </si>
  <si>
    <t>5-Jun-1974</t>
  </si>
  <si>
    <t>11-Oct-1979</t>
  </si>
  <si>
    <t>12-Aug-1972</t>
  </si>
  <si>
    <t>6-Sep-1972</t>
  </si>
  <si>
    <t>27-Aug-1977</t>
  </si>
  <si>
    <t>7-Oct-1964</t>
  </si>
  <si>
    <t>16-Oct-1971</t>
  </si>
  <si>
    <t>24-Nov-1974</t>
  </si>
  <si>
    <t>29-Oct-1976</t>
  </si>
  <si>
    <t>29-Sep-1975</t>
  </si>
  <si>
    <t>22-Sep-1962</t>
  </si>
  <si>
    <t>21-Sep-1966</t>
  </si>
  <si>
    <t>8-Jun-1972</t>
  </si>
  <si>
    <t>10-Nov-1984</t>
  </si>
  <si>
    <t>19-Dec-1968</t>
  </si>
  <si>
    <t>9-Dec-1997</t>
  </si>
  <si>
    <t>3-Jul-1979</t>
  </si>
  <si>
    <t>3-Aug-1968</t>
  </si>
  <si>
    <t>27-Jun-1967</t>
  </si>
  <si>
    <t>27-Dec-1979</t>
  </si>
  <si>
    <t>3-Nov-1971</t>
  </si>
  <si>
    <t>21-Oct-1977</t>
  </si>
  <si>
    <t>10-Sep-1972</t>
  </si>
  <si>
    <t>23-Oct-1975</t>
  </si>
  <si>
    <t>4-Nov-1978</t>
  </si>
  <si>
    <t>22-Aug-1965</t>
  </si>
  <si>
    <t>29-Dec-1986</t>
  </si>
  <si>
    <t>25-Oct-1966</t>
  </si>
  <si>
    <t>10-Nov-1980</t>
  </si>
  <si>
    <t>5-Oct-1966</t>
  </si>
  <si>
    <t>16-Jul-1988</t>
  </si>
  <si>
    <t>1-Jun-1975</t>
  </si>
  <si>
    <t>24-Nov-1968</t>
  </si>
  <si>
    <t>29-Oct-1971</t>
  </si>
  <si>
    <t>14-Sep-1967</t>
  </si>
  <si>
    <t>2-Aug-2000</t>
  </si>
  <si>
    <t>11-Oct-1993</t>
  </si>
  <si>
    <t>13-Aug-1971</t>
  </si>
  <si>
    <t>17-Dec-1962</t>
  </si>
  <si>
    <t>9-Aug-1974</t>
  </si>
  <si>
    <t>21-Dec-1960</t>
  </si>
  <si>
    <t>12-Aug-1979</t>
  </si>
  <si>
    <t>30-Sep-1985</t>
  </si>
  <si>
    <t>4-Dec-1962</t>
  </si>
  <si>
    <t>2-Dec-1976</t>
  </si>
  <si>
    <t>17-Aug-1978</t>
  </si>
  <si>
    <t>6-Dec-1971</t>
  </si>
  <si>
    <t>8-Aug-1961</t>
  </si>
  <si>
    <t>23-Jun-1969</t>
  </si>
  <si>
    <t>17-Nov-1960</t>
  </si>
  <si>
    <t>15-Sep-1958</t>
  </si>
  <si>
    <t>14-Jul-1959</t>
  </si>
  <si>
    <t>3-Sep-1958</t>
  </si>
  <si>
    <t>4-Oct-1959</t>
  </si>
  <si>
    <t>13-Jun-1961</t>
  </si>
  <si>
    <t>5-Aug-1963</t>
  </si>
  <si>
    <t>16-Nov-1958</t>
  </si>
  <si>
    <t>21-Dec-1961</t>
  </si>
  <si>
    <t>1-Dec-1968</t>
  </si>
  <si>
    <t>22-Jul-1959</t>
  </si>
  <si>
    <t>4-Sep-1963</t>
  </si>
  <si>
    <t>27-Jun-1958</t>
  </si>
  <si>
    <t>27-Oct-1994</t>
  </si>
  <si>
    <t>4-Aug-1962</t>
  </si>
  <si>
    <t>19-Jun-1989</t>
  </si>
  <si>
    <t>6-Jun-1991</t>
  </si>
  <si>
    <t>8-Jun-1977</t>
  </si>
  <si>
    <t>12-Oct-1968</t>
  </si>
  <si>
    <t>Charges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</si>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</sst>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,\ yyyy"/>
    <numFmt numFmtId="165" formatCode="[$$-409]#,##0.00"/>
    <numFmt numFmtId="166" formatCode="dd/mmm/yyyy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/>
    <xf numFmtId="165" fontId="0" fillId="0" borderId="0" xfId="0" applyNumberFormat="1"/>
    <xf numFmtId="0" fontId="0" fillId="0" borderId="0" xfId="0" applyAlignment="1">
      <alignment horizontal="left" indent="2"/>
    </xf>
    <xf numFmtId="166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7">
    <dxf>
      <numFmt numFmtId="165" formatCode="[$$-409]#,##0.00"/>
    </dxf>
    <dxf>
      <numFmt numFmtId="166" formatCode="dd/mmm/yyyy"/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50884-0795-42C0-83AF-E41AD721E1DF}" name="Table1" displayName="Table1" ref="A1:E2336" totalsRowShown="0" headerRowDxfId="6">
  <autoFilter ref="A1:E2336" xr:uid="{E4450884-0795-42C0-83AF-E41AD721E1DF}"/>
  <tableColumns count="5">
    <tableColumn id="1" xr3:uid="{7E5C00A0-7430-4B80-AE90-4BC5C597A15D}" name="Customer ID" dataCellStyle="Normal 2"/>
    <tableColumn id="2" xr3:uid="{81A68C1A-2515-416E-8C8C-03A92F794C55}" name="name" dataCellStyle="Normal 2"/>
    <tableColumn id="3" xr3:uid="{7AD4DB0D-5104-42C5-B1AD-0DB02871F2CD}" name="Title"/>
    <tableColumn id="4" xr3:uid="{7DB3B3F1-1355-419A-A3C3-129F138C16C1}" name="First Name"/>
    <tableColumn id="5" xr3:uid="{79EFDACD-2FF3-4E72-98AC-5013AFEADB8F}" name="Last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7EC27F-90C2-46B4-8B36-6FEF3151108E}" name="Table2" displayName="Table2" ref="A1:J2336" totalsRowShown="0">
  <autoFilter ref="A1:J2336" xr:uid="{E97EC27F-90C2-46B4-8B36-6FEF3151108E}"/>
  <tableColumns count="10">
    <tableColumn id="1" xr3:uid="{1C1E6E81-2BF4-4DD7-99E2-1F7BFD7DD4E0}" name="Customer ID"/>
    <tableColumn id="2" xr3:uid="{8D136091-EE81-4CCA-B8B5-05F23537B4B7}" name="BMI" dataDxfId="5"/>
    <tableColumn id="3" xr3:uid="{703EB906-EA6C-4EF7-A41D-957F82CDD94C}" name="HBA1C"/>
    <tableColumn id="4" xr3:uid="{E769DB33-A74B-4FE5-BF68-D48501FFEDB8}" name="Heart Issues"/>
    <tableColumn id="5" xr3:uid="{CEFEF5D9-15A0-4796-AC5F-66624A61476B}" name="Any Transplants"/>
    <tableColumn id="6" xr3:uid="{C3150610-3413-4619-AB2E-96F91E609256}" name="Cancer history"/>
    <tableColumn id="7" xr3:uid="{13BD5F34-2084-405B-992D-958922E2D9A8}" name="NumberOfMajorSurgeries"/>
    <tableColumn id="8" xr3:uid="{8BD7D903-0E64-4FD8-A899-5C980F4678C9}" name="Smoker"/>
    <tableColumn id="9" xr3:uid="{1FA74D9B-C5A7-4499-A9F2-0E766894BA1A}" name="Weight Status">
      <calculatedColumnFormula array="1">_xlfn.IFS(B2&lt;18.5,"Underweight",AND(B2&gt;=18.5,B2&lt;=24.99),"Normalweight",AND(B2&gt;=25,B2&lt;=29.99),"Overweight",B2&gt;=30,"Obesity")</calculatedColumnFormula>
    </tableColumn>
    <tableColumn id="10" xr3:uid="{6E74D534-A753-45E5-9177-FF9E040623CF}" name="Diabetes Status">
      <calculatedColumnFormula array="1">_xlfn.IFS(C2&lt;5.7,"Normal",AND(C2&gt;=5.7,C2&lt;=6.49),"Prediabetes",C2&gt;=6.5,"Diabetes")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9F0FAF-9BD1-4953-B486-ECEC6AB826E8}" name="Table3" displayName="Table3" ref="A1:J2344" totalsRowShown="0" headerRowDxfId="4" headerRowBorderDxfId="3" tableBorderDxfId="2">
  <autoFilter ref="A1:J2344" xr:uid="{399F0FAF-9BD1-4953-B486-ECEC6AB826E8}"/>
  <tableColumns count="10">
    <tableColumn id="1" xr3:uid="{0BE6282A-1A84-48F7-8FE2-E1A1ABAC38A0}" name="Customer ID"/>
    <tableColumn id="2" xr3:uid="{7C513C2B-87DC-4E3D-AE81-4C7629A32EC0}" name="year"/>
    <tableColumn id="3" xr3:uid="{78E6A950-8874-4175-B938-14654F1569A9}" name="month"/>
    <tableColumn id="4" xr3:uid="{9B71FA5B-E2A0-4B94-AA0E-F8F985AB75ED}" name="date"/>
    <tableColumn id="5" xr3:uid="{613F22A6-3351-4223-965C-4E5CBB9ED7B3}" name="Date of Birth" dataDxfId="1"/>
    <tableColumn id="6" xr3:uid="{7F53233E-25EE-421E-A321-B6893EF7E8C5}" name="children"/>
    <tableColumn id="7" xr3:uid="{66BBD564-FAE9-4C8A-9B9A-45EFA434BF32}" name="charges" dataDxfId="0"/>
    <tableColumn id="8" xr3:uid="{B30B7851-C8A9-4B8A-8913-21E75EAEBE9D}" name="Hospital tier"/>
    <tableColumn id="9" xr3:uid="{CD761163-EE88-45A8-9FC9-6D1FFB86F478}" name="City tier"/>
    <tableColumn id="10" xr3:uid="{1EB2FB66-B66D-43F6-8AE0-A644FC3D8C26}" name="State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workbookViewId="0">
      <selection activeCell="G14" sqref="G14"/>
    </sheetView>
  </sheetViews>
  <sheetFormatPr defaultRowHeight="14.4" x14ac:dyDescent="0.3"/>
  <cols>
    <col min="1" max="1" width="15.5546875" customWidth="1"/>
    <col min="2" max="2" width="37.44140625" bestFit="1" customWidth="1"/>
    <col min="3" max="3" width="27.88671875" customWidth="1"/>
    <col min="4" max="4" width="17.21875" customWidth="1"/>
    <col min="5" max="5" width="14.21875" customWidth="1"/>
  </cols>
  <sheetData>
    <row r="1" spans="1:5" s="2" customFormat="1" ht="18.899999999999999" customHeight="1" x14ac:dyDescent="0.3">
      <c r="A1" s="4" t="s">
        <v>0</v>
      </c>
      <c r="B1" s="5" t="s">
        <v>2382</v>
      </c>
      <c r="C1" s="6" t="s">
        <v>4719</v>
      </c>
      <c r="D1" s="6" t="s">
        <v>4720</v>
      </c>
      <c r="E1" s="6" t="s">
        <v>4721</v>
      </c>
    </row>
    <row r="2" spans="1:5" ht="15.6" x14ac:dyDescent="0.3">
      <c r="A2" s="1" t="s">
        <v>2372</v>
      </c>
      <c r="B2" s="1" t="s">
        <v>2383</v>
      </c>
      <c r="C2" t="s">
        <v>4740</v>
      </c>
      <c r="D2" t="s">
        <v>7075</v>
      </c>
      <c r="E2" t="s">
        <v>8748</v>
      </c>
    </row>
    <row r="3" spans="1:5" ht="15.6" x14ac:dyDescent="0.3">
      <c r="A3" s="1" t="s">
        <v>2371</v>
      </c>
      <c r="B3" s="1" t="s">
        <v>2384</v>
      </c>
      <c r="C3" t="s">
        <v>4741</v>
      </c>
      <c r="D3" t="s">
        <v>7076</v>
      </c>
      <c r="E3" t="s">
        <v>8749</v>
      </c>
    </row>
    <row r="4" spans="1:5" ht="15.6" x14ac:dyDescent="0.3">
      <c r="A4" s="1" t="s">
        <v>2370</v>
      </c>
      <c r="B4" s="1" t="s">
        <v>2385</v>
      </c>
      <c r="C4" t="s">
        <v>4742</v>
      </c>
      <c r="D4" t="s">
        <v>7077</v>
      </c>
      <c r="E4" t="s">
        <v>8750</v>
      </c>
    </row>
    <row r="5" spans="1:5" ht="15.6" x14ac:dyDescent="0.3">
      <c r="A5" s="1" t="s">
        <v>2369</v>
      </c>
      <c r="B5" s="1" t="s">
        <v>2386</v>
      </c>
      <c r="C5" t="s">
        <v>4743</v>
      </c>
      <c r="D5" t="s">
        <v>7078</v>
      </c>
      <c r="E5" t="s">
        <v>8751</v>
      </c>
    </row>
    <row r="6" spans="1:5" ht="15.6" x14ac:dyDescent="0.3">
      <c r="A6" s="1" t="s">
        <v>2368</v>
      </c>
      <c r="B6" s="1" t="s">
        <v>2387</v>
      </c>
      <c r="C6" t="s">
        <v>4744</v>
      </c>
      <c r="D6" t="s">
        <v>7079</v>
      </c>
      <c r="E6" t="s">
        <v>8752</v>
      </c>
    </row>
    <row r="7" spans="1:5" ht="15.6" x14ac:dyDescent="0.3">
      <c r="A7" s="1" t="s">
        <v>2367</v>
      </c>
      <c r="B7" s="1" t="s">
        <v>2388</v>
      </c>
      <c r="C7" t="s">
        <v>4745</v>
      </c>
      <c r="D7" t="s">
        <v>7080</v>
      </c>
      <c r="E7" t="s">
        <v>8753</v>
      </c>
    </row>
    <row r="8" spans="1:5" ht="15.6" x14ac:dyDescent="0.3">
      <c r="A8" s="1" t="s">
        <v>2366</v>
      </c>
      <c r="B8" s="1" t="s">
        <v>2389</v>
      </c>
      <c r="C8" t="s">
        <v>4746</v>
      </c>
      <c r="D8" t="s">
        <v>7081</v>
      </c>
      <c r="E8" t="s">
        <v>8754</v>
      </c>
    </row>
    <row r="9" spans="1:5" ht="15.6" x14ac:dyDescent="0.3">
      <c r="A9" s="1" t="s">
        <v>2365</v>
      </c>
      <c r="B9" s="1" t="s">
        <v>2390</v>
      </c>
      <c r="C9" t="s">
        <v>4747</v>
      </c>
      <c r="D9" t="s">
        <v>7082</v>
      </c>
      <c r="E9" t="s">
        <v>8755</v>
      </c>
    </row>
    <row r="10" spans="1:5" ht="15.6" x14ac:dyDescent="0.3">
      <c r="A10" s="1" t="s">
        <v>2364</v>
      </c>
      <c r="B10" s="1" t="s">
        <v>2391</v>
      </c>
      <c r="C10" t="s">
        <v>4748</v>
      </c>
      <c r="D10" t="s">
        <v>7083</v>
      </c>
      <c r="E10" t="s">
        <v>8756</v>
      </c>
    </row>
    <row r="11" spans="1:5" ht="15.6" x14ac:dyDescent="0.3">
      <c r="A11" s="1" t="s">
        <v>2363</v>
      </c>
      <c r="B11" s="1" t="s">
        <v>2392</v>
      </c>
      <c r="C11" t="s">
        <v>4749</v>
      </c>
      <c r="D11" t="s">
        <v>7084</v>
      </c>
      <c r="E11" t="s">
        <v>8757</v>
      </c>
    </row>
    <row r="12" spans="1:5" ht="15.6" x14ac:dyDescent="0.3">
      <c r="A12" s="1" t="s">
        <v>2362</v>
      </c>
      <c r="B12" s="1" t="s">
        <v>2393</v>
      </c>
      <c r="C12" t="s">
        <v>4750</v>
      </c>
      <c r="D12" t="s">
        <v>7085</v>
      </c>
      <c r="E12" t="s">
        <v>8758</v>
      </c>
    </row>
    <row r="13" spans="1:5" ht="15.6" x14ac:dyDescent="0.3">
      <c r="A13" s="1" t="s">
        <v>2361</v>
      </c>
      <c r="B13" s="1" t="s">
        <v>2394</v>
      </c>
      <c r="C13" t="s">
        <v>4751</v>
      </c>
      <c r="D13" t="s">
        <v>7086</v>
      </c>
      <c r="E13" t="s">
        <v>8759</v>
      </c>
    </row>
    <row r="14" spans="1:5" ht="15.6" x14ac:dyDescent="0.3">
      <c r="A14" s="1" t="s">
        <v>2360</v>
      </c>
      <c r="B14" s="1" t="s">
        <v>2395</v>
      </c>
      <c r="C14" t="s">
        <v>4752</v>
      </c>
      <c r="D14" t="s">
        <v>7087</v>
      </c>
      <c r="E14" t="s">
        <v>8760</v>
      </c>
    </row>
    <row r="15" spans="1:5" ht="15.6" x14ac:dyDescent="0.3">
      <c r="A15" s="1" t="s">
        <v>2359</v>
      </c>
      <c r="B15" s="1" t="s">
        <v>2396</v>
      </c>
      <c r="C15" t="s">
        <v>4753</v>
      </c>
      <c r="D15" t="s">
        <v>7088</v>
      </c>
      <c r="E15" t="s">
        <v>8761</v>
      </c>
    </row>
    <row r="16" spans="1:5" ht="15.6" x14ac:dyDescent="0.3">
      <c r="A16" s="1" t="s">
        <v>2358</v>
      </c>
      <c r="B16" s="1" t="s">
        <v>2397</v>
      </c>
      <c r="C16" t="s">
        <v>4754</v>
      </c>
      <c r="D16" t="s">
        <v>7089</v>
      </c>
      <c r="E16" t="s">
        <v>8762</v>
      </c>
    </row>
    <row r="17" spans="1:5" ht="15.6" x14ac:dyDescent="0.3">
      <c r="A17" s="1" t="s">
        <v>2357</v>
      </c>
      <c r="B17" s="1" t="s">
        <v>2398</v>
      </c>
      <c r="C17" t="s">
        <v>4755</v>
      </c>
      <c r="D17" t="s">
        <v>7090</v>
      </c>
      <c r="E17" t="s">
        <v>8763</v>
      </c>
    </row>
    <row r="18" spans="1:5" ht="15.6" x14ac:dyDescent="0.3">
      <c r="A18" s="1" t="s">
        <v>2356</v>
      </c>
      <c r="B18" s="1" t="s">
        <v>2399</v>
      </c>
      <c r="C18" t="s">
        <v>4756</v>
      </c>
      <c r="D18" t="s">
        <v>7091</v>
      </c>
      <c r="E18" t="s">
        <v>8764</v>
      </c>
    </row>
    <row r="19" spans="1:5" ht="15.6" x14ac:dyDescent="0.3">
      <c r="A19" s="1" t="s">
        <v>2355</v>
      </c>
      <c r="B19" s="1" t="s">
        <v>2400</v>
      </c>
      <c r="C19" t="s">
        <v>4757</v>
      </c>
      <c r="D19" t="s">
        <v>7092</v>
      </c>
      <c r="E19" t="s">
        <v>8765</v>
      </c>
    </row>
    <row r="20" spans="1:5" ht="15.6" x14ac:dyDescent="0.3">
      <c r="A20" s="1" t="s">
        <v>2354</v>
      </c>
      <c r="B20" s="1" t="s">
        <v>2401</v>
      </c>
      <c r="C20" t="s">
        <v>4758</v>
      </c>
      <c r="D20" t="s">
        <v>7093</v>
      </c>
      <c r="E20" t="s">
        <v>8766</v>
      </c>
    </row>
    <row r="21" spans="1:5" ht="15.6" x14ac:dyDescent="0.3">
      <c r="A21" s="1" t="s">
        <v>2353</v>
      </c>
      <c r="B21" s="1" t="s">
        <v>2402</v>
      </c>
      <c r="C21" t="s">
        <v>4759</v>
      </c>
      <c r="D21" t="s">
        <v>7094</v>
      </c>
      <c r="E21" t="s">
        <v>8767</v>
      </c>
    </row>
    <row r="22" spans="1:5" ht="15.6" x14ac:dyDescent="0.3">
      <c r="A22" s="1" t="s">
        <v>2352</v>
      </c>
      <c r="B22" s="1" t="s">
        <v>2403</v>
      </c>
      <c r="C22" t="s">
        <v>4760</v>
      </c>
      <c r="D22" t="s">
        <v>7095</v>
      </c>
      <c r="E22" t="s">
        <v>8768</v>
      </c>
    </row>
    <row r="23" spans="1:5" ht="15.6" x14ac:dyDescent="0.3">
      <c r="A23" s="1" t="s">
        <v>2351</v>
      </c>
      <c r="B23" s="1" t="s">
        <v>2404</v>
      </c>
      <c r="C23" t="s">
        <v>4761</v>
      </c>
      <c r="D23" t="s">
        <v>7096</v>
      </c>
      <c r="E23" t="s">
        <v>8769</v>
      </c>
    </row>
    <row r="24" spans="1:5" ht="15.6" x14ac:dyDescent="0.3">
      <c r="A24" s="1" t="s">
        <v>2350</v>
      </c>
      <c r="B24" s="1" t="s">
        <v>2405</v>
      </c>
      <c r="C24" t="s">
        <v>4762</v>
      </c>
      <c r="D24" t="s">
        <v>7097</v>
      </c>
      <c r="E24" t="s">
        <v>8770</v>
      </c>
    </row>
    <row r="25" spans="1:5" ht="15.6" x14ac:dyDescent="0.3">
      <c r="A25" s="1" t="s">
        <v>2349</v>
      </c>
      <c r="B25" s="1" t="s">
        <v>2406</v>
      </c>
      <c r="C25" t="s">
        <v>4763</v>
      </c>
      <c r="D25" t="s">
        <v>7098</v>
      </c>
      <c r="E25" t="s">
        <v>8771</v>
      </c>
    </row>
    <row r="26" spans="1:5" ht="15.6" x14ac:dyDescent="0.3">
      <c r="A26" s="1" t="s">
        <v>2348</v>
      </c>
      <c r="B26" s="1" t="s">
        <v>2407</v>
      </c>
      <c r="C26" t="s">
        <v>4764</v>
      </c>
      <c r="D26" t="s">
        <v>7099</v>
      </c>
      <c r="E26" t="s">
        <v>8772</v>
      </c>
    </row>
    <row r="27" spans="1:5" ht="15.6" x14ac:dyDescent="0.3">
      <c r="A27" s="1" t="s">
        <v>2347</v>
      </c>
      <c r="B27" s="1" t="s">
        <v>2408</v>
      </c>
      <c r="C27" t="s">
        <v>4765</v>
      </c>
      <c r="D27" t="s">
        <v>7100</v>
      </c>
      <c r="E27" t="s">
        <v>8773</v>
      </c>
    </row>
    <row r="28" spans="1:5" ht="15.6" x14ac:dyDescent="0.3">
      <c r="A28" s="1" t="s">
        <v>2346</v>
      </c>
      <c r="B28" s="1" t="s">
        <v>2409</v>
      </c>
      <c r="C28" t="s">
        <v>4766</v>
      </c>
      <c r="D28" t="s">
        <v>7101</v>
      </c>
      <c r="E28" t="s">
        <v>8774</v>
      </c>
    </row>
    <row r="29" spans="1:5" ht="15.6" x14ac:dyDescent="0.3">
      <c r="A29" s="1" t="s">
        <v>2345</v>
      </c>
      <c r="B29" s="1" t="s">
        <v>2410</v>
      </c>
      <c r="C29" t="s">
        <v>4767</v>
      </c>
      <c r="D29" t="s">
        <v>7102</v>
      </c>
      <c r="E29" t="s">
        <v>8775</v>
      </c>
    </row>
    <row r="30" spans="1:5" ht="15.6" x14ac:dyDescent="0.3">
      <c r="A30" s="1" t="s">
        <v>2344</v>
      </c>
      <c r="B30" s="1" t="s">
        <v>2411</v>
      </c>
      <c r="C30" t="s">
        <v>4768</v>
      </c>
      <c r="D30" t="s">
        <v>7082</v>
      </c>
      <c r="E30" t="s">
        <v>8776</v>
      </c>
    </row>
    <row r="31" spans="1:5" ht="15.6" x14ac:dyDescent="0.3">
      <c r="A31" s="1" t="s">
        <v>2343</v>
      </c>
      <c r="B31" s="1" t="s">
        <v>2412</v>
      </c>
      <c r="C31" t="s">
        <v>4769</v>
      </c>
      <c r="D31" t="s">
        <v>7103</v>
      </c>
      <c r="E31" t="s">
        <v>8777</v>
      </c>
    </row>
    <row r="32" spans="1:5" ht="15.6" x14ac:dyDescent="0.3">
      <c r="A32" s="1" t="s">
        <v>2342</v>
      </c>
      <c r="B32" s="1" t="s">
        <v>2413</v>
      </c>
      <c r="C32" t="s">
        <v>4770</v>
      </c>
      <c r="D32" t="s">
        <v>7104</v>
      </c>
      <c r="E32" t="s">
        <v>8778</v>
      </c>
    </row>
    <row r="33" spans="1:5" ht="15.6" x14ac:dyDescent="0.3">
      <c r="A33" s="1" t="s">
        <v>2341</v>
      </c>
      <c r="B33" s="1" t="s">
        <v>2414</v>
      </c>
      <c r="C33" t="s">
        <v>4771</v>
      </c>
      <c r="D33" t="s">
        <v>7105</v>
      </c>
      <c r="E33" t="s">
        <v>8779</v>
      </c>
    </row>
    <row r="34" spans="1:5" ht="15.6" x14ac:dyDescent="0.3">
      <c r="A34" s="1" t="s">
        <v>2340</v>
      </c>
      <c r="B34" s="1" t="s">
        <v>2415</v>
      </c>
      <c r="C34" t="s">
        <v>4772</v>
      </c>
      <c r="D34" t="s">
        <v>7106</v>
      </c>
      <c r="E34" t="s">
        <v>8780</v>
      </c>
    </row>
    <row r="35" spans="1:5" ht="15.6" x14ac:dyDescent="0.3">
      <c r="A35" s="1" t="s">
        <v>2339</v>
      </c>
      <c r="B35" s="1" t="s">
        <v>2416</v>
      </c>
      <c r="C35" t="s">
        <v>4773</v>
      </c>
      <c r="D35" t="s">
        <v>7107</v>
      </c>
      <c r="E35" t="s">
        <v>8781</v>
      </c>
    </row>
    <row r="36" spans="1:5" ht="15.6" x14ac:dyDescent="0.3">
      <c r="A36" s="1" t="s">
        <v>2338</v>
      </c>
      <c r="B36" s="1" t="s">
        <v>2417</v>
      </c>
      <c r="C36" t="s">
        <v>4774</v>
      </c>
      <c r="D36" t="s">
        <v>7108</v>
      </c>
      <c r="E36" t="s">
        <v>8782</v>
      </c>
    </row>
    <row r="37" spans="1:5" ht="15.6" x14ac:dyDescent="0.3">
      <c r="A37" s="1" t="s">
        <v>2337</v>
      </c>
      <c r="B37" s="1" t="s">
        <v>2418</v>
      </c>
      <c r="C37" t="s">
        <v>4775</v>
      </c>
      <c r="D37" t="s">
        <v>7109</v>
      </c>
      <c r="E37" t="s">
        <v>8783</v>
      </c>
    </row>
    <row r="38" spans="1:5" ht="15.6" x14ac:dyDescent="0.3">
      <c r="A38" s="1" t="s">
        <v>2336</v>
      </c>
      <c r="B38" s="1" t="s">
        <v>2419</v>
      </c>
      <c r="C38" t="s">
        <v>4776</v>
      </c>
      <c r="D38" t="s">
        <v>7110</v>
      </c>
      <c r="E38" t="s">
        <v>8784</v>
      </c>
    </row>
    <row r="39" spans="1:5" ht="15.6" x14ac:dyDescent="0.3">
      <c r="A39" s="1" t="s">
        <v>2335</v>
      </c>
      <c r="B39" s="1" t="s">
        <v>2420</v>
      </c>
      <c r="C39" t="s">
        <v>4777</v>
      </c>
      <c r="D39" t="s">
        <v>7111</v>
      </c>
      <c r="E39" t="s">
        <v>8785</v>
      </c>
    </row>
    <row r="40" spans="1:5" ht="15.6" x14ac:dyDescent="0.3">
      <c r="A40" s="1" t="s">
        <v>2334</v>
      </c>
      <c r="B40" s="1" t="s">
        <v>2421</v>
      </c>
      <c r="C40" t="s">
        <v>4778</v>
      </c>
      <c r="D40" t="s">
        <v>7112</v>
      </c>
      <c r="E40" t="s">
        <v>8786</v>
      </c>
    </row>
    <row r="41" spans="1:5" ht="15.6" x14ac:dyDescent="0.3">
      <c r="A41" s="1" t="s">
        <v>2333</v>
      </c>
      <c r="B41" s="1" t="s">
        <v>2422</v>
      </c>
      <c r="C41" t="s">
        <v>4779</v>
      </c>
      <c r="D41" t="s">
        <v>7113</v>
      </c>
      <c r="E41" t="s">
        <v>8787</v>
      </c>
    </row>
    <row r="42" spans="1:5" ht="15.6" x14ac:dyDescent="0.3">
      <c r="A42" s="1" t="s">
        <v>2332</v>
      </c>
      <c r="B42" s="1" t="s">
        <v>2423</v>
      </c>
      <c r="C42" t="s">
        <v>4780</v>
      </c>
      <c r="D42" t="s">
        <v>7114</v>
      </c>
      <c r="E42" t="s">
        <v>8788</v>
      </c>
    </row>
    <row r="43" spans="1:5" ht="15.6" x14ac:dyDescent="0.3">
      <c r="A43" s="1" t="s">
        <v>2331</v>
      </c>
      <c r="B43" s="1" t="s">
        <v>2424</v>
      </c>
      <c r="C43" t="s">
        <v>4781</v>
      </c>
      <c r="D43" t="s">
        <v>7115</v>
      </c>
      <c r="E43" t="s">
        <v>8789</v>
      </c>
    </row>
    <row r="44" spans="1:5" ht="15.6" x14ac:dyDescent="0.3">
      <c r="A44" s="1" t="s">
        <v>2330</v>
      </c>
      <c r="B44" s="1" t="s">
        <v>2425</v>
      </c>
      <c r="C44" t="s">
        <v>4782</v>
      </c>
      <c r="D44" t="s">
        <v>7097</v>
      </c>
      <c r="E44" t="s">
        <v>8790</v>
      </c>
    </row>
    <row r="45" spans="1:5" ht="15.6" x14ac:dyDescent="0.3">
      <c r="A45" s="1" t="s">
        <v>2329</v>
      </c>
      <c r="B45" s="1" t="s">
        <v>2426</v>
      </c>
      <c r="C45" t="s">
        <v>4783</v>
      </c>
      <c r="D45" t="s">
        <v>7116</v>
      </c>
      <c r="E45" t="s">
        <v>8791</v>
      </c>
    </row>
    <row r="46" spans="1:5" ht="15.6" x14ac:dyDescent="0.3">
      <c r="A46" s="1" t="s">
        <v>2328</v>
      </c>
      <c r="B46" s="1" t="s">
        <v>2427</v>
      </c>
      <c r="C46" t="s">
        <v>4784</v>
      </c>
      <c r="D46" t="s">
        <v>7117</v>
      </c>
      <c r="E46" t="s">
        <v>8792</v>
      </c>
    </row>
    <row r="47" spans="1:5" ht="15.6" x14ac:dyDescent="0.3">
      <c r="A47" s="1" t="s">
        <v>2327</v>
      </c>
      <c r="B47" s="1" t="s">
        <v>2428</v>
      </c>
      <c r="C47" t="s">
        <v>4785</v>
      </c>
      <c r="D47" t="s">
        <v>7118</v>
      </c>
      <c r="E47" t="s">
        <v>8793</v>
      </c>
    </row>
    <row r="48" spans="1:5" ht="15.6" x14ac:dyDescent="0.3">
      <c r="A48" s="1" t="s">
        <v>2326</v>
      </c>
      <c r="B48" s="1" t="s">
        <v>2429</v>
      </c>
      <c r="C48" t="s">
        <v>4786</v>
      </c>
      <c r="D48" t="s">
        <v>7119</v>
      </c>
      <c r="E48" t="s">
        <v>8794</v>
      </c>
    </row>
    <row r="49" spans="1:5" ht="15.6" x14ac:dyDescent="0.3">
      <c r="A49" s="1" t="s">
        <v>2325</v>
      </c>
      <c r="B49" s="1" t="s">
        <v>2430</v>
      </c>
      <c r="C49" t="s">
        <v>4787</v>
      </c>
      <c r="D49" t="s">
        <v>7120</v>
      </c>
      <c r="E49" t="s">
        <v>8789</v>
      </c>
    </row>
    <row r="50" spans="1:5" ht="15.6" x14ac:dyDescent="0.3">
      <c r="A50" s="1" t="s">
        <v>2324</v>
      </c>
      <c r="B50" s="1" t="s">
        <v>2431</v>
      </c>
      <c r="C50" t="s">
        <v>4788</v>
      </c>
      <c r="D50" t="s">
        <v>7121</v>
      </c>
      <c r="E50" t="s">
        <v>8795</v>
      </c>
    </row>
    <row r="51" spans="1:5" ht="15.6" x14ac:dyDescent="0.3">
      <c r="A51" s="1" t="s">
        <v>2323</v>
      </c>
      <c r="B51" s="1" t="s">
        <v>2432</v>
      </c>
      <c r="C51" t="s">
        <v>4789</v>
      </c>
      <c r="D51" t="s">
        <v>7122</v>
      </c>
      <c r="E51" t="s">
        <v>8796</v>
      </c>
    </row>
    <row r="52" spans="1:5" ht="15.6" x14ac:dyDescent="0.3">
      <c r="A52" s="1" t="s">
        <v>2322</v>
      </c>
      <c r="B52" s="1" t="s">
        <v>2433</v>
      </c>
      <c r="C52" t="s">
        <v>4790</v>
      </c>
      <c r="D52" t="s">
        <v>7123</v>
      </c>
      <c r="E52" t="s">
        <v>8797</v>
      </c>
    </row>
    <row r="53" spans="1:5" ht="15.6" x14ac:dyDescent="0.3">
      <c r="A53" s="1" t="s">
        <v>2321</v>
      </c>
      <c r="B53" s="1" t="s">
        <v>2434</v>
      </c>
      <c r="C53" t="s">
        <v>4791</v>
      </c>
      <c r="D53" t="s">
        <v>7124</v>
      </c>
      <c r="E53" t="s">
        <v>8798</v>
      </c>
    </row>
    <row r="54" spans="1:5" ht="15.6" x14ac:dyDescent="0.3">
      <c r="A54" s="1" t="s">
        <v>2320</v>
      </c>
      <c r="B54" s="1" t="s">
        <v>2435</v>
      </c>
      <c r="C54" t="s">
        <v>4792</v>
      </c>
      <c r="D54" t="s">
        <v>7086</v>
      </c>
      <c r="E54" t="s">
        <v>8799</v>
      </c>
    </row>
    <row r="55" spans="1:5" ht="15.6" x14ac:dyDescent="0.3">
      <c r="A55" s="1" t="s">
        <v>2319</v>
      </c>
      <c r="B55" s="1" t="s">
        <v>2436</v>
      </c>
      <c r="C55" t="s">
        <v>4793</v>
      </c>
      <c r="D55" t="s">
        <v>7125</v>
      </c>
      <c r="E55" t="s">
        <v>8800</v>
      </c>
    </row>
    <row r="56" spans="1:5" ht="15.6" x14ac:dyDescent="0.3">
      <c r="A56" s="1" t="s">
        <v>2318</v>
      </c>
      <c r="B56" s="1" t="s">
        <v>2437</v>
      </c>
      <c r="C56" t="s">
        <v>4794</v>
      </c>
      <c r="D56" t="s">
        <v>7126</v>
      </c>
      <c r="E56" t="s">
        <v>8801</v>
      </c>
    </row>
    <row r="57" spans="1:5" ht="15.6" x14ac:dyDescent="0.3">
      <c r="A57" s="1" t="s">
        <v>2317</v>
      </c>
      <c r="B57" s="1" t="s">
        <v>2438</v>
      </c>
      <c r="C57" t="s">
        <v>4795</v>
      </c>
      <c r="D57" t="s">
        <v>7127</v>
      </c>
      <c r="E57" t="s">
        <v>8802</v>
      </c>
    </row>
    <row r="58" spans="1:5" ht="15.6" x14ac:dyDescent="0.3">
      <c r="A58" s="1" t="s">
        <v>2316</v>
      </c>
      <c r="B58" s="1" t="s">
        <v>2439</v>
      </c>
      <c r="C58" t="s">
        <v>4796</v>
      </c>
      <c r="D58" t="s">
        <v>7128</v>
      </c>
      <c r="E58" t="s">
        <v>8803</v>
      </c>
    </row>
    <row r="59" spans="1:5" ht="15.6" x14ac:dyDescent="0.3">
      <c r="A59" s="1" t="s">
        <v>2315</v>
      </c>
      <c r="B59" s="1" t="s">
        <v>2440</v>
      </c>
      <c r="C59" t="s">
        <v>4797</v>
      </c>
      <c r="D59" t="s">
        <v>7129</v>
      </c>
      <c r="E59" t="s">
        <v>8804</v>
      </c>
    </row>
    <row r="60" spans="1:5" ht="15.6" x14ac:dyDescent="0.3">
      <c r="A60" s="1" t="s">
        <v>2314</v>
      </c>
      <c r="B60" s="1" t="s">
        <v>2441</v>
      </c>
      <c r="C60" t="s">
        <v>4798</v>
      </c>
      <c r="D60" t="s">
        <v>7130</v>
      </c>
      <c r="E60" t="s">
        <v>8805</v>
      </c>
    </row>
    <row r="61" spans="1:5" ht="15.6" x14ac:dyDescent="0.3">
      <c r="A61" s="1" t="s">
        <v>2313</v>
      </c>
      <c r="B61" s="1" t="s">
        <v>2442</v>
      </c>
      <c r="C61" t="s">
        <v>4799</v>
      </c>
      <c r="D61" t="s">
        <v>7131</v>
      </c>
      <c r="E61" t="s">
        <v>8806</v>
      </c>
    </row>
    <row r="62" spans="1:5" ht="15.6" x14ac:dyDescent="0.3">
      <c r="A62" s="1" t="s">
        <v>2312</v>
      </c>
      <c r="B62" s="1" t="s">
        <v>2443</v>
      </c>
      <c r="C62" t="s">
        <v>4800</v>
      </c>
      <c r="D62" t="s">
        <v>7132</v>
      </c>
      <c r="E62" t="s">
        <v>8807</v>
      </c>
    </row>
    <row r="63" spans="1:5" ht="15.6" x14ac:dyDescent="0.3">
      <c r="A63" s="1" t="s">
        <v>2311</v>
      </c>
      <c r="B63" s="1" t="s">
        <v>2444</v>
      </c>
      <c r="C63" t="s">
        <v>4801</v>
      </c>
      <c r="D63" t="s">
        <v>7133</v>
      </c>
      <c r="E63" t="s">
        <v>8808</v>
      </c>
    </row>
    <row r="64" spans="1:5" ht="15.6" x14ac:dyDescent="0.3">
      <c r="A64" s="1" t="s">
        <v>2310</v>
      </c>
      <c r="B64" s="1" t="s">
        <v>2445</v>
      </c>
      <c r="C64" t="s">
        <v>4802</v>
      </c>
      <c r="D64" t="s">
        <v>7134</v>
      </c>
      <c r="E64" t="s">
        <v>8809</v>
      </c>
    </row>
    <row r="65" spans="1:5" ht="15.6" x14ac:dyDescent="0.3">
      <c r="A65" s="1" t="s">
        <v>2309</v>
      </c>
      <c r="B65" s="1" t="s">
        <v>2446</v>
      </c>
      <c r="C65" t="s">
        <v>4803</v>
      </c>
      <c r="D65" t="s">
        <v>7086</v>
      </c>
      <c r="E65" t="s">
        <v>8810</v>
      </c>
    </row>
    <row r="66" spans="1:5" ht="15.6" x14ac:dyDescent="0.3">
      <c r="A66" s="1" t="s">
        <v>2308</v>
      </c>
      <c r="B66" s="1" t="s">
        <v>2447</v>
      </c>
      <c r="C66" t="s">
        <v>4804</v>
      </c>
      <c r="D66" t="s">
        <v>7135</v>
      </c>
      <c r="E66" t="s">
        <v>8811</v>
      </c>
    </row>
    <row r="67" spans="1:5" ht="15.6" x14ac:dyDescent="0.3">
      <c r="A67" s="1" t="s">
        <v>2307</v>
      </c>
      <c r="B67" s="1" t="s">
        <v>2448</v>
      </c>
      <c r="C67" t="s">
        <v>4805</v>
      </c>
      <c r="D67" t="s">
        <v>7136</v>
      </c>
      <c r="E67" t="s">
        <v>8812</v>
      </c>
    </row>
    <row r="68" spans="1:5" ht="15.6" x14ac:dyDescent="0.3">
      <c r="A68" s="1" t="s">
        <v>2306</v>
      </c>
      <c r="B68" s="1" t="s">
        <v>2449</v>
      </c>
      <c r="C68" t="s">
        <v>4806</v>
      </c>
      <c r="D68" t="s">
        <v>7137</v>
      </c>
      <c r="E68" t="s">
        <v>8813</v>
      </c>
    </row>
    <row r="69" spans="1:5" ht="15.6" x14ac:dyDescent="0.3">
      <c r="A69" s="1" t="s">
        <v>2305</v>
      </c>
      <c r="B69" s="1" t="s">
        <v>2450</v>
      </c>
      <c r="C69" t="s">
        <v>4807</v>
      </c>
      <c r="D69" t="s">
        <v>7138</v>
      </c>
      <c r="E69" t="s">
        <v>8814</v>
      </c>
    </row>
    <row r="70" spans="1:5" ht="15.6" x14ac:dyDescent="0.3">
      <c r="A70" s="1" t="s">
        <v>2304</v>
      </c>
      <c r="B70" s="1" t="s">
        <v>2451</v>
      </c>
      <c r="C70" t="s">
        <v>4808</v>
      </c>
      <c r="D70" t="s">
        <v>7139</v>
      </c>
      <c r="E70" t="s">
        <v>8815</v>
      </c>
    </row>
    <row r="71" spans="1:5" ht="15.6" x14ac:dyDescent="0.3">
      <c r="A71" s="1" t="s">
        <v>2303</v>
      </c>
      <c r="B71" s="1" t="s">
        <v>2452</v>
      </c>
      <c r="C71" t="s">
        <v>4809</v>
      </c>
      <c r="D71" t="s">
        <v>7140</v>
      </c>
      <c r="E71" t="s">
        <v>8816</v>
      </c>
    </row>
    <row r="72" spans="1:5" ht="15.6" x14ac:dyDescent="0.3">
      <c r="A72" s="1" t="s">
        <v>2302</v>
      </c>
      <c r="B72" s="1" t="s">
        <v>2453</v>
      </c>
      <c r="C72" t="s">
        <v>4810</v>
      </c>
      <c r="D72" t="s">
        <v>7141</v>
      </c>
      <c r="E72" t="s">
        <v>8817</v>
      </c>
    </row>
    <row r="73" spans="1:5" ht="15.6" x14ac:dyDescent="0.3">
      <c r="A73" s="1" t="s">
        <v>2301</v>
      </c>
      <c r="B73" s="1" t="s">
        <v>2454</v>
      </c>
      <c r="C73" t="s">
        <v>4722</v>
      </c>
      <c r="D73" t="s">
        <v>7057</v>
      </c>
      <c r="E73" t="s">
        <v>8818</v>
      </c>
    </row>
    <row r="74" spans="1:5" ht="15.6" x14ac:dyDescent="0.3">
      <c r="A74" s="1" t="s">
        <v>2300</v>
      </c>
      <c r="B74" s="1" t="s">
        <v>2455</v>
      </c>
      <c r="C74" t="s">
        <v>4811</v>
      </c>
      <c r="D74" t="s">
        <v>7142</v>
      </c>
      <c r="E74" t="s">
        <v>8819</v>
      </c>
    </row>
    <row r="75" spans="1:5" ht="15.6" x14ac:dyDescent="0.3">
      <c r="A75" s="1" t="s">
        <v>2299</v>
      </c>
      <c r="B75" s="1" t="s">
        <v>2456</v>
      </c>
      <c r="C75" t="s">
        <v>4812</v>
      </c>
      <c r="D75" t="s">
        <v>7143</v>
      </c>
      <c r="E75" t="s">
        <v>8820</v>
      </c>
    </row>
    <row r="76" spans="1:5" ht="15.6" x14ac:dyDescent="0.3">
      <c r="A76" s="1" t="s">
        <v>2298</v>
      </c>
      <c r="B76" s="1" t="s">
        <v>2457</v>
      </c>
      <c r="C76" t="s">
        <v>4813</v>
      </c>
      <c r="D76" t="s">
        <v>7144</v>
      </c>
      <c r="E76" t="s">
        <v>8821</v>
      </c>
    </row>
    <row r="77" spans="1:5" ht="15.6" x14ac:dyDescent="0.3">
      <c r="A77" s="1" t="s">
        <v>2297</v>
      </c>
      <c r="B77" s="1" t="s">
        <v>2458</v>
      </c>
      <c r="C77" t="s">
        <v>4814</v>
      </c>
      <c r="D77" t="s">
        <v>7145</v>
      </c>
      <c r="E77" t="s">
        <v>8822</v>
      </c>
    </row>
    <row r="78" spans="1:5" ht="15.6" x14ac:dyDescent="0.3">
      <c r="A78" s="1" t="s">
        <v>2296</v>
      </c>
      <c r="B78" s="1" t="s">
        <v>2459</v>
      </c>
      <c r="C78" t="s">
        <v>4815</v>
      </c>
      <c r="D78" t="s">
        <v>7146</v>
      </c>
      <c r="E78" t="s">
        <v>8823</v>
      </c>
    </row>
    <row r="79" spans="1:5" ht="15.6" x14ac:dyDescent="0.3">
      <c r="A79" s="1" t="s">
        <v>2295</v>
      </c>
      <c r="B79" s="1" t="s">
        <v>2460</v>
      </c>
      <c r="C79" t="s">
        <v>4816</v>
      </c>
      <c r="D79" t="s">
        <v>7147</v>
      </c>
      <c r="E79" t="s">
        <v>8824</v>
      </c>
    </row>
    <row r="80" spans="1:5" ht="15.6" x14ac:dyDescent="0.3">
      <c r="A80" s="1" t="s">
        <v>2294</v>
      </c>
      <c r="B80" s="1" t="s">
        <v>2461</v>
      </c>
      <c r="C80" t="s">
        <v>4817</v>
      </c>
      <c r="D80" t="s">
        <v>7148</v>
      </c>
      <c r="E80" t="s">
        <v>8825</v>
      </c>
    </row>
    <row r="81" spans="1:5" ht="15.6" x14ac:dyDescent="0.3">
      <c r="A81" s="1" t="s">
        <v>2293</v>
      </c>
      <c r="B81" s="1" t="s">
        <v>2462</v>
      </c>
      <c r="C81" t="s">
        <v>4818</v>
      </c>
      <c r="D81" t="s">
        <v>7149</v>
      </c>
      <c r="E81" t="s">
        <v>8826</v>
      </c>
    </row>
    <row r="82" spans="1:5" ht="15.6" x14ac:dyDescent="0.3">
      <c r="A82" s="1" t="s">
        <v>2292</v>
      </c>
      <c r="B82" s="1" t="s">
        <v>2463</v>
      </c>
      <c r="C82" t="s">
        <v>4819</v>
      </c>
      <c r="D82" t="s">
        <v>7150</v>
      </c>
      <c r="E82" t="s">
        <v>8827</v>
      </c>
    </row>
    <row r="83" spans="1:5" ht="15.6" x14ac:dyDescent="0.3">
      <c r="A83" s="1" t="s">
        <v>2291</v>
      </c>
      <c r="B83" s="1" t="s">
        <v>2464</v>
      </c>
      <c r="C83" t="s">
        <v>4820</v>
      </c>
      <c r="D83" t="s">
        <v>7151</v>
      </c>
      <c r="E83" t="s">
        <v>8828</v>
      </c>
    </row>
    <row r="84" spans="1:5" ht="15.6" x14ac:dyDescent="0.3">
      <c r="A84" s="1" t="s">
        <v>2290</v>
      </c>
      <c r="B84" s="1" t="s">
        <v>2465</v>
      </c>
      <c r="C84" t="s">
        <v>4821</v>
      </c>
      <c r="D84" t="s">
        <v>7152</v>
      </c>
      <c r="E84" t="s">
        <v>8829</v>
      </c>
    </row>
    <row r="85" spans="1:5" ht="15.6" x14ac:dyDescent="0.3">
      <c r="A85" s="1" t="s">
        <v>2289</v>
      </c>
      <c r="B85" s="1" t="s">
        <v>2466</v>
      </c>
      <c r="C85" t="s">
        <v>4822</v>
      </c>
      <c r="D85" t="s">
        <v>7153</v>
      </c>
      <c r="E85" t="s">
        <v>8830</v>
      </c>
    </row>
    <row r="86" spans="1:5" ht="15.6" x14ac:dyDescent="0.3">
      <c r="A86" s="1" t="s">
        <v>2288</v>
      </c>
      <c r="B86" s="1" t="s">
        <v>2467</v>
      </c>
      <c r="C86" t="s">
        <v>4823</v>
      </c>
      <c r="D86" t="s">
        <v>7154</v>
      </c>
      <c r="E86" t="s">
        <v>8831</v>
      </c>
    </row>
    <row r="87" spans="1:5" ht="15.6" x14ac:dyDescent="0.3">
      <c r="A87" s="1" t="s">
        <v>2287</v>
      </c>
      <c r="B87" s="1" t="s">
        <v>2468</v>
      </c>
      <c r="C87" t="s">
        <v>4824</v>
      </c>
      <c r="D87" t="s">
        <v>7155</v>
      </c>
      <c r="E87" t="s">
        <v>8832</v>
      </c>
    </row>
    <row r="88" spans="1:5" ht="15.6" x14ac:dyDescent="0.3">
      <c r="A88" s="1" t="s">
        <v>2286</v>
      </c>
      <c r="B88" s="1" t="s">
        <v>2469</v>
      </c>
      <c r="C88" t="s">
        <v>4825</v>
      </c>
      <c r="D88" t="s">
        <v>7156</v>
      </c>
      <c r="E88" t="s">
        <v>8833</v>
      </c>
    </row>
    <row r="89" spans="1:5" ht="15.6" x14ac:dyDescent="0.3">
      <c r="A89" s="1" t="s">
        <v>2285</v>
      </c>
      <c r="B89" s="1" t="s">
        <v>2470</v>
      </c>
      <c r="C89" t="s">
        <v>4826</v>
      </c>
      <c r="D89" t="s">
        <v>7157</v>
      </c>
      <c r="E89" t="s">
        <v>8834</v>
      </c>
    </row>
    <row r="90" spans="1:5" ht="15.6" x14ac:dyDescent="0.3">
      <c r="A90" s="1" t="s">
        <v>2284</v>
      </c>
      <c r="B90" s="1" t="s">
        <v>2471</v>
      </c>
      <c r="C90" t="s">
        <v>4827</v>
      </c>
      <c r="D90" t="s">
        <v>7158</v>
      </c>
      <c r="E90" t="s">
        <v>8835</v>
      </c>
    </row>
    <row r="91" spans="1:5" ht="15.6" x14ac:dyDescent="0.3">
      <c r="A91" s="1" t="s">
        <v>2283</v>
      </c>
      <c r="B91" s="1" t="s">
        <v>2472</v>
      </c>
      <c r="C91" t="s">
        <v>4828</v>
      </c>
      <c r="D91" t="s">
        <v>7159</v>
      </c>
      <c r="E91" t="s">
        <v>8836</v>
      </c>
    </row>
    <row r="92" spans="1:5" ht="15.6" x14ac:dyDescent="0.3">
      <c r="A92" s="1" t="s">
        <v>2282</v>
      </c>
      <c r="B92" s="1" t="s">
        <v>2473</v>
      </c>
      <c r="C92" t="s">
        <v>4829</v>
      </c>
      <c r="D92" t="s">
        <v>7160</v>
      </c>
      <c r="E92" t="s">
        <v>8837</v>
      </c>
    </row>
    <row r="93" spans="1:5" ht="15.6" x14ac:dyDescent="0.3">
      <c r="A93" s="1" t="s">
        <v>2281</v>
      </c>
      <c r="B93" s="1" t="s">
        <v>2474</v>
      </c>
      <c r="C93" t="s">
        <v>4830</v>
      </c>
      <c r="D93" t="s">
        <v>7161</v>
      </c>
      <c r="E93" t="s">
        <v>8838</v>
      </c>
    </row>
    <row r="94" spans="1:5" ht="15.6" x14ac:dyDescent="0.3">
      <c r="A94" s="1" t="s">
        <v>2280</v>
      </c>
      <c r="B94" s="1" t="s">
        <v>2475</v>
      </c>
      <c r="C94" t="s">
        <v>4831</v>
      </c>
      <c r="D94" t="s">
        <v>7162</v>
      </c>
      <c r="E94" t="s">
        <v>8839</v>
      </c>
    </row>
    <row r="95" spans="1:5" ht="15.6" x14ac:dyDescent="0.3">
      <c r="A95" s="1" t="s">
        <v>2279</v>
      </c>
      <c r="B95" s="1" t="s">
        <v>2476</v>
      </c>
      <c r="C95" t="s">
        <v>4832</v>
      </c>
      <c r="D95" t="s">
        <v>7086</v>
      </c>
      <c r="E95" t="s">
        <v>8840</v>
      </c>
    </row>
    <row r="96" spans="1:5" ht="15.6" x14ac:dyDescent="0.3">
      <c r="A96" s="1" t="s">
        <v>2278</v>
      </c>
      <c r="B96" s="1" t="s">
        <v>2477</v>
      </c>
      <c r="C96" t="s">
        <v>4833</v>
      </c>
      <c r="D96" t="s">
        <v>7103</v>
      </c>
      <c r="E96" t="s">
        <v>8841</v>
      </c>
    </row>
    <row r="97" spans="1:5" ht="15.6" x14ac:dyDescent="0.3">
      <c r="A97" s="1" t="s">
        <v>2277</v>
      </c>
      <c r="B97" s="1" t="s">
        <v>2478</v>
      </c>
      <c r="C97" t="s">
        <v>4834</v>
      </c>
      <c r="D97" t="s">
        <v>7163</v>
      </c>
      <c r="E97" t="s">
        <v>8842</v>
      </c>
    </row>
    <row r="98" spans="1:5" ht="15.6" x14ac:dyDescent="0.3">
      <c r="A98" s="1" t="s">
        <v>2276</v>
      </c>
      <c r="B98" s="1" t="s">
        <v>2479</v>
      </c>
      <c r="C98" t="s">
        <v>4835</v>
      </c>
      <c r="D98" t="s">
        <v>7164</v>
      </c>
      <c r="E98" t="s">
        <v>8843</v>
      </c>
    </row>
    <row r="99" spans="1:5" ht="15.6" x14ac:dyDescent="0.3">
      <c r="A99" s="1" t="s">
        <v>2275</v>
      </c>
      <c r="B99" s="1" t="s">
        <v>2480</v>
      </c>
      <c r="C99" t="s">
        <v>4836</v>
      </c>
      <c r="D99" t="s">
        <v>7165</v>
      </c>
      <c r="E99" t="s">
        <v>8844</v>
      </c>
    </row>
    <row r="100" spans="1:5" ht="15.6" x14ac:dyDescent="0.3">
      <c r="A100" s="1" t="s">
        <v>2274</v>
      </c>
      <c r="B100" s="1" t="s">
        <v>2481</v>
      </c>
      <c r="C100" t="s">
        <v>4837</v>
      </c>
      <c r="D100" t="s">
        <v>7166</v>
      </c>
      <c r="E100" t="s">
        <v>8845</v>
      </c>
    </row>
    <row r="101" spans="1:5" ht="15.6" x14ac:dyDescent="0.3">
      <c r="A101" s="1" t="s">
        <v>2273</v>
      </c>
      <c r="B101" s="1" t="s">
        <v>2482</v>
      </c>
      <c r="C101" t="s">
        <v>4838</v>
      </c>
      <c r="D101" t="s">
        <v>7137</v>
      </c>
      <c r="E101" t="s">
        <v>8846</v>
      </c>
    </row>
    <row r="102" spans="1:5" ht="15.6" x14ac:dyDescent="0.3">
      <c r="A102" s="1" t="s">
        <v>2272</v>
      </c>
      <c r="B102" s="1" t="s">
        <v>2483</v>
      </c>
      <c r="C102" t="s">
        <v>4839</v>
      </c>
      <c r="D102" t="s">
        <v>7167</v>
      </c>
      <c r="E102" t="s">
        <v>8847</v>
      </c>
    </row>
    <row r="103" spans="1:5" ht="15.6" x14ac:dyDescent="0.3">
      <c r="A103" s="1" t="s">
        <v>2271</v>
      </c>
      <c r="B103" s="1" t="s">
        <v>2484</v>
      </c>
      <c r="C103" t="s">
        <v>4840</v>
      </c>
      <c r="D103" t="s">
        <v>7168</v>
      </c>
      <c r="E103" t="s">
        <v>8848</v>
      </c>
    </row>
    <row r="104" spans="1:5" ht="15.6" x14ac:dyDescent="0.3">
      <c r="A104" s="1" t="s">
        <v>2270</v>
      </c>
      <c r="B104" s="1" t="s">
        <v>2485</v>
      </c>
      <c r="C104" t="s">
        <v>4841</v>
      </c>
      <c r="D104" t="s">
        <v>7169</v>
      </c>
      <c r="E104" t="s">
        <v>8849</v>
      </c>
    </row>
    <row r="105" spans="1:5" ht="15.6" x14ac:dyDescent="0.3">
      <c r="A105" s="1" t="s">
        <v>2269</v>
      </c>
      <c r="B105" s="1" t="s">
        <v>2486</v>
      </c>
      <c r="C105" t="s">
        <v>4842</v>
      </c>
      <c r="D105" t="s">
        <v>7170</v>
      </c>
      <c r="E105" t="s">
        <v>8850</v>
      </c>
    </row>
    <row r="106" spans="1:5" ht="15.6" x14ac:dyDescent="0.3">
      <c r="A106" s="1" t="s">
        <v>2268</v>
      </c>
      <c r="B106" s="1" t="s">
        <v>2487</v>
      </c>
      <c r="C106" t="s">
        <v>4843</v>
      </c>
      <c r="D106" t="s">
        <v>7171</v>
      </c>
      <c r="E106" t="s">
        <v>8851</v>
      </c>
    </row>
    <row r="107" spans="1:5" ht="15.6" x14ac:dyDescent="0.3">
      <c r="A107" s="1" t="s">
        <v>2267</v>
      </c>
      <c r="B107" s="1" t="s">
        <v>2488</v>
      </c>
      <c r="C107" t="s">
        <v>4844</v>
      </c>
      <c r="D107" t="s">
        <v>7172</v>
      </c>
      <c r="E107" t="s">
        <v>8852</v>
      </c>
    </row>
    <row r="108" spans="1:5" ht="15.6" x14ac:dyDescent="0.3">
      <c r="A108" s="1" t="s">
        <v>2266</v>
      </c>
      <c r="B108" s="1" t="s">
        <v>2489</v>
      </c>
      <c r="C108" t="s">
        <v>4845</v>
      </c>
      <c r="D108" t="s">
        <v>7173</v>
      </c>
      <c r="E108" t="s">
        <v>8853</v>
      </c>
    </row>
    <row r="109" spans="1:5" ht="15.6" x14ac:dyDescent="0.3">
      <c r="A109" s="1" t="s">
        <v>2265</v>
      </c>
      <c r="B109" s="1" t="s">
        <v>2490</v>
      </c>
      <c r="C109" t="s">
        <v>4846</v>
      </c>
      <c r="D109" t="s">
        <v>7174</v>
      </c>
      <c r="E109" t="s">
        <v>8854</v>
      </c>
    </row>
    <row r="110" spans="1:5" ht="15.6" x14ac:dyDescent="0.3">
      <c r="A110" s="1" t="s">
        <v>2264</v>
      </c>
      <c r="B110" s="1" t="s">
        <v>2491</v>
      </c>
      <c r="C110" t="s">
        <v>4847</v>
      </c>
      <c r="D110" t="s">
        <v>7175</v>
      </c>
      <c r="E110" t="s">
        <v>8855</v>
      </c>
    </row>
    <row r="111" spans="1:5" ht="15.6" x14ac:dyDescent="0.3">
      <c r="A111" s="1" t="s">
        <v>2263</v>
      </c>
      <c r="B111" s="1" t="s">
        <v>2492</v>
      </c>
      <c r="C111" t="s">
        <v>4848</v>
      </c>
      <c r="D111" t="s">
        <v>7162</v>
      </c>
      <c r="E111" t="s">
        <v>8856</v>
      </c>
    </row>
    <row r="112" spans="1:5" ht="15.6" x14ac:dyDescent="0.3">
      <c r="A112" s="1" t="s">
        <v>2262</v>
      </c>
      <c r="B112" s="1" t="s">
        <v>2493</v>
      </c>
      <c r="C112" t="s">
        <v>4849</v>
      </c>
      <c r="D112" t="s">
        <v>7176</v>
      </c>
      <c r="E112" t="s">
        <v>8857</v>
      </c>
    </row>
    <row r="113" spans="1:5" ht="15.6" x14ac:dyDescent="0.3">
      <c r="A113" s="1" t="s">
        <v>2261</v>
      </c>
      <c r="B113" s="1" t="s">
        <v>2494</v>
      </c>
      <c r="C113" t="s">
        <v>4850</v>
      </c>
      <c r="D113" t="s">
        <v>7177</v>
      </c>
      <c r="E113" t="s">
        <v>8858</v>
      </c>
    </row>
    <row r="114" spans="1:5" ht="15.6" x14ac:dyDescent="0.3">
      <c r="A114" s="1" t="s">
        <v>2260</v>
      </c>
      <c r="B114" s="1" t="s">
        <v>2495</v>
      </c>
      <c r="C114" t="s">
        <v>4851</v>
      </c>
      <c r="D114" t="s">
        <v>7178</v>
      </c>
      <c r="E114" t="s">
        <v>8859</v>
      </c>
    </row>
    <row r="115" spans="1:5" ht="15.6" x14ac:dyDescent="0.3">
      <c r="A115" s="1" t="s">
        <v>2259</v>
      </c>
      <c r="B115" s="1" t="s">
        <v>2496</v>
      </c>
      <c r="C115" t="s">
        <v>4852</v>
      </c>
      <c r="D115" t="s">
        <v>7179</v>
      </c>
      <c r="E115" t="s">
        <v>8860</v>
      </c>
    </row>
    <row r="116" spans="1:5" ht="15.6" x14ac:dyDescent="0.3">
      <c r="A116" s="1" t="s">
        <v>2258</v>
      </c>
      <c r="B116" s="1" t="s">
        <v>2497</v>
      </c>
      <c r="C116" t="s">
        <v>4853</v>
      </c>
      <c r="D116" t="s">
        <v>7180</v>
      </c>
      <c r="E116" t="s">
        <v>8861</v>
      </c>
    </row>
    <row r="117" spans="1:5" ht="15.6" x14ac:dyDescent="0.3">
      <c r="A117" s="1" t="s">
        <v>2257</v>
      </c>
      <c r="B117" s="1" t="s">
        <v>2498</v>
      </c>
      <c r="C117" t="s">
        <v>4854</v>
      </c>
      <c r="D117" t="s">
        <v>7181</v>
      </c>
      <c r="E117" t="s">
        <v>8862</v>
      </c>
    </row>
    <row r="118" spans="1:5" ht="15.6" x14ac:dyDescent="0.3">
      <c r="A118" s="1" t="s">
        <v>2256</v>
      </c>
      <c r="B118" s="1" t="s">
        <v>2499</v>
      </c>
      <c r="C118" t="s">
        <v>4855</v>
      </c>
      <c r="D118" t="s">
        <v>7182</v>
      </c>
      <c r="E118" t="s">
        <v>8863</v>
      </c>
    </row>
    <row r="119" spans="1:5" ht="15.6" x14ac:dyDescent="0.3">
      <c r="A119" s="1" t="s">
        <v>2255</v>
      </c>
      <c r="B119" s="1" t="s">
        <v>2500</v>
      </c>
      <c r="C119" t="s">
        <v>4856</v>
      </c>
      <c r="D119" t="s">
        <v>7094</v>
      </c>
      <c r="E119" t="s">
        <v>8864</v>
      </c>
    </row>
    <row r="120" spans="1:5" ht="15.6" x14ac:dyDescent="0.3">
      <c r="A120" s="1" t="s">
        <v>2254</v>
      </c>
      <c r="B120" s="1" t="s">
        <v>2501</v>
      </c>
      <c r="C120" t="s">
        <v>4857</v>
      </c>
      <c r="D120" t="s">
        <v>7183</v>
      </c>
      <c r="E120" t="s">
        <v>8865</v>
      </c>
    </row>
    <row r="121" spans="1:5" ht="15.6" x14ac:dyDescent="0.3">
      <c r="A121" s="1" t="s">
        <v>2253</v>
      </c>
      <c r="B121" s="1" t="s">
        <v>2502</v>
      </c>
      <c r="C121" t="s">
        <v>4858</v>
      </c>
      <c r="D121" t="s">
        <v>7184</v>
      </c>
      <c r="E121" t="s">
        <v>8866</v>
      </c>
    </row>
    <row r="122" spans="1:5" ht="15.6" x14ac:dyDescent="0.3">
      <c r="A122" s="1" t="s">
        <v>2252</v>
      </c>
      <c r="B122" s="1" t="s">
        <v>2503</v>
      </c>
      <c r="C122" t="s">
        <v>4859</v>
      </c>
      <c r="D122" t="s">
        <v>7185</v>
      </c>
      <c r="E122" t="s">
        <v>8867</v>
      </c>
    </row>
    <row r="123" spans="1:5" ht="15.6" x14ac:dyDescent="0.3">
      <c r="A123" s="1" t="s">
        <v>2251</v>
      </c>
      <c r="B123" s="1" t="s">
        <v>2504</v>
      </c>
      <c r="C123" t="s">
        <v>4860</v>
      </c>
      <c r="D123" t="s">
        <v>7186</v>
      </c>
      <c r="E123" t="s">
        <v>8868</v>
      </c>
    </row>
    <row r="124" spans="1:5" ht="15.6" x14ac:dyDescent="0.3">
      <c r="A124" s="1" t="s">
        <v>2250</v>
      </c>
      <c r="B124" s="1" t="s">
        <v>2505</v>
      </c>
      <c r="C124" t="s">
        <v>4861</v>
      </c>
      <c r="D124" t="s">
        <v>7187</v>
      </c>
      <c r="E124" t="s">
        <v>8869</v>
      </c>
    </row>
    <row r="125" spans="1:5" ht="15.6" x14ac:dyDescent="0.3">
      <c r="A125" s="1" t="s">
        <v>2249</v>
      </c>
      <c r="B125" s="1" t="s">
        <v>2506</v>
      </c>
      <c r="C125" t="s">
        <v>4862</v>
      </c>
      <c r="D125" t="s">
        <v>7188</v>
      </c>
      <c r="E125" t="s">
        <v>8870</v>
      </c>
    </row>
    <row r="126" spans="1:5" ht="15.6" x14ac:dyDescent="0.3">
      <c r="A126" s="1" t="s">
        <v>2248</v>
      </c>
      <c r="B126" s="1" t="s">
        <v>2507</v>
      </c>
      <c r="C126" t="s">
        <v>4863</v>
      </c>
      <c r="D126" t="s">
        <v>7189</v>
      </c>
      <c r="E126" t="s">
        <v>8871</v>
      </c>
    </row>
    <row r="127" spans="1:5" ht="15.6" x14ac:dyDescent="0.3">
      <c r="A127" s="1" t="s">
        <v>2247</v>
      </c>
      <c r="B127" s="1" t="s">
        <v>2508</v>
      </c>
      <c r="C127" t="s">
        <v>4864</v>
      </c>
      <c r="D127" t="s">
        <v>7190</v>
      </c>
      <c r="E127" t="s">
        <v>8872</v>
      </c>
    </row>
    <row r="128" spans="1:5" ht="15.6" x14ac:dyDescent="0.3">
      <c r="A128" s="1" t="s">
        <v>2246</v>
      </c>
      <c r="B128" s="1" t="s">
        <v>2509</v>
      </c>
      <c r="C128" t="s">
        <v>4865</v>
      </c>
      <c r="D128" t="s">
        <v>7191</v>
      </c>
      <c r="E128" t="s">
        <v>8873</v>
      </c>
    </row>
    <row r="129" spans="1:5" ht="15.6" x14ac:dyDescent="0.3">
      <c r="A129" s="1" t="s">
        <v>2245</v>
      </c>
      <c r="B129" s="1" t="s">
        <v>2510</v>
      </c>
      <c r="C129" t="s">
        <v>4866</v>
      </c>
      <c r="D129" t="s">
        <v>7192</v>
      </c>
      <c r="E129" t="s">
        <v>8874</v>
      </c>
    </row>
    <row r="130" spans="1:5" ht="15.6" x14ac:dyDescent="0.3">
      <c r="A130" s="1" t="s">
        <v>2244</v>
      </c>
      <c r="B130" s="1" t="s">
        <v>2511</v>
      </c>
      <c r="C130" t="s">
        <v>4867</v>
      </c>
      <c r="D130" t="s">
        <v>7193</v>
      </c>
      <c r="E130" t="s">
        <v>8875</v>
      </c>
    </row>
    <row r="131" spans="1:5" ht="15.6" x14ac:dyDescent="0.3">
      <c r="A131" s="1" t="s">
        <v>2243</v>
      </c>
      <c r="B131" s="1" t="s">
        <v>2512</v>
      </c>
      <c r="C131" t="s">
        <v>4868</v>
      </c>
      <c r="D131" t="s">
        <v>7194</v>
      </c>
      <c r="E131" t="s">
        <v>8876</v>
      </c>
    </row>
    <row r="132" spans="1:5" ht="15.6" x14ac:dyDescent="0.3">
      <c r="A132" s="1" t="s">
        <v>2242</v>
      </c>
      <c r="B132" s="1" t="s">
        <v>2513</v>
      </c>
      <c r="C132" t="s">
        <v>4869</v>
      </c>
      <c r="D132" t="s">
        <v>7195</v>
      </c>
      <c r="E132" t="s">
        <v>8877</v>
      </c>
    </row>
    <row r="133" spans="1:5" ht="15.6" x14ac:dyDescent="0.3">
      <c r="A133" s="1" t="s">
        <v>2241</v>
      </c>
      <c r="B133" s="1" t="s">
        <v>2514</v>
      </c>
      <c r="C133" t="s">
        <v>4870</v>
      </c>
      <c r="D133" t="s">
        <v>7196</v>
      </c>
      <c r="E133" t="s">
        <v>8878</v>
      </c>
    </row>
    <row r="134" spans="1:5" ht="15.6" x14ac:dyDescent="0.3">
      <c r="A134" s="1" t="s">
        <v>2240</v>
      </c>
      <c r="B134" s="1" t="s">
        <v>2515</v>
      </c>
      <c r="C134" t="s">
        <v>4871</v>
      </c>
      <c r="D134" t="s">
        <v>7197</v>
      </c>
      <c r="E134" t="s">
        <v>8879</v>
      </c>
    </row>
    <row r="135" spans="1:5" ht="15.6" x14ac:dyDescent="0.3">
      <c r="A135" s="1" t="s">
        <v>2239</v>
      </c>
      <c r="B135" s="1" t="s">
        <v>2516</v>
      </c>
      <c r="C135" t="s">
        <v>4872</v>
      </c>
      <c r="D135" t="s">
        <v>7198</v>
      </c>
      <c r="E135" t="s">
        <v>8880</v>
      </c>
    </row>
    <row r="136" spans="1:5" ht="15.6" x14ac:dyDescent="0.3">
      <c r="A136" s="1" t="s">
        <v>2238</v>
      </c>
      <c r="B136" s="1" t="s">
        <v>2517</v>
      </c>
      <c r="C136" t="s">
        <v>4873</v>
      </c>
      <c r="D136" t="s">
        <v>7199</v>
      </c>
      <c r="E136" t="s">
        <v>8881</v>
      </c>
    </row>
    <row r="137" spans="1:5" ht="15.6" x14ac:dyDescent="0.3">
      <c r="A137" s="1" t="s">
        <v>2237</v>
      </c>
      <c r="B137" s="1" t="s">
        <v>2518</v>
      </c>
      <c r="C137" t="s">
        <v>4874</v>
      </c>
      <c r="D137" t="s">
        <v>7200</v>
      </c>
      <c r="E137" t="s">
        <v>8882</v>
      </c>
    </row>
    <row r="138" spans="1:5" ht="15.6" x14ac:dyDescent="0.3">
      <c r="A138" s="1" t="s">
        <v>2236</v>
      </c>
      <c r="B138" s="1" t="s">
        <v>2519</v>
      </c>
      <c r="C138" t="s">
        <v>4875</v>
      </c>
      <c r="D138" t="s">
        <v>7201</v>
      </c>
      <c r="E138" t="s">
        <v>8883</v>
      </c>
    </row>
    <row r="139" spans="1:5" ht="15.6" x14ac:dyDescent="0.3">
      <c r="A139" s="1" t="s">
        <v>2235</v>
      </c>
      <c r="B139" s="1" t="s">
        <v>2520</v>
      </c>
      <c r="C139" t="s">
        <v>4876</v>
      </c>
      <c r="D139" t="s">
        <v>7202</v>
      </c>
      <c r="E139" t="s">
        <v>8884</v>
      </c>
    </row>
    <row r="140" spans="1:5" ht="15.6" x14ac:dyDescent="0.3">
      <c r="A140" s="1" t="s">
        <v>2234</v>
      </c>
      <c r="B140" s="1" t="s">
        <v>2521</v>
      </c>
      <c r="C140" t="s">
        <v>4877</v>
      </c>
      <c r="D140" t="s">
        <v>7203</v>
      </c>
      <c r="E140" t="s">
        <v>8885</v>
      </c>
    </row>
    <row r="141" spans="1:5" ht="15.6" x14ac:dyDescent="0.3">
      <c r="A141" s="1" t="s">
        <v>2233</v>
      </c>
      <c r="B141" s="1" t="s">
        <v>2522</v>
      </c>
      <c r="C141" t="s">
        <v>4878</v>
      </c>
      <c r="D141" t="s">
        <v>7204</v>
      </c>
      <c r="E141" t="s">
        <v>8886</v>
      </c>
    </row>
    <row r="142" spans="1:5" ht="15.6" x14ac:dyDescent="0.3">
      <c r="A142" s="1" t="s">
        <v>2232</v>
      </c>
      <c r="B142" s="1" t="s">
        <v>2523</v>
      </c>
      <c r="C142" t="s">
        <v>4879</v>
      </c>
      <c r="D142" t="s">
        <v>7205</v>
      </c>
      <c r="E142" t="s">
        <v>8887</v>
      </c>
    </row>
    <row r="143" spans="1:5" ht="15.6" x14ac:dyDescent="0.3">
      <c r="A143" s="1" t="s">
        <v>2231</v>
      </c>
      <c r="B143" s="1" t="s">
        <v>2524</v>
      </c>
      <c r="C143" t="s">
        <v>4880</v>
      </c>
      <c r="D143" t="s">
        <v>7206</v>
      </c>
      <c r="E143" t="s">
        <v>8888</v>
      </c>
    </row>
    <row r="144" spans="1:5" ht="15.6" x14ac:dyDescent="0.3">
      <c r="A144" s="1" t="s">
        <v>2230</v>
      </c>
      <c r="B144" s="1" t="s">
        <v>2525</v>
      </c>
      <c r="C144" t="s">
        <v>4881</v>
      </c>
      <c r="D144" t="s">
        <v>7207</v>
      </c>
      <c r="E144" t="s">
        <v>8889</v>
      </c>
    </row>
    <row r="145" spans="1:5" ht="15.6" x14ac:dyDescent="0.3">
      <c r="A145" s="1" t="s">
        <v>2229</v>
      </c>
      <c r="B145" s="1" t="s">
        <v>2526</v>
      </c>
      <c r="C145" t="s">
        <v>4882</v>
      </c>
      <c r="D145" t="s">
        <v>7208</v>
      </c>
      <c r="E145" t="s">
        <v>8890</v>
      </c>
    </row>
    <row r="146" spans="1:5" ht="15.6" x14ac:dyDescent="0.3">
      <c r="A146" s="1" t="s">
        <v>2228</v>
      </c>
      <c r="B146" s="1" t="s">
        <v>2527</v>
      </c>
      <c r="C146" t="s">
        <v>4883</v>
      </c>
      <c r="D146" t="s">
        <v>7209</v>
      </c>
      <c r="E146" t="s">
        <v>8891</v>
      </c>
    </row>
    <row r="147" spans="1:5" ht="15.6" x14ac:dyDescent="0.3">
      <c r="A147" s="1" t="s">
        <v>2227</v>
      </c>
      <c r="B147" s="1" t="s">
        <v>2528</v>
      </c>
      <c r="C147" t="s">
        <v>4884</v>
      </c>
      <c r="D147" t="s">
        <v>7210</v>
      </c>
      <c r="E147" t="s">
        <v>8892</v>
      </c>
    </row>
    <row r="148" spans="1:5" ht="15.6" x14ac:dyDescent="0.3">
      <c r="A148" s="1" t="s">
        <v>2226</v>
      </c>
      <c r="B148" s="1" t="s">
        <v>2529</v>
      </c>
      <c r="C148" t="s">
        <v>4885</v>
      </c>
      <c r="D148" t="s">
        <v>7211</v>
      </c>
      <c r="E148" t="s">
        <v>8827</v>
      </c>
    </row>
    <row r="149" spans="1:5" ht="15.6" x14ac:dyDescent="0.3">
      <c r="A149" s="1" t="s">
        <v>2225</v>
      </c>
      <c r="B149" s="1" t="s">
        <v>2530</v>
      </c>
      <c r="C149" t="s">
        <v>4886</v>
      </c>
      <c r="D149" t="s">
        <v>7212</v>
      </c>
      <c r="E149" t="s">
        <v>8893</v>
      </c>
    </row>
    <row r="150" spans="1:5" ht="15.6" x14ac:dyDescent="0.3">
      <c r="A150" s="1" t="s">
        <v>2224</v>
      </c>
      <c r="B150" s="1" t="s">
        <v>2531</v>
      </c>
      <c r="C150" t="s">
        <v>4887</v>
      </c>
      <c r="D150" t="s">
        <v>7213</v>
      </c>
      <c r="E150" t="s">
        <v>8894</v>
      </c>
    </row>
    <row r="151" spans="1:5" ht="15.6" x14ac:dyDescent="0.3">
      <c r="A151" s="1" t="s">
        <v>2223</v>
      </c>
      <c r="B151" s="1" t="s">
        <v>2532</v>
      </c>
      <c r="C151" t="s">
        <v>4888</v>
      </c>
      <c r="D151" t="s">
        <v>7214</v>
      </c>
      <c r="E151" t="s">
        <v>8895</v>
      </c>
    </row>
    <row r="152" spans="1:5" ht="15.6" x14ac:dyDescent="0.3">
      <c r="A152" s="1" t="s">
        <v>2222</v>
      </c>
      <c r="B152" s="1" t="s">
        <v>2533</v>
      </c>
      <c r="C152" t="s">
        <v>4889</v>
      </c>
      <c r="D152" t="s">
        <v>7215</v>
      </c>
      <c r="E152" t="s">
        <v>8896</v>
      </c>
    </row>
    <row r="153" spans="1:5" ht="15.6" x14ac:dyDescent="0.3">
      <c r="A153" s="1" t="s">
        <v>2221</v>
      </c>
      <c r="B153" s="1" t="s">
        <v>2534</v>
      </c>
      <c r="C153" t="s">
        <v>4890</v>
      </c>
      <c r="D153" t="s">
        <v>7211</v>
      </c>
      <c r="E153" t="s">
        <v>8897</v>
      </c>
    </row>
    <row r="154" spans="1:5" ht="15.6" x14ac:dyDescent="0.3">
      <c r="A154" s="1" t="s">
        <v>2220</v>
      </c>
      <c r="B154" s="1" t="s">
        <v>2535</v>
      </c>
      <c r="C154" t="s">
        <v>4891</v>
      </c>
      <c r="D154" t="s">
        <v>7216</v>
      </c>
      <c r="E154" t="s">
        <v>8898</v>
      </c>
    </row>
    <row r="155" spans="1:5" ht="15.6" x14ac:dyDescent="0.3">
      <c r="A155" s="1" t="s">
        <v>2219</v>
      </c>
      <c r="B155" s="1" t="s">
        <v>2536</v>
      </c>
      <c r="C155" t="s">
        <v>4892</v>
      </c>
      <c r="D155" t="s">
        <v>7217</v>
      </c>
      <c r="E155" t="s">
        <v>8899</v>
      </c>
    </row>
    <row r="156" spans="1:5" ht="15.6" x14ac:dyDescent="0.3">
      <c r="A156" s="1" t="s">
        <v>2218</v>
      </c>
      <c r="B156" s="1" t="s">
        <v>2537</v>
      </c>
      <c r="C156" t="s">
        <v>4893</v>
      </c>
      <c r="D156" t="s">
        <v>7218</v>
      </c>
      <c r="E156" t="s">
        <v>8900</v>
      </c>
    </row>
    <row r="157" spans="1:5" ht="15.6" x14ac:dyDescent="0.3">
      <c r="A157" s="1" t="s">
        <v>2217</v>
      </c>
      <c r="B157" s="1" t="s">
        <v>2538</v>
      </c>
      <c r="C157" t="s">
        <v>4894</v>
      </c>
      <c r="D157" t="s">
        <v>7219</v>
      </c>
      <c r="E157" t="s">
        <v>8901</v>
      </c>
    </row>
    <row r="158" spans="1:5" ht="15.6" x14ac:dyDescent="0.3">
      <c r="A158" s="1" t="s">
        <v>2216</v>
      </c>
      <c r="B158" s="1" t="s">
        <v>2539</v>
      </c>
      <c r="C158" t="s">
        <v>4895</v>
      </c>
      <c r="D158" t="s">
        <v>7137</v>
      </c>
      <c r="E158" t="s">
        <v>8902</v>
      </c>
    </row>
    <row r="159" spans="1:5" ht="15.6" x14ac:dyDescent="0.3">
      <c r="A159" s="1" t="s">
        <v>2215</v>
      </c>
      <c r="B159" s="1" t="s">
        <v>2540</v>
      </c>
      <c r="C159" t="s">
        <v>4896</v>
      </c>
      <c r="D159" t="s">
        <v>7220</v>
      </c>
      <c r="E159" t="s">
        <v>8903</v>
      </c>
    </row>
    <row r="160" spans="1:5" ht="15.6" x14ac:dyDescent="0.3">
      <c r="A160" s="1" t="s">
        <v>2214</v>
      </c>
      <c r="B160" s="1" t="s">
        <v>2541</v>
      </c>
      <c r="C160" t="s">
        <v>4897</v>
      </c>
      <c r="D160" t="s">
        <v>7221</v>
      </c>
      <c r="E160" t="s">
        <v>8904</v>
      </c>
    </row>
    <row r="161" spans="1:5" ht="15.6" x14ac:dyDescent="0.3">
      <c r="A161" s="1" t="s">
        <v>2213</v>
      </c>
      <c r="B161" s="1" t="s">
        <v>2542</v>
      </c>
      <c r="C161" t="s">
        <v>4898</v>
      </c>
      <c r="D161" t="s">
        <v>7222</v>
      </c>
      <c r="E161" t="s">
        <v>8905</v>
      </c>
    </row>
    <row r="162" spans="1:5" ht="15.6" x14ac:dyDescent="0.3">
      <c r="A162" s="1" t="s">
        <v>2212</v>
      </c>
      <c r="B162" s="1" t="s">
        <v>2543</v>
      </c>
      <c r="C162" t="s">
        <v>4899</v>
      </c>
      <c r="D162" t="s">
        <v>7223</v>
      </c>
      <c r="E162" t="s">
        <v>8906</v>
      </c>
    </row>
    <row r="163" spans="1:5" ht="15.6" x14ac:dyDescent="0.3">
      <c r="A163" s="1" t="s">
        <v>2211</v>
      </c>
      <c r="B163" s="1" t="s">
        <v>2544</v>
      </c>
      <c r="C163" t="s">
        <v>4900</v>
      </c>
      <c r="D163" t="s">
        <v>7224</v>
      </c>
      <c r="E163" t="s">
        <v>8907</v>
      </c>
    </row>
    <row r="164" spans="1:5" ht="15.6" x14ac:dyDescent="0.3">
      <c r="A164" s="1" t="s">
        <v>2210</v>
      </c>
      <c r="B164" s="1" t="s">
        <v>2545</v>
      </c>
      <c r="C164" t="s">
        <v>4901</v>
      </c>
      <c r="D164" t="s">
        <v>7225</v>
      </c>
      <c r="E164" t="s">
        <v>8908</v>
      </c>
    </row>
    <row r="165" spans="1:5" ht="15.6" x14ac:dyDescent="0.3">
      <c r="A165" s="1" t="s">
        <v>2209</v>
      </c>
      <c r="B165" s="1" t="s">
        <v>2546</v>
      </c>
      <c r="C165" t="s">
        <v>4902</v>
      </c>
      <c r="D165" t="s">
        <v>7226</v>
      </c>
      <c r="E165" t="s">
        <v>8909</v>
      </c>
    </row>
    <row r="166" spans="1:5" ht="15.6" x14ac:dyDescent="0.3">
      <c r="A166" s="1" t="s">
        <v>2208</v>
      </c>
      <c r="B166" s="1" t="s">
        <v>2547</v>
      </c>
      <c r="C166" t="s">
        <v>4903</v>
      </c>
      <c r="D166" t="s">
        <v>7227</v>
      </c>
      <c r="E166" t="s">
        <v>8910</v>
      </c>
    </row>
    <row r="167" spans="1:5" ht="15.6" x14ac:dyDescent="0.3">
      <c r="A167" s="1" t="s">
        <v>2207</v>
      </c>
      <c r="B167" s="1" t="s">
        <v>2548</v>
      </c>
      <c r="C167" t="s">
        <v>4904</v>
      </c>
      <c r="D167" t="s">
        <v>7228</v>
      </c>
      <c r="E167" t="s">
        <v>8911</v>
      </c>
    </row>
    <row r="168" spans="1:5" ht="15.6" x14ac:dyDescent="0.3">
      <c r="A168" s="1" t="s">
        <v>2206</v>
      </c>
      <c r="B168" s="1" t="s">
        <v>2549</v>
      </c>
      <c r="C168" t="s">
        <v>4905</v>
      </c>
      <c r="D168" t="s">
        <v>7229</v>
      </c>
      <c r="E168" t="s">
        <v>8912</v>
      </c>
    </row>
    <row r="169" spans="1:5" ht="15.6" x14ac:dyDescent="0.3">
      <c r="A169" s="1" t="s">
        <v>2205</v>
      </c>
      <c r="B169" s="1" t="s">
        <v>2550</v>
      </c>
      <c r="C169" t="s">
        <v>4906</v>
      </c>
      <c r="D169" t="s">
        <v>7230</v>
      </c>
      <c r="E169" t="s">
        <v>8913</v>
      </c>
    </row>
    <row r="170" spans="1:5" ht="15.6" x14ac:dyDescent="0.3">
      <c r="A170" s="1" t="s">
        <v>2204</v>
      </c>
      <c r="B170" s="1" t="s">
        <v>2551</v>
      </c>
      <c r="C170" t="s">
        <v>4907</v>
      </c>
      <c r="D170" t="s">
        <v>7231</v>
      </c>
      <c r="E170" t="s">
        <v>8914</v>
      </c>
    </row>
    <row r="171" spans="1:5" ht="15.6" x14ac:dyDescent="0.3">
      <c r="A171" s="1" t="s">
        <v>2203</v>
      </c>
      <c r="B171" s="1" t="s">
        <v>2552</v>
      </c>
      <c r="C171" t="s">
        <v>4908</v>
      </c>
      <c r="D171" t="s">
        <v>7232</v>
      </c>
      <c r="E171" t="s">
        <v>8915</v>
      </c>
    </row>
    <row r="172" spans="1:5" ht="15.6" x14ac:dyDescent="0.3">
      <c r="A172" s="1" t="s">
        <v>2202</v>
      </c>
      <c r="B172" s="1" t="s">
        <v>2553</v>
      </c>
      <c r="C172" t="s">
        <v>4909</v>
      </c>
      <c r="D172" t="s">
        <v>7103</v>
      </c>
      <c r="E172" t="s">
        <v>8916</v>
      </c>
    </row>
    <row r="173" spans="1:5" ht="15.6" x14ac:dyDescent="0.3">
      <c r="A173" s="1" t="s">
        <v>2201</v>
      </c>
      <c r="B173" s="1" t="s">
        <v>2554</v>
      </c>
      <c r="C173" t="s">
        <v>4910</v>
      </c>
      <c r="D173" t="s">
        <v>7233</v>
      </c>
      <c r="E173" t="s">
        <v>8917</v>
      </c>
    </row>
    <row r="174" spans="1:5" ht="15.6" x14ac:dyDescent="0.3">
      <c r="A174" s="1" t="s">
        <v>2200</v>
      </c>
      <c r="B174" s="1" t="s">
        <v>2555</v>
      </c>
      <c r="C174" t="s">
        <v>4911</v>
      </c>
      <c r="D174" t="s">
        <v>7234</v>
      </c>
      <c r="E174" t="s">
        <v>8918</v>
      </c>
    </row>
    <row r="175" spans="1:5" ht="15.6" x14ac:dyDescent="0.3">
      <c r="A175" s="1" t="s">
        <v>2199</v>
      </c>
      <c r="B175" s="1" t="s">
        <v>2556</v>
      </c>
      <c r="C175" t="s">
        <v>4912</v>
      </c>
      <c r="D175" t="s">
        <v>7175</v>
      </c>
      <c r="E175" t="s">
        <v>8919</v>
      </c>
    </row>
    <row r="176" spans="1:5" ht="15.6" x14ac:dyDescent="0.3">
      <c r="A176" s="1" t="s">
        <v>2198</v>
      </c>
      <c r="B176" s="1" t="s">
        <v>2557</v>
      </c>
      <c r="C176" t="s">
        <v>4913</v>
      </c>
      <c r="D176" t="s">
        <v>7235</v>
      </c>
      <c r="E176" t="s">
        <v>8920</v>
      </c>
    </row>
    <row r="177" spans="1:5" ht="15.6" x14ac:dyDescent="0.3">
      <c r="A177" s="1" t="s">
        <v>2197</v>
      </c>
      <c r="B177" s="1" t="s">
        <v>2558</v>
      </c>
      <c r="C177" t="s">
        <v>4914</v>
      </c>
      <c r="D177" t="s">
        <v>7094</v>
      </c>
      <c r="E177" t="s">
        <v>8921</v>
      </c>
    </row>
    <row r="178" spans="1:5" ht="15.6" x14ac:dyDescent="0.3">
      <c r="A178" s="1" t="s">
        <v>2196</v>
      </c>
      <c r="B178" s="1" t="s">
        <v>2559</v>
      </c>
      <c r="C178" t="s">
        <v>4915</v>
      </c>
      <c r="D178" t="s">
        <v>7236</v>
      </c>
      <c r="E178" t="s">
        <v>8922</v>
      </c>
    </row>
    <row r="179" spans="1:5" ht="15.6" x14ac:dyDescent="0.3">
      <c r="A179" s="1" t="s">
        <v>2195</v>
      </c>
      <c r="B179" s="1" t="s">
        <v>2560</v>
      </c>
      <c r="C179" t="s">
        <v>4916</v>
      </c>
      <c r="D179" t="s">
        <v>7237</v>
      </c>
      <c r="E179" t="s">
        <v>8923</v>
      </c>
    </row>
    <row r="180" spans="1:5" ht="15.6" x14ac:dyDescent="0.3">
      <c r="A180" s="1" t="s">
        <v>2194</v>
      </c>
      <c r="B180" s="1" t="s">
        <v>2561</v>
      </c>
      <c r="C180" t="s">
        <v>4917</v>
      </c>
      <c r="D180" t="s">
        <v>7238</v>
      </c>
      <c r="E180" t="s">
        <v>8924</v>
      </c>
    </row>
    <row r="181" spans="1:5" ht="15.6" x14ac:dyDescent="0.3">
      <c r="A181" s="1" t="s">
        <v>2193</v>
      </c>
      <c r="B181" s="1" t="s">
        <v>2562</v>
      </c>
      <c r="C181" t="s">
        <v>4918</v>
      </c>
      <c r="D181" t="s">
        <v>7239</v>
      </c>
      <c r="E181" t="s">
        <v>8925</v>
      </c>
    </row>
    <row r="182" spans="1:5" ht="15.6" x14ac:dyDescent="0.3">
      <c r="A182" s="1" t="s">
        <v>2192</v>
      </c>
      <c r="B182" s="1" t="s">
        <v>2563</v>
      </c>
      <c r="C182" t="s">
        <v>4919</v>
      </c>
      <c r="D182" t="s">
        <v>7240</v>
      </c>
      <c r="E182" t="s">
        <v>8926</v>
      </c>
    </row>
    <row r="183" spans="1:5" ht="15.6" x14ac:dyDescent="0.3">
      <c r="A183" s="1" t="s">
        <v>2191</v>
      </c>
      <c r="B183" s="1" t="s">
        <v>2564</v>
      </c>
      <c r="C183" t="s">
        <v>4920</v>
      </c>
      <c r="D183" t="s">
        <v>7241</v>
      </c>
      <c r="E183" t="s">
        <v>8927</v>
      </c>
    </row>
    <row r="184" spans="1:5" ht="15.6" x14ac:dyDescent="0.3">
      <c r="A184" s="1" t="s">
        <v>2190</v>
      </c>
      <c r="B184" s="1" t="s">
        <v>2565</v>
      </c>
      <c r="C184" t="s">
        <v>4921</v>
      </c>
      <c r="D184" t="s">
        <v>7242</v>
      </c>
      <c r="E184" t="s">
        <v>8928</v>
      </c>
    </row>
    <row r="185" spans="1:5" ht="15.6" x14ac:dyDescent="0.3">
      <c r="A185" s="1" t="s">
        <v>2189</v>
      </c>
      <c r="B185" s="1" t="s">
        <v>2566</v>
      </c>
      <c r="C185" t="s">
        <v>4922</v>
      </c>
      <c r="D185" t="s">
        <v>7243</v>
      </c>
      <c r="E185" t="s">
        <v>8929</v>
      </c>
    </row>
    <row r="186" spans="1:5" ht="15.6" x14ac:dyDescent="0.3">
      <c r="A186" s="1" t="s">
        <v>2188</v>
      </c>
      <c r="B186" s="1" t="s">
        <v>2567</v>
      </c>
      <c r="C186" t="s">
        <v>4923</v>
      </c>
      <c r="D186" t="s">
        <v>7244</v>
      </c>
      <c r="E186" t="s">
        <v>8930</v>
      </c>
    </row>
    <row r="187" spans="1:5" ht="15.6" x14ac:dyDescent="0.3">
      <c r="A187" s="1" t="s">
        <v>2187</v>
      </c>
      <c r="B187" s="1" t="s">
        <v>2568</v>
      </c>
      <c r="C187" t="s">
        <v>4924</v>
      </c>
      <c r="D187" t="s">
        <v>7245</v>
      </c>
      <c r="E187" t="s">
        <v>8931</v>
      </c>
    </row>
    <row r="188" spans="1:5" ht="15.6" x14ac:dyDescent="0.3">
      <c r="A188" s="1" t="s">
        <v>2186</v>
      </c>
      <c r="B188" s="1" t="s">
        <v>2569</v>
      </c>
      <c r="C188" t="s">
        <v>4925</v>
      </c>
      <c r="D188" t="s">
        <v>7246</v>
      </c>
      <c r="E188" t="s">
        <v>8932</v>
      </c>
    </row>
    <row r="189" spans="1:5" ht="15.6" x14ac:dyDescent="0.3">
      <c r="A189" s="1" t="s">
        <v>2185</v>
      </c>
      <c r="B189" s="1" t="s">
        <v>2570</v>
      </c>
      <c r="C189" t="s">
        <v>4723</v>
      </c>
      <c r="D189" t="s">
        <v>7058</v>
      </c>
      <c r="E189" t="s">
        <v>8933</v>
      </c>
    </row>
    <row r="190" spans="1:5" ht="15.6" x14ac:dyDescent="0.3">
      <c r="A190" s="1" t="s">
        <v>2184</v>
      </c>
      <c r="B190" s="1" t="s">
        <v>2571</v>
      </c>
      <c r="C190" t="s">
        <v>4926</v>
      </c>
      <c r="D190" t="s">
        <v>7247</v>
      </c>
      <c r="E190" t="s">
        <v>8934</v>
      </c>
    </row>
    <row r="191" spans="1:5" ht="15.6" x14ac:dyDescent="0.3">
      <c r="A191" s="1" t="s">
        <v>2183</v>
      </c>
      <c r="B191" s="1" t="s">
        <v>2572</v>
      </c>
      <c r="C191" t="s">
        <v>4927</v>
      </c>
      <c r="D191" t="s">
        <v>7248</v>
      </c>
      <c r="E191" t="s">
        <v>8935</v>
      </c>
    </row>
    <row r="192" spans="1:5" ht="15.6" x14ac:dyDescent="0.3">
      <c r="A192" s="1" t="s">
        <v>2182</v>
      </c>
      <c r="B192" s="1" t="s">
        <v>2573</v>
      </c>
      <c r="C192" t="s">
        <v>4928</v>
      </c>
      <c r="D192" t="s">
        <v>7249</v>
      </c>
      <c r="E192" t="s">
        <v>8936</v>
      </c>
    </row>
    <row r="193" spans="1:5" ht="15.6" x14ac:dyDescent="0.3">
      <c r="A193" s="1" t="s">
        <v>2181</v>
      </c>
      <c r="B193" s="1" t="s">
        <v>2574</v>
      </c>
      <c r="C193" t="s">
        <v>4929</v>
      </c>
      <c r="D193" t="s">
        <v>7250</v>
      </c>
      <c r="E193" t="s">
        <v>8937</v>
      </c>
    </row>
    <row r="194" spans="1:5" ht="15.6" x14ac:dyDescent="0.3">
      <c r="A194" s="1" t="s">
        <v>2180</v>
      </c>
      <c r="B194" s="1" t="s">
        <v>2575</v>
      </c>
      <c r="C194" t="s">
        <v>4930</v>
      </c>
      <c r="D194" t="s">
        <v>7251</v>
      </c>
      <c r="E194" t="s">
        <v>8938</v>
      </c>
    </row>
    <row r="195" spans="1:5" ht="15.6" x14ac:dyDescent="0.3">
      <c r="A195" s="1" t="s">
        <v>2179</v>
      </c>
      <c r="B195" s="1" t="s">
        <v>2576</v>
      </c>
      <c r="C195" t="s">
        <v>4931</v>
      </c>
      <c r="D195" t="s">
        <v>7252</v>
      </c>
      <c r="E195" t="s">
        <v>8939</v>
      </c>
    </row>
    <row r="196" spans="1:5" ht="15.6" x14ac:dyDescent="0.3">
      <c r="A196" s="1" t="s">
        <v>2178</v>
      </c>
      <c r="B196" s="1" t="s">
        <v>2577</v>
      </c>
      <c r="C196" t="s">
        <v>4932</v>
      </c>
      <c r="D196" t="s">
        <v>7253</v>
      </c>
      <c r="E196" t="s">
        <v>8940</v>
      </c>
    </row>
    <row r="197" spans="1:5" ht="15.6" x14ac:dyDescent="0.3">
      <c r="A197" s="1" t="s">
        <v>2177</v>
      </c>
      <c r="B197" s="1" t="s">
        <v>2578</v>
      </c>
      <c r="C197" t="s">
        <v>4933</v>
      </c>
      <c r="D197" t="s">
        <v>7254</v>
      </c>
      <c r="E197" t="s">
        <v>8941</v>
      </c>
    </row>
    <row r="198" spans="1:5" ht="15.6" x14ac:dyDescent="0.3">
      <c r="A198" s="1" t="s">
        <v>2176</v>
      </c>
      <c r="B198" s="1" t="s">
        <v>2579</v>
      </c>
      <c r="C198" t="s">
        <v>4934</v>
      </c>
      <c r="D198" t="s">
        <v>7255</v>
      </c>
      <c r="E198" t="s">
        <v>8942</v>
      </c>
    </row>
    <row r="199" spans="1:5" ht="15.6" x14ac:dyDescent="0.3">
      <c r="A199" s="1" t="s">
        <v>2175</v>
      </c>
      <c r="B199" s="1" t="s">
        <v>2580</v>
      </c>
      <c r="C199" t="s">
        <v>4935</v>
      </c>
      <c r="D199" t="s">
        <v>7206</v>
      </c>
      <c r="E199" t="s">
        <v>8943</v>
      </c>
    </row>
    <row r="200" spans="1:5" ht="15.6" x14ac:dyDescent="0.3">
      <c r="A200" s="1" t="s">
        <v>2174</v>
      </c>
      <c r="B200" s="1" t="s">
        <v>2581</v>
      </c>
      <c r="C200" t="s">
        <v>4936</v>
      </c>
      <c r="D200" t="s">
        <v>7256</v>
      </c>
      <c r="E200" t="s">
        <v>8944</v>
      </c>
    </row>
    <row r="201" spans="1:5" ht="15.6" x14ac:dyDescent="0.3">
      <c r="A201" s="1" t="s">
        <v>2173</v>
      </c>
      <c r="B201" s="1" t="s">
        <v>2582</v>
      </c>
      <c r="C201" t="s">
        <v>4937</v>
      </c>
      <c r="D201" t="s">
        <v>7203</v>
      </c>
      <c r="E201" t="s">
        <v>8945</v>
      </c>
    </row>
    <row r="202" spans="1:5" ht="15.6" x14ac:dyDescent="0.3">
      <c r="A202" s="1" t="s">
        <v>2172</v>
      </c>
      <c r="B202" s="1" t="s">
        <v>2583</v>
      </c>
      <c r="C202" t="s">
        <v>4938</v>
      </c>
      <c r="D202" t="s">
        <v>7257</v>
      </c>
      <c r="E202" t="s">
        <v>8946</v>
      </c>
    </row>
    <row r="203" spans="1:5" ht="15.6" x14ac:dyDescent="0.3">
      <c r="A203" s="1" t="s">
        <v>2171</v>
      </c>
      <c r="B203" s="1" t="s">
        <v>2584</v>
      </c>
      <c r="C203" t="s">
        <v>4939</v>
      </c>
      <c r="D203" t="s">
        <v>7258</v>
      </c>
      <c r="E203" t="s">
        <v>8947</v>
      </c>
    </row>
    <row r="204" spans="1:5" ht="15.6" x14ac:dyDescent="0.3">
      <c r="A204" s="1" t="s">
        <v>2170</v>
      </c>
      <c r="B204" s="1" t="s">
        <v>2585</v>
      </c>
      <c r="C204" t="s">
        <v>4940</v>
      </c>
      <c r="D204" t="s">
        <v>7259</v>
      </c>
      <c r="E204" t="s">
        <v>8948</v>
      </c>
    </row>
    <row r="205" spans="1:5" ht="15.6" x14ac:dyDescent="0.3">
      <c r="A205" s="1" t="s">
        <v>2169</v>
      </c>
      <c r="B205" s="1" t="s">
        <v>2586</v>
      </c>
      <c r="C205" t="s">
        <v>4941</v>
      </c>
      <c r="D205" t="s">
        <v>7157</v>
      </c>
      <c r="E205" t="s">
        <v>8949</v>
      </c>
    </row>
    <row r="206" spans="1:5" ht="15.6" x14ac:dyDescent="0.3">
      <c r="A206" s="1" t="s">
        <v>2168</v>
      </c>
      <c r="B206" s="1" t="s">
        <v>2587</v>
      </c>
      <c r="C206" t="s">
        <v>4942</v>
      </c>
      <c r="D206" t="s">
        <v>7260</v>
      </c>
      <c r="E206" t="s">
        <v>8950</v>
      </c>
    </row>
    <row r="207" spans="1:5" ht="15.6" x14ac:dyDescent="0.3">
      <c r="A207" s="1" t="s">
        <v>2167</v>
      </c>
      <c r="B207" s="1" t="s">
        <v>2588</v>
      </c>
      <c r="C207" t="s">
        <v>4943</v>
      </c>
      <c r="D207" t="s">
        <v>7261</v>
      </c>
      <c r="E207" t="s">
        <v>8951</v>
      </c>
    </row>
    <row r="208" spans="1:5" ht="15.6" x14ac:dyDescent="0.3">
      <c r="A208" s="1" t="s">
        <v>2166</v>
      </c>
      <c r="B208" s="1" t="s">
        <v>2589</v>
      </c>
      <c r="C208" t="s">
        <v>4944</v>
      </c>
      <c r="D208" t="s">
        <v>7262</v>
      </c>
      <c r="E208" t="s">
        <v>8952</v>
      </c>
    </row>
    <row r="209" spans="1:5" ht="15.6" x14ac:dyDescent="0.3">
      <c r="A209" s="1" t="s">
        <v>2165</v>
      </c>
      <c r="B209" s="1" t="s">
        <v>2590</v>
      </c>
      <c r="C209" t="s">
        <v>4945</v>
      </c>
      <c r="D209" t="s">
        <v>7263</v>
      </c>
      <c r="E209" t="s">
        <v>8953</v>
      </c>
    </row>
    <row r="210" spans="1:5" ht="15.6" x14ac:dyDescent="0.3">
      <c r="A210" s="1" t="s">
        <v>2164</v>
      </c>
      <c r="B210" s="1" t="s">
        <v>2591</v>
      </c>
      <c r="C210" t="s">
        <v>4946</v>
      </c>
      <c r="D210" t="s">
        <v>7264</v>
      </c>
      <c r="E210" t="s">
        <v>8954</v>
      </c>
    </row>
    <row r="211" spans="1:5" ht="15.6" x14ac:dyDescent="0.3">
      <c r="A211" s="1" t="s">
        <v>2163</v>
      </c>
      <c r="B211" s="1" t="s">
        <v>2592</v>
      </c>
      <c r="C211" t="s">
        <v>4947</v>
      </c>
      <c r="D211" t="s">
        <v>7265</v>
      </c>
      <c r="E211" t="s">
        <v>8955</v>
      </c>
    </row>
    <row r="212" spans="1:5" ht="15.6" x14ac:dyDescent="0.3">
      <c r="A212" s="1" t="s">
        <v>2162</v>
      </c>
      <c r="B212" s="1" t="s">
        <v>2593</v>
      </c>
      <c r="C212" t="s">
        <v>4948</v>
      </c>
      <c r="D212" t="s">
        <v>7266</v>
      </c>
      <c r="E212" t="s">
        <v>8956</v>
      </c>
    </row>
    <row r="213" spans="1:5" ht="15.6" x14ac:dyDescent="0.3">
      <c r="A213" s="1" t="s">
        <v>2161</v>
      </c>
      <c r="B213" s="1" t="s">
        <v>2594</v>
      </c>
      <c r="C213" t="s">
        <v>4949</v>
      </c>
      <c r="D213" t="s">
        <v>7267</v>
      </c>
      <c r="E213" t="s">
        <v>8957</v>
      </c>
    </row>
    <row r="214" spans="1:5" ht="15.6" x14ac:dyDescent="0.3">
      <c r="A214" s="1" t="s">
        <v>2160</v>
      </c>
      <c r="B214" s="1" t="s">
        <v>2595</v>
      </c>
      <c r="C214" t="s">
        <v>4950</v>
      </c>
      <c r="D214" t="s">
        <v>7268</v>
      </c>
      <c r="E214" t="s">
        <v>8958</v>
      </c>
    </row>
    <row r="215" spans="1:5" ht="15.6" x14ac:dyDescent="0.3">
      <c r="A215" s="1" t="s">
        <v>2159</v>
      </c>
      <c r="B215" s="1" t="s">
        <v>2596</v>
      </c>
      <c r="C215" t="s">
        <v>4951</v>
      </c>
      <c r="D215" t="s">
        <v>7076</v>
      </c>
      <c r="E215" t="s">
        <v>8959</v>
      </c>
    </row>
    <row r="216" spans="1:5" ht="15.6" x14ac:dyDescent="0.3">
      <c r="A216" s="1" t="s">
        <v>2158</v>
      </c>
      <c r="B216" s="1" t="s">
        <v>2597</v>
      </c>
      <c r="C216" t="s">
        <v>4952</v>
      </c>
      <c r="D216" t="s">
        <v>7165</v>
      </c>
      <c r="E216" t="s">
        <v>8960</v>
      </c>
    </row>
    <row r="217" spans="1:5" ht="15.6" x14ac:dyDescent="0.3">
      <c r="A217" s="1" t="s">
        <v>2157</v>
      </c>
      <c r="B217" s="1" t="s">
        <v>2598</v>
      </c>
      <c r="C217" t="s">
        <v>4953</v>
      </c>
      <c r="D217" t="s">
        <v>7269</v>
      </c>
      <c r="E217" t="s">
        <v>8961</v>
      </c>
    </row>
    <row r="218" spans="1:5" ht="15.6" x14ac:dyDescent="0.3">
      <c r="A218" s="1" t="s">
        <v>2156</v>
      </c>
      <c r="B218" s="1" t="s">
        <v>2599</v>
      </c>
      <c r="C218" t="s">
        <v>4954</v>
      </c>
      <c r="D218" t="s">
        <v>7270</v>
      </c>
      <c r="E218" t="s">
        <v>8962</v>
      </c>
    </row>
    <row r="219" spans="1:5" ht="15.6" x14ac:dyDescent="0.3">
      <c r="A219" s="1" t="s">
        <v>2155</v>
      </c>
      <c r="B219" s="1" t="s">
        <v>2600</v>
      </c>
      <c r="C219" t="s">
        <v>4955</v>
      </c>
      <c r="D219" t="s">
        <v>7153</v>
      </c>
      <c r="E219" t="s">
        <v>8963</v>
      </c>
    </row>
    <row r="220" spans="1:5" ht="15.6" x14ac:dyDescent="0.3">
      <c r="A220" s="1" t="s">
        <v>2154</v>
      </c>
      <c r="B220" s="1" t="s">
        <v>2601</v>
      </c>
      <c r="C220" t="s">
        <v>4956</v>
      </c>
      <c r="D220" t="s">
        <v>7271</v>
      </c>
      <c r="E220" t="s">
        <v>8964</v>
      </c>
    </row>
    <row r="221" spans="1:5" ht="15.6" x14ac:dyDescent="0.3">
      <c r="A221" s="1" t="s">
        <v>2153</v>
      </c>
      <c r="B221" s="1" t="s">
        <v>2602</v>
      </c>
      <c r="C221" t="s">
        <v>4957</v>
      </c>
      <c r="D221" t="s">
        <v>7272</v>
      </c>
      <c r="E221" t="s">
        <v>8827</v>
      </c>
    </row>
    <row r="222" spans="1:5" ht="15.6" x14ac:dyDescent="0.3">
      <c r="A222" s="1" t="s">
        <v>2152</v>
      </c>
      <c r="B222" s="1" t="s">
        <v>2603</v>
      </c>
      <c r="C222" t="s">
        <v>4958</v>
      </c>
      <c r="D222" t="s">
        <v>7273</v>
      </c>
      <c r="E222" t="s">
        <v>8965</v>
      </c>
    </row>
    <row r="223" spans="1:5" ht="15.6" x14ac:dyDescent="0.3">
      <c r="A223" s="1" t="s">
        <v>2151</v>
      </c>
      <c r="B223" s="1" t="s">
        <v>2604</v>
      </c>
      <c r="C223" t="s">
        <v>4959</v>
      </c>
      <c r="D223" t="s">
        <v>7274</v>
      </c>
      <c r="E223" t="s">
        <v>8966</v>
      </c>
    </row>
    <row r="224" spans="1:5" ht="15.6" x14ac:dyDescent="0.3">
      <c r="A224" s="1" t="s">
        <v>2150</v>
      </c>
      <c r="B224" s="1" t="s">
        <v>2605</v>
      </c>
      <c r="C224" t="s">
        <v>4960</v>
      </c>
      <c r="D224" t="s">
        <v>7275</v>
      </c>
      <c r="E224" t="s">
        <v>8967</v>
      </c>
    </row>
    <row r="225" spans="1:5" ht="15.6" x14ac:dyDescent="0.3">
      <c r="A225" s="1" t="s">
        <v>2149</v>
      </c>
      <c r="B225" s="1" t="s">
        <v>2606</v>
      </c>
      <c r="C225" t="s">
        <v>4961</v>
      </c>
      <c r="D225" t="s">
        <v>7276</v>
      </c>
      <c r="E225" t="s">
        <v>8968</v>
      </c>
    </row>
    <row r="226" spans="1:5" ht="15.6" x14ac:dyDescent="0.3">
      <c r="A226" s="1" t="s">
        <v>2148</v>
      </c>
      <c r="B226" s="1" t="s">
        <v>2607</v>
      </c>
      <c r="C226" t="s">
        <v>4962</v>
      </c>
      <c r="D226" t="s">
        <v>7149</v>
      </c>
      <c r="E226" t="s">
        <v>8969</v>
      </c>
    </row>
    <row r="227" spans="1:5" ht="15.6" x14ac:dyDescent="0.3">
      <c r="A227" s="1" t="s">
        <v>2147</v>
      </c>
      <c r="B227" s="1" t="s">
        <v>2608</v>
      </c>
      <c r="C227" t="s">
        <v>4963</v>
      </c>
      <c r="D227" t="s">
        <v>7277</v>
      </c>
      <c r="E227" t="s">
        <v>8811</v>
      </c>
    </row>
    <row r="228" spans="1:5" ht="15.6" x14ac:dyDescent="0.3">
      <c r="A228" s="1" t="s">
        <v>2146</v>
      </c>
      <c r="B228" s="1" t="s">
        <v>2609</v>
      </c>
      <c r="C228" t="s">
        <v>4964</v>
      </c>
      <c r="D228" t="s">
        <v>7278</v>
      </c>
      <c r="E228" t="s">
        <v>8970</v>
      </c>
    </row>
    <row r="229" spans="1:5" ht="15.6" x14ac:dyDescent="0.3">
      <c r="A229" s="1" t="s">
        <v>2145</v>
      </c>
      <c r="B229" s="1" t="s">
        <v>2610</v>
      </c>
      <c r="C229" t="s">
        <v>4965</v>
      </c>
      <c r="D229" t="s">
        <v>7279</v>
      </c>
      <c r="E229" t="s">
        <v>8971</v>
      </c>
    </row>
    <row r="230" spans="1:5" ht="15.6" x14ac:dyDescent="0.3">
      <c r="A230" s="1" t="s">
        <v>2144</v>
      </c>
      <c r="B230" s="1" t="s">
        <v>2611</v>
      </c>
      <c r="C230" t="s">
        <v>4966</v>
      </c>
      <c r="D230" t="s">
        <v>7280</v>
      </c>
      <c r="E230" t="s">
        <v>8972</v>
      </c>
    </row>
    <row r="231" spans="1:5" ht="15.6" x14ac:dyDescent="0.3">
      <c r="A231" s="1" t="s">
        <v>2143</v>
      </c>
      <c r="B231" s="1" t="s">
        <v>2612</v>
      </c>
      <c r="C231" t="s">
        <v>4967</v>
      </c>
      <c r="D231" t="s">
        <v>7281</v>
      </c>
      <c r="E231" t="s">
        <v>8973</v>
      </c>
    </row>
    <row r="232" spans="1:5" ht="15.6" x14ac:dyDescent="0.3">
      <c r="A232" s="1" t="s">
        <v>2142</v>
      </c>
      <c r="B232" s="1" t="s">
        <v>2613</v>
      </c>
      <c r="C232" t="s">
        <v>4968</v>
      </c>
      <c r="D232" t="s">
        <v>7282</v>
      </c>
      <c r="E232" t="s">
        <v>8974</v>
      </c>
    </row>
    <row r="233" spans="1:5" ht="15.6" x14ac:dyDescent="0.3">
      <c r="A233" s="1" t="s">
        <v>2141</v>
      </c>
      <c r="B233" s="1" t="s">
        <v>2614</v>
      </c>
      <c r="C233" t="s">
        <v>4969</v>
      </c>
      <c r="D233" t="s">
        <v>7283</v>
      </c>
      <c r="E233" t="s">
        <v>8975</v>
      </c>
    </row>
    <row r="234" spans="1:5" ht="15.6" x14ac:dyDescent="0.3">
      <c r="A234" s="1" t="s">
        <v>2140</v>
      </c>
      <c r="B234" s="1" t="s">
        <v>2615</v>
      </c>
      <c r="C234" t="s">
        <v>4970</v>
      </c>
      <c r="D234" t="s">
        <v>7284</v>
      </c>
      <c r="E234" t="s">
        <v>8976</v>
      </c>
    </row>
    <row r="235" spans="1:5" ht="15.6" x14ac:dyDescent="0.3">
      <c r="A235" s="1" t="s">
        <v>2139</v>
      </c>
      <c r="B235" s="1" t="s">
        <v>2616</v>
      </c>
      <c r="C235" t="s">
        <v>4971</v>
      </c>
      <c r="D235" t="s">
        <v>7285</v>
      </c>
      <c r="E235" t="s">
        <v>8977</v>
      </c>
    </row>
    <row r="236" spans="1:5" ht="15.6" x14ac:dyDescent="0.3">
      <c r="A236" s="1" t="s">
        <v>2138</v>
      </c>
      <c r="B236" s="1" t="s">
        <v>2617</v>
      </c>
      <c r="C236" t="s">
        <v>4972</v>
      </c>
      <c r="D236" t="s">
        <v>7279</v>
      </c>
      <c r="E236" t="s">
        <v>8880</v>
      </c>
    </row>
    <row r="237" spans="1:5" ht="15.6" x14ac:dyDescent="0.3">
      <c r="A237" s="1" t="s">
        <v>2137</v>
      </c>
      <c r="B237" s="1" t="s">
        <v>2618</v>
      </c>
      <c r="C237" t="s">
        <v>4973</v>
      </c>
      <c r="D237" t="s">
        <v>7286</v>
      </c>
      <c r="E237" t="s">
        <v>8978</v>
      </c>
    </row>
    <row r="238" spans="1:5" ht="15.6" x14ac:dyDescent="0.3">
      <c r="A238" s="1" t="s">
        <v>2136</v>
      </c>
      <c r="B238" s="1" t="s">
        <v>2619</v>
      </c>
      <c r="C238" t="s">
        <v>4974</v>
      </c>
      <c r="D238" t="s">
        <v>7287</v>
      </c>
      <c r="E238" t="s">
        <v>8979</v>
      </c>
    </row>
    <row r="239" spans="1:5" ht="15.6" x14ac:dyDescent="0.3">
      <c r="A239" s="1" t="s">
        <v>2135</v>
      </c>
      <c r="B239" s="1" t="s">
        <v>2620</v>
      </c>
      <c r="C239" t="s">
        <v>4975</v>
      </c>
      <c r="D239" t="s">
        <v>7288</v>
      </c>
      <c r="E239" t="s">
        <v>8980</v>
      </c>
    </row>
    <row r="240" spans="1:5" ht="15.6" x14ac:dyDescent="0.3">
      <c r="A240" s="1" t="s">
        <v>2134</v>
      </c>
      <c r="B240" s="1" t="s">
        <v>2621</v>
      </c>
      <c r="C240" t="s">
        <v>4976</v>
      </c>
      <c r="D240" t="s">
        <v>7289</v>
      </c>
      <c r="E240" t="s">
        <v>8981</v>
      </c>
    </row>
    <row r="241" spans="1:5" ht="15.6" x14ac:dyDescent="0.3">
      <c r="A241" s="1" t="s">
        <v>2133</v>
      </c>
      <c r="B241" s="1" t="s">
        <v>2622</v>
      </c>
      <c r="C241" t="s">
        <v>4977</v>
      </c>
      <c r="D241" t="s">
        <v>7290</v>
      </c>
      <c r="E241" t="s">
        <v>8982</v>
      </c>
    </row>
    <row r="242" spans="1:5" ht="15.6" x14ac:dyDescent="0.3">
      <c r="A242" s="1" t="s">
        <v>2132</v>
      </c>
      <c r="B242" s="1" t="s">
        <v>2623</v>
      </c>
      <c r="C242" t="s">
        <v>4978</v>
      </c>
      <c r="D242" t="s">
        <v>7291</v>
      </c>
      <c r="E242" t="s">
        <v>8983</v>
      </c>
    </row>
    <row r="243" spans="1:5" ht="15.6" x14ac:dyDescent="0.3">
      <c r="A243" s="1" t="s">
        <v>2130</v>
      </c>
      <c r="B243" s="1" t="s">
        <v>2624</v>
      </c>
      <c r="C243" t="s">
        <v>4979</v>
      </c>
      <c r="D243" t="s">
        <v>7292</v>
      </c>
      <c r="E243" t="s">
        <v>8984</v>
      </c>
    </row>
    <row r="244" spans="1:5" ht="15.6" x14ac:dyDescent="0.3">
      <c r="A244" s="1" t="s">
        <v>2129</v>
      </c>
      <c r="B244" s="1" t="s">
        <v>2625</v>
      </c>
      <c r="C244" t="s">
        <v>4980</v>
      </c>
      <c r="D244" t="s">
        <v>7293</v>
      </c>
      <c r="E244" t="s">
        <v>8985</v>
      </c>
    </row>
    <row r="245" spans="1:5" ht="15.6" x14ac:dyDescent="0.3">
      <c r="A245" s="1" t="s">
        <v>2128</v>
      </c>
      <c r="B245" s="1" t="s">
        <v>2626</v>
      </c>
      <c r="C245" t="s">
        <v>4981</v>
      </c>
      <c r="D245" t="s">
        <v>7294</v>
      </c>
      <c r="E245" t="s">
        <v>8986</v>
      </c>
    </row>
    <row r="246" spans="1:5" ht="15.6" x14ac:dyDescent="0.3">
      <c r="A246" s="1" t="s">
        <v>2127</v>
      </c>
      <c r="B246" s="1" t="s">
        <v>2627</v>
      </c>
      <c r="C246" t="s">
        <v>4982</v>
      </c>
      <c r="D246" t="s">
        <v>7295</v>
      </c>
      <c r="E246" t="s">
        <v>8987</v>
      </c>
    </row>
    <row r="247" spans="1:5" ht="15.6" x14ac:dyDescent="0.3">
      <c r="A247" s="1" t="s">
        <v>2126</v>
      </c>
      <c r="B247" s="1" t="s">
        <v>2628</v>
      </c>
      <c r="C247" t="s">
        <v>4983</v>
      </c>
      <c r="D247" t="s">
        <v>7296</v>
      </c>
      <c r="E247" t="s">
        <v>8988</v>
      </c>
    </row>
    <row r="248" spans="1:5" ht="15.6" x14ac:dyDescent="0.3">
      <c r="A248" s="1" t="s">
        <v>2125</v>
      </c>
      <c r="B248" s="1" t="s">
        <v>2629</v>
      </c>
      <c r="C248" t="s">
        <v>4984</v>
      </c>
      <c r="D248" t="s">
        <v>7297</v>
      </c>
      <c r="E248" t="s">
        <v>8989</v>
      </c>
    </row>
    <row r="249" spans="1:5" ht="15.6" x14ac:dyDescent="0.3">
      <c r="A249" s="1" t="s">
        <v>2124</v>
      </c>
      <c r="B249" s="1" t="s">
        <v>2630</v>
      </c>
      <c r="C249" t="s">
        <v>4985</v>
      </c>
      <c r="D249" t="s">
        <v>7298</v>
      </c>
      <c r="E249" t="s">
        <v>8990</v>
      </c>
    </row>
    <row r="250" spans="1:5" ht="15.6" x14ac:dyDescent="0.3">
      <c r="A250" s="1" t="s">
        <v>2123</v>
      </c>
      <c r="B250" s="1" t="s">
        <v>2631</v>
      </c>
      <c r="C250" t="s">
        <v>4986</v>
      </c>
      <c r="D250" t="s">
        <v>7299</v>
      </c>
      <c r="E250" t="s">
        <v>8991</v>
      </c>
    </row>
    <row r="251" spans="1:5" ht="15.6" x14ac:dyDescent="0.3">
      <c r="A251" s="1" t="s">
        <v>2122</v>
      </c>
      <c r="B251" s="1" t="s">
        <v>2632</v>
      </c>
      <c r="C251" t="s">
        <v>4987</v>
      </c>
      <c r="D251" t="s">
        <v>7300</v>
      </c>
      <c r="E251" t="s">
        <v>8992</v>
      </c>
    </row>
    <row r="252" spans="1:5" ht="15.6" x14ac:dyDescent="0.3">
      <c r="A252" s="1" t="s">
        <v>2121</v>
      </c>
      <c r="B252" s="1" t="s">
        <v>2633</v>
      </c>
      <c r="C252" t="s">
        <v>4988</v>
      </c>
      <c r="D252" t="s">
        <v>7301</v>
      </c>
      <c r="E252" t="s">
        <v>8993</v>
      </c>
    </row>
    <row r="253" spans="1:5" ht="15.6" x14ac:dyDescent="0.3">
      <c r="A253" s="1" t="s">
        <v>2120</v>
      </c>
      <c r="B253" s="1" t="s">
        <v>2634</v>
      </c>
      <c r="C253" t="s">
        <v>4989</v>
      </c>
      <c r="D253" t="s">
        <v>7075</v>
      </c>
      <c r="E253" t="s">
        <v>8994</v>
      </c>
    </row>
    <row r="254" spans="1:5" ht="15.6" x14ac:dyDescent="0.3">
      <c r="A254" s="1" t="s">
        <v>2119</v>
      </c>
      <c r="B254" s="1" t="s">
        <v>2635</v>
      </c>
      <c r="C254" t="s">
        <v>4990</v>
      </c>
      <c r="D254" t="s">
        <v>7302</v>
      </c>
      <c r="E254" t="s">
        <v>8995</v>
      </c>
    </row>
    <row r="255" spans="1:5" ht="15.6" x14ac:dyDescent="0.3">
      <c r="A255" s="1" t="s">
        <v>2118</v>
      </c>
      <c r="B255" s="1" t="s">
        <v>2636</v>
      </c>
      <c r="C255" t="s">
        <v>4991</v>
      </c>
      <c r="D255" t="s">
        <v>7270</v>
      </c>
      <c r="E255" t="s">
        <v>8996</v>
      </c>
    </row>
    <row r="256" spans="1:5" ht="15.6" x14ac:dyDescent="0.3">
      <c r="A256" s="1" t="s">
        <v>2117</v>
      </c>
      <c r="B256" s="1" t="s">
        <v>2637</v>
      </c>
      <c r="C256" t="s">
        <v>4992</v>
      </c>
      <c r="D256" t="s">
        <v>7303</v>
      </c>
      <c r="E256" t="s">
        <v>8997</v>
      </c>
    </row>
    <row r="257" spans="1:5" ht="15.6" x14ac:dyDescent="0.3">
      <c r="A257" s="1" t="s">
        <v>2116</v>
      </c>
      <c r="B257" s="1" t="s">
        <v>2638</v>
      </c>
      <c r="C257" t="s">
        <v>4993</v>
      </c>
      <c r="D257" t="s">
        <v>7304</v>
      </c>
      <c r="E257" t="s">
        <v>8998</v>
      </c>
    </row>
    <row r="258" spans="1:5" ht="15.6" x14ac:dyDescent="0.3">
      <c r="A258" s="1" t="s">
        <v>2115</v>
      </c>
      <c r="B258" s="1" t="s">
        <v>2639</v>
      </c>
      <c r="C258" t="s">
        <v>4994</v>
      </c>
      <c r="D258" t="s">
        <v>7305</v>
      </c>
      <c r="E258" t="s">
        <v>8999</v>
      </c>
    </row>
    <row r="259" spans="1:5" ht="15.6" x14ac:dyDescent="0.3">
      <c r="A259" s="1" t="s">
        <v>2114</v>
      </c>
      <c r="B259" s="1" t="s">
        <v>2640</v>
      </c>
      <c r="C259" t="s">
        <v>4995</v>
      </c>
      <c r="D259" t="s">
        <v>7306</v>
      </c>
      <c r="E259" t="s">
        <v>9000</v>
      </c>
    </row>
    <row r="260" spans="1:5" ht="15.6" x14ac:dyDescent="0.3">
      <c r="A260" s="1" t="s">
        <v>2113</v>
      </c>
      <c r="B260" s="1" t="s">
        <v>2641</v>
      </c>
      <c r="C260" t="s">
        <v>4996</v>
      </c>
      <c r="D260" t="s">
        <v>7307</v>
      </c>
      <c r="E260" t="s">
        <v>9001</v>
      </c>
    </row>
    <row r="261" spans="1:5" ht="15.6" x14ac:dyDescent="0.3">
      <c r="A261" s="1" t="s">
        <v>2112</v>
      </c>
      <c r="B261" s="1" t="s">
        <v>2642</v>
      </c>
      <c r="C261" t="s">
        <v>4997</v>
      </c>
      <c r="D261" t="s">
        <v>7308</v>
      </c>
      <c r="E261" t="s">
        <v>9002</v>
      </c>
    </row>
    <row r="262" spans="1:5" ht="15.6" x14ac:dyDescent="0.3">
      <c r="A262" s="1" t="s">
        <v>2111</v>
      </c>
      <c r="B262" s="1" t="s">
        <v>2643</v>
      </c>
      <c r="C262" t="s">
        <v>4998</v>
      </c>
      <c r="D262" t="s">
        <v>7309</v>
      </c>
      <c r="E262" t="s">
        <v>9003</v>
      </c>
    </row>
    <row r="263" spans="1:5" ht="15.6" x14ac:dyDescent="0.3">
      <c r="A263" s="1" t="s">
        <v>2110</v>
      </c>
      <c r="B263" s="1" t="s">
        <v>2644</v>
      </c>
      <c r="C263" t="s">
        <v>4999</v>
      </c>
      <c r="D263" t="s">
        <v>7310</v>
      </c>
      <c r="E263" t="s">
        <v>9004</v>
      </c>
    </row>
    <row r="264" spans="1:5" ht="15.6" x14ac:dyDescent="0.3">
      <c r="A264" s="1" t="s">
        <v>2109</v>
      </c>
      <c r="B264" s="1" t="s">
        <v>2645</v>
      </c>
      <c r="C264" t="s">
        <v>5000</v>
      </c>
      <c r="D264" t="s">
        <v>7311</v>
      </c>
      <c r="E264" t="s">
        <v>9005</v>
      </c>
    </row>
    <row r="265" spans="1:5" ht="15.6" x14ac:dyDescent="0.3">
      <c r="A265" s="1" t="s">
        <v>2108</v>
      </c>
      <c r="B265" s="1" t="s">
        <v>2646</v>
      </c>
      <c r="C265" t="s">
        <v>5001</v>
      </c>
      <c r="D265" t="s">
        <v>7312</v>
      </c>
      <c r="E265" t="s">
        <v>9006</v>
      </c>
    </row>
    <row r="266" spans="1:5" ht="15.6" x14ac:dyDescent="0.3">
      <c r="A266" s="1" t="s">
        <v>2107</v>
      </c>
      <c r="B266" s="1" t="s">
        <v>2647</v>
      </c>
      <c r="C266" t="s">
        <v>5002</v>
      </c>
      <c r="D266" t="s">
        <v>7313</v>
      </c>
      <c r="E266" t="s">
        <v>9007</v>
      </c>
    </row>
    <row r="267" spans="1:5" ht="15.6" x14ac:dyDescent="0.3">
      <c r="A267" s="1" t="s">
        <v>2106</v>
      </c>
      <c r="B267" s="1" t="s">
        <v>2648</v>
      </c>
      <c r="C267" t="s">
        <v>5003</v>
      </c>
      <c r="D267" t="s">
        <v>7275</v>
      </c>
      <c r="E267" t="s">
        <v>9008</v>
      </c>
    </row>
    <row r="268" spans="1:5" ht="15.6" x14ac:dyDescent="0.3">
      <c r="A268" s="1" t="s">
        <v>2105</v>
      </c>
      <c r="B268" s="1" t="s">
        <v>2649</v>
      </c>
      <c r="C268" t="s">
        <v>5004</v>
      </c>
      <c r="D268" t="s">
        <v>7314</v>
      </c>
      <c r="E268" t="s">
        <v>9009</v>
      </c>
    </row>
    <row r="269" spans="1:5" ht="15.6" x14ac:dyDescent="0.3">
      <c r="A269" s="1" t="s">
        <v>2104</v>
      </c>
      <c r="B269" s="1" t="s">
        <v>2650</v>
      </c>
      <c r="C269" t="s">
        <v>5005</v>
      </c>
      <c r="D269" t="s">
        <v>7315</v>
      </c>
      <c r="E269" t="s">
        <v>8935</v>
      </c>
    </row>
    <row r="270" spans="1:5" ht="15.6" x14ac:dyDescent="0.3">
      <c r="A270" s="1" t="s">
        <v>2103</v>
      </c>
      <c r="B270" s="1" t="s">
        <v>2651</v>
      </c>
      <c r="C270" t="s">
        <v>5006</v>
      </c>
      <c r="D270" t="s">
        <v>7100</v>
      </c>
      <c r="E270" t="s">
        <v>9010</v>
      </c>
    </row>
    <row r="271" spans="1:5" ht="15.6" x14ac:dyDescent="0.3">
      <c r="A271" s="1" t="s">
        <v>2102</v>
      </c>
      <c r="B271" s="1" t="s">
        <v>2652</v>
      </c>
      <c r="C271" t="s">
        <v>5007</v>
      </c>
      <c r="D271" t="s">
        <v>7316</v>
      </c>
      <c r="E271" t="s">
        <v>9011</v>
      </c>
    </row>
    <row r="272" spans="1:5" ht="15.6" x14ac:dyDescent="0.3">
      <c r="A272" s="1" t="s">
        <v>2101</v>
      </c>
      <c r="B272" s="1" t="s">
        <v>2653</v>
      </c>
      <c r="C272" t="s">
        <v>5008</v>
      </c>
      <c r="D272" t="s">
        <v>7317</v>
      </c>
      <c r="E272" t="s">
        <v>9012</v>
      </c>
    </row>
    <row r="273" spans="1:5" ht="15.6" x14ac:dyDescent="0.3">
      <c r="A273" s="1" t="s">
        <v>2100</v>
      </c>
      <c r="B273" s="1" t="s">
        <v>2654</v>
      </c>
      <c r="C273" t="s">
        <v>5009</v>
      </c>
      <c r="D273" t="s">
        <v>7082</v>
      </c>
      <c r="E273" t="s">
        <v>9013</v>
      </c>
    </row>
    <row r="274" spans="1:5" ht="15.6" x14ac:dyDescent="0.3">
      <c r="A274" s="1" t="s">
        <v>2099</v>
      </c>
      <c r="B274" s="1" t="s">
        <v>2655</v>
      </c>
      <c r="C274" t="s">
        <v>5010</v>
      </c>
      <c r="D274" t="s">
        <v>7318</v>
      </c>
      <c r="E274" t="s">
        <v>9014</v>
      </c>
    </row>
    <row r="275" spans="1:5" ht="15.6" x14ac:dyDescent="0.3">
      <c r="A275" s="1" t="s">
        <v>2098</v>
      </c>
      <c r="B275" s="1" t="s">
        <v>2656</v>
      </c>
      <c r="C275" t="s">
        <v>5011</v>
      </c>
      <c r="D275" t="s">
        <v>7319</v>
      </c>
      <c r="E275" t="s">
        <v>9015</v>
      </c>
    </row>
    <row r="276" spans="1:5" ht="15.6" x14ac:dyDescent="0.3">
      <c r="A276" s="1" t="s">
        <v>2097</v>
      </c>
      <c r="B276" s="1" t="s">
        <v>2657</v>
      </c>
      <c r="C276" t="s">
        <v>5012</v>
      </c>
      <c r="D276" t="s">
        <v>7320</v>
      </c>
      <c r="E276" t="s">
        <v>9016</v>
      </c>
    </row>
    <row r="277" spans="1:5" ht="15.6" x14ac:dyDescent="0.3">
      <c r="A277" s="1" t="s">
        <v>2096</v>
      </c>
      <c r="B277" s="1" t="s">
        <v>2658</v>
      </c>
      <c r="C277" t="s">
        <v>5013</v>
      </c>
      <c r="D277" t="s">
        <v>7260</v>
      </c>
      <c r="E277" t="s">
        <v>9017</v>
      </c>
    </row>
    <row r="278" spans="1:5" ht="15.6" x14ac:dyDescent="0.3">
      <c r="A278" s="1" t="s">
        <v>2095</v>
      </c>
      <c r="B278" s="1" t="s">
        <v>2659</v>
      </c>
      <c r="C278" t="s">
        <v>5014</v>
      </c>
      <c r="D278" t="s">
        <v>7321</v>
      </c>
      <c r="E278" t="s">
        <v>9018</v>
      </c>
    </row>
    <row r="279" spans="1:5" ht="15.6" x14ac:dyDescent="0.3">
      <c r="A279" s="1" t="s">
        <v>2094</v>
      </c>
      <c r="B279" s="1" t="s">
        <v>2660</v>
      </c>
      <c r="C279" t="s">
        <v>5015</v>
      </c>
      <c r="D279" t="s">
        <v>7322</v>
      </c>
      <c r="E279" t="s">
        <v>9019</v>
      </c>
    </row>
    <row r="280" spans="1:5" ht="15.6" x14ac:dyDescent="0.3">
      <c r="A280" s="1" t="s">
        <v>2093</v>
      </c>
      <c r="B280" s="1" t="s">
        <v>2661</v>
      </c>
      <c r="C280" t="s">
        <v>5016</v>
      </c>
      <c r="D280" t="s">
        <v>7323</v>
      </c>
      <c r="E280" t="s">
        <v>8926</v>
      </c>
    </row>
    <row r="281" spans="1:5" ht="15.6" x14ac:dyDescent="0.3">
      <c r="A281" s="1" t="s">
        <v>2092</v>
      </c>
      <c r="B281" s="1" t="s">
        <v>2662</v>
      </c>
      <c r="C281" t="s">
        <v>5017</v>
      </c>
      <c r="D281" t="s">
        <v>7324</v>
      </c>
      <c r="E281" t="s">
        <v>9020</v>
      </c>
    </row>
    <row r="282" spans="1:5" ht="15.6" x14ac:dyDescent="0.3">
      <c r="A282" s="1" t="s">
        <v>2091</v>
      </c>
      <c r="B282" s="1" t="s">
        <v>2663</v>
      </c>
      <c r="C282" t="s">
        <v>5018</v>
      </c>
      <c r="D282" t="s">
        <v>7325</v>
      </c>
      <c r="E282" t="s">
        <v>9021</v>
      </c>
    </row>
    <row r="283" spans="1:5" ht="15.6" x14ac:dyDescent="0.3">
      <c r="A283" s="1" t="s">
        <v>2090</v>
      </c>
      <c r="B283" s="1" t="s">
        <v>2664</v>
      </c>
      <c r="C283" t="s">
        <v>5019</v>
      </c>
      <c r="D283" t="s">
        <v>7326</v>
      </c>
      <c r="E283" t="s">
        <v>8840</v>
      </c>
    </row>
    <row r="284" spans="1:5" ht="15.6" x14ac:dyDescent="0.3">
      <c r="A284" s="1" t="s">
        <v>2089</v>
      </c>
      <c r="B284" s="1" t="s">
        <v>2665</v>
      </c>
      <c r="C284" t="s">
        <v>5020</v>
      </c>
      <c r="D284" t="s">
        <v>7327</v>
      </c>
      <c r="E284" t="s">
        <v>9022</v>
      </c>
    </row>
    <row r="285" spans="1:5" ht="15.6" x14ac:dyDescent="0.3">
      <c r="A285" s="1" t="s">
        <v>2088</v>
      </c>
      <c r="B285" s="1" t="s">
        <v>2666</v>
      </c>
      <c r="C285" t="s">
        <v>5021</v>
      </c>
      <c r="D285" t="s">
        <v>7328</v>
      </c>
      <c r="E285" t="s">
        <v>9023</v>
      </c>
    </row>
    <row r="286" spans="1:5" ht="15.6" x14ac:dyDescent="0.3">
      <c r="A286" s="1" t="s">
        <v>2087</v>
      </c>
      <c r="B286" s="1" t="s">
        <v>2667</v>
      </c>
      <c r="C286" t="s">
        <v>5022</v>
      </c>
      <c r="D286" t="s">
        <v>7329</v>
      </c>
      <c r="E286" t="s">
        <v>9024</v>
      </c>
    </row>
    <row r="287" spans="1:5" ht="15.6" x14ac:dyDescent="0.3">
      <c r="A287" s="1" t="s">
        <v>2086</v>
      </c>
      <c r="B287" s="1" t="s">
        <v>2668</v>
      </c>
      <c r="C287" t="s">
        <v>5023</v>
      </c>
      <c r="D287" t="s">
        <v>7330</v>
      </c>
      <c r="E287" t="s">
        <v>9025</v>
      </c>
    </row>
    <row r="288" spans="1:5" ht="15.6" x14ac:dyDescent="0.3">
      <c r="A288" s="1" t="s">
        <v>2085</v>
      </c>
      <c r="B288" s="1" t="s">
        <v>2669</v>
      </c>
      <c r="C288" t="s">
        <v>5024</v>
      </c>
      <c r="D288" t="s">
        <v>7331</v>
      </c>
      <c r="E288" t="s">
        <v>9026</v>
      </c>
    </row>
    <row r="289" spans="1:5" ht="15.6" x14ac:dyDescent="0.3">
      <c r="A289" s="1" t="s">
        <v>2084</v>
      </c>
      <c r="B289" s="1" t="s">
        <v>2670</v>
      </c>
      <c r="C289" t="s">
        <v>5025</v>
      </c>
      <c r="D289" t="s">
        <v>7260</v>
      </c>
      <c r="E289" t="s">
        <v>9027</v>
      </c>
    </row>
    <row r="290" spans="1:5" ht="15.6" x14ac:dyDescent="0.3">
      <c r="A290" s="1" t="s">
        <v>2083</v>
      </c>
      <c r="B290" s="1" t="s">
        <v>2671</v>
      </c>
      <c r="C290" t="s">
        <v>5026</v>
      </c>
      <c r="D290" t="s">
        <v>7332</v>
      </c>
      <c r="E290" t="s">
        <v>9028</v>
      </c>
    </row>
    <row r="291" spans="1:5" ht="15.6" x14ac:dyDescent="0.3">
      <c r="A291" s="1" t="s">
        <v>2082</v>
      </c>
      <c r="B291" s="1" t="s">
        <v>2672</v>
      </c>
      <c r="C291" t="s">
        <v>5027</v>
      </c>
      <c r="D291" t="s">
        <v>7277</v>
      </c>
      <c r="E291" t="s">
        <v>9029</v>
      </c>
    </row>
    <row r="292" spans="1:5" ht="15.6" x14ac:dyDescent="0.3">
      <c r="A292" s="1" t="s">
        <v>2081</v>
      </c>
      <c r="B292" s="1" t="s">
        <v>2673</v>
      </c>
      <c r="C292" t="s">
        <v>5028</v>
      </c>
      <c r="D292" t="s">
        <v>7333</v>
      </c>
      <c r="E292" t="s">
        <v>9030</v>
      </c>
    </row>
    <row r="293" spans="1:5" ht="15.6" x14ac:dyDescent="0.3">
      <c r="A293" s="1" t="s">
        <v>2080</v>
      </c>
      <c r="B293" s="1" t="s">
        <v>2674</v>
      </c>
      <c r="C293" t="s">
        <v>5029</v>
      </c>
      <c r="D293" t="s">
        <v>7334</v>
      </c>
      <c r="E293" t="s">
        <v>9031</v>
      </c>
    </row>
    <row r="294" spans="1:5" ht="15.6" x14ac:dyDescent="0.3">
      <c r="A294" s="1" t="s">
        <v>2079</v>
      </c>
      <c r="B294" s="1" t="s">
        <v>2675</v>
      </c>
      <c r="C294" t="s">
        <v>5030</v>
      </c>
      <c r="D294" t="s">
        <v>7335</v>
      </c>
      <c r="E294" t="s">
        <v>9032</v>
      </c>
    </row>
    <row r="295" spans="1:5" ht="15.6" x14ac:dyDescent="0.3">
      <c r="A295" s="1" t="s">
        <v>2078</v>
      </c>
      <c r="B295" s="1" t="s">
        <v>2676</v>
      </c>
      <c r="C295" t="s">
        <v>5031</v>
      </c>
      <c r="D295" t="s">
        <v>7336</v>
      </c>
      <c r="E295" t="s">
        <v>9033</v>
      </c>
    </row>
    <row r="296" spans="1:5" ht="15.6" x14ac:dyDescent="0.3">
      <c r="A296" s="1" t="s">
        <v>2077</v>
      </c>
      <c r="B296" s="1" t="s">
        <v>2677</v>
      </c>
      <c r="C296" t="s">
        <v>5032</v>
      </c>
      <c r="D296" t="s">
        <v>7337</v>
      </c>
      <c r="E296" t="s">
        <v>9034</v>
      </c>
    </row>
    <row r="297" spans="1:5" ht="15.6" x14ac:dyDescent="0.3">
      <c r="A297" s="1" t="s">
        <v>2076</v>
      </c>
      <c r="B297" s="1" t="s">
        <v>2678</v>
      </c>
      <c r="C297" t="s">
        <v>5033</v>
      </c>
      <c r="D297" t="s">
        <v>7338</v>
      </c>
      <c r="E297" t="s">
        <v>9035</v>
      </c>
    </row>
    <row r="298" spans="1:5" ht="15.6" x14ac:dyDescent="0.3">
      <c r="A298" s="1" t="s">
        <v>2075</v>
      </c>
      <c r="B298" s="1" t="s">
        <v>2679</v>
      </c>
      <c r="C298" t="s">
        <v>5034</v>
      </c>
      <c r="D298" t="s">
        <v>7339</v>
      </c>
      <c r="E298" t="s">
        <v>9036</v>
      </c>
    </row>
    <row r="299" spans="1:5" ht="15.6" x14ac:dyDescent="0.3">
      <c r="A299" s="1" t="s">
        <v>2074</v>
      </c>
      <c r="B299" s="1" t="s">
        <v>2680</v>
      </c>
      <c r="C299" t="s">
        <v>5035</v>
      </c>
      <c r="D299" t="s">
        <v>7340</v>
      </c>
      <c r="E299" t="s">
        <v>9037</v>
      </c>
    </row>
    <row r="300" spans="1:5" ht="15.6" x14ac:dyDescent="0.3">
      <c r="A300" s="1" t="s">
        <v>2073</v>
      </c>
      <c r="B300" s="1" t="s">
        <v>2681</v>
      </c>
      <c r="C300" t="s">
        <v>5036</v>
      </c>
      <c r="D300" t="s">
        <v>7341</v>
      </c>
      <c r="E300" t="s">
        <v>9038</v>
      </c>
    </row>
    <row r="301" spans="1:5" ht="15.6" x14ac:dyDescent="0.3">
      <c r="A301" s="1" t="s">
        <v>2072</v>
      </c>
      <c r="B301" s="1" t="s">
        <v>2682</v>
      </c>
      <c r="C301" t="s">
        <v>5037</v>
      </c>
      <c r="D301" t="s">
        <v>7342</v>
      </c>
      <c r="E301" t="s">
        <v>9039</v>
      </c>
    </row>
    <row r="302" spans="1:5" ht="15.6" x14ac:dyDescent="0.3">
      <c r="A302" s="1" t="s">
        <v>2071</v>
      </c>
      <c r="B302" s="1" t="s">
        <v>2683</v>
      </c>
      <c r="C302" t="s">
        <v>5038</v>
      </c>
      <c r="D302" t="s">
        <v>7343</v>
      </c>
      <c r="E302" t="s">
        <v>8985</v>
      </c>
    </row>
    <row r="303" spans="1:5" ht="15.6" x14ac:dyDescent="0.3">
      <c r="A303" s="1" t="s">
        <v>2070</v>
      </c>
      <c r="B303" s="1" t="s">
        <v>2684</v>
      </c>
      <c r="C303" t="s">
        <v>5039</v>
      </c>
      <c r="D303" t="s">
        <v>7152</v>
      </c>
      <c r="E303" t="s">
        <v>9040</v>
      </c>
    </row>
    <row r="304" spans="1:5" ht="15.6" x14ac:dyDescent="0.3">
      <c r="A304" s="1" t="s">
        <v>2069</v>
      </c>
      <c r="B304" s="1" t="s">
        <v>2685</v>
      </c>
      <c r="C304" t="s">
        <v>5040</v>
      </c>
      <c r="D304" t="s">
        <v>7344</v>
      </c>
      <c r="E304" t="s">
        <v>9041</v>
      </c>
    </row>
    <row r="305" spans="1:5" ht="15.6" x14ac:dyDescent="0.3">
      <c r="A305" s="1" t="s">
        <v>2068</v>
      </c>
      <c r="B305" s="1" t="s">
        <v>2686</v>
      </c>
      <c r="C305" t="s">
        <v>5041</v>
      </c>
      <c r="D305" t="s">
        <v>7345</v>
      </c>
      <c r="E305" t="s">
        <v>9042</v>
      </c>
    </row>
    <row r="306" spans="1:5" ht="15.6" x14ac:dyDescent="0.3">
      <c r="A306" s="1" t="s">
        <v>2067</v>
      </c>
      <c r="B306" s="1" t="s">
        <v>2687</v>
      </c>
      <c r="C306" t="s">
        <v>5042</v>
      </c>
      <c r="D306" t="s">
        <v>7346</v>
      </c>
      <c r="E306" t="s">
        <v>9043</v>
      </c>
    </row>
    <row r="307" spans="1:5" ht="15.6" x14ac:dyDescent="0.3">
      <c r="A307" s="1" t="s">
        <v>2066</v>
      </c>
      <c r="B307" s="1" t="s">
        <v>2688</v>
      </c>
      <c r="C307" t="s">
        <v>5043</v>
      </c>
      <c r="D307" t="s">
        <v>7347</v>
      </c>
      <c r="E307" t="s">
        <v>8982</v>
      </c>
    </row>
    <row r="308" spans="1:5" ht="15.6" x14ac:dyDescent="0.3">
      <c r="A308" s="1" t="s">
        <v>2065</v>
      </c>
      <c r="B308" s="1" t="s">
        <v>2689</v>
      </c>
      <c r="C308" t="s">
        <v>5044</v>
      </c>
      <c r="D308" t="s">
        <v>7136</v>
      </c>
      <c r="E308" t="s">
        <v>9044</v>
      </c>
    </row>
    <row r="309" spans="1:5" ht="15.6" x14ac:dyDescent="0.3">
      <c r="A309" s="1" t="s">
        <v>2064</v>
      </c>
      <c r="B309" s="1" t="s">
        <v>2690</v>
      </c>
      <c r="C309" t="s">
        <v>5045</v>
      </c>
      <c r="D309" t="s">
        <v>7348</v>
      </c>
      <c r="E309" t="s">
        <v>9045</v>
      </c>
    </row>
    <row r="310" spans="1:5" ht="15.6" x14ac:dyDescent="0.3">
      <c r="A310" s="1" t="s">
        <v>2063</v>
      </c>
      <c r="B310" s="1" t="s">
        <v>2691</v>
      </c>
      <c r="C310" t="s">
        <v>5046</v>
      </c>
      <c r="D310" t="s">
        <v>7349</v>
      </c>
      <c r="E310" t="s">
        <v>9046</v>
      </c>
    </row>
    <row r="311" spans="1:5" ht="15.6" x14ac:dyDescent="0.3">
      <c r="A311" s="1" t="s">
        <v>2062</v>
      </c>
      <c r="B311" s="1" t="s">
        <v>2692</v>
      </c>
      <c r="C311" t="s">
        <v>5047</v>
      </c>
      <c r="D311" t="s">
        <v>7350</v>
      </c>
      <c r="E311" t="s">
        <v>9047</v>
      </c>
    </row>
    <row r="312" spans="1:5" ht="15.6" x14ac:dyDescent="0.3">
      <c r="A312" s="1" t="s">
        <v>2061</v>
      </c>
      <c r="B312" s="1" t="s">
        <v>2693</v>
      </c>
      <c r="C312" t="s">
        <v>5048</v>
      </c>
      <c r="D312" t="s">
        <v>7351</v>
      </c>
      <c r="E312" t="s">
        <v>8817</v>
      </c>
    </row>
    <row r="313" spans="1:5" ht="15.6" x14ac:dyDescent="0.3">
      <c r="A313" s="1" t="s">
        <v>2060</v>
      </c>
      <c r="B313" s="1" t="s">
        <v>2694</v>
      </c>
      <c r="C313" t="s">
        <v>5049</v>
      </c>
      <c r="D313" t="s">
        <v>7352</v>
      </c>
      <c r="E313" t="s">
        <v>9048</v>
      </c>
    </row>
    <row r="314" spans="1:5" ht="15.6" x14ac:dyDescent="0.3">
      <c r="A314" s="1" t="s">
        <v>2059</v>
      </c>
      <c r="B314" s="1" t="s">
        <v>2695</v>
      </c>
      <c r="C314" t="s">
        <v>5050</v>
      </c>
      <c r="D314" t="s">
        <v>7353</v>
      </c>
      <c r="E314" t="s">
        <v>9049</v>
      </c>
    </row>
    <row r="315" spans="1:5" ht="15.6" x14ac:dyDescent="0.3">
      <c r="A315" s="1" t="s">
        <v>2058</v>
      </c>
      <c r="B315" s="1" t="s">
        <v>2696</v>
      </c>
      <c r="C315" t="s">
        <v>5051</v>
      </c>
      <c r="D315" t="s">
        <v>7354</v>
      </c>
      <c r="E315" t="s">
        <v>9050</v>
      </c>
    </row>
    <row r="316" spans="1:5" ht="15.6" x14ac:dyDescent="0.3">
      <c r="A316" s="1" t="s">
        <v>2057</v>
      </c>
      <c r="B316" s="1" t="s">
        <v>2697</v>
      </c>
      <c r="C316" t="s">
        <v>5052</v>
      </c>
      <c r="D316" t="s">
        <v>7355</v>
      </c>
      <c r="E316" t="s">
        <v>9051</v>
      </c>
    </row>
    <row r="317" spans="1:5" ht="15.6" x14ac:dyDescent="0.3">
      <c r="A317" s="1" t="s">
        <v>2056</v>
      </c>
      <c r="B317" s="1" t="s">
        <v>2698</v>
      </c>
      <c r="C317" t="s">
        <v>5053</v>
      </c>
      <c r="D317" t="s">
        <v>7235</v>
      </c>
      <c r="E317" t="s">
        <v>9052</v>
      </c>
    </row>
    <row r="318" spans="1:5" ht="15.6" x14ac:dyDescent="0.3">
      <c r="A318" s="1" t="s">
        <v>2055</v>
      </c>
      <c r="B318" s="1" t="s">
        <v>2699</v>
      </c>
      <c r="C318" t="s">
        <v>5054</v>
      </c>
      <c r="D318" t="s">
        <v>7094</v>
      </c>
      <c r="E318" t="s">
        <v>9053</v>
      </c>
    </row>
    <row r="319" spans="1:5" ht="15.6" x14ac:dyDescent="0.3">
      <c r="A319" s="1" t="s">
        <v>2054</v>
      </c>
      <c r="B319" s="1" t="s">
        <v>2700</v>
      </c>
      <c r="C319" t="s">
        <v>5055</v>
      </c>
      <c r="D319" t="s">
        <v>7356</v>
      </c>
      <c r="E319" t="s">
        <v>9054</v>
      </c>
    </row>
    <row r="320" spans="1:5" ht="15.6" x14ac:dyDescent="0.3">
      <c r="A320" s="1" t="s">
        <v>2053</v>
      </c>
      <c r="B320" s="1" t="s">
        <v>2701</v>
      </c>
      <c r="C320" t="s">
        <v>5056</v>
      </c>
      <c r="D320" t="s">
        <v>7357</v>
      </c>
      <c r="E320" t="s">
        <v>9055</v>
      </c>
    </row>
    <row r="321" spans="1:5" ht="15.6" x14ac:dyDescent="0.3">
      <c r="A321" s="1" t="s">
        <v>2052</v>
      </c>
      <c r="B321" s="1" t="s">
        <v>2702</v>
      </c>
      <c r="C321" t="s">
        <v>5057</v>
      </c>
      <c r="D321" t="s">
        <v>7358</v>
      </c>
      <c r="E321" t="s">
        <v>9056</v>
      </c>
    </row>
    <row r="322" spans="1:5" ht="15.6" x14ac:dyDescent="0.3">
      <c r="A322" s="1" t="s">
        <v>2051</v>
      </c>
      <c r="B322" s="1" t="s">
        <v>2703</v>
      </c>
      <c r="C322" t="s">
        <v>5058</v>
      </c>
      <c r="D322" t="s">
        <v>7359</v>
      </c>
      <c r="E322" t="s">
        <v>9057</v>
      </c>
    </row>
    <row r="323" spans="1:5" ht="15.6" x14ac:dyDescent="0.3">
      <c r="A323" s="1" t="s">
        <v>2050</v>
      </c>
      <c r="B323" s="1" t="s">
        <v>2704</v>
      </c>
      <c r="C323" t="s">
        <v>5059</v>
      </c>
      <c r="D323" t="s">
        <v>7360</v>
      </c>
      <c r="E323" t="s">
        <v>9058</v>
      </c>
    </row>
    <row r="324" spans="1:5" ht="15.6" x14ac:dyDescent="0.3">
      <c r="A324" s="1" t="s">
        <v>2049</v>
      </c>
      <c r="B324" s="1" t="s">
        <v>2705</v>
      </c>
      <c r="C324" t="s">
        <v>5060</v>
      </c>
      <c r="D324" t="s">
        <v>7361</v>
      </c>
      <c r="E324" t="s">
        <v>9022</v>
      </c>
    </row>
    <row r="325" spans="1:5" ht="15.6" x14ac:dyDescent="0.3">
      <c r="A325" s="1" t="s">
        <v>2048</v>
      </c>
      <c r="B325" s="1" t="s">
        <v>2706</v>
      </c>
      <c r="C325" t="s">
        <v>5061</v>
      </c>
      <c r="D325" t="s">
        <v>7217</v>
      </c>
      <c r="E325" t="s">
        <v>9059</v>
      </c>
    </row>
    <row r="326" spans="1:5" ht="15.6" x14ac:dyDescent="0.3">
      <c r="A326" s="1" t="s">
        <v>2047</v>
      </c>
      <c r="B326" s="1" t="s">
        <v>2707</v>
      </c>
      <c r="C326" t="s">
        <v>5062</v>
      </c>
      <c r="D326" t="s">
        <v>7362</v>
      </c>
      <c r="E326" t="s">
        <v>9060</v>
      </c>
    </row>
    <row r="327" spans="1:5" ht="15.6" x14ac:dyDescent="0.3">
      <c r="A327" s="1" t="s">
        <v>2046</v>
      </c>
      <c r="B327" s="1" t="s">
        <v>2708</v>
      </c>
      <c r="C327" t="s">
        <v>5063</v>
      </c>
      <c r="D327" t="s">
        <v>7363</v>
      </c>
      <c r="E327" t="s">
        <v>9061</v>
      </c>
    </row>
    <row r="328" spans="1:5" ht="15.6" x14ac:dyDescent="0.3">
      <c r="A328" s="1" t="s">
        <v>2045</v>
      </c>
      <c r="B328" s="1" t="s">
        <v>2709</v>
      </c>
      <c r="C328" t="s">
        <v>5064</v>
      </c>
      <c r="D328" t="s">
        <v>7282</v>
      </c>
      <c r="E328" t="s">
        <v>9062</v>
      </c>
    </row>
    <row r="329" spans="1:5" ht="15.6" x14ac:dyDescent="0.3">
      <c r="A329" s="1" t="s">
        <v>2044</v>
      </c>
      <c r="B329" s="1" t="s">
        <v>2710</v>
      </c>
      <c r="C329" t="s">
        <v>5065</v>
      </c>
      <c r="D329" t="s">
        <v>7364</v>
      </c>
      <c r="E329" t="s">
        <v>9063</v>
      </c>
    </row>
    <row r="330" spans="1:5" ht="15.6" x14ac:dyDescent="0.3">
      <c r="A330" s="1" t="s">
        <v>2043</v>
      </c>
      <c r="B330" s="1" t="s">
        <v>2711</v>
      </c>
      <c r="C330" t="s">
        <v>5066</v>
      </c>
      <c r="D330" t="s">
        <v>7277</v>
      </c>
      <c r="E330" t="s">
        <v>9064</v>
      </c>
    </row>
    <row r="331" spans="1:5" ht="15.6" x14ac:dyDescent="0.3">
      <c r="A331" s="1" t="s">
        <v>2042</v>
      </c>
      <c r="B331" s="1" t="s">
        <v>2712</v>
      </c>
      <c r="C331" t="s">
        <v>5067</v>
      </c>
      <c r="D331" t="s">
        <v>7365</v>
      </c>
      <c r="E331" t="s">
        <v>9065</v>
      </c>
    </row>
    <row r="332" spans="1:5" ht="15.6" x14ac:dyDescent="0.3">
      <c r="A332" s="1" t="s">
        <v>2041</v>
      </c>
      <c r="B332" s="1" t="s">
        <v>2713</v>
      </c>
      <c r="C332" t="s">
        <v>5068</v>
      </c>
      <c r="D332" t="s">
        <v>7366</v>
      </c>
      <c r="E332" t="s">
        <v>9066</v>
      </c>
    </row>
    <row r="333" spans="1:5" ht="15.6" x14ac:dyDescent="0.3">
      <c r="A333" s="1" t="s">
        <v>2040</v>
      </c>
      <c r="B333" s="1" t="s">
        <v>2714</v>
      </c>
      <c r="C333" t="s">
        <v>5069</v>
      </c>
      <c r="D333" t="s">
        <v>7357</v>
      </c>
      <c r="E333" t="s">
        <v>9067</v>
      </c>
    </row>
    <row r="334" spans="1:5" ht="15.6" x14ac:dyDescent="0.3">
      <c r="A334" s="1" t="s">
        <v>2039</v>
      </c>
      <c r="B334" s="1" t="s">
        <v>2715</v>
      </c>
      <c r="C334" t="s">
        <v>5070</v>
      </c>
      <c r="D334" t="s">
        <v>7367</v>
      </c>
      <c r="E334" t="s">
        <v>9068</v>
      </c>
    </row>
    <row r="335" spans="1:5" ht="15.6" x14ac:dyDescent="0.3">
      <c r="A335" s="1" t="s">
        <v>2038</v>
      </c>
      <c r="B335" s="1" t="s">
        <v>2716</v>
      </c>
      <c r="C335" t="s">
        <v>5071</v>
      </c>
      <c r="D335" t="s">
        <v>7368</v>
      </c>
      <c r="E335" t="s">
        <v>9069</v>
      </c>
    </row>
    <row r="336" spans="1:5" ht="15.6" x14ac:dyDescent="0.3">
      <c r="A336" s="1" t="s">
        <v>2037</v>
      </c>
      <c r="B336" s="1" t="s">
        <v>2717</v>
      </c>
      <c r="C336" t="s">
        <v>5072</v>
      </c>
      <c r="D336" t="s">
        <v>7369</v>
      </c>
      <c r="E336" t="s">
        <v>9070</v>
      </c>
    </row>
    <row r="337" spans="1:5" ht="15.6" x14ac:dyDescent="0.3">
      <c r="A337" s="1" t="s">
        <v>2036</v>
      </c>
      <c r="B337" s="1" t="s">
        <v>2718</v>
      </c>
      <c r="C337" t="s">
        <v>5073</v>
      </c>
      <c r="D337" t="s">
        <v>7370</v>
      </c>
      <c r="E337" t="s">
        <v>9071</v>
      </c>
    </row>
    <row r="338" spans="1:5" ht="15.6" x14ac:dyDescent="0.3">
      <c r="A338" s="1" t="s">
        <v>2035</v>
      </c>
      <c r="B338" s="1" t="s">
        <v>2719</v>
      </c>
      <c r="C338" t="s">
        <v>5074</v>
      </c>
      <c r="D338" t="s">
        <v>7371</v>
      </c>
      <c r="E338" t="s">
        <v>9072</v>
      </c>
    </row>
    <row r="339" spans="1:5" ht="15.6" x14ac:dyDescent="0.3">
      <c r="A339" s="1" t="s">
        <v>2034</v>
      </c>
      <c r="B339" s="1" t="s">
        <v>2720</v>
      </c>
      <c r="C339" t="s">
        <v>5075</v>
      </c>
      <c r="D339" t="s">
        <v>7372</v>
      </c>
      <c r="E339" t="s">
        <v>9073</v>
      </c>
    </row>
    <row r="340" spans="1:5" ht="15.6" x14ac:dyDescent="0.3">
      <c r="A340" s="1" t="s">
        <v>2033</v>
      </c>
      <c r="B340" s="1" t="s">
        <v>2721</v>
      </c>
      <c r="C340" t="s">
        <v>5076</v>
      </c>
      <c r="D340" t="s">
        <v>7226</v>
      </c>
      <c r="E340" t="s">
        <v>9074</v>
      </c>
    </row>
    <row r="341" spans="1:5" ht="15.6" x14ac:dyDescent="0.3">
      <c r="A341" s="1" t="s">
        <v>2032</v>
      </c>
      <c r="B341" s="1" t="s">
        <v>2722</v>
      </c>
      <c r="C341" t="s">
        <v>5077</v>
      </c>
      <c r="D341" t="s">
        <v>7373</v>
      </c>
      <c r="E341" t="s">
        <v>9075</v>
      </c>
    </row>
    <row r="342" spans="1:5" ht="15.6" x14ac:dyDescent="0.3">
      <c r="A342" s="1" t="s">
        <v>2031</v>
      </c>
      <c r="B342" s="1" t="s">
        <v>2723</v>
      </c>
      <c r="C342" t="s">
        <v>5078</v>
      </c>
      <c r="D342" t="s">
        <v>7374</v>
      </c>
      <c r="E342" t="s">
        <v>9076</v>
      </c>
    </row>
    <row r="343" spans="1:5" ht="15.6" x14ac:dyDescent="0.3">
      <c r="A343" s="1" t="s">
        <v>2030</v>
      </c>
      <c r="B343" s="1" t="s">
        <v>2724</v>
      </c>
      <c r="C343" t="s">
        <v>5079</v>
      </c>
      <c r="D343" t="s">
        <v>7375</v>
      </c>
      <c r="E343" t="s">
        <v>9077</v>
      </c>
    </row>
    <row r="344" spans="1:5" ht="15.6" x14ac:dyDescent="0.3">
      <c r="A344" s="1" t="s">
        <v>2029</v>
      </c>
      <c r="B344" s="1" t="s">
        <v>2725</v>
      </c>
      <c r="C344" t="s">
        <v>5080</v>
      </c>
      <c r="D344" t="s">
        <v>7165</v>
      </c>
      <c r="E344" t="s">
        <v>9078</v>
      </c>
    </row>
    <row r="345" spans="1:5" ht="15.6" x14ac:dyDescent="0.3">
      <c r="A345" s="1" t="s">
        <v>2028</v>
      </c>
      <c r="B345" s="1" t="s">
        <v>2726</v>
      </c>
      <c r="C345" t="s">
        <v>5081</v>
      </c>
      <c r="D345" t="s">
        <v>7376</v>
      </c>
      <c r="E345" t="s">
        <v>9079</v>
      </c>
    </row>
    <row r="346" spans="1:5" ht="15.6" x14ac:dyDescent="0.3">
      <c r="A346" s="1" t="s">
        <v>2027</v>
      </c>
      <c r="B346" s="1" t="s">
        <v>2727</v>
      </c>
      <c r="C346" t="s">
        <v>5082</v>
      </c>
      <c r="D346" t="s">
        <v>7377</v>
      </c>
      <c r="E346" t="s">
        <v>9080</v>
      </c>
    </row>
    <row r="347" spans="1:5" ht="15.6" x14ac:dyDescent="0.3">
      <c r="A347" s="1" t="s">
        <v>2026</v>
      </c>
      <c r="B347" s="1" t="s">
        <v>2728</v>
      </c>
      <c r="C347" t="s">
        <v>5083</v>
      </c>
      <c r="D347" t="s">
        <v>7270</v>
      </c>
      <c r="E347" t="s">
        <v>9081</v>
      </c>
    </row>
    <row r="348" spans="1:5" ht="15.6" x14ac:dyDescent="0.3">
      <c r="A348" s="1" t="s">
        <v>2025</v>
      </c>
      <c r="B348" s="1" t="s">
        <v>2729</v>
      </c>
      <c r="C348" t="s">
        <v>5084</v>
      </c>
      <c r="D348" t="s">
        <v>7378</v>
      </c>
      <c r="E348" t="s">
        <v>9082</v>
      </c>
    </row>
    <row r="349" spans="1:5" ht="15.6" x14ac:dyDescent="0.3">
      <c r="A349" s="1" t="s">
        <v>2024</v>
      </c>
      <c r="B349" s="1" t="s">
        <v>2730</v>
      </c>
      <c r="C349" t="s">
        <v>5085</v>
      </c>
      <c r="D349" t="s">
        <v>7379</v>
      </c>
      <c r="E349" t="s">
        <v>9083</v>
      </c>
    </row>
    <row r="350" spans="1:5" ht="15.6" x14ac:dyDescent="0.3">
      <c r="A350" s="1" t="s">
        <v>2023</v>
      </c>
      <c r="B350" s="1" t="s">
        <v>2731</v>
      </c>
      <c r="C350" t="s">
        <v>5086</v>
      </c>
      <c r="D350" t="s">
        <v>7380</v>
      </c>
      <c r="E350" t="s">
        <v>9084</v>
      </c>
    </row>
    <row r="351" spans="1:5" ht="15.6" x14ac:dyDescent="0.3">
      <c r="A351" s="1" t="s">
        <v>2022</v>
      </c>
      <c r="B351" s="1" t="s">
        <v>2732</v>
      </c>
      <c r="C351" t="s">
        <v>5087</v>
      </c>
      <c r="D351" t="s">
        <v>7381</v>
      </c>
      <c r="E351" t="s">
        <v>9085</v>
      </c>
    </row>
    <row r="352" spans="1:5" ht="15.6" x14ac:dyDescent="0.3">
      <c r="A352" s="1" t="s">
        <v>2021</v>
      </c>
      <c r="B352" s="1" t="s">
        <v>2733</v>
      </c>
      <c r="C352" t="s">
        <v>5088</v>
      </c>
      <c r="D352" t="s">
        <v>7382</v>
      </c>
      <c r="E352" t="s">
        <v>9086</v>
      </c>
    </row>
    <row r="353" spans="1:5" ht="15.6" x14ac:dyDescent="0.3">
      <c r="A353" s="1" t="s">
        <v>2020</v>
      </c>
      <c r="B353" s="1" t="s">
        <v>2734</v>
      </c>
      <c r="C353" t="s">
        <v>5089</v>
      </c>
      <c r="D353" t="s">
        <v>7383</v>
      </c>
      <c r="E353" t="s">
        <v>9087</v>
      </c>
    </row>
    <row r="354" spans="1:5" ht="15.6" x14ac:dyDescent="0.3">
      <c r="A354" s="1" t="s">
        <v>2019</v>
      </c>
      <c r="B354" s="1" t="s">
        <v>2735</v>
      </c>
      <c r="C354" t="s">
        <v>5090</v>
      </c>
      <c r="D354" t="s">
        <v>7384</v>
      </c>
      <c r="E354" t="s">
        <v>8827</v>
      </c>
    </row>
    <row r="355" spans="1:5" ht="15.6" x14ac:dyDescent="0.3">
      <c r="A355" s="1" t="s">
        <v>2018</v>
      </c>
      <c r="B355" s="1" t="s">
        <v>2736</v>
      </c>
      <c r="C355" t="s">
        <v>5091</v>
      </c>
      <c r="D355" t="s">
        <v>7385</v>
      </c>
      <c r="E355" t="s">
        <v>9088</v>
      </c>
    </row>
    <row r="356" spans="1:5" ht="15.6" x14ac:dyDescent="0.3">
      <c r="A356" s="1" t="s">
        <v>2017</v>
      </c>
      <c r="B356" s="1" t="s">
        <v>2737</v>
      </c>
      <c r="C356" t="s">
        <v>5092</v>
      </c>
      <c r="D356" t="s">
        <v>7386</v>
      </c>
      <c r="E356" t="s">
        <v>9089</v>
      </c>
    </row>
    <row r="357" spans="1:5" ht="15.6" x14ac:dyDescent="0.3">
      <c r="A357" s="1" t="s">
        <v>2016</v>
      </c>
      <c r="B357" s="1" t="s">
        <v>2738</v>
      </c>
      <c r="C357" t="s">
        <v>5093</v>
      </c>
      <c r="D357" t="s">
        <v>7387</v>
      </c>
      <c r="E357" t="s">
        <v>9090</v>
      </c>
    </row>
    <row r="358" spans="1:5" ht="15.6" x14ac:dyDescent="0.3">
      <c r="A358" s="1" t="s">
        <v>2015</v>
      </c>
      <c r="B358" s="1" t="s">
        <v>2739</v>
      </c>
      <c r="C358" t="s">
        <v>5094</v>
      </c>
      <c r="D358" t="s">
        <v>7388</v>
      </c>
      <c r="E358" t="s">
        <v>9091</v>
      </c>
    </row>
    <row r="359" spans="1:5" ht="15.6" x14ac:dyDescent="0.3">
      <c r="A359" s="1" t="s">
        <v>2014</v>
      </c>
      <c r="B359" s="1" t="s">
        <v>2740</v>
      </c>
      <c r="C359" t="s">
        <v>5095</v>
      </c>
      <c r="D359" t="s">
        <v>7389</v>
      </c>
      <c r="E359" t="s">
        <v>9092</v>
      </c>
    </row>
    <row r="360" spans="1:5" ht="15.6" x14ac:dyDescent="0.3">
      <c r="A360" s="1" t="s">
        <v>2013</v>
      </c>
      <c r="B360" s="1" t="s">
        <v>2741</v>
      </c>
      <c r="C360" t="s">
        <v>5096</v>
      </c>
      <c r="D360" t="s">
        <v>7390</v>
      </c>
      <c r="E360" t="s">
        <v>9093</v>
      </c>
    </row>
    <row r="361" spans="1:5" ht="15.6" x14ac:dyDescent="0.3">
      <c r="A361" s="1" t="s">
        <v>2012</v>
      </c>
      <c r="B361" s="1" t="s">
        <v>2742</v>
      </c>
      <c r="C361" t="s">
        <v>5097</v>
      </c>
      <c r="D361" t="s">
        <v>7391</v>
      </c>
      <c r="E361" t="s">
        <v>8934</v>
      </c>
    </row>
    <row r="362" spans="1:5" ht="15.6" x14ac:dyDescent="0.3">
      <c r="A362" s="1" t="s">
        <v>2011</v>
      </c>
      <c r="B362" s="1" t="s">
        <v>2743</v>
      </c>
      <c r="C362" t="s">
        <v>5098</v>
      </c>
      <c r="D362" t="s">
        <v>7392</v>
      </c>
      <c r="E362" t="s">
        <v>9094</v>
      </c>
    </row>
    <row r="363" spans="1:5" ht="15.6" x14ac:dyDescent="0.3">
      <c r="A363" s="1" t="s">
        <v>2010</v>
      </c>
      <c r="B363" s="1" t="s">
        <v>2744</v>
      </c>
      <c r="C363" t="s">
        <v>5099</v>
      </c>
      <c r="D363" t="s">
        <v>7137</v>
      </c>
      <c r="E363" t="s">
        <v>9095</v>
      </c>
    </row>
    <row r="364" spans="1:5" ht="15.6" x14ac:dyDescent="0.3">
      <c r="A364" s="1" t="s">
        <v>2009</v>
      </c>
      <c r="B364" s="1" t="s">
        <v>2745</v>
      </c>
      <c r="C364" t="s">
        <v>5100</v>
      </c>
      <c r="D364" t="s">
        <v>7393</v>
      </c>
      <c r="E364" t="s">
        <v>9096</v>
      </c>
    </row>
    <row r="365" spans="1:5" ht="15.6" x14ac:dyDescent="0.3">
      <c r="A365" s="1" t="s">
        <v>2008</v>
      </c>
      <c r="B365" s="1" t="s">
        <v>2746</v>
      </c>
      <c r="C365" t="s">
        <v>5101</v>
      </c>
      <c r="D365" t="s">
        <v>7394</v>
      </c>
      <c r="E365" t="s">
        <v>9097</v>
      </c>
    </row>
    <row r="366" spans="1:5" ht="15.6" x14ac:dyDescent="0.3">
      <c r="A366" s="1" t="s">
        <v>2007</v>
      </c>
      <c r="B366" s="1" t="s">
        <v>2747</v>
      </c>
      <c r="C366" t="s">
        <v>5102</v>
      </c>
      <c r="D366" t="s">
        <v>7395</v>
      </c>
      <c r="E366" t="s">
        <v>9098</v>
      </c>
    </row>
    <row r="367" spans="1:5" ht="15.6" x14ac:dyDescent="0.3">
      <c r="A367" s="1" t="s">
        <v>2006</v>
      </c>
      <c r="B367" s="1" t="s">
        <v>2748</v>
      </c>
      <c r="C367" t="s">
        <v>5103</v>
      </c>
      <c r="D367" t="s">
        <v>7396</v>
      </c>
      <c r="E367" t="s">
        <v>9099</v>
      </c>
    </row>
    <row r="368" spans="1:5" ht="15.6" x14ac:dyDescent="0.3">
      <c r="A368" s="1" t="s">
        <v>2005</v>
      </c>
      <c r="B368" s="1" t="s">
        <v>2749</v>
      </c>
      <c r="C368" t="s">
        <v>5104</v>
      </c>
      <c r="D368" t="s">
        <v>7397</v>
      </c>
      <c r="E368" t="s">
        <v>9100</v>
      </c>
    </row>
    <row r="369" spans="1:5" ht="15.6" x14ac:dyDescent="0.3">
      <c r="A369" s="1" t="s">
        <v>2004</v>
      </c>
      <c r="B369" s="1" t="s">
        <v>2750</v>
      </c>
      <c r="C369" t="s">
        <v>5105</v>
      </c>
      <c r="D369" t="s">
        <v>7398</v>
      </c>
      <c r="E369" t="s">
        <v>9101</v>
      </c>
    </row>
    <row r="370" spans="1:5" ht="15.6" x14ac:dyDescent="0.3">
      <c r="A370" s="1" t="s">
        <v>2003</v>
      </c>
      <c r="B370" s="1" t="s">
        <v>2751</v>
      </c>
      <c r="C370" t="s">
        <v>5106</v>
      </c>
      <c r="D370" t="s">
        <v>7399</v>
      </c>
      <c r="E370" t="s">
        <v>9102</v>
      </c>
    </row>
    <row r="371" spans="1:5" ht="15.6" x14ac:dyDescent="0.3">
      <c r="A371" s="1" t="s">
        <v>2002</v>
      </c>
      <c r="B371" s="1" t="s">
        <v>2752</v>
      </c>
      <c r="C371" t="s">
        <v>5107</v>
      </c>
      <c r="D371" t="s">
        <v>7400</v>
      </c>
      <c r="E371" t="s">
        <v>9103</v>
      </c>
    </row>
    <row r="372" spans="1:5" ht="15.6" x14ac:dyDescent="0.3">
      <c r="A372" s="1" t="s">
        <v>2001</v>
      </c>
      <c r="B372" s="1" t="s">
        <v>2753</v>
      </c>
      <c r="C372" t="s">
        <v>5108</v>
      </c>
      <c r="D372" t="s">
        <v>7401</v>
      </c>
      <c r="E372" t="s">
        <v>9104</v>
      </c>
    </row>
    <row r="373" spans="1:5" ht="15.6" x14ac:dyDescent="0.3">
      <c r="A373" s="1" t="s">
        <v>2000</v>
      </c>
      <c r="B373" s="1" t="s">
        <v>2754</v>
      </c>
      <c r="C373" t="s">
        <v>5109</v>
      </c>
      <c r="D373" t="s">
        <v>7402</v>
      </c>
      <c r="E373" t="s">
        <v>9105</v>
      </c>
    </row>
    <row r="374" spans="1:5" ht="15.6" x14ac:dyDescent="0.3">
      <c r="A374" s="1" t="s">
        <v>1999</v>
      </c>
      <c r="B374" s="1" t="s">
        <v>2755</v>
      </c>
      <c r="C374" t="s">
        <v>5110</v>
      </c>
      <c r="D374" t="s">
        <v>7403</v>
      </c>
      <c r="E374" t="s">
        <v>9106</v>
      </c>
    </row>
    <row r="375" spans="1:5" ht="15.6" x14ac:dyDescent="0.3">
      <c r="A375" s="1" t="s">
        <v>1998</v>
      </c>
      <c r="B375" s="1" t="s">
        <v>2756</v>
      </c>
      <c r="C375" t="s">
        <v>5111</v>
      </c>
      <c r="D375" t="s">
        <v>7330</v>
      </c>
      <c r="E375" t="s">
        <v>9107</v>
      </c>
    </row>
    <row r="376" spans="1:5" ht="15.6" x14ac:dyDescent="0.3">
      <c r="A376" s="1" t="s">
        <v>1997</v>
      </c>
      <c r="B376" s="1" t="s">
        <v>2757</v>
      </c>
      <c r="C376" t="s">
        <v>5112</v>
      </c>
      <c r="D376" t="s">
        <v>7404</v>
      </c>
      <c r="E376" t="s">
        <v>9108</v>
      </c>
    </row>
    <row r="377" spans="1:5" ht="15.6" x14ac:dyDescent="0.3">
      <c r="A377" s="1" t="s">
        <v>1996</v>
      </c>
      <c r="B377" s="1" t="s">
        <v>2758</v>
      </c>
      <c r="C377" t="s">
        <v>5113</v>
      </c>
      <c r="D377" t="s">
        <v>7405</v>
      </c>
      <c r="E377" t="s">
        <v>9109</v>
      </c>
    </row>
    <row r="378" spans="1:5" ht="15.6" x14ac:dyDescent="0.3">
      <c r="A378" s="1" t="s">
        <v>1995</v>
      </c>
      <c r="B378" s="1" t="s">
        <v>2759</v>
      </c>
      <c r="C378" t="s">
        <v>5114</v>
      </c>
      <c r="D378" t="s">
        <v>7217</v>
      </c>
      <c r="E378" t="s">
        <v>9110</v>
      </c>
    </row>
    <row r="379" spans="1:5" ht="15.6" x14ac:dyDescent="0.3">
      <c r="A379" s="1" t="s">
        <v>1994</v>
      </c>
      <c r="B379" s="1" t="s">
        <v>2760</v>
      </c>
      <c r="C379" t="s">
        <v>5115</v>
      </c>
      <c r="D379" t="s">
        <v>7406</v>
      </c>
      <c r="E379" t="s">
        <v>9111</v>
      </c>
    </row>
    <row r="380" spans="1:5" ht="15.6" x14ac:dyDescent="0.3">
      <c r="A380" s="1" t="s">
        <v>1993</v>
      </c>
      <c r="B380" s="1" t="s">
        <v>2761</v>
      </c>
      <c r="C380" t="s">
        <v>5116</v>
      </c>
      <c r="D380" t="s">
        <v>7251</v>
      </c>
      <c r="E380" t="s">
        <v>9112</v>
      </c>
    </row>
    <row r="381" spans="1:5" ht="15.6" x14ac:dyDescent="0.3">
      <c r="A381" s="1" t="s">
        <v>1992</v>
      </c>
      <c r="B381" s="1" t="s">
        <v>2762</v>
      </c>
      <c r="C381" t="s">
        <v>5117</v>
      </c>
      <c r="D381" t="s">
        <v>7407</v>
      </c>
      <c r="E381" t="s">
        <v>9113</v>
      </c>
    </row>
    <row r="382" spans="1:5" ht="15.6" x14ac:dyDescent="0.3">
      <c r="A382" s="1" t="s">
        <v>1991</v>
      </c>
      <c r="B382" s="1" t="s">
        <v>2763</v>
      </c>
      <c r="C382" t="s">
        <v>5118</v>
      </c>
      <c r="D382" t="s">
        <v>7408</v>
      </c>
      <c r="E382" t="s">
        <v>9114</v>
      </c>
    </row>
    <row r="383" spans="1:5" ht="15.6" x14ac:dyDescent="0.3">
      <c r="A383" s="1" t="s">
        <v>1990</v>
      </c>
      <c r="B383" s="1" t="s">
        <v>2764</v>
      </c>
      <c r="C383" t="s">
        <v>5119</v>
      </c>
      <c r="D383" t="s">
        <v>7081</v>
      </c>
      <c r="E383" t="s">
        <v>9115</v>
      </c>
    </row>
    <row r="384" spans="1:5" ht="15.6" x14ac:dyDescent="0.3">
      <c r="A384" s="1" t="s">
        <v>1989</v>
      </c>
      <c r="B384" s="1" t="s">
        <v>2765</v>
      </c>
      <c r="C384" t="s">
        <v>5120</v>
      </c>
      <c r="D384" t="s">
        <v>7284</v>
      </c>
      <c r="E384" t="s">
        <v>9116</v>
      </c>
    </row>
    <row r="385" spans="1:5" ht="15.6" x14ac:dyDescent="0.3">
      <c r="A385" s="1" t="s">
        <v>1988</v>
      </c>
      <c r="B385" s="1" t="s">
        <v>2766</v>
      </c>
      <c r="C385" t="s">
        <v>5121</v>
      </c>
      <c r="D385" t="s">
        <v>7146</v>
      </c>
      <c r="E385" t="s">
        <v>9117</v>
      </c>
    </row>
    <row r="386" spans="1:5" ht="15.6" x14ac:dyDescent="0.3">
      <c r="A386" s="1" t="s">
        <v>1987</v>
      </c>
      <c r="B386" s="1" t="s">
        <v>2767</v>
      </c>
      <c r="C386" t="s">
        <v>5122</v>
      </c>
      <c r="D386" t="s">
        <v>7409</v>
      </c>
      <c r="E386" t="s">
        <v>9118</v>
      </c>
    </row>
    <row r="387" spans="1:5" ht="15.6" x14ac:dyDescent="0.3">
      <c r="A387" s="1" t="s">
        <v>1986</v>
      </c>
      <c r="B387" s="1" t="s">
        <v>2768</v>
      </c>
      <c r="C387" t="s">
        <v>5123</v>
      </c>
      <c r="D387" t="s">
        <v>7410</v>
      </c>
      <c r="E387" t="s">
        <v>9119</v>
      </c>
    </row>
    <row r="388" spans="1:5" ht="15.6" x14ac:dyDescent="0.3">
      <c r="A388" s="1" t="s">
        <v>1985</v>
      </c>
      <c r="B388" s="1" t="s">
        <v>2769</v>
      </c>
      <c r="C388" t="s">
        <v>5124</v>
      </c>
      <c r="D388" t="s">
        <v>7411</v>
      </c>
      <c r="E388" t="s">
        <v>9120</v>
      </c>
    </row>
    <row r="389" spans="1:5" ht="15.6" x14ac:dyDescent="0.3">
      <c r="A389" s="1" t="s">
        <v>1984</v>
      </c>
      <c r="B389" s="1" t="s">
        <v>2770</v>
      </c>
      <c r="C389" t="s">
        <v>5125</v>
      </c>
      <c r="D389" t="s">
        <v>7412</v>
      </c>
      <c r="E389" t="s">
        <v>9121</v>
      </c>
    </row>
    <row r="390" spans="1:5" ht="15.6" x14ac:dyDescent="0.3">
      <c r="A390" s="1" t="s">
        <v>1983</v>
      </c>
      <c r="B390" s="1" t="s">
        <v>2771</v>
      </c>
      <c r="C390" t="s">
        <v>5126</v>
      </c>
      <c r="D390" t="s">
        <v>7350</v>
      </c>
      <c r="E390" t="s">
        <v>9122</v>
      </c>
    </row>
    <row r="391" spans="1:5" ht="15.6" x14ac:dyDescent="0.3">
      <c r="A391" s="1" t="s">
        <v>1982</v>
      </c>
      <c r="B391" s="1" t="s">
        <v>2772</v>
      </c>
      <c r="C391" t="s">
        <v>5127</v>
      </c>
      <c r="D391" t="s">
        <v>7413</v>
      </c>
      <c r="E391" t="s">
        <v>9123</v>
      </c>
    </row>
    <row r="392" spans="1:5" ht="15.6" x14ac:dyDescent="0.3">
      <c r="A392" s="1" t="s">
        <v>1981</v>
      </c>
      <c r="B392" s="1" t="s">
        <v>2773</v>
      </c>
      <c r="C392" t="s">
        <v>5128</v>
      </c>
      <c r="D392" t="s">
        <v>7414</v>
      </c>
      <c r="E392" t="s">
        <v>9124</v>
      </c>
    </row>
    <row r="393" spans="1:5" ht="15.6" x14ac:dyDescent="0.3">
      <c r="A393" s="1" t="s">
        <v>1980</v>
      </c>
      <c r="B393" s="1" t="s">
        <v>2774</v>
      </c>
      <c r="C393" t="s">
        <v>5129</v>
      </c>
      <c r="D393" t="s">
        <v>7122</v>
      </c>
      <c r="E393" t="s">
        <v>9125</v>
      </c>
    </row>
    <row r="394" spans="1:5" ht="15.6" x14ac:dyDescent="0.3">
      <c r="A394" s="1" t="s">
        <v>1979</v>
      </c>
      <c r="B394" s="1" t="s">
        <v>2775</v>
      </c>
      <c r="C394" t="s">
        <v>5130</v>
      </c>
      <c r="D394" t="s">
        <v>7415</v>
      </c>
      <c r="E394" t="s">
        <v>9126</v>
      </c>
    </row>
    <row r="395" spans="1:5" ht="15.6" x14ac:dyDescent="0.3">
      <c r="A395" s="1" t="s">
        <v>1978</v>
      </c>
      <c r="B395" s="1" t="s">
        <v>2776</v>
      </c>
      <c r="C395" t="s">
        <v>5131</v>
      </c>
      <c r="D395" t="s">
        <v>7416</v>
      </c>
      <c r="E395" t="s">
        <v>8951</v>
      </c>
    </row>
    <row r="396" spans="1:5" ht="15.6" x14ac:dyDescent="0.3">
      <c r="A396" s="1" t="s">
        <v>1977</v>
      </c>
      <c r="B396" s="1" t="s">
        <v>2777</v>
      </c>
      <c r="C396" t="s">
        <v>5132</v>
      </c>
      <c r="D396" t="s">
        <v>7417</v>
      </c>
      <c r="E396" t="s">
        <v>9127</v>
      </c>
    </row>
    <row r="397" spans="1:5" ht="15.6" x14ac:dyDescent="0.3">
      <c r="A397" s="1" t="s">
        <v>1976</v>
      </c>
      <c r="B397" s="1" t="s">
        <v>2778</v>
      </c>
      <c r="C397" t="s">
        <v>5133</v>
      </c>
      <c r="D397" t="s">
        <v>7418</v>
      </c>
      <c r="E397" t="s">
        <v>9128</v>
      </c>
    </row>
    <row r="398" spans="1:5" ht="15.6" x14ac:dyDescent="0.3">
      <c r="A398" s="1" t="s">
        <v>1975</v>
      </c>
      <c r="B398" s="1" t="s">
        <v>2779</v>
      </c>
      <c r="C398" t="s">
        <v>5134</v>
      </c>
      <c r="D398" t="s">
        <v>7419</v>
      </c>
      <c r="E398" t="s">
        <v>9129</v>
      </c>
    </row>
    <row r="399" spans="1:5" ht="15.6" x14ac:dyDescent="0.3">
      <c r="A399" s="1" t="s">
        <v>1974</v>
      </c>
      <c r="B399" s="1" t="s">
        <v>2780</v>
      </c>
      <c r="C399" t="s">
        <v>5135</v>
      </c>
      <c r="D399" t="s">
        <v>7420</v>
      </c>
      <c r="E399" t="s">
        <v>9130</v>
      </c>
    </row>
    <row r="400" spans="1:5" ht="15.6" x14ac:dyDescent="0.3">
      <c r="A400" s="1" t="s">
        <v>1973</v>
      </c>
      <c r="B400" s="1" t="s">
        <v>2781</v>
      </c>
      <c r="C400" t="s">
        <v>5136</v>
      </c>
      <c r="D400" t="s">
        <v>7157</v>
      </c>
      <c r="E400" t="s">
        <v>9131</v>
      </c>
    </row>
    <row r="401" spans="1:5" ht="15.6" x14ac:dyDescent="0.3">
      <c r="A401" s="1" t="s">
        <v>1972</v>
      </c>
      <c r="B401" s="1" t="s">
        <v>2782</v>
      </c>
      <c r="C401" t="s">
        <v>5137</v>
      </c>
      <c r="D401" t="s">
        <v>7421</v>
      </c>
      <c r="E401" t="s">
        <v>9132</v>
      </c>
    </row>
    <row r="402" spans="1:5" ht="15.6" x14ac:dyDescent="0.3">
      <c r="A402" s="1" t="s">
        <v>1971</v>
      </c>
      <c r="B402" s="1" t="s">
        <v>2783</v>
      </c>
      <c r="C402" t="s">
        <v>5138</v>
      </c>
      <c r="D402" t="s">
        <v>7422</v>
      </c>
      <c r="E402" t="s">
        <v>9133</v>
      </c>
    </row>
    <row r="403" spans="1:5" ht="15.6" x14ac:dyDescent="0.3">
      <c r="A403" s="1" t="s">
        <v>1970</v>
      </c>
      <c r="B403" s="1" t="s">
        <v>2784</v>
      </c>
      <c r="C403" t="s">
        <v>5139</v>
      </c>
      <c r="D403" t="s">
        <v>7423</v>
      </c>
      <c r="E403" t="s">
        <v>9134</v>
      </c>
    </row>
    <row r="404" spans="1:5" ht="15.6" x14ac:dyDescent="0.3">
      <c r="A404" s="1" t="s">
        <v>1969</v>
      </c>
      <c r="B404" s="1" t="s">
        <v>2785</v>
      </c>
      <c r="C404" t="s">
        <v>5140</v>
      </c>
      <c r="D404" t="s">
        <v>7424</v>
      </c>
      <c r="E404" t="s">
        <v>9135</v>
      </c>
    </row>
    <row r="405" spans="1:5" ht="15.6" x14ac:dyDescent="0.3">
      <c r="A405" s="1" t="s">
        <v>1968</v>
      </c>
      <c r="B405" s="1" t="s">
        <v>2786</v>
      </c>
      <c r="C405" t="s">
        <v>5141</v>
      </c>
      <c r="D405" t="s">
        <v>7425</v>
      </c>
      <c r="E405" t="s">
        <v>9136</v>
      </c>
    </row>
    <row r="406" spans="1:5" ht="15.6" x14ac:dyDescent="0.3">
      <c r="A406" s="1" t="s">
        <v>1967</v>
      </c>
      <c r="B406" s="1" t="s">
        <v>2787</v>
      </c>
      <c r="C406" t="s">
        <v>5142</v>
      </c>
      <c r="D406" t="s">
        <v>7426</v>
      </c>
      <c r="E406" t="s">
        <v>9137</v>
      </c>
    </row>
    <row r="407" spans="1:5" ht="15.6" x14ac:dyDescent="0.3">
      <c r="A407" s="1" t="s">
        <v>1966</v>
      </c>
      <c r="B407" s="1" t="s">
        <v>2788</v>
      </c>
      <c r="C407" t="s">
        <v>5143</v>
      </c>
      <c r="D407" t="s">
        <v>7427</v>
      </c>
      <c r="E407" t="s">
        <v>9138</v>
      </c>
    </row>
    <row r="408" spans="1:5" ht="15.6" x14ac:dyDescent="0.3">
      <c r="A408" s="1" t="s">
        <v>1965</v>
      </c>
      <c r="B408" s="1" t="s">
        <v>2789</v>
      </c>
      <c r="C408" t="s">
        <v>5144</v>
      </c>
      <c r="D408" t="s">
        <v>7428</v>
      </c>
      <c r="E408" t="s">
        <v>9139</v>
      </c>
    </row>
    <row r="409" spans="1:5" ht="15.6" x14ac:dyDescent="0.3">
      <c r="A409" s="1" t="s">
        <v>1964</v>
      </c>
      <c r="B409" s="1" t="s">
        <v>2790</v>
      </c>
      <c r="C409" t="s">
        <v>5145</v>
      </c>
      <c r="D409" t="s">
        <v>7429</v>
      </c>
      <c r="E409" t="s">
        <v>9140</v>
      </c>
    </row>
    <row r="410" spans="1:5" ht="15.6" x14ac:dyDescent="0.3">
      <c r="A410" s="1" t="s">
        <v>1963</v>
      </c>
      <c r="B410" s="1" t="s">
        <v>2791</v>
      </c>
      <c r="C410" t="s">
        <v>5146</v>
      </c>
      <c r="D410" t="s">
        <v>7430</v>
      </c>
      <c r="E410" t="s">
        <v>9141</v>
      </c>
    </row>
    <row r="411" spans="1:5" ht="15.6" x14ac:dyDescent="0.3">
      <c r="A411" s="1" t="s">
        <v>1962</v>
      </c>
      <c r="B411" s="1" t="s">
        <v>2792</v>
      </c>
      <c r="C411" t="s">
        <v>5147</v>
      </c>
      <c r="D411" t="s">
        <v>7431</v>
      </c>
      <c r="E411" t="s">
        <v>9142</v>
      </c>
    </row>
    <row r="412" spans="1:5" ht="15.6" x14ac:dyDescent="0.3">
      <c r="A412" s="1" t="s">
        <v>1961</v>
      </c>
      <c r="B412" s="1" t="s">
        <v>2793</v>
      </c>
      <c r="C412" t="s">
        <v>5148</v>
      </c>
      <c r="D412" t="s">
        <v>7432</v>
      </c>
      <c r="E412" t="s">
        <v>9143</v>
      </c>
    </row>
    <row r="413" spans="1:5" ht="15.6" x14ac:dyDescent="0.3">
      <c r="A413" s="1" t="s">
        <v>1960</v>
      </c>
      <c r="B413" s="1" t="s">
        <v>2794</v>
      </c>
      <c r="C413" t="s">
        <v>5149</v>
      </c>
      <c r="D413" t="s">
        <v>7433</v>
      </c>
      <c r="E413" t="s">
        <v>9144</v>
      </c>
    </row>
    <row r="414" spans="1:5" ht="15.6" x14ac:dyDescent="0.3">
      <c r="A414" s="1" t="s">
        <v>1959</v>
      </c>
      <c r="B414" s="1" t="s">
        <v>2795</v>
      </c>
      <c r="C414" t="s">
        <v>5150</v>
      </c>
      <c r="D414" t="s">
        <v>7434</v>
      </c>
      <c r="E414" t="s">
        <v>9145</v>
      </c>
    </row>
    <row r="415" spans="1:5" ht="15.6" x14ac:dyDescent="0.3">
      <c r="A415" s="1" t="s">
        <v>1958</v>
      </c>
      <c r="B415" s="1" t="s">
        <v>2796</v>
      </c>
      <c r="C415" t="s">
        <v>5151</v>
      </c>
      <c r="D415" t="s">
        <v>7435</v>
      </c>
      <c r="E415" t="s">
        <v>9146</v>
      </c>
    </row>
    <row r="416" spans="1:5" ht="15.6" x14ac:dyDescent="0.3">
      <c r="A416" s="1" t="s">
        <v>1957</v>
      </c>
      <c r="B416" s="1" t="s">
        <v>2797</v>
      </c>
      <c r="C416" t="s">
        <v>5152</v>
      </c>
      <c r="D416" t="s">
        <v>7436</v>
      </c>
      <c r="E416" t="s">
        <v>9147</v>
      </c>
    </row>
    <row r="417" spans="1:5" ht="15.6" x14ac:dyDescent="0.3">
      <c r="A417" s="1" t="s">
        <v>1956</v>
      </c>
      <c r="B417" s="1" t="s">
        <v>2798</v>
      </c>
      <c r="C417" t="s">
        <v>5153</v>
      </c>
      <c r="D417" t="s">
        <v>7081</v>
      </c>
      <c r="E417" t="s">
        <v>9148</v>
      </c>
    </row>
    <row r="418" spans="1:5" ht="15.6" x14ac:dyDescent="0.3">
      <c r="A418" s="1" t="s">
        <v>1955</v>
      </c>
      <c r="B418" s="1" t="s">
        <v>2799</v>
      </c>
      <c r="C418" t="s">
        <v>5154</v>
      </c>
      <c r="D418" t="s">
        <v>7437</v>
      </c>
      <c r="E418" t="s">
        <v>9149</v>
      </c>
    </row>
    <row r="419" spans="1:5" ht="15.6" x14ac:dyDescent="0.3">
      <c r="A419" s="1" t="s">
        <v>1954</v>
      </c>
      <c r="B419" s="1" t="s">
        <v>2800</v>
      </c>
      <c r="C419" t="s">
        <v>5155</v>
      </c>
      <c r="D419" t="s">
        <v>7377</v>
      </c>
      <c r="E419" t="s">
        <v>9150</v>
      </c>
    </row>
    <row r="420" spans="1:5" ht="15.6" x14ac:dyDescent="0.3">
      <c r="A420" s="1" t="s">
        <v>1953</v>
      </c>
      <c r="B420" s="1" t="s">
        <v>2801</v>
      </c>
      <c r="C420" t="s">
        <v>5156</v>
      </c>
      <c r="D420" t="s">
        <v>7438</v>
      </c>
      <c r="E420" t="s">
        <v>9151</v>
      </c>
    </row>
    <row r="421" spans="1:5" ht="15.6" x14ac:dyDescent="0.3">
      <c r="A421" s="1" t="s">
        <v>1952</v>
      </c>
      <c r="B421" s="1" t="s">
        <v>2802</v>
      </c>
      <c r="C421" t="s">
        <v>5157</v>
      </c>
      <c r="D421" t="s">
        <v>7439</v>
      </c>
      <c r="E421" t="s">
        <v>9152</v>
      </c>
    </row>
    <row r="422" spans="1:5" ht="15.6" x14ac:dyDescent="0.3">
      <c r="A422" s="1" t="s">
        <v>1951</v>
      </c>
      <c r="B422" s="1" t="s">
        <v>2803</v>
      </c>
      <c r="C422" t="s">
        <v>5158</v>
      </c>
      <c r="D422" t="s">
        <v>7440</v>
      </c>
      <c r="E422" t="s">
        <v>9153</v>
      </c>
    </row>
    <row r="423" spans="1:5" ht="15.6" x14ac:dyDescent="0.3">
      <c r="A423" s="1" t="s">
        <v>1950</v>
      </c>
      <c r="B423" s="1" t="s">
        <v>2804</v>
      </c>
      <c r="C423" t="s">
        <v>5159</v>
      </c>
      <c r="D423" t="s">
        <v>7441</v>
      </c>
      <c r="E423" t="s">
        <v>8857</v>
      </c>
    </row>
    <row r="424" spans="1:5" ht="15.6" x14ac:dyDescent="0.3">
      <c r="A424" s="1" t="s">
        <v>1949</v>
      </c>
      <c r="B424" s="1" t="s">
        <v>2805</v>
      </c>
      <c r="C424" t="s">
        <v>5160</v>
      </c>
      <c r="D424" t="s">
        <v>7442</v>
      </c>
      <c r="E424" t="s">
        <v>9154</v>
      </c>
    </row>
    <row r="425" spans="1:5" ht="15.6" x14ac:dyDescent="0.3">
      <c r="A425" s="1" t="s">
        <v>1948</v>
      </c>
      <c r="B425" s="1" t="s">
        <v>2806</v>
      </c>
      <c r="C425" t="s">
        <v>5161</v>
      </c>
      <c r="D425" t="s">
        <v>7443</v>
      </c>
      <c r="E425" t="s">
        <v>9155</v>
      </c>
    </row>
    <row r="426" spans="1:5" ht="15.6" x14ac:dyDescent="0.3">
      <c r="A426" s="1" t="s">
        <v>1947</v>
      </c>
      <c r="B426" s="1" t="s">
        <v>2807</v>
      </c>
      <c r="C426" t="s">
        <v>5162</v>
      </c>
      <c r="D426" t="s">
        <v>7444</v>
      </c>
      <c r="E426" t="s">
        <v>9156</v>
      </c>
    </row>
    <row r="427" spans="1:5" ht="15.6" x14ac:dyDescent="0.3">
      <c r="A427" s="1" t="s">
        <v>1946</v>
      </c>
      <c r="B427" s="1" t="s">
        <v>2808</v>
      </c>
      <c r="C427" t="s">
        <v>5163</v>
      </c>
      <c r="D427" t="s">
        <v>7260</v>
      </c>
      <c r="E427" t="s">
        <v>9157</v>
      </c>
    </row>
    <row r="428" spans="1:5" ht="15.6" x14ac:dyDescent="0.3">
      <c r="A428" s="1" t="s">
        <v>1945</v>
      </c>
      <c r="B428" s="1" t="s">
        <v>2809</v>
      </c>
      <c r="C428" t="s">
        <v>5164</v>
      </c>
      <c r="D428" t="s">
        <v>7445</v>
      </c>
      <c r="E428" t="s">
        <v>9158</v>
      </c>
    </row>
    <row r="429" spans="1:5" ht="15.6" x14ac:dyDescent="0.3">
      <c r="A429" s="1" t="s">
        <v>1944</v>
      </c>
      <c r="B429" s="1" t="s">
        <v>2810</v>
      </c>
      <c r="C429" t="s">
        <v>5165</v>
      </c>
      <c r="D429" t="s">
        <v>7446</v>
      </c>
      <c r="E429" t="s">
        <v>9159</v>
      </c>
    </row>
    <row r="430" spans="1:5" ht="15.6" x14ac:dyDescent="0.3">
      <c r="A430" s="1" t="s">
        <v>1943</v>
      </c>
      <c r="B430" s="1" t="s">
        <v>2811</v>
      </c>
      <c r="C430" t="s">
        <v>5166</v>
      </c>
      <c r="D430" t="s">
        <v>7149</v>
      </c>
      <c r="E430" t="s">
        <v>9160</v>
      </c>
    </row>
    <row r="431" spans="1:5" ht="15.6" x14ac:dyDescent="0.3">
      <c r="A431" s="1" t="s">
        <v>1942</v>
      </c>
      <c r="B431" s="1" t="s">
        <v>2812</v>
      </c>
      <c r="C431" t="s">
        <v>5167</v>
      </c>
      <c r="D431" t="s">
        <v>7447</v>
      </c>
      <c r="E431" t="s">
        <v>9161</v>
      </c>
    </row>
    <row r="432" spans="1:5" ht="15.6" x14ac:dyDescent="0.3">
      <c r="A432" s="1" t="s">
        <v>1941</v>
      </c>
      <c r="B432" s="1" t="s">
        <v>2813</v>
      </c>
      <c r="C432" t="s">
        <v>5168</v>
      </c>
      <c r="D432" t="s">
        <v>7448</v>
      </c>
      <c r="E432" t="s">
        <v>9162</v>
      </c>
    </row>
    <row r="433" spans="1:5" ht="15.6" x14ac:dyDescent="0.3">
      <c r="A433" s="1" t="s">
        <v>1940</v>
      </c>
      <c r="B433" s="1" t="s">
        <v>2814</v>
      </c>
      <c r="C433" t="s">
        <v>5169</v>
      </c>
      <c r="D433" t="s">
        <v>7449</v>
      </c>
      <c r="E433" t="s">
        <v>9163</v>
      </c>
    </row>
    <row r="434" spans="1:5" ht="15.6" x14ac:dyDescent="0.3">
      <c r="A434" s="1" t="s">
        <v>1939</v>
      </c>
      <c r="B434" s="1" t="s">
        <v>2815</v>
      </c>
      <c r="C434" t="s">
        <v>5170</v>
      </c>
      <c r="D434" t="s">
        <v>7428</v>
      </c>
      <c r="E434" t="s">
        <v>9164</v>
      </c>
    </row>
    <row r="435" spans="1:5" ht="15.6" x14ac:dyDescent="0.3">
      <c r="A435" s="1" t="s">
        <v>1938</v>
      </c>
      <c r="B435" s="1" t="s">
        <v>2816</v>
      </c>
      <c r="C435" t="s">
        <v>5171</v>
      </c>
      <c r="D435" t="s">
        <v>7157</v>
      </c>
      <c r="E435" t="s">
        <v>9165</v>
      </c>
    </row>
    <row r="436" spans="1:5" ht="15.6" x14ac:dyDescent="0.3">
      <c r="A436" s="1" t="s">
        <v>1937</v>
      </c>
      <c r="B436" s="1" t="s">
        <v>2817</v>
      </c>
      <c r="C436" t="s">
        <v>5172</v>
      </c>
      <c r="D436" t="s">
        <v>7450</v>
      </c>
      <c r="E436" t="s">
        <v>9166</v>
      </c>
    </row>
    <row r="437" spans="1:5" ht="15.6" x14ac:dyDescent="0.3">
      <c r="A437" s="1" t="s">
        <v>1936</v>
      </c>
      <c r="B437" s="1" t="s">
        <v>2818</v>
      </c>
      <c r="C437" t="s">
        <v>5173</v>
      </c>
      <c r="D437" t="s">
        <v>7451</v>
      </c>
      <c r="E437" t="s">
        <v>9167</v>
      </c>
    </row>
    <row r="438" spans="1:5" ht="15.6" x14ac:dyDescent="0.3">
      <c r="A438" s="1" t="s">
        <v>1935</v>
      </c>
      <c r="B438" s="1" t="s">
        <v>2819</v>
      </c>
      <c r="C438" t="s">
        <v>5174</v>
      </c>
      <c r="D438" t="s">
        <v>7452</v>
      </c>
      <c r="E438" t="s">
        <v>9168</v>
      </c>
    </row>
    <row r="439" spans="1:5" ht="15.6" x14ac:dyDescent="0.3">
      <c r="A439" s="1" t="s">
        <v>1934</v>
      </c>
      <c r="B439" s="1" t="s">
        <v>2820</v>
      </c>
      <c r="C439" t="s">
        <v>5175</v>
      </c>
      <c r="D439" t="s">
        <v>7395</v>
      </c>
      <c r="E439" t="s">
        <v>9169</v>
      </c>
    </row>
    <row r="440" spans="1:5" ht="15.6" x14ac:dyDescent="0.3">
      <c r="A440" s="1" t="s">
        <v>1933</v>
      </c>
      <c r="B440" s="1" t="s">
        <v>2821</v>
      </c>
      <c r="C440" t="s">
        <v>5176</v>
      </c>
      <c r="D440" t="s">
        <v>7453</v>
      </c>
      <c r="E440" t="s">
        <v>9170</v>
      </c>
    </row>
    <row r="441" spans="1:5" ht="15.6" x14ac:dyDescent="0.3">
      <c r="A441" s="1" t="s">
        <v>1932</v>
      </c>
      <c r="B441" s="1" t="s">
        <v>2822</v>
      </c>
      <c r="C441" t="s">
        <v>5177</v>
      </c>
      <c r="D441" t="s">
        <v>7454</v>
      </c>
      <c r="E441" t="s">
        <v>9171</v>
      </c>
    </row>
    <row r="442" spans="1:5" ht="15.6" x14ac:dyDescent="0.3">
      <c r="A442" s="1" t="s">
        <v>1931</v>
      </c>
      <c r="B442" s="1" t="s">
        <v>2823</v>
      </c>
      <c r="C442" t="s">
        <v>5178</v>
      </c>
      <c r="D442" t="s">
        <v>7455</v>
      </c>
      <c r="E442" t="s">
        <v>9172</v>
      </c>
    </row>
    <row r="443" spans="1:5" ht="15.6" x14ac:dyDescent="0.3">
      <c r="A443" s="1" t="s">
        <v>1930</v>
      </c>
      <c r="B443" s="1" t="s">
        <v>2824</v>
      </c>
      <c r="C443" t="s">
        <v>5179</v>
      </c>
      <c r="D443" t="s">
        <v>7456</v>
      </c>
      <c r="E443" t="s">
        <v>9173</v>
      </c>
    </row>
    <row r="444" spans="1:5" ht="15.6" x14ac:dyDescent="0.3">
      <c r="A444" s="1" t="s">
        <v>1929</v>
      </c>
      <c r="B444" s="1" t="s">
        <v>2825</v>
      </c>
      <c r="C444" t="s">
        <v>5180</v>
      </c>
      <c r="D444" t="s">
        <v>7457</v>
      </c>
      <c r="E444" t="s">
        <v>8816</v>
      </c>
    </row>
    <row r="445" spans="1:5" ht="15.6" x14ac:dyDescent="0.3">
      <c r="A445" s="1" t="s">
        <v>1928</v>
      </c>
      <c r="B445" s="1" t="s">
        <v>2826</v>
      </c>
      <c r="C445" t="s">
        <v>5181</v>
      </c>
      <c r="D445" t="s">
        <v>7458</v>
      </c>
      <c r="E445" t="s">
        <v>9174</v>
      </c>
    </row>
    <row r="446" spans="1:5" ht="15.6" x14ac:dyDescent="0.3">
      <c r="A446" s="1" t="s">
        <v>1927</v>
      </c>
      <c r="B446" s="1" t="s">
        <v>2827</v>
      </c>
      <c r="C446" t="s">
        <v>5182</v>
      </c>
      <c r="D446" t="s">
        <v>7459</v>
      </c>
      <c r="E446" t="s">
        <v>9175</v>
      </c>
    </row>
    <row r="447" spans="1:5" ht="15.6" x14ac:dyDescent="0.3">
      <c r="A447" s="1" t="s">
        <v>1926</v>
      </c>
      <c r="B447" s="1" t="s">
        <v>2828</v>
      </c>
      <c r="C447" t="s">
        <v>5183</v>
      </c>
      <c r="D447" t="s">
        <v>7364</v>
      </c>
      <c r="E447" t="s">
        <v>9176</v>
      </c>
    </row>
    <row r="448" spans="1:5" ht="15.6" x14ac:dyDescent="0.3">
      <c r="A448" s="1" t="s">
        <v>1925</v>
      </c>
      <c r="B448" s="1" t="s">
        <v>2829</v>
      </c>
      <c r="C448" t="s">
        <v>5184</v>
      </c>
      <c r="D448" t="s">
        <v>7460</v>
      </c>
      <c r="E448" t="s">
        <v>9177</v>
      </c>
    </row>
    <row r="449" spans="1:5" ht="15.6" x14ac:dyDescent="0.3">
      <c r="A449" s="1" t="s">
        <v>1924</v>
      </c>
      <c r="B449" s="1" t="s">
        <v>2830</v>
      </c>
      <c r="C449" t="s">
        <v>5185</v>
      </c>
      <c r="D449" t="s">
        <v>7461</v>
      </c>
      <c r="E449" t="s">
        <v>9178</v>
      </c>
    </row>
    <row r="450" spans="1:5" ht="15.6" x14ac:dyDescent="0.3">
      <c r="A450" s="1" t="s">
        <v>1923</v>
      </c>
      <c r="B450" s="1" t="s">
        <v>2831</v>
      </c>
      <c r="C450" t="s">
        <v>5186</v>
      </c>
      <c r="D450" t="s">
        <v>7462</v>
      </c>
      <c r="E450" t="s">
        <v>9179</v>
      </c>
    </row>
    <row r="451" spans="1:5" ht="15.6" x14ac:dyDescent="0.3">
      <c r="A451" s="1" t="s">
        <v>1922</v>
      </c>
      <c r="B451" s="1" t="s">
        <v>2832</v>
      </c>
      <c r="C451" t="s">
        <v>5187</v>
      </c>
      <c r="D451" t="s">
        <v>7463</v>
      </c>
      <c r="E451" t="s">
        <v>9180</v>
      </c>
    </row>
    <row r="452" spans="1:5" ht="15.6" x14ac:dyDescent="0.3">
      <c r="A452" s="1" t="s">
        <v>1921</v>
      </c>
      <c r="B452" s="1" t="s">
        <v>2833</v>
      </c>
      <c r="C452" t="s">
        <v>5188</v>
      </c>
      <c r="D452" t="s">
        <v>7464</v>
      </c>
      <c r="E452" t="s">
        <v>9085</v>
      </c>
    </row>
    <row r="453" spans="1:5" ht="15.6" x14ac:dyDescent="0.3">
      <c r="A453" s="1" t="s">
        <v>1920</v>
      </c>
      <c r="B453" s="1" t="s">
        <v>2834</v>
      </c>
      <c r="C453" t="s">
        <v>5189</v>
      </c>
      <c r="D453" t="s">
        <v>7465</v>
      </c>
      <c r="E453" t="s">
        <v>8798</v>
      </c>
    </row>
    <row r="454" spans="1:5" ht="15.6" x14ac:dyDescent="0.3">
      <c r="A454" s="1" t="s">
        <v>1919</v>
      </c>
      <c r="B454" s="1" t="s">
        <v>2835</v>
      </c>
      <c r="C454" t="s">
        <v>5190</v>
      </c>
      <c r="D454" t="s">
        <v>7466</v>
      </c>
      <c r="E454" t="s">
        <v>9181</v>
      </c>
    </row>
    <row r="455" spans="1:5" ht="15.6" x14ac:dyDescent="0.3">
      <c r="A455" s="1" t="s">
        <v>1918</v>
      </c>
      <c r="B455" s="1" t="s">
        <v>2836</v>
      </c>
      <c r="C455" t="s">
        <v>5191</v>
      </c>
      <c r="D455" t="s">
        <v>7197</v>
      </c>
      <c r="E455" t="s">
        <v>9182</v>
      </c>
    </row>
    <row r="456" spans="1:5" ht="15.6" x14ac:dyDescent="0.3">
      <c r="A456" s="1" t="s">
        <v>1917</v>
      </c>
      <c r="B456" s="1" t="s">
        <v>2837</v>
      </c>
      <c r="C456" t="s">
        <v>5192</v>
      </c>
      <c r="D456" t="s">
        <v>7081</v>
      </c>
      <c r="E456" t="s">
        <v>9183</v>
      </c>
    </row>
    <row r="457" spans="1:5" ht="15.6" x14ac:dyDescent="0.3">
      <c r="A457" s="1" t="s">
        <v>1916</v>
      </c>
      <c r="B457" s="1" t="s">
        <v>2838</v>
      </c>
      <c r="C457" t="s">
        <v>5193</v>
      </c>
      <c r="D457" t="s">
        <v>7467</v>
      </c>
      <c r="E457" t="s">
        <v>9184</v>
      </c>
    </row>
    <row r="458" spans="1:5" ht="15.6" x14ac:dyDescent="0.3">
      <c r="A458" s="1" t="s">
        <v>1915</v>
      </c>
      <c r="B458" s="1" t="s">
        <v>2839</v>
      </c>
      <c r="C458" t="s">
        <v>5194</v>
      </c>
      <c r="D458" t="s">
        <v>7332</v>
      </c>
      <c r="E458" t="s">
        <v>9185</v>
      </c>
    </row>
    <row r="459" spans="1:5" ht="15.6" x14ac:dyDescent="0.3">
      <c r="A459" s="1" t="s">
        <v>1914</v>
      </c>
      <c r="B459" s="1" t="s">
        <v>2840</v>
      </c>
      <c r="C459" t="s">
        <v>5195</v>
      </c>
      <c r="D459" t="s">
        <v>7468</v>
      </c>
      <c r="E459" t="s">
        <v>9186</v>
      </c>
    </row>
    <row r="460" spans="1:5" ht="15.6" x14ac:dyDescent="0.3">
      <c r="A460" s="1" t="s">
        <v>1913</v>
      </c>
      <c r="B460" s="1" t="s">
        <v>2841</v>
      </c>
      <c r="C460" t="s">
        <v>5196</v>
      </c>
      <c r="D460" t="s">
        <v>7469</v>
      </c>
      <c r="E460" t="s">
        <v>9187</v>
      </c>
    </row>
    <row r="461" spans="1:5" ht="15.6" x14ac:dyDescent="0.3">
      <c r="A461" s="1" t="s">
        <v>1912</v>
      </c>
      <c r="B461" s="1" t="s">
        <v>2842</v>
      </c>
      <c r="C461" t="s">
        <v>5197</v>
      </c>
      <c r="D461" t="s">
        <v>7470</v>
      </c>
      <c r="E461" t="s">
        <v>8811</v>
      </c>
    </row>
    <row r="462" spans="1:5" ht="15.6" x14ac:dyDescent="0.3">
      <c r="A462" s="1" t="s">
        <v>1911</v>
      </c>
      <c r="B462" s="1" t="s">
        <v>2843</v>
      </c>
      <c r="C462" t="s">
        <v>5198</v>
      </c>
      <c r="D462" t="s">
        <v>7471</v>
      </c>
      <c r="E462" t="s">
        <v>9034</v>
      </c>
    </row>
    <row r="463" spans="1:5" ht="15.6" x14ac:dyDescent="0.3">
      <c r="A463" s="1" t="s">
        <v>1910</v>
      </c>
      <c r="B463" s="1" t="s">
        <v>2844</v>
      </c>
      <c r="C463" t="s">
        <v>5199</v>
      </c>
      <c r="D463" t="s">
        <v>7129</v>
      </c>
      <c r="E463" t="s">
        <v>8827</v>
      </c>
    </row>
    <row r="464" spans="1:5" ht="15.6" x14ac:dyDescent="0.3">
      <c r="A464" s="1" t="s">
        <v>1909</v>
      </c>
      <c r="B464" s="1" t="s">
        <v>2845</v>
      </c>
      <c r="C464" t="s">
        <v>5200</v>
      </c>
      <c r="D464" t="s">
        <v>7472</v>
      </c>
      <c r="E464" t="s">
        <v>9188</v>
      </c>
    </row>
    <row r="465" spans="1:5" ht="15.6" x14ac:dyDescent="0.3">
      <c r="A465" s="1" t="s">
        <v>1908</v>
      </c>
      <c r="B465" s="1" t="s">
        <v>2846</v>
      </c>
      <c r="C465" t="s">
        <v>5201</v>
      </c>
      <c r="D465" t="s">
        <v>7473</v>
      </c>
      <c r="E465" t="s">
        <v>9189</v>
      </c>
    </row>
    <row r="466" spans="1:5" ht="15.6" x14ac:dyDescent="0.3">
      <c r="A466" s="1" t="s">
        <v>1907</v>
      </c>
      <c r="B466" s="1" t="s">
        <v>2847</v>
      </c>
      <c r="C466" t="s">
        <v>5202</v>
      </c>
      <c r="D466" t="s">
        <v>7146</v>
      </c>
      <c r="E466" t="s">
        <v>9190</v>
      </c>
    </row>
    <row r="467" spans="1:5" ht="15.6" x14ac:dyDescent="0.3">
      <c r="A467" s="1" t="s">
        <v>1906</v>
      </c>
      <c r="B467" s="1" t="s">
        <v>2848</v>
      </c>
      <c r="C467" t="s">
        <v>5203</v>
      </c>
      <c r="D467" t="s">
        <v>7474</v>
      </c>
      <c r="E467" t="s">
        <v>9191</v>
      </c>
    </row>
    <row r="468" spans="1:5" ht="15.6" x14ac:dyDescent="0.3">
      <c r="A468" s="1" t="s">
        <v>1905</v>
      </c>
      <c r="B468" s="1" t="s">
        <v>2849</v>
      </c>
      <c r="C468" t="s">
        <v>5204</v>
      </c>
      <c r="D468" t="s">
        <v>7475</v>
      </c>
      <c r="E468" t="s">
        <v>8814</v>
      </c>
    </row>
    <row r="469" spans="1:5" ht="15.6" x14ac:dyDescent="0.3">
      <c r="A469" s="1" t="s">
        <v>1904</v>
      </c>
      <c r="B469" s="1" t="s">
        <v>2850</v>
      </c>
      <c r="C469" t="s">
        <v>5205</v>
      </c>
      <c r="D469" t="s">
        <v>7476</v>
      </c>
      <c r="E469" t="s">
        <v>9192</v>
      </c>
    </row>
    <row r="470" spans="1:5" ht="15.6" x14ac:dyDescent="0.3">
      <c r="A470" s="1" t="s">
        <v>1903</v>
      </c>
      <c r="B470" s="1" t="s">
        <v>2851</v>
      </c>
      <c r="C470" t="s">
        <v>5206</v>
      </c>
      <c r="D470" t="s">
        <v>7477</v>
      </c>
      <c r="E470" t="s">
        <v>9193</v>
      </c>
    </row>
    <row r="471" spans="1:5" ht="15.6" x14ac:dyDescent="0.3">
      <c r="A471" s="1" t="s">
        <v>1902</v>
      </c>
      <c r="B471" s="1" t="s">
        <v>2852</v>
      </c>
      <c r="C471" t="s">
        <v>5207</v>
      </c>
      <c r="D471" t="s">
        <v>7478</v>
      </c>
      <c r="E471" t="s">
        <v>9194</v>
      </c>
    </row>
    <row r="472" spans="1:5" ht="15.6" x14ac:dyDescent="0.3">
      <c r="A472" s="1" t="s">
        <v>1901</v>
      </c>
      <c r="B472" s="1" t="s">
        <v>2853</v>
      </c>
      <c r="C472" t="s">
        <v>5208</v>
      </c>
      <c r="D472" t="s">
        <v>7479</v>
      </c>
      <c r="E472" t="s">
        <v>9195</v>
      </c>
    </row>
    <row r="473" spans="1:5" ht="15.6" x14ac:dyDescent="0.3">
      <c r="A473" s="1" t="s">
        <v>1900</v>
      </c>
      <c r="B473" s="1" t="s">
        <v>2854</v>
      </c>
      <c r="C473" t="s">
        <v>5209</v>
      </c>
      <c r="D473" t="s">
        <v>7277</v>
      </c>
      <c r="E473" t="s">
        <v>9196</v>
      </c>
    </row>
    <row r="474" spans="1:5" ht="15.6" x14ac:dyDescent="0.3">
      <c r="A474" s="1" t="s">
        <v>1899</v>
      </c>
      <c r="B474" s="1" t="s">
        <v>2855</v>
      </c>
      <c r="C474" t="s">
        <v>5210</v>
      </c>
      <c r="D474" t="s">
        <v>7480</v>
      </c>
      <c r="E474" t="s">
        <v>8987</v>
      </c>
    </row>
    <row r="475" spans="1:5" ht="15.6" x14ac:dyDescent="0.3">
      <c r="A475" s="1" t="s">
        <v>1898</v>
      </c>
      <c r="B475" s="1" t="s">
        <v>2856</v>
      </c>
      <c r="C475" t="s">
        <v>5211</v>
      </c>
      <c r="D475" t="s">
        <v>7086</v>
      </c>
      <c r="E475" t="s">
        <v>9197</v>
      </c>
    </row>
    <row r="476" spans="1:5" ht="15.6" x14ac:dyDescent="0.3">
      <c r="A476" s="1" t="s">
        <v>1897</v>
      </c>
      <c r="B476" s="1" t="s">
        <v>2857</v>
      </c>
      <c r="C476" t="s">
        <v>5212</v>
      </c>
      <c r="D476" t="s">
        <v>7481</v>
      </c>
      <c r="E476" t="s">
        <v>9198</v>
      </c>
    </row>
    <row r="477" spans="1:5" ht="15.6" x14ac:dyDescent="0.3">
      <c r="A477" s="1" t="s">
        <v>1895</v>
      </c>
      <c r="B477" s="1" t="s">
        <v>2858</v>
      </c>
      <c r="C477" t="s">
        <v>4724</v>
      </c>
      <c r="D477" t="s">
        <v>7059</v>
      </c>
      <c r="E477" t="s">
        <v>9199</v>
      </c>
    </row>
    <row r="478" spans="1:5" ht="15.6" x14ac:dyDescent="0.3">
      <c r="A478" s="1" t="s">
        <v>1894</v>
      </c>
      <c r="B478" s="1" t="s">
        <v>2859</v>
      </c>
      <c r="C478" t="s">
        <v>5213</v>
      </c>
      <c r="D478" t="s">
        <v>7482</v>
      </c>
      <c r="E478" t="s">
        <v>9200</v>
      </c>
    </row>
    <row r="479" spans="1:5" ht="15.6" x14ac:dyDescent="0.3">
      <c r="A479" s="1" t="s">
        <v>1893</v>
      </c>
      <c r="B479" s="1" t="s">
        <v>2860</v>
      </c>
      <c r="C479" t="s">
        <v>5214</v>
      </c>
      <c r="D479" t="s">
        <v>7483</v>
      </c>
      <c r="E479" t="s">
        <v>9201</v>
      </c>
    </row>
    <row r="480" spans="1:5" ht="15.6" x14ac:dyDescent="0.3">
      <c r="A480" s="1" t="s">
        <v>1892</v>
      </c>
      <c r="B480" s="1" t="s">
        <v>2861</v>
      </c>
      <c r="C480" t="s">
        <v>5215</v>
      </c>
      <c r="D480" t="s">
        <v>7484</v>
      </c>
      <c r="E480" t="s">
        <v>9202</v>
      </c>
    </row>
    <row r="481" spans="1:5" ht="15.6" x14ac:dyDescent="0.3">
      <c r="A481" s="1" t="s">
        <v>1891</v>
      </c>
      <c r="B481" s="1" t="s">
        <v>2862</v>
      </c>
      <c r="C481" t="s">
        <v>5216</v>
      </c>
      <c r="D481" t="s">
        <v>7485</v>
      </c>
      <c r="E481" t="s">
        <v>9203</v>
      </c>
    </row>
    <row r="482" spans="1:5" ht="15.6" x14ac:dyDescent="0.3">
      <c r="A482" s="1" t="s">
        <v>1890</v>
      </c>
      <c r="B482" s="1" t="s">
        <v>2863</v>
      </c>
      <c r="C482" t="s">
        <v>5217</v>
      </c>
      <c r="D482" t="s">
        <v>7242</v>
      </c>
      <c r="E482" t="s">
        <v>9204</v>
      </c>
    </row>
    <row r="483" spans="1:5" ht="15.6" x14ac:dyDescent="0.3">
      <c r="A483" s="1" t="s">
        <v>1889</v>
      </c>
      <c r="B483" s="1" t="s">
        <v>2864</v>
      </c>
      <c r="C483" t="s">
        <v>5218</v>
      </c>
      <c r="D483" t="s">
        <v>7486</v>
      </c>
      <c r="E483" t="s">
        <v>9205</v>
      </c>
    </row>
    <row r="484" spans="1:5" ht="15.6" x14ac:dyDescent="0.3">
      <c r="A484" s="1" t="s">
        <v>1888</v>
      </c>
      <c r="B484" s="1" t="s">
        <v>2865</v>
      </c>
      <c r="C484" t="s">
        <v>5219</v>
      </c>
      <c r="D484" t="s">
        <v>7487</v>
      </c>
      <c r="E484" t="s">
        <v>9206</v>
      </c>
    </row>
    <row r="485" spans="1:5" ht="15.6" x14ac:dyDescent="0.3">
      <c r="A485" s="1" t="s">
        <v>1887</v>
      </c>
      <c r="B485" s="1" t="s">
        <v>2866</v>
      </c>
      <c r="C485" t="s">
        <v>5220</v>
      </c>
      <c r="D485" t="s">
        <v>7488</v>
      </c>
      <c r="E485" t="s">
        <v>8877</v>
      </c>
    </row>
    <row r="486" spans="1:5" ht="15.6" x14ac:dyDescent="0.3">
      <c r="A486" s="1" t="s">
        <v>1886</v>
      </c>
      <c r="B486" s="1" t="s">
        <v>2867</v>
      </c>
      <c r="C486" t="s">
        <v>5221</v>
      </c>
      <c r="D486" t="s">
        <v>7219</v>
      </c>
      <c r="E486" t="s">
        <v>9207</v>
      </c>
    </row>
    <row r="487" spans="1:5" ht="15.6" x14ac:dyDescent="0.3">
      <c r="A487" s="1" t="s">
        <v>1885</v>
      </c>
      <c r="B487" s="1" t="s">
        <v>2868</v>
      </c>
      <c r="C487" t="s">
        <v>5222</v>
      </c>
      <c r="D487" t="s">
        <v>7141</v>
      </c>
      <c r="E487" t="s">
        <v>9064</v>
      </c>
    </row>
    <row r="488" spans="1:5" ht="15.6" x14ac:dyDescent="0.3">
      <c r="A488" s="1" t="s">
        <v>1884</v>
      </c>
      <c r="B488" s="1" t="s">
        <v>2869</v>
      </c>
      <c r="C488" t="s">
        <v>5223</v>
      </c>
      <c r="D488" t="s">
        <v>7489</v>
      </c>
      <c r="E488" t="s">
        <v>9208</v>
      </c>
    </row>
    <row r="489" spans="1:5" ht="15.6" x14ac:dyDescent="0.3">
      <c r="A489" s="1" t="s">
        <v>1883</v>
      </c>
      <c r="B489" s="1" t="s">
        <v>2870</v>
      </c>
      <c r="C489" t="s">
        <v>5224</v>
      </c>
      <c r="D489" t="s">
        <v>7490</v>
      </c>
      <c r="E489" t="s">
        <v>9209</v>
      </c>
    </row>
    <row r="490" spans="1:5" ht="15.6" x14ac:dyDescent="0.3">
      <c r="A490" s="1" t="s">
        <v>1882</v>
      </c>
      <c r="B490" s="1" t="s">
        <v>2871</v>
      </c>
      <c r="C490" t="s">
        <v>5225</v>
      </c>
      <c r="D490" t="s">
        <v>7198</v>
      </c>
      <c r="E490" t="s">
        <v>9210</v>
      </c>
    </row>
    <row r="491" spans="1:5" ht="15.6" x14ac:dyDescent="0.3">
      <c r="A491" s="1" t="s">
        <v>1881</v>
      </c>
      <c r="B491" s="1" t="s">
        <v>2872</v>
      </c>
      <c r="C491" t="s">
        <v>5226</v>
      </c>
      <c r="D491" t="s">
        <v>7081</v>
      </c>
      <c r="E491" t="s">
        <v>9211</v>
      </c>
    </row>
    <row r="492" spans="1:5" ht="15.6" x14ac:dyDescent="0.3">
      <c r="A492" s="1" t="s">
        <v>1880</v>
      </c>
      <c r="B492" s="1" t="s">
        <v>2873</v>
      </c>
      <c r="C492" t="s">
        <v>5227</v>
      </c>
      <c r="D492" t="s">
        <v>7491</v>
      </c>
      <c r="E492" t="s">
        <v>9212</v>
      </c>
    </row>
    <row r="493" spans="1:5" ht="15.6" x14ac:dyDescent="0.3">
      <c r="A493" s="1" t="s">
        <v>1879</v>
      </c>
      <c r="B493" s="1" t="s">
        <v>2874</v>
      </c>
      <c r="C493" t="s">
        <v>5228</v>
      </c>
      <c r="D493" t="s">
        <v>7492</v>
      </c>
      <c r="E493" t="s">
        <v>9213</v>
      </c>
    </row>
    <row r="494" spans="1:5" ht="15.6" x14ac:dyDescent="0.3">
      <c r="A494" s="1" t="s">
        <v>1878</v>
      </c>
      <c r="B494" s="1" t="s">
        <v>2875</v>
      </c>
      <c r="C494" t="s">
        <v>5229</v>
      </c>
      <c r="D494" t="s">
        <v>7345</v>
      </c>
      <c r="E494" t="s">
        <v>9214</v>
      </c>
    </row>
    <row r="495" spans="1:5" ht="15.6" x14ac:dyDescent="0.3">
      <c r="A495" s="1" t="s">
        <v>1877</v>
      </c>
      <c r="B495" s="1" t="s">
        <v>2876</v>
      </c>
      <c r="C495" t="s">
        <v>5230</v>
      </c>
      <c r="D495" t="s">
        <v>7493</v>
      </c>
      <c r="E495" t="s">
        <v>9215</v>
      </c>
    </row>
    <row r="496" spans="1:5" ht="15.6" x14ac:dyDescent="0.3">
      <c r="A496" s="1" t="s">
        <v>1876</v>
      </c>
      <c r="B496" s="1" t="s">
        <v>2877</v>
      </c>
      <c r="C496" t="s">
        <v>5231</v>
      </c>
      <c r="D496" t="s">
        <v>7494</v>
      </c>
      <c r="E496" t="s">
        <v>9204</v>
      </c>
    </row>
    <row r="497" spans="1:5" ht="15.6" x14ac:dyDescent="0.3">
      <c r="A497" s="1" t="s">
        <v>1875</v>
      </c>
      <c r="B497" s="1" t="s">
        <v>2878</v>
      </c>
      <c r="C497" t="s">
        <v>5232</v>
      </c>
      <c r="D497" t="s">
        <v>7495</v>
      </c>
      <c r="E497" t="s">
        <v>9216</v>
      </c>
    </row>
    <row r="498" spans="1:5" ht="15.6" x14ac:dyDescent="0.3">
      <c r="A498" s="1" t="s">
        <v>1874</v>
      </c>
      <c r="B498" s="1" t="s">
        <v>2879</v>
      </c>
      <c r="C498" t="s">
        <v>5233</v>
      </c>
      <c r="D498" t="s">
        <v>7496</v>
      </c>
      <c r="E498" t="s">
        <v>9217</v>
      </c>
    </row>
    <row r="499" spans="1:5" ht="15.6" x14ac:dyDescent="0.3">
      <c r="A499" s="1" t="s">
        <v>1873</v>
      </c>
      <c r="B499" s="1" t="s">
        <v>2880</v>
      </c>
      <c r="C499" t="s">
        <v>5234</v>
      </c>
      <c r="D499" t="s">
        <v>7277</v>
      </c>
      <c r="E499" t="s">
        <v>9218</v>
      </c>
    </row>
    <row r="500" spans="1:5" ht="15.6" x14ac:dyDescent="0.3">
      <c r="A500" s="1" t="s">
        <v>1872</v>
      </c>
      <c r="B500" s="1" t="s">
        <v>2881</v>
      </c>
      <c r="C500" t="s">
        <v>5235</v>
      </c>
      <c r="D500" t="s">
        <v>7497</v>
      </c>
      <c r="E500" t="s">
        <v>9219</v>
      </c>
    </row>
    <row r="501" spans="1:5" ht="15.6" x14ac:dyDescent="0.3">
      <c r="A501" s="1" t="s">
        <v>1871</v>
      </c>
      <c r="B501" s="1" t="s">
        <v>2882</v>
      </c>
      <c r="C501" t="s">
        <v>5236</v>
      </c>
      <c r="D501" t="s">
        <v>7165</v>
      </c>
      <c r="E501" t="s">
        <v>9220</v>
      </c>
    </row>
    <row r="502" spans="1:5" ht="15.6" x14ac:dyDescent="0.3">
      <c r="A502" s="1" t="s">
        <v>1870</v>
      </c>
      <c r="B502" s="1" t="s">
        <v>2883</v>
      </c>
      <c r="C502" t="s">
        <v>5237</v>
      </c>
      <c r="D502" t="s">
        <v>7498</v>
      </c>
      <c r="E502" t="s">
        <v>9221</v>
      </c>
    </row>
    <row r="503" spans="1:5" ht="15.6" x14ac:dyDescent="0.3">
      <c r="A503" s="1" t="s">
        <v>1869</v>
      </c>
      <c r="B503" s="1" t="s">
        <v>2884</v>
      </c>
      <c r="C503" t="s">
        <v>5238</v>
      </c>
      <c r="D503" t="s">
        <v>7499</v>
      </c>
      <c r="E503" t="s">
        <v>8816</v>
      </c>
    </row>
    <row r="504" spans="1:5" ht="15.6" x14ac:dyDescent="0.3">
      <c r="A504" s="1" t="s">
        <v>1868</v>
      </c>
      <c r="B504" s="1" t="s">
        <v>2885</v>
      </c>
      <c r="C504" t="s">
        <v>5239</v>
      </c>
      <c r="D504" t="s">
        <v>7500</v>
      </c>
      <c r="E504" t="s">
        <v>9222</v>
      </c>
    </row>
    <row r="505" spans="1:5" ht="15.6" x14ac:dyDescent="0.3">
      <c r="A505" s="1" t="s">
        <v>1867</v>
      </c>
      <c r="B505" s="1" t="s">
        <v>2886</v>
      </c>
      <c r="C505" t="s">
        <v>5240</v>
      </c>
      <c r="D505" t="s">
        <v>7501</v>
      </c>
      <c r="E505" t="s">
        <v>9223</v>
      </c>
    </row>
    <row r="506" spans="1:5" ht="15.6" x14ac:dyDescent="0.3">
      <c r="A506" s="1" t="s">
        <v>1866</v>
      </c>
      <c r="B506" s="1" t="s">
        <v>2887</v>
      </c>
      <c r="C506" t="s">
        <v>5241</v>
      </c>
      <c r="D506" t="s">
        <v>7149</v>
      </c>
      <c r="E506" t="s">
        <v>9224</v>
      </c>
    </row>
    <row r="507" spans="1:5" ht="15.6" x14ac:dyDescent="0.3">
      <c r="A507" s="1" t="s">
        <v>1865</v>
      </c>
      <c r="B507" s="1" t="s">
        <v>2888</v>
      </c>
      <c r="C507" t="s">
        <v>5242</v>
      </c>
      <c r="D507" t="s">
        <v>7502</v>
      </c>
      <c r="E507" t="s">
        <v>9225</v>
      </c>
    </row>
    <row r="508" spans="1:5" ht="15.6" x14ac:dyDescent="0.3">
      <c r="A508" s="1" t="s">
        <v>1864</v>
      </c>
      <c r="B508" s="1" t="s">
        <v>2889</v>
      </c>
      <c r="C508" t="s">
        <v>5243</v>
      </c>
      <c r="D508" t="s">
        <v>7503</v>
      </c>
      <c r="E508" t="s">
        <v>9226</v>
      </c>
    </row>
    <row r="509" spans="1:5" ht="15.6" x14ac:dyDescent="0.3">
      <c r="A509" s="1" t="s">
        <v>1863</v>
      </c>
      <c r="B509" s="1" t="s">
        <v>2890</v>
      </c>
      <c r="C509" t="s">
        <v>5244</v>
      </c>
      <c r="D509" t="s">
        <v>7504</v>
      </c>
      <c r="E509" t="s">
        <v>9227</v>
      </c>
    </row>
    <row r="510" spans="1:5" ht="15.6" x14ac:dyDescent="0.3">
      <c r="A510" s="1" t="s">
        <v>1862</v>
      </c>
      <c r="B510" s="1" t="s">
        <v>2891</v>
      </c>
      <c r="C510" t="s">
        <v>5245</v>
      </c>
      <c r="D510" t="s">
        <v>7505</v>
      </c>
      <c r="E510" t="s">
        <v>9228</v>
      </c>
    </row>
    <row r="511" spans="1:5" ht="15.6" x14ac:dyDescent="0.3">
      <c r="A511" s="1" t="s">
        <v>1861</v>
      </c>
      <c r="B511" s="1" t="s">
        <v>2892</v>
      </c>
      <c r="C511" t="s">
        <v>5246</v>
      </c>
      <c r="D511" t="s">
        <v>7506</v>
      </c>
      <c r="E511" t="s">
        <v>9229</v>
      </c>
    </row>
    <row r="512" spans="1:5" ht="15.6" x14ac:dyDescent="0.3">
      <c r="A512" s="1" t="s">
        <v>1860</v>
      </c>
      <c r="B512" s="1" t="s">
        <v>2893</v>
      </c>
      <c r="C512" t="s">
        <v>5247</v>
      </c>
      <c r="D512" t="s">
        <v>7391</v>
      </c>
      <c r="E512" t="s">
        <v>9230</v>
      </c>
    </row>
    <row r="513" spans="1:5" ht="15.6" x14ac:dyDescent="0.3">
      <c r="A513" s="1" t="s">
        <v>1859</v>
      </c>
      <c r="B513" s="1" t="s">
        <v>2894</v>
      </c>
      <c r="C513" t="s">
        <v>5248</v>
      </c>
      <c r="D513" t="s">
        <v>7219</v>
      </c>
      <c r="E513" t="s">
        <v>9231</v>
      </c>
    </row>
    <row r="514" spans="1:5" ht="15.6" x14ac:dyDescent="0.3">
      <c r="A514" s="1" t="s">
        <v>1858</v>
      </c>
      <c r="B514" s="1" t="s">
        <v>2895</v>
      </c>
      <c r="C514" t="s">
        <v>5249</v>
      </c>
      <c r="D514" t="s">
        <v>7507</v>
      </c>
      <c r="E514" t="s">
        <v>9232</v>
      </c>
    </row>
    <row r="515" spans="1:5" ht="15.6" x14ac:dyDescent="0.3">
      <c r="A515" s="1" t="s">
        <v>1857</v>
      </c>
      <c r="B515" s="1" t="s">
        <v>2896</v>
      </c>
      <c r="C515" t="s">
        <v>5250</v>
      </c>
      <c r="D515" t="s">
        <v>7508</v>
      </c>
      <c r="E515" t="s">
        <v>9233</v>
      </c>
    </row>
    <row r="516" spans="1:5" ht="15.6" x14ac:dyDescent="0.3">
      <c r="A516" s="1" t="s">
        <v>1856</v>
      </c>
      <c r="B516" s="1" t="s">
        <v>2897</v>
      </c>
      <c r="C516" t="s">
        <v>5251</v>
      </c>
      <c r="D516" t="s">
        <v>7509</v>
      </c>
      <c r="E516" t="s">
        <v>9234</v>
      </c>
    </row>
    <row r="517" spans="1:5" ht="15.6" x14ac:dyDescent="0.3">
      <c r="A517" s="1" t="s">
        <v>1855</v>
      </c>
      <c r="B517" s="1" t="s">
        <v>2898</v>
      </c>
      <c r="C517" t="s">
        <v>5252</v>
      </c>
      <c r="D517" t="s">
        <v>7137</v>
      </c>
      <c r="E517" t="s">
        <v>9235</v>
      </c>
    </row>
    <row r="518" spans="1:5" ht="15.6" x14ac:dyDescent="0.3">
      <c r="A518" s="1" t="s">
        <v>1854</v>
      </c>
      <c r="B518" s="1" t="s">
        <v>2899</v>
      </c>
      <c r="C518" t="s">
        <v>5253</v>
      </c>
      <c r="D518" t="s">
        <v>7175</v>
      </c>
      <c r="E518" t="s">
        <v>9236</v>
      </c>
    </row>
    <row r="519" spans="1:5" ht="15.6" x14ac:dyDescent="0.3">
      <c r="A519" s="1" t="s">
        <v>1853</v>
      </c>
      <c r="B519" s="1" t="s">
        <v>2900</v>
      </c>
      <c r="C519" t="s">
        <v>5254</v>
      </c>
      <c r="D519" t="s">
        <v>7497</v>
      </c>
      <c r="E519" t="s">
        <v>9237</v>
      </c>
    </row>
    <row r="520" spans="1:5" ht="15.6" x14ac:dyDescent="0.3">
      <c r="A520" s="1" t="s">
        <v>1852</v>
      </c>
      <c r="B520" s="1" t="s">
        <v>2901</v>
      </c>
      <c r="C520" t="s">
        <v>5255</v>
      </c>
      <c r="D520" t="s">
        <v>7422</v>
      </c>
      <c r="E520" t="s">
        <v>9238</v>
      </c>
    </row>
    <row r="521" spans="1:5" ht="15.6" x14ac:dyDescent="0.3">
      <c r="A521" s="1" t="s">
        <v>1851</v>
      </c>
      <c r="B521" s="1" t="s">
        <v>2902</v>
      </c>
      <c r="C521" t="s">
        <v>5256</v>
      </c>
      <c r="D521" t="s">
        <v>7510</v>
      </c>
      <c r="E521" t="s">
        <v>9239</v>
      </c>
    </row>
    <row r="522" spans="1:5" ht="15.6" x14ac:dyDescent="0.3">
      <c r="A522" s="1" t="s">
        <v>1850</v>
      </c>
      <c r="B522" s="1" t="s">
        <v>2903</v>
      </c>
      <c r="C522" t="s">
        <v>5257</v>
      </c>
      <c r="D522" t="s">
        <v>7511</v>
      </c>
      <c r="E522" t="s">
        <v>9240</v>
      </c>
    </row>
    <row r="523" spans="1:5" ht="15.6" x14ac:dyDescent="0.3">
      <c r="A523" s="1" t="s">
        <v>1849</v>
      </c>
      <c r="B523" s="1" t="s">
        <v>2904</v>
      </c>
      <c r="C523" t="s">
        <v>5258</v>
      </c>
      <c r="D523" t="s">
        <v>7100</v>
      </c>
      <c r="E523" t="s">
        <v>9241</v>
      </c>
    </row>
    <row r="524" spans="1:5" ht="15.6" x14ac:dyDescent="0.3">
      <c r="A524" s="1" t="s">
        <v>1848</v>
      </c>
      <c r="B524" s="1" t="s">
        <v>2905</v>
      </c>
      <c r="C524" t="s">
        <v>5259</v>
      </c>
      <c r="D524" t="s">
        <v>7512</v>
      </c>
      <c r="E524" t="s">
        <v>9242</v>
      </c>
    </row>
    <row r="525" spans="1:5" ht="15.6" x14ac:dyDescent="0.3">
      <c r="A525" s="1" t="s">
        <v>1847</v>
      </c>
      <c r="B525" s="1" t="s">
        <v>2906</v>
      </c>
      <c r="C525" t="s">
        <v>5260</v>
      </c>
      <c r="D525" t="s">
        <v>7513</v>
      </c>
      <c r="E525" t="s">
        <v>9243</v>
      </c>
    </row>
    <row r="526" spans="1:5" ht="15.6" x14ac:dyDescent="0.3">
      <c r="A526" s="1" t="s">
        <v>1846</v>
      </c>
      <c r="B526" s="1" t="s">
        <v>2907</v>
      </c>
      <c r="C526" t="s">
        <v>5261</v>
      </c>
      <c r="D526" t="s">
        <v>7514</v>
      </c>
      <c r="E526" t="s">
        <v>9244</v>
      </c>
    </row>
    <row r="527" spans="1:5" ht="15.6" x14ac:dyDescent="0.3">
      <c r="A527" s="1" t="s">
        <v>1845</v>
      </c>
      <c r="B527" s="1" t="s">
        <v>2908</v>
      </c>
      <c r="C527" t="s">
        <v>5262</v>
      </c>
      <c r="D527" t="s">
        <v>7247</v>
      </c>
      <c r="E527" t="s">
        <v>9245</v>
      </c>
    </row>
    <row r="528" spans="1:5" ht="15.6" x14ac:dyDescent="0.3">
      <c r="A528" s="1" t="s">
        <v>1844</v>
      </c>
      <c r="B528" s="1" t="s">
        <v>2909</v>
      </c>
      <c r="C528" t="s">
        <v>5263</v>
      </c>
      <c r="D528" t="s">
        <v>7515</v>
      </c>
      <c r="E528" t="s">
        <v>9246</v>
      </c>
    </row>
    <row r="529" spans="1:5" ht="15.6" x14ac:dyDescent="0.3">
      <c r="A529" s="1" t="s">
        <v>1843</v>
      </c>
      <c r="B529" s="1" t="s">
        <v>2910</v>
      </c>
      <c r="C529" t="s">
        <v>5264</v>
      </c>
      <c r="D529" t="s">
        <v>7129</v>
      </c>
      <c r="E529" t="s">
        <v>9247</v>
      </c>
    </row>
    <row r="530" spans="1:5" ht="15.6" x14ac:dyDescent="0.3">
      <c r="A530" s="1" t="s">
        <v>1842</v>
      </c>
      <c r="B530" s="1" t="s">
        <v>2911</v>
      </c>
      <c r="C530" t="s">
        <v>5265</v>
      </c>
      <c r="D530" t="s">
        <v>7304</v>
      </c>
      <c r="E530" t="s">
        <v>9248</v>
      </c>
    </row>
    <row r="531" spans="1:5" ht="15.6" x14ac:dyDescent="0.3">
      <c r="A531" s="1" t="s">
        <v>1841</v>
      </c>
      <c r="B531" s="1" t="s">
        <v>2912</v>
      </c>
      <c r="C531" t="s">
        <v>5266</v>
      </c>
      <c r="D531" t="s">
        <v>7516</v>
      </c>
      <c r="E531" t="s">
        <v>9249</v>
      </c>
    </row>
    <row r="532" spans="1:5" ht="15.6" x14ac:dyDescent="0.3">
      <c r="A532" s="1" t="s">
        <v>1840</v>
      </c>
      <c r="B532" s="1" t="s">
        <v>2913</v>
      </c>
      <c r="C532" t="s">
        <v>5267</v>
      </c>
      <c r="D532" t="s">
        <v>7517</v>
      </c>
      <c r="E532" t="s">
        <v>9250</v>
      </c>
    </row>
    <row r="533" spans="1:5" ht="15.6" x14ac:dyDescent="0.3">
      <c r="A533" s="1" t="s">
        <v>1839</v>
      </c>
      <c r="B533" s="1" t="s">
        <v>2914</v>
      </c>
      <c r="C533" t="s">
        <v>5268</v>
      </c>
      <c r="D533" t="s">
        <v>7209</v>
      </c>
      <c r="E533" t="s">
        <v>9251</v>
      </c>
    </row>
    <row r="534" spans="1:5" ht="15.6" x14ac:dyDescent="0.3">
      <c r="A534" s="1" t="s">
        <v>1838</v>
      </c>
      <c r="B534" s="1" t="s">
        <v>2915</v>
      </c>
      <c r="C534" t="s">
        <v>5269</v>
      </c>
      <c r="D534" t="s">
        <v>7518</v>
      </c>
      <c r="E534" t="s">
        <v>9252</v>
      </c>
    </row>
    <row r="535" spans="1:5" ht="15.6" x14ac:dyDescent="0.3">
      <c r="A535" s="1" t="s">
        <v>1837</v>
      </c>
      <c r="B535" s="1" t="s">
        <v>2916</v>
      </c>
      <c r="C535" t="s">
        <v>5270</v>
      </c>
      <c r="D535" t="s">
        <v>7504</v>
      </c>
      <c r="E535" t="s">
        <v>9253</v>
      </c>
    </row>
    <row r="536" spans="1:5" ht="15.6" x14ac:dyDescent="0.3">
      <c r="A536" s="1" t="s">
        <v>1836</v>
      </c>
      <c r="B536" s="1" t="s">
        <v>2917</v>
      </c>
      <c r="C536" t="s">
        <v>5271</v>
      </c>
      <c r="D536" t="s">
        <v>7519</v>
      </c>
      <c r="E536" t="s">
        <v>9254</v>
      </c>
    </row>
    <row r="537" spans="1:5" ht="15.6" x14ac:dyDescent="0.3">
      <c r="A537" s="1" t="s">
        <v>1835</v>
      </c>
      <c r="B537" s="1" t="s">
        <v>2918</v>
      </c>
      <c r="C537" t="s">
        <v>5272</v>
      </c>
      <c r="D537" t="s">
        <v>7520</v>
      </c>
      <c r="E537" t="s">
        <v>8816</v>
      </c>
    </row>
    <row r="538" spans="1:5" ht="15.6" x14ac:dyDescent="0.3">
      <c r="A538" s="1" t="s">
        <v>1834</v>
      </c>
      <c r="B538" s="1" t="s">
        <v>2919</v>
      </c>
      <c r="C538" t="s">
        <v>5273</v>
      </c>
      <c r="D538" t="s">
        <v>7521</v>
      </c>
      <c r="E538" t="s">
        <v>9255</v>
      </c>
    </row>
    <row r="539" spans="1:5" ht="15.6" x14ac:dyDescent="0.3">
      <c r="A539" s="1" t="s">
        <v>1833</v>
      </c>
      <c r="B539" s="1" t="s">
        <v>2920</v>
      </c>
      <c r="C539" t="s">
        <v>5274</v>
      </c>
      <c r="D539" t="s">
        <v>7522</v>
      </c>
      <c r="E539" t="s">
        <v>9256</v>
      </c>
    </row>
    <row r="540" spans="1:5" ht="15.6" x14ac:dyDescent="0.3">
      <c r="A540" s="1" t="s">
        <v>1832</v>
      </c>
      <c r="B540" s="1" t="s">
        <v>2921</v>
      </c>
      <c r="C540" t="s">
        <v>5275</v>
      </c>
      <c r="D540" t="s">
        <v>7517</v>
      </c>
      <c r="E540" t="s">
        <v>9257</v>
      </c>
    </row>
    <row r="541" spans="1:5" ht="15.6" x14ac:dyDescent="0.3">
      <c r="A541" s="1" t="s">
        <v>1831</v>
      </c>
      <c r="B541" s="1" t="s">
        <v>2922</v>
      </c>
      <c r="C541" t="s">
        <v>5276</v>
      </c>
      <c r="D541" t="s">
        <v>7137</v>
      </c>
      <c r="E541" t="s">
        <v>9258</v>
      </c>
    </row>
    <row r="542" spans="1:5" ht="15.6" x14ac:dyDescent="0.3">
      <c r="A542" s="1" t="s">
        <v>1830</v>
      </c>
      <c r="B542" s="1" t="s">
        <v>2923</v>
      </c>
      <c r="C542" t="s">
        <v>5277</v>
      </c>
      <c r="D542" t="s">
        <v>7523</v>
      </c>
      <c r="E542" t="s">
        <v>9259</v>
      </c>
    </row>
    <row r="543" spans="1:5" ht="15.6" x14ac:dyDescent="0.3">
      <c r="A543" s="1" t="s">
        <v>1829</v>
      </c>
      <c r="B543" s="1" t="s">
        <v>2924</v>
      </c>
      <c r="C543" t="s">
        <v>5278</v>
      </c>
      <c r="D543" t="s">
        <v>7524</v>
      </c>
      <c r="E543" t="s">
        <v>9260</v>
      </c>
    </row>
    <row r="544" spans="1:5" ht="15.6" x14ac:dyDescent="0.3">
      <c r="A544" s="1" t="s">
        <v>1828</v>
      </c>
      <c r="B544" s="1" t="s">
        <v>2925</v>
      </c>
      <c r="C544" t="s">
        <v>5279</v>
      </c>
      <c r="D544" t="s">
        <v>7281</v>
      </c>
      <c r="E544" t="s">
        <v>9261</v>
      </c>
    </row>
    <row r="545" spans="1:5" ht="15.6" x14ac:dyDescent="0.3">
      <c r="A545" s="1" t="s">
        <v>1827</v>
      </c>
      <c r="B545" s="1" t="s">
        <v>2926</v>
      </c>
      <c r="C545" t="s">
        <v>5280</v>
      </c>
      <c r="D545" t="s">
        <v>7525</v>
      </c>
      <c r="E545" t="s">
        <v>9262</v>
      </c>
    </row>
    <row r="546" spans="1:5" ht="15.6" x14ac:dyDescent="0.3">
      <c r="A546" s="1" t="s">
        <v>1826</v>
      </c>
      <c r="B546" s="1" t="s">
        <v>2927</v>
      </c>
      <c r="C546" t="s">
        <v>5281</v>
      </c>
      <c r="D546" t="s">
        <v>7526</v>
      </c>
      <c r="E546" t="s">
        <v>9263</v>
      </c>
    </row>
    <row r="547" spans="1:5" ht="15.6" x14ac:dyDescent="0.3">
      <c r="A547" s="1" t="s">
        <v>1825</v>
      </c>
      <c r="B547" s="1" t="s">
        <v>2928</v>
      </c>
      <c r="C547" t="s">
        <v>5282</v>
      </c>
      <c r="D547" t="s">
        <v>7405</v>
      </c>
      <c r="E547" t="s">
        <v>9264</v>
      </c>
    </row>
    <row r="548" spans="1:5" ht="15.6" x14ac:dyDescent="0.3">
      <c r="A548" s="1" t="s">
        <v>1824</v>
      </c>
      <c r="B548" s="1" t="s">
        <v>2929</v>
      </c>
      <c r="C548" t="s">
        <v>5283</v>
      </c>
      <c r="D548" t="s">
        <v>7527</v>
      </c>
      <c r="E548" t="s">
        <v>9265</v>
      </c>
    </row>
    <row r="549" spans="1:5" ht="15.6" x14ac:dyDescent="0.3">
      <c r="A549" s="1" t="s">
        <v>1823</v>
      </c>
      <c r="B549" s="1" t="s">
        <v>2930</v>
      </c>
      <c r="C549" t="s">
        <v>5284</v>
      </c>
      <c r="D549" t="s">
        <v>7528</v>
      </c>
      <c r="E549" t="s">
        <v>9266</v>
      </c>
    </row>
    <row r="550" spans="1:5" ht="15.6" x14ac:dyDescent="0.3">
      <c r="A550" s="1" t="s">
        <v>1822</v>
      </c>
      <c r="B550" s="1" t="s">
        <v>2931</v>
      </c>
      <c r="C550" t="s">
        <v>5285</v>
      </c>
      <c r="D550" t="s">
        <v>7529</v>
      </c>
      <c r="E550" t="s">
        <v>9267</v>
      </c>
    </row>
    <row r="551" spans="1:5" ht="15.6" x14ac:dyDescent="0.3">
      <c r="A551" s="1" t="s">
        <v>1821</v>
      </c>
      <c r="B551" s="1" t="s">
        <v>2932</v>
      </c>
      <c r="C551" t="s">
        <v>5286</v>
      </c>
      <c r="D551" t="s">
        <v>7530</v>
      </c>
      <c r="E551" t="s">
        <v>9268</v>
      </c>
    </row>
    <row r="552" spans="1:5" ht="15.6" x14ac:dyDescent="0.3">
      <c r="A552" s="1" t="s">
        <v>1820</v>
      </c>
      <c r="B552" s="1" t="s">
        <v>2933</v>
      </c>
      <c r="C552" t="s">
        <v>5287</v>
      </c>
      <c r="D552" t="s">
        <v>7531</v>
      </c>
      <c r="E552" t="s">
        <v>9269</v>
      </c>
    </row>
    <row r="553" spans="1:5" ht="15.6" x14ac:dyDescent="0.3">
      <c r="A553" s="1" t="s">
        <v>1819</v>
      </c>
      <c r="B553" s="1" t="s">
        <v>2934</v>
      </c>
      <c r="C553" t="s">
        <v>5288</v>
      </c>
      <c r="D553" t="s">
        <v>7479</v>
      </c>
      <c r="E553" t="s">
        <v>8925</v>
      </c>
    </row>
    <row r="554" spans="1:5" ht="15.6" x14ac:dyDescent="0.3">
      <c r="A554" s="1" t="s">
        <v>1818</v>
      </c>
      <c r="B554" s="1" t="s">
        <v>2935</v>
      </c>
      <c r="C554" t="s">
        <v>5289</v>
      </c>
      <c r="D554" t="s">
        <v>7532</v>
      </c>
      <c r="E554" t="s">
        <v>9270</v>
      </c>
    </row>
    <row r="555" spans="1:5" ht="15.6" x14ac:dyDescent="0.3">
      <c r="A555" s="1" t="s">
        <v>1817</v>
      </c>
      <c r="B555" s="1" t="s">
        <v>2936</v>
      </c>
      <c r="C555" t="s">
        <v>5290</v>
      </c>
      <c r="D555" t="s">
        <v>7533</v>
      </c>
      <c r="E555" t="s">
        <v>9271</v>
      </c>
    </row>
    <row r="556" spans="1:5" ht="15.6" x14ac:dyDescent="0.3">
      <c r="A556" s="1" t="s">
        <v>1816</v>
      </c>
      <c r="B556" s="1" t="s">
        <v>2937</v>
      </c>
      <c r="C556" t="s">
        <v>5291</v>
      </c>
      <c r="D556" t="s">
        <v>7167</v>
      </c>
      <c r="E556" t="s">
        <v>9272</v>
      </c>
    </row>
    <row r="557" spans="1:5" ht="15.6" x14ac:dyDescent="0.3">
      <c r="A557" s="1" t="s">
        <v>1815</v>
      </c>
      <c r="B557" s="1" t="s">
        <v>2938</v>
      </c>
      <c r="C557" t="s">
        <v>5292</v>
      </c>
      <c r="D557" t="s">
        <v>7534</v>
      </c>
      <c r="E557" t="s">
        <v>9273</v>
      </c>
    </row>
    <row r="558" spans="1:5" ht="15.6" x14ac:dyDescent="0.3">
      <c r="A558" s="1" t="s">
        <v>1814</v>
      </c>
      <c r="B558" s="1" t="s">
        <v>2939</v>
      </c>
      <c r="C558" t="s">
        <v>5293</v>
      </c>
      <c r="D558" t="s">
        <v>7535</v>
      </c>
      <c r="E558" t="s">
        <v>9274</v>
      </c>
    </row>
    <row r="559" spans="1:5" ht="15.6" x14ac:dyDescent="0.3">
      <c r="A559" s="1" t="s">
        <v>1813</v>
      </c>
      <c r="B559" s="1" t="s">
        <v>2940</v>
      </c>
      <c r="C559" t="s">
        <v>5294</v>
      </c>
      <c r="D559" t="s">
        <v>7162</v>
      </c>
      <c r="E559" t="s">
        <v>9275</v>
      </c>
    </row>
    <row r="560" spans="1:5" ht="15.6" x14ac:dyDescent="0.3">
      <c r="A560" s="1" t="s">
        <v>1812</v>
      </c>
      <c r="B560" s="1" t="s">
        <v>2941</v>
      </c>
      <c r="C560" t="s">
        <v>5295</v>
      </c>
      <c r="D560" t="s">
        <v>7536</v>
      </c>
      <c r="E560" t="s">
        <v>9276</v>
      </c>
    </row>
    <row r="561" spans="1:5" ht="15.6" x14ac:dyDescent="0.3">
      <c r="A561" s="1" t="s">
        <v>1811</v>
      </c>
      <c r="B561" s="1" t="s">
        <v>2942</v>
      </c>
      <c r="C561" t="s">
        <v>5296</v>
      </c>
      <c r="D561" t="s">
        <v>7537</v>
      </c>
      <c r="E561" t="s">
        <v>9277</v>
      </c>
    </row>
    <row r="562" spans="1:5" ht="15.6" x14ac:dyDescent="0.3">
      <c r="A562" s="1" t="s">
        <v>1810</v>
      </c>
      <c r="B562" s="1" t="s">
        <v>2943</v>
      </c>
      <c r="C562" t="s">
        <v>5297</v>
      </c>
      <c r="D562" t="s">
        <v>7538</v>
      </c>
      <c r="E562" t="s">
        <v>9278</v>
      </c>
    </row>
    <row r="563" spans="1:5" ht="15.6" x14ac:dyDescent="0.3">
      <c r="A563" s="1" t="s">
        <v>1809</v>
      </c>
      <c r="B563" s="1" t="s">
        <v>2944</v>
      </c>
      <c r="C563" t="s">
        <v>5298</v>
      </c>
      <c r="D563" t="s">
        <v>7539</v>
      </c>
      <c r="E563" t="s">
        <v>9279</v>
      </c>
    </row>
    <row r="564" spans="1:5" ht="15.6" x14ac:dyDescent="0.3">
      <c r="A564" s="1" t="s">
        <v>1808</v>
      </c>
      <c r="B564" s="1" t="s">
        <v>2945</v>
      </c>
      <c r="C564" t="s">
        <v>5299</v>
      </c>
      <c r="D564" t="s">
        <v>7540</v>
      </c>
      <c r="E564" t="s">
        <v>9280</v>
      </c>
    </row>
    <row r="565" spans="1:5" ht="15.6" x14ac:dyDescent="0.3">
      <c r="A565" s="1" t="s">
        <v>1807</v>
      </c>
      <c r="B565" s="1" t="s">
        <v>2946</v>
      </c>
      <c r="C565" t="s">
        <v>5300</v>
      </c>
      <c r="D565" t="s">
        <v>7541</v>
      </c>
      <c r="E565" t="s">
        <v>9281</v>
      </c>
    </row>
    <row r="566" spans="1:5" ht="15.6" x14ac:dyDescent="0.3">
      <c r="A566" s="1" t="s">
        <v>1806</v>
      </c>
      <c r="B566" s="1" t="s">
        <v>2947</v>
      </c>
      <c r="C566" t="s">
        <v>5301</v>
      </c>
      <c r="D566" t="s">
        <v>7542</v>
      </c>
      <c r="E566" t="s">
        <v>9282</v>
      </c>
    </row>
    <row r="567" spans="1:5" ht="15.6" x14ac:dyDescent="0.3">
      <c r="A567" s="1" t="s">
        <v>1805</v>
      </c>
      <c r="B567" s="1" t="s">
        <v>2948</v>
      </c>
      <c r="C567" t="s">
        <v>5302</v>
      </c>
      <c r="D567" t="s">
        <v>7543</v>
      </c>
      <c r="E567" t="s">
        <v>9283</v>
      </c>
    </row>
    <row r="568" spans="1:5" ht="15.6" x14ac:dyDescent="0.3">
      <c r="A568" s="1" t="s">
        <v>1804</v>
      </c>
      <c r="B568" s="1" t="s">
        <v>2949</v>
      </c>
      <c r="C568" t="s">
        <v>5303</v>
      </c>
      <c r="D568" t="s">
        <v>7544</v>
      </c>
      <c r="E568" t="s">
        <v>9284</v>
      </c>
    </row>
    <row r="569" spans="1:5" ht="15.6" x14ac:dyDescent="0.3">
      <c r="A569" s="1" t="s">
        <v>1803</v>
      </c>
      <c r="B569" s="1" t="s">
        <v>2950</v>
      </c>
      <c r="C569" t="s">
        <v>5304</v>
      </c>
      <c r="D569" t="s">
        <v>7545</v>
      </c>
      <c r="E569" t="s">
        <v>9285</v>
      </c>
    </row>
    <row r="570" spans="1:5" ht="15.6" x14ac:dyDescent="0.3">
      <c r="A570" s="1" t="s">
        <v>1802</v>
      </c>
      <c r="B570" s="1" t="s">
        <v>2951</v>
      </c>
      <c r="C570" t="s">
        <v>5305</v>
      </c>
      <c r="D570" t="s">
        <v>7546</v>
      </c>
      <c r="E570" t="s">
        <v>9286</v>
      </c>
    </row>
    <row r="571" spans="1:5" ht="15.6" x14ac:dyDescent="0.3">
      <c r="A571" s="1" t="s">
        <v>1801</v>
      </c>
      <c r="B571" s="1" t="s">
        <v>2952</v>
      </c>
      <c r="C571" t="s">
        <v>5306</v>
      </c>
      <c r="D571" t="s">
        <v>7547</v>
      </c>
      <c r="E571" t="s">
        <v>9287</v>
      </c>
    </row>
    <row r="572" spans="1:5" ht="15.6" x14ac:dyDescent="0.3">
      <c r="A572" s="1" t="s">
        <v>1800</v>
      </c>
      <c r="B572" s="1" t="s">
        <v>2953</v>
      </c>
      <c r="C572" t="s">
        <v>5307</v>
      </c>
      <c r="D572" t="s">
        <v>7548</v>
      </c>
      <c r="E572" t="s">
        <v>9288</v>
      </c>
    </row>
    <row r="573" spans="1:5" ht="15.6" x14ac:dyDescent="0.3">
      <c r="A573" s="1" t="s">
        <v>1799</v>
      </c>
      <c r="B573" s="1" t="s">
        <v>2954</v>
      </c>
      <c r="C573" t="s">
        <v>5308</v>
      </c>
      <c r="D573" t="s">
        <v>7257</v>
      </c>
      <c r="E573" t="s">
        <v>9289</v>
      </c>
    </row>
    <row r="574" spans="1:5" ht="15.6" x14ac:dyDescent="0.3">
      <c r="A574" s="1" t="s">
        <v>1798</v>
      </c>
      <c r="B574" s="1" t="s">
        <v>2955</v>
      </c>
      <c r="C574" t="s">
        <v>5309</v>
      </c>
      <c r="D574" t="s">
        <v>7549</v>
      </c>
      <c r="E574" t="s">
        <v>9290</v>
      </c>
    </row>
    <row r="575" spans="1:5" ht="15.6" x14ac:dyDescent="0.3">
      <c r="A575" s="1" t="s">
        <v>1797</v>
      </c>
      <c r="B575" s="1" t="s">
        <v>2956</v>
      </c>
      <c r="C575" t="s">
        <v>5310</v>
      </c>
      <c r="D575" t="s">
        <v>7550</v>
      </c>
      <c r="E575" t="s">
        <v>9291</v>
      </c>
    </row>
    <row r="576" spans="1:5" ht="15.6" x14ac:dyDescent="0.3">
      <c r="A576" s="1" t="s">
        <v>1796</v>
      </c>
      <c r="B576" s="1" t="s">
        <v>2957</v>
      </c>
      <c r="C576" t="s">
        <v>5311</v>
      </c>
      <c r="D576" t="s">
        <v>7551</v>
      </c>
      <c r="E576" t="s">
        <v>9292</v>
      </c>
    </row>
    <row r="577" spans="1:5" ht="15.6" x14ac:dyDescent="0.3">
      <c r="A577" s="1" t="s">
        <v>1795</v>
      </c>
      <c r="B577" s="1" t="s">
        <v>2958</v>
      </c>
      <c r="C577" t="s">
        <v>5312</v>
      </c>
      <c r="D577" t="s">
        <v>7552</v>
      </c>
      <c r="E577" t="s">
        <v>9293</v>
      </c>
    </row>
    <row r="578" spans="1:5" ht="15.6" x14ac:dyDescent="0.3">
      <c r="A578" s="1" t="s">
        <v>1794</v>
      </c>
      <c r="B578" s="1" t="s">
        <v>2959</v>
      </c>
      <c r="C578" t="s">
        <v>5313</v>
      </c>
      <c r="D578" t="s">
        <v>7553</v>
      </c>
      <c r="E578" t="s">
        <v>9294</v>
      </c>
    </row>
    <row r="579" spans="1:5" ht="15.6" x14ac:dyDescent="0.3">
      <c r="A579" s="1" t="s">
        <v>1793</v>
      </c>
      <c r="B579" s="1" t="s">
        <v>2960</v>
      </c>
      <c r="C579" t="s">
        <v>5314</v>
      </c>
      <c r="D579" t="s">
        <v>7554</v>
      </c>
      <c r="E579" t="s">
        <v>9295</v>
      </c>
    </row>
    <row r="580" spans="1:5" ht="15.6" x14ac:dyDescent="0.3">
      <c r="A580" s="1" t="s">
        <v>1792</v>
      </c>
      <c r="B580" s="1" t="s">
        <v>2961</v>
      </c>
      <c r="C580" t="s">
        <v>5315</v>
      </c>
      <c r="D580" t="s">
        <v>7555</v>
      </c>
      <c r="E580" t="s">
        <v>9296</v>
      </c>
    </row>
    <row r="581" spans="1:5" ht="15.6" x14ac:dyDescent="0.3">
      <c r="A581" s="1" t="s">
        <v>1791</v>
      </c>
      <c r="B581" s="1" t="s">
        <v>2962</v>
      </c>
      <c r="C581" t="s">
        <v>5316</v>
      </c>
      <c r="D581" t="s">
        <v>7556</v>
      </c>
      <c r="E581" t="s">
        <v>9297</v>
      </c>
    </row>
    <row r="582" spans="1:5" ht="15.6" x14ac:dyDescent="0.3">
      <c r="A582" s="1" t="s">
        <v>1790</v>
      </c>
      <c r="B582" s="1" t="s">
        <v>2963</v>
      </c>
      <c r="C582" t="s">
        <v>5317</v>
      </c>
      <c r="D582" t="s">
        <v>7557</v>
      </c>
      <c r="E582" t="s">
        <v>9298</v>
      </c>
    </row>
    <row r="583" spans="1:5" ht="15.6" x14ac:dyDescent="0.3">
      <c r="A583" s="1" t="s">
        <v>1789</v>
      </c>
      <c r="B583" s="1" t="s">
        <v>2964</v>
      </c>
      <c r="C583" t="s">
        <v>5318</v>
      </c>
      <c r="D583" t="s">
        <v>7077</v>
      </c>
      <c r="E583" t="s">
        <v>9299</v>
      </c>
    </row>
    <row r="584" spans="1:5" ht="15.6" x14ac:dyDescent="0.3">
      <c r="A584" s="1" t="s">
        <v>1788</v>
      </c>
      <c r="B584" s="1" t="s">
        <v>2965</v>
      </c>
      <c r="C584" t="s">
        <v>5319</v>
      </c>
      <c r="D584" t="s">
        <v>7558</v>
      </c>
      <c r="E584" t="s">
        <v>9300</v>
      </c>
    </row>
    <row r="585" spans="1:5" ht="15.6" x14ac:dyDescent="0.3">
      <c r="A585" s="1" t="s">
        <v>1787</v>
      </c>
      <c r="B585" s="1" t="s">
        <v>2966</v>
      </c>
      <c r="C585" t="s">
        <v>5320</v>
      </c>
      <c r="D585" t="s">
        <v>7433</v>
      </c>
      <c r="E585" t="s">
        <v>9301</v>
      </c>
    </row>
    <row r="586" spans="1:5" ht="15.6" x14ac:dyDescent="0.3">
      <c r="A586" s="1" t="s">
        <v>1786</v>
      </c>
      <c r="B586" s="1" t="s">
        <v>2967</v>
      </c>
      <c r="C586" t="s">
        <v>5321</v>
      </c>
      <c r="D586" t="s">
        <v>7559</v>
      </c>
      <c r="E586" t="s">
        <v>9302</v>
      </c>
    </row>
    <row r="587" spans="1:5" ht="15.6" x14ac:dyDescent="0.3">
      <c r="A587" s="1" t="s">
        <v>1785</v>
      </c>
      <c r="B587" s="1" t="s">
        <v>2968</v>
      </c>
      <c r="C587" t="s">
        <v>5322</v>
      </c>
      <c r="D587" t="s">
        <v>7395</v>
      </c>
      <c r="E587" t="s">
        <v>9303</v>
      </c>
    </row>
    <row r="588" spans="1:5" ht="15.6" x14ac:dyDescent="0.3">
      <c r="A588" s="1" t="s">
        <v>1784</v>
      </c>
      <c r="B588" s="1" t="s">
        <v>2969</v>
      </c>
      <c r="C588" t="s">
        <v>5323</v>
      </c>
      <c r="D588" t="s">
        <v>7560</v>
      </c>
      <c r="E588" t="s">
        <v>9304</v>
      </c>
    </row>
    <row r="589" spans="1:5" ht="15.6" x14ac:dyDescent="0.3">
      <c r="A589" s="1" t="s">
        <v>1783</v>
      </c>
      <c r="B589" s="1" t="s">
        <v>2970</v>
      </c>
      <c r="C589" t="s">
        <v>5324</v>
      </c>
      <c r="D589" t="s">
        <v>7561</v>
      </c>
      <c r="E589" t="s">
        <v>9305</v>
      </c>
    </row>
    <row r="590" spans="1:5" ht="15.6" x14ac:dyDescent="0.3">
      <c r="A590" s="1" t="s">
        <v>1782</v>
      </c>
      <c r="B590" s="1" t="s">
        <v>2971</v>
      </c>
      <c r="C590" t="s">
        <v>5325</v>
      </c>
      <c r="D590" t="s">
        <v>7562</v>
      </c>
      <c r="E590" t="s">
        <v>8825</v>
      </c>
    </row>
    <row r="591" spans="1:5" ht="15.6" x14ac:dyDescent="0.3">
      <c r="A591" s="1" t="s">
        <v>1781</v>
      </c>
      <c r="B591" s="1" t="s">
        <v>2972</v>
      </c>
      <c r="C591" t="s">
        <v>5326</v>
      </c>
      <c r="D591" t="s">
        <v>7563</v>
      </c>
      <c r="E591" t="s">
        <v>9306</v>
      </c>
    </row>
    <row r="592" spans="1:5" ht="15.6" x14ac:dyDescent="0.3">
      <c r="A592" s="1" t="s">
        <v>1780</v>
      </c>
      <c r="B592" s="1" t="s">
        <v>2973</v>
      </c>
      <c r="C592" t="s">
        <v>5327</v>
      </c>
      <c r="D592" t="s">
        <v>7307</v>
      </c>
      <c r="E592" t="s">
        <v>9307</v>
      </c>
    </row>
    <row r="593" spans="1:5" ht="15.6" x14ac:dyDescent="0.3">
      <c r="A593" s="1" t="s">
        <v>1779</v>
      </c>
      <c r="B593" s="1" t="s">
        <v>2974</v>
      </c>
      <c r="C593" t="s">
        <v>5328</v>
      </c>
      <c r="D593" t="s">
        <v>7564</v>
      </c>
      <c r="E593" t="s">
        <v>8814</v>
      </c>
    </row>
    <row r="594" spans="1:5" ht="15.6" x14ac:dyDescent="0.3">
      <c r="A594" s="1" t="s">
        <v>1778</v>
      </c>
      <c r="B594" s="1" t="s">
        <v>2975</v>
      </c>
      <c r="C594" t="s">
        <v>5329</v>
      </c>
      <c r="D594" t="s">
        <v>7565</v>
      </c>
      <c r="E594" t="s">
        <v>9308</v>
      </c>
    </row>
    <row r="595" spans="1:5" ht="15.6" x14ac:dyDescent="0.3">
      <c r="A595" s="1" t="s">
        <v>1777</v>
      </c>
      <c r="B595" s="1" t="s">
        <v>2976</v>
      </c>
      <c r="C595" t="s">
        <v>5330</v>
      </c>
      <c r="D595" t="s">
        <v>7566</v>
      </c>
      <c r="E595" t="s">
        <v>9309</v>
      </c>
    </row>
    <row r="596" spans="1:5" ht="15.6" x14ac:dyDescent="0.3">
      <c r="A596" s="1" t="s">
        <v>1776</v>
      </c>
      <c r="B596" s="1" t="s">
        <v>2977</v>
      </c>
      <c r="C596" t="s">
        <v>5331</v>
      </c>
      <c r="D596" t="s">
        <v>7567</v>
      </c>
      <c r="E596" t="s">
        <v>9310</v>
      </c>
    </row>
    <row r="597" spans="1:5" ht="15.6" x14ac:dyDescent="0.3">
      <c r="A597" s="1" t="s">
        <v>1775</v>
      </c>
      <c r="B597" s="1" t="s">
        <v>2978</v>
      </c>
      <c r="C597" t="s">
        <v>5332</v>
      </c>
      <c r="D597" t="s">
        <v>7568</v>
      </c>
      <c r="E597" t="s">
        <v>9311</v>
      </c>
    </row>
    <row r="598" spans="1:5" ht="15.6" x14ac:dyDescent="0.3">
      <c r="A598" s="1" t="s">
        <v>1774</v>
      </c>
      <c r="B598" s="1" t="s">
        <v>2979</v>
      </c>
      <c r="C598" t="s">
        <v>5333</v>
      </c>
      <c r="D598" t="s">
        <v>7569</v>
      </c>
      <c r="E598" t="s">
        <v>9312</v>
      </c>
    </row>
    <row r="599" spans="1:5" ht="15.6" x14ac:dyDescent="0.3">
      <c r="A599" s="1" t="s">
        <v>1773</v>
      </c>
      <c r="B599" s="1" t="s">
        <v>2980</v>
      </c>
      <c r="C599" t="s">
        <v>5334</v>
      </c>
      <c r="D599" t="s">
        <v>7570</v>
      </c>
      <c r="E599" t="s">
        <v>9313</v>
      </c>
    </row>
    <row r="600" spans="1:5" ht="15.6" x14ac:dyDescent="0.3">
      <c r="A600" s="1" t="s">
        <v>1772</v>
      </c>
      <c r="B600" s="1" t="s">
        <v>2981</v>
      </c>
      <c r="C600" t="s">
        <v>5335</v>
      </c>
      <c r="D600" t="s">
        <v>7571</v>
      </c>
      <c r="E600" t="s">
        <v>9314</v>
      </c>
    </row>
    <row r="601" spans="1:5" ht="15.6" x14ac:dyDescent="0.3">
      <c r="A601" s="1" t="s">
        <v>1771</v>
      </c>
      <c r="B601" s="1" t="s">
        <v>2982</v>
      </c>
      <c r="C601" t="s">
        <v>5336</v>
      </c>
      <c r="D601" t="s">
        <v>7572</v>
      </c>
      <c r="E601" t="s">
        <v>9315</v>
      </c>
    </row>
    <row r="602" spans="1:5" ht="15.6" x14ac:dyDescent="0.3">
      <c r="A602" s="1" t="s">
        <v>1770</v>
      </c>
      <c r="B602" s="1" t="s">
        <v>2983</v>
      </c>
      <c r="C602" t="s">
        <v>5337</v>
      </c>
      <c r="D602" t="s">
        <v>7573</v>
      </c>
      <c r="E602" t="s">
        <v>9316</v>
      </c>
    </row>
    <row r="603" spans="1:5" ht="15.6" x14ac:dyDescent="0.3">
      <c r="A603" s="1" t="s">
        <v>1769</v>
      </c>
      <c r="B603" s="1" t="s">
        <v>2984</v>
      </c>
      <c r="C603" t="s">
        <v>5338</v>
      </c>
      <c r="D603" t="s">
        <v>7574</v>
      </c>
      <c r="E603" t="s">
        <v>9317</v>
      </c>
    </row>
    <row r="604" spans="1:5" ht="15.6" x14ac:dyDescent="0.3">
      <c r="A604" s="1" t="s">
        <v>1768</v>
      </c>
      <c r="B604" s="1" t="s">
        <v>2985</v>
      </c>
      <c r="C604" t="s">
        <v>5339</v>
      </c>
      <c r="D604" t="s">
        <v>7575</v>
      </c>
      <c r="E604" t="s">
        <v>9318</v>
      </c>
    </row>
    <row r="605" spans="1:5" ht="15.6" x14ac:dyDescent="0.3">
      <c r="A605" s="1" t="s">
        <v>1767</v>
      </c>
      <c r="B605" s="1" t="s">
        <v>2986</v>
      </c>
      <c r="C605" t="s">
        <v>5340</v>
      </c>
      <c r="D605" t="s">
        <v>7557</v>
      </c>
      <c r="E605" t="s">
        <v>9319</v>
      </c>
    </row>
    <row r="606" spans="1:5" ht="15.6" x14ac:dyDescent="0.3">
      <c r="A606" s="1" t="s">
        <v>1766</v>
      </c>
      <c r="B606" s="1" t="s">
        <v>2987</v>
      </c>
      <c r="C606" t="s">
        <v>5341</v>
      </c>
      <c r="D606" t="s">
        <v>7576</v>
      </c>
      <c r="E606" t="s">
        <v>8862</v>
      </c>
    </row>
    <row r="607" spans="1:5" ht="15.6" x14ac:dyDescent="0.3">
      <c r="A607" s="1" t="s">
        <v>1765</v>
      </c>
      <c r="B607" s="1" t="s">
        <v>2988</v>
      </c>
      <c r="C607" t="s">
        <v>5342</v>
      </c>
      <c r="D607" t="s">
        <v>7577</v>
      </c>
      <c r="E607" t="s">
        <v>9320</v>
      </c>
    </row>
    <row r="608" spans="1:5" ht="15.6" x14ac:dyDescent="0.3">
      <c r="A608" s="1" t="s">
        <v>1764</v>
      </c>
      <c r="B608" s="1" t="s">
        <v>2989</v>
      </c>
      <c r="C608" t="s">
        <v>5343</v>
      </c>
      <c r="D608" t="s">
        <v>7578</v>
      </c>
      <c r="E608" t="s">
        <v>9321</v>
      </c>
    </row>
    <row r="609" spans="1:5" ht="15.6" x14ac:dyDescent="0.3">
      <c r="A609" s="1" t="s">
        <v>1763</v>
      </c>
      <c r="B609" s="1" t="s">
        <v>2990</v>
      </c>
      <c r="C609" t="s">
        <v>5344</v>
      </c>
      <c r="D609" t="s">
        <v>7579</v>
      </c>
      <c r="E609" t="s">
        <v>9322</v>
      </c>
    </row>
    <row r="610" spans="1:5" ht="15.6" x14ac:dyDescent="0.3">
      <c r="A610" s="1" t="s">
        <v>1762</v>
      </c>
      <c r="B610" s="1" t="s">
        <v>2991</v>
      </c>
      <c r="C610" t="s">
        <v>5345</v>
      </c>
      <c r="D610" t="s">
        <v>7580</v>
      </c>
      <c r="E610" t="s">
        <v>9323</v>
      </c>
    </row>
    <row r="611" spans="1:5" ht="15.6" x14ac:dyDescent="0.3">
      <c r="A611" s="1" t="s">
        <v>1761</v>
      </c>
      <c r="B611" s="1" t="s">
        <v>2992</v>
      </c>
      <c r="C611" t="s">
        <v>5346</v>
      </c>
      <c r="D611" t="s">
        <v>7581</v>
      </c>
      <c r="E611" t="s">
        <v>9324</v>
      </c>
    </row>
    <row r="612" spans="1:5" ht="15.6" x14ac:dyDescent="0.3">
      <c r="A612" s="1" t="s">
        <v>1760</v>
      </c>
      <c r="B612" s="1" t="s">
        <v>2993</v>
      </c>
      <c r="C612" t="s">
        <v>5347</v>
      </c>
      <c r="D612" t="s">
        <v>7582</v>
      </c>
      <c r="E612" t="s">
        <v>9325</v>
      </c>
    </row>
    <row r="613" spans="1:5" ht="15.6" x14ac:dyDescent="0.3">
      <c r="A613" s="1" t="s">
        <v>1759</v>
      </c>
      <c r="B613" s="1" t="s">
        <v>2994</v>
      </c>
      <c r="C613" t="s">
        <v>5348</v>
      </c>
      <c r="D613" t="s">
        <v>7308</v>
      </c>
      <c r="E613" t="s">
        <v>9326</v>
      </c>
    </row>
    <row r="614" spans="1:5" ht="15.6" x14ac:dyDescent="0.3">
      <c r="A614" s="1" t="s">
        <v>1758</v>
      </c>
      <c r="B614" s="1" t="s">
        <v>2995</v>
      </c>
      <c r="C614" t="s">
        <v>5349</v>
      </c>
      <c r="D614" t="s">
        <v>7583</v>
      </c>
      <c r="E614" t="s">
        <v>9327</v>
      </c>
    </row>
    <row r="615" spans="1:5" ht="15.6" x14ac:dyDescent="0.3">
      <c r="A615" s="1" t="s">
        <v>1757</v>
      </c>
      <c r="B615" s="1" t="s">
        <v>2996</v>
      </c>
      <c r="C615" t="s">
        <v>5350</v>
      </c>
      <c r="D615" t="s">
        <v>7584</v>
      </c>
      <c r="E615" t="s">
        <v>9328</v>
      </c>
    </row>
    <row r="616" spans="1:5" ht="15.6" x14ac:dyDescent="0.3">
      <c r="A616" s="1" t="s">
        <v>1756</v>
      </c>
      <c r="B616" s="1" t="s">
        <v>2997</v>
      </c>
      <c r="C616" t="s">
        <v>5351</v>
      </c>
      <c r="D616" t="s">
        <v>7585</v>
      </c>
      <c r="E616" t="s">
        <v>9329</v>
      </c>
    </row>
    <row r="617" spans="1:5" ht="15.6" x14ac:dyDescent="0.3">
      <c r="A617" s="1" t="s">
        <v>1755</v>
      </c>
      <c r="B617" s="1" t="s">
        <v>2998</v>
      </c>
      <c r="C617" t="s">
        <v>5352</v>
      </c>
      <c r="D617" t="s">
        <v>7586</v>
      </c>
      <c r="E617" t="s">
        <v>8817</v>
      </c>
    </row>
    <row r="618" spans="1:5" ht="15.6" x14ac:dyDescent="0.3">
      <c r="A618" s="1" t="s">
        <v>1754</v>
      </c>
      <c r="B618" s="1" t="s">
        <v>2999</v>
      </c>
      <c r="C618" t="s">
        <v>5353</v>
      </c>
      <c r="D618" t="s">
        <v>7587</v>
      </c>
      <c r="E618" t="s">
        <v>9022</v>
      </c>
    </row>
    <row r="619" spans="1:5" ht="15.6" x14ac:dyDescent="0.3">
      <c r="A619" s="1" t="s">
        <v>1753</v>
      </c>
      <c r="B619" s="1" t="s">
        <v>3000</v>
      </c>
      <c r="C619" t="s">
        <v>5354</v>
      </c>
      <c r="D619" t="s">
        <v>7245</v>
      </c>
      <c r="E619" t="s">
        <v>9330</v>
      </c>
    </row>
    <row r="620" spans="1:5" ht="15.6" x14ac:dyDescent="0.3">
      <c r="A620" s="1" t="s">
        <v>1752</v>
      </c>
      <c r="B620" s="1" t="s">
        <v>3001</v>
      </c>
      <c r="C620" t="s">
        <v>5355</v>
      </c>
      <c r="D620" t="s">
        <v>7289</v>
      </c>
      <c r="E620" t="s">
        <v>9331</v>
      </c>
    </row>
    <row r="621" spans="1:5" ht="15.6" x14ac:dyDescent="0.3">
      <c r="A621" s="1" t="s">
        <v>1751</v>
      </c>
      <c r="B621" s="1" t="s">
        <v>3002</v>
      </c>
      <c r="C621" t="s">
        <v>5356</v>
      </c>
      <c r="D621" t="s">
        <v>7588</v>
      </c>
      <c r="E621" t="s">
        <v>9332</v>
      </c>
    </row>
    <row r="622" spans="1:5" ht="15.6" x14ac:dyDescent="0.3">
      <c r="A622" s="1" t="s">
        <v>1750</v>
      </c>
      <c r="B622" s="1" t="s">
        <v>3003</v>
      </c>
      <c r="C622" t="s">
        <v>5357</v>
      </c>
      <c r="D622" t="s">
        <v>7589</v>
      </c>
      <c r="E622" t="s">
        <v>9333</v>
      </c>
    </row>
    <row r="623" spans="1:5" ht="15.6" x14ac:dyDescent="0.3">
      <c r="A623" s="1" t="s">
        <v>1749</v>
      </c>
      <c r="B623" s="1" t="s">
        <v>3004</v>
      </c>
      <c r="C623" t="s">
        <v>5358</v>
      </c>
      <c r="D623" t="s">
        <v>7590</v>
      </c>
      <c r="E623" t="s">
        <v>9334</v>
      </c>
    </row>
    <row r="624" spans="1:5" ht="15.6" x14ac:dyDescent="0.3">
      <c r="A624" s="1" t="s">
        <v>1748</v>
      </c>
      <c r="B624" s="1" t="s">
        <v>3005</v>
      </c>
      <c r="C624" t="s">
        <v>5359</v>
      </c>
      <c r="D624" t="s">
        <v>7591</v>
      </c>
      <c r="E624" t="s">
        <v>9335</v>
      </c>
    </row>
    <row r="625" spans="1:5" ht="15.6" x14ac:dyDescent="0.3">
      <c r="A625" s="1" t="s">
        <v>1747</v>
      </c>
      <c r="B625" s="1" t="s">
        <v>3006</v>
      </c>
      <c r="C625" t="s">
        <v>5360</v>
      </c>
      <c r="D625" t="s">
        <v>7592</v>
      </c>
      <c r="E625" t="s">
        <v>9336</v>
      </c>
    </row>
    <row r="626" spans="1:5" ht="15.6" x14ac:dyDescent="0.3">
      <c r="A626" s="1" t="s">
        <v>1746</v>
      </c>
      <c r="B626" s="1" t="s">
        <v>3007</v>
      </c>
      <c r="C626" t="s">
        <v>5361</v>
      </c>
      <c r="D626" t="s">
        <v>7593</v>
      </c>
      <c r="E626" t="s">
        <v>9337</v>
      </c>
    </row>
    <row r="627" spans="1:5" ht="15.6" x14ac:dyDescent="0.3">
      <c r="A627" s="1" t="s">
        <v>1745</v>
      </c>
      <c r="B627" s="1" t="s">
        <v>3008</v>
      </c>
      <c r="C627" t="s">
        <v>5362</v>
      </c>
      <c r="D627" t="s">
        <v>7594</v>
      </c>
      <c r="E627" t="s">
        <v>9338</v>
      </c>
    </row>
    <row r="628" spans="1:5" ht="15.6" x14ac:dyDescent="0.3">
      <c r="A628" s="1" t="s">
        <v>1744</v>
      </c>
      <c r="B628" s="1" t="s">
        <v>3009</v>
      </c>
      <c r="C628" t="s">
        <v>5363</v>
      </c>
      <c r="D628" t="s">
        <v>7595</v>
      </c>
      <c r="E628" t="s">
        <v>9339</v>
      </c>
    </row>
    <row r="629" spans="1:5" ht="15.6" x14ac:dyDescent="0.3">
      <c r="A629" s="1" t="s">
        <v>1743</v>
      </c>
      <c r="B629" s="1" t="s">
        <v>3010</v>
      </c>
      <c r="C629" t="s">
        <v>5364</v>
      </c>
      <c r="D629" t="s">
        <v>7596</v>
      </c>
      <c r="E629" t="s">
        <v>9340</v>
      </c>
    </row>
    <row r="630" spans="1:5" ht="15.6" x14ac:dyDescent="0.3">
      <c r="A630" s="1" t="s">
        <v>1742</v>
      </c>
      <c r="B630" s="1" t="s">
        <v>3011</v>
      </c>
      <c r="C630" t="s">
        <v>5365</v>
      </c>
      <c r="D630" t="s">
        <v>7597</v>
      </c>
      <c r="E630" t="s">
        <v>9341</v>
      </c>
    </row>
    <row r="631" spans="1:5" ht="15.6" x14ac:dyDescent="0.3">
      <c r="A631" s="1" t="s">
        <v>1741</v>
      </c>
      <c r="B631" s="1" t="s">
        <v>3012</v>
      </c>
      <c r="C631" t="s">
        <v>5366</v>
      </c>
      <c r="D631" t="s">
        <v>7598</v>
      </c>
      <c r="E631" t="s">
        <v>9012</v>
      </c>
    </row>
    <row r="632" spans="1:5" ht="15.6" x14ac:dyDescent="0.3">
      <c r="A632" s="1" t="s">
        <v>1740</v>
      </c>
      <c r="B632" s="1" t="s">
        <v>3013</v>
      </c>
      <c r="C632" t="s">
        <v>5367</v>
      </c>
      <c r="D632" t="s">
        <v>7599</v>
      </c>
      <c r="E632" t="s">
        <v>9342</v>
      </c>
    </row>
    <row r="633" spans="1:5" ht="15.6" x14ac:dyDescent="0.3">
      <c r="A633" s="1" t="s">
        <v>1739</v>
      </c>
      <c r="B633" s="1" t="s">
        <v>3014</v>
      </c>
      <c r="C633" t="s">
        <v>5368</v>
      </c>
      <c r="D633" t="s">
        <v>7275</v>
      </c>
      <c r="E633" t="s">
        <v>9343</v>
      </c>
    </row>
    <row r="634" spans="1:5" ht="15.6" x14ac:dyDescent="0.3">
      <c r="A634" s="1" t="s">
        <v>1738</v>
      </c>
      <c r="B634" s="1" t="s">
        <v>3015</v>
      </c>
      <c r="C634" t="s">
        <v>5369</v>
      </c>
      <c r="D634" t="s">
        <v>7433</v>
      </c>
      <c r="E634" t="s">
        <v>9344</v>
      </c>
    </row>
    <row r="635" spans="1:5" ht="15.6" x14ac:dyDescent="0.3">
      <c r="A635" s="1" t="s">
        <v>1737</v>
      </c>
      <c r="B635" s="1" t="s">
        <v>3016</v>
      </c>
      <c r="C635" t="s">
        <v>5370</v>
      </c>
      <c r="D635" t="s">
        <v>7600</v>
      </c>
      <c r="E635" t="s">
        <v>9345</v>
      </c>
    </row>
    <row r="636" spans="1:5" ht="15.6" x14ac:dyDescent="0.3">
      <c r="A636" s="1" t="s">
        <v>1736</v>
      </c>
      <c r="B636" s="1" t="s">
        <v>3017</v>
      </c>
      <c r="C636" t="s">
        <v>5371</v>
      </c>
      <c r="D636" t="s">
        <v>7601</v>
      </c>
      <c r="E636" t="s">
        <v>9067</v>
      </c>
    </row>
    <row r="637" spans="1:5" ht="15.6" x14ac:dyDescent="0.3">
      <c r="A637" s="1" t="s">
        <v>1735</v>
      </c>
      <c r="B637" s="1" t="s">
        <v>3018</v>
      </c>
      <c r="C637" t="s">
        <v>5372</v>
      </c>
      <c r="D637" t="s">
        <v>7602</v>
      </c>
      <c r="E637" t="s">
        <v>9346</v>
      </c>
    </row>
    <row r="638" spans="1:5" ht="15.6" x14ac:dyDescent="0.3">
      <c r="A638" s="1" t="s">
        <v>1734</v>
      </c>
      <c r="B638" s="1" t="s">
        <v>3019</v>
      </c>
      <c r="C638" t="s">
        <v>5373</v>
      </c>
      <c r="D638" t="s">
        <v>7297</v>
      </c>
      <c r="E638" t="s">
        <v>9347</v>
      </c>
    </row>
    <row r="639" spans="1:5" ht="15.6" x14ac:dyDescent="0.3">
      <c r="A639" s="1" t="s">
        <v>1733</v>
      </c>
      <c r="B639" s="1" t="s">
        <v>3020</v>
      </c>
      <c r="C639" t="s">
        <v>5374</v>
      </c>
      <c r="D639" t="s">
        <v>7188</v>
      </c>
      <c r="E639" t="s">
        <v>9348</v>
      </c>
    </row>
    <row r="640" spans="1:5" ht="15.6" x14ac:dyDescent="0.3">
      <c r="A640" s="1" t="s">
        <v>1732</v>
      </c>
      <c r="B640" s="1" t="s">
        <v>3021</v>
      </c>
      <c r="C640" t="s">
        <v>5375</v>
      </c>
      <c r="D640" t="s">
        <v>7603</v>
      </c>
      <c r="E640" t="s">
        <v>9349</v>
      </c>
    </row>
    <row r="641" spans="1:5" ht="15.6" x14ac:dyDescent="0.3">
      <c r="A641" s="1" t="s">
        <v>1731</v>
      </c>
      <c r="B641" s="1" t="s">
        <v>3022</v>
      </c>
      <c r="C641" t="s">
        <v>5376</v>
      </c>
      <c r="D641" t="s">
        <v>7604</v>
      </c>
      <c r="E641" t="s">
        <v>8751</v>
      </c>
    </row>
    <row r="642" spans="1:5" ht="15.6" x14ac:dyDescent="0.3">
      <c r="A642" s="1" t="s">
        <v>1730</v>
      </c>
      <c r="B642" s="1" t="s">
        <v>3023</v>
      </c>
      <c r="C642" t="s">
        <v>5377</v>
      </c>
      <c r="D642" t="s">
        <v>7605</v>
      </c>
      <c r="E642" t="s">
        <v>9350</v>
      </c>
    </row>
    <row r="643" spans="1:5" ht="15.6" x14ac:dyDescent="0.3">
      <c r="A643" s="1" t="s">
        <v>1729</v>
      </c>
      <c r="B643" s="1" t="s">
        <v>3024</v>
      </c>
      <c r="C643" t="s">
        <v>5378</v>
      </c>
      <c r="D643" t="s">
        <v>7606</v>
      </c>
      <c r="E643" t="s">
        <v>8811</v>
      </c>
    </row>
    <row r="644" spans="1:5" ht="15.6" x14ac:dyDescent="0.3">
      <c r="A644" s="1" t="s">
        <v>1728</v>
      </c>
      <c r="B644" s="1" t="s">
        <v>3025</v>
      </c>
      <c r="C644" t="s">
        <v>5379</v>
      </c>
      <c r="D644" t="s">
        <v>7081</v>
      </c>
      <c r="E644" t="s">
        <v>9351</v>
      </c>
    </row>
    <row r="645" spans="1:5" ht="15.6" x14ac:dyDescent="0.3">
      <c r="A645" s="1" t="s">
        <v>1727</v>
      </c>
      <c r="B645" s="1" t="s">
        <v>3026</v>
      </c>
      <c r="C645" t="s">
        <v>5380</v>
      </c>
      <c r="D645" t="s">
        <v>7607</v>
      </c>
      <c r="E645" t="s">
        <v>9352</v>
      </c>
    </row>
    <row r="646" spans="1:5" ht="15.6" x14ac:dyDescent="0.3">
      <c r="A646" s="1" t="s">
        <v>1726</v>
      </c>
      <c r="B646" s="1" t="s">
        <v>3027</v>
      </c>
      <c r="C646" t="s">
        <v>5381</v>
      </c>
      <c r="D646" t="s">
        <v>7421</v>
      </c>
      <c r="E646" t="s">
        <v>9353</v>
      </c>
    </row>
    <row r="647" spans="1:5" ht="15.6" x14ac:dyDescent="0.3">
      <c r="A647" s="1" t="s">
        <v>1725</v>
      </c>
      <c r="B647" s="1" t="s">
        <v>3028</v>
      </c>
      <c r="C647" t="s">
        <v>5382</v>
      </c>
      <c r="D647" t="s">
        <v>7608</v>
      </c>
      <c r="E647" t="s">
        <v>9354</v>
      </c>
    </row>
    <row r="648" spans="1:5" ht="15.6" x14ac:dyDescent="0.3">
      <c r="A648" s="1" t="s">
        <v>1724</v>
      </c>
      <c r="B648" s="1" t="s">
        <v>3029</v>
      </c>
      <c r="C648" t="s">
        <v>5383</v>
      </c>
      <c r="D648" t="s">
        <v>7609</v>
      </c>
      <c r="E648" t="s">
        <v>9355</v>
      </c>
    </row>
    <row r="649" spans="1:5" ht="15.6" x14ac:dyDescent="0.3">
      <c r="A649" s="1" t="s">
        <v>1723</v>
      </c>
      <c r="B649" s="1" t="s">
        <v>3030</v>
      </c>
      <c r="C649" t="s">
        <v>5384</v>
      </c>
      <c r="D649" t="s">
        <v>7610</v>
      </c>
      <c r="E649" t="s">
        <v>9356</v>
      </c>
    </row>
    <row r="650" spans="1:5" ht="15.6" x14ac:dyDescent="0.3">
      <c r="A650" s="1" t="s">
        <v>1722</v>
      </c>
      <c r="B650" s="1" t="s">
        <v>3031</v>
      </c>
      <c r="C650" t="s">
        <v>5385</v>
      </c>
      <c r="D650" t="s">
        <v>7422</v>
      </c>
      <c r="E650" t="s">
        <v>9357</v>
      </c>
    </row>
    <row r="651" spans="1:5" ht="15.6" x14ac:dyDescent="0.3">
      <c r="A651" s="1" t="s">
        <v>1721</v>
      </c>
      <c r="B651" s="1" t="s">
        <v>3032</v>
      </c>
      <c r="C651" t="s">
        <v>5386</v>
      </c>
      <c r="D651" t="s">
        <v>7611</v>
      </c>
      <c r="E651" t="s">
        <v>9358</v>
      </c>
    </row>
    <row r="652" spans="1:5" ht="15.6" x14ac:dyDescent="0.3">
      <c r="A652" s="1" t="s">
        <v>1720</v>
      </c>
      <c r="B652" s="1" t="s">
        <v>3033</v>
      </c>
      <c r="C652" t="s">
        <v>5387</v>
      </c>
      <c r="D652" t="s">
        <v>7086</v>
      </c>
      <c r="E652" t="s">
        <v>9359</v>
      </c>
    </row>
    <row r="653" spans="1:5" ht="15.6" x14ac:dyDescent="0.3">
      <c r="A653" s="1" t="s">
        <v>1719</v>
      </c>
      <c r="B653" s="1" t="s">
        <v>3034</v>
      </c>
      <c r="C653" t="s">
        <v>5388</v>
      </c>
      <c r="D653" t="s">
        <v>7612</v>
      </c>
      <c r="E653" t="s">
        <v>9360</v>
      </c>
    </row>
    <row r="654" spans="1:5" ht="15.6" x14ac:dyDescent="0.3">
      <c r="A654" s="1" t="s">
        <v>1718</v>
      </c>
      <c r="B654" s="1" t="s">
        <v>3035</v>
      </c>
      <c r="C654" t="s">
        <v>5389</v>
      </c>
      <c r="D654" t="s">
        <v>7613</v>
      </c>
      <c r="E654" t="s">
        <v>9361</v>
      </c>
    </row>
    <row r="655" spans="1:5" ht="15.6" x14ac:dyDescent="0.3">
      <c r="A655" s="1" t="s">
        <v>1717</v>
      </c>
      <c r="B655" s="1" t="s">
        <v>3036</v>
      </c>
      <c r="C655" t="s">
        <v>5390</v>
      </c>
      <c r="D655" t="s">
        <v>7163</v>
      </c>
      <c r="E655" t="s">
        <v>9362</v>
      </c>
    </row>
    <row r="656" spans="1:5" ht="15.6" x14ac:dyDescent="0.3">
      <c r="A656" s="1" t="s">
        <v>1716</v>
      </c>
      <c r="B656" s="1" t="s">
        <v>3037</v>
      </c>
      <c r="C656" t="s">
        <v>5391</v>
      </c>
      <c r="D656" t="s">
        <v>7614</v>
      </c>
      <c r="E656" t="s">
        <v>9363</v>
      </c>
    </row>
    <row r="657" spans="1:5" ht="15.6" x14ac:dyDescent="0.3">
      <c r="A657" s="1" t="s">
        <v>1715</v>
      </c>
      <c r="B657" s="1" t="s">
        <v>3038</v>
      </c>
      <c r="C657" t="s">
        <v>5392</v>
      </c>
      <c r="D657" t="s">
        <v>7615</v>
      </c>
      <c r="E657" t="s">
        <v>9364</v>
      </c>
    </row>
    <row r="658" spans="1:5" ht="15.6" x14ac:dyDescent="0.3">
      <c r="A658" s="1" t="s">
        <v>1714</v>
      </c>
      <c r="B658" s="1" t="s">
        <v>3039</v>
      </c>
      <c r="C658" t="s">
        <v>5393</v>
      </c>
      <c r="D658" t="s">
        <v>7616</v>
      </c>
      <c r="E658" t="s">
        <v>9365</v>
      </c>
    </row>
    <row r="659" spans="1:5" ht="15.6" x14ac:dyDescent="0.3">
      <c r="A659" s="1" t="s">
        <v>1713</v>
      </c>
      <c r="B659" s="1" t="s">
        <v>3040</v>
      </c>
      <c r="C659" t="s">
        <v>5394</v>
      </c>
      <c r="D659" t="s">
        <v>7617</v>
      </c>
      <c r="E659" t="s">
        <v>9366</v>
      </c>
    </row>
    <row r="660" spans="1:5" ht="15.6" x14ac:dyDescent="0.3">
      <c r="A660" s="1" t="s">
        <v>1712</v>
      </c>
      <c r="B660" s="1" t="s">
        <v>3041</v>
      </c>
      <c r="C660" t="s">
        <v>5395</v>
      </c>
      <c r="D660" t="s">
        <v>7618</v>
      </c>
      <c r="E660" t="s">
        <v>9367</v>
      </c>
    </row>
    <row r="661" spans="1:5" ht="15.6" x14ac:dyDescent="0.3">
      <c r="A661" s="1" t="s">
        <v>1711</v>
      </c>
      <c r="B661" s="1" t="s">
        <v>3042</v>
      </c>
      <c r="C661" t="s">
        <v>5396</v>
      </c>
      <c r="D661" t="s">
        <v>7619</v>
      </c>
      <c r="E661" t="s">
        <v>9368</v>
      </c>
    </row>
    <row r="662" spans="1:5" ht="15.6" x14ac:dyDescent="0.3">
      <c r="A662" s="1" t="s">
        <v>1710</v>
      </c>
      <c r="B662" s="1" t="s">
        <v>3043</v>
      </c>
      <c r="C662" t="s">
        <v>5397</v>
      </c>
      <c r="D662" t="s">
        <v>7620</v>
      </c>
      <c r="E662" t="s">
        <v>9369</v>
      </c>
    </row>
    <row r="663" spans="1:5" ht="15.6" x14ac:dyDescent="0.3">
      <c r="A663" s="1" t="s">
        <v>1709</v>
      </c>
      <c r="B663" s="1" t="s">
        <v>3044</v>
      </c>
      <c r="C663" t="s">
        <v>5398</v>
      </c>
      <c r="D663" t="s">
        <v>7621</v>
      </c>
      <c r="E663" t="s">
        <v>9370</v>
      </c>
    </row>
    <row r="664" spans="1:5" ht="15.6" x14ac:dyDescent="0.3">
      <c r="A664" s="1" t="s">
        <v>1708</v>
      </c>
      <c r="B664" s="1" t="s">
        <v>3045</v>
      </c>
      <c r="C664" t="s">
        <v>5399</v>
      </c>
      <c r="D664" t="s">
        <v>7622</v>
      </c>
      <c r="E664" t="s">
        <v>9371</v>
      </c>
    </row>
    <row r="665" spans="1:5" ht="15.6" x14ac:dyDescent="0.3">
      <c r="A665" s="1" t="s">
        <v>1707</v>
      </c>
      <c r="B665" s="1" t="s">
        <v>3046</v>
      </c>
      <c r="C665" t="s">
        <v>5400</v>
      </c>
      <c r="D665" t="s">
        <v>7623</v>
      </c>
      <c r="E665" t="s">
        <v>9372</v>
      </c>
    </row>
    <row r="666" spans="1:5" ht="15.6" x14ac:dyDescent="0.3">
      <c r="A666" s="1" t="s">
        <v>1706</v>
      </c>
      <c r="B666" s="1" t="s">
        <v>3047</v>
      </c>
      <c r="C666" t="s">
        <v>5401</v>
      </c>
      <c r="D666" t="s">
        <v>7624</v>
      </c>
      <c r="E666" t="s">
        <v>9373</v>
      </c>
    </row>
    <row r="667" spans="1:5" ht="15.6" x14ac:dyDescent="0.3">
      <c r="A667" s="1" t="s">
        <v>1705</v>
      </c>
      <c r="B667" s="1" t="s">
        <v>3048</v>
      </c>
      <c r="C667" t="s">
        <v>5402</v>
      </c>
      <c r="D667" t="s">
        <v>7625</v>
      </c>
      <c r="E667" t="s">
        <v>9374</v>
      </c>
    </row>
    <row r="668" spans="1:5" ht="15.6" x14ac:dyDescent="0.3">
      <c r="A668" s="1" t="s">
        <v>1704</v>
      </c>
      <c r="B668" s="1" t="s">
        <v>3049</v>
      </c>
      <c r="C668" t="s">
        <v>5403</v>
      </c>
      <c r="D668" t="s">
        <v>7626</v>
      </c>
      <c r="E668" t="s">
        <v>9375</v>
      </c>
    </row>
    <row r="669" spans="1:5" ht="15.6" x14ac:dyDescent="0.3">
      <c r="A669" s="1" t="s">
        <v>1703</v>
      </c>
      <c r="B669" s="1" t="s">
        <v>3050</v>
      </c>
      <c r="C669" t="s">
        <v>5404</v>
      </c>
      <c r="D669" t="s">
        <v>7627</v>
      </c>
      <c r="E669" t="s">
        <v>9376</v>
      </c>
    </row>
    <row r="670" spans="1:5" ht="15.6" x14ac:dyDescent="0.3">
      <c r="A670" s="1" t="s">
        <v>1702</v>
      </c>
      <c r="B670" s="1" t="s">
        <v>3051</v>
      </c>
      <c r="C670" t="s">
        <v>5405</v>
      </c>
      <c r="D670" t="s">
        <v>7244</v>
      </c>
      <c r="E670" t="s">
        <v>9377</v>
      </c>
    </row>
    <row r="671" spans="1:5" ht="15.6" x14ac:dyDescent="0.3">
      <c r="A671" s="1" t="s">
        <v>1701</v>
      </c>
      <c r="B671" s="1" t="s">
        <v>3052</v>
      </c>
      <c r="C671" t="s">
        <v>5406</v>
      </c>
      <c r="D671" t="s">
        <v>7628</v>
      </c>
      <c r="E671" t="s">
        <v>9099</v>
      </c>
    </row>
    <row r="672" spans="1:5" ht="15.6" x14ac:dyDescent="0.3">
      <c r="A672" s="1" t="s">
        <v>1700</v>
      </c>
      <c r="B672" s="1" t="s">
        <v>3053</v>
      </c>
      <c r="C672" t="s">
        <v>5407</v>
      </c>
      <c r="D672" t="s">
        <v>7629</v>
      </c>
      <c r="E672" t="s">
        <v>9378</v>
      </c>
    </row>
    <row r="673" spans="1:5" ht="15.6" x14ac:dyDescent="0.3">
      <c r="A673" s="1" t="s">
        <v>1699</v>
      </c>
      <c r="B673" s="1" t="s">
        <v>3054</v>
      </c>
      <c r="C673" t="s">
        <v>5408</v>
      </c>
      <c r="D673" t="s">
        <v>7630</v>
      </c>
      <c r="E673" t="s">
        <v>9379</v>
      </c>
    </row>
    <row r="674" spans="1:5" ht="15.6" x14ac:dyDescent="0.3">
      <c r="A674" s="1" t="s">
        <v>1698</v>
      </c>
      <c r="B674" s="1" t="s">
        <v>3055</v>
      </c>
      <c r="C674" t="s">
        <v>5409</v>
      </c>
      <c r="D674" t="s">
        <v>7631</v>
      </c>
      <c r="E674" t="s">
        <v>9380</v>
      </c>
    </row>
    <row r="675" spans="1:5" ht="15.6" x14ac:dyDescent="0.3">
      <c r="A675" s="1" t="s">
        <v>1697</v>
      </c>
      <c r="B675" s="1" t="s">
        <v>3056</v>
      </c>
      <c r="C675" t="s">
        <v>5410</v>
      </c>
      <c r="D675" t="s">
        <v>7632</v>
      </c>
      <c r="E675" t="s">
        <v>9381</v>
      </c>
    </row>
    <row r="676" spans="1:5" ht="15.6" x14ac:dyDescent="0.3">
      <c r="A676" s="1" t="s">
        <v>1696</v>
      </c>
      <c r="B676" s="1" t="s">
        <v>3057</v>
      </c>
      <c r="C676" t="s">
        <v>5411</v>
      </c>
      <c r="D676" t="s">
        <v>7633</v>
      </c>
      <c r="E676" t="s">
        <v>9382</v>
      </c>
    </row>
    <row r="677" spans="1:5" ht="15.6" x14ac:dyDescent="0.3">
      <c r="A677" s="1" t="s">
        <v>1695</v>
      </c>
      <c r="B677" s="1" t="s">
        <v>3058</v>
      </c>
      <c r="C677" t="s">
        <v>5412</v>
      </c>
      <c r="D677" t="s">
        <v>7634</v>
      </c>
      <c r="E677" t="s">
        <v>9383</v>
      </c>
    </row>
    <row r="678" spans="1:5" ht="15.6" x14ac:dyDescent="0.3">
      <c r="A678" s="1" t="s">
        <v>1694</v>
      </c>
      <c r="B678" s="1" t="s">
        <v>3059</v>
      </c>
      <c r="C678" t="s">
        <v>5413</v>
      </c>
      <c r="D678" t="s">
        <v>7635</v>
      </c>
      <c r="E678" t="s">
        <v>9384</v>
      </c>
    </row>
    <row r="679" spans="1:5" ht="15.6" x14ac:dyDescent="0.3">
      <c r="A679" s="1" t="s">
        <v>1693</v>
      </c>
      <c r="B679" s="1" t="s">
        <v>3060</v>
      </c>
      <c r="C679" t="s">
        <v>5414</v>
      </c>
      <c r="D679" t="s">
        <v>7636</v>
      </c>
      <c r="E679" t="s">
        <v>9385</v>
      </c>
    </row>
    <row r="680" spans="1:5" ht="15.6" x14ac:dyDescent="0.3">
      <c r="A680" s="1" t="s">
        <v>1692</v>
      </c>
      <c r="B680" s="1" t="s">
        <v>3061</v>
      </c>
      <c r="C680" t="s">
        <v>5415</v>
      </c>
      <c r="D680" t="s">
        <v>7637</v>
      </c>
      <c r="E680" t="s">
        <v>9386</v>
      </c>
    </row>
    <row r="681" spans="1:5" ht="15.6" x14ac:dyDescent="0.3">
      <c r="A681" s="1" t="s">
        <v>1691</v>
      </c>
      <c r="B681" s="1" t="s">
        <v>3062</v>
      </c>
      <c r="C681" t="s">
        <v>5416</v>
      </c>
      <c r="D681" t="s">
        <v>7420</v>
      </c>
      <c r="E681" t="s">
        <v>9387</v>
      </c>
    </row>
    <row r="682" spans="1:5" ht="15.6" x14ac:dyDescent="0.3">
      <c r="A682" s="1" t="s">
        <v>1690</v>
      </c>
      <c r="B682" s="1" t="s">
        <v>3063</v>
      </c>
      <c r="C682" t="s">
        <v>5417</v>
      </c>
      <c r="D682" t="s">
        <v>7638</v>
      </c>
      <c r="E682" t="s">
        <v>9388</v>
      </c>
    </row>
    <row r="683" spans="1:5" ht="15.6" x14ac:dyDescent="0.3">
      <c r="A683" s="1" t="s">
        <v>1689</v>
      </c>
      <c r="B683" s="1" t="s">
        <v>3064</v>
      </c>
      <c r="C683" t="s">
        <v>5418</v>
      </c>
      <c r="D683" t="s">
        <v>7639</v>
      </c>
      <c r="E683" t="s">
        <v>9389</v>
      </c>
    </row>
    <row r="684" spans="1:5" ht="15.6" x14ac:dyDescent="0.3">
      <c r="A684" s="1" t="s">
        <v>1688</v>
      </c>
      <c r="B684" s="1" t="s">
        <v>3065</v>
      </c>
      <c r="C684" t="s">
        <v>5419</v>
      </c>
      <c r="D684" t="s">
        <v>7165</v>
      </c>
      <c r="E684" t="s">
        <v>9390</v>
      </c>
    </row>
    <row r="685" spans="1:5" ht="15.6" x14ac:dyDescent="0.3">
      <c r="A685" s="1" t="s">
        <v>1687</v>
      </c>
      <c r="B685" s="1" t="s">
        <v>3066</v>
      </c>
      <c r="C685" t="s">
        <v>5420</v>
      </c>
      <c r="D685" t="s">
        <v>7640</v>
      </c>
      <c r="E685" t="s">
        <v>9391</v>
      </c>
    </row>
    <row r="686" spans="1:5" ht="15.6" x14ac:dyDescent="0.3">
      <c r="A686" s="1" t="s">
        <v>1686</v>
      </c>
      <c r="B686" s="1" t="s">
        <v>3067</v>
      </c>
      <c r="C686" t="s">
        <v>5421</v>
      </c>
      <c r="D686" t="s">
        <v>7641</v>
      </c>
      <c r="E686" t="s">
        <v>9392</v>
      </c>
    </row>
    <row r="687" spans="1:5" ht="15.6" x14ac:dyDescent="0.3">
      <c r="A687" s="1" t="s">
        <v>1685</v>
      </c>
      <c r="B687" s="1" t="s">
        <v>3068</v>
      </c>
      <c r="C687" t="s">
        <v>5422</v>
      </c>
      <c r="D687" t="s">
        <v>7642</v>
      </c>
      <c r="E687" t="s">
        <v>9393</v>
      </c>
    </row>
    <row r="688" spans="1:5" ht="15.6" x14ac:dyDescent="0.3">
      <c r="A688" s="1" t="s">
        <v>1684</v>
      </c>
      <c r="B688" s="1" t="s">
        <v>3069</v>
      </c>
      <c r="C688" t="s">
        <v>5423</v>
      </c>
      <c r="D688" t="s">
        <v>7643</v>
      </c>
      <c r="E688" t="s">
        <v>9394</v>
      </c>
    </row>
    <row r="689" spans="1:5" ht="15.6" x14ac:dyDescent="0.3">
      <c r="A689" s="1" t="s">
        <v>1683</v>
      </c>
      <c r="B689" s="1" t="s">
        <v>3070</v>
      </c>
      <c r="C689" t="s">
        <v>5424</v>
      </c>
      <c r="D689" t="s">
        <v>7644</v>
      </c>
      <c r="E689" t="s">
        <v>9395</v>
      </c>
    </row>
    <row r="690" spans="1:5" ht="15.6" x14ac:dyDescent="0.3">
      <c r="A690" s="1" t="s">
        <v>1682</v>
      </c>
      <c r="B690" s="1" t="s">
        <v>3071</v>
      </c>
      <c r="C690" t="s">
        <v>5425</v>
      </c>
      <c r="D690" t="s">
        <v>7645</v>
      </c>
      <c r="E690" t="s">
        <v>9396</v>
      </c>
    </row>
    <row r="691" spans="1:5" ht="15.6" x14ac:dyDescent="0.3">
      <c r="A691" s="1" t="s">
        <v>1681</v>
      </c>
      <c r="B691" s="1" t="s">
        <v>3072</v>
      </c>
      <c r="C691" t="s">
        <v>5426</v>
      </c>
      <c r="D691" t="s">
        <v>7646</v>
      </c>
      <c r="E691" t="s">
        <v>9397</v>
      </c>
    </row>
    <row r="692" spans="1:5" ht="15.6" x14ac:dyDescent="0.3">
      <c r="A692" s="1" t="s">
        <v>1680</v>
      </c>
      <c r="B692" s="1" t="s">
        <v>3073</v>
      </c>
      <c r="C692" t="s">
        <v>5427</v>
      </c>
      <c r="D692" t="s">
        <v>7647</v>
      </c>
      <c r="E692" t="s">
        <v>9398</v>
      </c>
    </row>
    <row r="693" spans="1:5" ht="15.6" x14ac:dyDescent="0.3">
      <c r="A693" s="1" t="s">
        <v>1679</v>
      </c>
      <c r="B693" s="1" t="s">
        <v>3074</v>
      </c>
      <c r="C693" t="s">
        <v>5428</v>
      </c>
      <c r="D693" t="s">
        <v>7648</v>
      </c>
      <c r="E693" t="s">
        <v>9399</v>
      </c>
    </row>
    <row r="694" spans="1:5" ht="15.6" x14ac:dyDescent="0.3">
      <c r="A694" s="1" t="s">
        <v>1678</v>
      </c>
      <c r="B694" s="1" t="s">
        <v>3075</v>
      </c>
      <c r="C694" t="s">
        <v>5429</v>
      </c>
      <c r="D694" t="s">
        <v>7649</v>
      </c>
      <c r="E694" t="s">
        <v>9400</v>
      </c>
    </row>
    <row r="695" spans="1:5" ht="15.6" x14ac:dyDescent="0.3">
      <c r="A695" s="1" t="s">
        <v>1677</v>
      </c>
      <c r="B695" s="1" t="s">
        <v>3076</v>
      </c>
      <c r="C695" t="s">
        <v>5430</v>
      </c>
      <c r="D695" t="s">
        <v>7650</v>
      </c>
      <c r="E695" t="s">
        <v>9401</v>
      </c>
    </row>
    <row r="696" spans="1:5" ht="15.6" x14ac:dyDescent="0.3">
      <c r="A696" s="1" t="s">
        <v>1676</v>
      </c>
      <c r="B696" s="1" t="s">
        <v>3077</v>
      </c>
      <c r="C696" t="s">
        <v>5431</v>
      </c>
      <c r="D696" t="s">
        <v>7651</v>
      </c>
      <c r="E696" t="s">
        <v>9402</v>
      </c>
    </row>
    <row r="697" spans="1:5" ht="15.6" x14ac:dyDescent="0.3">
      <c r="A697" s="1" t="s">
        <v>1675</v>
      </c>
      <c r="B697" s="1" t="s">
        <v>3078</v>
      </c>
      <c r="C697" t="s">
        <v>5432</v>
      </c>
      <c r="D697" t="s">
        <v>7652</v>
      </c>
      <c r="E697" t="s">
        <v>9403</v>
      </c>
    </row>
    <row r="698" spans="1:5" ht="15.6" x14ac:dyDescent="0.3">
      <c r="A698" s="1" t="s">
        <v>1674</v>
      </c>
      <c r="B698" s="1" t="s">
        <v>3079</v>
      </c>
      <c r="C698" t="s">
        <v>5433</v>
      </c>
      <c r="D698" t="s">
        <v>7653</v>
      </c>
      <c r="E698" t="s">
        <v>9404</v>
      </c>
    </row>
    <row r="699" spans="1:5" ht="15.6" x14ac:dyDescent="0.3">
      <c r="A699" s="1" t="s">
        <v>1673</v>
      </c>
      <c r="B699" s="1" t="s">
        <v>3080</v>
      </c>
      <c r="C699" t="s">
        <v>5434</v>
      </c>
      <c r="D699" t="s">
        <v>7152</v>
      </c>
      <c r="E699" t="s">
        <v>9405</v>
      </c>
    </row>
    <row r="700" spans="1:5" ht="15.6" x14ac:dyDescent="0.3">
      <c r="A700" s="1" t="s">
        <v>1672</v>
      </c>
      <c r="B700" s="1" t="s">
        <v>3081</v>
      </c>
      <c r="C700" t="s">
        <v>5435</v>
      </c>
      <c r="D700" t="s">
        <v>7654</v>
      </c>
      <c r="E700" t="s">
        <v>9406</v>
      </c>
    </row>
    <row r="701" spans="1:5" ht="15.6" x14ac:dyDescent="0.3">
      <c r="A701" s="1" t="s">
        <v>1671</v>
      </c>
      <c r="B701" s="1" t="s">
        <v>3082</v>
      </c>
      <c r="C701" t="s">
        <v>5436</v>
      </c>
      <c r="D701" t="s">
        <v>7655</v>
      </c>
      <c r="E701" t="s">
        <v>9407</v>
      </c>
    </row>
    <row r="702" spans="1:5" ht="15.6" x14ac:dyDescent="0.3">
      <c r="A702" s="1" t="s">
        <v>1670</v>
      </c>
      <c r="B702" s="1" t="s">
        <v>3083</v>
      </c>
      <c r="C702" t="s">
        <v>5437</v>
      </c>
      <c r="D702" t="s">
        <v>7656</v>
      </c>
      <c r="E702" t="s">
        <v>9408</v>
      </c>
    </row>
    <row r="703" spans="1:5" ht="15.6" x14ac:dyDescent="0.3">
      <c r="A703" s="1" t="s">
        <v>1669</v>
      </c>
      <c r="B703" s="1" t="s">
        <v>3084</v>
      </c>
      <c r="C703" t="s">
        <v>5438</v>
      </c>
      <c r="D703" t="s">
        <v>7657</v>
      </c>
      <c r="E703" t="s">
        <v>9409</v>
      </c>
    </row>
    <row r="704" spans="1:5" ht="15.6" x14ac:dyDescent="0.3">
      <c r="A704" s="1" t="s">
        <v>1668</v>
      </c>
      <c r="B704" s="1" t="s">
        <v>3085</v>
      </c>
      <c r="C704" t="s">
        <v>5439</v>
      </c>
      <c r="D704" t="s">
        <v>7658</v>
      </c>
      <c r="E704" t="s">
        <v>9410</v>
      </c>
    </row>
    <row r="705" spans="1:5" ht="15.6" x14ac:dyDescent="0.3">
      <c r="A705" s="1" t="s">
        <v>1667</v>
      </c>
      <c r="B705" s="1" t="s">
        <v>3086</v>
      </c>
      <c r="C705" t="s">
        <v>5440</v>
      </c>
      <c r="D705" t="s">
        <v>7146</v>
      </c>
      <c r="E705" t="s">
        <v>9411</v>
      </c>
    </row>
    <row r="706" spans="1:5" ht="15.6" x14ac:dyDescent="0.3">
      <c r="A706" s="1" t="s">
        <v>1666</v>
      </c>
      <c r="B706" s="1" t="s">
        <v>3087</v>
      </c>
      <c r="C706" t="s">
        <v>5441</v>
      </c>
      <c r="D706" t="s">
        <v>7659</v>
      </c>
      <c r="E706" t="s">
        <v>9412</v>
      </c>
    </row>
    <row r="707" spans="1:5" ht="15.6" x14ac:dyDescent="0.3">
      <c r="A707" s="1" t="s">
        <v>1665</v>
      </c>
      <c r="B707" s="1" t="s">
        <v>3088</v>
      </c>
      <c r="C707" t="s">
        <v>5442</v>
      </c>
      <c r="D707" t="s">
        <v>7660</v>
      </c>
      <c r="E707" t="s">
        <v>9413</v>
      </c>
    </row>
    <row r="708" spans="1:5" ht="15.6" x14ac:dyDescent="0.3">
      <c r="A708" s="1" t="s">
        <v>1664</v>
      </c>
      <c r="B708" s="1" t="s">
        <v>3089</v>
      </c>
      <c r="C708" t="s">
        <v>5443</v>
      </c>
      <c r="D708" t="s">
        <v>7442</v>
      </c>
      <c r="E708" t="s">
        <v>9414</v>
      </c>
    </row>
    <row r="709" spans="1:5" ht="15.6" x14ac:dyDescent="0.3">
      <c r="A709" s="1" t="s">
        <v>1663</v>
      </c>
      <c r="B709" s="1" t="s">
        <v>3090</v>
      </c>
      <c r="C709" t="s">
        <v>5444</v>
      </c>
      <c r="D709" t="s">
        <v>7542</v>
      </c>
      <c r="E709" t="s">
        <v>9204</v>
      </c>
    </row>
    <row r="710" spans="1:5" ht="15.6" x14ac:dyDescent="0.3">
      <c r="A710" s="1" t="s">
        <v>1662</v>
      </c>
      <c r="B710" s="1" t="s">
        <v>3091</v>
      </c>
      <c r="C710" t="s">
        <v>5445</v>
      </c>
      <c r="D710" t="s">
        <v>7661</v>
      </c>
      <c r="E710" t="s">
        <v>9415</v>
      </c>
    </row>
    <row r="711" spans="1:5" ht="15.6" x14ac:dyDescent="0.3">
      <c r="A711" s="1" t="s">
        <v>1661</v>
      </c>
      <c r="B711" s="1" t="s">
        <v>3092</v>
      </c>
      <c r="C711" t="s">
        <v>5446</v>
      </c>
      <c r="D711" t="s">
        <v>7662</v>
      </c>
      <c r="E711" t="s">
        <v>9416</v>
      </c>
    </row>
    <row r="712" spans="1:5" ht="15.6" x14ac:dyDescent="0.3">
      <c r="A712" s="1" t="s">
        <v>1660</v>
      </c>
      <c r="B712" s="1" t="s">
        <v>3093</v>
      </c>
      <c r="C712" t="s">
        <v>5447</v>
      </c>
      <c r="D712" t="s">
        <v>7663</v>
      </c>
      <c r="E712" t="s">
        <v>9417</v>
      </c>
    </row>
    <row r="713" spans="1:5" ht="15.6" x14ac:dyDescent="0.3">
      <c r="A713" s="1" t="s">
        <v>1659</v>
      </c>
      <c r="B713" s="1" t="s">
        <v>3094</v>
      </c>
      <c r="C713" t="s">
        <v>5448</v>
      </c>
      <c r="D713" t="s">
        <v>7664</v>
      </c>
      <c r="E713" t="s">
        <v>9418</v>
      </c>
    </row>
    <row r="714" spans="1:5" ht="15.6" x14ac:dyDescent="0.3">
      <c r="A714" s="1" t="s">
        <v>1658</v>
      </c>
      <c r="B714" s="1" t="s">
        <v>3095</v>
      </c>
      <c r="C714" t="s">
        <v>5449</v>
      </c>
      <c r="D714" t="s">
        <v>7665</v>
      </c>
      <c r="E714" t="s">
        <v>9419</v>
      </c>
    </row>
    <row r="715" spans="1:5" ht="15.6" x14ac:dyDescent="0.3">
      <c r="A715" s="1" t="s">
        <v>1657</v>
      </c>
      <c r="B715" s="1" t="s">
        <v>3096</v>
      </c>
      <c r="C715" t="s">
        <v>5450</v>
      </c>
      <c r="D715" t="s">
        <v>7666</v>
      </c>
      <c r="E715" t="s">
        <v>9420</v>
      </c>
    </row>
    <row r="716" spans="1:5" ht="15.6" x14ac:dyDescent="0.3">
      <c r="A716" s="1" t="s">
        <v>1656</v>
      </c>
      <c r="B716" s="1" t="s">
        <v>3097</v>
      </c>
      <c r="C716" t="s">
        <v>5451</v>
      </c>
      <c r="D716" t="s">
        <v>7667</v>
      </c>
      <c r="E716" t="s">
        <v>8811</v>
      </c>
    </row>
    <row r="717" spans="1:5" ht="15.6" x14ac:dyDescent="0.3">
      <c r="A717" s="1" t="s">
        <v>1655</v>
      </c>
      <c r="B717" s="1" t="s">
        <v>3098</v>
      </c>
      <c r="C717" t="s">
        <v>5452</v>
      </c>
      <c r="D717" t="s">
        <v>7668</v>
      </c>
      <c r="E717" t="s">
        <v>9421</v>
      </c>
    </row>
    <row r="718" spans="1:5" ht="15.6" x14ac:dyDescent="0.3">
      <c r="A718" s="1" t="s">
        <v>1654</v>
      </c>
      <c r="B718" s="1" t="s">
        <v>3099</v>
      </c>
      <c r="C718" t="s">
        <v>5453</v>
      </c>
      <c r="D718" t="s">
        <v>7669</v>
      </c>
      <c r="E718" t="s">
        <v>9422</v>
      </c>
    </row>
    <row r="719" spans="1:5" ht="15.6" x14ac:dyDescent="0.3">
      <c r="A719" s="1" t="s">
        <v>1653</v>
      </c>
      <c r="B719" s="1" t="s">
        <v>3100</v>
      </c>
      <c r="C719" t="s">
        <v>5454</v>
      </c>
      <c r="D719" t="s">
        <v>7670</v>
      </c>
      <c r="E719" t="s">
        <v>9423</v>
      </c>
    </row>
    <row r="720" spans="1:5" ht="15.6" x14ac:dyDescent="0.3">
      <c r="A720" s="1" t="s">
        <v>1652</v>
      </c>
      <c r="B720" s="1" t="s">
        <v>3101</v>
      </c>
      <c r="C720" t="s">
        <v>5455</v>
      </c>
      <c r="D720" t="s">
        <v>7671</v>
      </c>
      <c r="E720" t="s">
        <v>9424</v>
      </c>
    </row>
    <row r="721" spans="1:5" ht="15.6" x14ac:dyDescent="0.3">
      <c r="A721" s="1" t="s">
        <v>1651</v>
      </c>
      <c r="B721" s="1" t="s">
        <v>3102</v>
      </c>
      <c r="C721" t="s">
        <v>5456</v>
      </c>
      <c r="D721" t="s">
        <v>7672</v>
      </c>
      <c r="E721" t="s">
        <v>9425</v>
      </c>
    </row>
    <row r="722" spans="1:5" ht="15.6" x14ac:dyDescent="0.3">
      <c r="A722" s="1" t="s">
        <v>1650</v>
      </c>
      <c r="B722" s="1" t="s">
        <v>3103</v>
      </c>
      <c r="C722" t="s">
        <v>5457</v>
      </c>
      <c r="D722" t="s">
        <v>7103</v>
      </c>
      <c r="E722" t="s">
        <v>9426</v>
      </c>
    </row>
    <row r="723" spans="1:5" ht="15.6" x14ac:dyDescent="0.3">
      <c r="A723" s="1" t="s">
        <v>1649</v>
      </c>
      <c r="B723" s="1" t="s">
        <v>3104</v>
      </c>
      <c r="C723" t="s">
        <v>5458</v>
      </c>
      <c r="D723" t="s">
        <v>7431</v>
      </c>
      <c r="E723" t="s">
        <v>9427</v>
      </c>
    </row>
    <row r="724" spans="1:5" ht="15.6" x14ac:dyDescent="0.3">
      <c r="A724" s="1" t="s">
        <v>1648</v>
      </c>
      <c r="B724" s="1" t="s">
        <v>3105</v>
      </c>
      <c r="C724" t="s">
        <v>5459</v>
      </c>
      <c r="D724" t="s">
        <v>7673</v>
      </c>
      <c r="E724" t="s">
        <v>9428</v>
      </c>
    </row>
    <row r="725" spans="1:5" ht="15.6" x14ac:dyDescent="0.3">
      <c r="A725" s="1" t="s">
        <v>1647</v>
      </c>
      <c r="B725" s="1" t="s">
        <v>3106</v>
      </c>
      <c r="C725" t="s">
        <v>5460</v>
      </c>
      <c r="D725" t="s">
        <v>7674</v>
      </c>
      <c r="E725" t="s">
        <v>9429</v>
      </c>
    </row>
    <row r="726" spans="1:5" ht="15.6" x14ac:dyDescent="0.3">
      <c r="A726" s="1" t="s">
        <v>1646</v>
      </c>
      <c r="B726" s="1" t="s">
        <v>3107</v>
      </c>
      <c r="C726" t="s">
        <v>4725</v>
      </c>
      <c r="D726" t="s">
        <v>7060</v>
      </c>
      <c r="E726" t="s">
        <v>9430</v>
      </c>
    </row>
    <row r="727" spans="1:5" ht="15.6" x14ac:dyDescent="0.3">
      <c r="A727" s="1" t="s">
        <v>1645</v>
      </c>
      <c r="B727" s="1" t="s">
        <v>3108</v>
      </c>
      <c r="C727" t="s">
        <v>5461</v>
      </c>
      <c r="D727" t="s">
        <v>7319</v>
      </c>
      <c r="E727" t="s">
        <v>8835</v>
      </c>
    </row>
    <row r="728" spans="1:5" ht="15.6" x14ac:dyDescent="0.3">
      <c r="A728" s="1" t="s">
        <v>1644</v>
      </c>
      <c r="B728" s="1" t="s">
        <v>3109</v>
      </c>
      <c r="C728" t="s">
        <v>5462</v>
      </c>
      <c r="D728" t="s">
        <v>7094</v>
      </c>
      <c r="E728" t="s">
        <v>9431</v>
      </c>
    </row>
    <row r="729" spans="1:5" ht="15.6" x14ac:dyDescent="0.3">
      <c r="A729" s="1" t="s">
        <v>1643</v>
      </c>
      <c r="B729" s="1" t="s">
        <v>3110</v>
      </c>
      <c r="C729" t="s">
        <v>5463</v>
      </c>
      <c r="D729" t="s">
        <v>7675</v>
      </c>
      <c r="E729" t="s">
        <v>9432</v>
      </c>
    </row>
    <row r="730" spans="1:5" ht="15.6" x14ac:dyDescent="0.3">
      <c r="A730" s="1" t="s">
        <v>1642</v>
      </c>
      <c r="B730" s="1" t="s">
        <v>3111</v>
      </c>
      <c r="C730" t="s">
        <v>5464</v>
      </c>
      <c r="D730" t="s">
        <v>7676</v>
      </c>
      <c r="E730" t="s">
        <v>9424</v>
      </c>
    </row>
    <row r="731" spans="1:5" ht="15.6" x14ac:dyDescent="0.3">
      <c r="A731" s="1" t="s">
        <v>1641</v>
      </c>
      <c r="B731" s="1" t="s">
        <v>3112</v>
      </c>
      <c r="C731" t="s">
        <v>5465</v>
      </c>
      <c r="D731" t="s">
        <v>7677</v>
      </c>
      <c r="E731" t="s">
        <v>9433</v>
      </c>
    </row>
    <row r="732" spans="1:5" ht="15.6" x14ac:dyDescent="0.3">
      <c r="A732" s="1" t="s">
        <v>1640</v>
      </c>
      <c r="B732" s="1" t="s">
        <v>3113</v>
      </c>
      <c r="C732" t="s">
        <v>5466</v>
      </c>
      <c r="D732" t="s">
        <v>7239</v>
      </c>
      <c r="E732" t="s">
        <v>9434</v>
      </c>
    </row>
    <row r="733" spans="1:5" ht="15.6" x14ac:dyDescent="0.3">
      <c r="A733" s="1" t="s">
        <v>1639</v>
      </c>
      <c r="B733" s="1" t="s">
        <v>3114</v>
      </c>
      <c r="C733" t="s">
        <v>5467</v>
      </c>
      <c r="D733" t="s">
        <v>7678</v>
      </c>
      <c r="E733" t="s">
        <v>9435</v>
      </c>
    </row>
    <row r="734" spans="1:5" ht="15.6" x14ac:dyDescent="0.3">
      <c r="A734" s="1" t="s">
        <v>1638</v>
      </c>
      <c r="B734" s="1" t="s">
        <v>3115</v>
      </c>
      <c r="C734" t="s">
        <v>5468</v>
      </c>
      <c r="D734" t="s">
        <v>7679</v>
      </c>
      <c r="E734" t="s">
        <v>9436</v>
      </c>
    </row>
    <row r="735" spans="1:5" ht="15.6" x14ac:dyDescent="0.3">
      <c r="A735" s="1" t="s">
        <v>1637</v>
      </c>
      <c r="B735" s="1" t="s">
        <v>3116</v>
      </c>
      <c r="C735" t="s">
        <v>5469</v>
      </c>
      <c r="D735" t="s">
        <v>7680</v>
      </c>
      <c r="E735" t="s">
        <v>8814</v>
      </c>
    </row>
    <row r="736" spans="1:5" ht="15.6" x14ac:dyDescent="0.3">
      <c r="A736" s="1" t="s">
        <v>1636</v>
      </c>
      <c r="B736" s="1" t="s">
        <v>3117</v>
      </c>
      <c r="C736" t="s">
        <v>5470</v>
      </c>
      <c r="D736" t="s">
        <v>7681</v>
      </c>
      <c r="E736" t="s">
        <v>9437</v>
      </c>
    </row>
    <row r="737" spans="1:5" ht="15.6" x14ac:dyDescent="0.3">
      <c r="A737" s="1" t="s">
        <v>1635</v>
      </c>
      <c r="B737" s="1" t="s">
        <v>3118</v>
      </c>
      <c r="C737" t="s">
        <v>5471</v>
      </c>
      <c r="D737" t="s">
        <v>7682</v>
      </c>
      <c r="E737" t="s">
        <v>9438</v>
      </c>
    </row>
    <row r="738" spans="1:5" ht="15.6" x14ac:dyDescent="0.3">
      <c r="A738" s="1" t="s">
        <v>1634</v>
      </c>
      <c r="B738" s="1" t="s">
        <v>3119</v>
      </c>
      <c r="C738" t="s">
        <v>5472</v>
      </c>
      <c r="D738" t="s">
        <v>7343</v>
      </c>
      <c r="E738" t="s">
        <v>9439</v>
      </c>
    </row>
    <row r="739" spans="1:5" ht="15.6" x14ac:dyDescent="0.3">
      <c r="A739" s="1" t="s">
        <v>1633</v>
      </c>
      <c r="B739" s="1" t="s">
        <v>3120</v>
      </c>
      <c r="C739" t="s">
        <v>5473</v>
      </c>
      <c r="D739" t="s">
        <v>7683</v>
      </c>
      <c r="E739" t="s">
        <v>9440</v>
      </c>
    </row>
    <row r="740" spans="1:5" ht="15.6" x14ac:dyDescent="0.3">
      <c r="A740" s="1" t="s">
        <v>1632</v>
      </c>
      <c r="B740" s="1" t="s">
        <v>3121</v>
      </c>
      <c r="C740" t="s">
        <v>5474</v>
      </c>
      <c r="D740" t="s">
        <v>7684</v>
      </c>
      <c r="E740" t="s">
        <v>9441</v>
      </c>
    </row>
    <row r="741" spans="1:5" ht="15.6" x14ac:dyDescent="0.3">
      <c r="A741" s="1" t="s">
        <v>1631</v>
      </c>
      <c r="B741" s="1" t="s">
        <v>3122</v>
      </c>
      <c r="C741" t="s">
        <v>5475</v>
      </c>
      <c r="D741" t="s">
        <v>7685</v>
      </c>
      <c r="E741" t="s">
        <v>9442</v>
      </c>
    </row>
    <row r="742" spans="1:5" ht="15.6" x14ac:dyDescent="0.3">
      <c r="A742" s="1" t="s">
        <v>1630</v>
      </c>
      <c r="B742" s="1" t="s">
        <v>3123</v>
      </c>
      <c r="C742" t="s">
        <v>5476</v>
      </c>
      <c r="D742" t="s">
        <v>7277</v>
      </c>
      <c r="E742" t="s">
        <v>9443</v>
      </c>
    </row>
    <row r="743" spans="1:5" ht="15.6" x14ac:dyDescent="0.3">
      <c r="A743" s="1" t="s">
        <v>1629</v>
      </c>
      <c r="B743" s="1" t="s">
        <v>3124</v>
      </c>
      <c r="C743" t="s">
        <v>5477</v>
      </c>
      <c r="D743" t="s">
        <v>7686</v>
      </c>
      <c r="E743" t="s">
        <v>9444</v>
      </c>
    </row>
    <row r="744" spans="1:5" ht="15.6" x14ac:dyDescent="0.3">
      <c r="A744" s="1" t="s">
        <v>1628</v>
      </c>
      <c r="B744" s="1" t="s">
        <v>3125</v>
      </c>
      <c r="C744" t="s">
        <v>5478</v>
      </c>
      <c r="D744" t="s">
        <v>7687</v>
      </c>
      <c r="E744" t="s">
        <v>9445</v>
      </c>
    </row>
    <row r="745" spans="1:5" ht="15.6" x14ac:dyDescent="0.3">
      <c r="A745" s="1" t="s">
        <v>1627</v>
      </c>
      <c r="B745" s="1" t="s">
        <v>3126</v>
      </c>
      <c r="C745" t="s">
        <v>5479</v>
      </c>
      <c r="D745" t="s">
        <v>7688</v>
      </c>
      <c r="E745" t="s">
        <v>8769</v>
      </c>
    </row>
    <row r="746" spans="1:5" ht="15.6" x14ac:dyDescent="0.3">
      <c r="A746" s="1" t="s">
        <v>1626</v>
      </c>
      <c r="B746" s="1" t="s">
        <v>3127</v>
      </c>
      <c r="C746" t="s">
        <v>5480</v>
      </c>
      <c r="D746" t="s">
        <v>7689</v>
      </c>
      <c r="E746" t="s">
        <v>9446</v>
      </c>
    </row>
    <row r="747" spans="1:5" ht="15.6" x14ac:dyDescent="0.3">
      <c r="A747" s="1" t="s">
        <v>1625</v>
      </c>
      <c r="B747" s="1" t="s">
        <v>3128</v>
      </c>
      <c r="C747" t="s">
        <v>5481</v>
      </c>
      <c r="D747" t="s">
        <v>7690</v>
      </c>
      <c r="E747" t="s">
        <v>9447</v>
      </c>
    </row>
    <row r="748" spans="1:5" ht="15.6" x14ac:dyDescent="0.3">
      <c r="A748" s="1" t="s">
        <v>1624</v>
      </c>
      <c r="B748" s="1" t="s">
        <v>3129</v>
      </c>
      <c r="C748" t="s">
        <v>5482</v>
      </c>
      <c r="D748" t="s">
        <v>7691</v>
      </c>
      <c r="E748" t="s">
        <v>9448</v>
      </c>
    </row>
    <row r="749" spans="1:5" ht="15.6" x14ac:dyDescent="0.3">
      <c r="A749" s="1" t="s">
        <v>1623</v>
      </c>
      <c r="B749" s="1" t="s">
        <v>3130</v>
      </c>
      <c r="C749" t="s">
        <v>5483</v>
      </c>
      <c r="D749" t="s">
        <v>7277</v>
      </c>
      <c r="E749" t="s">
        <v>9449</v>
      </c>
    </row>
    <row r="750" spans="1:5" ht="15.6" x14ac:dyDescent="0.3">
      <c r="A750" s="1" t="s">
        <v>1622</v>
      </c>
      <c r="B750" s="1" t="s">
        <v>3131</v>
      </c>
      <c r="C750" t="s">
        <v>5484</v>
      </c>
      <c r="D750" t="s">
        <v>7137</v>
      </c>
      <c r="E750" t="s">
        <v>9450</v>
      </c>
    </row>
    <row r="751" spans="1:5" ht="15.6" x14ac:dyDescent="0.3">
      <c r="A751" s="1" t="s">
        <v>1621</v>
      </c>
      <c r="B751" s="1" t="s">
        <v>3132</v>
      </c>
      <c r="C751" t="s">
        <v>5485</v>
      </c>
      <c r="D751" t="s">
        <v>7136</v>
      </c>
      <c r="E751" t="s">
        <v>9451</v>
      </c>
    </row>
    <row r="752" spans="1:5" ht="15.6" x14ac:dyDescent="0.3">
      <c r="A752" s="1" t="s">
        <v>1620</v>
      </c>
      <c r="B752" s="1" t="s">
        <v>3133</v>
      </c>
      <c r="C752" t="s">
        <v>5486</v>
      </c>
      <c r="D752" t="s">
        <v>7153</v>
      </c>
      <c r="E752" t="s">
        <v>9452</v>
      </c>
    </row>
    <row r="753" spans="1:5" ht="15.6" x14ac:dyDescent="0.3">
      <c r="A753" s="1" t="s">
        <v>1619</v>
      </c>
      <c r="B753" s="1" t="s">
        <v>3134</v>
      </c>
      <c r="C753" t="s">
        <v>5487</v>
      </c>
      <c r="D753" t="s">
        <v>7692</v>
      </c>
      <c r="E753" t="s">
        <v>9453</v>
      </c>
    </row>
    <row r="754" spans="1:5" ht="15.6" x14ac:dyDescent="0.3">
      <c r="A754" s="1" t="s">
        <v>1618</v>
      </c>
      <c r="B754" s="1" t="s">
        <v>3135</v>
      </c>
      <c r="C754" t="s">
        <v>5488</v>
      </c>
      <c r="D754" t="s">
        <v>7693</v>
      </c>
      <c r="E754" t="s">
        <v>9454</v>
      </c>
    </row>
    <row r="755" spans="1:5" ht="15.6" x14ac:dyDescent="0.3">
      <c r="A755" s="1" t="s">
        <v>1617</v>
      </c>
      <c r="B755" s="1" t="s">
        <v>3136</v>
      </c>
      <c r="C755" t="s">
        <v>5489</v>
      </c>
      <c r="D755" t="s">
        <v>7694</v>
      </c>
      <c r="E755" t="s">
        <v>9455</v>
      </c>
    </row>
    <row r="756" spans="1:5" ht="15.6" x14ac:dyDescent="0.3">
      <c r="A756" s="1" t="s">
        <v>1616</v>
      </c>
      <c r="B756" s="1" t="s">
        <v>3137</v>
      </c>
      <c r="C756" t="s">
        <v>5490</v>
      </c>
      <c r="D756" t="s">
        <v>7695</v>
      </c>
      <c r="E756" t="s">
        <v>9456</v>
      </c>
    </row>
    <row r="757" spans="1:5" ht="15.6" x14ac:dyDescent="0.3">
      <c r="A757" s="1" t="s">
        <v>1615</v>
      </c>
      <c r="B757" s="1" t="s">
        <v>3138</v>
      </c>
      <c r="C757" t="s">
        <v>5491</v>
      </c>
      <c r="D757" t="s">
        <v>7696</v>
      </c>
      <c r="E757" t="s">
        <v>9457</v>
      </c>
    </row>
    <row r="758" spans="1:5" ht="15.6" x14ac:dyDescent="0.3">
      <c r="A758" s="1" t="s">
        <v>1614</v>
      </c>
      <c r="B758" s="1" t="s">
        <v>3139</v>
      </c>
      <c r="C758" t="s">
        <v>5492</v>
      </c>
      <c r="D758" t="s">
        <v>7697</v>
      </c>
      <c r="E758" t="s">
        <v>9458</v>
      </c>
    </row>
    <row r="759" spans="1:5" ht="15.6" x14ac:dyDescent="0.3">
      <c r="A759" s="1" t="s">
        <v>1613</v>
      </c>
      <c r="B759" s="1" t="s">
        <v>3140</v>
      </c>
      <c r="C759" t="s">
        <v>5493</v>
      </c>
      <c r="D759" t="s">
        <v>7235</v>
      </c>
      <c r="E759" t="s">
        <v>9459</v>
      </c>
    </row>
    <row r="760" spans="1:5" ht="15.6" x14ac:dyDescent="0.3">
      <c r="A760" s="1" t="s">
        <v>1612</v>
      </c>
      <c r="B760" s="1" t="s">
        <v>3141</v>
      </c>
      <c r="C760" t="s">
        <v>5494</v>
      </c>
      <c r="D760" t="s">
        <v>7698</v>
      </c>
      <c r="E760" t="s">
        <v>9460</v>
      </c>
    </row>
    <row r="761" spans="1:5" ht="15.6" x14ac:dyDescent="0.3">
      <c r="A761" s="1" t="s">
        <v>1611</v>
      </c>
      <c r="B761" s="1" t="s">
        <v>3142</v>
      </c>
      <c r="C761" t="s">
        <v>5495</v>
      </c>
      <c r="D761" t="s">
        <v>7699</v>
      </c>
      <c r="E761" t="s">
        <v>9461</v>
      </c>
    </row>
    <row r="762" spans="1:5" ht="15.6" x14ac:dyDescent="0.3">
      <c r="A762" s="1" t="s">
        <v>1610</v>
      </c>
      <c r="B762" s="1" t="s">
        <v>3143</v>
      </c>
      <c r="C762" t="s">
        <v>5496</v>
      </c>
      <c r="D762" t="s">
        <v>7492</v>
      </c>
      <c r="E762" t="s">
        <v>9462</v>
      </c>
    </row>
    <row r="763" spans="1:5" ht="15.6" x14ac:dyDescent="0.3">
      <c r="A763" s="1" t="s">
        <v>1609</v>
      </c>
      <c r="B763" s="1" t="s">
        <v>3144</v>
      </c>
      <c r="C763" t="s">
        <v>5497</v>
      </c>
      <c r="D763" t="s">
        <v>7307</v>
      </c>
      <c r="E763" t="s">
        <v>9463</v>
      </c>
    </row>
    <row r="764" spans="1:5" ht="15.6" x14ac:dyDescent="0.3">
      <c r="A764" s="1" t="s">
        <v>1608</v>
      </c>
      <c r="B764" s="1" t="s">
        <v>3145</v>
      </c>
      <c r="C764" t="s">
        <v>5498</v>
      </c>
      <c r="D764" t="s">
        <v>7107</v>
      </c>
      <c r="E764" t="s">
        <v>9464</v>
      </c>
    </row>
    <row r="765" spans="1:5" ht="15.6" x14ac:dyDescent="0.3">
      <c r="A765" s="1" t="s">
        <v>1607</v>
      </c>
      <c r="B765" s="1" t="s">
        <v>3146</v>
      </c>
      <c r="C765" t="s">
        <v>5499</v>
      </c>
      <c r="D765" t="s">
        <v>7700</v>
      </c>
      <c r="E765" t="s">
        <v>9465</v>
      </c>
    </row>
    <row r="766" spans="1:5" ht="15.6" x14ac:dyDescent="0.3">
      <c r="A766" s="1" t="s">
        <v>1606</v>
      </c>
      <c r="B766" s="1" t="s">
        <v>3147</v>
      </c>
      <c r="C766" t="s">
        <v>5500</v>
      </c>
      <c r="D766" t="s">
        <v>7701</v>
      </c>
      <c r="E766" t="s">
        <v>9466</v>
      </c>
    </row>
    <row r="767" spans="1:5" ht="15.6" x14ac:dyDescent="0.3">
      <c r="A767" s="1" t="s">
        <v>1605</v>
      </c>
      <c r="B767" s="1" t="s">
        <v>3148</v>
      </c>
      <c r="C767" t="s">
        <v>5501</v>
      </c>
      <c r="D767" t="s">
        <v>7702</v>
      </c>
      <c r="E767" t="s">
        <v>9467</v>
      </c>
    </row>
    <row r="768" spans="1:5" ht="15.6" x14ac:dyDescent="0.3">
      <c r="A768" s="1" t="s">
        <v>1604</v>
      </c>
      <c r="B768" s="1" t="s">
        <v>3149</v>
      </c>
      <c r="C768" t="s">
        <v>5502</v>
      </c>
      <c r="D768" t="s">
        <v>7703</v>
      </c>
      <c r="E768" t="s">
        <v>9468</v>
      </c>
    </row>
    <row r="769" spans="1:5" ht="15.6" x14ac:dyDescent="0.3">
      <c r="A769" s="1" t="s">
        <v>1603</v>
      </c>
      <c r="B769" s="1" t="s">
        <v>3150</v>
      </c>
      <c r="C769" t="s">
        <v>5503</v>
      </c>
      <c r="D769" t="s">
        <v>7704</v>
      </c>
      <c r="E769" t="s">
        <v>9469</v>
      </c>
    </row>
    <row r="770" spans="1:5" ht="15.6" x14ac:dyDescent="0.3">
      <c r="A770" s="1" t="s">
        <v>1602</v>
      </c>
      <c r="B770" s="1" t="s">
        <v>3151</v>
      </c>
      <c r="C770" t="s">
        <v>5504</v>
      </c>
      <c r="D770" t="s">
        <v>7345</v>
      </c>
      <c r="E770" t="s">
        <v>9470</v>
      </c>
    </row>
    <row r="771" spans="1:5" ht="15.6" x14ac:dyDescent="0.3">
      <c r="A771" s="1" t="s">
        <v>1601</v>
      </c>
      <c r="B771" s="1" t="s">
        <v>3152</v>
      </c>
      <c r="C771" t="s">
        <v>5505</v>
      </c>
      <c r="D771" t="s">
        <v>7705</v>
      </c>
      <c r="E771" t="s">
        <v>9471</v>
      </c>
    </row>
    <row r="772" spans="1:5" ht="15.6" x14ac:dyDescent="0.3">
      <c r="A772" s="1" t="s">
        <v>1600</v>
      </c>
      <c r="B772" s="1" t="s">
        <v>3153</v>
      </c>
      <c r="C772" t="s">
        <v>5506</v>
      </c>
      <c r="D772" t="s">
        <v>7076</v>
      </c>
      <c r="E772" t="s">
        <v>9472</v>
      </c>
    </row>
    <row r="773" spans="1:5" ht="15.6" x14ac:dyDescent="0.3">
      <c r="A773" s="1" t="s">
        <v>1599</v>
      </c>
      <c r="B773" s="1" t="s">
        <v>3154</v>
      </c>
      <c r="C773" t="s">
        <v>5507</v>
      </c>
      <c r="D773" t="s">
        <v>7217</v>
      </c>
      <c r="E773" t="s">
        <v>9473</v>
      </c>
    </row>
    <row r="774" spans="1:5" ht="15.6" x14ac:dyDescent="0.3">
      <c r="A774" s="1" t="s">
        <v>1598</v>
      </c>
      <c r="B774" s="1" t="s">
        <v>3155</v>
      </c>
      <c r="C774" t="s">
        <v>5508</v>
      </c>
      <c r="D774" t="s">
        <v>7226</v>
      </c>
      <c r="E774" t="s">
        <v>9474</v>
      </c>
    </row>
    <row r="775" spans="1:5" ht="15.6" x14ac:dyDescent="0.3">
      <c r="A775" s="1" t="s">
        <v>1597</v>
      </c>
      <c r="B775" s="1" t="s">
        <v>3156</v>
      </c>
      <c r="C775" t="s">
        <v>5509</v>
      </c>
      <c r="D775" t="s">
        <v>7277</v>
      </c>
      <c r="E775" t="s">
        <v>9475</v>
      </c>
    </row>
    <row r="776" spans="1:5" ht="15.6" x14ac:dyDescent="0.3">
      <c r="A776" s="1" t="s">
        <v>1596</v>
      </c>
      <c r="B776" s="1" t="s">
        <v>3157</v>
      </c>
      <c r="C776" t="s">
        <v>5510</v>
      </c>
      <c r="D776" t="s">
        <v>7706</v>
      </c>
      <c r="E776" t="s">
        <v>9476</v>
      </c>
    </row>
    <row r="777" spans="1:5" ht="15.6" x14ac:dyDescent="0.3">
      <c r="A777" s="1" t="s">
        <v>1595</v>
      </c>
      <c r="B777" s="1" t="s">
        <v>3158</v>
      </c>
      <c r="C777" t="s">
        <v>5511</v>
      </c>
      <c r="D777" t="s">
        <v>7707</v>
      </c>
      <c r="E777" t="s">
        <v>9477</v>
      </c>
    </row>
    <row r="778" spans="1:5" ht="15.6" x14ac:dyDescent="0.3">
      <c r="A778" s="1" t="s">
        <v>1594</v>
      </c>
      <c r="B778" s="1" t="s">
        <v>3159</v>
      </c>
      <c r="C778" t="s">
        <v>5512</v>
      </c>
      <c r="D778" t="s">
        <v>7708</v>
      </c>
      <c r="E778" t="s">
        <v>8816</v>
      </c>
    </row>
    <row r="779" spans="1:5" ht="15.6" x14ac:dyDescent="0.3">
      <c r="A779" s="1" t="s">
        <v>1593</v>
      </c>
      <c r="B779" s="1" t="s">
        <v>3160</v>
      </c>
      <c r="C779" t="s">
        <v>5513</v>
      </c>
      <c r="D779" t="s">
        <v>7709</v>
      </c>
      <c r="E779" t="s">
        <v>9478</v>
      </c>
    </row>
    <row r="780" spans="1:5" ht="15.6" x14ac:dyDescent="0.3">
      <c r="A780" s="1" t="s">
        <v>1592</v>
      </c>
      <c r="B780" s="1" t="s">
        <v>3161</v>
      </c>
      <c r="C780" t="s">
        <v>5514</v>
      </c>
      <c r="D780" t="s">
        <v>7260</v>
      </c>
      <c r="E780" t="s">
        <v>9479</v>
      </c>
    </row>
    <row r="781" spans="1:5" ht="15.6" x14ac:dyDescent="0.3">
      <c r="A781" s="1" t="s">
        <v>1591</v>
      </c>
      <c r="B781" s="1" t="s">
        <v>3162</v>
      </c>
      <c r="C781" t="s">
        <v>5515</v>
      </c>
      <c r="D781" t="s">
        <v>7442</v>
      </c>
      <c r="E781" t="s">
        <v>9480</v>
      </c>
    </row>
    <row r="782" spans="1:5" ht="15.6" x14ac:dyDescent="0.3">
      <c r="A782" s="1" t="s">
        <v>1590</v>
      </c>
      <c r="B782" s="1" t="s">
        <v>3163</v>
      </c>
      <c r="C782" t="s">
        <v>5516</v>
      </c>
      <c r="D782" t="s">
        <v>7710</v>
      </c>
      <c r="E782" t="s">
        <v>9481</v>
      </c>
    </row>
    <row r="783" spans="1:5" ht="15.6" x14ac:dyDescent="0.3">
      <c r="A783" s="1" t="s">
        <v>1589</v>
      </c>
      <c r="B783" s="1" t="s">
        <v>3164</v>
      </c>
      <c r="C783" t="s">
        <v>5517</v>
      </c>
      <c r="D783" t="s">
        <v>7711</v>
      </c>
      <c r="E783" t="s">
        <v>9375</v>
      </c>
    </row>
    <row r="784" spans="1:5" ht="15.6" x14ac:dyDescent="0.3">
      <c r="A784" s="1" t="s">
        <v>1588</v>
      </c>
      <c r="B784" s="1" t="s">
        <v>3165</v>
      </c>
      <c r="C784" t="s">
        <v>5518</v>
      </c>
      <c r="D784" t="s">
        <v>7712</v>
      </c>
      <c r="E784" t="s">
        <v>9482</v>
      </c>
    </row>
    <row r="785" spans="1:5" ht="15.6" x14ac:dyDescent="0.3">
      <c r="A785" s="1" t="s">
        <v>1587</v>
      </c>
      <c r="B785" s="1" t="s">
        <v>3166</v>
      </c>
      <c r="C785" t="s">
        <v>5519</v>
      </c>
      <c r="D785" t="s">
        <v>7713</v>
      </c>
      <c r="E785" t="s">
        <v>9483</v>
      </c>
    </row>
    <row r="786" spans="1:5" ht="15.6" x14ac:dyDescent="0.3">
      <c r="A786" s="1" t="s">
        <v>1586</v>
      </c>
      <c r="B786" s="1" t="s">
        <v>3167</v>
      </c>
      <c r="C786" t="s">
        <v>5520</v>
      </c>
      <c r="D786" t="s">
        <v>7714</v>
      </c>
      <c r="E786" t="s">
        <v>9484</v>
      </c>
    </row>
    <row r="787" spans="1:5" ht="15.6" x14ac:dyDescent="0.3">
      <c r="A787" s="1" t="s">
        <v>1585</v>
      </c>
      <c r="B787" s="1" t="s">
        <v>3168</v>
      </c>
      <c r="C787" t="s">
        <v>5521</v>
      </c>
      <c r="D787" t="s">
        <v>7715</v>
      </c>
      <c r="E787" t="s">
        <v>9485</v>
      </c>
    </row>
    <row r="788" spans="1:5" ht="15.6" x14ac:dyDescent="0.3">
      <c r="A788" s="1" t="s">
        <v>1584</v>
      </c>
      <c r="B788" s="1" t="s">
        <v>3169</v>
      </c>
      <c r="C788" t="s">
        <v>5522</v>
      </c>
      <c r="D788" t="s">
        <v>7716</v>
      </c>
      <c r="E788" t="s">
        <v>9486</v>
      </c>
    </row>
    <row r="789" spans="1:5" ht="15.6" x14ac:dyDescent="0.3">
      <c r="A789" s="1" t="s">
        <v>1583</v>
      </c>
      <c r="B789" s="1" t="s">
        <v>3170</v>
      </c>
      <c r="C789" t="s">
        <v>5523</v>
      </c>
      <c r="D789" t="s">
        <v>7717</v>
      </c>
      <c r="E789" t="s">
        <v>8787</v>
      </c>
    </row>
    <row r="790" spans="1:5" ht="15.6" x14ac:dyDescent="0.3">
      <c r="A790" s="1" t="s">
        <v>1582</v>
      </c>
      <c r="B790" s="1" t="s">
        <v>3171</v>
      </c>
      <c r="C790" t="s">
        <v>5524</v>
      </c>
      <c r="D790" t="s">
        <v>7718</v>
      </c>
      <c r="E790" t="s">
        <v>9487</v>
      </c>
    </row>
    <row r="791" spans="1:5" ht="15.6" x14ac:dyDescent="0.3">
      <c r="A791" s="1" t="s">
        <v>1581</v>
      </c>
      <c r="B791" s="1" t="s">
        <v>3172</v>
      </c>
      <c r="C791" t="s">
        <v>5525</v>
      </c>
      <c r="D791" t="s">
        <v>7719</v>
      </c>
      <c r="E791" t="s">
        <v>9488</v>
      </c>
    </row>
    <row r="792" spans="1:5" ht="15.6" x14ac:dyDescent="0.3">
      <c r="A792" s="1" t="s">
        <v>1580</v>
      </c>
      <c r="B792" s="1" t="s">
        <v>3173</v>
      </c>
      <c r="C792" t="s">
        <v>5526</v>
      </c>
      <c r="D792" t="s">
        <v>7164</v>
      </c>
      <c r="E792" t="s">
        <v>9489</v>
      </c>
    </row>
    <row r="793" spans="1:5" ht="15.6" x14ac:dyDescent="0.3">
      <c r="A793" s="1" t="s">
        <v>1579</v>
      </c>
      <c r="B793" s="1" t="s">
        <v>3174</v>
      </c>
      <c r="C793" t="s">
        <v>5527</v>
      </c>
      <c r="D793" t="s">
        <v>7720</v>
      </c>
      <c r="E793" t="s">
        <v>9490</v>
      </c>
    </row>
    <row r="794" spans="1:5" ht="15.6" x14ac:dyDescent="0.3">
      <c r="A794" s="1" t="s">
        <v>1578</v>
      </c>
      <c r="B794" s="1" t="s">
        <v>3175</v>
      </c>
      <c r="C794" t="s">
        <v>5528</v>
      </c>
      <c r="D794" t="s">
        <v>7721</v>
      </c>
      <c r="E794" t="s">
        <v>9491</v>
      </c>
    </row>
    <row r="795" spans="1:5" ht="15.6" x14ac:dyDescent="0.3">
      <c r="A795" s="1" t="s">
        <v>1577</v>
      </c>
      <c r="B795" s="1" t="s">
        <v>3176</v>
      </c>
      <c r="C795" t="s">
        <v>5529</v>
      </c>
      <c r="D795" t="s">
        <v>7722</v>
      </c>
      <c r="E795" t="s">
        <v>9492</v>
      </c>
    </row>
    <row r="796" spans="1:5" ht="15.6" x14ac:dyDescent="0.3">
      <c r="A796" s="1" t="s">
        <v>1576</v>
      </c>
      <c r="B796" s="1" t="s">
        <v>3177</v>
      </c>
      <c r="C796" t="s">
        <v>5530</v>
      </c>
      <c r="D796" t="s">
        <v>7247</v>
      </c>
      <c r="E796" t="s">
        <v>9493</v>
      </c>
    </row>
    <row r="797" spans="1:5" ht="15.6" x14ac:dyDescent="0.3">
      <c r="A797" s="1" t="s">
        <v>1575</v>
      </c>
      <c r="B797" s="1" t="s">
        <v>3178</v>
      </c>
      <c r="C797" t="s">
        <v>5531</v>
      </c>
      <c r="D797" t="s">
        <v>7723</v>
      </c>
      <c r="E797" t="s">
        <v>9494</v>
      </c>
    </row>
    <row r="798" spans="1:5" ht="15.6" x14ac:dyDescent="0.3">
      <c r="A798" s="1" t="s">
        <v>1574</v>
      </c>
      <c r="B798" s="1" t="s">
        <v>3179</v>
      </c>
      <c r="C798" t="s">
        <v>5532</v>
      </c>
      <c r="D798" t="s">
        <v>7724</v>
      </c>
      <c r="E798" t="s">
        <v>9495</v>
      </c>
    </row>
    <row r="799" spans="1:5" ht="15.6" x14ac:dyDescent="0.3">
      <c r="A799" s="1" t="s">
        <v>1573</v>
      </c>
      <c r="B799" s="1" t="s">
        <v>3180</v>
      </c>
      <c r="C799" t="s">
        <v>5533</v>
      </c>
      <c r="D799" t="s">
        <v>7725</v>
      </c>
      <c r="E799" t="s">
        <v>9496</v>
      </c>
    </row>
    <row r="800" spans="1:5" ht="15.6" x14ac:dyDescent="0.3">
      <c r="A800" s="1" t="s">
        <v>1572</v>
      </c>
      <c r="B800" s="1" t="s">
        <v>3181</v>
      </c>
      <c r="C800" t="s">
        <v>5534</v>
      </c>
      <c r="D800" t="s">
        <v>7726</v>
      </c>
      <c r="E800" t="s">
        <v>9213</v>
      </c>
    </row>
    <row r="801" spans="1:5" ht="15.6" x14ac:dyDescent="0.3">
      <c r="A801" s="1" t="s">
        <v>1571</v>
      </c>
      <c r="B801" s="1" t="s">
        <v>3182</v>
      </c>
      <c r="C801" t="s">
        <v>5535</v>
      </c>
      <c r="D801" t="s">
        <v>7727</v>
      </c>
      <c r="E801" t="s">
        <v>9497</v>
      </c>
    </row>
    <row r="802" spans="1:5" ht="15.6" x14ac:dyDescent="0.3">
      <c r="A802" s="1" t="s">
        <v>1570</v>
      </c>
      <c r="B802" s="1" t="s">
        <v>3183</v>
      </c>
      <c r="C802" t="s">
        <v>5536</v>
      </c>
      <c r="D802" t="s">
        <v>7728</v>
      </c>
      <c r="E802" t="s">
        <v>9498</v>
      </c>
    </row>
    <row r="803" spans="1:5" ht="15.6" x14ac:dyDescent="0.3">
      <c r="A803" s="1" t="s">
        <v>1569</v>
      </c>
      <c r="B803" s="1" t="s">
        <v>3184</v>
      </c>
      <c r="C803" t="s">
        <v>5537</v>
      </c>
      <c r="D803" t="s">
        <v>7729</v>
      </c>
      <c r="E803" t="s">
        <v>9499</v>
      </c>
    </row>
    <row r="804" spans="1:5" ht="15.6" x14ac:dyDescent="0.3">
      <c r="A804" s="1" t="s">
        <v>1568</v>
      </c>
      <c r="B804" s="1" t="s">
        <v>3185</v>
      </c>
      <c r="C804" t="s">
        <v>5538</v>
      </c>
      <c r="D804" t="s">
        <v>7458</v>
      </c>
      <c r="E804" t="s">
        <v>9012</v>
      </c>
    </row>
    <row r="805" spans="1:5" ht="15.6" x14ac:dyDescent="0.3">
      <c r="A805" s="1" t="s">
        <v>1567</v>
      </c>
      <c r="B805" s="1" t="s">
        <v>3186</v>
      </c>
      <c r="C805" t="s">
        <v>5539</v>
      </c>
      <c r="D805" t="s">
        <v>7458</v>
      </c>
      <c r="E805" t="s">
        <v>9500</v>
      </c>
    </row>
    <row r="806" spans="1:5" ht="15.6" x14ac:dyDescent="0.3">
      <c r="A806" s="1" t="s">
        <v>1566</v>
      </c>
      <c r="B806" s="1" t="s">
        <v>3187</v>
      </c>
      <c r="C806" t="s">
        <v>5540</v>
      </c>
      <c r="D806" t="s">
        <v>7730</v>
      </c>
      <c r="E806" t="s">
        <v>9501</v>
      </c>
    </row>
    <row r="807" spans="1:5" ht="15.6" x14ac:dyDescent="0.3">
      <c r="A807" s="1" t="s">
        <v>1565</v>
      </c>
      <c r="B807" s="1" t="s">
        <v>3188</v>
      </c>
      <c r="C807" t="s">
        <v>5541</v>
      </c>
      <c r="D807" t="s">
        <v>7082</v>
      </c>
      <c r="E807" t="s">
        <v>9502</v>
      </c>
    </row>
    <row r="808" spans="1:5" ht="15.6" x14ac:dyDescent="0.3">
      <c r="A808" s="1" t="s">
        <v>1564</v>
      </c>
      <c r="B808" s="1" t="s">
        <v>3189</v>
      </c>
      <c r="C808" t="s">
        <v>5542</v>
      </c>
      <c r="D808" t="s">
        <v>7731</v>
      </c>
      <c r="E808" t="s">
        <v>9503</v>
      </c>
    </row>
    <row r="809" spans="1:5" ht="15.6" x14ac:dyDescent="0.3">
      <c r="A809" s="1" t="s">
        <v>1563</v>
      </c>
      <c r="B809" s="1" t="s">
        <v>3190</v>
      </c>
      <c r="C809" t="s">
        <v>5543</v>
      </c>
      <c r="D809" t="s">
        <v>7732</v>
      </c>
      <c r="E809" t="s">
        <v>9504</v>
      </c>
    </row>
    <row r="810" spans="1:5" ht="15.6" x14ac:dyDescent="0.3">
      <c r="A810" s="1" t="s">
        <v>1562</v>
      </c>
      <c r="B810" s="1" t="s">
        <v>3191</v>
      </c>
      <c r="C810" t="s">
        <v>5544</v>
      </c>
      <c r="D810" t="s">
        <v>7733</v>
      </c>
      <c r="E810" t="s">
        <v>9505</v>
      </c>
    </row>
    <row r="811" spans="1:5" ht="15.6" x14ac:dyDescent="0.3">
      <c r="A811" s="1" t="s">
        <v>1561</v>
      </c>
      <c r="B811" s="1" t="s">
        <v>3192</v>
      </c>
      <c r="C811" t="s">
        <v>5545</v>
      </c>
      <c r="D811" t="s">
        <v>7734</v>
      </c>
      <c r="E811" t="s">
        <v>9506</v>
      </c>
    </row>
    <row r="812" spans="1:5" ht="15.6" x14ac:dyDescent="0.3">
      <c r="A812" s="1" t="s">
        <v>1560</v>
      </c>
      <c r="B812" s="1" t="s">
        <v>3193</v>
      </c>
      <c r="C812" t="s">
        <v>5546</v>
      </c>
      <c r="D812" t="s">
        <v>7188</v>
      </c>
      <c r="E812" t="s">
        <v>9507</v>
      </c>
    </row>
    <row r="813" spans="1:5" ht="15.6" x14ac:dyDescent="0.3">
      <c r="A813" s="1" t="s">
        <v>1559</v>
      </c>
      <c r="B813" s="1" t="s">
        <v>3194</v>
      </c>
      <c r="C813" t="s">
        <v>5547</v>
      </c>
      <c r="D813" t="s">
        <v>7735</v>
      </c>
      <c r="E813" t="s">
        <v>9132</v>
      </c>
    </row>
    <row r="814" spans="1:5" ht="15.6" x14ac:dyDescent="0.3">
      <c r="A814" s="1" t="s">
        <v>1558</v>
      </c>
      <c r="B814" s="1" t="s">
        <v>3195</v>
      </c>
      <c r="C814" t="s">
        <v>5548</v>
      </c>
      <c r="D814" t="s">
        <v>7557</v>
      </c>
      <c r="E814" t="s">
        <v>9508</v>
      </c>
    </row>
    <row r="815" spans="1:5" ht="15.6" x14ac:dyDescent="0.3">
      <c r="A815" s="1" t="s">
        <v>1557</v>
      </c>
      <c r="B815" s="1" t="s">
        <v>3196</v>
      </c>
      <c r="C815" t="s">
        <v>5549</v>
      </c>
      <c r="D815" t="s">
        <v>7736</v>
      </c>
      <c r="E815" t="s">
        <v>9509</v>
      </c>
    </row>
    <row r="816" spans="1:5" ht="15.6" x14ac:dyDescent="0.3">
      <c r="A816" s="1" t="s">
        <v>1556</v>
      </c>
      <c r="B816" s="1" t="s">
        <v>3197</v>
      </c>
      <c r="C816" t="s">
        <v>5550</v>
      </c>
      <c r="D816" t="s">
        <v>7737</v>
      </c>
      <c r="E816" t="s">
        <v>9510</v>
      </c>
    </row>
    <row r="817" spans="1:5" ht="15.6" x14ac:dyDescent="0.3">
      <c r="A817" s="1" t="s">
        <v>1555</v>
      </c>
      <c r="B817" s="1" t="s">
        <v>3198</v>
      </c>
      <c r="C817" t="s">
        <v>5551</v>
      </c>
      <c r="D817" t="s">
        <v>7738</v>
      </c>
      <c r="E817" t="s">
        <v>9511</v>
      </c>
    </row>
    <row r="818" spans="1:5" ht="15.6" x14ac:dyDescent="0.3">
      <c r="A818" s="1" t="s">
        <v>1554</v>
      </c>
      <c r="B818" s="1" t="s">
        <v>3199</v>
      </c>
      <c r="C818" t="s">
        <v>5552</v>
      </c>
      <c r="D818" t="s">
        <v>7739</v>
      </c>
      <c r="E818" t="s">
        <v>9512</v>
      </c>
    </row>
    <row r="819" spans="1:5" ht="15.6" x14ac:dyDescent="0.3">
      <c r="A819" s="1" t="s">
        <v>1553</v>
      </c>
      <c r="B819" s="1" t="s">
        <v>3200</v>
      </c>
      <c r="C819" t="s">
        <v>5553</v>
      </c>
      <c r="D819" t="s">
        <v>7416</v>
      </c>
      <c r="E819" t="s">
        <v>9042</v>
      </c>
    </row>
    <row r="820" spans="1:5" ht="15.6" x14ac:dyDescent="0.3">
      <c r="A820" s="1" t="s">
        <v>1552</v>
      </c>
      <c r="B820" s="1" t="s">
        <v>3201</v>
      </c>
      <c r="C820" t="s">
        <v>5554</v>
      </c>
      <c r="D820" t="s">
        <v>7740</v>
      </c>
      <c r="E820" t="s">
        <v>9513</v>
      </c>
    </row>
    <row r="821" spans="1:5" ht="15.6" x14ac:dyDescent="0.3">
      <c r="A821" s="1" t="s">
        <v>1551</v>
      </c>
      <c r="B821" s="1" t="s">
        <v>3202</v>
      </c>
      <c r="C821" t="s">
        <v>5555</v>
      </c>
      <c r="D821" t="s">
        <v>7564</v>
      </c>
      <c r="E821" t="s">
        <v>9514</v>
      </c>
    </row>
    <row r="822" spans="1:5" ht="15.6" x14ac:dyDescent="0.3">
      <c r="A822" s="1" t="s">
        <v>1550</v>
      </c>
      <c r="B822" s="1" t="s">
        <v>3203</v>
      </c>
      <c r="C822" t="s">
        <v>5556</v>
      </c>
      <c r="D822" t="s">
        <v>7741</v>
      </c>
      <c r="E822" t="s">
        <v>9515</v>
      </c>
    </row>
    <row r="823" spans="1:5" ht="15.6" x14ac:dyDescent="0.3">
      <c r="A823" s="1" t="s">
        <v>1549</v>
      </c>
      <c r="B823" s="1" t="s">
        <v>3204</v>
      </c>
      <c r="C823" t="s">
        <v>5557</v>
      </c>
      <c r="D823" t="s">
        <v>7742</v>
      </c>
      <c r="E823" t="s">
        <v>9516</v>
      </c>
    </row>
    <row r="824" spans="1:5" ht="15.6" x14ac:dyDescent="0.3">
      <c r="A824" s="1" t="s">
        <v>1548</v>
      </c>
      <c r="B824" s="1" t="s">
        <v>3205</v>
      </c>
      <c r="C824" t="s">
        <v>5558</v>
      </c>
      <c r="D824" t="s">
        <v>7113</v>
      </c>
      <c r="E824" t="s">
        <v>9517</v>
      </c>
    </row>
    <row r="825" spans="1:5" ht="15.6" x14ac:dyDescent="0.3">
      <c r="A825" s="1" t="s">
        <v>1547</v>
      </c>
      <c r="B825" s="1" t="s">
        <v>3206</v>
      </c>
      <c r="C825" t="s">
        <v>5559</v>
      </c>
      <c r="D825" t="s">
        <v>7743</v>
      </c>
      <c r="E825" t="s">
        <v>9397</v>
      </c>
    </row>
    <row r="826" spans="1:5" ht="15.6" x14ac:dyDescent="0.3">
      <c r="A826" s="1" t="s">
        <v>1546</v>
      </c>
      <c r="B826" s="1" t="s">
        <v>3207</v>
      </c>
      <c r="C826" t="s">
        <v>5560</v>
      </c>
      <c r="D826" t="s">
        <v>7744</v>
      </c>
      <c r="E826" t="s">
        <v>9518</v>
      </c>
    </row>
    <row r="827" spans="1:5" ht="15.6" x14ac:dyDescent="0.3">
      <c r="A827" s="1" t="s">
        <v>1545</v>
      </c>
      <c r="B827" s="1" t="s">
        <v>3208</v>
      </c>
      <c r="C827" t="s">
        <v>5561</v>
      </c>
      <c r="D827" t="s">
        <v>7745</v>
      </c>
      <c r="E827" t="s">
        <v>9519</v>
      </c>
    </row>
    <row r="828" spans="1:5" ht="15.6" x14ac:dyDescent="0.3">
      <c r="A828" s="1" t="s">
        <v>1544</v>
      </c>
      <c r="B828" s="1" t="s">
        <v>3209</v>
      </c>
      <c r="C828" t="s">
        <v>5562</v>
      </c>
      <c r="D828" t="s">
        <v>7746</v>
      </c>
      <c r="E828" t="s">
        <v>9520</v>
      </c>
    </row>
    <row r="829" spans="1:5" ht="15.6" x14ac:dyDescent="0.3">
      <c r="A829" s="1" t="s">
        <v>1543</v>
      </c>
      <c r="B829" s="1" t="s">
        <v>3210</v>
      </c>
      <c r="C829" t="s">
        <v>5563</v>
      </c>
      <c r="D829" t="s">
        <v>7747</v>
      </c>
      <c r="E829" t="s">
        <v>9213</v>
      </c>
    </row>
    <row r="830" spans="1:5" ht="15.6" x14ac:dyDescent="0.3">
      <c r="A830" s="1" t="s">
        <v>1542</v>
      </c>
      <c r="B830" s="1" t="s">
        <v>3211</v>
      </c>
      <c r="C830" t="s">
        <v>5564</v>
      </c>
      <c r="D830" t="s">
        <v>7748</v>
      </c>
      <c r="E830" t="s">
        <v>9229</v>
      </c>
    </row>
    <row r="831" spans="1:5" ht="15.6" x14ac:dyDescent="0.3">
      <c r="A831" s="1" t="s">
        <v>1541</v>
      </c>
      <c r="B831" s="1" t="s">
        <v>3212</v>
      </c>
      <c r="C831" t="s">
        <v>5565</v>
      </c>
      <c r="D831" t="s">
        <v>7749</v>
      </c>
      <c r="E831" t="s">
        <v>9521</v>
      </c>
    </row>
    <row r="832" spans="1:5" ht="15.6" x14ac:dyDescent="0.3">
      <c r="A832" s="1" t="s">
        <v>1540</v>
      </c>
      <c r="B832" s="1" t="s">
        <v>3213</v>
      </c>
      <c r="C832" t="s">
        <v>5566</v>
      </c>
      <c r="D832" t="s">
        <v>7217</v>
      </c>
      <c r="E832" t="s">
        <v>9522</v>
      </c>
    </row>
    <row r="833" spans="1:5" ht="15.6" x14ac:dyDescent="0.3">
      <c r="A833" s="1" t="s">
        <v>1539</v>
      </c>
      <c r="B833" s="1" t="s">
        <v>3214</v>
      </c>
      <c r="C833" t="s">
        <v>5567</v>
      </c>
      <c r="D833" t="s">
        <v>7750</v>
      </c>
      <c r="E833" t="s">
        <v>9523</v>
      </c>
    </row>
    <row r="834" spans="1:5" ht="15.6" x14ac:dyDescent="0.3">
      <c r="A834" s="1" t="s">
        <v>1538</v>
      </c>
      <c r="B834" s="1" t="s">
        <v>3215</v>
      </c>
      <c r="C834" t="s">
        <v>5568</v>
      </c>
      <c r="D834" t="s">
        <v>7751</v>
      </c>
      <c r="E834" t="s">
        <v>9524</v>
      </c>
    </row>
    <row r="835" spans="1:5" ht="15.6" x14ac:dyDescent="0.3">
      <c r="A835" s="1" t="s">
        <v>1537</v>
      </c>
      <c r="B835" s="1" t="s">
        <v>3216</v>
      </c>
      <c r="C835" t="s">
        <v>5569</v>
      </c>
      <c r="D835" t="s">
        <v>7752</v>
      </c>
      <c r="E835" t="s">
        <v>9525</v>
      </c>
    </row>
    <row r="836" spans="1:5" ht="15.6" x14ac:dyDescent="0.3">
      <c r="A836" s="1" t="s">
        <v>1536</v>
      </c>
      <c r="B836" s="1" t="s">
        <v>3217</v>
      </c>
      <c r="C836" t="s">
        <v>5570</v>
      </c>
      <c r="D836" t="s">
        <v>7753</v>
      </c>
      <c r="E836" t="s">
        <v>9526</v>
      </c>
    </row>
    <row r="837" spans="1:5" ht="15.6" x14ac:dyDescent="0.3">
      <c r="A837" s="1" t="s">
        <v>1535</v>
      </c>
      <c r="B837" s="1" t="s">
        <v>3218</v>
      </c>
      <c r="C837" t="s">
        <v>5571</v>
      </c>
      <c r="D837" t="s">
        <v>7754</v>
      </c>
      <c r="E837" t="s">
        <v>8964</v>
      </c>
    </row>
    <row r="838" spans="1:5" ht="15.6" x14ac:dyDescent="0.3">
      <c r="A838" s="1" t="s">
        <v>1534</v>
      </c>
      <c r="B838" s="1" t="s">
        <v>3219</v>
      </c>
      <c r="C838" t="s">
        <v>5572</v>
      </c>
      <c r="D838" t="s">
        <v>7755</v>
      </c>
      <c r="E838" t="s">
        <v>9527</v>
      </c>
    </row>
    <row r="839" spans="1:5" ht="15.6" x14ac:dyDescent="0.3">
      <c r="A839" s="1" t="s">
        <v>1533</v>
      </c>
      <c r="B839" s="1" t="s">
        <v>3220</v>
      </c>
      <c r="C839" t="s">
        <v>5573</v>
      </c>
      <c r="D839" t="s">
        <v>7543</v>
      </c>
      <c r="E839" t="s">
        <v>9341</v>
      </c>
    </row>
    <row r="840" spans="1:5" ht="15.6" x14ac:dyDescent="0.3">
      <c r="A840" s="1" t="s">
        <v>1532</v>
      </c>
      <c r="B840" s="1" t="s">
        <v>3221</v>
      </c>
      <c r="C840" t="s">
        <v>5574</v>
      </c>
      <c r="D840" t="s">
        <v>7281</v>
      </c>
      <c r="E840" t="s">
        <v>9528</v>
      </c>
    </row>
    <row r="841" spans="1:5" ht="15.6" x14ac:dyDescent="0.3">
      <c r="A841" s="1" t="s">
        <v>1531</v>
      </c>
      <c r="B841" s="1" t="s">
        <v>3222</v>
      </c>
      <c r="C841" t="s">
        <v>5575</v>
      </c>
      <c r="D841" t="s">
        <v>7756</v>
      </c>
      <c r="E841" t="s">
        <v>9529</v>
      </c>
    </row>
    <row r="842" spans="1:5" ht="15.6" x14ac:dyDescent="0.3">
      <c r="A842" s="1" t="s">
        <v>1530</v>
      </c>
      <c r="B842" s="1" t="s">
        <v>3223</v>
      </c>
      <c r="C842" t="s">
        <v>5576</v>
      </c>
      <c r="D842" t="s">
        <v>7757</v>
      </c>
      <c r="E842" t="s">
        <v>9530</v>
      </c>
    </row>
    <row r="843" spans="1:5" ht="15.6" x14ac:dyDescent="0.3">
      <c r="A843" s="1" t="s">
        <v>1529</v>
      </c>
      <c r="B843" s="1" t="s">
        <v>3224</v>
      </c>
      <c r="C843" t="s">
        <v>5577</v>
      </c>
      <c r="D843" t="s">
        <v>7758</v>
      </c>
      <c r="E843" t="s">
        <v>9531</v>
      </c>
    </row>
    <row r="844" spans="1:5" ht="15.6" x14ac:dyDescent="0.3">
      <c r="A844" s="1" t="s">
        <v>1528</v>
      </c>
      <c r="B844" s="1" t="s">
        <v>3225</v>
      </c>
      <c r="C844" t="s">
        <v>5578</v>
      </c>
      <c r="D844" t="s">
        <v>7759</v>
      </c>
      <c r="E844" t="s">
        <v>9532</v>
      </c>
    </row>
    <row r="845" spans="1:5" ht="15.6" x14ac:dyDescent="0.3">
      <c r="A845" s="1" t="s">
        <v>1527</v>
      </c>
      <c r="B845" s="1" t="s">
        <v>3226</v>
      </c>
      <c r="C845" t="s">
        <v>5579</v>
      </c>
      <c r="D845" t="s">
        <v>7514</v>
      </c>
      <c r="E845" t="s">
        <v>8890</v>
      </c>
    </row>
    <row r="846" spans="1:5" ht="15.6" x14ac:dyDescent="0.3">
      <c r="A846" s="1" t="s">
        <v>1526</v>
      </c>
      <c r="B846" s="1" t="s">
        <v>3227</v>
      </c>
      <c r="C846" t="s">
        <v>5580</v>
      </c>
      <c r="D846" t="s">
        <v>7760</v>
      </c>
      <c r="E846" t="s">
        <v>9533</v>
      </c>
    </row>
    <row r="847" spans="1:5" ht="15.6" x14ac:dyDescent="0.3">
      <c r="A847" s="1" t="s">
        <v>1525</v>
      </c>
      <c r="B847" s="1" t="s">
        <v>3228</v>
      </c>
      <c r="C847" t="s">
        <v>5581</v>
      </c>
      <c r="D847" t="s">
        <v>7761</v>
      </c>
      <c r="E847" t="s">
        <v>9534</v>
      </c>
    </row>
    <row r="848" spans="1:5" ht="15.6" x14ac:dyDescent="0.3">
      <c r="A848" s="1" t="s">
        <v>1524</v>
      </c>
      <c r="B848" s="1" t="s">
        <v>3229</v>
      </c>
      <c r="C848" t="s">
        <v>5582</v>
      </c>
      <c r="D848" t="s">
        <v>7762</v>
      </c>
      <c r="E848" t="s">
        <v>9535</v>
      </c>
    </row>
    <row r="849" spans="1:5" ht="15.6" x14ac:dyDescent="0.3">
      <c r="A849" s="1" t="s">
        <v>1523</v>
      </c>
      <c r="B849" s="1" t="s">
        <v>3230</v>
      </c>
      <c r="C849" t="s">
        <v>5583</v>
      </c>
      <c r="D849" t="s">
        <v>7763</v>
      </c>
      <c r="E849" t="s">
        <v>9536</v>
      </c>
    </row>
    <row r="850" spans="1:5" ht="15.6" x14ac:dyDescent="0.3">
      <c r="A850" s="1" t="s">
        <v>1522</v>
      </c>
      <c r="B850" s="1" t="s">
        <v>3231</v>
      </c>
      <c r="C850" t="s">
        <v>5584</v>
      </c>
      <c r="D850" t="s">
        <v>7270</v>
      </c>
      <c r="E850" t="s">
        <v>9537</v>
      </c>
    </row>
    <row r="851" spans="1:5" ht="15.6" x14ac:dyDescent="0.3">
      <c r="A851" s="1" t="s">
        <v>1521</v>
      </c>
      <c r="B851" s="1" t="s">
        <v>3232</v>
      </c>
      <c r="C851" t="s">
        <v>5585</v>
      </c>
      <c r="D851" t="s">
        <v>7116</v>
      </c>
      <c r="E851" t="s">
        <v>9538</v>
      </c>
    </row>
    <row r="852" spans="1:5" ht="15.6" x14ac:dyDescent="0.3">
      <c r="A852" s="1" t="s">
        <v>1520</v>
      </c>
      <c r="B852" s="1" t="s">
        <v>3233</v>
      </c>
      <c r="C852" t="s">
        <v>5586</v>
      </c>
      <c r="D852" t="s">
        <v>7764</v>
      </c>
      <c r="E852" t="s">
        <v>9539</v>
      </c>
    </row>
    <row r="853" spans="1:5" ht="15.6" x14ac:dyDescent="0.3">
      <c r="A853" s="1" t="s">
        <v>1519</v>
      </c>
      <c r="B853" s="1" t="s">
        <v>3234</v>
      </c>
      <c r="C853" t="s">
        <v>5587</v>
      </c>
      <c r="D853" t="s">
        <v>7765</v>
      </c>
      <c r="E853" t="s">
        <v>9540</v>
      </c>
    </row>
    <row r="854" spans="1:5" ht="15.6" x14ac:dyDescent="0.3">
      <c r="A854" s="1" t="s">
        <v>1518</v>
      </c>
      <c r="B854" s="1" t="s">
        <v>3235</v>
      </c>
      <c r="C854" t="s">
        <v>5588</v>
      </c>
      <c r="D854" t="s">
        <v>7148</v>
      </c>
      <c r="E854" t="s">
        <v>8921</v>
      </c>
    </row>
    <row r="855" spans="1:5" ht="15.6" x14ac:dyDescent="0.3">
      <c r="A855" s="1" t="s">
        <v>1517</v>
      </c>
      <c r="B855" s="1" t="s">
        <v>3236</v>
      </c>
      <c r="C855" t="s">
        <v>5589</v>
      </c>
      <c r="D855" t="s">
        <v>7766</v>
      </c>
      <c r="E855" t="s">
        <v>9541</v>
      </c>
    </row>
    <row r="856" spans="1:5" ht="15.6" x14ac:dyDescent="0.3">
      <c r="A856" s="1" t="s">
        <v>1516</v>
      </c>
      <c r="B856" s="1" t="s">
        <v>3237</v>
      </c>
      <c r="C856" t="s">
        <v>5590</v>
      </c>
      <c r="D856" t="s">
        <v>7279</v>
      </c>
      <c r="E856" t="s">
        <v>9542</v>
      </c>
    </row>
    <row r="857" spans="1:5" ht="15.6" x14ac:dyDescent="0.3">
      <c r="A857" s="1" t="s">
        <v>1515</v>
      </c>
      <c r="B857" s="1" t="s">
        <v>3238</v>
      </c>
      <c r="C857" t="s">
        <v>5591</v>
      </c>
      <c r="D857" t="s">
        <v>7767</v>
      </c>
      <c r="E857" t="s">
        <v>9543</v>
      </c>
    </row>
    <row r="858" spans="1:5" ht="15.6" x14ac:dyDescent="0.3">
      <c r="A858" s="1" t="s">
        <v>1514</v>
      </c>
      <c r="B858" s="1" t="s">
        <v>3239</v>
      </c>
      <c r="C858" t="s">
        <v>5592</v>
      </c>
      <c r="D858" t="s">
        <v>7768</v>
      </c>
      <c r="E858" t="s">
        <v>9544</v>
      </c>
    </row>
    <row r="859" spans="1:5" ht="15.6" x14ac:dyDescent="0.3">
      <c r="A859" s="1" t="s">
        <v>1513</v>
      </c>
      <c r="B859" s="1" t="s">
        <v>3240</v>
      </c>
      <c r="C859" t="s">
        <v>5593</v>
      </c>
      <c r="D859" t="s">
        <v>7458</v>
      </c>
      <c r="E859" t="s">
        <v>9545</v>
      </c>
    </row>
    <row r="860" spans="1:5" ht="15.6" x14ac:dyDescent="0.3">
      <c r="A860" s="1" t="s">
        <v>1512</v>
      </c>
      <c r="B860" s="1" t="s">
        <v>3241</v>
      </c>
      <c r="C860" t="s">
        <v>5594</v>
      </c>
      <c r="D860" t="s">
        <v>7769</v>
      </c>
      <c r="E860" t="s">
        <v>9546</v>
      </c>
    </row>
    <row r="861" spans="1:5" ht="15.6" x14ac:dyDescent="0.3">
      <c r="A861" s="1" t="s">
        <v>1511</v>
      </c>
      <c r="B861" s="1" t="s">
        <v>3242</v>
      </c>
      <c r="C861" t="s">
        <v>5595</v>
      </c>
      <c r="D861" t="s">
        <v>7770</v>
      </c>
      <c r="E861" t="s">
        <v>9547</v>
      </c>
    </row>
    <row r="862" spans="1:5" ht="15.6" x14ac:dyDescent="0.3">
      <c r="A862" s="1" t="s">
        <v>1510</v>
      </c>
      <c r="B862" s="1" t="s">
        <v>3243</v>
      </c>
      <c r="C862" t="s">
        <v>5596</v>
      </c>
      <c r="D862" t="s">
        <v>7270</v>
      </c>
      <c r="E862" t="s">
        <v>9548</v>
      </c>
    </row>
    <row r="863" spans="1:5" ht="15.6" x14ac:dyDescent="0.3">
      <c r="A863" s="1" t="s">
        <v>1509</v>
      </c>
      <c r="B863" s="1" t="s">
        <v>3244</v>
      </c>
      <c r="C863" t="s">
        <v>5597</v>
      </c>
      <c r="D863" t="s">
        <v>7371</v>
      </c>
      <c r="E863" t="s">
        <v>9549</v>
      </c>
    </row>
    <row r="864" spans="1:5" ht="15.6" x14ac:dyDescent="0.3">
      <c r="A864" s="1" t="s">
        <v>1508</v>
      </c>
      <c r="B864" s="1" t="s">
        <v>3245</v>
      </c>
      <c r="C864" t="s">
        <v>5598</v>
      </c>
      <c r="D864" t="s">
        <v>7771</v>
      </c>
      <c r="E864" t="s">
        <v>9550</v>
      </c>
    </row>
    <row r="865" spans="1:5" ht="15.6" x14ac:dyDescent="0.3">
      <c r="A865" s="1" t="s">
        <v>1507</v>
      </c>
      <c r="B865" s="1" t="s">
        <v>3246</v>
      </c>
      <c r="C865" t="s">
        <v>5599</v>
      </c>
      <c r="D865" t="s">
        <v>7772</v>
      </c>
      <c r="E865" t="s">
        <v>9551</v>
      </c>
    </row>
    <row r="866" spans="1:5" ht="15.6" x14ac:dyDescent="0.3">
      <c r="A866" s="1" t="s">
        <v>1506</v>
      </c>
      <c r="B866" s="1" t="s">
        <v>3247</v>
      </c>
      <c r="C866" t="s">
        <v>5600</v>
      </c>
      <c r="D866" t="s">
        <v>7138</v>
      </c>
      <c r="E866" t="s">
        <v>9552</v>
      </c>
    </row>
    <row r="867" spans="1:5" ht="15.6" x14ac:dyDescent="0.3">
      <c r="A867" s="1" t="s">
        <v>1505</v>
      </c>
      <c r="B867" s="1" t="s">
        <v>3248</v>
      </c>
      <c r="C867" t="s">
        <v>5601</v>
      </c>
      <c r="D867" t="s">
        <v>7773</v>
      </c>
      <c r="E867" t="s">
        <v>9553</v>
      </c>
    </row>
    <row r="868" spans="1:5" ht="15.6" x14ac:dyDescent="0.3">
      <c r="A868" s="1" t="s">
        <v>1504</v>
      </c>
      <c r="B868" s="1" t="s">
        <v>3249</v>
      </c>
      <c r="C868" t="s">
        <v>5602</v>
      </c>
      <c r="D868" t="s">
        <v>7774</v>
      </c>
      <c r="E868" t="s">
        <v>9554</v>
      </c>
    </row>
    <row r="869" spans="1:5" ht="15.6" x14ac:dyDescent="0.3">
      <c r="A869" s="1" t="s">
        <v>1503</v>
      </c>
      <c r="B869" s="1" t="s">
        <v>3250</v>
      </c>
      <c r="C869" t="s">
        <v>5603</v>
      </c>
      <c r="D869" t="s">
        <v>7172</v>
      </c>
      <c r="E869" t="s">
        <v>9555</v>
      </c>
    </row>
    <row r="870" spans="1:5" ht="15.6" x14ac:dyDescent="0.3">
      <c r="A870" s="1" t="s">
        <v>1502</v>
      </c>
      <c r="B870" s="1" t="s">
        <v>3251</v>
      </c>
      <c r="C870" t="s">
        <v>5604</v>
      </c>
      <c r="D870" t="s">
        <v>7086</v>
      </c>
      <c r="E870" t="s">
        <v>9556</v>
      </c>
    </row>
    <row r="871" spans="1:5" ht="15.6" x14ac:dyDescent="0.3">
      <c r="A871" s="1" t="s">
        <v>1501</v>
      </c>
      <c r="B871" s="1" t="s">
        <v>3252</v>
      </c>
      <c r="C871" t="s">
        <v>5605</v>
      </c>
      <c r="D871" t="s">
        <v>7775</v>
      </c>
      <c r="E871" t="s">
        <v>9557</v>
      </c>
    </row>
    <row r="872" spans="1:5" ht="15.6" x14ac:dyDescent="0.3">
      <c r="A872" s="1" t="s">
        <v>1500</v>
      </c>
      <c r="B872" s="1" t="s">
        <v>3253</v>
      </c>
      <c r="C872" t="s">
        <v>5606</v>
      </c>
      <c r="D872" t="s">
        <v>7776</v>
      </c>
      <c r="E872" t="s">
        <v>9558</v>
      </c>
    </row>
    <row r="873" spans="1:5" ht="15.6" x14ac:dyDescent="0.3">
      <c r="A873" s="1" t="s">
        <v>1499</v>
      </c>
      <c r="B873" s="1" t="s">
        <v>3254</v>
      </c>
      <c r="C873" t="s">
        <v>5607</v>
      </c>
      <c r="D873" t="s">
        <v>7777</v>
      </c>
      <c r="E873" t="s">
        <v>9559</v>
      </c>
    </row>
    <row r="874" spans="1:5" ht="15.6" x14ac:dyDescent="0.3">
      <c r="A874" s="1" t="s">
        <v>1498</v>
      </c>
      <c r="B874" s="1" t="s">
        <v>3255</v>
      </c>
      <c r="C874" t="s">
        <v>5608</v>
      </c>
      <c r="D874" t="s">
        <v>7778</v>
      </c>
      <c r="E874" t="s">
        <v>9560</v>
      </c>
    </row>
    <row r="875" spans="1:5" ht="15.6" x14ac:dyDescent="0.3">
      <c r="A875" s="1" t="s">
        <v>1497</v>
      </c>
      <c r="B875" s="1" t="s">
        <v>3256</v>
      </c>
      <c r="C875" t="s">
        <v>5609</v>
      </c>
      <c r="D875" t="s">
        <v>7779</v>
      </c>
      <c r="E875" t="s">
        <v>9561</v>
      </c>
    </row>
    <row r="876" spans="1:5" ht="15.6" x14ac:dyDescent="0.3">
      <c r="A876" s="1" t="s">
        <v>1496</v>
      </c>
      <c r="B876" s="1" t="s">
        <v>3257</v>
      </c>
      <c r="C876" t="s">
        <v>5610</v>
      </c>
      <c r="D876" t="s">
        <v>7780</v>
      </c>
      <c r="E876" t="s">
        <v>9562</v>
      </c>
    </row>
    <row r="877" spans="1:5" ht="15.6" x14ac:dyDescent="0.3">
      <c r="A877" s="1" t="s">
        <v>1495</v>
      </c>
      <c r="B877" s="1" t="s">
        <v>3258</v>
      </c>
      <c r="C877" t="s">
        <v>5611</v>
      </c>
      <c r="D877" t="s">
        <v>7781</v>
      </c>
      <c r="E877" t="s">
        <v>9563</v>
      </c>
    </row>
    <row r="878" spans="1:5" ht="15.6" x14ac:dyDescent="0.3">
      <c r="A878" s="1" t="s">
        <v>1494</v>
      </c>
      <c r="B878" s="1" t="s">
        <v>3259</v>
      </c>
      <c r="C878" t="s">
        <v>5612</v>
      </c>
      <c r="D878" t="s">
        <v>7782</v>
      </c>
      <c r="E878" t="s">
        <v>9564</v>
      </c>
    </row>
    <row r="879" spans="1:5" ht="15.6" x14ac:dyDescent="0.3">
      <c r="A879" s="1" t="s">
        <v>1493</v>
      </c>
      <c r="B879" s="1" t="s">
        <v>3260</v>
      </c>
      <c r="C879" t="s">
        <v>5613</v>
      </c>
      <c r="D879" t="s">
        <v>7783</v>
      </c>
      <c r="E879" t="s">
        <v>9565</v>
      </c>
    </row>
    <row r="880" spans="1:5" ht="15.6" x14ac:dyDescent="0.3">
      <c r="A880" s="1" t="s">
        <v>1492</v>
      </c>
      <c r="B880" s="1" t="s">
        <v>3261</v>
      </c>
      <c r="C880" t="s">
        <v>5614</v>
      </c>
      <c r="D880" t="s">
        <v>7784</v>
      </c>
      <c r="E880" t="s">
        <v>9566</v>
      </c>
    </row>
    <row r="881" spans="1:5" ht="15.6" x14ac:dyDescent="0.3">
      <c r="A881" s="1" t="s">
        <v>1491</v>
      </c>
      <c r="B881" s="1" t="s">
        <v>3262</v>
      </c>
      <c r="C881" t="s">
        <v>5615</v>
      </c>
      <c r="D881" t="s">
        <v>7785</v>
      </c>
      <c r="E881" t="s">
        <v>9567</v>
      </c>
    </row>
    <row r="882" spans="1:5" ht="15.6" x14ac:dyDescent="0.3">
      <c r="A882" s="1" t="s">
        <v>1490</v>
      </c>
      <c r="B882" s="1" t="s">
        <v>3263</v>
      </c>
      <c r="C882" t="s">
        <v>5616</v>
      </c>
      <c r="D882" t="s">
        <v>7786</v>
      </c>
      <c r="E882" t="s">
        <v>9568</v>
      </c>
    </row>
    <row r="883" spans="1:5" ht="15.6" x14ac:dyDescent="0.3">
      <c r="A883" s="1" t="s">
        <v>1489</v>
      </c>
      <c r="B883" s="1" t="s">
        <v>3264</v>
      </c>
      <c r="C883" t="s">
        <v>5617</v>
      </c>
      <c r="D883" t="s">
        <v>7323</v>
      </c>
      <c r="E883" t="s">
        <v>9569</v>
      </c>
    </row>
    <row r="884" spans="1:5" ht="15.6" x14ac:dyDescent="0.3">
      <c r="A884" s="1" t="s">
        <v>1488</v>
      </c>
      <c r="B884" s="1" t="s">
        <v>3265</v>
      </c>
      <c r="C884" t="s">
        <v>5618</v>
      </c>
      <c r="D884" t="s">
        <v>7787</v>
      </c>
      <c r="E884" t="s">
        <v>9570</v>
      </c>
    </row>
    <row r="885" spans="1:5" ht="15.6" x14ac:dyDescent="0.3">
      <c r="A885" s="1" t="s">
        <v>1487</v>
      </c>
      <c r="B885" s="1" t="s">
        <v>3266</v>
      </c>
      <c r="C885" t="s">
        <v>5619</v>
      </c>
      <c r="D885" t="s">
        <v>7788</v>
      </c>
      <c r="E885" t="s">
        <v>9571</v>
      </c>
    </row>
    <row r="886" spans="1:5" ht="15.6" x14ac:dyDescent="0.3">
      <c r="A886" s="1" t="s">
        <v>1486</v>
      </c>
      <c r="B886" s="1" t="s">
        <v>3267</v>
      </c>
      <c r="C886" t="s">
        <v>5620</v>
      </c>
      <c r="D886" t="s">
        <v>7789</v>
      </c>
      <c r="E886" t="s">
        <v>9572</v>
      </c>
    </row>
    <row r="887" spans="1:5" ht="15.6" x14ac:dyDescent="0.3">
      <c r="A887" s="1" t="s">
        <v>1485</v>
      </c>
      <c r="B887" s="1" t="s">
        <v>3268</v>
      </c>
      <c r="C887" t="s">
        <v>5621</v>
      </c>
      <c r="D887" t="s">
        <v>7790</v>
      </c>
      <c r="E887" t="s">
        <v>9573</v>
      </c>
    </row>
    <row r="888" spans="1:5" ht="15.6" x14ac:dyDescent="0.3">
      <c r="A888" s="1" t="s">
        <v>1484</v>
      </c>
      <c r="B888" s="1" t="s">
        <v>3269</v>
      </c>
      <c r="C888" t="s">
        <v>5622</v>
      </c>
      <c r="D888" t="s">
        <v>7791</v>
      </c>
      <c r="E888" t="s">
        <v>9574</v>
      </c>
    </row>
    <row r="889" spans="1:5" ht="15.6" x14ac:dyDescent="0.3">
      <c r="A889" s="1" t="s">
        <v>1483</v>
      </c>
      <c r="B889" s="1" t="s">
        <v>3270</v>
      </c>
      <c r="C889" t="s">
        <v>5623</v>
      </c>
      <c r="D889" t="s">
        <v>7792</v>
      </c>
      <c r="E889" t="s">
        <v>9575</v>
      </c>
    </row>
    <row r="890" spans="1:5" ht="15.6" x14ac:dyDescent="0.3">
      <c r="A890" s="1" t="s">
        <v>1482</v>
      </c>
      <c r="B890" s="1" t="s">
        <v>3271</v>
      </c>
      <c r="C890" t="s">
        <v>5624</v>
      </c>
      <c r="D890" t="s">
        <v>7793</v>
      </c>
      <c r="E890" t="s">
        <v>9576</v>
      </c>
    </row>
    <row r="891" spans="1:5" ht="15.6" x14ac:dyDescent="0.3">
      <c r="A891" s="1" t="s">
        <v>1481</v>
      </c>
      <c r="B891" s="1" t="s">
        <v>3272</v>
      </c>
      <c r="C891" t="s">
        <v>5625</v>
      </c>
      <c r="D891" t="s">
        <v>7242</v>
      </c>
      <c r="E891" t="s">
        <v>9577</v>
      </c>
    </row>
    <row r="892" spans="1:5" ht="15.6" x14ac:dyDescent="0.3">
      <c r="A892" s="1" t="s">
        <v>1480</v>
      </c>
      <c r="B892" s="1" t="s">
        <v>3273</v>
      </c>
      <c r="C892" t="s">
        <v>5626</v>
      </c>
      <c r="D892" t="s">
        <v>7794</v>
      </c>
      <c r="E892" t="s">
        <v>9578</v>
      </c>
    </row>
    <row r="893" spans="1:5" ht="15.6" x14ac:dyDescent="0.3">
      <c r="A893" s="1" t="s">
        <v>1479</v>
      </c>
      <c r="B893" s="1" t="s">
        <v>3274</v>
      </c>
      <c r="C893" t="s">
        <v>4726</v>
      </c>
      <c r="D893" t="s">
        <v>7061</v>
      </c>
      <c r="E893" t="s">
        <v>9579</v>
      </c>
    </row>
    <row r="894" spans="1:5" ht="15.6" x14ac:dyDescent="0.3">
      <c r="A894" s="1" t="s">
        <v>1478</v>
      </c>
      <c r="B894" s="1" t="s">
        <v>3275</v>
      </c>
      <c r="C894" t="s">
        <v>5627</v>
      </c>
      <c r="D894" t="s">
        <v>7795</v>
      </c>
      <c r="E894" t="s">
        <v>9580</v>
      </c>
    </row>
    <row r="895" spans="1:5" ht="15.6" x14ac:dyDescent="0.3">
      <c r="A895" s="1" t="s">
        <v>1477</v>
      </c>
      <c r="B895" s="1" t="s">
        <v>3276</v>
      </c>
      <c r="C895" t="s">
        <v>5628</v>
      </c>
      <c r="D895" t="s">
        <v>7094</v>
      </c>
      <c r="E895" t="s">
        <v>9581</v>
      </c>
    </row>
    <row r="896" spans="1:5" ht="15.6" x14ac:dyDescent="0.3">
      <c r="A896" s="1" t="s">
        <v>1476</v>
      </c>
      <c r="B896" s="1" t="s">
        <v>3277</v>
      </c>
      <c r="C896" t="s">
        <v>5629</v>
      </c>
      <c r="D896" t="s">
        <v>7796</v>
      </c>
      <c r="E896" t="s">
        <v>9582</v>
      </c>
    </row>
    <row r="897" spans="1:5" ht="15.6" x14ac:dyDescent="0.3">
      <c r="A897" s="1" t="s">
        <v>1475</v>
      </c>
      <c r="B897" s="1" t="s">
        <v>3278</v>
      </c>
      <c r="C897" t="s">
        <v>5630</v>
      </c>
      <c r="D897" t="s">
        <v>7797</v>
      </c>
      <c r="E897" t="s">
        <v>9583</v>
      </c>
    </row>
    <row r="898" spans="1:5" ht="15.6" x14ac:dyDescent="0.3">
      <c r="A898" s="1" t="s">
        <v>1474</v>
      </c>
      <c r="B898" s="1" t="s">
        <v>3279</v>
      </c>
      <c r="C898" t="s">
        <v>5631</v>
      </c>
      <c r="D898" t="s">
        <v>7798</v>
      </c>
      <c r="E898" t="s">
        <v>9243</v>
      </c>
    </row>
    <row r="899" spans="1:5" ht="15.6" x14ac:dyDescent="0.3">
      <c r="A899" s="1" t="s">
        <v>1473</v>
      </c>
      <c r="B899" s="1" t="s">
        <v>3280</v>
      </c>
      <c r="C899" t="s">
        <v>5632</v>
      </c>
      <c r="D899" t="s">
        <v>7799</v>
      </c>
      <c r="E899" t="s">
        <v>9584</v>
      </c>
    </row>
    <row r="900" spans="1:5" ht="15.6" x14ac:dyDescent="0.3">
      <c r="A900" s="1" t="s">
        <v>1472</v>
      </c>
      <c r="B900" s="1" t="s">
        <v>3281</v>
      </c>
      <c r="C900" t="s">
        <v>5633</v>
      </c>
      <c r="D900" t="s">
        <v>7113</v>
      </c>
      <c r="E900" t="s">
        <v>8945</v>
      </c>
    </row>
    <row r="901" spans="1:5" ht="15.6" x14ac:dyDescent="0.3">
      <c r="A901" s="1" t="s">
        <v>1471</v>
      </c>
      <c r="B901" s="1" t="s">
        <v>3282</v>
      </c>
      <c r="C901" t="s">
        <v>5634</v>
      </c>
      <c r="D901" t="s">
        <v>7800</v>
      </c>
      <c r="E901" t="s">
        <v>8962</v>
      </c>
    </row>
    <row r="902" spans="1:5" ht="15.6" x14ac:dyDescent="0.3">
      <c r="A902" s="1" t="s">
        <v>1470</v>
      </c>
      <c r="B902" s="1" t="s">
        <v>3283</v>
      </c>
      <c r="C902" t="s">
        <v>5635</v>
      </c>
      <c r="D902" t="s">
        <v>7801</v>
      </c>
      <c r="E902" t="s">
        <v>9585</v>
      </c>
    </row>
    <row r="903" spans="1:5" ht="15.6" x14ac:dyDescent="0.3">
      <c r="A903" s="1" t="s">
        <v>1469</v>
      </c>
      <c r="B903" s="1" t="s">
        <v>3284</v>
      </c>
      <c r="C903" t="s">
        <v>5636</v>
      </c>
      <c r="D903" t="s">
        <v>7548</v>
      </c>
      <c r="E903" t="s">
        <v>9586</v>
      </c>
    </row>
    <row r="904" spans="1:5" ht="15.6" x14ac:dyDescent="0.3">
      <c r="A904" s="1" t="s">
        <v>1468</v>
      </c>
      <c r="B904" s="1" t="s">
        <v>3285</v>
      </c>
      <c r="C904" t="s">
        <v>5637</v>
      </c>
      <c r="D904" t="s">
        <v>7802</v>
      </c>
      <c r="E904" t="s">
        <v>9587</v>
      </c>
    </row>
    <row r="905" spans="1:5" ht="15.6" x14ac:dyDescent="0.3">
      <c r="A905" s="1" t="s">
        <v>1467</v>
      </c>
      <c r="B905" s="1" t="s">
        <v>3286</v>
      </c>
      <c r="C905" t="s">
        <v>5638</v>
      </c>
      <c r="D905" t="s">
        <v>7803</v>
      </c>
      <c r="E905" t="s">
        <v>9588</v>
      </c>
    </row>
    <row r="906" spans="1:5" ht="15.6" x14ac:dyDescent="0.3">
      <c r="A906" s="1" t="s">
        <v>1466</v>
      </c>
      <c r="B906" s="1" t="s">
        <v>3287</v>
      </c>
      <c r="C906" t="s">
        <v>5639</v>
      </c>
      <c r="D906" t="s">
        <v>7804</v>
      </c>
      <c r="E906" t="s">
        <v>9589</v>
      </c>
    </row>
    <row r="907" spans="1:5" ht="15.6" x14ac:dyDescent="0.3">
      <c r="A907" s="1" t="s">
        <v>1465</v>
      </c>
      <c r="B907" s="1" t="s">
        <v>3288</v>
      </c>
      <c r="C907" t="s">
        <v>5640</v>
      </c>
      <c r="D907" t="s">
        <v>7755</v>
      </c>
      <c r="E907" t="s">
        <v>9590</v>
      </c>
    </row>
    <row r="908" spans="1:5" ht="15.6" x14ac:dyDescent="0.3">
      <c r="A908" s="1" t="s">
        <v>1464</v>
      </c>
      <c r="B908" s="1" t="s">
        <v>3289</v>
      </c>
      <c r="C908" t="s">
        <v>5641</v>
      </c>
      <c r="D908" t="s">
        <v>7805</v>
      </c>
      <c r="E908" t="s">
        <v>9591</v>
      </c>
    </row>
    <row r="909" spans="1:5" ht="15.6" x14ac:dyDescent="0.3">
      <c r="A909" s="1" t="s">
        <v>1463</v>
      </c>
      <c r="B909" s="1" t="s">
        <v>3290</v>
      </c>
      <c r="C909" t="s">
        <v>5642</v>
      </c>
      <c r="D909" t="s">
        <v>7806</v>
      </c>
      <c r="E909" t="s">
        <v>9592</v>
      </c>
    </row>
    <row r="910" spans="1:5" ht="15.6" x14ac:dyDescent="0.3">
      <c r="A910" s="1" t="s">
        <v>1462</v>
      </c>
      <c r="B910" s="1" t="s">
        <v>3291</v>
      </c>
      <c r="C910" t="s">
        <v>5643</v>
      </c>
      <c r="D910" t="s">
        <v>7357</v>
      </c>
      <c r="E910" t="s">
        <v>9593</v>
      </c>
    </row>
    <row r="911" spans="1:5" ht="15.6" x14ac:dyDescent="0.3">
      <c r="A911" s="1" t="s">
        <v>1461</v>
      </c>
      <c r="B911" s="1" t="s">
        <v>3292</v>
      </c>
      <c r="C911" t="s">
        <v>5644</v>
      </c>
      <c r="D911" t="s">
        <v>7807</v>
      </c>
      <c r="E911" t="s">
        <v>9594</v>
      </c>
    </row>
    <row r="912" spans="1:5" ht="15.6" x14ac:dyDescent="0.3">
      <c r="A912" s="1" t="s">
        <v>1460</v>
      </c>
      <c r="B912" s="1" t="s">
        <v>3293</v>
      </c>
      <c r="C912" t="s">
        <v>5645</v>
      </c>
      <c r="D912" t="s">
        <v>7808</v>
      </c>
      <c r="E912" t="s">
        <v>9595</v>
      </c>
    </row>
    <row r="913" spans="1:5" ht="15.6" x14ac:dyDescent="0.3">
      <c r="A913" s="1" t="s">
        <v>1459</v>
      </c>
      <c r="B913" s="1" t="s">
        <v>3294</v>
      </c>
      <c r="C913" t="s">
        <v>5646</v>
      </c>
      <c r="D913" t="s">
        <v>7433</v>
      </c>
      <c r="E913" t="s">
        <v>9596</v>
      </c>
    </row>
    <row r="914" spans="1:5" ht="15.6" x14ac:dyDescent="0.3">
      <c r="A914" s="1" t="s">
        <v>1458</v>
      </c>
      <c r="B914" s="1" t="s">
        <v>3295</v>
      </c>
      <c r="C914" t="s">
        <v>5647</v>
      </c>
      <c r="D914" t="s">
        <v>7153</v>
      </c>
      <c r="E914" t="s">
        <v>9597</v>
      </c>
    </row>
    <row r="915" spans="1:5" ht="15.6" x14ac:dyDescent="0.3">
      <c r="A915" s="1" t="s">
        <v>1457</v>
      </c>
      <c r="B915" s="1" t="s">
        <v>3296</v>
      </c>
      <c r="C915" t="s">
        <v>5648</v>
      </c>
      <c r="D915" t="s">
        <v>7809</v>
      </c>
      <c r="E915" t="s">
        <v>8877</v>
      </c>
    </row>
    <row r="916" spans="1:5" ht="15.6" x14ac:dyDescent="0.3">
      <c r="A916" s="1" t="s">
        <v>1456</v>
      </c>
      <c r="B916" s="1" t="s">
        <v>3297</v>
      </c>
      <c r="C916" t="s">
        <v>5649</v>
      </c>
      <c r="D916" t="s">
        <v>7810</v>
      </c>
      <c r="E916" t="s">
        <v>9598</v>
      </c>
    </row>
    <row r="917" spans="1:5" ht="15.6" x14ac:dyDescent="0.3">
      <c r="A917" s="1" t="s">
        <v>1455</v>
      </c>
      <c r="B917" s="1" t="s">
        <v>3298</v>
      </c>
      <c r="C917" t="s">
        <v>5650</v>
      </c>
      <c r="D917" t="s">
        <v>7811</v>
      </c>
      <c r="E917" t="s">
        <v>8962</v>
      </c>
    </row>
    <row r="918" spans="1:5" ht="15.6" x14ac:dyDescent="0.3">
      <c r="A918" s="1" t="s">
        <v>1454</v>
      </c>
      <c r="B918" s="1" t="s">
        <v>3299</v>
      </c>
      <c r="C918" t="s">
        <v>5651</v>
      </c>
      <c r="D918" t="s">
        <v>7812</v>
      </c>
      <c r="E918" t="s">
        <v>9599</v>
      </c>
    </row>
    <row r="919" spans="1:5" ht="15.6" x14ac:dyDescent="0.3">
      <c r="A919" s="1" t="s">
        <v>1453</v>
      </c>
      <c r="B919" s="1" t="s">
        <v>3300</v>
      </c>
      <c r="C919" t="s">
        <v>5652</v>
      </c>
      <c r="D919" t="s">
        <v>7441</v>
      </c>
      <c r="E919" t="s">
        <v>9600</v>
      </c>
    </row>
    <row r="920" spans="1:5" ht="15.6" x14ac:dyDescent="0.3">
      <c r="A920" s="1" t="s">
        <v>1452</v>
      </c>
      <c r="B920" s="1" t="s">
        <v>3301</v>
      </c>
      <c r="C920" t="s">
        <v>5653</v>
      </c>
      <c r="D920" t="s">
        <v>7120</v>
      </c>
      <c r="E920" t="s">
        <v>9601</v>
      </c>
    </row>
    <row r="921" spans="1:5" ht="15.6" x14ac:dyDescent="0.3">
      <c r="A921" s="1" t="s">
        <v>1451</v>
      </c>
      <c r="B921" s="1" t="s">
        <v>3302</v>
      </c>
      <c r="C921" t="s">
        <v>5654</v>
      </c>
      <c r="D921" t="s">
        <v>7813</v>
      </c>
      <c r="E921" t="s">
        <v>9602</v>
      </c>
    </row>
    <row r="922" spans="1:5" ht="15.6" x14ac:dyDescent="0.3">
      <c r="A922" s="1" t="s">
        <v>1450</v>
      </c>
      <c r="B922" s="1" t="s">
        <v>3303</v>
      </c>
      <c r="C922" t="s">
        <v>5655</v>
      </c>
      <c r="D922" t="s">
        <v>7814</v>
      </c>
      <c r="E922" t="s">
        <v>9603</v>
      </c>
    </row>
    <row r="923" spans="1:5" ht="15.6" x14ac:dyDescent="0.3">
      <c r="A923" s="1" t="s">
        <v>1449</v>
      </c>
      <c r="B923" s="1" t="s">
        <v>3304</v>
      </c>
      <c r="C923" t="s">
        <v>5656</v>
      </c>
      <c r="D923" t="s">
        <v>7815</v>
      </c>
      <c r="E923" t="s">
        <v>9604</v>
      </c>
    </row>
    <row r="924" spans="1:5" ht="15.6" x14ac:dyDescent="0.3">
      <c r="A924" s="1" t="s">
        <v>1448</v>
      </c>
      <c r="B924" s="1" t="s">
        <v>3305</v>
      </c>
      <c r="C924" t="s">
        <v>5657</v>
      </c>
      <c r="D924" t="s">
        <v>7816</v>
      </c>
      <c r="E924" t="s">
        <v>9605</v>
      </c>
    </row>
    <row r="925" spans="1:5" ht="15.6" x14ac:dyDescent="0.3">
      <c r="A925" s="1" t="s">
        <v>1447</v>
      </c>
      <c r="B925" s="1" t="s">
        <v>3306</v>
      </c>
      <c r="C925" t="s">
        <v>5658</v>
      </c>
      <c r="D925" t="s">
        <v>7817</v>
      </c>
      <c r="E925" t="s">
        <v>9606</v>
      </c>
    </row>
    <row r="926" spans="1:5" ht="15.6" x14ac:dyDescent="0.3">
      <c r="A926" s="1" t="s">
        <v>1446</v>
      </c>
      <c r="B926" s="1" t="s">
        <v>3307</v>
      </c>
      <c r="C926" t="s">
        <v>5659</v>
      </c>
      <c r="D926" t="s">
        <v>7818</v>
      </c>
      <c r="E926" t="s">
        <v>9607</v>
      </c>
    </row>
    <row r="927" spans="1:5" ht="15.6" x14ac:dyDescent="0.3">
      <c r="A927" s="1" t="s">
        <v>1445</v>
      </c>
      <c r="B927" s="1" t="s">
        <v>3308</v>
      </c>
      <c r="C927" t="s">
        <v>5660</v>
      </c>
      <c r="D927" t="s">
        <v>7819</v>
      </c>
      <c r="E927" t="s">
        <v>9608</v>
      </c>
    </row>
    <row r="928" spans="1:5" ht="15.6" x14ac:dyDescent="0.3">
      <c r="A928" s="1" t="s">
        <v>1444</v>
      </c>
      <c r="B928" s="1" t="s">
        <v>3309</v>
      </c>
      <c r="C928" t="s">
        <v>5661</v>
      </c>
      <c r="D928" t="s">
        <v>7820</v>
      </c>
      <c r="E928" t="s">
        <v>9609</v>
      </c>
    </row>
    <row r="929" spans="1:5" ht="15.6" x14ac:dyDescent="0.3">
      <c r="A929" s="1" t="s">
        <v>1443</v>
      </c>
      <c r="B929" s="1" t="s">
        <v>3310</v>
      </c>
      <c r="C929" t="s">
        <v>5662</v>
      </c>
      <c r="D929" t="s">
        <v>7821</v>
      </c>
      <c r="E929" t="s">
        <v>9610</v>
      </c>
    </row>
    <row r="930" spans="1:5" ht="15.6" x14ac:dyDescent="0.3">
      <c r="A930" s="1" t="s">
        <v>1442</v>
      </c>
      <c r="B930" s="1" t="s">
        <v>3311</v>
      </c>
      <c r="C930" t="s">
        <v>5663</v>
      </c>
      <c r="D930" t="s">
        <v>7822</v>
      </c>
      <c r="E930" t="s">
        <v>9611</v>
      </c>
    </row>
    <row r="931" spans="1:5" ht="15.6" x14ac:dyDescent="0.3">
      <c r="A931" s="1" t="s">
        <v>1441</v>
      </c>
      <c r="B931" s="1" t="s">
        <v>3312</v>
      </c>
      <c r="C931" t="s">
        <v>5664</v>
      </c>
      <c r="D931" t="s">
        <v>7823</v>
      </c>
      <c r="E931" t="s">
        <v>9612</v>
      </c>
    </row>
    <row r="932" spans="1:5" ht="15.6" x14ac:dyDescent="0.3">
      <c r="A932" s="1" t="s">
        <v>1440</v>
      </c>
      <c r="B932" s="1" t="s">
        <v>3313</v>
      </c>
      <c r="C932" t="s">
        <v>5665</v>
      </c>
      <c r="D932" t="s">
        <v>7824</v>
      </c>
      <c r="E932" t="s">
        <v>9613</v>
      </c>
    </row>
    <row r="933" spans="1:5" ht="15.6" x14ac:dyDescent="0.3">
      <c r="A933" s="1" t="s">
        <v>1439</v>
      </c>
      <c r="B933" s="1" t="s">
        <v>3314</v>
      </c>
      <c r="C933" t="s">
        <v>5666</v>
      </c>
      <c r="D933" t="s">
        <v>7235</v>
      </c>
      <c r="E933" t="s">
        <v>9614</v>
      </c>
    </row>
    <row r="934" spans="1:5" ht="15.6" x14ac:dyDescent="0.3">
      <c r="A934" s="1" t="s">
        <v>1438</v>
      </c>
      <c r="B934" s="1" t="s">
        <v>3315</v>
      </c>
      <c r="C934" t="s">
        <v>5667</v>
      </c>
      <c r="D934" t="s">
        <v>7825</v>
      </c>
      <c r="E934" t="s">
        <v>9615</v>
      </c>
    </row>
    <row r="935" spans="1:5" ht="15.6" x14ac:dyDescent="0.3">
      <c r="A935" s="1" t="s">
        <v>1437</v>
      </c>
      <c r="B935" s="1" t="s">
        <v>3316</v>
      </c>
      <c r="C935" t="s">
        <v>5668</v>
      </c>
      <c r="D935" t="s">
        <v>7826</v>
      </c>
      <c r="E935" t="s">
        <v>8756</v>
      </c>
    </row>
    <row r="936" spans="1:5" ht="15.6" x14ac:dyDescent="0.3">
      <c r="A936" s="1" t="s">
        <v>1436</v>
      </c>
      <c r="B936" s="1" t="s">
        <v>3317</v>
      </c>
      <c r="C936" t="s">
        <v>5669</v>
      </c>
      <c r="D936" t="s">
        <v>7827</v>
      </c>
      <c r="E936" t="s">
        <v>9616</v>
      </c>
    </row>
    <row r="937" spans="1:5" ht="15.6" x14ac:dyDescent="0.3">
      <c r="A937" s="1" t="s">
        <v>1435</v>
      </c>
      <c r="B937" s="1" t="s">
        <v>3318</v>
      </c>
      <c r="C937" t="s">
        <v>5670</v>
      </c>
      <c r="D937" t="s">
        <v>7132</v>
      </c>
      <c r="E937" t="s">
        <v>9617</v>
      </c>
    </row>
    <row r="938" spans="1:5" ht="15.6" x14ac:dyDescent="0.3">
      <c r="A938" s="1" t="s">
        <v>1434</v>
      </c>
      <c r="B938" s="1" t="s">
        <v>3319</v>
      </c>
      <c r="C938" t="s">
        <v>5671</v>
      </c>
      <c r="D938" t="s">
        <v>7828</v>
      </c>
      <c r="E938" t="s">
        <v>9599</v>
      </c>
    </row>
    <row r="939" spans="1:5" ht="15.6" x14ac:dyDescent="0.3">
      <c r="A939" s="1" t="s">
        <v>1433</v>
      </c>
      <c r="B939" s="1" t="s">
        <v>3320</v>
      </c>
      <c r="C939" t="s">
        <v>5672</v>
      </c>
      <c r="D939" t="s">
        <v>7829</v>
      </c>
      <c r="E939" t="s">
        <v>9618</v>
      </c>
    </row>
    <row r="940" spans="1:5" ht="15.6" x14ac:dyDescent="0.3">
      <c r="A940" s="1" t="s">
        <v>1432</v>
      </c>
      <c r="B940" s="1" t="s">
        <v>3321</v>
      </c>
      <c r="C940" t="s">
        <v>5673</v>
      </c>
      <c r="D940" t="s">
        <v>7830</v>
      </c>
      <c r="E940" t="s">
        <v>9619</v>
      </c>
    </row>
    <row r="941" spans="1:5" ht="15.6" x14ac:dyDescent="0.3">
      <c r="A941" s="1" t="s">
        <v>1431</v>
      </c>
      <c r="B941" s="1" t="s">
        <v>3322</v>
      </c>
      <c r="C941" t="s">
        <v>5674</v>
      </c>
      <c r="D941" t="s">
        <v>7420</v>
      </c>
      <c r="E941" t="s">
        <v>9620</v>
      </c>
    </row>
    <row r="942" spans="1:5" ht="15.6" x14ac:dyDescent="0.3">
      <c r="A942" s="1" t="s">
        <v>1430</v>
      </c>
      <c r="B942" s="1" t="s">
        <v>3323</v>
      </c>
      <c r="C942" t="s">
        <v>5675</v>
      </c>
      <c r="D942" t="s">
        <v>7831</v>
      </c>
      <c r="E942" t="s">
        <v>9621</v>
      </c>
    </row>
    <row r="943" spans="1:5" ht="15.6" x14ac:dyDescent="0.3">
      <c r="A943" s="1" t="s">
        <v>1429</v>
      </c>
      <c r="B943" s="1" t="s">
        <v>3324</v>
      </c>
      <c r="C943" t="s">
        <v>5676</v>
      </c>
      <c r="D943" t="s">
        <v>7832</v>
      </c>
      <c r="E943" t="s">
        <v>9622</v>
      </c>
    </row>
    <row r="944" spans="1:5" ht="15.6" x14ac:dyDescent="0.3">
      <c r="A944" s="1" t="s">
        <v>1428</v>
      </c>
      <c r="B944" s="1" t="s">
        <v>3325</v>
      </c>
      <c r="C944" t="s">
        <v>5677</v>
      </c>
      <c r="D944" t="s">
        <v>7833</v>
      </c>
      <c r="E944" t="s">
        <v>9623</v>
      </c>
    </row>
    <row r="945" spans="1:5" ht="15.6" x14ac:dyDescent="0.3">
      <c r="A945" s="1" t="s">
        <v>1427</v>
      </c>
      <c r="B945" s="1" t="s">
        <v>3326</v>
      </c>
      <c r="C945" t="s">
        <v>5678</v>
      </c>
      <c r="D945" t="s">
        <v>7834</v>
      </c>
      <c r="E945" t="s">
        <v>9121</v>
      </c>
    </row>
    <row r="946" spans="1:5" ht="15.6" x14ac:dyDescent="0.3">
      <c r="A946" s="1" t="s">
        <v>1426</v>
      </c>
      <c r="B946" s="1" t="s">
        <v>3327</v>
      </c>
      <c r="C946" t="s">
        <v>5679</v>
      </c>
      <c r="D946" t="s">
        <v>7157</v>
      </c>
      <c r="E946" t="s">
        <v>9624</v>
      </c>
    </row>
    <row r="947" spans="1:5" ht="15.6" x14ac:dyDescent="0.3">
      <c r="A947" s="1" t="s">
        <v>1425</v>
      </c>
      <c r="B947" s="1" t="s">
        <v>3328</v>
      </c>
      <c r="C947" t="s">
        <v>5680</v>
      </c>
      <c r="D947" t="s">
        <v>7094</v>
      </c>
      <c r="E947" t="s">
        <v>9625</v>
      </c>
    </row>
    <row r="948" spans="1:5" ht="15.6" x14ac:dyDescent="0.3">
      <c r="A948" s="1" t="s">
        <v>1424</v>
      </c>
      <c r="B948" s="1" t="s">
        <v>3329</v>
      </c>
      <c r="C948" t="s">
        <v>5681</v>
      </c>
      <c r="D948" t="s">
        <v>7835</v>
      </c>
      <c r="E948" t="s">
        <v>9317</v>
      </c>
    </row>
    <row r="949" spans="1:5" ht="15.6" x14ac:dyDescent="0.3">
      <c r="A949" s="1" t="s">
        <v>1423</v>
      </c>
      <c r="B949" s="1" t="s">
        <v>3330</v>
      </c>
      <c r="C949" t="s">
        <v>5682</v>
      </c>
      <c r="D949" t="s">
        <v>7209</v>
      </c>
      <c r="E949" t="s">
        <v>9626</v>
      </c>
    </row>
    <row r="950" spans="1:5" ht="15.6" x14ac:dyDescent="0.3">
      <c r="A950" s="1" t="s">
        <v>1422</v>
      </c>
      <c r="B950" s="1" t="s">
        <v>3331</v>
      </c>
      <c r="C950" t="s">
        <v>5683</v>
      </c>
      <c r="D950" t="s">
        <v>7275</v>
      </c>
      <c r="E950" t="s">
        <v>9627</v>
      </c>
    </row>
    <row r="951" spans="1:5" ht="15.6" x14ac:dyDescent="0.3">
      <c r="A951" s="1" t="s">
        <v>1421</v>
      </c>
      <c r="B951" s="1" t="s">
        <v>3332</v>
      </c>
      <c r="C951" t="s">
        <v>5684</v>
      </c>
      <c r="D951" t="s">
        <v>7475</v>
      </c>
      <c r="E951" t="s">
        <v>9628</v>
      </c>
    </row>
    <row r="952" spans="1:5" ht="15.6" x14ac:dyDescent="0.3">
      <c r="A952" s="1" t="s">
        <v>1420</v>
      </c>
      <c r="B952" s="1" t="s">
        <v>3333</v>
      </c>
      <c r="C952" t="s">
        <v>5685</v>
      </c>
      <c r="D952" t="s">
        <v>7836</v>
      </c>
      <c r="E952" t="s">
        <v>9629</v>
      </c>
    </row>
    <row r="953" spans="1:5" ht="15.6" x14ac:dyDescent="0.3">
      <c r="A953" s="1" t="s">
        <v>1419</v>
      </c>
      <c r="B953" s="1" t="s">
        <v>3334</v>
      </c>
      <c r="C953" t="s">
        <v>5686</v>
      </c>
      <c r="D953" t="s">
        <v>7837</v>
      </c>
      <c r="E953" t="s">
        <v>9073</v>
      </c>
    </row>
    <row r="954" spans="1:5" ht="15.6" x14ac:dyDescent="0.3">
      <c r="A954" s="1" t="s">
        <v>1418</v>
      </c>
      <c r="B954" s="1" t="s">
        <v>3335</v>
      </c>
      <c r="C954" t="s">
        <v>5687</v>
      </c>
      <c r="D954" t="s">
        <v>7838</v>
      </c>
      <c r="E954" t="s">
        <v>9630</v>
      </c>
    </row>
    <row r="955" spans="1:5" ht="15.6" x14ac:dyDescent="0.3">
      <c r="A955" s="1" t="s">
        <v>1417</v>
      </c>
      <c r="B955" s="1" t="s">
        <v>3336</v>
      </c>
      <c r="C955" t="s">
        <v>5688</v>
      </c>
      <c r="D955" t="s">
        <v>7839</v>
      </c>
      <c r="E955" t="s">
        <v>9631</v>
      </c>
    </row>
    <row r="956" spans="1:5" ht="15.6" x14ac:dyDescent="0.3">
      <c r="A956" s="1" t="s">
        <v>1416</v>
      </c>
      <c r="B956" s="1" t="s">
        <v>3337</v>
      </c>
      <c r="C956" t="s">
        <v>5689</v>
      </c>
      <c r="D956" t="s">
        <v>7840</v>
      </c>
      <c r="E956" t="s">
        <v>9632</v>
      </c>
    </row>
    <row r="957" spans="1:5" ht="15.6" x14ac:dyDescent="0.3">
      <c r="A957" s="1" t="s">
        <v>1415</v>
      </c>
      <c r="B957" s="1" t="s">
        <v>3338</v>
      </c>
      <c r="C957" t="s">
        <v>5690</v>
      </c>
      <c r="D957" t="s">
        <v>7841</v>
      </c>
      <c r="E957" t="s">
        <v>9633</v>
      </c>
    </row>
    <row r="958" spans="1:5" ht="15.6" x14ac:dyDescent="0.3">
      <c r="A958" s="1" t="s">
        <v>1414</v>
      </c>
      <c r="B958" s="1" t="s">
        <v>3339</v>
      </c>
      <c r="C958" t="s">
        <v>5691</v>
      </c>
      <c r="D958" t="s">
        <v>7209</v>
      </c>
      <c r="E958" t="s">
        <v>9579</v>
      </c>
    </row>
    <row r="959" spans="1:5" ht="15.6" x14ac:dyDescent="0.3">
      <c r="A959" s="1" t="s">
        <v>1413</v>
      </c>
      <c r="B959" s="1" t="s">
        <v>3340</v>
      </c>
      <c r="C959" t="s">
        <v>5692</v>
      </c>
      <c r="D959" t="s">
        <v>7842</v>
      </c>
      <c r="E959" t="s">
        <v>9634</v>
      </c>
    </row>
    <row r="960" spans="1:5" ht="15.6" x14ac:dyDescent="0.3">
      <c r="A960" s="1" t="s">
        <v>1412</v>
      </c>
      <c r="B960" s="1" t="s">
        <v>3341</v>
      </c>
      <c r="C960" t="s">
        <v>5693</v>
      </c>
      <c r="D960" t="s">
        <v>7843</v>
      </c>
      <c r="E960" t="s">
        <v>9635</v>
      </c>
    </row>
    <row r="961" spans="1:5" ht="15.6" x14ac:dyDescent="0.3">
      <c r="A961" s="1" t="s">
        <v>1411</v>
      </c>
      <c r="B961" s="1" t="s">
        <v>3342</v>
      </c>
      <c r="C961" t="s">
        <v>5694</v>
      </c>
      <c r="D961" t="s">
        <v>7844</v>
      </c>
      <c r="E961" t="s">
        <v>9636</v>
      </c>
    </row>
    <row r="962" spans="1:5" ht="15.6" x14ac:dyDescent="0.3">
      <c r="A962" s="1" t="s">
        <v>1410</v>
      </c>
      <c r="B962" s="1" t="s">
        <v>3343</v>
      </c>
      <c r="C962" t="s">
        <v>5695</v>
      </c>
      <c r="D962" t="s">
        <v>7845</v>
      </c>
      <c r="E962" t="s">
        <v>9637</v>
      </c>
    </row>
    <row r="963" spans="1:5" ht="15.6" x14ac:dyDescent="0.3">
      <c r="A963" s="1" t="s">
        <v>1409</v>
      </c>
      <c r="B963" s="1" t="s">
        <v>3344</v>
      </c>
      <c r="C963" t="s">
        <v>5696</v>
      </c>
      <c r="D963" t="s">
        <v>7846</v>
      </c>
      <c r="E963" t="s">
        <v>9033</v>
      </c>
    </row>
    <row r="964" spans="1:5" ht="15.6" x14ac:dyDescent="0.3">
      <c r="A964" s="1" t="s">
        <v>1408</v>
      </c>
      <c r="B964" s="1" t="s">
        <v>3345</v>
      </c>
      <c r="C964" t="s">
        <v>5697</v>
      </c>
      <c r="D964" t="s">
        <v>7847</v>
      </c>
      <c r="E964" t="s">
        <v>9638</v>
      </c>
    </row>
    <row r="965" spans="1:5" ht="15.6" x14ac:dyDescent="0.3">
      <c r="A965" s="1" t="s">
        <v>1407</v>
      </c>
      <c r="B965" s="1" t="s">
        <v>3346</v>
      </c>
      <c r="C965" t="s">
        <v>5698</v>
      </c>
      <c r="D965" t="s">
        <v>7848</v>
      </c>
      <c r="E965" t="s">
        <v>9639</v>
      </c>
    </row>
    <row r="966" spans="1:5" ht="15.6" x14ac:dyDescent="0.3">
      <c r="A966" s="1" t="s">
        <v>1406</v>
      </c>
      <c r="B966" s="1" t="s">
        <v>3347</v>
      </c>
      <c r="C966" t="s">
        <v>5699</v>
      </c>
      <c r="D966" t="s">
        <v>7849</v>
      </c>
      <c r="E966" t="s">
        <v>9640</v>
      </c>
    </row>
    <row r="967" spans="1:5" ht="15.6" x14ac:dyDescent="0.3">
      <c r="A967" s="1" t="s">
        <v>1405</v>
      </c>
      <c r="B967" s="1" t="s">
        <v>3348</v>
      </c>
      <c r="C967" t="s">
        <v>5700</v>
      </c>
      <c r="D967" t="s">
        <v>7850</v>
      </c>
      <c r="E967" t="s">
        <v>9641</v>
      </c>
    </row>
    <row r="968" spans="1:5" ht="15.6" x14ac:dyDescent="0.3">
      <c r="A968" s="1" t="s">
        <v>1404</v>
      </c>
      <c r="B968" s="1" t="s">
        <v>3349</v>
      </c>
      <c r="C968" t="s">
        <v>5701</v>
      </c>
      <c r="D968" t="s">
        <v>7851</v>
      </c>
      <c r="E968" t="s">
        <v>9642</v>
      </c>
    </row>
    <row r="969" spans="1:5" ht="15.6" x14ac:dyDescent="0.3">
      <c r="A969" s="1" t="s">
        <v>1403</v>
      </c>
      <c r="B969" s="1" t="s">
        <v>3350</v>
      </c>
      <c r="C969" t="s">
        <v>5702</v>
      </c>
      <c r="D969" t="s">
        <v>7852</v>
      </c>
      <c r="E969" t="s">
        <v>9643</v>
      </c>
    </row>
    <row r="970" spans="1:5" ht="15.6" x14ac:dyDescent="0.3">
      <c r="A970" s="1" t="s">
        <v>1402</v>
      </c>
      <c r="B970" s="1" t="s">
        <v>3351</v>
      </c>
      <c r="C970" t="s">
        <v>5703</v>
      </c>
      <c r="D970" t="s">
        <v>7588</v>
      </c>
      <c r="E970" t="s">
        <v>9644</v>
      </c>
    </row>
    <row r="971" spans="1:5" ht="15.6" x14ac:dyDescent="0.3">
      <c r="A971" s="1" t="s">
        <v>1401</v>
      </c>
      <c r="B971" s="1" t="s">
        <v>3352</v>
      </c>
      <c r="C971" t="s">
        <v>5704</v>
      </c>
      <c r="D971" t="s">
        <v>7853</v>
      </c>
      <c r="E971" t="s">
        <v>9645</v>
      </c>
    </row>
    <row r="972" spans="1:5" ht="15.6" x14ac:dyDescent="0.3">
      <c r="A972" s="1" t="s">
        <v>1400</v>
      </c>
      <c r="B972" s="1" t="s">
        <v>3353</v>
      </c>
      <c r="C972" t="s">
        <v>5705</v>
      </c>
      <c r="D972" t="s">
        <v>7431</v>
      </c>
      <c r="E972" t="s">
        <v>9646</v>
      </c>
    </row>
    <row r="973" spans="1:5" ht="15.6" x14ac:dyDescent="0.3">
      <c r="A973" s="1" t="s">
        <v>1399</v>
      </c>
      <c r="B973" s="1" t="s">
        <v>3354</v>
      </c>
      <c r="C973" t="s">
        <v>5706</v>
      </c>
      <c r="D973" t="s">
        <v>7854</v>
      </c>
      <c r="E973" t="s">
        <v>9647</v>
      </c>
    </row>
    <row r="974" spans="1:5" ht="15.6" x14ac:dyDescent="0.3">
      <c r="A974" s="1" t="s">
        <v>1398</v>
      </c>
      <c r="B974" s="1" t="s">
        <v>3355</v>
      </c>
      <c r="C974" t="s">
        <v>5707</v>
      </c>
      <c r="D974" t="s">
        <v>7219</v>
      </c>
      <c r="E974" t="s">
        <v>9648</v>
      </c>
    </row>
    <row r="975" spans="1:5" ht="15.6" x14ac:dyDescent="0.3">
      <c r="A975" s="1" t="s">
        <v>1397</v>
      </c>
      <c r="B975" s="1" t="s">
        <v>3356</v>
      </c>
      <c r="C975" t="s">
        <v>5708</v>
      </c>
      <c r="D975" t="s">
        <v>7855</v>
      </c>
      <c r="E975" t="s">
        <v>9465</v>
      </c>
    </row>
    <row r="976" spans="1:5" ht="15.6" x14ac:dyDescent="0.3">
      <c r="A976" s="1" t="s">
        <v>1396</v>
      </c>
      <c r="B976" s="1" t="s">
        <v>3357</v>
      </c>
      <c r="C976" t="s">
        <v>5709</v>
      </c>
      <c r="D976" t="s">
        <v>7651</v>
      </c>
      <c r="E976" t="s">
        <v>9649</v>
      </c>
    </row>
    <row r="977" spans="1:5" ht="15.6" x14ac:dyDescent="0.3">
      <c r="A977" s="1" t="s">
        <v>1395</v>
      </c>
      <c r="B977" s="1" t="s">
        <v>3358</v>
      </c>
      <c r="C977" t="s">
        <v>5710</v>
      </c>
      <c r="D977" t="s">
        <v>7856</v>
      </c>
      <c r="E977" t="s">
        <v>9650</v>
      </c>
    </row>
    <row r="978" spans="1:5" ht="15.6" x14ac:dyDescent="0.3">
      <c r="A978" s="1" t="s">
        <v>1394</v>
      </c>
      <c r="B978" s="1" t="s">
        <v>3359</v>
      </c>
      <c r="C978" t="s">
        <v>5711</v>
      </c>
      <c r="D978" t="s">
        <v>7857</v>
      </c>
      <c r="E978" t="s">
        <v>9204</v>
      </c>
    </row>
    <row r="979" spans="1:5" ht="15.6" x14ac:dyDescent="0.3">
      <c r="A979" s="1" t="s">
        <v>1393</v>
      </c>
      <c r="B979" s="1" t="s">
        <v>3360</v>
      </c>
      <c r="C979" t="s">
        <v>5712</v>
      </c>
      <c r="D979" t="s">
        <v>7343</v>
      </c>
      <c r="E979" t="s">
        <v>9651</v>
      </c>
    </row>
    <row r="980" spans="1:5" ht="15.6" x14ac:dyDescent="0.3">
      <c r="A980" s="1" t="s">
        <v>1392</v>
      </c>
      <c r="B980" s="1" t="s">
        <v>3361</v>
      </c>
      <c r="C980" t="s">
        <v>5713</v>
      </c>
      <c r="D980" t="s">
        <v>7858</v>
      </c>
      <c r="E980" t="s">
        <v>9652</v>
      </c>
    </row>
    <row r="981" spans="1:5" ht="15.6" x14ac:dyDescent="0.3">
      <c r="A981" s="1" t="s">
        <v>1391</v>
      </c>
      <c r="B981" s="1" t="s">
        <v>3362</v>
      </c>
      <c r="C981" t="s">
        <v>5714</v>
      </c>
      <c r="D981" t="s">
        <v>7277</v>
      </c>
      <c r="E981" t="s">
        <v>9653</v>
      </c>
    </row>
    <row r="982" spans="1:5" ht="15.6" x14ac:dyDescent="0.3">
      <c r="A982" s="1" t="s">
        <v>1390</v>
      </c>
      <c r="B982" s="1" t="s">
        <v>3363</v>
      </c>
      <c r="C982" t="s">
        <v>5715</v>
      </c>
      <c r="D982" t="s">
        <v>7859</v>
      </c>
      <c r="E982" t="s">
        <v>9654</v>
      </c>
    </row>
    <row r="983" spans="1:5" ht="15.6" x14ac:dyDescent="0.3">
      <c r="A983" s="1" t="s">
        <v>1389</v>
      </c>
      <c r="B983" s="1" t="s">
        <v>3364</v>
      </c>
      <c r="C983" t="s">
        <v>5716</v>
      </c>
      <c r="D983" t="s">
        <v>7860</v>
      </c>
      <c r="E983" t="s">
        <v>9655</v>
      </c>
    </row>
    <row r="984" spans="1:5" ht="15.6" x14ac:dyDescent="0.3">
      <c r="A984" s="1" t="s">
        <v>1388</v>
      </c>
      <c r="B984" s="1" t="s">
        <v>3365</v>
      </c>
      <c r="C984" t="s">
        <v>5717</v>
      </c>
      <c r="D984" t="s">
        <v>7282</v>
      </c>
      <c r="E984" t="s">
        <v>9656</v>
      </c>
    </row>
    <row r="985" spans="1:5" ht="15.6" x14ac:dyDescent="0.3">
      <c r="A985" s="1" t="s">
        <v>1387</v>
      </c>
      <c r="B985" s="1" t="s">
        <v>3366</v>
      </c>
      <c r="C985" t="s">
        <v>5718</v>
      </c>
      <c r="D985" t="s">
        <v>7861</v>
      </c>
      <c r="E985" t="s">
        <v>9657</v>
      </c>
    </row>
    <row r="986" spans="1:5" ht="15.6" x14ac:dyDescent="0.3">
      <c r="A986" s="1" t="s">
        <v>1386</v>
      </c>
      <c r="B986" s="1" t="s">
        <v>3367</v>
      </c>
      <c r="C986" t="s">
        <v>5719</v>
      </c>
      <c r="D986" t="s">
        <v>7862</v>
      </c>
      <c r="E986" t="s">
        <v>9658</v>
      </c>
    </row>
    <row r="987" spans="1:5" ht="15.6" x14ac:dyDescent="0.3">
      <c r="A987" s="1" t="s">
        <v>1385</v>
      </c>
      <c r="B987" s="1" t="s">
        <v>3368</v>
      </c>
      <c r="C987" t="s">
        <v>5720</v>
      </c>
      <c r="D987" t="s">
        <v>7863</v>
      </c>
      <c r="E987" t="s">
        <v>9659</v>
      </c>
    </row>
    <row r="988" spans="1:5" ht="15.6" x14ac:dyDescent="0.3">
      <c r="A988" s="1" t="s">
        <v>1384</v>
      </c>
      <c r="B988" s="1" t="s">
        <v>3369</v>
      </c>
      <c r="C988" t="s">
        <v>5721</v>
      </c>
      <c r="D988" t="s">
        <v>7302</v>
      </c>
      <c r="E988" t="s">
        <v>8890</v>
      </c>
    </row>
    <row r="989" spans="1:5" ht="15.6" x14ac:dyDescent="0.3">
      <c r="A989" s="1" t="s">
        <v>1383</v>
      </c>
      <c r="B989" s="1" t="s">
        <v>3370</v>
      </c>
      <c r="C989" t="s">
        <v>5722</v>
      </c>
      <c r="D989" t="s">
        <v>7864</v>
      </c>
      <c r="E989" t="s">
        <v>9660</v>
      </c>
    </row>
    <row r="990" spans="1:5" ht="15.6" x14ac:dyDescent="0.3">
      <c r="A990" s="1" t="s">
        <v>1382</v>
      </c>
      <c r="B990" s="1" t="s">
        <v>3371</v>
      </c>
      <c r="C990" t="s">
        <v>5723</v>
      </c>
      <c r="D990" t="s">
        <v>7865</v>
      </c>
      <c r="E990" t="s">
        <v>9661</v>
      </c>
    </row>
    <row r="991" spans="1:5" ht="15.6" x14ac:dyDescent="0.3">
      <c r="A991" s="1" t="s">
        <v>1381</v>
      </c>
      <c r="B991" s="1" t="s">
        <v>3372</v>
      </c>
      <c r="C991" t="s">
        <v>5724</v>
      </c>
      <c r="D991" t="s">
        <v>7149</v>
      </c>
      <c r="E991" t="s">
        <v>9662</v>
      </c>
    </row>
    <row r="992" spans="1:5" ht="15.6" x14ac:dyDescent="0.3">
      <c r="A992" s="1" t="s">
        <v>1380</v>
      </c>
      <c r="B992" s="1" t="s">
        <v>3373</v>
      </c>
      <c r="C992" t="s">
        <v>5725</v>
      </c>
      <c r="D992" t="s">
        <v>7866</v>
      </c>
      <c r="E992" t="s">
        <v>9663</v>
      </c>
    </row>
    <row r="993" spans="1:5" ht="15.6" x14ac:dyDescent="0.3">
      <c r="A993" s="1" t="s">
        <v>1379</v>
      </c>
      <c r="B993" s="1" t="s">
        <v>3374</v>
      </c>
      <c r="C993" t="s">
        <v>5726</v>
      </c>
      <c r="D993" t="s">
        <v>7867</v>
      </c>
      <c r="E993" t="s">
        <v>8836</v>
      </c>
    </row>
    <row r="994" spans="1:5" ht="15.6" x14ac:dyDescent="0.3">
      <c r="A994" s="1" t="s">
        <v>1378</v>
      </c>
      <c r="B994" s="1" t="s">
        <v>3375</v>
      </c>
      <c r="C994" t="s">
        <v>5727</v>
      </c>
      <c r="D994" t="s">
        <v>7868</v>
      </c>
      <c r="E994" t="s">
        <v>9664</v>
      </c>
    </row>
    <row r="995" spans="1:5" ht="15.6" x14ac:dyDescent="0.3">
      <c r="A995" s="1" t="s">
        <v>1377</v>
      </c>
      <c r="B995" s="1" t="s">
        <v>3376</v>
      </c>
      <c r="C995" t="s">
        <v>5728</v>
      </c>
      <c r="D995" t="s">
        <v>7869</v>
      </c>
      <c r="E995" t="s">
        <v>9665</v>
      </c>
    </row>
    <row r="996" spans="1:5" ht="15.6" x14ac:dyDescent="0.3">
      <c r="A996" s="1" t="s">
        <v>1376</v>
      </c>
      <c r="B996" s="1" t="s">
        <v>3377</v>
      </c>
      <c r="C996" t="s">
        <v>5729</v>
      </c>
      <c r="D996" t="s">
        <v>7870</v>
      </c>
      <c r="E996" t="s">
        <v>8789</v>
      </c>
    </row>
    <row r="997" spans="1:5" ht="15.6" x14ac:dyDescent="0.3">
      <c r="A997" s="1" t="s">
        <v>1375</v>
      </c>
      <c r="B997" s="1" t="s">
        <v>3378</v>
      </c>
      <c r="C997" t="s">
        <v>5730</v>
      </c>
      <c r="D997" t="s">
        <v>7871</v>
      </c>
      <c r="E997" t="s">
        <v>9666</v>
      </c>
    </row>
    <row r="998" spans="1:5" ht="15.6" x14ac:dyDescent="0.3">
      <c r="A998" s="1" t="s">
        <v>1374</v>
      </c>
      <c r="B998" s="1" t="s">
        <v>3379</v>
      </c>
      <c r="C998" t="s">
        <v>5731</v>
      </c>
      <c r="D998" t="s">
        <v>7872</v>
      </c>
      <c r="E998" t="s">
        <v>8772</v>
      </c>
    </row>
    <row r="999" spans="1:5" ht="15.6" x14ac:dyDescent="0.3">
      <c r="A999" s="1" t="s">
        <v>1373</v>
      </c>
      <c r="B999" s="1" t="s">
        <v>3380</v>
      </c>
      <c r="C999" t="s">
        <v>5732</v>
      </c>
      <c r="D999" t="s">
        <v>7687</v>
      </c>
      <c r="E999" t="s">
        <v>9667</v>
      </c>
    </row>
    <row r="1000" spans="1:5" ht="15.6" x14ac:dyDescent="0.3">
      <c r="A1000" s="1" t="s">
        <v>1372</v>
      </c>
      <c r="B1000" s="1" t="s">
        <v>3381</v>
      </c>
      <c r="C1000" t="s">
        <v>5733</v>
      </c>
      <c r="D1000" t="s">
        <v>7873</v>
      </c>
      <c r="E1000" t="s">
        <v>9271</v>
      </c>
    </row>
    <row r="1001" spans="1:5" ht="15.6" x14ac:dyDescent="0.3">
      <c r="A1001" s="1" t="s">
        <v>1371</v>
      </c>
      <c r="B1001" s="1" t="s">
        <v>3382</v>
      </c>
      <c r="C1001" t="s">
        <v>5734</v>
      </c>
      <c r="D1001" t="s">
        <v>7874</v>
      </c>
      <c r="E1001" t="s">
        <v>9668</v>
      </c>
    </row>
    <row r="1002" spans="1:5" ht="15.6" x14ac:dyDescent="0.3">
      <c r="A1002" s="1" t="s">
        <v>1370</v>
      </c>
      <c r="B1002" s="1" t="s">
        <v>3383</v>
      </c>
      <c r="C1002" t="s">
        <v>5735</v>
      </c>
      <c r="D1002" t="s">
        <v>7151</v>
      </c>
      <c r="E1002" t="s">
        <v>9669</v>
      </c>
    </row>
    <row r="1003" spans="1:5" ht="15.6" x14ac:dyDescent="0.3">
      <c r="A1003" s="1" t="s">
        <v>1369</v>
      </c>
      <c r="B1003" s="1" t="s">
        <v>3384</v>
      </c>
      <c r="C1003" t="s">
        <v>5736</v>
      </c>
      <c r="D1003" t="s">
        <v>7875</v>
      </c>
      <c r="E1003" t="s">
        <v>9670</v>
      </c>
    </row>
    <row r="1004" spans="1:5" ht="15.6" x14ac:dyDescent="0.3">
      <c r="A1004" s="1" t="s">
        <v>1368</v>
      </c>
      <c r="B1004" s="1" t="s">
        <v>3385</v>
      </c>
      <c r="C1004" t="s">
        <v>5737</v>
      </c>
      <c r="D1004" t="s">
        <v>7876</v>
      </c>
      <c r="E1004" t="s">
        <v>9671</v>
      </c>
    </row>
    <row r="1005" spans="1:5" ht="15.6" x14ac:dyDescent="0.3">
      <c r="A1005" s="1" t="s">
        <v>1367</v>
      </c>
      <c r="B1005" s="1" t="s">
        <v>3386</v>
      </c>
      <c r="C1005" t="s">
        <v>5738</v>
      </c>
      <c r="D1005" t="s">
        <v>7877</v>
      </c>
      <c r="E1005" t="s">
        <v>9672</v>
      </c>
    </row>
    <row r="1006" spans="1:5" ht="15.6" x14ac:dyDescent="0.3">
      <c r="A1006" s="1" t="s">
        <v>1366</v>
      </c>
      <c r="B1006" s="1" t="s">
        <v>3387</v>
      </c>
      <c r="C1006" t="s">
        <v>5739</v>
      </c>
      <c r="D1006" t="s">
        <v>7163</v>
      </c>
      <c r="E1006" t="s">
        <v>9673</v>
      </c>
    </row>
    <row r="1007" spans="1:5" ht="15.6" x14ac:dyDescent="0.3">
      <c r="A1007" s="1" t="s">
        <v>1365</v>
      </c>
      <c r="B1007" s="1" t="s">
        <v>3388</v>
      </c>
      <c r="C1007" t="s">
        <v>5740</v>
      </c>
      <c r="D1007" t="s">
        <v>7878</v>
      </c>
      <c r="E1007" t="s">
        <v>9674</v>
      </c>
    </row>
    <row r="1008" spans="1:5" ht="15.6" x14ac:dyDescent="0.3">
      <c r="A1008" s="1" t="s">
        <v>1364</v>
      </c>
      <c r="B1008" s="1" t="s">
        <v>3389</v>
      </c>
      <c r="C1008" t="s">
        <v>5741</v>
      </c>
      <c r="D1008" t="s">
        <v>7879</v>
      </c>
      <c r="E1008" t="s">
        <v>9003</v>
      </c>
    </row>
    <row r="1009" spans="1:5" ht="15.6" x14ac:dyDescent="0.3">
      <c r="A1009" s="1" t="s">
        <v>1363</v>
      </c>
      <c r="B1009" s="1" t="s">
        <v>3390</v>
      </c>
      <c r="C1009" t="s">
        <v>5742</v>
      </c>
      <c r="D1009" t="s">
        <v>7880</v>
      </c>
      <c r="E1009" t="s">
        <v>9675</v>
      </c>
    </row>
    <row r="1010" spans="1:5" ht="15.6" x14ac:dyDescent="0.3">
      <c r="A1010" s="1" t="s">
        <v>1362</v>
      </c>
      <c r="B1010" s="1" t="s">
        <v>3391</v>
      </c>
      <c r="C1010" t="s">
        <v>5743</v>
      </c>
      <c r="D1010" t="s">
        <v>7245</v>
      </c>
      <c r="E1010" t="s">
        <v>9676</v>
      </c>
    </row>
    <row r="1011" spans="1:5" ht="15.6" x14ac:dyDescent="0.3">
      <c r="A1011" s="1" t="s">
        <v>1361</v>
      </c>
      <c r="B1011" s="1" t="s">
        <v>3392</v>
      </c>
      <c r="C1011" t="s">
        <v>5744</v>
      </c>
      <c r="D1011" t="s">
        <v>7881</v>
      </c>
      <c r="E1011" t="s">
        <v>9677</v>
      </c>
    </row>
    <row r="1012" spans="1:5" ht="15.6" x14ac:dyDescent="0.3">
      <c r="A1012" s="1" t="s">
        <v>1360</v>
      </c>
      <c r="B1012" s="1" t="s">
        <v>3393</v>
      </c>
      <c r="C1012" t="s">
        <v>5745</v>
      </c>
      <c r="D1012" t="s">
        <v>7299</v>
      </c>
      <c r="E1012" t="s">
        <v>9678</v>
      </c>
    </row>
    <row r="1013" spans="1:5" ht="15.6" x14ac:dyDescent="0.3">
      <c r="A1013" s="1" t="s">
        <v>1359</v>
      </c>
      <c r="B1013" s="1" t="s">
        <v>3394</v>
      </c>
      <c r="C1013" t="s">
        <v>5746</v>
      </c>
      <c r="D1013" t="s">
        <v>7882</v>
      </c>
      <c r="E1013" t="s">
        <v>9679</v>
      </c>
    </row>
    <row r="1014" spans="1:5" ht="15.6" x14ac:dyDescent="0.3">
      <c r="A1014" s="1" t="s">
        <v>1358</v>
      </c>
      <c r="B1014" s="1" t="s">
        <v>3395</v>
      </c>
      <c r="C1014" t="s">
        <v>5747</v>
      </c>
      <c r="D1014" t="s">
        <v>7883</v>
      </c>
      <c r="E1014" t="s">
        <v>9680</v>
      </c>
    </row>
    <row r="1015" spans="1:5" ht="15.6" x14ac:dyDescent="0.3">
      <c r="A1015" s="1" t="s">
        <v>1357</v>
      </c>
      <c r="B1015" s="1" t="s">
        <v>3396</v>
      </c>
      <c r="C1015" t="s">
        <v>5748</v>
      </c>
      <c r="D1015" t="s">
        <v>7884</v>
      </c>
      <c r="E1015" t="s">
        <v>9681</v>
      </c>
    </row>
    <row r="1016" spans="1:5" ht="15.6" x14ac:dyDescent="0.3">
      <c r="A1016" s="1" t="s">
        <v>1356</v>
      </c>
      <c r="B1016" s="1" t="s">
        <v>3397</v>
      </c>
      <c r="C1016" t="s">
        <v>5749</v>
      </c>
      <c r="D1016" t="s">
        <v>7221</v>
      </c>
      <c r="E1016" t="s">
        <v>9682</v>
      </c>
    </row>
    <row r="1017" spans="1:5" ht="15.6" x14ac:dyDescent="0.3">
      <c r="A1017" s="1" t="s">
        <v>1355</v>
      </c>
      <c r="B1017" s="1" t="s">
        <v>3398</v>
      </c>
      <c r="C1017" t="s">
        <v>5750</v>
      </c>
      <c r="D1017" t="s">
        <v>7885</v>
      </c>
      <c r="E1017" t="s">
        <v>9683</v>
      </c>
    </row>
    <row r="1018" spans="1:5" ht="15.6" x14ac:dyDescent="0.3">
      <c r="A1018" s="1" t="s">
        <v>1354</v>
      </c>
      <c r="B1018" s="1" t="s">
        <v>3399</v>
      </c>
      <c r="C1018" t="s">
        <v>5751</v>
      </c>
      <c r="D1018" t="s">
        <v>7886</v>
      </c>
      <c r="E1018" t="s">
        <v>9684</v>
      </c>
    </row>
    <row r="1019" spans="1:5" ht="15.6" x14ac:dyDescent="0.3">
      <c r="A1019" s="1" t="s">
        <v>1353</v>
      </c>
      <c r="B1019" s="1" t="s">
        <v>3400</v>
      </c>
      <c r="C1019" t="s">
        <v>5752</v>
      </c>
      <c r="D1019" t="s">
        <v>7887</v>
      </c>
      <c r="E1019" t="s">
        <v>9685</v>
      </c>
    </row>
    <row r="1020" spans="1:5" ht="15.6" x14ac:dyDescent="0.3">
      <c r="A1020" s="1" t="s">
        <v>1352</v>
      </c>
      <c r="B1020" s="1" t="s">
        <v>3401</v>
      </c>
      <c r="C1020" t="s">
        <v>5753</v>
      </c>
      <c r="D1020" t="s">
        <v>7082</v>
      </c>
      <c r="E1020" t="s">
        <v>9686</v>
      </c>
    </row>
    <row r="1021" spans="1:5" ht="15.6" x14ac:dyDescent="0.3">
      <c r="A1021" s="1" t="s">
        <v>1351</v>
      </c>
      <c r="B1021" s="1" t="s">
        <v>3402</v>
      </c>
      <c r="C1021" t="s">
        <v>5754</v>
      </c>
      <c r="D1021" t="s">
        <v>7888</v>
      </c>
      <c r="E1021" t="s">
        <v>9687</v>
      </c>
    </row>
    <row r="1022" spans="1:5" ht="15.6" x14ac:dyDescent="0.3">
      <c r="A1022" s="1" t="s">
        <v>1350</v>
      </c>
      <c r="B1022" s="1" t="s">
        <v>3403</v>
      </c>
      <c r="C1022" t="s">
        <v>5755</v>
      </c>
      <c r="D1022" t="s">
        <v>7889</v>
      </c>
      <c r="E1022" t="s">
        <v>9688</v>
      </c>
    </row>
    <row r="1023" spans="1:5" ht="15.6" x14ac:dyDescent="0.3">
      <c r="A1023" s="1" t="s">
        <v>1349</v>
      </c>
      <c r="B1023" s="1" t="s">
        <v>3404</v>
      </c>
      <c r="C1023" t="s">
        <v>5756</v>
      </c>
      <c r="D1023" t="s">
        <v>7890</v>
      </c>
      <c r="E1023" t="s">
        <v>9689</v>
      </c>
    </row>
    <row r="1024" spans="1:5" ht="15.6" x14ac:dyDescent="0.3">
      <c r="A1024" s="1" t="s">
        <v>1348</v>
      </c>
      <c r="B1024" s="1" t="s">
        <v>3405</v>
      </c>
      <c r="C1024" t="s">
        <v>5757</v>
      </c>
      <c r="D1024" t="s">
        <v>7891</v>
      </c>
      <c r="E1024" t="s">
        <v>9690</v>
      </c>
    </row>
    <row r="1025" spans="1:5" ht="15.6" x14ac:dyDescent="0.3">
      <c r="A1025" s="1" t="s">
        <v>1347</v>
      </c>
      <c r="B1025" s="1" t="s">
        <v>3406</v>
      </c>
      <c r="C1025" t="s">
        <v>5758</v>
      </c>
      <c r="D1025" t="s">
        <v>7892</v>
      </c>
      <c r="E1025" t="s">
        <v>9691</v>
      </c>
    </row>
    <row r="1026" spans="1:5" ht="15.6" x14ac:dyDescent="0.3">
      <c r="A1026" s="1" t="s">
        <v>1346</v>
      </c>
      <c r="B1026" s="1" t="s">
        <v>3407</v>
      </c>
      <c r="C1026" t="s">
        <v>5759</v>
      </c>
      <c r="D1026" t="s">
        <v>7086</v>
      </c>
      <c r="E1026" t="s">
        <v>9692</v>
      </c>
    </row>
    <row r="1027" spans="1:5" ht="15.6" x14ac:dyDescent="0.3">
      <c r="A1027" s="1" t="s">
        <v>1345</v>
      </c>
      <c r="B1027" s="1" t="s">
        <v>3408</v>
      </c>
      <c r="C1027" t="s">
        <v>5760</v>
      </c>
      <c r="D1027" t="s">
        <v>7893</v>
      </c>
      <c r="E1027" t="s">
        <v>9693</v>
      </c>
    </row>
    <row r="1028" spans="1:5" ht="15.6" x14ac:dyDescent="0.3">
      <c r="A1028" s="1" t="s">
        <v>1344</v>
      </c>
      <c r="B1028" s="1" t="s">
        <v>3409</v>
      </c>
      <c r="C1028" t="s">
        <v>5761</v>
      </c>
      <c r="D1028" t="s">
        <v>7894</v>
      </c>
      <c r="E1028" t="s">
        <v>9694</v>
      </c>
    </row>
    <row r="1029" spans="1:5" ht="15.6" x14ac:dyDescent="0.3">
      <c r="A1029" s="1" t="s">
        <v>1343</v>
      </c>
      <c r="B1029" s="1" t="s">
        <v>3410</v>
      </c>
      <c r="C1029" t="s">
        <v>5762</v>
      </c>
      <c r="D1029" t="s">
        <v>7893</v>
      </c>
      <c r="E1029" t="s">
        <v>9695</v>
      </c>
    </row>
    <row r="1030" spans="1:5" ht="15.6" x14ac:dyDescent="0.3">
      <c r="A1030" s="1" t="s">
        <v>1342</v>
      </c>
      <c r="B1030" s="1" t="s">
        <v>3411</v>
      </c>
      <c r="C1030" t="s">
        <v>5763</v>
      </c>
      <c r="D1030" t="s">
        <v>7151</v>
      </c>
      <c r="E1030" t="s">
        <v>9696</v>
      </c>
    </row>
    <row r="1031" spans="1:5" ht="15.6" x14ac:dyDescent="0.3">
      <c r="A1031" s="1" t="s">
        <v>1341</v>
      </c>
      <c r="B1031" s="1" t="s">
        <v>3412</v>
      </c>
      <c r="C1031" t="s">
        <v>5764</v>
      </c>
      <c r="D1031" t="s">
        <v>7895</v>
      </c>
      <c r="E1031" t="s">
        <v>9697</v>
      </c>
    </row>
    <row r="1032" spans="1:5" ht="15.6" x14ac:dyDescent="0.3">
      <c r="A1032" s="1" t="s">
        <v>1340</v>
      </c>
      <c r="B1032" s="1" t="s">
        <v>3413</v>
      </c>
      <c r="C1032" t="s">
        <v>5765</v>
      </c>
      <c r="D1032" t="s">
        <v>7896</v>
      </c>
      <c r="E1032" t="s">
        <v>9698</v>
      </c>
    </row>
    <row r="1033" spans="1:5" ht="15.6" x14ac:dyDescent="0.3">
      <c r="A1033" s="1" t="s">
        <v>1339</v>
      </c>
      <c r="B1033" s="1" t="s">
        <v>3414</v>
      </c>
      <c r="C1033" t="s">
        <v>5766</v>
      </c>
      <c r="D1033" t="s">
        <v>7897</v>
      </c>
      <c r="E1033" t="s">
        <v>9699</v>
      </c>
    </row>
    <row r="1034" spans="1:5" ht="15.6" x14ac:dyDescent="0.3">
      <c r="A1034" s="1" t="s">
        <v>1338</v>
      </c>
      <c r="B1034" s="1" t="s">
        <v>3415</v>
      </c>
      <c r="C1034" t="s">
        <v>5767</v>
      </c>
      <c r="D1034" t="s">
        <v>7898</v>
      </c>
      <c r="E1034" t="s">
        <v>9370</v>
      </c>
    </row>
    <row r="1035" spans="1:5" ht="15.6" x14ac:dyDescent="0.3">
      <c r="A1035" s="1" t="s">
        <v>1337</v>
      </c>
      <c r="B1035" s="1" t="s">
        <v>3416</v>
      </c>
      <c r="C1035" t="s">
        <v>5768</v>
      </c>
      <c r="D1035" t="s">
        <v>7411</v>
      </c>
      <c r="E1035" t="s">
        <v>9700</v>
      </c>
    </row>
    <row r="1036" spans="1:5" ht="15.6" x14ac:dyDescent="0.3">
      <c r="A1036" s="1" t="s">
        <v>1336</v>
      </c>
      <c r="B1036" s="1" t="s">
        <v>3417</v>
      </c>
      <c r="C1036" t="s">
        <v>5769</v>
      </c>
      <c r="D1036" t="s">
        <v>7899</v>
      </c>
      <c r="E1036" t="s">
        <v>9701</v>
      </c>
    </row>
    <row r="1037" spans="1:5" ht="15.6" x14ac:dyDescent="0.3">
      <c r="A1037" s="1" t="s">
        <v>1335</v>
      </c>
      <c r="B1037" s="1" t="s">
        <v>3418</v>
      </c>
      <c r="C1037" t="s">
        <v>5770</v>
      </c>
      <c r="D1037" t="s">
        <v>7544</v>
      </c>
      <c r="E1037" t="s">
        <v>9702</v>
      </c>
    </row>
    <row r="1038" spans="1:5" ht="15.6" x14ac:dyDescent="0.3">
      <c r="A1038" s="1" t="s">
        <v>1334</v>
      </c>
      <c r="B1038" s="1" t="s">
        <v>3419</v>
      </c>
      <c r="C1038" t="s">
        <v>5771</v>
      </c>
      <c r="D1038" t="s">
        <v>7137</v>
      </c>
      <c r="E1038" t="s">
        <v>9703</v>
      </c>
    </row>
    <row r="1039" spans="1:5" ht="15.6" x14ac:dyDescent="0.3">
      <c r="A1039" s="1" t="s">
        <v>1333</v>
      </c>
      <c r="B1039" s="1" t="s">
        <v>3420</v>
      </c>
      <c r="C1039" t="s">
        <v>5772</v>
      </c>
      <c r="D1039" t="s">
        <v>7900</v>
      </c>
      <c r="E1039" t="s">
        <v>9704</v>
      </c>
    </row>
    <row r="1040" spans="1:5" ht="15.6" x14ac:dyDescent="0.3">
      <c r="A1040" s="1" t="s">
        <v>1332</v>
      </c>
      <c r="B1040" s="1" t="s">
        <v>3421</v>
      </c>
      <c r="C1040" t="s">
        <v>5773</v>
      </c>
      <c r="D1040" t="s">
        <v>7901</v>
      </c>
      <c r="E1040" t="s">
        <v>9705</v>
      </c>
    </row>
    <row r="1041" spans="1:5" ht="15.6" x14ac:dyDescent="0.3">
      <c r="A1041" s="1" t="s">
        <v>1331</v>
      </c>
      <c r="B1041" s="1" t="s">
        <v>3422</v>
      </c>
      <c r="C1041" t="s">
        <v>5774</v>
      </c>
      <c r="D1041" t="s">
        <v>7902</v>
      </c>
      <c r="E1041" t="s">
        <v>9706</v>
      </c>
    </row>
    <row r="1042" spans="1:5" ht="15.6" x14ac:dyDescent="0.3">
      <c r="A1042" s="1" t="s">
        <v>1330</v>
      </c>
      <c r="B1042" s="1" t="s">
        <v>3423</v>
      </c>
      <c r="C1042" t="s">
        <v>5775</v>
      </c>
      <c r="D1042" t="s">
        <v>7223</v>
      </c>
      <c r="E1042" t="s">
        <v>9397</v>
      </c>
    </row>
    <row r="1043" spans="1:5" ht="15.6" x14ac:dyDescent="0.3">
      <c r="A1043" s="1" t="s">
        <v>1329</v>
      </c>
      <c r="B1043" s="1" t="s">
        <v>3424</v>
      </c>
      <c r="C1043" t="s">
        <v>5776</v>
      </c>
      <c r="D1043" t="s">
        <v>7903</v>
      </c>
      <c r="E1043" t="s">
        <v>9707</v>
      </c>
    </row>
    <row r="1044" spans="1:5" ht="15.6" x14ac:dyDescent="0.3">
      <c r="A1044" s="1" t="s">
        <v>1328</v>
      </c>
      <c r="B1044" s="1" t="s">
        <v>3425</v>
      </c>
      <c r="C1044" t="s">
        <v>5777</v>
      </c>
      <c r="D1044" t="s">
        <v>7904</v>
      </c>
      <c r="E1044" t="s">
        <v>9708</v>
      </c>
    </row>
    <row r="1045" spans="1:5" ht="15.6" x14ac:dyDescent="0.3">
      <c r="A1045" s="1" t="s">
        <v>1327</v>
      </c>
      <c r="B1045" s="1" t="s">
        <v>3426</v>
      </c>
      <c r="C1045" t="s">
        <v>5778</v>
      </c>
      <c r="D1045" t="s">
        <v>7905</v>
      </c>
      <c r="E1045" t="s">
        <v>9709</v>
      </c>
    </row>
    <row r="1046" spans="1:5" ht="15.6" x14ac:dyDescent="0.3">
      <c r="A1046" s="1" t="s">
        <v>1326</v>
      </c>
      <c r="B1046" s="1" t="s">
        <v>3427</v>
      </c>
      <c r="C1046" t="s">
        <v>5779</v>
      </c>
      <c r="D1046" t="s">
        <v>7906</v>
      </c>
      <c r="E1046" t="s">
        <v>9710</v>
      </c>
    </row>
    <row r="1047" spans="1:5" ht="15.6" x14ac:dyDescent="0.3">
      <c r="A1047" s="1" t="s">
        <v>1325</v>
      </c>
      <c r="B1047" s="1" t="s">
        <v>3428</v>
      </c>
      <c r="C1047" t="s">
        <v>5780</v>
      </c>
      <c r="D1047" t="s">
        <v>7907</v>
      </c>
      <c r="E1047" t="s">
        <v>9711</v>
      </c>
    </row>
    <row r="1048" spans="1:5" ht="15.6" x14ac:dyDescent="0.3">
      <c r="A1048" s="1" t="s">
        <v>1324</v>
      </c>
      <c r="B1048" s="1" t="s">
        <v>3429</v>
      </c>
      <c r="C1048" t="s">
        <v>5781</v>
      </c>
      <c r="D1048" t="s">
        <v>7893</v>
      </c>
      <c r="E1048" t="s">
        <v>9712</v>
      </c>
    </row>
    <row r="1049" spans="1:5" ht="15.6" x14ac:dyDescent="0.3">
      <c r="A1049" s="1" t="s">
        <v>1323</v>
      </c>
      <c r="B1049" s="1" t="s">
        <v>3430</v>
      </c>
      <c r="C1049" t="s">
        <v>5782</v>
      </c>
      <c r="D1049" t="s">
        <v>7908</v>
      </c>
      <c r="E1049" t="s">
        <v>9713</v>
      </c>
    </row>
    <row r="1050" spans="1:5" ht="15.6" x14ac:dyDescent="0.3">
      <c r="A1050" s="1" t="s">
        <v>1322</v>
      </c>
      <c r="B1050" s="1" t="s">
        <v>3431</v>
      </c>
      <c r="C1050" t="s">
        <v>5783</v>
      </c>
      <c r="D1050" t="s">
        <v>7909</v>
      </c>
      <c r="E1050" t="s">
        <v>9714</v>
      </c>
    </row>
    <row r="1051" spans="1:5" ht="15.6" x14ac:dyDescent="0.3">
      <c r="A1051" s="1" t="s">
        <v>1321</v>
      </c>
      <c r="B1051" s="1" t="s">
        <v>3432</v>
      </c>
      <c r="C1051" t="s">
        <v>5784</v>
      </c>
      <c r="D1051" t="s">
        <v>7650</v>
      </c>
      <c r="E1051" t="s">
        <v>9715</v>
      </c>
    </row>
    <row r="1052" spans="1:5" ht="15.6" x14ac:dyDescent="0.3">
      <c r="A1052" s="1" t="s">
        <v>1320</v>
      </c>
      <c r="B1052" s="1" t="s">
        <v>3433</v>
      </c>
      <c r="C1052" t="s">
        <v>5785</v>
      </c>
      <c r="D1052" t="s">
        <v>7910</v>
      </c>
      <c r="E1052" t="s">
        <v>9716</v>
      </c>
    </row>
    <row r="1053" spans="1:5" ht="15.6" x14ac:dyDescent="0.3">
      <c r="A1053" s="1" t="s">
        <v>1319</v>
      </c>
      <c r="B1053" s="1" t="s">
        <v>3434</v>
      </c>
      <c r="C1053" t="s">
        <v>5786</v>
      </c>
      <c r="D1053" t="s">
        <v>7911</v>
      </c>
      <c r="E1053" t="s">
        <v>9717</v>
      </c>
    </row>
    <row r="1054" spans="1:5" ht="15.6" x14ac:dyDescent="0.3">
      <c r="A1054" s="1" t="s">
        <v>1318</v>
      </c>
      <c r="B1054" s="1" t="s">
        <v>3435</v>
      </c>
      <c r="C1054" t="s">
        <v>5787</v>
      </c>
      <c r="D1054" t="s">
        <v>7912</v>
      </c>
      <c r="E1054" t="s">
        <v>9718</v>
      </c>
    </row>
    <row r="1055" spans="1:5" ht="15.6" x14ac:dyDescent="0.3">
      <c r="A1055" s="1" t="s">
        <v>1317</v>
      </c>
      <c r="B1055" s="1" t="s">
        <v>3436</v>
      </c>
      <c r="C1055" t="s">
        <v>5788</v>
      </c>
      <c r="D1055" t="s">
        <v>7913</v>
      </c>
      <c r="E1055" t="s">
        <v>9719</v>
      </c>
    </row>
    <row r="1056" spans="1:5" ht="15.6" x14ac:dyDescent="0.3">
      <c r="A1056" s="1" t="s">
        <v>1316</v>
      </c>
      <c r="B1056" s="1" t="s">
        <v>3437</v>
      </c>
      <c r="C1056" t="s">
        <v>5789</v>
      </c>
      <c r="D1056" t="s">
        <v>7778</v>
      </c>
      <c r="E1056" t="s">
        <v>9720</v>
      </c>
    </row>
    <row r="1057" spans="1:5" ht="15.6" x14ac:dyDescent="0.3">
      <c r="A1057" s="1" t="s">
        <v>1315</v>
      </c>
      <c r="B1057" s="1" t="s">
        <v>3438</v>
      </c>
      <c r="C1057" t="s">
        <v>5790</v>
      </c>
      <c r="D1057" t="s">
        <v>7914</v>
      </c>
      <c r="E1057" t="s">
        <v>9721</v>
      </c>
    </row>
    <row r="1058" spans="1:5" ht="15.6" x14ac:dyDescent="0.3">
      <c r="A1058" s="1" t="s">
        <v>1314</v>
      </c>
      <c r="B1058" s="1" t="s">
        <v>3439</v>
      </c>
      <c r="C1058" t="s">
        <v>5791</v>
      </c>
      <c r="D1058" t="s">
        <v>7915</v>
      </c>
      <c r="E1058" t="s">
        <v>9662</v>
      </c>
    </row>
    <row r="1059" spans="1:5" ht="15.6" x14ac:dyDescent="0.3">
      <c r="A1059" s="1" t="s">
        <v>1313</v>
      </c>
      <c r="B1059" s="1" t="s">
        <v>3440</v>
      </c>
      <c r="C1059" t="s">
        <v>5792</v>
      </c>
      <c r="D1059" t="s">
        <v>7916</v>
      </c>
      <c r="E1059" t="s">
        <v>9722</v>
      </c>
    </row>
    <row r="1060" spans="1:5" ht="15.6" x14ac:dyDescent="0.3">
      <c r="A1060" s="1" t="s">
        <v>1312</v>
      </c>
      <c r="B1060" s="1" t="s">
        <v>3441</v>
      </c>
      <c r="C1060" t="s">
        <v>5793</v>
      </c>
      <c r="D1060" t="s">
        <v>7260</v>
      </c>
      <c r="E1060" t="s">
        <v>9723</v>
      </c>
    </row>
    <row r="1061" spans="1:5" ht="15.6" x14ac:dyDescent="0.3">
      <c r="A1061" s="1" t="s">
        <v>1311</v>
      </c>
      <c r="B1061" s="1" t="s">
        <v>3442</v>
      </c>
      <c r="C1061" t="s">
        <v>5794</v>
      </c>
      <c r="D1061" t="s">
        <v>7917</v>
      </c>
      <c r="E1061" t="s">
        <v>9724</v>
      </c>
    </row>
    <row r="1062" spans="1:5" ht="15.6" x14ac:dyDescent="0.3">
      <c r="A1062" s="1" t="s">
        <v>1310</v>
      </c>
      <c r="B1062" s="1" t="s">
        <v>3443</v>
      </c>
      <c r="C1062" t="s">
        <v>5795</v>
      </c>
      <c r="D1062" t="s">
        <v>7918</v>
      </c>
      <c r="E1062" t="s">
        <v>9725</v>
      </c>
    </row>
    <row r="1063" spans="1:5" ht="15.6" x14ac:dyDescent="0.3">
      <c r="A1063" s="1" t="s">
        <v>1309</v>
      </c>
      <c r="B1063" s="1" t="s">
        <v>3444</v>
      </c>
      <c r="C1063" t="s">
        <v>4727</v>
      </c>
      <c r="D1063" t="s">
        <v>7062</v>
      </c>
      <c r="E1063" t="s">
        <v>9468</v>
      </c>
    </row>
    <row r="1064" spans="1:5" ht="15.6" x14ac:dyDescent="0.3">
      <c r="A1064" s="1" t="s">
        <v>1308</v>
      </c>
      <c r="B1064" s="1" t="s">
        <v>3445</v>
      </c>
      <c r="C1064" t="s">
        <v>5796</v>
      </c>
      <c r="D1064" t="s">
        <v>7919</v>
      </c>
      <c r="E1064" t="s">
        <v>9726</v>
      </c>
    </row>
    <row r="1065" spans="1:5" ht="15.6" x14ac:dyDescent="0.3">
      <c r="A1065" s="1" t="s">
        <v>1307</v>
      </c>
      <c r="B1065" s="1" t="s">
        <v>3446</v>
      </c>
      <c r="C1065" t="s">
        <v>5797</v>
      </c>
      <c r="D1065" t="s">
        <v>7920</v>
      </c>
      <c r="E1065" t="s">
        <v>9727</v>
      </c>
    </row>
    <row r="1066" spans="1:5" ht="15.6" x14ac:dyDescent="0.3">
      <c r="A1066" s="1" t="s">
        <v>1306</v>
      </c>
      <c r="B1066" s="1" t="s">
        <v>3447</v>
      </c>
      <c r="C1066" t="s">
        <v>5798</v>
      </c>
      <c r="D1066" t="s">
        <v>7921</v>
      </c>
      <c r="E1066" t="s">
        <v>9728</v>
      </c>
    </row>
    <row r="1067" spans="1:5" ht="15.6" x14ac:dyDescent="0.3">
      <c r="A1067" s="1" t="s">
        <v>1305</v>
      </c>
      <c r="B1067" s="1" t="s">
        <v>3448</v>
      </c>
      <c r="C1067" t="s">
        <v>5799</v>
      </c>
      <c r="D1067" t="s">
        <v>7922</v>
      </c>
      <c r="E1067" t="s">
        <v>9729</v>
      </c>
    </row>
    <row r="1068" spans="1:5" ht="15.6" x14ac:dyDescent="0.3">
      <c r="A1068" s="1" t="s">
        <v>1304</v>
      </c>
      <c r="B1068" s="1" t="s">
        <v>3449</v>
      </c>
      <c r="C1068" t="s">
        <v>5800</v>
      </c>
      <c r="D1068" t="s">
        <v>7923</v>
      </c>
      <c r="E1068" t="s">
        <v>9730</v>
      </c>
    </row>
    <row r="1069" spans="1:5" ht="15.6" x14ac:dyDescent="0.3">
      <c r="A1069" s="1" t="s">
        <v>1303</v>
      </c>
      <c r="B1069" s="1" t="s">
        <v>3450</v>
      </c>
      <c r="C1069" t="s">
        <v>5801</v>
      </c>
      <c r="D1069" t="s">
        <v>7081</v>
      </c>
      <c r="E1069" t="s">
        <v>9731</v>
      </c>
    </row>
    <row r="1070" spans="1:5" ht="15.6" x14ac:dyDescent="0.3">
      <c r="A1070" s="1" t="s">
        <v>1302</v>
      </c>
      <c r="B1070" s="1" t="s">
        <v>3451</v>
      </c>
      <c r="C1070" t="s">
        <v>5802</v>
      </c>
      <c r="D1070" t="s">
        <v>7924</v>
      </c>
      <c r="E1070" t="s">
        <v>9476</v>
      </c>
    </row>
    <row r="1071" spans="1:5" ht="15.6" x14ac:dyDescent="0.3">
      <c r="A1071" s="1" t="s">
        <v>1301</v>
      </c>
      <c r="B1071" s="1" t="s">
        <v>3452</v>
      </c>
      <c r="C1071" t="s">
        <v>5803</v>
      </c>
      <c r="D1071" t="s">
        <v>7925</v>
      </c>
      <c r="E1071" t="s">
        <v>9732</v>
      </c>
    </row>
    <row r="1072" spans="1:5" ht="15.6" x14ac:dyDescent="0.3">
      <c r="A1072" s="1" t="s">
        <v>1300</v>
      </c>
      <c r="B1072" s="1" t="s">
        <v>3453</v>
      </c>
      <c r="C1072" t="s">
        <v>5804</v>
      </c>
      <c r="D1072" t="s">
        <v>7379</v>
      </c>
      <c r="E1072" t="s">
        <v>9733</v>
      </c>
    </row>
    <row r="1073" spans="1:5" ht="15.6" x14ac:dyDescent="0.3">
      <c r="A1073" s="1" t="s">
        <v>1299</v>
      </c>
      <c r="B1073" s="1" t="s">
        <v>3454</v>
      </c>
      <c r="C1073" t="s">
        <v>5805</v>
      </c>
      <c r="D1073" t="s">
        <v>7926</v>
      </c>
      <c r="E1073" t="s">
        <v>9734</v>
      </c>
    </row>
    <row r="1074" spans="1:5" ht="15.6" x14ac:dyDescent="0.3">
      <c r="A1074" s="1" t="s">
        <v>1298</v>
      </c>
      <c r="B1074" s="1" t="s">
        <v>3455</v>
      </c>
      <c r="C1074" t="s">
        <v>5806</v>
      </c>
      <c r="D1074" t="s">
        <v>7927</v>
      </c>
      <c r="E1074" t="s">
        <v>9735</v>
      </c>
    </row>
    <row r="1075" spans="1:5" ht="15.6" x14ac:dyDescent="0.3">
      <c r="A1075" s="1" t="s">
        <v>1297</v>
      </c>
      <c r="B1075" s="1" t="s">
        <v>3456</v>
      </c>
      <c r="C1075" t="s">
        <v>5807</v>
      </c>
      <c r="D1075" t="s">
        <v>7209</v>
      </c>
      <c r="E1075" t="s">
        <v>9736</v>
      </c>
    </row>
    <row r="1076" spans="1:5" ht="15.6" x14ac:dyDescent="0.3">
      <c r="A1076" s="1" t="s">
        <v>1296</v>
      </c>
      <c r="B1076" s="1" t="s">
        <v>3457</v>
      </c>
      <c r="C1076" t="s">
        <v>5808</v>
      </c>
      <c r="D1076" t="s">
        <v>7530</v>
      </c>
      <c r="E1076" t="s">
        <v>9737</v>
      </c>
    </row>
    <row r="1077" spans="1:5" ht="15.6" x14ac:dyDescent="0.3">
      <c r="A1077" s="1" t="s">
        <v>1295</v>
      </c>
      <c r="B1077" s="1" t="s">
        <v>3458</v>
      </c>
      <c r="C1077" t="s">
        <v>5809</v>
      </c>
      <c r="D1077" t="s">
        <v>7928</v>
      </c>
      <c r="E1077" t="s">
        <v>9224</v>
      </c>
    </row>
    <row r="1078" spans="1:5" ht="15.6" x14ac:dyDescent="0.3">
      <c r="A1078" s="1" t="s">
        <v>1294</v>
      </c>
      <c r="B1078" s="1" t="s">
        <v>3459</v>
      </c>
      <c r="C1078" t="s">
        <v>5810</v>
      </c>
      <c r="D1078" t="s">
        <v>7929</v>
      </c>
      <c r="E1078" t="s">
        <v>9738</v>
      </c>
    </row>
    <row r="1079" spans="1:5" ht="15.6" x14ac:dyDescent="0.3">
      <c r="A1079" s="1" t="s">
        <v>1293</v>
      </c>
      <c r="B1079" s="1" t="s">
        <v>3460</v>
      </c>
      <c r="C1079" t="s">
        <v>5811</v>
      </c>
      <c r="D1079" t="s">
        <v>7277</v>
      </c>
      <c r="E1079" t="s">
        <v>9739</v>
      </c>
    </row>
    <row r="1080" spans="1:5" ht="15.6" x14ac:dyDescent="0.3">
      <c r="A1080" s="1" t="s">
        <v>1292</v>
      </c>
      <c r="B1080" s="1" t="s">
        <v>3461</v>
      </c>
      <c r="C1080" t="s">
        <v>5812</v>
      </c>
      <c r="D1080" t="s">
        <v>7930</v>
      </c>
      <c r="E1080" t="s">
        <v>9740</v>
      </c>
    </row>
    <row r="1081" spans="1:5" ht="15.6" x14ac:dyDescent="0.3">
      <c r="A1081" s="1" t="s">
        <v>1291</v>
      </c>
      <c r="B1081" s="1" t="s">
        <v>3462</v>
      </c>
      <c r="C1081" t="s">
        <v>5813</v>
      </c>
      <c r="D1081" t="s">
        <v>7931</v>
      </c>
      <c r="E1081" t="s">
        <v>9741</v>
      </c>
    </row>
    <row r="1082" spans="1:5" ht="15.6" x14ac:dyDescent="0.3">
      <c r="A1082" s="1" t="s">
        <v>1290</v>
      </c>
      <c r="B1082" s="1" t="s">
        <v>3463</v>
      </c>
      <c r="C1082" t="s">
        <v>5814</v>
      </c>
      <c r="D1082" t="s">
        <v>7932</v>
      </c>
      <c r="E1082" t="s">
        <v>9742</v>
      </c>
    </row>
    <row r="1083" spans="1:5" ht="15.6" x14ac:dyDescent="0.3">
      <c r="A1083" s="1" t="s">
        <v>1289</v>
      </c>
      <c r="B1083" s="1" t="s">
        <v>3464</v>
      </c>
      <c r="C1083" t="s">
        <v>5815</v>
      </c>
      <c r="D1083" t="s">
        <v>7933</v>
      </c>
      <c r="E1083" t="s">
        <v>9743</v>
      </c>
    </row>
    <row r="1084" spans="1:5" ht="15.6" x14ac:dyDescent="0.3">
      <c r="A1084" s="1" t="s">
        <v>1288</v>
      </c>
      <c r="B1084" s="1" t="s">
        <v>3465</v>
      </c>
      <c r="C1084" t="s">
        <v>5816</v>
      </c>
      <c r="D1084" t="s">
        <v>7934</v>
      </c>
      <c r="E1084" t="s">
        <v>9744</v>
      </c>
    </row>
    <row r="1085" spans="1:5" ht="15.6" x14ac:dyDescent="0.3">
      <c r="A1085" s="1" t="s">
        <v>1287</v>
      </c>
      <c r="B1085" s="1" t="s">
        <v>3466</v>
      </c>
      <c r="C1085" t="s">
        <v>5817</v>
      </c>
      <c r="D1085" t="s">
        <v>7935</v>
      </c>
      <c r="E1085" t="s">
        <v>9745</v>
      </c>
    </row>
    <row r="1086" spans="1:5" ht="15.6" x14ac:dyDescent="0.3">
      <c r="A1086" s="1" t="s">
        <v>1286</v>
      </c>
      <c r="B1086" s="1" t="s">
        <v>3467</v>
      </c>
      <c r="C1086" t="s">
        <v>5818</v>
      </c>
      <c r="D1086" t="s">
        <v>7530</v>
      </c>
      <c r="E1086" t="s">
        <v>9746</v>
      </c>
    </row>
    <row r="1087" spans="1:5" ht="15.6" x14ac:dyDescent="0.3">
      <c r="A1087" s="1" t="s">
        <v>1285</v>
      </c>
      <c r="B1087" s="1" t="s">
        <v>3468</v>
      </c>
      <c r="C1087" t="s">
        <v>5819</v>
      </c>
      <c r="D1087" t="s">
        <v>7277</v>
      </c>
      <c r="E1087" t="s">
        <v>9747</v>
      </c>
    </row>
    <row r="1088" spans="1:5" ht="15.6" x14ac:dyDescent="0.3">
      <c r="A1088" s="1" t="s">
        <v>1284</v>
      </c>
      <c r="B1088" s="1" t="s">
        <v>3469</v>
      </c>
      <c r="C1088" t="s">
        <v>5820</v>
      </c>
      <c r="D1088" t="s">
        <v>7936</v>
      </c>
      <c r="E1088" t="s">
        <v>9748</v>
      </c>
    </row>
    <row r="1089" spans="1:5" ht="15.6" x14ac:dyDescent="0.3">
      <c r="A1089" s="1" t="s">
        <v>1283</v>
      </c>
      <c r="B1089" s="1" t="s">
        <v>3470</v>
      </c>
      <c r="C1089" t="s">
        <v>5821</v>
      </c>
      <c r="D1089" t="s">
        <v>7937</v>
      </c>
      <c r="E1089" t="s">
        <v>9749</v>
      </c>
    </row>
    <row r="1090" spans="1:5" ht="15.6" x14ac:dyDescent="0.3">
      <c r="A1090" s="1" t="s">
        <v>1282</v>
      </c>
      <c r="B1090" s="1" t="s">
        <v>3471</v>
      </c>
      <c r="C1090" t="s">
        <v>5822</v>
      </c>
      <c r="D1090" t="s">
        <v>7938</v>
      </c>
      <c r="E1090" t="s">
        <v>9750</v>
      </c>
    </row>
    <row r="1091" spans="1:5" ht="15.6" x14ac:dyDescent="0.3">
      <c r="A1091" s="1" t="s">
        <v>1281</v>
      </c>
      <c r="B1091" s="1" t="s">
        <v>3472</v>
      </c>
      <c r="C1091" t="s">
        <v>5823</v>
      </c>
      <c r="D1091" t="s">
        <v>7939</v>
      </c>
      <c r="E1091" t="s">
        <v>9751</v>
      </c>
    </row>
    <row r="1092" spans="1:5" ht="15.6" x14ac:dyDescent="0.3">
      <c r="A1092" s="1" t="s">
        <v>1280</v>
      </c>
      <c r="B1092" s="1" t="s">
        <v>3473</v>
      </c>
      <c r="C1092" t="s">
        <v>5824</v>
      </c>
      <c r="D1092" t="s">
        <v>7940</v>
      </c>
      <c r="E1092" t="s">
        <v>9704</v>
      </c>
    </row>
    <row r="1093" spans="1:5" ht="15.6" x14ac:dyDescent="0.3">
      <c r="A1093" s="1" t="s">
        <v>1279</v>
      </c>
      <c r="B1093" s="1" t="s">
        <v>3474</v>
      </c>
      <c r="C1093" t="s">
        <v>5825</v>
      </c>
      <c r="D1093" t="s">
        <v>7941</v>
      </c>
      <c r="E1093" t="s">
        <v>9752</v>
      </c>
    </row>
    <row r="1094" spans="1:5" ht="15.6" x14ac:dyDescent="0.3">
      <c r="A1094" s="1" t="s">
        <v>1278</v>
      </c>
      <c r="B1094" s="1" t="s">
        <v>3475</v>
      </c>
      <c r="C1094" t="s">
        <v>5826</v>
      </c>
      <c r="D1094" t="s">
        <v>7942</v>
      </c>
      <c r="E1094" t="s">
        <v>9753</v>
      </c>
    </row>
    <row r="1095" spans="1:5" ht="15.6" x14ac:dyDescent="0.3">
      <c r="A1095" s="1" t="s">
        <v>1277</v>
      </c>
      <c r="B1095" s="1" t="s">
        <v>3476</v>
      </c>
      <c r="C1095" t="s">
        <v>5827</v>
      </c>
      <c r="D1095" t="s">
        <v>7751</v>
      </c>
      <c r="E1095" t="s">
        <v>8811</v>
      </c>
    </row>
    <row r="1096" spans="1:5" ht="15.6" x14ac:dyDescent="0.3">
      <c r="A1096" s="1" t="s">
        <v>1276</v>
      </c>
      <c r="B1096" s="1" t="s">
        <v>3477</v>
      </c>
      <c r="C1096" t="s">
        <v>5828</v>
      </c>
      <c r="D1096" t="s">
        <v>7219</v>
      </c>
      <c r="E1096" t="s">
        <v>9754</v>
      </c>
    </row>
    <row r="1097" spans="1:5" ht="15.6" x14ac:dyDescent="0.3">
      <c r="A1097" s="1" t="s">
        <v>1275</v>
      </c>
      <c r="B1097" s="1" t="s">
        <v>3478</v>
      </c>
      <c r="C1097" t="s">
        <v>5829</v>
      </c>
      <c r="D1097" t="s">
        <v>7943</v>
      </c>
      <c r="E1097" t="s">
        <v>9755</v>
      </c>
    </row>
    <row r="1098" spans="1:5" ht="15.6" x14ac:dyDescent="0.3">
      <c r="A1098" s="1" t="s">
        <v>1274</v>
      </c>
      <c r="B1098" s="1" t="s">
        <v>3479</v>
      </c>
      <c r="C1098" t="s">
        <v>5830</v>
      </c>
      <c r="D1098" t="s">
        <v>7944</v>
      </c>
      <c r="E1098" t="s">
        <v>9756</v>
      </c>
    </row>
    <row r="1099" spans="1:5" ht="15.6" x14ac:dyDescent="0.3">
      <c r="A1099" s="1" t="s">
        <v>1273</v>
      </c>
      <c r="B1099" s="1" t="s">
        <v>3480</v>
      </c>
      <c r="C1099" t="s">
        <v>5831</v>
      </c>
      <c r="D1099" t="s">
        <v>7650</v>
      </c>
      <c r="E1099" t="s">
        <v>9757</v>
      </c>
    </row>
    <row r="1100" spans="1:5" ht="15.6" x14ac:dyDescent="0.3">
      <c r="A1100" s="1" t="s">
        <v>1272</v>
      </c>
      <c r="B1100" s="1" t="s">
        <v>3481</v>
      </c>
      <c r="C1100" t="s">
        <v>5832</v>
      </c>
      <c r="D1100" t="s">
        <v>7945</v>
      </c>
      <c r="E1100" t="s">
        <v>8998</v>
      </c>
    </row>
    <row r="1101" spans="1:5" ht="15.6" x14ac:dyDescent="0.3">
      <c r="A1101" s="1" t="s">
        <v>1271</v>
      </c>
      <c r="B1101" s="1" t="s">
        <v>3482</v>
      </c>
      <c r="C1101" t="s">
        <v>5833</v>
      </c>
      <c r="D1101" t="s">
        <v>7946</v>
      </c>
      <c r="E1101" t="s">
        <v>9758</v>
      </c>
    </row>
    <row r="1102" spans="1:5" ht="15.6" x14ac:dyDescent="0.3">
      <c r="A1102" s="1" t="s">
        <v>1270</v>
      </c>
      <c r="B1102" s="1" t="s">
        <v>3483</v>
      </c>
      <c r="C1102" t="s">
        <v>5834</v>
      </c>
      <c r="D1102" t="s">
        <v>7687</v>
      </c>
      <c r="E1102" t="s">
        <v>9759</v>
      </c>
    </row>
    <row r="1103" spans="1:5" ht="15.6" x14ac:dyDescent="0.3">
      <c r="A1103" s="1" t="s">
        <v>1269</v>
      </c>
      <c r="B1103" s="1" t="s">
        <v>3484</v>
      </c>
      <c r="C1103" t="s">
        <v>5835</v>
      </c>
      <c r="D1103" t="s">
        <v>7081</v>
      </c>
      <c r="E1103" t="s">
        <v>9202</v>
      </c>
    </row>
    <row r="1104" spans="1:5" ht="15.6" x14ac:dyDescent="0.3">
      <c r="A1104" s="1" t="s">
        <v>1268</v>
      </c>
      <c r="B1104" s="1" t="s">
        <v>3485</v>
      </c>
      <c r="C1104" t="s">
        <v>5836</v>
      </c>
      <c r="D1104" t="s">
        <v>7947</v>
      </c>
      <c r="E1104" t="s">
        <v>9760</v>
      </c>
    </row>
    <row r="1105" spans="1:5" ht="15.6" x14ac:dyDescent="0.3">
      <c r="A1105" s="1" t="s">
        <v>1267</v>
      </c>
      <c r="B1105" s="1" t="s">
        <v>3486</v>
      </c>
      <c r="C1105" t="s">
        <v>5837</v>
      </c>
      <c r="D1105" t="s">
        <v>7948</v>
      </c>
      <c r="E1105" t="s">
        <v>9761</v>
      </c>
    </row>
    <row r="1106" spans="1:5" ht="15.6" x14ac:dyDescent="0.3">
      <c r="A1106" s="1" t="s">
        <v>1266</v>
      </c>
      <c r="B1106" s="1" t="s">
        <v>3487</v>
      </c>
      <c r="C1106" t="s">
        <v>5838</v>
      </c>
      <c r="D1106" t="s">
        <v>7949</v>
      </c>
      <c r="E1106" t="s">
        <v>9762</v>
      </c>
    </row>
    <row r="1107" spans="1:5" ht="15.6" x14ac:dyDescent="0.3">
      <c r="A1107" s="1" t="s">
        <v>1265</v>
      </c>
      <c r="B1107" s="1" t="s">
        <v>3488</v>
      </c>
      <c r="C1107" t="s">
        <v>5839</v>
      </c>
      <c r="D1107" t="s">
        <v>7183</v>
      </c>
      <c r="E1107" t="s">
        <v>9763</v>
      </c>
    </row>
    <row r="1108" spans="1:5" ht="15.6" x14ac:dyDescent="0.3">
      <c r="A1108" s="1" t="s">
        <v>1264</v>
      </c>
      <c r="B1108" s="1" t="s">
        <v>3489</v>
      </c>
      <c r="C1108" t="s">
        <v>5840</v>
      </c>
      <c r="D1108" t="s">
        <v>7568</v>
      </c>
      <c r="E1108" t="s">
        <v>9764</v>
      </c>
    </row>
    <row r="1109" spans="1:5" ht="15.6" x14ac:dyDescent="0.3">
      <c r="A1109" s="1" t="s">
        <v>1263</v>
      </c>
      <c r="B1109" s="1" t="s">
        <v>3490</v>
      </c>
      <c r="C1109" t="s">
        <v>5841</v>
      </c>
      <c r="D1109" t="s">
        <v>7950</v>
      </c>
      <c r="E1109" t="s">
        <v>9765</v>
      </c>
    </row>
    <row r="1110" spans="1:5" ht="15.6" x14ac:dyDescent="0.3">
      <c r="A1110" s="1" t="s">
        <v>1262</v>
      </c>
      <c r="B1110" s="1" t="s">
        <v>3491</v>
      </c>
      <c r="C1110" t="s">
        <v>5842</v>
      </c>
      <c r="D1110" t="s">
        <v>7951</v>
      </c>
      <c r="E1110" t="s">
        <v>9766</v>
      </c>
    </row>
    <row r="1111" spans="1:5" ht="15.6" x14ac:dyDescent="0.3">
      <c r="A1111" s="1" t="s">
        <v>1261</v>
      </c>
      <c r="B1111" s="1" t="s">
        <v>3492</v>
      </c>
      <c r="C1111" t="s">
        <v>5843</v>
      </c>
      <c r="D1111" t="s">
        <v>7952</v>
      </c>
      <c r="E1111" t="s">
        <v>9767</v>
      </c>
    </row>
    <row r="1112" spans="1:5" ht="15.6" x14ac:dyDescent="0.3">
      <c r="A1112" s="1" t="s">
        <v>1260</v>
      </c>
      <c r="B1112" s="1" t="s">
        <v>3493</v>
      </c>
      <c r="C1112" t="s">
        <v>5844</v>
      </c>
      <c r="D1112" t="s">
        <v>7149</v>
      </c>
      <c r="E1112" t="s">
        <v>9132</v>
      </c>
    </row>
    <row r="1113" spans="1:5" ht="15.6" x14ac:dyDescent="0.3">
      <c r="A1113" s="1" t="s">
        <v>1259</v>
      </c>
      <c r="B1113" s="1" t="s">
        <v>3494</v>
      </c>
      <c r="C1113" t="s">
        <v>5845</v>
      </c>
      <c r="D1113" t="s">
        <v>7953</v>
      </c>
      <c r="E1113" t="s">
        <v>9768</v>
      </c>
    </row>
    <row r="1114" spans="1:5" ht="15.6" x14ac:dyDescent="0.3">
      <c r="A1114" s="1" t="s">
        <v>1258</v>
      </c>
      <c r="B1114" s="1" t="s">
        <v>3495</v>
      </c>
      <c r="C1114" t="s">
        <v>5846</v>
      </c>
      <c r="D1114" t="s">
        <v>7163</v>
      </c>
      <c r="E1114" t="s">
        <v>9769</v>
      </c>
    </row>
    <row r="1115" spans="1:5" ht="15.6" x14ac:dyDescent="0.3">
      <c r="A1115" s="1" t="s">
        <v>1257</v>
      </c>
      <c r="B1115" s="1" t="s">
        <v>3496</v>
      </c>
      <c r="C1115" t="s">
        <v>5847</v>
      </c>
      <c r="D1115" t="s">
        <v>7954</v>
      </c>
      <c r="E1115" t="s">
        <v>9770</v>
      </c>
    </row>
    <row r="1116" spans="1:5" ht="15.6" x14ac:dyDescent="0.3">
      <c r="A1116" s="1" t="s">
        <v>1256</v>
      </c>
      <c r="B1116" s="1" t="s">
        <v>3497</v>
      </c>
      <c r="C1116" t="s">
        <v>5848</v>
      </c>
      <c r="D1116" t="s">
        <v>7955</v>
      </c>
      <c r="E1116" t="s">
        <v>9771</v>
      </c>
    </row>
    <row r="1117" spans="1:5" ht="15.6" x14ac:dyDescent="0.3">
      <c r="A1117" s="1" t="s">
        <v>1255</v>
      </c>
      <c r="B1117" s="1" t="s">
        <v>3498</v>
      </c>
      <c r="C1117" t="s">
        <v>5849</v>
      </c>
      <c r="D1117" t="s">
        <v>7956</v>
      </c>
      <c r="E1117" t="s">
        <v>9772</v>
      </c>
    </row>
    <row r="1118" spans="1:5" ht="15.6" x14ac:dyDescent="0.3">
      <c r="A1118" s="1" t="s">
        <v>1254</v>
      </c>
      <c r="B1118" s="1" t="s">
        <v>3499</v>
      </c>
      <c r="C1118" t="s">
        <v>5850</v>
      </c>
      <c r="D1118" t="s">
        <v>7957</v>
      </c>
      <c r="E1118" t="s">
        <v>9773</v>
      </c>
    </row>
    <row r="1119" spans="1:5" ht="15.6" x14ac:dyDescent="0.3">
      <c r="A1119" s="1" t="s">
        <v>1253</v>
      </c>
      <c r="B1119" s="1" t="s">
        <v>3500</v>
      </c>
      <c r="C1119" t="s">
        <v>5851</v>
      </c>
      <c r="D1119" t="s">
        <v>7281</v>
      </c>
      <c r="E1119" t="s">
        <v>9774</v>
      </c>
    </row>
    <row r="1120" spans="1:5" ht="15.6" x14ac:dyDescent="0.3">
      <c r="A1120" s="1" t="s">
        <v>1252</v>
      </c>
      <c r="B1120" s="1" t="s">
        <v>3501</v>
      </c>
      <c r="C1120" t="s">
        <v>5852</v>
      </c>
      <c r="D1120" t="s">
        <v>7958</v>
      </c>
      <c r="E1120" t="s">
        <v>9775</v>
      </c>
    </row>
    <row r="1121" spans="1:5" ht="15.6" x14ac:dyDescent="0.3">
      <c r="A1121" s="1" t="s">
        <v>1251</v>
      </c>
      <c r="B1121" s="1" t="s">
        <v>3502</v>
      </c>
      <c r="C1121" t="s">
        <v>5853</v>
      </c>
      <c r="D1121" t="s">
        <v>7959</v>
      </c>
      <c r="E1121" t="s">
        <v>9776</v>
      </c>
    </row>
    <row r="1122" spans="1:5" ht="15.6" x14ac:dyDescent="0.3">
      <c r="A1122" s="1" t="s">
        <v>1250</v>
      </c>
      <c r="B1122" s="1" t="s">
        <v>3503</v>
      </c>
      <c r="C1122" t="s">
        <v>5854</v>
      </c>
      <c r="D1122" t="s">
        <v>7960</v>
      </c>
      <c r="E1122" t="s">
        <v>9777</v>
      </c>
    </row>
    <row r="1123" spans="1:5" ht="15.6" x14ac:dyDescent="0.3">
      <c r="A1123" s="1" t="s">
        <v>1249</v>
      </c>
      <c r="B1123" s="1" t="s">
        <v>3504</v>
      </c>
      <c r="C1123" t="s">
        <v>5855</v>
      </c>
      <c r="D1123" t="s">
        <v>7961</v>
      </c>
      <c r="E1123" t="s">
        <v>9778</v>
      </c>
    </row>
    <row r="1124" spans="1:5" ht="15.6" x14ac:dyDescent="0.3">
      <c r="A1124" s="1" t="s">
        <v>1248</v>
      </c>
      <c r="B1124" s="1" t="s">
        <v>3505</v>
      </c>
      <c r="C1124" t="s">
        <v>5856</v>
      </c>
      <c r="D1124" t="s">
        <v>7962</v>
      </c>
      <c r="E1124" t="s">
        <v>9779</v>
      </c>
    </row>
    <row r="1125" spans="1:5" ht="15.6" x14ac:dyDescent="0.3">
      <c r="A1125" s="1" t="s">
        <v>1247</v>
      </c>
      <c r="B1125" s="1" t="s">
        <v>3506</v>
      </c>
      <c r="C1125" t="s">
        <v>5857</v>
      </c>
      <c r="D1125" t="s">
        <v>7427</v>
      </c>
      <c r="E1125" t="s">
        <v>9780</v>
      </c>
    </row>
    <row r="1126" spans="1:5" ht="15.6" x14ac:dyDescent="0.3">
      <c r="A1126" s="1" t="s">
        <v>1246</v>
      </c>
      <c r="B1126" s="1" t="s">
        <v>3507</v>
      </c>
      <c r="C1126" t="s">
        <v>5858</v>
      </c>
      <c r="D1126" t="s">
        <v>7963</v>
      </c>
      <c r="E1126" t="s">
        <v>9781</v>
      </c>
    </row>
    <row r="1127" spans="1:5" ht="15.6" x14ac:dyDescent="0.3">
      <c r="A1127" s="1" t="s">
        <v>1245</v>
      </c>
      <c r="B1127" s="1" t="s">
        <v>3508</v>
      </c>
      <c r="C1127" t="s">
        <v>5859</v>
      </c>
      <c r="D1127" t="s">
        <v>7964</v>
      </c>
      <c r="E1127" t="s">
        <v>9782</v>
      </c>
    </row>
    <row r="1128" spans="1:5" ht="15.6" x14ac:dyDescent="0.3">
      <c r="A1128" s="1" t="s">
        <v>1244</v>
      </c>
      <c r="B1128" s="1" t="s">
        <v>3509</v>
      </c>
      <c r="C1128" t="s">
        <v>5860</v>
      </c>
      <c r="D1128" t="s">
        <v>7433</v>
      </c>
      <c r="E1128" t="s">
        <v>9783</v>
      </c>
    </row>
    <row r="1129" spans="1:5" ht="15.6" x14ac:dyDescent="0.3">
      <c r="A1129" s="1" t="s">
        <v>1243</v>
      </c>
      <c r="B1129" s="1" t="s">
        <v>3510</v>
      </c>
      <c r="C1129" t="s">
        <v>5861</v>
      </c>
      <c r="D1129" t="s">
        <v>7122</v>
      </c>
      <c r="E1129" t="s">
        <v>9784</v>
      </c>
    </row>
    <row r="1130" spans="1:5" ht="15.6" x14ac:dyDescent="0.3">
      <c r="A1130" s="1" t="s">
        <v>1242</v>
      </c>
      <c r="B1130" s="1" t="s">
        <v>3511</v>
      </c>
      <c r="C1130" t="s">
        <v>5862</v>
      </c>
      <c r="D1130" t="s">
        <v>7965</v>
      </c>
      <c r="E1130" t="s">
        <v>9785</v>
      </c>
    </row>
    <row r="1131" spans="1:5" ht="15.6" x14ac:dyDescent="0.3">
      <c r="A1131" s="1" t="s">
        <v>1241</v>
      </c>
      <c r="B1131" s="1" t="s">
        <v>3512</v>
      </c>
      <c r="C1131" t="s">
        <v>5863</v>
      </c>
      <c r="D1131" t="s">
        <v>7517</v>
      </c>
      <c r="E1131" t="s">
        <v>9786</v>
      </c>
    </row>
    <row r="1132" spans="1:5" ht="15.6" x14ac:dyDescent="0.3">
      <c r="A1132" s="1" t="s">
        <v>1240</v>
      </c>
      <c r="B1132" s="1" t="s">
        <v>3513</v>
      </c>
      <c r="C1132" t="s">
        <v>5864</v>
      </c>
      <c r="D1132" t="s">
        <v>7966</v>
      </c>
      <c r="E1132" t="s">
        <v>9787</v>
      </c>
    </row>
    <row r="1133" spans="1:5" ht="15.6" x14ac:dyDescent="0.3">
      <c r="A1133" s="1" t="s">
        <v>1239</v>
      </c>
      <c r="B1133" s="1" t="s">
        <v>3514</v>
      </c>
      <c r="C1133" t="s">
        <v>5865</v>
      </c>
      <c r="D1133" t="s">
        <v>7967</v>
      </c>
      <c r="E1133" t="s">
        <v>9788</v>
      </c>
    </row>
    <row r="1134" spans="1:5" ht="15.6" x14ac:dyDescent="0.3">
      <c r="A1134" s="1" t="s">
        <v>1238</v>
      </c>
      <c r="B1134" s="1" t="s">
        <v>3515</v>
      </c>
      <c r="C1134" t="s">
        <v>5866</v>
      </c>
      <c r="D1134" t="s">
        <v>7968</v>
      </c>
      <c r="E1134" t="s">
        <v>9789</v>
      </c>
    </row>
    <row r="1135" spans="1:5" ht="15.6" x14ac:dyDescent="0.3">
      <c r="A1135" s="1" t="s">
        <v>1237</v>
      </c>
      <c r="B1135" s="1" t="s">
        <v>3516</v>
      </c>
      <c r="C1135" t="s">
        <v>5867</v>
      </c>
      <c r="D1135" t="s">
        <v>7248</v>
      </c>
      <c r="E1135" t="s">
        <v>9790</v>
      </c>
    </row>
    <row r="1136" spans="1:5" ht="15.6" x14ac:dyDescent="0.3">
      <c r="A1136" s="1" t="s">
        <v>1236</v>
      </c>
      <c r="B1136" s="1" t="s">
        <v>3517</v>
      </c>
      <c r="C1136" t="s">
        <v>5868</v>
      </c>
      <c r="D1136" t="s">
        <v>7136</v>
      </c>
      <c r="E1136" t="s">
        <v>9791</v>
      </c>
    </row>
    <row r="1137" spans="1:5" ht="15.6" x14ac:dyDescent="0.3">
      <c r="A1137" s="1" t="s">
        <v>1235</v>
      </c>
      <c r="B1137" s="1" t="s">
        <v>3518</v>
      </c>
      <c r="C1137" t="s">
        <v>5869</v>
      </c>
      <c r="D1137" t="s">
        <v>7969</v>
      </c>
      <c r="E1137" t="s">
        <v>9792</v>
      </c>
    </row>
    <row r="1138" spans="1:5" ht="15.6" x14ac:dyDescent="0.3">
      <c r="A1138" s="1" t="s">
        <v>1234</v>
      </c>
      <c r="B1138" s="1" t="s">
        <v>3519</v>
      </c>
      <c r="C1138" t="s">
        <v>5870</v>
      </c>
      <c r="D1138" t="s">
        <v>7970</v>
      </c>
      <c r="E1138" t="s">
        <v>9793</v>
      </c>
    </row>
    <row r="1139" spans="1:5" ht="15.6" x14ac:dyDescent="0.3">
      <c r="A1139" s="1" t="s">
        <v>1233</v>
      </c>
      <c r="B1139" s="1" t="s">
        <v>3520</v>
      </c>
      <c r="C1139" t="s">
        <v>5871</v>
      </c>
      <c r="D1139" t="s">
        <v>7971</v>
      </c>
      <c r="E1139" t="s">
        <v>9794</v>
      </c>
    </row>
    <row r="1140" spans="1:5" ht="15.6" x14ac:dyDescent="0.3">
      <c r="A1140" s="1" t="s">
        <v>1232</v>
      </c>
      <c r="B1140" s="1" t="s">
        <v>3521</v>
      </c>
      <c r="C1140" t="s">
        <v>5872</v>
      </c>
      <c r="D1140" t="s">
        <v>7972</v>
      </c>
      <c r="E1140" t="s">
        <v>9795</v>
      </c>
    </row>
    <row r="1141" spans="1:5" ht="15.6" x14ac:dyDescent="0.3">
      <c r="A1141" s="1" t="s">
        <v>1231</v>
      </c>
      <c r="B1141" s="1" t="s">
        <v>3522</v>
      </c>
      <c r="C1141" t="s">
        <v>5873</v>
      </c>
      <c r="D1141" t="s">
        <v>7122</v>
      </c>
      <c r="E1141" t="s">
        <v>9796</v>
      </c>
    </row>
    <row r="1142" spans="1:5" ht="15.6" x14ac:dyDescent="0.3">
      <c r="A1142" s="1" t="s">
        <v>1230</v>
      </c>
      <c r="B1142" s="1" t="s">
        <v>3523</v>
      </c>
      <c r="C1142" t="s">
        <v>5874</v>
      </c>
      <c r="D1142" t="s">
        <v>7137</v>
      </c>
      <c r="E1142" t="s">
        <v>8964</v>
      </c>
    </row>
    <row r="1143" spans="1:5" ht="15.6" x14ac:dyDescent="0.3">
      <c r="A1143" s="1" t="s">
        <v>1229</v>
      </c>
      <c r="B1143" s="1" t="s">
        <v>3524</v>
      </c>
      <c r="C1143" t="s">
        <v>5875</v>
      </c>
      <c r="D1143" t="s">
        <v>7247</v>
      </c>
      <c r="E1143" t="s">
        <v>9797</v>
      </c>
    </row>
    <row r="1144" spans="1:5" ht="15.6" x14ac:dyDescent="0.3">
      <c r="A1144" s="1" t="s">
        <v>1228</v>
      </c>
      <c r="B1144" s="1" t="s">
        <v>3525</v>
      </c>
      <c r="C1144" t="s">
        <v>5876</v>
      </c>
      <c r="D1144" t="s">
        <v>7751</v>
      </c>
      <c r="E1144" t="s">
        <v>9798</v>
      </c>
    </row>
    <row r="1145" spans="1:5" ht="15.6" x14ac:dyDescent="0.3">
      <c r="A1145" s="1" t="s">
        <v>1227</v>
      </c>
      <c r="B1145" s="1" t="s">
        <v>3526</v>
      </c>
      <c r="C1145" t="s">
        <v>5877</v>
      </c>
      <c r="D1145" t="s">
        <v>7973</v>
      </c>
      <c r="E1145" t="s">
        <v>9799</v>
      </c>
    </row>
    <row r="1146" spans="1:5" ht="15.6" x14ac:dyDescent="0.3">
      <c r="A1146" s="1" t="s">
        <v>1226</v>
      </c>
      <c r="B1146" s="1" t="s">
        <v>3527</v>
      </c>
      <c r="C1146" t="s">
        <v>5878</v>
      </c>
      <c r="D1146" t="s">
        <v>7097</v>
      </c>
      <c r="E1146" t="s">
        <v>9800</v>
      </c>
    </row>
    <row r="1147" spans="1:5" ht="15.6" x14ac:dyDescent="0.3">
      <c r="A1147" s="1" t="s">
        <v>1225</v>
      </c>
      <c r="B1147" s="1" t="s">
        <v>3528</v>
      </c>
      <c r="C1147" t="s">
        <v>5879</v>
      </c>
      <c r="D1147" t="s">
        <v>7974</v>
      </c>
      <c r="E1147" t="s">
        <v>9801</v>
      </c>
    </row>
    <row r="1148" spans="1:5" ht="15.6" x14ac:dyDescent="0.3">
      <c r="A1148" s="1" t="s">
        <v>1224</v>
      </c>
      <c r="B1148" s="1" t="s">
        <v>3529</v>
      </c>
      <c r="C1148" t="s">
        <v>5880</v>
      </c>
      <c r="D1148" t="s">
        <v>7975</v>
      </c>
      <c r="E1148" t="s">
        <v>9802</v>
      </c>
    </row>
    <row r="1149" spans="1:5" ht="15.6" x14ac:dyDescent="0.3">
      <c r="A1149" s="1" t="s">
        <v>1223</v>
      </c>
      <c r="B1149" s="1" t="s">
        <v>3530</v>
      </c>
      <c r="C1149" t="s">
        <v>5881</v>
      </c>
      <c r="D1149" t="s">
        <v>7167</v>
      </c>
      <c r="E1149" t="s">
        <v>9803</v>
      </c>
    </row>
    <row r="1150" spans="1:5" ht="15.6" x14ac:dyDescent="0.3">
      <c r="A1150" s="1" t="s">
        <v>1222</v>
      </c>
      <c r="B1150" s="1" t="s">
        <v>3531</v>
      </c>
      <c r="C1150" t="s">
        <v>5882</v>
      </c>
      <c r="D1150" t="s">
        <v>7219</v>
      </c>
      <c r="E1150" t="s">
        <v>9804</v>
      </c>
    </row>
    <row r="1151" spans="1:5" ht="15.6" x14ac:dyDescent="0.3">
      <c r="A1151" s="1" t="s">
        <v>1221</v>
      </c>
      <c r="B1151" s="1" t="s">
        <v>3532</v>
      </c>
      <c r="C1151" t="s">
        <v>5883</v>
      </c>
      <c r="D1151" t="s">
        <v>7976</v>
      </c>
      <c r="E1151" t="s">
        <v>9805</v>
      </c>
    </row>
    <row r="1152" spans="1:5" ht="15.6" x14ac:dyDescent="0.3">
      <c r="A1152" s="1" t="s">
        <v>1220</v>
      </c>
      <c r="B1152" s="1" t="s">
        <v>3533</v>
      </c>
      <c r="C1152" t="s">
        <v>5884</v>
      </c>
      <c r="D1152" t="s">
        <v>7977</v>
      </c>
      <c r="E1152" t="s">
        <v>9243</v>
      </c>
    </row>
    <row r="1153" spans="1:5" ht="15.6" x14ac:dyDescent="0.3">
      <c r="A1153" s="1" t="s">
        <v>1219</v>
      </c>
      <c r="B1153" s="1" t="s">
        <v>3534</v>
      </c>
      <c r="C1153" t="s">
        <v>5885</v>
      </c>
      <c r="D1153" t="s">
        <v>7978</v>
      </c>
      <c r="E1153" t="s">
        <v>9806</v>
      </c>
    </row>
    <row r="1154" spans="1:5" ht="15.6" x14ac:dyDescent="0.3">
      <c r="A1154" s="1" t="s">
        <v>1218</v>
      </c>
      <c r="B1154" s="1" t="s">
        <v>3535</v>
      </c>
      <c r="C1154" t="s">
        <v>5886</v>
      </c>
      <c r="D1154" t="s">
        <v>7502</v>
      </c>
      <c r="E1154" t="s">
        <v>9807</v>
      </c>
    </row>
    <row r="1155" spans="1:5" ht="15.6" x14ac:dyDescent="0.3">
      <c r="A1155" s="1" t="s">
        <v>1217</v>
      </c>
      <c r="B1155" s="1" t="s">
        <v>3536</v>
      </c>
      <c r="C1155" t="s">
        <v>5887</v>
      </c>
      <c r="D1155" t="s">
        <v>7979</v>
      </c>
      <c r="E1155" t="s">
        <v>9808</v>
      </c>
    </row>
    <row r="1156" spans="1:5" ht="15.6" x14ac:dyDescent="0.3">
      <c r="A1156" s="1" t="s">
        <v>1216</v>
      </c>
      <c r="B1156" s="1" t="s">
        <v>3537</v>
      </c>
      <c r="C1156" t="s">
        <v>5888</v>
      </c>
      <c r="D1156" t="s">
        <v>7980</v>
      </c>
      <c r="E1156" t="s">
        <v>9809</v>
      </c>
    </row>
    <row r="1157" spans="1:5" ht="15.6" x14ac:dyDescent="0.3">
      <c r="A1157" s="1" t="s">
        <v>1215</v>
      </c>
      <c r="B1157" s="1" t="s">
        <v>3538</v>
      </c>
      <c r="C1157" t="s">
        <v>5889</v>
      </c>
      <c r="D1157" t="s">
        <v>7981</v>
      </c>
      <c r="E1157" t="s">
        <v>9810</v>
      </c>
    </row>
    <row r="1158" spans="1:5" ht="15.6" x14ac:dyDescent="0.3">
      <c r="A1158" s="1" t="s">
        <v>1214</v>
      </c>
      <c r="B1158" s="1" t="s">
        <v>3539</v>
      </c>
      <c r="C1158" t="s">
        <v>5890</v>
      </c>
      <c r="D1158" t="s">
        <v>7982</v>
      </c>
      <c r="E1158" t="s">
        <v>9811</v>
      </c>
    </row>
    <row r="1159" spans="1:5" ht="15.6" x14ac:dyDescent="0.3">
      <c r="A1159" s="1" t="s">
        <v>1213</v>
      </c>
      <c r="B1159" s="1" t="s">
        <v>3540</v>
      </c>
      <c r="C1159" t="s">
        <v>5891</v>
      </c>
      <c r="D1159" t="s">
        <v>7983</v>
      </c>
      <c r="E1159" t="s">
        <v>9812</v>
      </c>
    </row>
    <row r="1160" spans="1:5" ht="15.6" x14ac:dyDescent="0.3">
      <c r="A1160" s="1" t="s">
        <v>1212</v>
      </c>
      <c r="B1160" s="1" t="s">
        <v>3541</v>
      </c>
      <c r="C1160" t="s">
        <v>5892</v>
      </c>
      <c r="D1160" t="s">
        <v>7984</v>
      </c>
      <c r="E1160" t="s">
        <v>9813</v>
      </c>
    </row>
    <row r="1161" spans="1:5" ht="15.6" x14ac:dyDescent="0.3">
      <c r="A1161" s="1" t="s">
        <v>1211</v>
      </c>
      <c r="B1161" s="1" t="s">
        <v>3542</v>
      </c>
      <c r="C1161" t="s">
        <v>5893</v>
      </c>
      <c r="D1161" t="s">
        <v>7985</v>
      </c>
      <c r="E1161" t="s">
        <v>9814</v>
      </c>
    </row>
    <row r="1162" spans="1:5" ht="15.6" x14ac:dyDescent="0.3">
      <c r="A1162" s="1" t="s">
        <v>1210</v>
      </c>
      <c r="B1162" s="1" t="s">
        <v>3543</v>
      </c>
      <c r="C1162" t="s">
        <v>5894</v>
      </c>
      <c r="D1162" t="s">
        <v>7986</v>
      </c>
      <c r="E1162" t="s">
        <v>9815</v>
      </c>
    </row>
    <row r="1163" spans="1:5" ht="15.6" x14ac:dyDescent="0.3">
      <c r="A1163" s="1" t="s">
        <v>1209</v>
      </c>
      <c r="B1163" s="1" t="s">
        <v>3544</v>
      </c>
      <c r="C1163" t="s">
        <v>5895</v>
      </c>
      <c r="D1163" t="s">
        <v>7987</v>
      </c>
      <c r="E1163" t="s">
        <v>9816</v>
      </c>
    </row>
    <row r="1164" spans="1:5" ht="15.6" x14ac:dyDescent="0.3">
      <c r="A1164" s="1" t="s">
        <v>1208</v>
      </c>
      <c r="B1164" s="1" t="s">
        <v>3545</v>
      </c>
      <c r="C1164" t="s">
        <v>5896</v>
      </c>
      <c r="D1164" t="s">
        <v>7988</v>
      </c>
      <c r="E1164" t="s">
        <v>9817</v>
      </c>
    </row>
    <row r="1165" spans="1:5" ht="15.6" x14ac:dyDescent="0.3">
      <c r="A1165" s="1" t="s">
        <v>1207</v>
      </c>
      <c r="B1165" s="1" t="s">
        <v>3546</v>
      </c>
      <c r="C1165" t="s">
        <v>5897</v>
      </c>
      <c r="D1165" t="s">
        <v>7989</v>
      </c>
      <c r="E1165" t="s">
        <v>9818</v>
      </c>
    </row>
    <row r="1166" spans="1:5" ht="15.6" x14ac:dyDescent="0.3">
      <c r="A1166" s="1" t="s">
        <v>1206</v>
      </c>
      <c r="B1166" s="1" t="s">
        <v>3547</v>
      </c>
      <c r="C1166" t="s">
        <v>5898</v>
      </c>
      <c r="D1166" t="s">
        <v>7990</v>
      </c>
      <c r="E1166" t="s">
        <v>9819</v>
      </c>
    </row>
    <row r="1167" spans="1:5" ht="15.6" x14ac:dyDescent="0.3">
      <c r="A1167" s="1" t="s">
        <v>1205</v>
      </c>
      <c r="B1167" s="1" t="s">
        <v>3548</v>
      </c>
      <c r="C1167" t="s">
        <v>5899</v>
      </c>
      <c r="D1167" t="s">
        <v>7262</v>
      </c>
      <c r="E1167" t="s">
        <v>9820</v>
      </c>
    </row>
    <row r="1168" spans="1:5" ht="15.6" x14ac:dyDescent="0.3">
      <c r="A1168" s="1" t="s">
        <v>1204</v>
      </c>
      <c r="B1168" s="1" t="s">
        <v>3549</v>
      </c>
      <c r="C1168" t="s">
        <v>5900</v>
      </c>
      <c r="D1168" t="s">
        <v>7112</v>
      </c>
      <c r="E1168" t="s">
        <v>9821</v>
      </c>
    </row>
    <row r="1169" spans="1:5" ht="15.6" x14ac:dyDescent="0.3">
      <c r="A1169" s="1" t="s">
        <v>1203</v>
      </c>
      <c r="B1169" s="1" t="s">
        <v>3550</v>
      </c>
      <c r="C1169" t="s">
        <v>5901</v>
      </c>
      <c r="D1169" t="s">
        <v>7991</v>
      </c>
      <c r="E1169" t="s">
        <v>9822</v>
      </c>
    </row>
    <row r="1170" spans="1:5" ht="15.6" x14ac:dyDescent="0.3">
      <c r="A1170" s="1" t="s">
        <v>1202</v>
      </c>
      <c r="B1170" s="1" t="s">
        <v>3551</v>
      </c>
      <c r="C1170" t="s">
        <v>5902</v>
      </c>
      <c r="D1170" t="s">
        <v>7992</v>
      </c>
      <c r="E1170" t="s">
        <v>8789</v>
      </c>
    </row>
    <row r="1171" spans="1:5" ht="15.6" x14ac:dyDescent="0.3">
      <c r="A1171" s="1" t="s">
        <v>1201</v>
      </c>
      <c r="B1171" s="1" t="s">
        <v>3552</v>
      </c>
      <c r="C1171" t="s">
        <v>5903</v>
      </c>
      <c r="D1171" t="s">
        <v>7993</v>
      </c>
      <c r="E1171" t="s">
        <v>9823</v>
      </c>
    </row>
    <row r="1172" spans="1:5" ht="15.6" x14ac:dyDescent="0.3">
      <c r="A1172" s="1" t="s">
        <v>1200</v>
      </c>
      <c r="B1172" s="1" t="s">
        <v>3553</v>
      </c>
      <c r="C1172" t="s">
        <v>5904</v>
      </c>
      <c r="D1172" t="s">
        <v>7994</v>
      </c>
      <c r="E1172" t="s">
        <v>9664</v>
      </c>
    </row>
    <row r="1173" spans="1:5" ht="15.6" x14ac:dyDescent="0.3">
      <c r="A1173" s="1" t="s">
        <v>1199</v>
      </c>
      <c r="B1173" s="1" t="s">
        <v>3554</v>
      </c>
      <c r="C1173" t="s">
        <v>5905</v>
      </c>
      <c r="D1173" t="s">
        <v>7995</v>
      </c>
      <c r="E1173" t="s">
        <v>9824</v>
      </c>
    </row>
    <row r="1174" spans="1:5" ht="15.6" x14ac:dyDescent="0.3">
      <c r="A1174" s="1" t="s">
        <v>1198</v>
      </c>
      <c r="B1174" s="1" t="s">
        <v>3555</v>
      </c>
      <c r="C1174" t="s">
        <v>5906</v>
      </c>
      <c r="D1174" t="s">
        <v>7996</v>
      </c>
      <c r="E1174" t="s">
        <v>9825</v>
      </c>
    </row>
    <row r="1175" spans="1:5" ht="15.6" x14ac:dyDescent="0.3">
      <c r="A1175" s="1" t="s">
        <v>1197</v>
      </c>
      <c r="B1175" s="1" t="s">
        <v>3556</v>
      </c>
      <c r="C1175" t="s">
        <v>5907</v>
      </c>
      <c r="D1175" t="s">
        <v>7997</v>
      </c>
      <c r="E1175" t="s">
        <v>9826</v>
      </c>
    </row>
    <row r="1176" spans="1:5" ht="15.6" x14ac:dyDescent="0.3">
      <c r="A1176" s="1" t="s">
        <v>1196</v>
      </c>
      <c r="B1176" s="1" t="s">
        <v>3557</v>
      </c>
      <c r="C1176" t="s">
        <v>5908</v>
      </c>
      <c r="D1176" t="s">
        <v>7998</v>
      </c>
      <c r="E1176" t="s">
        <v>9827</v>
      </c>
    </row>
    <row r="1177" spans="1:5" ht="15.6" x14ac:dyDescent="0.3">
      <c r="A1177" s="1" t="s">
        <v>1195</v>
      </c>
      <c r="B1177" s="1" t="s">
        <v>3558</v>
      </c>
      <c r="C1177" t="s">
        <v>5909</v>
      </c>
      <c r="D1177" t="s">
        <v>7999</v>
      </c>
      <c r="E1177" t="s">
        <v>9828</v>
      </c>
    </row>
    <row r="1178" spans="1:5" ht="15.6" x14ac:dyDescent="0.3">
      <c r="A1178" s="1" t="s">
        <v>1194</v>
      </c>
      <c r="B1178" s="1" t="s">
        <v>3559</v>
      </c>
      <c r="C1178" t="s">
        <v>5910</v>
      </c>
      <c r="D1178" t="s">
        <v>8000</v>
      </c>
      <c r="E1178" t="s">
        <v>9829</v>
      </c>
    </row>
    <row r="1179" spans="1:5" ht="15.6" x14ac:dyDescent="0.3">
      <c r="A1179" s="1" t="s">
        <v>1193</v>
      </c>
      <c r="B1179" s="1" t="s">
        <v>3560</v>
      </c>
      <c r="C1179" t="s">
        <v>5911</v>
      </c>
      <c r="D1179" t="s">
        <v>8001</v>
      </c>
      <c r="E1179" t="s">
        <v>9830</v>
      </c>
    </row>
    <row r="1180" spans="1:5" ht="15.6" x14ac:dyDescent="0.3">
      <c r="A1180" s="1" t="s">
        <v>1192</v>
      </c>
      <c r="B1180" s="1" t="s">
        <v>3561</v>
      </c>
      <c r="C1180" t="s">
        <v>5912</v>
      </c>
      <c r="D1180" t="s">
        <v>7141</v>
      </c>
      <c r="E1180" t="s">
        <v>9831</v>
      </c>
    </row>
    <row r="1181" spans="1:5" ht="15.6" x14ac:dyDescent="0.3">
      <c r="A1181" s="1" t="s">
        <v>1191</v>
      </c>
      <c r="B1181" s="1" t="s">
        <v>3562</v>
      </c>
      <c r="C1181" t="s">
        <v>5913</v>
      </c>
      <c r="D1181" t="s">
        <v>7245</v>
      </c>
      <c r="E1181" t="s">
        <v>9832</v>
      </c>
    </row>
    <row r="1182" spans="1:5" ht="15.6" x14ac:dyDescent="0.3">
      <c r="A1182" s="1" t="s">
        <v>1190</v>
      </c>
      <c r="B1182" s="1" t="s">
        <v>3563</v>
      </c>
      <c r="C1182" t="s">
        <v>5914</v>
      </c>
      <c r="D1182" t="s">
        <v>7100</v>
      </c>
      <c r="E1182" t="s">
        <v>9833</v>
      </c>
    </row>
    <row r="1183" spans="1:5" ht="15.6" x14ac:dyDescent="0.3">
      <c r="A1183" s="1" t="s">
        <v>1189</v>
      </c>
      <c r="B1183" s="1" t="s">
        <v>3564</v>
      </c>
      <c r="C1183" t="s">
        <v>5915</v>
      </c>
      <c r="D1183" t="s">
        <v>8002</v>
      </c>
      <c r="E1183" t="s">
        <v>8788</v>
      </c>
    </row>
    <row r="1184" spans="1:5" ht="15.6" x14ac:dyDescent="0.3">
      <c r="A1184" s="1" t="s">
        <v>1188</v>
      </c>
      <c r="B1184" s="1" t="s">
        <v>3565</v>
      </c>
      <c r="C1184" t="s">
        <v>5916</v>
      </c>
      <c r="D1184" t="s">
        <v>8003</v>
      </c>
      <c r="E1184" t="s">
        <v>9834</v>
      </c>
    </row>
    <row r="1185" spans="1:5" ht="15.6" x14ac:dyDescent="0.3">
      <c r="A1185" s="1" t="s">
        <v>1187</v>
      </c>
      <c r="B1185" s="1" t="s">
        <v>3566</v>
      </c>
      <c r="C1185" t="s">
        <v>5917</v>
      </c>
      <c r="D1185" t="s">
        <v>8004</v>
      </c>
      <c r="E1185" t="s">
        <v>9835</v>
      </c>
    </row>
    <row r="1186" spans="1:5" ht="15.6" x14ac:dyDescent="0.3">
      <c r="A1186" s="1" t="s">
        <v>1186</v>
      </c>
      <c r="B1186" s="1" t="s">
        <v>3567</v>
      </c>
      <c r="C1186" t="s">
        <v>5918</v>
      </c>
      <c r="D1186" t="s">
        <v>8005</v>
      </c>
      <c r="E1186" t="s">
        <v>9836</v>
      </c>
    </row>
    <row r="1187" spans="1:5" ht="15.6" x14ac:dyDescent="0.3">
      <c r="A1187" s="1" t="s">
        <v>1185</v>
      </c>
      <c r="B1187" s="1" t="s">
        <v>3568</v>
      </c>
      <c r="C1187" t="s">
        <v>5919</v>
      </c>
      <c r="D1187" t="s">
        <v>7097</v>
      </c>
      <c r="E1187" t="s">
        <v>9837</v>
      </c>
    </row>
    <row r="1188" spans="1:5" ht="15.6" x14ac:dyDescent="0.3">
      <c r="A1188" s="1" t="s">
        <v>1184</v>
      </c>
      <c r="B1188" s="1" t="s">
        <v>3569</v>
      </c>
      <c r="C1188" t="s">
        <v>5920</v>
      </c>
      <c r="D1188" t="s">
        <v>8006</v>
      </c>
      <c r="E1188" t="s">
        <v>9838</v>
      </c>
    </row>
    <row r="1189" spans="1:5" ht="15.6" x14ac:dyDescent="0.3">
      <c r="A1189" s="1" t="s">
        <v>1183</v>
      </c>
      <c r="B1189" s="1" t="s">
        <v>3570</v>
      </c>
      <c r="C1189" t="s">
        <v>5921</v>
      </c>
      <c r="D1189" t="s">
        <v>8007</v>
      </c>
      <c r="E1189" t="s">
        <v>9016</v>
      </c>
    </row>
    <row r="1190" spans="1:5" ht="15.6" x14ac:dyDescent="0.3">
      <c r="A1190" s="1" t="s">
        <v>1182</v>
      </c>
      <c r="B1190" s="1" t="s">
        <v>3571</v>
      </c>
      <c r="C1190" t="s">
        <v>5922</v>
      </c>
      <c r="D1190" t="s">
        <v>8008</v>
      </c>
      <c r="E1190" t="s">
        <v>9839</v>
      </c>
    </row>
    <row r="1191" spans="1:5" ht="15.6" x14ac:dyDescent="0.3">
      <c r="A1191" s="1" t="s">
        <v>1181</v>
      </c>
      <c r="B1191" s="1" t="s">
        <v>3572</v>
      </c>
      <c r="C1191" t="s">
        <v>5923</v>
      </c>
      <c r="D1191" t="s">
        <v>8009</v>
      </c>
      <c r="E1191" t="s">
        <v>9840</v>
      </c>
    </row>
    <row r="1192" spans="1:5" ht="15.6" x14ac:dyDescent="0.3">
      <c r="A1192" s="1" t="s">
        <v>1180</v>
      </c>
      <c r="B1192" s="1" t="s">
        <v>3573</v>
      </c>
      <c r="C1192" t="s">
        <v>5924</v>
      </c>
      <c r="D1192" t="s">
        <v>8010</v>
      </c>
      <c r="E1192" t="s">
        <v>9841</v>
      </c>
    </row>
    <row r="1193" spans="1:5" ht="15.6" x14ac:dyDescent="0.3">
      <c r="A1193" s="1" t="s">
        <v>1179</v>
      </c>
      <c r="B1193" s="1" t="s">
        <v>3574</v>
      </c>
      <c r="C1193" t="s">
        <v>5925</v>
      </c>
      <c r="D1193" t="s">
        <v>7293</v>
      </c>
      <c r="E1193" t="s">
        <v>9842</v>
      </c>
    </row>
    <row r="1194" spans="1:5" ht="15.6" x14ac:dyDescent="0.3">
      <c r="A1194" s="1" t="s">
        <v>1178</v>
      </c>
      <c r="B1194" s="1" t="s">
        <v>3575</v>
      </c>
      <c r="C1194" t="s">
        <v>5926</v>
      </c>
      <c r="D1194" t="s">
        <v>7378</v>
      </c>
      <c r="E1194" t="s">
        <v>9843</v>
      </c>
    </row>
    <row r="1195" spans="1:5" ht="15.6" x14ac:dyDescent="0.3">
      <c r="A1195" s="1" t="s">
        <v>1177</v>
      </c>
      <c r="B1195" s="1" t="s">
        <v>3576</v>
      </c>
      <c r="C1195" t="s">
        <v>5927</v>
      </c>
      <c r="D1195" t="s">
        <v>7175</v>
      </c>
      <c r="E1195" t="s">
        <v>9844</v>
      </c>
    </row>
    <row r="1196" spans="1:5" ht="15.6" x14ac:dyDescent="0.3">
      <c r="A1196" s="1" t="s">
        <v>1176</v>
      </c>
      <c r="B1196" s="1" t="s">
        <v>3577</v>
      </c>
      <c r="C1196" t="s">
        <v>5928</v>
      </c>
      <c r="D1196" t="s">
        <v>8011</v>
      </c>
      <c r="E1196" t="s">
        <v>9845</v>
      </c>
    </row>
    <row r="1197" spans="1:5" ht="15.6" x14ac:dyDescent="0.3">
      <c r="A1197" s="1" t="s">
        <v>1175</v>
      </c>
      <c r="B1197" s="1" t="s">
        <v>3578</v>
      </c>
      <c r="C1197" t="s">
        <v>5929</v>
      </c>
      <c r="D1197" t="s">
        <v>8012</v>
      </c>
      <c r="E1197" t="s">
        <v>9846</v>
      </c>
    </row>
    <row r="1198" spans="1:5" ht="15.6" x14ac:dyDescent="0.3">
      <c r="A1198" s="1" t="s">
        <v>1174</v>
      </c>
      <c r="B1198" s="1" t="s">
        <v>3579</v>
      </c>
      <c r="C1198" t="s">
        <v>5930</v>
      </c>
      <c r="D1198" t="s">
        <v>8013</v>
      </c>
      <c r="E1198" t="s">
        <v>9847</v>
      </c>
    </row>
    <row r="1199" spans="1:5" ht="15.6" x14ac:dyDescent="0.3">
      <c r="A1199" s="1" t="s">
        <v>1173</v>
      </c>
      <c r="B1199" s="1" t="s">
        <v>3580</v>
      </c>
      <c r="C1199" t="s">
        <v>5931</v>
      </c>
      <c r="D1199" t="s">
        <v>7893</v>
      </c>
      <c r="E1199" t="s">
        <v>9848</v>
      </c>
    </row>
    <row r="1200" spans="1:5" ht="15.6" x14ac:dyDescent="0.3">
      <c r="A1200" s="1" t="s">
        <v>1172</v>
      </c>
      <c r="B1200" s="1" t="s">
        <v>3581</v>
      </c>
      <c r="C1200" t="s">
        <v>5932</v>
      </c>
      <c r="D1200" t="s">
        <v>8014</v>
      </c>
      <c r="E1200" t="s">
        <v>9849</v>
      </c>
    </row>
    <row r="1201" spans="1:5" ht="15.6" x14ac:dyDescent="0.3">
      <c r="A1201" s="1" t="s">
        <v>1171</v>
      </c>
      <c r="B1201" s="1" t="s">
        <v>3582</v>
      </c>
      <c r="C1201" t="s">
        <v>5933</v>
      </c>
      <c r="D1201" t="s">
        <v>7822</v>
      </c>
      <c r="E1201" t="s">
        <v>9850</v>
      </c>
    </row>
    <row r="1202" spans="1:5" ht="15.6" x14ac:dyDescent="0.3">
      <c r="A1202" s="1" t="s">
        <v>1170</v>
      </c>
      <c r="B1202" s="1" t="s">
        <v>3583</v>
      </c>
      <c r="C1202" t="s">
        <v>5934</v>
      </c>
      <c r="D1202" t="s">
        <v>7122</v>
      </c>
      <c r="E1202" t="s">
        <v>9527</v>
      </c>
    </row>
    <row r="1203" spans="1:5" ht="15.6" x14ac:dyDescent="0.3">
      <c r="A1203" s="1" t="s">
        <v>1169</v>
      </c>
      <c r="B1203" s="1" t="s">
        <v>3584</v>
      </c>
      <c r="C1203" t="s">
        <v>5935</v>
      </c>
      <c r="D1203" t="s">
        <v>8015</v>
      </c>
      <c r="E1203" t="s">
        <v>9851</v>
      </c>
    </row>
    <row r="1204" spans="1:5" ht="15.6" x14ac:dyDescent="0.3">
      <c r="A1204" s="1" t="s">
        <v>1168</v>
      </c>
      <c r="B1204" s="1" t="s">
        <v>3585</v>
      </c>
      <c r="C1204" t="s">
        <v>5936</v>
      </c>
      <c r="D1204" t="s">
        <v>8016</v>
      </c>
      <c r="E1204" t="s">
        <v>9852</v>
      </c>
    </row>
    <row r="1205" spans="1:5" ht="15.6" x14ac:dyDescent="0.3">
      <c r="A1205" s="1" t="s">
        <v>1167</v>
      </c>
      <c r="B1205" s="1" t="s">
        <v>3586</v>
      </c>
      <c r="C1205" t="s">
        <v>5937</v>
      </c>
      <c r="D1205" t="s">
        <v>7376</v>
      </c>
      <c r="E1205" t="s">
        <v>9853</v>
      </c>
    </row>
    <row r="1206" spans="1:5" ht="15.6" x14ac:dyDescent="0.3">
      <c r="A1206" s="1" t="s">
        <v>1166</v>
      </c>
      <c r="B1206" s="1" t="s">
        <v>3587</v>
      </c>
      <c r="C1206" t="s">
        <v>5938</v>
      </c>
      <c r="D1206" t="s">
        <v>8017</v>
      </c>
      <c r="E1206" t="s">
        <v>9854</v>
      </c>
    </row>
    <row r="1207" spans="1:5" ht="15.6" x14ac:dyDescent="0.3">
      <c r="A1207" s="1" t="s">
        <v>1165</v>
      </c>
      <c r="B1207" s="1" t="s">
        <v>3588</v>
      </c>
      <c r="C1207" t="s">
        <v>5939</v>
      </c>
      <c r="D1207" t="s">
        <v>8018</v>
      </c>
      <c r="E1207" t="s">
        <v>9855</v>
      </c>
    </row>
    <row r="1208" spans="1:5" ht="15.6" x14ac:dyDescent="0.3">
      <c r="A1208" s="1" t="s">
        <v>1164</v>
      </c>
      <c r="B1208" s="1" t="s">
        <v>3589</v>
      </c>
      <c r="C1208" t="s">
        <v>5940</v>
      </c>
      <c r="D1208" t="s">
        <v>8019</v>
      </c>
      <c r="E1208" t="s">
        <v>9856</v>
      </c>
    </row>
    <row r="1209" spans="1:5" ht="15.6" x14ac:dyDescent="0.3">
      <c r="A1209" s="1" t="s">
        <v>1163</v>
      </c>
      <c r="B1209" s="1" t="s">
        <v>3590</v>
      </c>
      <c r="C1209" t="s">
        <v>5941</v>
      </c>
      <c r="D1209" t="s">
        <v>8020</v>
      </c>
      <c r="E1209" t="s">
        <v>9283</v>
      </c>
    </row>
    <row r="1210" spans="1:5" ht="15.6" x14ac:dyDescent="0.3">
      <c r="A1210" s="1" t="s">
        <v>1162</v>
      </c>
      <c r="B1210" s="1" t="s">
        <v>3591</v>
      </c>
      <c r="C1210" t="s">
        <v>5942</v>
      </c>
      <c r="D1210" t="s">
        <v>8021</v>
      </c>
      <c r="E1210" t="s">
        <v>9857</v>
      </c>
    </row>
    <row r="1211" spans="1:5" ht="15.6" x14ac:dyDescent="0.3">
      <c r="A1211" s="1" t="s">
        <v>1161</v>
      </c>
      <c r="B1211" s="1" t="s">
        <v>3592</v>
      </c>
      <c r="C1211" t="s">
        <v>5943</v>
      </c>
      <c r="D1211" t="s">
        <v>7219</v>
      </c>
      <c r="E1211" t="s">
        <v>9340</v>
      </c>
    </row>
    <row r="1212" spans="1:5" ht="15.6" x14ac:dyDescent="0.3">
      <c r="A1212" s="1" t="s">
        <v>1160</v>
      </c>
      <c r="B1212" s="1" t="s">
        <v>3593</v>
      </c>
      <c r="C1212" t="s">
        <v>5944</v>
      </c>
      <c r="D1212" t="s">
        <v>8022</v>
      </c>
      <c r="E1212" t="s">
        <v>9858</v>
      </c>
    </row>
    <row r="1213" spans="1:5" ht="15.6" x14ac:dyDescent="0.3">
      <c r="A1213" s="1" t="s">
        <v>1159</v>
      </c>
      <c r="B1213" s="1" t="s">
        <v>3594</v>
      </c>
      <c r="C1213" t="s">
        <v>5945</v>
      </c>
      <c r="D1213" t="s">
        <v>7218</v>
      </c>
      <c r="E1213" t="s">
        <v>9859</v>
      </c>
    </row>
    <row r="1214" spans="1:5" ht="15.6" x14ac:dyDescent="0.3">
      <c r="A1214" s="1" t="s">
        <v>1158</v>
      </c>
      <c r="B1214" s="1" t="s">
        <v>3595</v>
      </c>
      <c r="C1214" t="s">
        <v>5946</v>
      </c>
      <c r="D1214" t="s">
        <v>7778</v>
      </c>
      <c r="E1214" t="s">
        <v>9860</v>
      </c>
    </row>
    <row r="1215" spans="1:5" ht="15.6" x14ac:dyDescent="0.3">
      <c r="A1215" s="1" t="s">
        <v>1157</v>
      </c>
      <c r="B1215" s="1" t="s">
        <v>3596</v>
      </c>
      <c r="C1215" t="s">
        <v>5947</v>
      </c>
      <c r="D1215" t="s">
        <v>7650</v>
      </c>
      <c r="E1215" t="s">
        <v>9861</v>
      </c>
    </row>
    <row r="1216" spans="1:5" ht="15.6" x14ac:dyDescent="0.3">
      <c r="A1216" s="1" t="s">
        <v>1156</v>
      </c>
      <c r="B1216" s="1" t="s">
        <v>3597</v>
      </c>
      <c r="C1216" t="s">
        <v>5948</v>
      </c>
      <c r="D1216" t="s">
        <v>8023</v>
      </c>
      <c r="E1216" t="s">
        <v>9862</v>
      </c>
    </row>
    <row r="1217" spans="1:5" ht="15.6" x14ac:dyDescent="0.3">
      <c r="A1217" s="1" t="s">
        <v>1155</v>
      </c>
      <c r="B1217" s="1" t="s">
        <v>3598</v>
      </c>
      <c r="C1217" t="s">
        <v>5949</v>
      </c>
      <c r="D1217" t="s">
        <v>8024</v>
      </c>
      <c r="E1217" t="s">
        <v>9863</v>
      </c>
    </row>
    <row r="1218" spans="1:5" ht="15.6" x14ac:dyDescent="0.3">
      <c r="A1218" s="1" t="s">
        <v>1154</v>
      </c>
      <c r="B1218" s="1" t="s">
        <v>3599</v>
      </c>
      <c r="C1218" t="s">
        <v>5950</v>
      </c>
      <c r="D1218" t="s">
        <v>7645</v>
      </c>
      <c r="E1218" t="s">
        <v>9451</v>
      </c>
    </row>
    <row r="1219" spans="1:5" ht="15.6" x14ac:dyDescent="0.3">
      <c r="A1219" s="1" t="s">
        <v>1153</v>
      </c>
      <c r="B1219" s="1" t="s">
        <v>3600</v>
      </c>
      <c r="C1219" t="s">
        <v>5951</v>
      </c>
      <c r="D1219" t="s">
        <v>8025</v>
      </c>
      <c r="E1219" t="s">
        <v>9864</v>
      </c>
    </row>
    <row r="1220" spans="1:5" ht="15.6" x14ac:dyDescent="0.3">
      <c r="A1220" s="1" t="s">
        <v>1152</v>
      </c>
      <c r="B1220" s="1" t="s">
        <v>3601</v>
      </c>
      <c r="C1220" t="s">
        <v>5952</v>
      </c>
      <c r="D1220" t="s">
        <v>7082</v>
      </c>
      <c r="E1220" t="s">
        <v>9865</v>
      </c>
    </row>
    <row r="1221" spans="1:5" ht="15.6" x14ac:dyDescent="0.3">
      <c r="A1221" s="1" t="s">
        <v>1151</v>
      </c>
      <c r="B1221" s="1" t="s">
        <v>3602</v>
      </c>
      <c r="C1221" t="s">
        <v>5953</v>
      </c>
      <c r="D1221" t="s">
        <v>8026</v>
      </c>
      <c r="E1221" t="s">
        <v>9866</v>
      </c>
    </row>
    <row r="1222" spans="1:5" ht="15.6" x14ac:dyDescent="0.3">
      <c r="A1222" s="1" t="s">
        <v>1150</v>
      </c>
      <c r="B1222" s="1" t="s">
        <v>3603</v>
      </c>
      <c r="C1222" t="s">
        <v>5954</v>
      </c>
      <c r="D1222" t="s">
        <v>8027</v>
      </c>
      <c r="E1222" t="s">
        <v>9867</v>
      </c>
    </row>
    <row r="1223" spans="1:5" ht="15.6" x14ac:dyDescent="0.3">
      <c r="A1223" s="1" t="s">
        <v>1149</v>
      </c>
      <c r="B1223" s="1" t="s">
        <v>3604</v>
      </c>
      <c r="C1223" t="s">
        <v>5955</v>
      </c>
      <c r="D1223" t="s">
        <v>8028</v>
      </c>
      <c r="E1223" t="s">
        <v>9868</v>
      </c>
    </row>
    <row r="1224" spans="1:5" ht="15.6" x14ac:dyDescent="0.3">
      <c r="A1224" s="1" t="s">
        <v>1148</v>
      </c>
      <c r="B1224" s="1" t="s">
        <v>3605</v>
      </c>
      <c r="C1224" t="s">
        <v>5956</v>
      </c>
      <c r="D1224" t="s">
        <v>8029</v>
      </c>
      <c r="E1224" t="s">
        <v>9869</v>
      </c>
    </row>
    <row r="1225" spans="1:5" ht="15.6" x14ac:dyDescent="0.3">
      <c r="A1225" s="1" t="s">
        <v>1147</v>
      </c>
      <c r="B1225" s="1" t="s">
        <v>3606</v>
      </c>
      <c r="C1225" t="s">
        <v>5957</v>
      </c>
      <c r="D1225" t="s">
        <v>8030</v>
      </c>
      <c r="E1225" t="s">
        <v>9042</v>
      </c>
    </row>
    <row r="1226" spans="1:5" ht="15.6" x14ac:dyDescent="0.3">
      <c r="A1226" s="1" t="s">
        <v>1146</v>
      </c>
      <c r="B1226" s="1" t="s">
        <v>3607</v>
      </c>
      <c r="C1226" t="s">
        <v>5958</v>
      </c>
      <c r="D1226" t="s">
        <v>8031</v>
      </c>
      <c r="E1226" t="s">
        <v>8798</v>
      </c>
    </row>
    <row r="1227" spans="1:5" ht="15.6" x14ac:dyDescent="0.3">
      <c r="A1227" s="1" t="s">
        <v>1145</v>
      </c>
      <c r="B1227" s="1" t="s">
        <v>3608</v>
      </c>
      <c r="C1227" t="s">
        <v>5959</v>
      </c>
      <c r="D1227" t="s">
        <v>8032</v>
      </c>
      <c r="E1227" t="s">
        <v>9870</v>
      </c>
    </row>
    <row r="1228" spans="1:5" ht="15.6" x14ac:dyDescent="0.3">
      <c r="A1228" s="1" t="s">
        <v>1144</v>
      </c>
      <c r="B1228" s="1" t="s">
        <v>3609</v>
      </c>
      <c r="C1228" t="s">
        <v>5960</v>
      </c>
      <c r="D1228" t="s">
        <v>8033</v>
      </c>
      <c r="E1228" t="s">
        <v>9871</v>
      </c>
    </row>
    <row r="1229" spans="1:5" ht="15.6" x14ac:dyDescent="0.3">
      <c r="A1229" s="1" t="s">
        <v>1143</v>
      </c>
      <c r="B1229" s="1" t="s">
        <v>3610</v>
      </c>
      <c r="C1229" t="s">
        <v>5961</v>
      </c>
      <c r="D1229" t="s">
        <v>8034</v>
      </c>
      <c r="E1229" t="s">
        <v>9872</v>
      </c>
    </row>
    <row r="1230" spans="1:5" ht="15.6" x14ac:dyDescent="0.3">
      <c r="A1230" s="1" t="s">
        <v>1142</v>
      </c>
      <c r="B1230" s="1" t="s">
        <v>3611</v>
      </c>
      <c r="C1230" t="s">
        <v>5962</v>
      </c>
      <c r="D1230" t="s">
        <v>7293</v>
      </c>
      <c r="E1230" t="s">
        <v>9873</v>
      </c>
    </row>
    <row r="1231" spans="1:5" ht="15.6" x14ac:dyDescent="0.3">
      <c r="A1231" s="1" t="s">
        <v>1141</v>
      </c>
      <c r="B1231" s="1" t="s">
        <v>3612</v>
      </c>
      <c r="C1231" t="s">
        <v>5963</v>
      </c>
      <c r="D1231" t="s">
        <v>8035</v>
      </c>
      <c r="E1231" t="s">
        <v>9874</v>
      </c>
    </row>
    <row r="1232" spans="1:5" ht="15.6" x14ac:dyDescent="0.3">
      <c r="A1232" s="1" t="s">
        <v>1140</v>
      </c>
      <c r="B1232" s="1" t="s">
        <v>3613</v>
      </c>
      <c r="C1232" t="s">
        <v>5964</v>
      </c>
      <c r="D1232" t="s">
        <v>8036</v>
      </c>
      <c r="E1232" t="s">
        <v>9875</v>
      </c>
    </row>
    <row r="1233" spans="1:5" ht="15.6" x14ac:dyDescent="0.3">
      <c r="A1233" s="1" t="s">
        <v>1139</v>
      </c>
      <c r="B1233" s="1" t="s">
        <v>3614</v>
      </c>
      <c r="C1233" t="s">
        <v>5965</v>
      </c>
      <c r="D1233" t="s">
        <v>8037</v>
      </c>
      <c r="E1233" t="s">
        <v>9876</v>
      </c>
    </row>
    <row r="1234" spans="1:5" ht="15.6" x14ac:dyDescent="0.3">
      <c r="A1234" s="1" t="s">
        <v>1138</v>
      </c>
      <c r="B1234" s="1" t="s">
        <v>3615</v>
      </c>
      <c r="C1234" t="s">
        <v>5966</v>
      </c>
      <c r="D1234" t="s">
        <v>8038</v>
      </c>
      <c r="E1234" t="s">
        <v>9877</v>
      </c>
    </row>
    <row r="1235" spans="1:5" ht="15.6" x14ac:dyDescent="0.3">
      <c r="A1235" s="1" t="s">
        <v>1137</v>
      </c>
      <c r="B1235" s="1" t="s">
        <v>3616</v>
      </c>
      <c r="C1235" t="s">
        <v>5967</v>
      </c>
      <c r="D1235" t="s">
        <v>8039</v>
      </c>
      <c r="E1235" t="s">
        <v>9687</v>
      </c>
    </row>
    <row r="1236" spans="1:5" ht="15.6" x14ac:dyDescent="0.3">
      <c r="A1236" s="1" t="s">
        <v>1136</v>
      </c>
      <c r="B1236" s="1" t="s">
        <v>3617</v>
      </c>
      <c r="C1236" t="s">
        <v>5968</v>
      </c>
      <c r="D1236" t="s">
        <v>8040</v>
      </c>
      <c r="E1236" t="s">
        <v>9878</v>
      </c>
    </row>
    <row r="1237" spans="1:5" ht="15.6" x14ac:dyDescent="0.3">
      <c r="A1237" s="1" t="s">
        <v>1135</v>
      </c>
      <c r="B1237" s="1" t="s">
        <v>3618</v>
      </c>
      <c r="C1237" t="s">
        <v>5969</v>
      </c>
      <c r="D1237" t="s">
        <v>8041</v>
      </c>
      <c r="E1237" t="s">
        <v>9879</v>
      </c>
    </row>
    <row r="1238" spans="1:5" ht="15.6" x14ac:dyDescent="0.3">
      <c r="A1238" s="1" t="s">
        <v>1134</v>
      </c>
      <c r="B1238" s="1" t="s">
        <v>3619</v>
      </c>
      <c r="C1238" t="s">
        <v>5970</v>
      </c>
      <c r="D1238" t="s">
        <v>8042</v>
      </c>
      <c r="E1238" t="s">
        <v>9880</v>
      </c>
    </row>
    <row r="1239" spans="1:5" ht="15.6" x14ac:dyDescent="0.3">
      <c r="A1239" s="1" t="s">
        <v>1133</v>
      </c>
      <c r="B1239" s="1" t="s">
        <v>3620</v>
      </c>
      <c r="C1239" t="s">
        <v>5971</v>
      </c>
      <c r="D1239" t="s">
        <v>7218</v>
      </c>
      <c r="E1239" t="s">
        <v>9881</v>
      </c>
    </row>
    <row r="1240" spans="1:5" ht="15.6" x14ac:dyDescent="0.3">
      <c r="A1240" s="1" t="s">
        <v>1132</v>
      </c>
      <c r="B1240" s="1" t="s">
        <v>3621</v>
      </c>
      <c r="C1240" t="s">
        <v>5972</v>
      </c>
      <c r="D1240" t="s">
        <v>8043</v>
      </c>
      <c r="E1240" t="s">
        <v>9882</v>
      </c>
    </row>
    <row r="1241" spans="1:5" ht="15.6" x14ac:dyDescent="0.3">
      <c r="A1241" s="1" t="s">
        <v>1131</v>
      </c>
      <c r="B1241" s="1" t="s">
        <v>3622</v>
      </c>
      <c r="C1241" t="s">
        <v>5973</v>
      </c>
      <c r="D1241" t="s">
        <v>8044</v>
      </c>
      <c r="E1241" t="s">
        <v>9883</v>
      </c>
    </row>
    <row r="1242" spans="1:5" ht="15.6" x14ac:dyDescent="0.3">
      <c r="A1242" s="1" t="s">
        <v>1130</v>
      </c>
      <c r="B1242" s="1" t="s">
        <v>3623</v>
      </c>
      <c r="C1242" t="s">
        <v>5974</v>
      </c>
      <c r="D1242" t="s">
        <v>8045</v>
      </c>
      <c r="E1242" t="s">
        <v>9884</v>
      </c>
    </row>
    <row r="1243" spans="1:5" ht="15.6" x14ac:dyDescent="0.3">
      <c r="A1243" s="1" t="s">
        <v>1129</v>
      </c>
      <c r="B1243" s="1" t="s">
        <v>3624</v>
      </c>
      <c r="C1243" t="s">
        <v>5975</v>
      </c>
      <c r="D1243" t="s">
        <v>8046</v>
      </c>
      <c r="E1243" t="s">
        <v>9596</v>
      </c>
    </row>
    <row r="1244" spans="1:5" ht="15.6" x14ac:dyDescent="0.3">
      <c r="A1244" s="1" t="s">
        <v>1128</v>
      </c>
      <c r="B1244" s="1" t="s">
        <v>3625</v>
      </c>
      <c r="C1244" t="s">
        <v>5976</v>
      </c>
      <c r="D1244" t="s">
        <v>8047</v>
      </c>
      <c r="E1244" t="s">
        <v>9885</v>
      </c>
    </row>
    <row r="1245" spans="1:5" ht="15.6" x14ac:dyDescent="0.3">
      <c r="A1245" s="1" t="s">
        <v>1127</v>
      </c>
      <c r="B1245" s="1" t="s">
        <v>3626</v>
      </c>
      <c r="C1245" t="s">
        <v>5977</v>
      </c>
      <c r="D1245" t="s">
        <v>7924</v>
      </c>
      <c r="E1245" t="s">
        <v>9886</v>
      </c>
    </row>
    <row r="1246" spans="1:5" ht="15.6" x14ac:dyDescent="0.3">
      <c r="A1246" s="1" t="s">
        <v>1126</v>
      </c>
      <c r="B1246" s="1" t="s">
        <v>3627</v>
      </c>
      <c r="C1246" t="s">
        <v>5978</v>
      </c>
      <c r="D1246" t="s">
        <v>8048</v>
      </c>
      <c r="E1246" t="s">
        <v>9852</v>
      </c>
    </row>
    <row r="1247" spans="1:5" ht="15.6" x14ac:dyDescent="0.3">
      <c r="A1247" s="1" t="s">
        <v>1125</v>
      </c>
      <c r="B1247" s="1" t="s">
        <v>3628</v>
      </c>
      <c r="C1247" t="s">
        <v>5979</v>
      </c>
      <c r="D1247" t="s">
        <v>8049</v>
      </c>
      <c r="E1247" t="s">
        <v>9887</v>
      </c>
    </row>
    <row r="1248" spans="1:5" ht="15.6" x14ac:dyDescent="0.3">
      <c r="A1248" s="1" t="s">
        <v>1124</v>
      </c>
      <c r="B1248" s="1" t="s">
        <v>3629</v>
      </c>
      <c r="C1248" t="s">
        <v>5980</v>
      </c>
      <c r="D1248" t="s">
        <v>8050</v>
      </c>
      <c r="E1248" t="s">
        <v>9888</v>
      </c>
    </row>
    <row r="1249" spans="1:5" ht="15.6" x14ac:dyDescent="0.3">
      <c r="A1249" s="1" t="s">
        <v>1123</v>
      </c>
      <c r="B1249" s="1" t="s">
        <v>3630</v>
      </c>
      <c r="C1249" t="s">
        <v>5981</v>
      </c>
      <c r="D1249" t="s">
        <v>7422</v>
      </c>
      <c r="E1249" t="s">
        <v>9889</v>
      </c>
    </row>
    <row r="1250" spans="1:5" ht="15.6" x14ac:dyDescent="0.3">
      <c r="A1250" s="1" t="s">
        <v>1122</v>
      </c>
      <c r="B1250" s="1" t="s">
        <v>3631</v>
      </c>
      <c r="C1250" t="s">
        <v>5982</v>
      </c>
      <c r="D1250" t="s">
        <v>7209</v>
      </c>
      <c r="E1250" t="s">
        <v>9890</v>
      </c>
    </row>
    <row r="1251" spans="1:5" ht="15.6" x14ac:dyDescent="0.3">
      <c r="A1251" s="1" t="s">
        <v>1121</v>
      </c>
      <c r="B1251" s="1" t="s">
        <v>3632</v>
      </c>
      <c r="C1251" t="s">
        <v>5983</v>
      </c>
      <c r="D1251" t="s">
        <v>8051</v>
      </c>
      <c r="E1251" t="s">
        <v>9891</v>
      </c>
    </row>
    <row r="1252" spans="1:5" ht="15.6" x14ac:dyDescent="0.3">
      <c r="A1252" s="1" t="s">
        <v>1120</v>
      </c>
      <c r="B1252" s="1" t="s">
        <v>3633</v>
      </c>
      <c r="C1252" t="s">
        <v>5984</v>
      </c>
      <c r="D1252" t="s">
        <v>8052</v>
      </c>
      <c r="E1252" t="s">
        <v>9892</v>
      </c>
    </row>
    <row r="1253" spans="1:5" ht="15.6" x14ac:dyDescent="0.3">
      <c r="A1253" s="1" t="s">
        <v>1119</v>
      </c>
      <c r="B1253" s="1" t="s">
        <v>3634</v>
      </c>
      <c r="C1253" t="s">
        <v>5985</v>
      </c>
      <c r="D1253" t="s">
        <v>7590</v>
      </c>
      <c r="E1253" t="s">
        <v>9893</v>
      </c>
    </row>
    <row r="1254" spans="1:5" ht="15.6" x14ac:dyDescent="0.3">
      <c r="A1254" s="1" t="s">
        <v>1118</v>
      </c>
      <c r="B1254" s="1" t="s">
        <v>3635</v>
      </c>
      <c r="C1254" t="s">
        <v>5986</v>
      </c>
      <c r="D1254" t="s">
        <v>8053</v>
      </c>
      <c r="E1254" t="s">
        <v>9894</v>
      </c>
    </row>
    <row r="1255" spans="1:5" ht="15.6" x14ac:dyDescent="0.3">
      <c r="A1255" s="1" t="s">
        <v>1117</v>
      </c>
      <c r="B1255" s="1" t="s">
        <v>3636</v>
      </c>
      <c r="C1255" t="s">
        <v>5987</v>
      </c>
      <c r="D1255" t="s">
        <v>7628</v>
      </c>
      <c r="E1255" t="s">
        <v>9895</v>
      </c>
    </row>
    <row r="1256" spans="1:5" ht="15.6" x14ac:dyDescent="0.3">
      <c r="A1256" s="1" t="s">
        <v>1116</v>
      </c>
      <c r="B1256" s="1" t="s">
        <v>3637</v>
      </c>
      <c r="C1256" t="s">
        <v>5988</v>
      </c>
      <c r="D1256" t="s">
        <v>8054</v>
      </c>
      <c r="E1256" t="s">
        <v>9896</v>
      </c>
    </row>
    <row r="1257" spans="1:5" ht="15.6" x14ac:dyDescent="0.3">
      <c r="A1257" s="1" t="s">
        <v>1115</v>
      </c>
      <c r="B1257" s="1" t="s">
        <v>3638</v>
      </c>
      <c r="C1257" t="s">
        <v>5989</v>
      </c>
      <c r="D1257" t="s">
        <v>8055</v>
      </c>
      <c r="E1257" t="s">
        <v>9897</v>
      </c>
    </row>
    <row r="1258" spans="1:5" ht="15.6" x14ac:dyDescent="0.3">
      <c r="A1258" s="1" t="s">
        <v>1114</v>
      </c>
      <c r="B1258" s="1" t="s">
        <v>3639</v>
      </c>
      <c r="C1258" t="s">
        <v>5990</v>
      </c>
      <c r="D1258" t="s">
        <v>7217</v>
      </c>
      <c r="E1258" t="s">
        <v>9898</v>
      </c>
    </row>
    <row r="1259" spans="1:5" ht="15.6" x14ac:dyDescent="0.3">
      <c r="A1259" s="1" t="s">
        <v>1113</v>
      </c>
      <c r="B1259" s="1" t="s">
        <v>3640</v>
      </c>
      <c r="C1259" t="s">
        <v>5991</v>
      </c>
      <c r="D1259" t="s">
        <v>8056</v>
      </c>
      <c r="E1259" t="s">
        <v>9899</v>
      </c>
    </row>
    <row r="1260" spans="1:5" ht="15.6" x14ac:dyDescent="0.3">
      <c r="A1260" s="1" t="s">
        <v>1112</v>
      </c>
      <c r="B1260" s="1" t="s">
        <v>3641</v>
      </c>
      <c r="C1260" t="s">
        <v>5992</v>
      </c>
      <c r="D1260" t="s">
        <v>8057</v>
      </c>
      <c r="E1260" t="s">
        <v>9900</v>
      </c>
    </row>
    <row r="1261" spans="1:5" ht="15.6" x14ac:dyDescent="0.3">
      <c r="A1261" s="1" t="s">
        <v>1111</v>
      </c>
      <c r="B1261" s="1" t="s">
        <v>3642</v>
      </c>
      <c r="C1261" t="s">
        <v>5993</v>
      </c>
      <c r="D1261" t="s">
        <v>8058</v>
      </c>
      <c r="E1261" t="s">
        <v>9668</v>
      </c>
    </row>
    <row r="1262" spans="1:5" ht="15.6" x14ac:dyDescent="0.3">
      <c r="A1262" s="1" t="s">
        <v>1110</v>
      </c>
      <c r="B1262" s="1" t="s">
        <v>3643</v>
      </c>
      <c r="C1262" t="s">
        <v>5994</v>
      </c>
      <c r="D1262" t="s">
        <v>7420</v>
      </c>
      <c r="E1262" t="s">
        <v>9901</v>
      </c>
    </row>
    <row r="1263" spans="1:5" ht="15.6" x14ac:dyDescent="0.3">
      <c r="A1263" s="1" t="s">
        <v>1109</v>
      </c>
      <c r="B1263" s="1" t="s">
        <v>3644</v>
      </c>
      <c r="C1263" t="s">
        <v>5995</v>
      </c>
      <c r="D1263" t="s">
        <v>8059</v>
      </c>
      <c r="E1263" t="s">
        <v>9902</v>
      </c>
    </row>
    <row r="1264" spans="1:5" ht="15.6" x14ac:dyDescent="0.3">
      <c r="A1264" s="1" t="s">
        <v>1108</v>
      </c>
      <c r="B1264" s="1" t="s">
        <v>3645</v>
      </c>
      <c r="C1264" t="s">
        <v>5996</v>
      </c>
      <c r="D1264" t="s">
        <v>8060</v>
      </c>
      <c r="E1264" t="s">
        <v>9903</v>
      </c>
    </row>
    <row r="1265" spans="1:5" ht="15.6" x14ac:dyDescent="0.3">
      <c r="A1265" s="1" t="s">
        <v>1107</v>
      </c>
      <c r="B1265" s="1" t="s">
        <v>3646</v>
      </c>
      <c r="C1265" t="s">
        <v>5997</v>
      </c>
      <c r="D1265" t="s">
        <v>8061</v>
      </c>
      <c r="E1265" t="s">
        <v>9904</v>
      </c>
    </row>
    <row r="1266" spans="1:5" ht="15.6" x14ac:dyDescent="0.3">
      <c r="A1266" s="1" t="s">
        <v>1106</v>
      </c>
      <c r="B1266" s="1" t="s">
        <v>3647</v>
      </c>
      <c r="C1266" t="s">
        <v>5998</v>
      </c>
      <c r="D1266" t="s">
        <v>8062</v>
      </c>
      <c r="E1266" t="s">
        <v>9905</v>
      </c>
    </row>
    <row r="1267" spans="1:5" ht="15.6" x14ac:dyDescent="0.3">
      <c r="A1267" s="1" t="s">
        <v>1105</v>
      </c>
      <c r="B1267" s="1" t="s">
        <v>3648</v>
      </c>
      <c r="C1267" t="s">
        <v>5999</v>
      </c>
      <c r="D1267" t="s">
        <v>7260</v>
      </c>
      <c r="E1267" t="s">
        <v>9906</v>
      </c>
    </row>
    <row r="1268" spans="1:5" ht="15.6" x14ac:dyDescent="0.3">
      <c r="A1268" s="1" t="s">
        <v>1104</v>
      </c>
      <c r="B1268" s="1" t="s">
        <v>3649</v>
      </c>
      <c r="C1268" t="s">
        <v>6000</v>
      </c>
      <c r="D1268" t="s">
        <v>8063</v>
      </c>
      <c r="E1268" t="s">
        <v>9907</v>
      </c>
    </row>
    <row r="1269" spans="1:5" ht="15.6" x14ac:dyDescent="0.3">
      <c r="A1269" s="1" t="s">
        <v>1103</v>
      </c>
      <c r="B1269" s="1" t="s">
        <v>3650</v>
      </c>
      <c r="C1269" t="s">
        <v>6001</v>
      </c>
      <c r="D1269" t="s">
        <v>8064</v>
      </c>
      <c r="E1269" t="s">
        <v>9908</v>
      </c>
    </row>
    <row r="1270" spans="1:5" ht="15.6" x14ac:dyDescent="0.3">
      <c r="A1270" s="1" t="s">
        <v>1102</v>
      </c>
      <c r="B1270" s="1" t="s">
        <v>3651</v>
      </c>
      <c r="C1270" t="s">
        <v>6002</v>
      </c>
      <c r="D1270" t="s">
        <v>8059</v>
      </c>
      <c r="E1270" t="s">
        <v>9909</v>
      </c>
    </row>
    <row r="1271" spans="1:5" ht="15.6" x14ac:dyDescent="0.3">
      <c r="A1271" s="1" t="s">
        <v>1101</v>
      </c>
      <c r="B1271" s="1" t="s">
        <v>3652</v>
      </c>
      <c r="C1271" t="s">
        <v>6003</v>
      </c>
      <c r="D1271" t="s">
        <v>8065</v>
      </c>
      <c r="E1271" t="s">
        <v>8934</v>
      </c>
    </row>
    <row r="1272" spans="1:5" ht="15.6" x14ac:dyDescent="0.3">
      <c r="A1272" s="1" t="s">
        <v>1100</v>
      </c>
      <c r="B1272" s="1" t="s">
        <v>3653</v>
      </c>
      <c r="C1272" t="s">
        <v>6004</v>
      </c>
      <c r="D1272" t="s">
        <v>8066</v>
      </c>
      <c r="E1272" t="s">
        <v>8890</v>
      </c>
    </row>
    <row r="1273" spans="1:5" ht="15.6" x14ac:dyDescent="0.3">
      <c r="A1273" s="1" t="s">
        <v>1099</v>
      </c>
      <c r="B1273" s="1" t="s">
        <v>3654</v>
      </c>
      <c r="C1273" t="s">
        <v>6005</v>
      </c>
      <c r="D1273" t="s">
        <v>8067</v>
      </c>
      <c r="E1273" t="s">
        <v>9910</v>
      </c>
    </row>
    <row r="1274" spans="1:5" ht="15.6" x14ac:dyDescent="0.3">
      <c r="A1274" s="1" t="s">
        <v>1098</v>
      </c>
      <c r="B1274" s="1" t="s">
        <v>3655</v>
      </c>
      <c r="C1274" t="s">
        <v>6006</v>
      </c>
      <c r="D1274" t="s">
        <v>8068</v>
      </c>
      <c r="E1274" t="s">
        <v>9911</v>
      </c>
    </row>
    <row r="1275" spans="1:5" ht="15.6" x14ac:dyDescent="0.3">
      <c r="A1275" s="1" t="s">
        <v>1097</v>
      </c>
      <c r="B1275" s="1" t="s">
        <v>3656</v>
      </c>
      <c r="C1275" t="s">
        <v>6007</v>
      </c>
      <c r="D1275" t="s">
        <v>8069</v>
      </c>
      <c r="E1275" t="s">
        <v>9912</v>
      </c>
    </row>
    <row r="1276" spans="1:5" ht="15.6" x14ac:dyDescent="0.3">
      <c r="A1276" s="1" t="s">
        <v>1096</v>
      </c>
      <c r="B1276" s="1" t="s">
        <v>3657</v>
      </c>
      <c r="C1276" t="s">
        <v>6008</v>
      </c>
      <c r="D1276" t="s">
        <v>7100</v>
      </c>
      <c r="E1276" t="s">
        <v>9913</v>
      </c>
    </row>
    <row r="1277" spans="1:5" ht="15.6" x14ac:dyDescent="0.3">
      <c r="A1277" s="1" t="s">
        <v>1095</v>
      </c>
      <c r="B1277" s="1" t="s">
        <v>3658</v>
      </c>
      <c r="C1277" t="s">
        <v>6009</v>
      </c>
      <c r="D1277" t="s">
        <v>8070</v>
      </c>
      <c r="E1277" t="s">
        <v>9652</v>
      </c>
    </row>
    <row r="1278" spans="1:5" ht="15.6" x14ac:dyDescent="0.3">
      <c r="A1278" s="1" t="s">
        <v>1094</v>
      </c>
      <c r="B1278" s="1" t="s">
        <v>3659</v>
      </c>
      <c r="C1278" t="s">
        <v>6010</v>
      </c>
      <c r="D1278" t="s">
        <v>8071</v>
      </c>
      <c r="E1278" t="s">
        <v>9914</v>
      </c>
    </row>
    <row r="1279" spans="1:5" ht="15.6" x14ac:dyDescent="0.3">
      <c r="A1279" s="1" t="s">
        <v>1093</v>
      </c>
      <c r="B1279" s="1" t="s">
        <v>3660</v>
      </c>
      <c r="C1279" t="s">
        <v>6011</v>
      </c>
      <c r="D1279" t="s">
        <v>8072</v>
      </c>
      <c r="E1279" t="s">
        <v>9915</v>
      </c>
    </row>
    <row r="1280" spans="1:5" ht="15.6" x14ac:dyDescent="0.3">
      <c r="A1280" s="1" t="s">
        <v>1092</v>
      </c>
      <c r="B1280" s="1" t="s">
        <v>3661</v>
      </c>
      <c r="C1280" t="s">
        <v>6012</v>
      </c>
      <c r="D1280" t="s">
        <v>7939</v>
      </c>
      <c r="E1280" t="s">
        <v>9916</v>
      </c>
    </row>
    <row r="1281" spans="1:5" ht="15.6" x14ac:dyDescent="0.3">
      <c r="A1281" s="1" t="s">
        <v>1091</v>
      </c>
      <c r="B1281" s="1" t="s">
        <v>3662</v>
      </c>
      <c r="C1281" t="s">
        <v>6013</v>
      </c>
      <c r="D1281" t="s">
        <v>8073</v>
      </c>
      <c r="E1281" t="s">
        <v>9917</v>
      </c>
    </row>
    <row r="1282" spans="1:5" ht="15.6" x14ac:dyDescent="0.3">
      <c r="A1282" s="1" t="s">
        <v>1090</v>
      </c>
      <c r="B1282" s="1" t="s">
        <v>3663</v>
      </c>
      <c r="C1282" t="s">
        <v>6014</v>
      </c>
      <c r="D1282" t="s">
        <v>7216</v>
      </c>
      <c r="E1282" t="s">
        <v>9918</v>
      </c>
    </row>
    <row r="1283" spans="1:5" ht="15.6" x14ac:dyDescent="0.3">
      <c r="A1283" s="1" t="s">
        <v>1089</v>
      </c>
      <c r="B1283" s="1" t="s">
        <v>3664</v>
      </c>
      <c r="C1283" t="s">
        <v>6015</v>
      </c>
      <c r="D1283" t="s">
        <v>8074</v>
      </c>
      <c r="E1283" t="s">
        <v>9919</v>
      </c>
    </row>
    <row r="1284" spans="1:5" ht="15.6" x14ac:dyDescent="0.3">
      <c r="A1284" s="1" t="s">
        <v>1088</v>
      </c>
      <c r="B1284" s="1" t="s">
        <v>3665</v>
      </c>
      <c r="C1284" t="s">
        <v>6016</v>
      </c>
      <c r="D1284" t="s">
        <v>7275</v>
      </c>
      <c r="E1284" t="s">
        <v>8986</v>
      </c>
    </row>
    <row r="1285" spans="1:5" ht="15.6" x14ac:dyDescent="0.3">
      <c r="A1285" s="1" t="s">
        <v>1087</v>
      </c>
      <c r="B1285" s="1" t="s">
        <v>3666</v>
      </c>
      <c r="C1285" t="s">
        <v>6017</v>
      </c>
      <c r="D1285" t="s">
        <v>8075</v>
      </c>
      <c r="E1285" t="s">
        <v>9920</v>
      </c>
    </row>
    <row r="1286" spans="1:5" ht="15.6" x14ac:dyDescent="0.3">
      <c r="A1286" s="1" t="s">
        <v>1086</v>
      </c>
      <c r="B1286" s="1" t="s">
        <v>3667</v>
      </c>
      <c r="C1286" t="s">
        <v>6018</v>
      </c>
      <c r="D1286" t="s">
        <v>8076</v>
      </c>
      <c r="E1286" t="s">
        <v>9921</v>
      </c>
    </row>
    <row r="1287" spans="1:5" ht="15.6" x14ac:dyDescent="0.3">
      <c r="A1287" s="1" t="s">
        <v>1085</v>
      </c>
      <c r="B1287" s="1" t="s">
        <v>3668</v>
      </c>
      <c r="C1287" t="s">
        <v>6019</v>
      </c>
      <c r="D1287" t="s">
        <v>8077</v>
      </c>
      <c r="E1287" t="s">
        <v>9922</v>
      </c>
    </row>
    <row r="1288" spans="1:5" ht="15.6" x14ac:dyDescent="0.3">
      <c r="A1288" s="1" t="s">
        <v>1084</v>
      </c>
      <c r="B1288" s="1" t="s">
        <v>3669</v>
      </c>
      <c r="C1288" t="s">
        <v>6020</v>
      </c>
      <c r="D1288" t="s">
        <v>8078</v>
      </c>
      <c r="E1288" t="s">
        <v>8760</v>
      </c>
    </row>
    <row r="1289" spans="1:5" ht="15.6" x14ac:dyDescent="0.3">
      <c r="A1289" s="1" t="s">
        <v>1083</v>
      </c>
      <c r="B1289" s="1" t="s">
        <v>3670</v>
      </c>
      <c r="C1289" t="s">
        <v>6021</v>
      </c>
      <c r="D1289" t="s">
        <v>7247</v>
      </c>
      <c r="E1289" t="s">
        <v>9923</v>
      </c>
    </row>
    <row r="1290" spans="1:5" ht="15.6" x14ac:dyDescent="0.3">
      <c r="A1290" s="1" t="s">
        <v>1082</v>
      </c>
      <c r="B1290" s="1" t="s">
        <v>3671</v>
      </c>
      <c r="C1290" t="s">
        <v>6022</v>
      </c>
      <c r="D1290" t="s">
        <v>8079</v>
      </c>
      <c r="E1290" t="s">
        <v>9924</v>
      </c>
    </row>
    <row r="1291" spans="1:5" ht="15.6" x14ac:dyDescent="0.3">
      <c r="A1291" s="1" t="s">
        <v>1081</v>
      </c>
      <c r="B1291" s="1" t="s">
        <v>3672</v>
      </c>
      <c r="C1291" t="s">
        <v>6023</v>
      </c>
      <c r="D1291" t="s">
        <v>8080</v>
      </c>
      <c r="E1291" t="s">
        <v>9925</v>
      </c>
    </row>
    <row r="1292" spans="1:5" ht="15.6" x14ac:dyDescent="0.3">
      <c r="A1292" s="1" t="s">
        <v>1080</v>
      </c>
      <c r="B1292" s="1" t="s">
        <v>3673</v>
      </c>
      <c r="C1292" t="s">
        <v>6024</v>
      </c>
      <c r="D1292" t="s">
        <v>7129</v>
      </c>
      <c r="E1292" t="s">
        <v>9926</v>
      </c>
    </row>
    <row r="1293" spans="1:5" ht="15.6" x14ac:dyDescent="0.3">
      <c r="A1293" s="1" t="s">
        <v>1079</v>
      </c>
      <c r="B1293" s="1" t="s">
        <v>3674</v>
      </c>
      <c r="C1293" t="s">
        <v>6025</v>
      </c>
      <c r="D1293" t="s">
        <v>7939</v>
      </c>
      <c r="E1293" t="s">
        <v>9927</v>
      </c>
    </row>
    <row r="1294" spans="1:5" ht="15.6" x14ac:dyDescent="0.3">
      <c r="A1294" s="1" t="s">
        <v>1078</v>
      </c>
      <c r="B1294" s="1" t="s">
        <v>3675</v>
      </c>
      <c r="C1294" t="s">
        <v>6026</v>
      </c>
      <c r="D1294" t="s">
        <v>8081</v>
      </c>
      <c r="E1294" t="s">
        <v>9928</v>
      </c>
    </row>
    <row r="1295" spans="1:5" ht="15.6" x14ac:dyDescent="0.3">
      <c r="A1295" s="1" t="s">
        <v>1077</v>
      </c>
      <c r="B1295" s="1" t="s">
        <v>3676</v>
      </c>
      <c r="C1295" t="s">
        <v>6027</v>
      </c>
      <c r="D1295" t="s">
        <v>8082</v>
      </c>
      <c r="E1295" t="s">
        <v>9929</v>
      </c>
    </row>
    <row r="1296" spans="1:5" ht="15.6" x14ac:dyDescent="0.3">
      <c r="A1296" s="1" t="s">
        <v>1076</v>
      </c>
      <c r="B1296" s="1" t="s">
        <v>3677</v>
      </c>
      <c r="C1296" t="s">
        <v>6028</v>
      </c>
      <c r="D1296" t="s">
        <v>8083</v>
      </c>
      <c r="E1296" t="s">
        <v>9930</v>
      </c>
    </row>
    <row r="1297" spans="1:5" ht="15.6" x14ac:dyDescent="0.3">
      <c r="A1297" s="1" t="s">
        <v>1075</v>
      </c>
      <c r="B1297" s="1" t="s">
        <v>3678</v>
      </c>
      <c r="C1297" t="s">
        <v>6029</v>
      </c>
      <c r="D1297" t="s">
        <v>8084</v>
      </c>
      <c r="E1297" t="s">
        <v>9931</v>
      </c>
    </row>
    <row r="1298" spans="1:5" ht="15.6" x14ac:dyDescent="0.3">
      <c r="A1298" s="1" t="s">
        <v>1074</v>
      </c>
      <c r="B1298" s="1" t="s">
        <v>3679</v>
      </c>
      <c r="C1298" t="s">
        <v>6030</v>
      </c>
      <c r="D1298" t="s">
        <v>8085</v>
      </c>
      <c r="E1298" t="s">
        <v>9932</v>
      </c>
    </row>
    <row r="1299" spans="1:5" ht="15.6" x14ac:dyDescent="0.3">
      <c r="A1299" s="1" t="s">
        <v>1073</v>
      </c>
      <c r="B1299" s="1" t="s">
        <v>3680</v>
      </c>
      <c r="C1299" t="s">
        <v>6031</v>
      </c>
      <c r="D1299" t="s">
        <v>8086</v>
      </c>
      <c r="E1299" t="s">
        <v>9351</v>
      </c>
    </row>
    <row r="1300" spans="1:5" ht="15.6" x14ac:dyDescent="0.3">
      <c r="A1300" s="1" t="s">
        <v>1072</v>
      </c>
      <c r="B1300" s="1" t="s">
        <v>3681</v>
      </c>
      <c r="C1300" t="s">
        <v>6032</v>
      </c>
      <c r="D1300" t="s">
        <v>8087</v>
      </c>
      <c r="E1300" t="s">
        <v>9751</v>
      </c>
    </row>
    <row r="1301" spans="1:5" ht="15.6" x14ac:dyDescent="0.3">
      <c r="A1301" s="1" t="s">
        <v>1071</v>
      </c>
      <c r="B1301" s="1" t="s">
        <v>3682</v>
      </c>
      <c r="C1301" t="s">
        <v>6033</v>
      </c>
      <c r="D1301" t="s">
        <v>7113</v>
      </c>
      <c r="E1301" t="s">
        <v>9933</v>
      </c>
    </row>
    <row r="1302" spans="1:5" ht="15.6" x14ac:dyDescent="0.3">
      <c r="A1302" s="1" t="s">
        <v>1070</v>
      </c>
      <c r="B1302" s="1" t="s">
        <v>3683</v>
      </c>
      <c r="C1302" t="s">
        <v>6034</v>
      </c>
      <c r="D1302" t="s">
        <v>8088</v>
      </c>
      <c r="E1302" t="s">
        <v>9934</v>
      </c>
    </row>
    <row r="1303" spans="1:5" ht="15.6" x14ac:dyDescent="0.3">
      <c r="A1303" s="1" t="s">
        <v>1069</v>
      </c>
      <c r="B1303" s="1" t="s">
        <v>3684</v>
      </c>
      <c r="C1303" t="s">
        <v>6035</v>
      </c>
      <c r="D1303" t="s">
        <v>8089</v>
      </c>
      <c r="E1303" t="s">
        <v>9935</v>
      </c>
    </row>
    <row r="1304" spans="1:5" ht="15.6" x14ac:dyDescent="0.3">
      <c r="A1304" s="1" t="s">
        <v>1068</v>
      </c>
      <c r="B1304" s="1" t="s">
        <v>3685</v>
      </c>
      <c r="C1304" t="s">
        <v>6036</v>
      </c>
      <c r="D1304" t="s">
        <v>8090</v>
      </c>
      <c r="E1304" t="s">
        <v>9936</v>
      </c>
    </row>
    <row r="1305" spans="1:5" ht="15.6" x14ac:dyDescent="0.3">
      <c r="A1305" s="1" t="s">
        <v>1067</v>
      </c>
      <c r="B1305" s="1" t="s">
        <v>3686</v>
      </c>
      <c r="C1305" t="s">
        <v>6037</v>
      </c>
      <c r="D1305" t="s">
        <v>7275</v>
      </c>
      <c r="E1305" t="s">
        <v>9937</v>
      </c>
    </row>
    <row r="1306" spans="1:5" ht="15.6" x14ac:dyDescent="0.3">
      <c r="A1306" s="1" t="s">
        <v>1066</v>
      </c>
      <c r="B1306" s="1" t="s">
        <v>3687</v>
      </c>
      <c r="C1306" t="s">
        <v>6038</v>
      </c>
      <c r="D1306" t="s">
        <v>7433</v>
      </c>
      <c r="E1306" t="s">
        <v>9938</v>
      </c>
    </row>
    <row r="1307" spans="1:5" ht="15.6" x14ac:dyDescent="0.3">
      <c r="A1307" s="1" t="s">
        <v>1065</v>
      </c>
      <c r="B1307" s="1" t="s">
        <v>3688</v>
      </c>
      <c r="C1307" t="s">
        <v>6039</v>
      </c>
      <c r="D1307" t="s">
        <v>8091</v>
      </c>
      <c r="E1307" t="s">
        <v>9939</v>
      </c>
    </row>
    <row r="1308" spans="1:5" ht="15.6" x14ac:dyDescent="0.3">
      <c r="A1308" s="1" t="s">
        <v>1064</v>
      </c>
      <c r="B1308" s="1" t="s">
        <v>3689</v>
      </c>
      <c r="C1308" t="s">
        <v>6040</v>
      </c>
      <c r="D1308" t="s">
        <v>8092</v>
      </c>
      <c r="E1308" t="s">
        <v>9940</v>
      </c>
    </row>
    <row r="1309" spans="1:5" ht="15.6" x14ac:dyDescent="0.3">
      <c r="A1309" s="1" t="s">
        <v>1063</v>
      </c>
      <c r="B1309" s="1" t="s">
        <v>3690</v>
      </c>
      <c r="C1309" t="s">
        <v>6041</v>
      </c>
      <c r="D1309" t="s">
        <v>7775</v>
      </c>
      <c r="E1309" t="s">
        <v>9941</v>
      </c>
    </row>
    <row r="1310" spans="1:5" ht="15.6" x14ac:dyDescent="0.3">
      <c r="A1310" s="1" t="s">
        <v>1062</v>
      </c>
      <c r="B1310" s="1" t="s">
        <v>3691</v>
      </c>
      <c r="C1310" t="s">
        <v>6042</v>
      </c>
      <c r="D1310" t="s">
        <v>8093</v>
      </c>
      <c r="E1310" t="s">
        <v>9060</v>
      </c>
    </row>
    <row r="1311" spans="1:5" ht="15.6" x14ac:dyDescent="0.3">
      <c r="A1311" s="1" t="s">
        <v>1061</v>
      </c>
      <c r="B1311" s="1" t="s">
        <v>3692</v>
      </c>
      <c r="C1311" t="s">
        <v>6043</v>
      </c>
      <c r="D1311" t="s">
        <v>8094</v>
      </c>
      <c r="E1311" t="s">
        <v>9942</v>
      </c>
    </row>
    <row r="1312" spans="1:5" ht="15.6" x14ac:dyDescent="0.3">
      <c r="A1312" s="1" t="s">
        <v>1060</v>
      </c>
      <c r="B1312" s="1" t="s">
        <v>3693</v>
      </c>
      <c r="C1312" t="s">
        <v>6044</v>
      </c>
      <c r="D1312" t="s">
        <v>8095</v>
      </c>
      <c r="E1312" t="s">
        <v>9943</v>
      </c>
    </row>
    <row r="1313" spans="1:5" ht="15.6" x14ac:dyDescent="0.3">
      <c r="A1313" s="1" t="s">
        <v>1059</v>
      </c>
      <c r="B1313" s="1" t="s">
        <v>3694</v>
      </c>
      <c r="C1313" t="s">
        <v>6045</v>
      </c>
      <c r="D1313" t="s">
        <v>7420</v>
      </c>
      <c r="E1313" t="s">
        <v>9944</v>
      </c>
    </row>
    <row r="1314" spans="1:5" ht="15.6" x14ac:dyDescent="0.3">
      <c r="A1314" s="1" t="s">
        <v>1058</v>
      </c>
      <c r="B1314" s="1" t="s">
        <v>3695</v>
      </c>
      <c r="C1314" t="s">
        <v>6046</v>
      </c>
      <c r="D1314" t="s">
        <v>8096</v>
      </c>
      <c r="E1314" t="s">
        <v>9945</v>
      </c>
    </row>
    <row r="1315" spans="1:5" ht="15.6" x14ac:dyDescent="0.3">
      <c r="A1315" s="1" t="s">
        <v>1057</v>
      </c>
      <c r="B1315" s="1" t="s">
        <v>3696</v>
      </c>
      <c r="C1315" t="s">
        <v>6047</v>
      </c>
      <c r="D1315" t="s">
        <v>7314</v>
      </c>
      <c r="E1315" t="s">
        <v>9946</v>
      </c>
    </row>
    <row r="1316" spans="1:5" ht="15.6" x14ac:dyDescent="0.3">
      <c r="A1316" s="1" t="s">
        <v>1056</v>
      </c>
      <c r="B1316" s="1" t="s">
        <v>3697</v>
      </c>
      <c r="C1316" t="s">
        <v>6048</v>
      </c>
      <c r="D1316" t="s">
        <v>8097</v>
      </c>
      <c r="E1316" t="s">
        <v>9947</v>
      </c>
    </row>
    <row r="1317" spans="1:5" ht="15.6" x14ac:dyDescent="0.3">
      <c r="A1317" s="1" t="s">
        <v>1055</v>
      </c>
      <c r="B1317" s="1" t="s">
        <v>3698</v>
      </c>
      <c r="C1317" t="s">
        <v>6049</v>
      </c>
      <c r="D1317" t="s">
        <v>7492</v>
      </c>
      <c r="E1317" t="s">
        <v>9948</v>
      </c>
    </row>
    <row r="1318" spans="1:5" ht="15.6" x14ac:dyDescent="0.3">
      <c r="A1318" s="1" t="s">
        <v>1054</v>
      </c>
      <c r="B1318" s="1" t="s">
        <v>3699</v>
      </c>
      <c r="C1318" t="s">
        <v>6050</v>
      </c>
      <c r="D1318" t="s">
        <v>8098</v>
      </c>
      <c r="E1318" t="s">
        <v>9949</v>
      </c>
    </row>
    <row r="1319" spans="1:5" ht="15.6" x14ac:dyDescent="0.3">
      <c r="A1319" s="1" t="s">
        <v>1053</v>
      </c>
      <c r="B1319" s="1" t="s">
        <v>3700</v>
      </c>
      <c r="C1319" t="s">
        <v>6051</v>
      </c>
      <c r="D1319" t="s">
        <v>8099</v>
      </c>
      <c r="E1319" t="s">
        <v>9950</v>
      </c>
    </row>
    <row r="1320" spans="1:5" ht="15.6" x14ac:dyDescent="0.3">
      <c r="A1320" s="1" t="s">
        <v>1052</v>
      </c>
      <c r="B1320" s="1" t="s">
        <v>3701</v>
      </c>
      <c r="C1320" t="s">
        <v>6052</v>
      </c>
      <c r="D1320" t="s">
        <v>8100</v>
      </c>
      <c r="E1320" t="s">
        <v>9951</v>
      </c>
    </row>
    <row r="1321" spans="1:5" ht="15.6" x14ac:dyDescent="0.3">
      <c r="A1321" s="1" t="s">
        <v>1051</v>
      </c>
      <c r="B1321" s="1" t="s">
        <v>3702</v>
      </c>
      <c r="C1321" t="s">
        <v>6053</v>
      </c>
      <c r="D1321" t="s">
        <v>7078</v>
      </c>
      <c r="E1321" t="s">
        <v>9952</v>
      </c>
    </row>
    <row r="1322" spans="1:5" ht="15.6" x14ac:dyDescent="0.3">
      <c r="A1322" s="1" t="s">
        <v>1050</v>
      </c>
      <c r="B1322" s="1" t="s">
        <v>3703</v>
      </c>
      <c r="C1322" t="s">
        <v>6054</v>
      </c>
      <c r="D1322" t="s">
        <v>8101</v>
      </c>
      <c r="E1322" t="s">
        <v>9953</v>
      </c>
    </row>
    <row r="1323" spans="1:5" ht="15.6" x14ac:dyDescent="0.3">
      <c r="A1323" s="1" t="s">
        <v>1049</v>
      </c>
      <c r="B1323" s="1" t="s">
        <v>3704</v>
      </c>
      <c r="C1323" t="s">
        <v>6055</v>
      </c>
      <c r="D1323" t="s">
        <v>8102</v>
      </c>
      <c r="E1323" t="s">
        <v>9954</v>
      </c>
    </row>
    <row r="1324" spans="1:5" ht="15.6" x14ac:dyDescent="0.3">
      <c r="A1324" s="1" t="s">
        <v>1048</v>
      </c>
      <c r="B1324" s="1" t="s">
        <v>3705</v>
      </c>
      <c r="C1324" t="s">
        <v>6056</v>
      </c>
      <c r="D1324" t="s">
        <v>8103</v>
      </c>
      <c r="E1324" t="s">
        <v>9955</v>
      </c>
    </row>
    <row r="1325" spans="1:5" ht="15.6" x14ac:dyDescent="0.3">
      <c r="A1325" s="1" t="s">
        <v>1047</v>
      </c>
      <c r="B1325" s="1" t="s">
        <v>3706</v>
      </c>
      <c r="C1325" t="s">
        <v>6057</v>
      </c>
      <c r="D1325" t="s">
        <v>8104</v>
      </c>
      <c r="E1325" t="s">
        <v>9956</v>
      </c>
    </row>
    <row r="1326" spans="1:5" ht="15.6" x14ac:dyDescent="0.3">
      <c r="A1326" s="1" t="s">
        <v>1046</v>
      </c>
      <c r="B1326" s="1" t="s">
        <v>3707</v>
      </c>
      <c r="C1326" t="s">
        <v>6058</v>
      </c>
      <c r="D1326" t="s">
        <v>7136</v>
      </c>
      <c r="E1326" t="s">
        <v>9957</v>
      </c>
    </row>
    <row r="1327" spans="1:5" ht="15.6" x14ac:dyDescent="0.3">
      <c r="A1327" s="1" t="s">
        <v>1045</v>
      </c>
      <c r="B1327" s="1" t="s">
        <v>3708</v>
      </c>
      <c r="C1327" t="s">
        <v>6059</v>
      </c>
      <c r="D1327" t="s">
        <v>8105</v>
      </c>
      <c r="E1327" t="s">
        <v>9958</v>
      </c>
    </row>
    <row r="1328" spans="1:5" ht="15.6" x14ac:dyDescent="0.3">
      <c r="A1328" s="1" t="s">
        <v>1044</v>
      </c>
      <c r="B1328" s="1" t="s">
        <v>3709</v>
      </c>
      <c r="C1328" t="s">
        <v>6060</v>
      </c>
      <c r="D1328" t="s">
        <v>7490</v>
      </c>
      <c r="E1328" t="s">
        <v>9959</v>
      </c>
    </row>
    <row r="1329" spans="1:5" ht="15.6" x14ac:dyDescent="0.3">
      <c r="A1329" s="1" t="s">
        <v>1043</v>
      </c>
      <c r="B1329" s="1" t="s">
        <v>3710</v>
      </c>
      <c r="C1329" t="s">
        <v>6061</v>
      </c>
      <c r="D1329" t="s">
        <v>8106</v>
      </c>
      <c r="E1329" t="s">
        <v>9960</v>
      </c>
    </row>
    <row r="1330" spans="1:5" ht="15.6" x14ac:dyDescent="0.3">
      <c r="A1330" s="1" t="s">
        <v>1042</v>
      </c>
      <c r="B1330" s="1" t="s">
        <v>3711</v>
      </c>
      <c r="C1330" t="s">
        <v>6062</v>
      </c>
      <c r="D1330" t="s">
        <v>8107</v>
      </c>
      <c r="E1330" t="s">
        <v>9961</v>
      </c>
    </row>
    <row r="1331" spans="1:5" ht="15.6" x14ac:dyDescent="0.3">
      <c r="A1331" s="1" t="s">
        <v>1041</v>
      </c>
      <c r="B1331" s="1" t="s">
        <v>3712</v>
      </c>
      <c r="C1331" t="s">
        <v>6063</v>
      </c>
      <c r="D1331" t="s">
        <v>7282</v>
      </c>
      <c r="E1331" t="s">
        <v>9962</v>
      </c>
    </row>
    <row r="1332" spans="1:5" ht="15.6" x14ac:dyDescent="0.3">
      <c r="A1332" s="1" t="s">
        <v>1040</v>
      </c>
      <c r="B1332" s="1" t="s">
        <v>3713</v>
      </c>
      <c r="C1332" t="s">
        <v>6064</v>
      </c>
      <c r="D1332" t="s">
        <v>7496</v>
      </c>
      <c r="E1332" t="s">
        <v>9963</v>
      </c>
    </row>
    <row r="1333" spans="1:5" ht="15.6" x14ac:dyDescent="0.3">
      <c r="A1333" s="1" t="s">
        <v>1039</v>
      </c>
      <c r="B1333" s="1" t="s">
        <v>3714</v>
      </c>
      <c r="C1333" t="s">
        <v>6065</v>
      </c>
      <c r="D1333" t="s">
        <v>8108</v>
      </c>
      <c r="E1333" t="s">
        <v>9964</v>
      </c>
    </row>
    <row r="1334" spans="1:5" ht="15.6" x14ac:dyDescent="0.3">
      <c r="A1334" s="1" t="s">
        <v>1038</v>
      </c>
      <c r="B1334" s="1" t="s">
        <v>3715</v>
      </c>
      <c r="C1334" t="s">
        <v>6066</v>
      </c>
      <c r="D1334" t="s">
        <v>8109</v>
      </c>
      <c r="E1334" t="s">
        <v>9965</v>
      </c>
    </row>
    <row r="1335" spans="1:5" ht="15.6" x14ac:dyDescent="0.3">
      <c r="A1335" s="1" t="s">
        <v>1037</v>
      </c>
      <c r="B1335" s="1" t="s">
        <v>3716</v>
      </c>
      <c r="C1335" t="s">
        <v>6067</v>
      </c>
      <c r="D1335" t="s">
        <v>8110</v>
      </c>
      <c r="E1335" t="s">
        <v>9966</v>
      </c>
    </row>
    <row r="1336" spans="1:5" ht="15.6" x14ac:dyDescent="0.3">
      <c r="A1336" s="1" t="s">
        <v>1036</v>
      </c>
      <c r="B1336" s="1" t="s">
        <v>3717</v>
      </c>
      <c r="C1336" t="s">
        <v>6068</v>
      </c>
      <c r="D1336" t="s">
        <v>8111</v>
      </c>
      <c r="E1336" t="s">
        <v>9967</v>
      </c>
    </row>
    <row r="1337" spans="1:5" ht="15.6" x14ac:dyDescent="0.3">
      <c r="A1337" s="1" t="s">
        <v>1035</v>
      </c>
      <c r="B1337" s="1" t="s">
        <v>3718</v>
      </c>
      <c r="C1337" t="s">
        <v>6069</v>
      </c>
      <c r="D1337" t="s">
        <v>8112</v>
      </c>
      <c r="E1337" t="s">
        <v>8753</v>
      </c>
    </row>
    <row r="1338" spans="1:5" ht="15.6" x14ac:dyDescent="0.3">
      <c r="A1338" s="1" t="s">
        <v>1034</v>
      </c>
      <c r="B1338" s="1" t="s">
        <v>3719</v>
      </c>
      <c r="C1338" t="s">
        <v>6070</v>
      </c>
      <c r="D1338" t="s">
        <v>8113</v>
      </c>
      <c r="E1338" t="s">
        <v>9968</v>
      </c>
    </row>
    <row r="1339" spans="1:5" ht="15.6" x14ac:dyDescent="0.3">
      <c r="A1339" s="1" t="s">
        <v>1033</v>
      </c>
      <c r="B1339" s="1" t="s">
        <v>3720</v>
      </c>
      <c r="C1339" t="s">
        <v>6071</v>
      </c>
      <c r="D1339" t="s">
        <v>8114</v>
      </c>
      <c r="E1339" t="s">
        <v>8814</v>
      </c>
    </row>
    <row r="1340" spans="1:5" ht="15.6" x14ac:dyDescent="0.3">
      <c r="A1340" s="1" t="s">
        <v>1032</v>
      </c>
      <c r="B1340" s="1" t="s">
        <v>3721</v>
      </c>
      <c r="C1340" t="s">
        <v>6072</v>
      </c>
      <c r="D1340" t="s">
        <v>7218</v>
      </c>
      <c r="E1340" t="s">
        <v>9969</v>
      </c>
    </row>
    <row r="1341" spans="1:5" ht="15.6" x14ac:dyDescent="0.3">
      <c r="A1341" s="1" t="s">
        <v>1031</v>
      </c>
      <c r="B1341" s="1" t="s">
        <v>3722</v>
      </c>
      <c r="C1341" t="s">
        <v>6073</v>
      </c>
      <c r="D1341" t="s">
        <v>8115</v>
      </c>
      <c r="E1341" t="s">
        <v>9970</v>
      </c>
    </row>
    <row r="1342" spans="1:5" ht="15.6" x14ac:dyDescent="0.3">
      <c r="A1342" s="1" t="s">
        <v>1030</v>
      </c>
      <c r="B1342" s="1" t="s">
        <v>3723</v>
      </c>
      <c r="C1342" t="s">
        <v>6074</v>
      </c>
      <c r="D1342" t="s">
        <v>8116</v>
      </c>
      <c r="E1342" t="s">
        <v>9971</v>
      </c>
    </row>
    <row r="1343" spans="1:5" ht="15.6" x14ac:dyDescent="0.3">
      <c r="A1343" s="1" t="s">
        <v>1029</v>
      </c>
      <c r="B1343" s="1" t="s">
        <v>3724</v>
      </c>
      <c r="C1343" t="s">
        <v>6075</v>
      </c>
      <c r="D1343" t="s">
        <v>8117</v>
      </c>
      <c r="E1343" t="s">
        <v>9972</v>
      </c>
    </row>
    <row r="1344" spans="1:5" ht="15.6" x14ac:dyDescent="0.3">
      <c r="A1344" s="1" t="s">
        <v>1028</v>
      </c>
      <c r="B1344" s="1" t="s">
        <v>3725</v>
      </c>
      <c r="C1344" t="s">
        <v>6076</v>
      </c>
      <c r="D1344" t="s">
        <v>8118</v>
      </c>
      <c r="E1344" t="s">
        <v>9973</v>
      </c>
    </row>
    <row r="1345" spans="1:5" ht="15.6" x14ac:dyDescent="0.3">
      <c r="A1345" s="1" t="s">
        <v>1027</v>
      </c>
      <c r="B1345" s="1" t="s">
        <v>3726</v>
      </c>
      <c r="C1345" t="s">
        <v>6077</v>
      </c>
      <c r="D1345" t="s">
        <v>7441</v>
      </c>
      <c r="E1345" t="s">
        <v>9974</v>
      </c>
    </row>
    <row r="1346" spans="1:5" ht="15.6" x14ac:dyDescent="0.3">
      <c r="A1346" s="1" t="s">
        <v>1026</v>
      </c>
      <c r="B1346" s="1" t="s">
        <v>3727</v>
      </c>
      <c r="C1346" t="s">
        <v>6078</v>
      </c>
      <c r="D1346" t="s">
        <v>7167</v>
      </c>
      <c r="E1346" t="s">
        <v>9975</v>
      </c>
    </row>
    <row r="1347" spans="1:5" ht="15.6" x14ac:dyDescent="0.3">
      <c r="A1347" s="1" t="s">
        <v>1025</v>
      </c>
      <c r="B1347" s="1" t="s">
        <v>3728</v>
      </c>
      <c r="C1347" t="s">
        <v>6079</v>
      </c>
      <c r="D1347" t="s">
        <v>8119</v>
      </c>
      <c r="E1347" t="s">
        <v>9976</v>
      </c>
    </row>
    <row r="1348" spans="1:5" ht="15.6" x14ac:dyDescent="0.3">
      <c r="A1348" s="1" t="s">
        <v>1024</v>
      </c>
      <c r="B1348" s="1" t="s">
        <v>3729</v>
      </c>
      <c r="C1348" t="s">
        <v>6080</v>
      </c>
      <c r="D1348" t="s">
        <v>7241</v>
      </c>
      <c r="E1348" t="s">
        <v>9977</v>
      </c>
    </row>
    <row r="1349" spans="1:5" ht="15.6" x14ac:dyDescent="0.3">
      <c r="A1349" s="1" t="s">
        <v>1023</v>
      </c>
      <c r="B1349" s="1" t="s">
        <v>3730</v>
      </c>
      <c r="C1349" t="s">
        <v>6081</v>
      </c>
      <c r="D1349" t="s">
        <v>8120</v>
      </c>
      <c r="E1349" t="s">
        <v>9978</v>
      </c>
    </row>
    <row r="1350" spans="1:5" ht="15.6" x14ac:dyDescent="0.3">
      <c r="A1350" s="1" t="s">
        <v>1022</v>
      </c>
      <c r="B1350" s="1" t="s">
        <v>3731</v>
      </c>
      <c r="C1350" t="s">
        <v>6082</v>
      </c>
      <c r="D1350" t="s">
        <v>7778</v>
      </c>
      <c r="E1350" t="s">
        <v>9979</v>
      </c>
    </row>
    <row r="1351" spans="1:5" ht="15.6" x14ac:dyDescent="0.3">
      <c r="A1351" s="1" t="s">
        <v>1021</v>
      </c>
      <c r="B1351" s="1" t="s">
        <v>3732</v>
      </c>
      <c r="C1351" t="s">
        <v>6083</v>
      </c>
      <c r="D1351" t="s">
        <v>8121</v>
      </c>
      <c r="E1351" t="s">
        <v>9980</v>
      </c>
    </row>
    <row r="1352" spans="1:5" ht="15.6" x14ac:dyDescent="0.3">
      <c r="A1352" s="1" t="s">
        <v>1020</v>
      </c>
      <c r="B1352" s="1" t="s">
        <v>3733</v>
      </c>
      <c r="C1352" t="s">
        <v>6084</v>
      </c>
      <c r="D1352" t="s">
        <v>8122</v>
      </c>
      <c r="E1352" t="s">
        <v>9042</v>
      </c>
    </row>
    <row r="1353" spans="1:5" ht="15.6" x14ac:dyDescent="0.3">
      <c r="A1353" s="1" t="s">
        <v>1019</v>
      </c>
      <c r="B1353" s="1" t="s">
        <v>3734</v>
      </c>
      <c r="C1353" t="s">
        <v>6085</v>
      </c>
      <c r="D1353" t="s">
        <v>7412</v>
      </c>
      <c r="E1353" t="s">
        <v>9981</v>
      </c>
    </row>
    <row r="1354" spans="1:5" ht="15.6" x14ac:dyDescent="0.3">
      <c r="A1354" s="1" t="s">
        <v>1018</v>
      </c>
      <c r="B1354" s="1" t="s">
        <v>3735</v>
      </c>
      <c r="C1354" t="s">
        <v>6086</v>
      </c>
      <c r="D1354" t="s">
        <v>8123</v>
      </c>
      <c r="E1354" t="s">
        <v>9982</v>
      </c>
    </row>
    <row r="1355" spans="1:5" ht="15.6" x14ac:dyDescent="0.3">
      <c r="A1355" s="1" t="s">
        <v>1017</v>
      </c>
      <c r="B1355" s="1" t="s">
        <v>3736</v>
      </c>
      <c r="C1355" t="s">
        <v>6087</v>
      </c>
      <c r="D1355" t="s">
        <v>8124</v>
      </c>
      <c r="E1355" t="s">
        <v>9086</v>
      </c>
    </row>
    <row r="1356" spans="1:5" ht="15.6" x14ac:dyDescent="0.3">
      <c r="A1356" s="1" t="s">
        <v>1016</v>
      </c>
      <c r="B1356" s="1" t="s">
        <v>3737</v>
      </c>
      <c r="C1356" t="s">
        <v>6088</v>
      </c>
      <c r="D1356" t="s">
        <v>8125</v>
      </c>
      <c r="E1356" t="s">
        <v>9829</v>
      </c>
    </row>
    <row r="1357" spans="1:5" ht="15.6" x14ac:dyDescent="0.3">
      <c r="A1357" s="1" t="s">
        <v>1015</v>
      </c>
      <c r="B1357" s="1" t="s">
        <v>3738</v>
      </c>
      <c r="C1357" t="s">
        <v>6089</v>
      </c>
      <c r="D1357" t="s">
        <v>8126</v>
      </c>
      <c r="E1357" t="s">
        <v>9983</v>
      </c>
    </row>
    <row r="1358" spans="1:5" ht="15.6" x14ac:dyDescent="0.3">
      <c r="A1358" s="1" t="s">
        <v>1014</v>
      </c>
      <c r="B1358" s="1" t="s">
        <v>3739</v>
      </c>
      <c r="C1358" t="s">
        <v>6090</v>
      </c>
      <c r="D1358" t="s">
        <v>8127</v>
      </c>
      <c r="E1358" t="s">
        <v>9984</v>
      </c>
    </row>
    <row r="1359" spans="1:5" ht="15.6" x14ac:dyDescent="0.3">
      <c r="A1359" s="1" t="s">
        <v>1013</v>
      </c>
      <c r="B1359" s="1" t="s">
        <v>3740</v>
      </c>
      <c r="C1359" t="s">
        <v>6091</v>
      </c>
      <c r="D1359" t="s">
        <v>7582</v>
      </c>
      <c r="E1359" t="s">
        <v>9985</v>
      </c>
    </row>
    <row r="1360" spans="1:5" ht="15.6" x14ac:dyDescent="0.3">
      <c r="A1360" s="1" t="s">
        <v>1012</v>
      </c>
      <c r="B1360" s="1" t="s">
        <v>3741</v>
      </c>
      <c r="C1360" t="s">
        <v>6092</v>
      </c>
      <c r="D1360" t="s">
        <v>8128</v>
      </c>
      <c r="E1360" t="s">
        <v>9986</v>
      </c>
    </row>
    <row r="1361" spans="1:5" ht="15.6" x14ac:dyDescent="0.3">
      <c r="A1361" s="1" t="s">
        <v>1011</v>
      </c>
      <c r="B1361" s="1" t="s">
        <v>3742</v>
      </c>
      <c r="C1361" t="s">
        <v>6093</v>
      </c>
      <c r="D1361" t="s">
        <v>8129</v>
      </c>
      <c r="E1361" t="s">
        <v>8880</v>
      </c>
    </row>
    <row r="1362" spans="1:5" ht="15.6" x14ac:dyDescent="0.3">
      <c r="A1362" s="1" t="s">
        <v>1010</v>
      </c>
      <c r="B1362" s="1" t="s">
        <v>3743</v>
      </c>
      <c r="C1362" t="s">
        <v>6094</v>
      </c>
      <c r="D1362" t="s">
        <v>8130</v>
      </c>
      <c r="E1362" t="s">
        <v>9987</v>
      </c>
    </row>
    <row r="1363" spans="1:5" ht="15.6" x14ac:dyDescent="0.3">
      <c r="A1363" s="1" t="s">
        <v>1009</v>
      </c>
      <c r="B1363" s="1" t="s">
        <v>3744</v>
      </c>
      <c r="C1363" t="s">
        <v>6095</v>
      </c>
      <c r="D1363" t="s">
        <v>8131</v>
      </c>
      <c r="E1363" t="s">
        <v>9988</v>
      </c>
    </row>
    <row r="1364" spans="1:5" ht="15.6" x14ac:dyDescent="0.3">
      <c r="A1364" s="1" t="s">
        <v>1008</v>
      </c>
      <c r="B1364" s="1" t="s">
        <v>3745</v>
      </c>
      <c r="C1364" t="s">
        <v>6096</v>
      </c>
      <c r="D1364" t="s">
        <v>8132</v>
      </c>
      <c r="E1364" t="s">
        <v>9511</v>
      </c>
    </row>
    <row r="1365" spans="1:5" ht="15.6" x14ac:dyDescent="0.3">
      <c r="A1365" s="1" t="s">
        <v>1007</v>
      </c>
      <c r="B1365" s="1" t="s">
        <v>3746</v>
      </c>
      <c r="C1365" t="s">
        <v>6097</v>
      </c>
      <c r="D1365" t="s">
        <v>8133</v>
      </c>
      <c r="E1365" t="s">
        <v>9989</v>
      </c>
    </row>
    <row r="1366" spans="1:5" ht="15.6" x14ac:dyDescent="0.3">
      <c r="A1366" s="1" t="s">
        <v>1006</v>
      </c>
      <c r="B1366" s="1" t="s">
        <v>3747</v>
      </c>
      <c r="C1366" t="s">
        <v>6098</v>
      </c>
      <c r="D1366" t="s">
        <v>7097</v>
      </c>
      <c r="E1366" t="s">
        <v>9990</v>
      </c>
    </row>
    <row r="1367" spans="1:5" ht="15.6" x14ac:dyDescent="0.3">
      <c r="A1367" s="1" t="s">
        <v>1005</v>
      </c>
      <c r="B1367" s="1" t="s">
        <v>3748</v>
      </c>
      <c r="C1367" t="s">
        <v>6099</v>
      </c>
      <c r="D1367" t="s">
        <v>8134</v>
      </c>
      <c r="E1367" t="s">
        <v>9991</v>
      </c>
    </row>
    <row r="1368" spans="1:5" ht="15.6" x14ac:dyDescent="0.3">
      <c r="A1368" s="1" t="s">
        <v>1004</v>
      </c>
      <c r="B1368" s="1" t="s">
        <v>3749</v>
      </c>
      <c r="C1368" t="s">
        <v>6100</v>
      </c>
      <c r="D1368" t="s">
        <v>8135</v>
      </c>
      <c r="E1368" t="s">
        <v>9992</v>
      </c>
    </row>
    <row r="1369" spans="1:5" ht="15.6" x14ac:dyDescent="0.3">
      <c r="A1369" s="1" t="s">
        <v>1003</v>
      </c>
      <c r="B1369" s="1" t="s">
        <v>3750</v>
      </c>
      <c r="C1369" t="s">
        <v>6101</v>
      </c>
      <c r="D1369" t="s">
        <v>7167</v>
      </c>
      <c r="E1369" t="s">
        <v>9993</v>
      </c>
    </row>
    <row r="1370" spans="1:5" ht="15.6" x14ac:dyDescent="0.3">
      <c r="A1370" s="1" t="s">
        <v>1002</v>
      </c>
      <c r="B1370" s="1" t="s">
        <v>3751</v>
      </c>
      <c r="C1370" t="s">
        <v>6102</v>
      </c>
      <c r="D1370" t="s">
        <v>8136</v>
      </c>
      <c r="E1370" t="s">
        <v>9994</v>
      </c>
    </row>
    <row r="1371" spans="1:5" ht="15.6" x14ac:dyDescent="0.3">
      <c r="A1371" s="1" t="s">
        <v>1001</v>
      </c>
      <c r="B1371" s="1" t="s">
        <v>3752</v>
      </c>
      <c r="C1371" t="s">
        <v>6103</v>
      </c>
      <c r="D1371" t="s">
        <v>8137</v>
      </c>
      <c r="E1371" t="s">
        <v>9995</v>
      </c>
    </row>
    <row r="1372" spans="1:5" ht="15.6" x14ac:dyDescent="0.3">
      <c r="A1372" s="1" t="s">
        <v>1000</v>
      </c>
      <c r="B1372" s="1" t="s">
        <v>3753</v>
      </c>
      <c r="C1372" t="s">
        <v>6104</v>
      </c>
      <c r="D1372" t="s">
        <v>8138</v>
      </c>
      <c r="E1372" t="s">
        <v>9996</v>
      </c>
    </row>
    <row r="1373" spans="1:5" ht="15.6" x14ac:dyDescent="0.3">
      <c r="A1373" s="1" t="s">
        <v>999</v>
      </c>
      <c r="B1373" s="1" t="s">
        <v>3754</v>
      </c>
      <c r="C1373" t="s">
        <v>6105</v>
      </c>
      <c r="D1373" t="s">
        <v>8139</v>
      </c>
      <c r="E1373" t="s">
        <v>9997</v>
      </c>
    </row>
    <row r="1374" spans="1:5" ht="15.6" x14ac:dyDescent="0.3">
      <c r="A1374" s="1" t="s">
        <v>998</v>
      </c>
      <c r="B1374" s="1" t="s">
        <v>3755</v>
      </c>
      <c r="C1374" t="s">
        <v>6106</v>
      </c>
      <c r="D1374" t="s">
        <v>8140</v>
      </c>
      <c r="E1374" t="s">
        <v>8925</v>
      </c>
    </row>
    <row r="1375" spans="1:5" ht="15.6" x14ac:dyDescent="0.3">
      <c r="A1375" s="1" t="s">
        <v>997</v>
      </c>
      <c r="B1375" s="1" t="s">
        <v>3756</v>
      </c>
      <c r="C1375" t="s">
        <v>6107</v>
      </c>
      <c r="D1375" t="s">
        <v>8141</v>
      </c>
      <c r="E1375" t="s">
        <v>9998</v>
      </c>
    </row>
    <row r="1376" spans="1:5" ht="15.6" x14ac:dyDescent="0.3">
      <c r="A1376" s="1" t="s">
        <v>996</v>
      </c>
      <c r="B1376" s="1" t="s">
        <v>3757</v>
      </c>
      <c r="C1376" t="s">
        <v>6108</v>
      </c>
      <c r="D1376" t="s">
        <v>8142</v>
      </c>
      <c r="E1376" t="s">
        <v>9271</v>
      </c>
    </row>
    <row r="1377" spans="1:5" ht="15.6" x14ac:dyDescent="0.3">
      <c r="A1377" s="1" t="s">
        <v>995</v>
      </c>
      <c r="B1377" s="1" t="s">
        <v>3758</v>
      </c>
      <c r="C1377" t="s">
        <v>6109</v>
      </c>
      <c r="D1377" t="s">
        <v>8143</v>
      </c>
      <c r="E1377" t="s">
        <v>9999</v>
      </c>
    </row>
    <row r="1378" spans="1:5" ht="15.6" x14ac:dyDescent="0.3">
      <c r="A1378" s="1" t="s">
        <v>994</v>
      </c>
      <c r="B1378" s="1" t="s">
        <v>3759</v>
      </c>
      <c r="C1378" t="s">
        <v>6110</v>
      </c>
      <c r="D1378" t="s">
        <v>7391</v>
      </c>
      <c r="E1378" t="s">
        <v>10000</v>
      </c>
    </row>
    <row r="1379" spans="1:5" ht="15.6" x14ac:dyDescent="0.3">
      <c r="A1379" s="1" t="s">
        <v>993</v>
      </c>
      <c r="B1379" s="1" t="s">
        <v>3760</v>
      </c>
      <c r="C1379" t="s">
        <v>6111</v>
      </c>
      <c r="D1379" t="s">
        <v>8144</v>
      </c>
      <c r="E1379" t="s">
        <v>10001</v>
      </c>
    </row>
    <row r="1380" spans="1:5" ht="15.6" x14ac:dyDescent="0.3">
      <c r="A1380" s="1" t="s">
        <v>992</v>
      </c>
      <c r="B1380" s="1" t="s">
        <v>3761</v>
      </c>
      <c r="C1380" t="s">
        <v>6112</v>
      </c>
      <c r="D1380" t="s">
        <v>7137</v>
      </c>
      <c r="E1380" t="s">
        <v>10002</v>
      </c>
    </row>
    <row r="1381" spans="1:5" ht="15.6" x14ac:dyDescent="0.3">
      <c r="A1381" s="1" t="s">
        <v>991</v>
      </c>
      <c r="B1381" s="1" t="s">
        <v>3762</v>
      </c>
      <c r="C1381" t="s">
        <v>6113</v>
      </c>
      <c r="D1381" t="s">
        <v>7263</v>
      </c>
      <c r="E1381" t="s">
        <v>10003</v>
      </c>
    </row>
    <row r="1382" spans="1:5" ht="15.6" x14ac:dyDescent="0.3">
      <c r="A1382" s="1" t="s">
        <v>990</v>
      </c>
      <c r="B1382" s="1" t="s">
        <v>3763</v>
      </c>
      <c r="C1382" t="s">
        <v>6114</v>
      </c>
      <c r="D1382" t="s">
        <v>8145</v>
      </c>
      <c r="E1382" t="s">
        <v>10004</v>
      </c>
    </row>
    <row r="1383" spans="1:5" ht="15.6" x14ac:dyDescent="0.3">
      <c r="A1383" s="1" t="s">
        <v>989</v>
      </c>
      <c r="B1383" s="1" t="s">
        <v>3764</v>
      </c>
      <c r="C1383" t="s">
        <v>6115</v>
      </c>
      <c r="D1383" t="s">
        <v>7517</v>
      </c>
      <c r="E1383" t="s">
        <v>10005</v>
      </c>
    </row>
    <row r="1384" spans="1:5" ht="15.6" x14ac:dyDescent="0.3">
      <c r="A1384" s="1" t="s">
        <v>988</v>
      </c>
      <c r="B1384" s="1" t="s">
        <v>3765</v>
      </c>
      <c r="C1384" t="s">
        <v>6116</v>
      </c>
      <c r="D1384" t="s">
        <v>8146</v>
      </c>
      <c r="E1384" t="s">
        <v>9354</v>
      </c>
    </row>
    <row r="1385" spans="1:5" ht="15.6" x14ac:dyDescent="0.3">
      <c r="A1385" s="1" t="s">
        <v>987</v>
      </c>
      <c r="B1385" s="1" t="s">
        <v>3766</v>
      </c>
      <c r="C1385" t="s">
        <v>6117</v>
      </c>
      <c r="D1385" t="s">
        <v>8147</v>
      </c>
      <c r="E1385" t="s">
        <v>10006</v>
      </c>
    </row>
    <row r="1386" spans="1:5" ht="15.6" x14ac:dyDescent="0.3">
      <c r="A1386" s="1" t="s">
        <v>986</v>
      </c>
      <c r="B1386" s="1" t="s">
        <v>3767</v>
      </c>
      <c r="C1386" t="s">
        <v>6118</v>
      </c>
      <c r="D1386" t="s">
        <v>8148</v>
      </c>
      <c r="E1386" t="s">
        <v>9022</v>
      </c>
    </row>
    <row r="1387" spans="1:5" ht="15.6" x14ac:dyDescent="0.3">
      <c r="A1387" s="1" t="s">
        <v>985</v>
      </c>
      <c r="B1387" s="1" t="s">
        <v>3768</v>
      </c>
      <c r="C1387" t="s">
        <v>6119</v>
      </c>
      <c r="D1387" t="s">
        <v>8149</v>
      </c>
      <c r="E1387" t="s">
        <v>10007</v>
      </c>
    </row>
    <row r="1388" spans="1:5" ht="15.6" x14ac:dyDescent="0.3">
      <c r="A1388" s="1" t="s">
        <v>984</v>
      </c>
      <c r="B1388" s="1" t="s">
        <v>3769</v>
      </c>
      <c r="C1388" t="s">
        <v>6120</v>
      </c>
      <c r="D1388" t="s">
        <v>8150</v>
      </c>
      <c r="E1388" t="s">
        <v>9671</v>
      </c>
    </row>
    <row r="1389" spans="1:5" ht="15.6" x14ac:dyDescent="0.3">
      <c r="A1389" s="1" t="s">
        <v>983</v>
      </c>
      <c r="B1389" s="1" t="s">
        <v>3770</v>
      </c>
      <c r="C1389" t="s">
        <v>6121</v>
      </c>
      <c r="D1389" t="s">
        <v>8151</v>
      </c>
      <c r="E1389" t="s">
        <v>10008</v>
      </c>
    </row>
    <row r="1390" spans="1:5" ht="15.6" x14ac:dyDescent="0.3">
      <c r="A1390" s="1" t="s">
        <v>982</v>
      </c>
      <c r="B1390" s="1" t="s">
        <v>3771</v>
      </c>
      <c r="C1390" t="s">
        <v>6122</v>
      </c>
      <c r="D1390" t="s">
        <v>7086</v>
      </c>
      <c r="E1390" t="s">
        <v>10009</v>
      </c>
    </row>
    <row r="1391" spans="1:5" ht="15.6" x14ac:dyDescent="0.3">
      <c r="A1391" s="1" t="s">
        <v>981</v>
      </c>
      <c r="B1391" s="1" t="s">
        <v>3772</v>
      </c>
      <c r="C1391" t="s">
        <v>6123</v>
      </c>
      <c r="D1391" t="s">
        <v>7474</v>
      </c>
      <c r="E1391" t="s">
        <v>10010</v>
      </c>
    </row>
    <row r="1392" spans="1:5" ht="15.6" x14ac:dyDescent="0.3">
      <c r="A1392" s="1" t="s">
        <v>980</v>
      </c>
      <c r="B1392" s="1" t="s">
        <v>3773</v>
      </c>
      <c r="C1392" t="s">
        <v>6124</v>
      </c>
      <c r="D1392" t="s">
        <v>8152</v>
      </c>
      <c r="E1392" t="s">
        <v>9179</v>
      </c>
    </row>
    <row r="1393" spans="1:5" ht="15.6" x14ac:dyDescent="0.3">
      <c r="A1393" s="1" t="s">
        <v>979</v>
      </c>
      <c r="B1393" s="1" t="s">
        <v>3774</v>
      </c>
      <c r="C1393" t="s">
        <v>6125</v>
      </c>
      <c r="D1393" t="s">
        <v>7217</v>
      </c>
      <c r="E1393" t="s">
        <v>10011</v>
      </c>
    </row>
    <row r="1394" spans="1:5" ht="15.6" x14ac:dyDescent="0.3">
      <c r="A1394" s="1" t="s">
        <v>978</v>
      </c>
      <c r="B1394" s="1" t="s">
        <v>3775</v>
      </c>
      <c r="C1394" t="s">
        <v>6126</v>
      </c>
      <c r="D1394" t="s">
        <v>8153</v>
      </c>
      <c r="E1394" t="s">
        <v>10012</v>
      </c>
    </row>
    <row r="1395" spans="1:5" ht="15.6" x14ac:dyDescent="0.3">
      <c r="A1395" s="1" t="s">
        <v>977</v>
      </c>
      <c r="B1395" s="1" t="s">
        <v>3776</v>
      </c>
      <c r="C1395" t="s">
        <v>6127</v>
      </c>
      <c r="D1395" t="s">
        <v>8154</v>
      </c>
      <c r="E1395" t="s">
        <v>10013</v>
      </c>
    </row>
    <row r="1396" spans="1:5" ht="15.6" x14ac:dyDescent="0.3">
      <c r="A1396" s="1" t="s">
        <v>976</v>
      </c>
      <c r="B1396" s="1" t="s">
        <v>3777</v>
      </c>
      <c r="C1396" t="s">
        <v>6128</v>
      </c>
      <c r="D1396" t="s">
        <v>7167</v>
      </c>
      <c r="E1396" t="s">
        <v>10014</v>
      </c>
    </row>
    <row r="1397" spans="1:5" ht="15.6" x14ac:dyDescent="0.3">
      <c r="A1397" s="1" t="s">
        <v>975</v>
      </c>
      <c r="B1397" s="1" t="s">
        <v>3778</v>
      </c>
      <c r="C1397" t="s">
        <v>6129</v>
      </c>
      <c r="D1397" t="s">
        <v>7167</v>
      </c>
      <c r="E1397" t="s">
        <v>10015</v>
      </c>
    </row>
    <row r="1398" spans="1:5" ht="15.6" x14ac:dyDescent="0.3">
      <c r="A1398" s="1" t="s">
        <v>974</v>
      </c>
      <c r="B1398" s="1" t="s">
        <v>3779</v>
      </c>
      <c r="C1398" t="s">
        <v>6130</v>
      </c>
      <c r="D1398" t="s">
        <v>8155</v>
      </c>
      <c r="E1398" t="s">
        <v>10016</v>
      </c>
    </row>
    <row r="1399" spans="1:5" ht="15.6" x14ac:dyDescent="0.3">
      <c r="A1399" s="1" t="s">
        <v>973</v>
      </c>
      <c r="B1399" s="1" t="s">
        <v>3780</v>
      </c>
      <c r="C1399" t="s">
        <v>6131</v>
      </c>
      <c r="D1399" t="s">
        <v>8156</v>
      </c>
      <c r="E1399" t="s">
        <v>10017</v>
      </c>
    </row>
    <row r="1400" spans="1:5" ht="15.6" x14ac:dyDescent="0.3">
      <c r="A1400" s="1" t="s">
        <v>972</v>
      </c>
      <c r="B1400" s="1" t="s">
        <v>3781</v>
      </c>
      <c r="C1400" t="s">
        <v>6132</v>
      </c>
      <c r="D1400" t="s">
        <v>7299</v>
      </c>
      <c r="E1400" t="s">
        <v>10018</v>
      </c>
    </row>
    <row r="1401" spans="1:5" ht="15.6" x14ac:dyDescent="0.3">
      <c r="A1401" s="1" t="s">
        <v>971</v>
      </c>
      <c r="B1401" s="1" t="s">
        <v>3782</v>
      </c>
      <c r="C1401" t="s">
        <v>6133</v>
      </c>
      <c r="D1401" t="s">
        <v>7677</v>
      </c>
      <c r="E1401" t="s">
        <v>10019</v>
      </c>
    </row>
    <row r="1402" spans="1:5" ht="15.6" x14ac:dyDescent="0.3">
      <c r="A1402" s="1" t="s">
        <v>970</v>
      </c>
      <c r="B1402" s="1" t="s">
        <v>3783</v>
      </c>
      <c r="C1402" t="s">
        <v>6134</v>
      </c>
      <c r="D1402" t="s">
        <v>8157</v>
      </c>
      <c r="E1402" t="s">
        <v>9847</v>
      </c>
    </row>
    <row r="1403" spans="1:5" ht="15.6" x14ac:dyDescent="0.3">
      <c r="A1403" s="1" t="s">
        <v>969</v>
      </c>
      <c r="B1403" s="1" t="s">
        <v>3784</v>
      </c>
      <c r="C1403" t="s">
        <v>6135</v>
      </c>
      <c r="D1403" t="s">
        <v>7129</v>
      </c>
      <c r="E1403" t="s">
        <v>10020</v>
      </c>
    </row>
    <row r="1404" spans="1:5" ht="15.6" x14ac:dyDescent="0.3">
      <c r="A1404" s="1" t="s">
        <v>968</v>
      </c>
      <c r="B1404" s="1" t="s">
        <v>3785</v>
      </c>
      <c r="C1404" t="s">
        <v>6136</v>
      </c>
      <c r="D1404" t="s">
        <v>8158</v>
      </c>
      <c r="E1404" t="s">
        <v>10021</v>
      </c>
    </row>
    <row r="1405" spans="1:5" ht="15.6" x14ac:dyDescent="0.3">
      <c r="A1405" s="1" t="s">
        <v>967</v>
      </c>
      <c r="B1405" s="1" t="s">
        <v>3786</v>
      </c>
      <c r="C1405" t="s">
        <v>6137</v>
      </c>
      <c r="D1405" t="s">
        <v>8159</v>
      </c>
      <c r="E1405" t="s">
        <v>10022</v>
      </c>
    </row>
    <row r="1406" spans="1:5" ht="15.6" x14ac:dyDescent="0.3">
      <c r="A1406" s="1" t="s">
        <v>966</v>
      </c>
      <c r="B1406" s="1" t="s">
        <v>3787</v>
      </c>
      <c r="C1406" t="s">
        <v>6138</v>
      </c>
      <c r="D1406" t="s">
        <v>8160</v>
      </c>
      <c r="E1406" t="s">
        <v>10023</v>
      </c>
    </row>
    <row r="1407" spans="1:5" ht="15.6" x14ac:dyDescent="0.3">
      <c r="A1407" s="1" t="s">
        <v>965</v>
      </c>
      <c r="B1407" s="1" t="s">
        <v>3788</v>
      </c>
      <c r="C1407" t="s">
        <v>6139</v>
      </c>
      <c r="D1407" t="s">
        <v>7100</v>
      </c>
      <c r="E1407" t="s">
        <v>10024</v>
      </c>
    </row>
    <row r="1408" spans="1:5" ht="15.6" x14ac:dyDescent="0.3">
      <c r="A1408" s="1" t="s">
        <v>964</v>
      </c>
      <c r="B1408" s="1" t="s">
        <v>3789</v>
      </c>
      <c r="C1408" t="s">
        <v>6140</v>
      </c>
      <c r="D1408" t="s">
        <v>7677</v>
      </c>
      <c r="E1408" t="s">
        <v>10025</v>
      </c>
    </row>
    <row r="1409" spans="1:5" ht="15.6" x14ac:dyDescent="0.3">
      <c r="A1409" s="1" t="s">
        <v>963</v>
      </c>
      <c r="B1409" s="1" t="s">
        <v>3790</v>
      </c>
      <c r="C1409" t="s">
        <v>6141</v>
      </c>
      <c r="D1409" t="s">
        <v>7117</v>
      </c>
      <c r="E1409" t="s">
        <v>10026</v>
      </c>
    </row>
    <row r="1410" spans="1:5" ht="15.6" x14ac:dyDescent="0.3">
      <c r="A1410" s="1" t="s">
        <v>962</v>
      </c>
      <c r="B1410" s="1" t="s">
        <v>3791</v>
      </c>
      <c r="C1410" t="s">
        <v>6142</v>
      </c>
      <c r="D1410" t="s">
        <v>7076</v>
      </c>
      <c r="E1410" t="s">
        <v>10027</v>
      </c>
    </row>
    <row r="1411" spans="1:5" ht="15.6" x14ac:dyDescent="0.3">
      <c r="A1411" s="1" t="s">
        <v>961</v>
      </c>
      <c r="B1411" s="1" t="s">
        <v>3792</v>
      </c>
      <c r="C1411" t="s">
        <v>6143</v>
      </c>
      <c r="D1411" t="s">
        <v>8161</v>
      </c>
      <c r="E1411" t="s">
        <v>10028</v>
      </c>
    </row>
    <row r="1412" spans="1:5" ht="15.6" x14ac:dyDescent="0.3">
      <c r="A1412" s="1" t="s">
        <v>960</v>
      </c>
      <c r="B1412" s="1" t="s">
        <v>3793</v>
      </c>
      <c r="C1412" t="s">
        <v>6144</v>
      </c>
      <c r="D1412" t="s">
        <v>8162</v>
      </c>
      <c r="E1412" t="s">
        <v>9768</v>
      </c>
    </row>
    <row r="1413" spans="1:5" ht="15.6" x14ac:dyDescent="0.3">
      <c r="A1413" s="1" t="s">
        <v>959</v>
      </c>
      <c r="B1413" s="1" t="s">
        <v>3794</v>
      </c>
      <c r="C1413" t="s">
        <v>6145</v>
      </c>
      <c r="D1413" t="s">
        <v>8163</v>
      </c>
      <c r="E1413" t="s">
        <v>10029</v>
      </c>
    </row>
    <row r="1414" spans="1:5" ht="15.6" x14ac:dyDescent="0.3">
      <c r="A1414" s="1" t="s">
        <v>958</v>
      </c>
      <c r="B1414" s="1" t="s">
        <v>3795</v>
      </c>
      <c r="C1414" t="s">
        <v>6146</v>
      </c>
      <c r="D1414" t="s">
        <v>8164</v>
      </c>
      <c r="E1414" t="s">
        <v>9872</v>
      </c>
    </row>
    <row r="1415" spans="1:5" ht="15.6" x14ac:dyDescent="0.3">
      <c r="A1415" s="1" t="s">
        <v>957</v>
      </c>
      <c r="B1415" s="1" t="s">
        <v>3796</v>
      </c>
      <c r="C1415" t="s">
        <v>6147</v>
      </c>
      <c r="D1415" t="s">
        <v>7219</v>
      </c>
      <c r="E1415" t="s">
        <v>10030</v>
      </c>
    </row>
    <row r="1416" spans="1:5" ht="15.6" x14ac:dyDescent="0.3">
      <c r="A1416" s="1" t="s">
        <v>956</v>
      </c>
      <c r="B1416" s="1" t="s">
        <v>3797</v>
      </c>
      <c r="C1416" t="s">
        <v>6148</v>
      </c>
      <c r="D1416" t="s">
        <v>8165</v>
      </c>
      <c r="E1416" t="s">
        <v>10031</v>
      </c>
    </row>
    <row r="1417" spans="1:5" ht="15.6" x14ac:dyDescent="0.3">
      <c r="A1417" s="1" t="s">
        <v>955</v>
      </c>
      <c r="B1417" s="1" t="s">
        <v>3798</v>
      </c>
      <c r="C1417" t="s">
        <v>6149</v>
      </c>
      <c r="D1417" t="s">
        <v>7153</v>
      </c>
      <c r="E1417" t="s">
        <v>10032</v>
      </c>
    </row>
    <row r="1418" spans="1:5" ht="15.6" x14ac:dyDescent="0.3">
      <c r="A1418" s="1" t="s">
        <v>954</v>
      </c>
      <c r="B1418" s="1" t="s">
        <v>3799</v>
      </c>
      <c r="C1418" t="s">
        <v>6150</v>
      </c>
      <c r="D1418" t="s">
        <v>8166</v>
      </c>
      <c r="E1418" t="s">
        <v>10033</v>
      </c>
    </row>
    <row r="1419" spans="1:5" ht="15.6" x14ac:dyDescent="0.3">
      <c r="A1419" s="1" t="s">
        <v>953</v>
      </c>
      <c r="B1419" s="1" t="s">
        <v>3800</v>
      </c>
      <c r="C1419" t="s">
        <v>6151</v>
      </c>
      <c r="D1419" t="s">
        <v>8167</v>
      </c>
      <c r="E1419" t="s">
        <v>10034</v>
      </c>
    </row>
    <row r="1420" spans="1:5" ht="15.6" x14ac:dyDescent="0.3">
      <c r="A1420" s="1" t="s">
        <v>952</v>
      </c>
      <c r="B1420" s="1" t="s">
        <v>3801</v>
      </c>
      <c r="C1420" t="s">
        <v>6152</v>
      </c>
      <c r="D1420" t="s">
        <v>7319</v>
      </c>
      <c r="E1420" t="s">
        <v>10035</v>
      </c>
    </row>
    <row r="1421" spans="1:5" ht="15.6" x14ac:dyDescent="0.3">
      <c r="A1421" s="1" t="s">
        <v>951</v>
      </c>
      <c r="B1421" s="1" t="s">
        <v>3802</v>
      </c>
      <c r="C1421" t="s">
        <v>6153</v>
      </c>
      <c r="D1421" t="s">
        <v>8168</v>
      </c>
      <c r="E1421" t="s">
        <v>10036</v>
      </c>
    </row>
    <row r="1422" spans="1:5" ht="15.6" x14ac:dyDescent="0.3">
      <c r="A1422" s="1" t="s">
        <v>950</v>
      </c>
      <c r="B1422" s="1" t="s">
        <v>3803</v>
      </c>
      <c r="C1422" t="s">
        <v>6154</v>
      </c>
      <c r="D1422" t="s">
        <v>8169</v>
      </c>
      <c r="E1422" t="s">
        <v>10037</v>
      </c>
    </row>
    <row r="1423" spans="1:5" ht="15.6" x14ac:dyDescent="0.3">
      <c r="A1423" s="1" t="s">
        <v>949</v>
      </c>
      <c r="B1423" s="1" t="s">
        <v>3804</v>
      </c>
      <c r="C1423" t="s">
        <v>6155</v>
      </c>
      <c r="D1423" t="s">
        <v>8170</v>
      </c>
      <c r="E1423" t="s">
        <v>10038</v>
      </c>
    </row>
    <row r="1424" spans="1:5" ht="15.6" x14ac:dyDescent="0.3">
      <c r="A1424" s="1" t="s">
        <v>948</v>
      </c>
      <c r="B1424" s="1" t="s">
        <v>3805</v>
      </c>
      <c r="C1424" t="s">
        <v>6156</v>
      </c>
      <c r="D1424" t="s">
        <v>8171</v>
      </c>
      <c r="E1424" t="s">
        <v>10039</v>
      </c>
    </row>
    <row r="1425" spans="1:5" ht="15.6" x14ac:dyDescent="0.3">
      <c r="A1425" s="1" t="s">
        <v>947</v>
      </c>
      <c r="B1425" s="1" t="s">
        <v>3806</v>
      </c>
      <c r="C1425" t="s">
        <v>6157</v>
      </c>
      <c r="D1425" t="s">
        <v>8172</v>
      </c>
      <c r="E1425" t="s">
        <v>10040</v>
      </c>
    </row>
    <row r="1426" spans="1:5" ht="15.6" x14ac:dyDescent="0.3">
      <c r="A1426" s="1" t="s">
        <v>946</v>
      </c>
      <c r="B1426" s="1" t="s">
        <v>3807</v>
      </c>
      <c r="C1426" t="s">
        <v>6158</v>
      </c>
      <c r="D1426" t="s">
        <v>8173</v>
      </c>
      <c r="E1426" t="s">
        <v>10041</v>
      </c>
    </row>
    <row r="1427" spans="1:5" ht="15.6" x14ac:dyDescent="0.3">
      <c r="A1427" s="1" t="s">
        <v>945</v>
      </c>
      <c r="B1427" s="1" t="s">
        <v>3808</v>
      </c>
      <c r="C1427" t="s">
        <v>6159</v>
      </c>
      <c r="D1427" t="s">
        <v>7081</v>
      </c>
      <c r="E1427" t="s">
        <v>10042</v>
      </c>
    </row>
    <row r="1428" spans="1:5" ht="15.6" x14ac:dyDescent="0.3">
      <c r="A1428" s="1" t="s">
        <v>944</v>
      </c>
      <c r="B1428" s="1" t="s">
        <v>3809</v>
      </c>
      <c r="C1428" t="s">
        <v>6160</v>
      </c>
      <c r="D1428" t="s">
        <v>8174</v>
      </c>
      <c r="E1428" t="s">
        <v>9034</v>
      </c>
    </row>
    <row r="1429" spans="1:5" ht="15.6" x14ac:dyDescent="0.3">
      <c r="A1429" s="1" t="s">
        <v>943</v>
      </c>
      <c r="B1429" s="1" t="s">
        <v>3810</v>
      </c>
      <c r="C1429" t="s">
        <v>6161</v>
      </c>
      <c r="D1429" t="s">
        <v>8175</v>
      </c>
      <c r="E1429" t="s">
        <v>10043</v>
      </c>
    </row>
    <row r="1430" spans="1:5" ht="15.6" x14ac:dyDescent="0.3">
      <c r="A1430" s="1" t="s">
        <v>942</v>
      </c>
      <c r="B1430" s="1" t="s">
        <v>3811</v>
      </c>
      <c r="C1430" t="s">
        <v>6162</v>
      </c>
      <c r="D1430" t="s">
        <v>7471</v>
      </c>
      <c r="E1430" t="s">
        <v>8811</v>
      </c>
    </row>
    <row r="1431" spans="1:5" ht="15.6" x14ac:dyDescent="0.3">
      <c r="A1431" s="1" t="s">
        <v>941</v>
      </c>
      <c r="B1431" s="1" t="s">
        <v>3812</v>
      </c>
      <c r="C1431" t="s">
        <v>6163</v>
      </c>
      <c r="D1431" t="s">
        <v>8176</v>
      </c>
      <c r="E1431" t="s">
        <v>10044</v>
      </c>
    </row>
    <row r="1432" spans="1:5" ht="15.6" x14ac:dyDescent="0.3">
      <c r="A1432" s="1" t="s">
        <v>940</v>
      </c>
      <c r="B1432" s="1" t="s">
        <v>3813</v>
      </c>
      <c r="C1432" t="s">
        <v>6164</v>
      </c>
      <c r="D1432" t="s">
        <v>8177</v>
      </c>
      <c r="E1432" t="s">
        <v>10045</v>
      </c>
    </row>
    <row r="1433" spans="1:5" ht="15.6" x14ac:dyDescent="0.3">
      <c r="A1433" s="1" t="s">
        <v>939</v>
      </c>
      <c r="B1433" s="1" t="s">
        <v>3814</v>
      </c>
      <c r="C1433" t="s">
        <v>6165</v>
      </c>
      <c r="D1433" t="s">
        <v>7097</v>
      </c>
      <c r="E1433" t="s">
        <v>10046</v>
      </c>
    </row>
    <row r="1434" spans="1:5" ht="15.6" x14ac:dyDescent="0.3">
      <c r="A1434" s="1" t="s">
        <v>938</v>
      </c>
      <c r="B1434" s="1" t="s">
        <v>3815</v>
      </c>
      <c r="C1434" t="s">
        <v>6166</v>
      </c>
      <c r="D1434" t="s">
        <v>8178</v>
      </c>
      <c r="E1434" t="s">
        <v>10047</v>
      </c>
    </row>
    <row r="1435" spans="1:5" ht="15.6" x14ac:dyDescent="0.3">
      <c r="A1435" s="1" t="s">
        <v>937</v>
      </c>
      <c r="B1435" s="1" t="s">
        <v>3816</v>
      </c>
      <c r="C1435" t="s">
        <v>6167</v>
      </c>
      <c r="D1435" t="s">
        <v>7377</v>
      </c>
      <c r="E1435" t="s">
        <v>10048</v>
      </c>
    </row>
    <row r="1436" spans="1:5" ht="15.6" x14ac:dyDescent="0.3">
      <c r="A1436" s="1" t="s">
        <v>936</v>
      </c>
      <c r="B1436" s="1" t="s">
        <v>3817</v>
      </c>
      <c r="C1436" t="s">
        <v>6168</v>
      </c>
      <c r="D1436" t="s">
        <v>8179</v>
      </c>
      <c r="E1436" t="s">
        <v>9046</v>
      </c>
    </row>
    <row r="1437" spans="1:5" ht="15.6" x14ac:dyDescent="0.3">
      <c r="A1437" s="1" t="s">
        <v>935</v>
      </c>
      <c r="B1437" s="1" t="s">
        <v>3818</v>
      </c>
      <c r="C1437" t="s">
        <v>6169</v>
      </c>
      <c r="D1437" t="s">
        <v>8180</v>
      </c>
      <c r="E1437" t="s">
        <v>10049</v>
      </c>
    </row>
    <row r="1438" spans="1:5" ht="15.6" x14ac:dyDescent="0.3">
      <c r="A1438" s="1" t="s">
        <v>934</v>
      </c>
      <c r="B1438" s="1" t="s">
        <v>3819</v>
      </c>
      <c r="C1438" t="s">
        <v>6170</v>
      </c>
      <c r="D1438" t="s">
        <v>7799</v>
      </c>
      <c r="E1438" t="s">
        <v>10050</v>
      </c>
    </row>
    <row r="1439" spans="1:5" ht="15.6" x14ac:dyDescent="0.3">
      <c r="A1439" s="1" t="s">
        <v>933</v>
      </c>
      <c r="B1439" s="1" t="s">
        <v>3820</v>
      </c>
      <c r="C1439" t="s">
        <v>6171</v>
      </c>
      <c r="D1439" t="s">
        <v>8181</v>
      </c>
      <c r="E1439" t="s">
        <v>10051</v>
      </c>
    </row>
    <row r="1440" spans="1:5" ht="15.6" x14ac:dyDescent="0.3">
      <c r="A1440" s="1" t="s">
        <v>932</v>
      </c>
      <c r="B1440" s="1" t="s">
        <v>3821</v>
      </c>
      <c r="C1440" t="s">
        <v>6172</v>
      </c>
      <c r="D1440" t="s">
        <v>7704</v>
      </c>
      <c r="E1440" t="s">
        <v>10052</v>
      </c>
    </row>
    <row r="1441" spans="1:5" ht="15.6" x14ac:dyDescent="0.3">
      <c r="A1441" s="1" t="s">
        <v>931</v>
      </c>
      <c r="B1441" s="1" t="s">
        <v>3822</v>
      </c>
      <c r="C1441" t="s">
        <v>6173</v>
      </c>
      <c r="D1441" t="s">
        <v>8182</v>
      </c>
      <c r="E1441" t="s">
        <v>10053</v>
      </c>
    </row>
    <row r="1442" spans="1:5" ht="15.6" x14ac:dyDescent="0.3">
      <c r="A1442" s="1" t="s">
        <v>930</v>
      </c>
      <c r="B1442" s="1" t="s">
        <v>3823</v>
      </c>
      <c r="C1442" t="s">
        <v>6174</v>
      </c>
      <c r="D1442" t="s">
        <v>8183</v>
      </c>
      <c r="E1442" t="s">
        <v>8890</v>
      </c>
    </row>
    <row r="1443" spans="1:5" ht="15.6" x14ac:dyDescent="0.3">
      <c r="A1443" s="1" t="s">
        <v>929</v>
      </c>
      <c r="B1443" s="1" t="s">
        <v>3824</v>
      </c>
      <c r="C1443" t="s">
        <v>6175</v>
      </c>
      <c r="D1443" t="s">
        <v>7153</v>
      </c>
      <c r="E1443" t="s">
        <v>10054</v>
      </c>
    </row>
    <row r="1444" spans="1:5" ht="15.6" x14ac:dyDescent="0.3">
      <c r="A1444" s="1" t="s">
        <v>928</v>
      </c>
      <c r="B1444" s="1" t="s">
        <v>3825</v>
      </c>
      <c r="C1444" t="s">
        <v>6176</v>
      </c>
      <c r="D1444" t="s">
        <v>7492</v>
      </c>
      <c r="E1444" t="s">
        <v>10055</v>
      </c>
    </row>
    <row r="1445" spans="1:5" ht="15.6" x14ac:dyDescent="0.3">
      <c r="A1445" s="1" t="s">
        <v>927</v>
      </c>
      <c r="B1445" s="1" t="s">
        <v>3826</v>
      </c>
      <c r="C1445" t="s">
        <v>6177</v>
      </c>
      <c r="D1445" t="s">
        <v>8184</v>
      </c>
      <c r="E1445" t="s">
        <v>8753</v>
      </c>
    </row>
    <row r="1446" spans="1:5" ht="15.6" x14ac:dyDescent="0.3">
      <c r="A1446" s="1" t="s">
        <v>926</v>
      </c>
      <c r="B1446" s="1" t="s">
        <v>3827</v>
      </c>
      <c r="C1446" t="s">
        <v>6178</v>
      </c>
      <c r="D1446" t="s">
        <v>8185</v>
      </c>
      <c r="E1446" t="s">
        <v>10056</v>
      </c>
    </row>
    <row r="1447" spans="1:5" ht="15.6" x14ac:dyDescent="0.3">
      <c r="A1447" s="1" t="s">
        <v>925</v>
      </c>
      <c r="B1447" s="1" t="s">
        <v>3828</v>
      </c>
      <c r="C1447" t="s">
        <v>6179</v>
      </c>
      <c r="D1447" t="s">
        <v>8186</v>
      </c>
      <c r="E1447" t="s">
        <v>8814</v>
      </c>
    </row>
    <row r="1448" spans="1:5" ht="15.6" x14ac:dyDescent="0.3">
      <c r="A1448" s="1" t="s">
        <v>924</v>
      </c>
      <c r="B1448" s="1" t="s">
        <v>3829</v>
      </c>
      <c r="C1448" t="s">
        <v>6180</v>
      </c>
      <c r="D1448" t="s">
        <v>7763</v>
      </c>
      <c r="E1448" t="s">
        <v>10057</v>
      </c>
    </row>
    <row r="1449" spans="1:5" ht="15.6" x14ac:dyDescent="0.3">
      <c r="A1449" s="1" t="s">
        <v>923</v>
      </c>
      <c r="B1449" s="1" t="s">
        <v>3830</v>
      </c>
      <c r="C1449" t="s">
        <v>6181</v>
      </c>
      <c r="D1449" t="s">
        <v>8187</v>
      </c>
      <c r="E1449" t="s">
        <v>10058</v>
      </c>
    </row>
    <row r="1450" spans="1:5" ht="15.6" x14ac:dyDescent="0.3">
      <c r="A1450" s="1" t="s">
        <v>922</v>
      </c>
      <c r="B1450" s="1" t="s">
        <v>3831</v>
      </c>
      <c r="C1450" t="s">
        <v>6182</v>
      </c>
      <c r="D1450" t="s">
        <v>8188</v>
      </c>
      <c r="E1450" t="s">
        <v>10059</v>
      </c>
    </row>
    <row r="1451" spans="1:5" ht="15.6" x14ac:dyDescent="0.3">
      <c r="A1451" s="1" t="s">
        <v>921</v>
      </c>
      <c r="B1451" s="1" t="s">
        <v>3832</v>
      </c>
      <c r="C1451" t="s">
        <v>6183</v>
      </c>
      <c r="D1451" t="s">
        <v>8189</v>
      </c>
      <c r="E1451" t="s">
        <v>10060</v>
      </c>
    </row>
    <row r="1452" spans="1:5" ht="15.6" x14ac:dyDescent="0.3">
      <c r="A1452" s="1" t="s">
        <v>920</v>
      </c>
      <c r="B1452" s="1" t="s">
        <v>3833</v>
      </c>
      <c r="C1452" t="s">
        <v>6184</v>
      </c>
      <c r="D1452" t="s">
        <v>8190</v>
      </c>
      <c r="E1452" t="s">
        <v>10061</v>
      </c>
    </row>
    <row r="1453" spans="1:5" ht="15.6" x14ac:dyDescent="0.3">
      <c r="A1453" s="1" t="s">
        <v>919</v>
      </c>
      <c r="B1453" s="1" t="s">
        <v>3834</v>
      </c>
      <c r="C1453" t="s">
        <v>6185</v>
      </c>
      <c r="D1453" t="s">
        <v>7100</v>
      </c>
      <c r="E1453" t="s">
        <v>10062</v>
      </c>
    </row>
    <row r="1454" spans="1:5" ht="15.6" x14ac:dyDescent="0.3">
      <c r="A1454" s="1" t="s">
        <v>918</v>
      </c>
      <c r="B1454" s="1" t="s">
        <v>3835</v>
      </c>
      <c r="C1454" t="s">
        <v>6186</v>
      </c>
      <c r="D1454" t="s">
        <v>7706</v>
      </c>
      <c r="E1454" t="s">
        <v>10063</v>
      </c>
    </row>
    <row r="1455" spans="1:5" ht="15.6" x14ac:dyDescent="0.3">
      <c r="A1455" s="1" t="s">
        <v>917</v>
      </c>
      <c r="B1455" s="1" t="s">
        <v>3836</v>
      </c>
      <c r="C1455" t="s">
        <v>6187</v>
      </c>
      <c r="D1455" t="s">
        <v>8191</v>
      </c>
      <c r="E1455" t="s">
        <v>10064</v>
      </c>
    </row>
    <row r="1456" spans="1:5" ht="15.6" x14ac:dyDescent="0.3">
      <c r="A1456" s="1" t="s">
        <v>916</v>
      </c>
      <c r="B1456" s="1" t="s">
        <v>3837</v>
      </c>
      <c r="C1456" t="s">
        <v>6188</v>
      </c>
      <c r="D1456" t="s">
        <v>8192</v>
      </c>
      <c r="E1456" t="s">
        <v>10065</v>
      </c>
    </row>
    <row r="1457" spans="1:5" ht="15.6" x14ac:dyDescent="0.3">
      <c r="A1457" s="1" t="s">
        <v>915</v>
      </c>
      <c r="B1457" s="1" t="s">
        <v>3838</v>
      </c>
      <c r="C1457" t="s">
        <v>6189</v>
      </c>
      <c r="D1457" t="s">
        <v>8193</v>
      </c>
      <c r="E1457" t="s">
        <v>9090</v>
      </c>
    </row>
    <row r="1458" spans="1:5" ht="15.6" x14ac:dyDescent="0.3">
      <c r="A1458" s="1" t="s">
        <v>914</v>
      </c>
      <c r="B1458" s="1" t="s">
        <v>3839</v>
      </c>
      <c r="C1458" t="s">
        <v>6190</v>
      </c>
      <c r="D1458" t="s">
        <v>8194</v>
      </c>
      <c r="E1458" t="s">
        <v>10066</v>
      </c>
    </row>
    <row r="1459" spans="1:5" ht="15.6" x14ac:dyDescent="0.3">
      <c r="A1459" s="1" t="s">
        <v>913</v>
      </c>
      <c r="B1459" s="1" t="s">
        <v>3840</v>
      </c>
      <c r="C1459" t="s">
        <v>6191</v>
      </c>
      <c r="D1459" t="s">
        <v>7299</v>
      </c>
      <c r="E1459" t="s">
        <v>10067</v>
      </c>
    </row>
    <row r="1460" spans="1:5" ht="15.6" x14ac:dyDescent="0.3">
      <c r="A1460" s="1" t="s">
        <v>912</v>
      </c>
      <c r="B1460" s="1" t="s">
        <v>3841</v>
      </c>
      <c r="C1460" t="s">
        <v>6192</v>
      </c>
      <c r="D1460" t="s">
        <v>8195</v>
      </c>
      <c r="E1460" t="s">
        <v>10068</v>
      </c>
    </row>
    <row r="1461" spans="1:5" ht="15.6" x14ac:dyDescent="0.3">
      <c r="A1461" s="1" t="s">
        <v>911</v>
      </c>
      <c r="B1461" s="1" t="s">
        <v>3842</v>
      </c>
      <c r="C1461" t="s">
        <v>6193</v>
      </c>
      <c r="D1461" t="s">
        <v>8196</v>
      </c>
      <c r="E1461" t="s">
        <v>9497</v>
      </c>
    </row>
    <row r="1462" spans="1:5" ht="15.6" x14ac:dyDescent="0.3">
      <c r="A1462" s="1" t="s">
        <v>910</v>
      </c>
      <c r="B1462" s="1" t="s">
        <v>3843</v>
      </c>
      <c r="C1462" t="s">
        <v>6194</v>
      </c>
      <c r="D1462" t="s">
        <v>7517</v>
      </c>
      <c r="E1462" t="s">
        <v>9031</v>
      </c>
    </row>
    <row r="1463" spans="1:5" ht="15.6" x14ac:dyDescent="0.3">
      <c r="A1463" s="1" t="s">
        <v>909</v>
      </c>
      <c r="B1463" s="1" t="s">
        <v>3844</v>
      </c>
      <c r="C1463" t="s">
        <v>6195</v>
      </c>
      <c r="D1463" t="s">
        <v>8197</v>
      </c>
      <c r="E1463" t="s">
        <v>8970</v>
      </c>
    </row>
    <row r="1464" spans="1:5" ht="15.6" x14ac:dyDescent="0.3">
      <c r="A1464" s="1" t="s">
        <v>908</v>
      </c>
      <c r="B1464" s="1" t="s">
        <v>3845</v>
      </c>
      <c r="C1464" t="s">
        <v>6196</v>
      </c>
      <c r="D1464" t="s">
        <v>7304</v>
      </c>
      <c r="E1464" t="s">
        <v>10069</v>
      </c>
    </row>
    <row r="1465" spans="1:5" ht="15.6" x14ac:dyDescent="0.3">
      <c r="A1465" s="1" t="s">
        <v>907</v>
      </c>
      <c r="B1465" s="1" t="s">
        <v>3846</v>
      </c>
      <c r="C1465" t="s">
        <v>4728</v>
      </c>
      <c r="D1465" t="s">
        <v>7063</v>
      </c>
      <c r="E1465" t="s">
        <v>10070</v>
      </c>
    </row>
    <row r="1466" spans="1:5" ht="15.6" x14ac:dyDescent="0.3">
      <c r="A1466" s="1" t="s">
        <v>906</v>
      </c>
      <c r="B1466" s="1" t="s">
        <v>3847</v>
      </c>
      <c r="C1466" t="s">
        <v>6197</v>
      </c>
      <c r="D1466" t="s">
        <v>8198</v>
      </c>
      <c r="E1466" t="s">
        <v>9012</v>
      </c>
    </row>
    <row r="1467" spans="1:5" ht="15.6" x14ac:dyDescent="0.3">
      <c r="A1467" s="1" t="s">
        <v>905</v>
      </c>
      <c r="B1467" s="1" t="s">
        <v>3848</v>
      </c>
      <c r="C1467" t="s">
        <v>6198</v>
      </c>
      <c r="D1467" t="s">
        <v>8199</v>
      </c>
      <c r="E1467" t="s">
        <v>9179</v>
      </c>
    </row>
    <row r="1468" spans="1:5" ht="15.6" x14ac:dyDescent="0.3">
      <c r="A1468" s="1" t="s">
        <v>904</v>
      </c>
      <c r="B1468" s="1" t="s">
        <v>3849</v>
      </c>
      <c r="C1468" t="s">
        <v>6199</v>
      </c>
      <c r="D1468" t="s">
        <v>8200</v>
      </c>
      <c r="E1468" t="s">
        <v>10071</v>
      </c>
    </row>
    <row r="1469" spans="1:5" ht="15.6" x14ac:dyDescent="0.3">
      <c r="A1469" s="1" t="s">
        <v>903</v>
      </c>
      <c r="B1469" s="1" t="s">
        <v>3850</v>
      </c>
      <c r="C1469" t="s">
        <v>6200</v>
      </c>
      <c r="D1469" t="s">
        <v>8201</v>
      </c>
      <c r="E1469" t="s">
        <v>10072</v>
      </c>
    </row>
    <row r="1470" spans="1:5" ht="15.6" x14ac:dyDescent="0.3">
      <c r="A1470" s="1" t="s">
        <v>902</v>
      </c>
      <c r="B1470" s="1" t="s">
        <v>3851</v>
      </c>
      <c r="C1470" t="s">
        <v>6201</v>
      </c>
      <c r="D1470" t="s">
        <v>7282</v>
      </c>
      <c r="E1470" t="s">
        <v>10073</v>
      </c>
    </row>
    <row r="1471" spans="1:5" ht="15.6" x14ac:dyDescent="0.3">
      <c r="A1471" s="1" t="s">
        <v>901</v>
      </c>
      <c r="B1471" s="1" t="s">
        <v>3852</v>
      </c>
      <c r="C1471" t="s">
        <v>6202</v>
      </c>
      <c r="D1471" t="s">
        <v>8202</v>
      </c>
      <c r="E1471" t="s">
        <v>10074</v>
      </c>
    </row>
    <row r="1472" spans="1:5" ht="15.6" x14ac:dyDescent="0.3">
      <c r="A1472" s="1" t="s">
        <v>900</v>
      </c>
      <c r="B1472" s="1" t="s">
        <v>3853</v>
      </c>
      <c r="C1472" t="s">
        <v>6203</v>
      </c>
      <c r="D1472" t="s">
        <v>8203</v>
      </c>
      <c r="E1472" t="s">
        <v>10075</v>
      </c>
    </row>
    <row r="1473" spans="1:5" ht="15.6" x14ac:dyDescent="0.3">
      <c r="A1473" s="1" t="s">
        <v>899</v>
      </c>
      <c r="B1473" s="1" t="s">
        <v>3854</v>
      </c>
      <c r="C1473" t="s">
        <v>6204</v>
      </c>
      <c r="D1473" t="s">
        <v>7727</v>
      </c>
      <c r="E1473" t="s">
        <v>10076</v>
      </c>
    </row>
    <row r="1474" spans="1:5" ht="15.6" x14ac:dyDescent="0.3">
      <c r="A1474" s="1" t="s">
        <v>898</v>
      </c>
      <c r="B1474" s="1" t="s">
        <v>3855</v>
      </c>
      <c r="C1474" t="s">
        <v>6205</v>
      </c>
      <c r="D1474" t="s">
        <v>7671</v>
      </c>
      <c r="E1474" t="s">
        <v>10077</v>
      </c>
    </row>
    <row r="1475" spans="1:5" ht="15.6" x14ac:dyDescent="0.3">
      <c r="A1475" s="1" t="s">
        <v>897</v>
      </c>
      <c r="B1475" s="1" t="s">
        <v>3856</v>
      </c>
      <c r="C1475" t="s">
        <v>6206</v>
      </c>
      <c r="D1475" t="s">
        <v>8204</v>
      </c>
      <c r="E1475" t="s">
        <v>10078</v>
      </c>
    </row>
    <row r="1476" spans="1:5" ht="15.6" x14ac:dyDescent="0.3">
      <c r="A1476" s="1" t="s">
        <v>896</v>
      </c>
      <c r="B1476" s="1" t="s">
        <v>3857</v>
      </c>
      <c r="C1476" t="s">
        <v>6207</v>
      </c>
      <c r="D1476" t="s">
        <v>8205</v>
      </c>
      <c r="E1476" t="s">
        <v>10079</v>
      </c>
    </row>
    <row r="1477" spans="1:5" ht="15.6" x14ac:dyDescent="0.3">
      <c r="A1477" s="1" t="s">
        <v>895</v>
      </c>
      <c r="B1477" s="1" t="s">
        <v>3858</v>
      </c>
      <c r="C1477" t="s">
        <v>6208</v>
      </c>
      <c r="D1477" t="s">
        <v>8206</v>
      </c>
      <c r="E1477" t="s">
        <v>10080</v>
      </c>
    </row>
    <row r="1478" spans="1:5" ht="15.6" x14ac:dyDescent="0.3">
      <c r="A1478" s="1" t="s">
        <v>894</v>
      </c>
      <c r="B1478" s="1" t="s">
        <v>3859</v>
      </c>
      <c r="C1478" t="s">
        <v>6209</v>
      </c>
      <c r="D1478" t="s">
        <v>8084</v>
      </c>
      <c r="E1478" t="s">
        <v>10081</v>
      </c>
    </row>
    <row r="1479" spans="1:5" ht="15.6" x14ac:dyDescent="0.3">
      <c r="A1479" s="1" t="s">
        <v>893</v>
      </c>
      <c r="B1479" s="1" t="s">
        <v>3860</v>
      </c>
      <c r="C1479" t="s">
        <v>6210</v>
      </c>
      <c r="D1479" t="s">
        <v>8207</v>
      </c>
      <c r="E1479" t="s">
        <v>10082</v>
      </c>
    </row>
    <row r="1480" spans="1:5" ht="15.6" x14ac:dyDescent="0.3">
      <c r="A1480" s="1" t="s">
        <v>892</v>
      </c>
      <c r="B1480" s="1" t="s">
        <v>3861</v>
      </c>
      <c r="C1480" t="s">
        <v>6211</v>
      </c>
      <c r="D1480" t="s">
        <v>8208</v>
      </c>
      <c r="E1480" t="s">
        <v>10083</v>
      </c>
    </row>
    <row r="1481" spans="1:5" ht="15.6" x14ac:dyDescent="0.3">
      <c r="A1481" s="1" t="s">
        <v>891</v>
      </c>
      <c r="B1481" s="1" t="s">
        <v>3862</v>
      </c>
      <c r="C1481" t="s">
        <v>6212</v>
      </c>
      <c r="D1481" t="s">
        <v>8209</v>
      </c>
      <c r="E1481" t="s">
        <v>10084</v>
      </c>
    </row>
    <row r="1482" spans="1:5" ht="15.6" x14ac:dyDescent="0.3">
      <c r="A1482" s="1" t="s">
        <v>890</v>
      </c>
      <c r="B1482" s="1" t="s">
        <v>3863</v>
      </c>
      <c r="C1482" t="s">
        <v>6213</v>
      </c>
      <c r="D1482" t="s">
        <v>7321</v>
      </c>
      <c r="E1482" t="s">
        <v>10085</v>
      </c>
    </row>
    <row r="1483" spans="1:5" ht="15.6" x14ac:dyDescent="0.3">
      <c r="A1483" s="1" t="s">
        <v>889</v>
      </c>
      <c r="B1483" s="1" t="s">
        <v>3864</v>
      </c>
      <c r="C1483" t="s">
        <v>6214</v>
      </c>
      <c r="D1483" t="s">
        <v>8210</v>
      </c>
      <c r="E1483" t="s">
        <v>9978</v>
      </c>
    </row>
    <row r="1484" spans="1:5" ht="15.6" x14ac:dyDescent="0.3">
      <c r="A1484" s="1" t="s">
        <v>888</v>
      </c>
      <c r="B1484" s="1" t="s">
        <v>3865</v>
      </c>
      <c r="C1484" t="s">
        <v>6215</v>
      </c>
      <c r="D1484" t="s">
        <v>8211</v>
      </c>
      <c r="E1484" t="s">
        <v>10086</v>
      </c>
    </row>
    <row r="1485" spans="1:5" ht="15.6" x14ac:dyDescent="0.3">
      <c r="A1485" s="1" t="s">
        <v>887</v>
      </c>
      <c r="B1485" s="1" t="s">
        <v>3866</v>
      </c>
      <c r="C1485" t="s">
        <v>6216</v>
      </c>
      <c r="D1485" t="s">
        <v>7134</v>
      </c>
      <c r="E1485" t="s">
        <v>10087</v>
      </c>
    </row>
    <row r="1486" spans="1:5" ht="15.6" x14ac:dyDescent="0.3">
      <c r="A1486" s="1" t="s">
        <v>886</v>
      </c>
      <c r="B1486" s="1" t="s">
        <v>3867</v>
      </c>
      <c r="C1486" t="s">
        <v>6217</v>
      </c>
      <c r="D1486" t="s">
        <v>8212</v>
      </c>
      <c r="E1486" t="s">
        <v>10088</v>
      </c>
    </row>
    <row r="1487" spans="1:5" ht="15.6" x14ac:dyDescent="0.3">
      <c r="A1487" s="1" t="s">
        <v>885</v>
      </c>
      <c r="B1487" s="1" t="s">
        <v>3868</v>
      </c>
      <c r="C1487" t="s">
        <v>6218</v>
      </c>
      <c r="D1487" t="s">
        <v>8213</v>
      </c>
      <c r="E1487" t="s">
        <v>10089</v>
      </c>
    </row>
    <row r="1488" spans="1:5" ht="15.6" x14ac:dyDescent="0.3">
      <c r="A1488" s="1" t="s">
        <v>884</v>
      </c>
      <c r="B1488" s="1" t="s">
        <v>3869</v>
      </c>
      <c r="C1488" t="s">
        <v>6219</v>
      </c>
      <c r="D1488" t="s">
        <v>8214</v>
      </c>
      <c r="E1488" t="s">
        <v>10090</v>
      </c>
    </row>
    <row r="1489" spans="1:5" ht="15.6" x14ac:dyDescent="0.3">
      <c r="A1489" s="1" t="s">
        <v>883</v>
      </c>
      <c r="B1489" s="1" t="s">
        <v>3870</v>
      </c>
      <c r="C1489" t="s">
        <v>6220</v>
      </c>
      <c r="D1489" t="s">
        <v>8215</v>
      </c>
      <c r="E1489" t="s">
        <v>9654</v>
      </c>
    </row>
    <row r="1490" spans="1:5" ht="15.6" x14ac:dyDescent="0.3">
      <c r="A1490" s="1" t="s">
        <v>882</v>
      </c>
      <c r="B1490" s="1" t="s">
        <v>3871</v>
      </c>
      <c r="C1490" t="s">
        <v>6221</v>
      </c>
      <c r="D1490" t="s">
        <v>8216</v>
      </c>
      <c r="E1490" t="s">
        <v>10091</v>
      </c>
    </row>
    <row r="1491" spans="1:5" ht="15.6" x14ac:dyDescent="0.3">
      <c r="A1491" s="1" t="s">
        <v>881</v>
      </c>
      <c r="B1491" s="1" t="s">
        <v>3872</v>
      </c>
      <c r="C1491" t="s">
        <v>6222</v>
      </c>
      <c r="D1491" t="s">
        <v>8217</v>
      </c>
      <c r="E1491" t="s">
        <v>10092</v>
      </c>
    </row>
    <row r="1492" spans="1:5" ht="15.6" x14ac:dyDescent="0.3">
      <c r="A1492" s="1" t="s">
        <v>880</v>
      </c>
      <c r="B1492" s="1" t="s">
        <v>3873</v>
      </c>
      <c r="C1492" t="s">
        <v>6223</v>
      </c>
      <c r="D1492" t="s">
        <v>8218</v>
      </c>
      <c r="E1492" t="s">
        <v>10093</v>
      </c>
    </row>
    <row r="1493" spans="1:5" ht="15.6" x14ac:dyDescent="0.3">
      <c r="A1493" s="1" t="s">
        <v>879</v>
      </c>
      <c r="B1493" s="1" t="s">
        <v>3874</v>
      </c>
      <c r="C1493" t="s">
        <v>4729</v>
      </c>
      <c r="D1493" t="s">
        <v>7064</v>
      </c>
      <c r="E1493" t="s">
        <v>10094</v>
      </c>
    </row>
    <row r="1494" spans="1:5" ht="15.6" x14ac:dyDescent="0.3">
      <c r="A1494" s="1" t="s">
        <v>878</v>
      </c>
      <c r="B1494" s="1" t="s">
        <v>3875</v>
      </c>
      <c r="C1494" t="s">
        <v>6224</v>
      </c>
      <c r="D1494" t="s">
        <v>8219</v>
      </c>
      <c r="E1494" t="s">
        <v>10095</v>
      </c>
    </row>
    <row r="1495" spans="1:5" ht="15.6" x14ac:dyDescent="0.3">
      <c r="A1495" s="1" t="s">
        <v>877</v>
      </c>
      <c r="B1495" s="1" t="s">
        <v>3876</v>
      </c>
      <c r="C1495" t="s">
        <v>6225</v>
      </c>
      <c r="D1495" t="s">
        <v>8220</v>
      </c>
      <c r="E1495" t="s">
        <v>10096</v>
      </c>
    </row>
    <row r="1496" spans="1:5" ht="15.6" x14ac:dyDescent="0.3">
      <c r="A1496" s="1" t="s">
        <v>876</v>
      </c>
      <c r="B1496" s="1" t="s">
        <v>3877</v>
      </c>
      <c r="C1496" t="s">
        <v>6226</v>
      </c>
      <c r="D1496" t="s">
        <v>8221</v>
      </c>
      <c r="E1496" t="s">
        <v>10097</v>
      </c>
    </row>
    <row r="1497" spans="1:5" ht="15.6" x14ac:dyDescent="0.3">
      <c r="A1497" s="1" t="s">
        <v>875</v>
      </c>
      <c r="B1497" s="1" t="s">
        <v>3878</v>
      </c>
      <c r="C1497" t="s">
        <v>6227</v>
      </c>
      <c r="D1497" t="s">
        <v>8222</v>
      </c>
      <c r="E1497" t="s">
        <v>10098</v>
      </c>
    </row>
    <row r="1498" spans="1:5" ht="15.6" x14ac:dyDescent="0.3">
      <c r="A1498" s="1" t="s">
        <v>874</v>
      </c>
      <c r="B1498" s="1" t="s">
        <v>3879</v>
      </c>
      <c r="C1498" t="s">
        <v>6228</v>
      </c>
      <c r="D1498" t="s">
        <v>8223</v>
      </c>
      <c r="E1498" t="s">
        <v>10099</v>
      </c>
    </row>
    <row r="1499" spans="1:5" ht="15.6" x14ac:dyDescent="0.3">
      <c r="A1499" s="1" t="s">
        <v>873</v>
      </c>
      <c r="B1499" s="1" t="s">
        <v>3880</v>
      </c>
      <c r="C1499" t="s">
        <v>6229</v>
      </c>
      <c r="D1499" t="s">
        <v>7167</v>
      </c>
      <c r="E1499" t="s">
        <v>10100</v>
      </c>
    </row>
    <row r="1500" spans="1:5" ht="15.6" x14ac:dyDescent="0.3">
      <c r="A1500" s="1" t="s">
        <v>872</v>
      </c>
      <c r="B1500" s="1" t="s">
        <v>3881</v>
      </c>
      <c r="C1500" t="s">
        <v>6230</v>
      </c>
      <c r="D1500" t="s">
        <v>8224</v>
      </c>
      <c r="E1500" t="s">
        <v>10101</v>
      </c>
    </row>
    <row r="1501" spans="1:5" ht="15.6" x14ac:dyDescent="0.3">
      <c r="A1501" s="1" t="s">
        <v>871</v>
      </c>
      <c r="B1501" s="1" t="s">
        <v>3882</v>
      </c>
      <c r="C1501" t="s">
        <v>6231</v>
      </c>
      <c r="D1501" t="s">
        <v>7633</v>
      </c>
      <c r="E1501" t="s">
        <v>10102</v>
      </c>
    </row>
    <row r="1502" spans="1:5" ht="15.6" x14ac:dyDescent="0.3">
      <c r="A1502" s="1" t="s">
        <v>870</v>
      </c>
      <c r="B1502" s="1" t="s">
        <v>3883</v>
      </c>
      <c r="C1502" t="s">
        <v>6232</v>
      </c>
      <c r="D1502" t="s">
        <v>8225</v>
      </c>
      <c r="E1502" t="s">
        <v>10103</v>
      </c>
    </row>
    <row r="1503" spans="1:5" ht="15.6" x14ac:dyDescent="0.3">
      <c r="A1503" s="1" t="s">
        <v>869</v>
      </c>
      <c r="B1503" s="1" t="s">
        <v>3884</v>
      </c>
      <c r="C1503" t="s">
        <v>6233</v>
      </c>
      <c r="D1503" t="s">
        <v>7619</v>
      </c>
      <c r="E1503" t="s">
        <v>10104</v>
      </c>
    </row>
    <row r="1504" spans="1:5" ht="15.6" x14ac:dyDescent="0.3">
      <c r="A1504" s="1" t="s">
        <v>868</v>
      </c>
      <c r="B1504" s="1" t="s">
        <v>3885</v>
      </c>
      <c r="C1504" t="s">
        <v>6234</v>
      </c>
      <c r="D1504" t="s">
        <v>8226</v>
      </c>
      <c r="E1504" t="s">
        <v>10105</v>
      </c>
    </row>
    <row r="1505" spans="1:5" ht="15.6" x14ac:dyDescent="0.3">
      <c r="A1505" s="1" t="s">
        <v>867</v>
      </c>
      <c r="B1505" s="1" t="s">
        <v>3886</v>
      </c>
      <c r="C1505" t="s">
        <v>6235</v>
      </c>
      <c r="D1505" t="s">
        <v>8227</v>
      </c>
      <c r="E1505" t="s">
        <v>9588</v>
      </c>
    </row>
    <row r="1506" spans="1:5" ht="15.6" x14ac:dyDescent="0.3">
      <c r="A1506" s="1" t="s">
        <v>866</v>
      </c>
      <c r="B1506" s="1" t="s">
        <v>3887</v>
      </c>
      <c r="C1506" t="s">
        <v>6236</v>
      </c>
      <c r="D1506" t="s">
        <v>8228</v>
      </c>
      <c r="E1506" t="s">
        <v>10106</v>
      </c>
    </row>
    <row r="1507" spans="1:5" ht="15.6" x14ac:dyDescent="0.3">
      <c r="A1507" s="1" t="s">
        <v>865</v>
      </c>
      <c r="B1507" s="1" t="s">
        <v>3888</v>
      </c>
      <c r="C1507" t="s">
        <v>6237</v>
      </c>
      <c r="D1507" t="s">
        <v>8229</v>
      </c>
      <c r="E1507" t="s">
        <v>10107</v>
      </c>
    </row>
    <row r="1508" spans="1:5" ht="15.6" x14ac:dyDescent="0.3">
      <c r="A1508" s="1" t="s">
        <v>864</v>
      </c>
      <c r="B1508" s="1" t="s">
        <v>3889</v>
      </c>
      <c r="C1508" t="s">
        <v>6238</v>
      </c>
      <c r="D1508" t="s">
        <v>8150</v>
      </c>
      <c r="E1508" t="s">
        <v>10108</v>
      </c>
    </row>
    <row r="1509" spans="1:5" ht="15.6" x14ac:dyDescent="0.3">
      <c r="A1509" s="1" t="s">
        <v>863</v>
      </c>
      <c r="B1509" s="1" t="s">
        <v>3890</v>
      </c>
      <c r="C1509" t="s">
        <v>6239</v>
      </c>
      <c r="D1509" t="s">
        <v>8230</v>
      </c>
      <c r="E1509" t="s">
        <v>9515</v>
      </c>
    </row>
    <row r="1510" spans="1:5" ht="15.6" x14ac:dyDescent="0.3">
      <c r="A1510" s="1" t="s">
        <v>862</v>
      </c>
      <c r="B1510" s="1" t="s">
        <v>3891</v>
      </c>
      <c r="C1510" t="s">
        <v>6240</v>
      </c>
      <c r="D1510" t="s">
        <v>7249</v>
      </c>
      <c r="E1510" t="s">
        <v>8912</v>
      </c>
    </row>
    <row r="1511" spans="1:5" ht="15.6" x14ac:dyDescent="0.3">
      <c r="A1511" s="1" t="s">
        <v>861</v>
      </c>
      <c r="B1511" s="1" t="s">
        <v>3892</v>
      </c>
      <c r="C1511" t="s">
        <v>6241</v>
      </c>
      <c r="D1511" t="s">
        <v>8231</v>
      </c>
      <c r="E1511" t="s">
        <v>10109</v>
      </c>
    </row>
    <row r="1512" spans="1:5" ht="15.6" x14ac:dyDescent="0.3">
      <c r="A1512" s="1" t="s">
        <v>860</v>
      </c>
      <c r="B1512" s="1" t="s">
        <v>3893</v>
      </c>
      <c r="C1512" t="s">
        <v>6242</v>
      </c>
      <c r="D1512" t="s">
        <v>7219</v>
      </c>
      <c r="E1512" t="s">
        <v>10110</v>
      </c>
    </row>
    <row r="1513" spans="1:5" ht="15.6" x14ac:dyDescent="0.3">
      <c r="A1513" s="1" t="s">
        <v>859</v>
      </c>
      <c r="B1513" s="1" t="s">
        <v>3894</v>
      </c>
      <c r="C1513" t="s">
        <v>6243</v>
      </c>
      <c r="D1513" t="s">
        <v>8232</v>
      </c>
      <c r="E1513" t="s">
        <v>10111</v>
      </c>
    </row>
    <row r="1514" spans="1:5" ht="15.6" x14ac:dyDescent="0.3">
      <c r="A1514" s="1" t="s">
        <v>858</v>
      </c>
      <c r="B1514" s="1" t="s">
        <v>3895</v>
      </c>
      <c r="C1514" t="s">
        <v>6244</v>
      </c>
      <c r="D1514" t="s">
        <v>8233</v>
      </c>
      <c r="E1514" t="s">
        <v>10112</v>
      </c>
    </row>
    <row r="1515" spans="1:5" ht="15.6" x14ac:dyDescent="0.3">
      <c r="A1515" s="1" t="s">
        <v>857</v>
      </c>
      <c r="B1515" s="1" t="s">
        <v>3896</v>
      </c>
      <c r="C1515" t="s">
        <v>6245</v>
      </c>
      <c r="D1515" t="s">
        <v>8234</v>
      </c>
      <c r="E1515" t="s">
        <v>10113</v>
      </c>
    </row>
    <row r="1516" spans="1:5" ht="15.6" x14ac:dyDescent="0.3">
      <c r="A1516" s="1" t="s">
        <v>856</v>
      </c>
      <c r="B1516" s="1" t="s">
        <v>3897</v>
      </c>
      <c r="C1516" t="s">
        <v>6246</v>
      </c>
      <c r="D1516" t="s">
        <v>7219</v>
      </c>
      <c r="E1516" t="s">
        <v>10114</v>
      </c>
    </row>
    <row r="1517" spans="1:5" ht="15.6" x14ac:dyDescent="0.3">
      <c r="A1517" s="1" t="s">
        <v>855</v>
      </c>
      <c r="B1517" s="1" t="s">
        <v>3898</v>
      </c>
      <c r="C1517" t="s">
        <v>6247</v>
      </c>
      <c r="D1517" t="s">
        <v>8007</v>
      </c>
      <c r="E1517" t="s">
        <v>10115</v>
      </c>
    </row>
    <row r="1518" spans="1:5" ht="15.6" x14ac:dyDescent="0.3">
      <c r="A1518" s="1" t="s">
        <v>854</v>
      </c>
      <c r="B1518" s="1" t="s">
        <v>3899</v>
      </c>
      <c r="C1518" t="s">
        <v>6248</v>
      </c>
      <c r="D1518" t="s">
        <v>8235</v>
      </c>
      <c r="E1518" t="s">
        <v>10116</v>
      </c>
    </row>
    <row r="1519" spans="1:5" ht="15.6" x14ac:dyDescent="0.3">
      <c r="A1519" s="1" t="s">
        <v>853</v>
      </c>
      <c r="B1519" s="1" t="s">
        <v>3900</v>
      </c>
      <c r="C1519" t="s">
        <v>6249</v>
      </c>
      <c r="D1519" t="s">
        <v>7463</v>
      </c>
      <c r="E1519" t="s">
        <v>10117</v>
      </c>
    </row>
    <row r="1520" spans="1:5" ht="15.6" x14ac:dyDescent="0.3">
      <c r="A1520" s="1" t="s">
        <v>852</v>
      </c>
      <c r="B1520" s="1" t="s">
        <v>3901</v>
      </c>
      <c r="C1520" t="s">
        <v>6250</v>
      </c>
      <c r="D1520" t="s">
        <v>8236</v>
      </c>
      <c r="E1520" t="s">
        <v>10118</v>
      </c>
    </row>
    <row r="1521" spans="1:5" ht="15.6" x14ac:dyDescent="0.3">
      <c r="A1521" s="1" t="s">
        <v>851</v>
      </c>
      <c r="B1521" s="1" t="s">
        <v>3902</v>
      </c>
      <c r="C1521" t="s">
        <v>6251</v>
      </c>
      <c r="D1521" t="s">
        <v>8237</v>
      </c>
      <c r="E1521" t="s">
        <v>10119</v>
      </c>
    </row>
    <row r="1522" spans="1:5" ht="15.6" x14ac:dyDescent="0.3">
      <c r="A1522" s="1" t="s">
        <v>850</v>
      </c>
      <c r="B1522" s="1" t="s">
        <v>3903</v>
      </c>
      <c r="C1522" t="s">
        <v>6252</v>
      </c>
      <c r="D1522" t="s">
        <v>8238</v>
      </c>
      <c r="E1522" t="s">
        <v>10120</v>
      </c>
    </row>
    <row r="1523" spans="1:5" ht="15.6" x14ac:dyDescent="0.3">
      <c r="A1523" s="1" t="s">
        <v>849</v>
      </c>
      <c r="B1523" s="1" t="s">
        <v>3904</v>
      </c>
      <c r="C1523" t="s">
        <v>6253</v>
      </c>
      <c r="D1523" t="s">
        <v>7612</v>
      </c>
      <c r="E1523" t="s">
        <v>10121</v>
      </c>
    </row>
    <row r="1524" spans="1:5" ht="15.6" x14ac:dyDescent="0.3">
      <c r="A1524" s="1" t="s">
        <v>848</v>
      </c>
      <c r="B1524" s="1" t="s">
        <v>3905</v>
      </c>
      <c r="C1524" t="s">
        <v>6254</v>
      </c>
      <c r="D1524" t="s">
        <v>8239</v>
      </c>
      <c r="E1524" t="s">
        <v>10122</v>
      </c>
    </row>
    <row r="1525" spans="1:5" ht="15.6" x14ac:dyDescent="0.3">
      <c r="A1525" s="1" t="s">
        <v>847</v>
      </c>
      <c r="B1525" s="1" t="s">
        <v>3906</v>
      </c>
      <c r="C1525" t="s">
        <v>6255</v>
      </c>
      <c r="D1525" t="s">
        <v>7282</v>
      </c>
      <c r="E1525" t="s">
        <v>10123</v>
      </c>
    </row>
    <row r="1526" spans="1:5" ht="15.6" x14ac:dyDescent="0.3">
      <c r="A1526" s="1" t="s">
        <v>846</v>
      </c>
      <c r="B1526" s="1" t="s">
        <v>3907</v>
      </c>
      <c r="C1526" t="s">
        <v>6256</v>
      </c>
      <c r="D1526" t="s">
        <v>8240</v>
      </c>
      <c r="E1526" t="s">
        <v>9564</v>
      </c>
    </row>
    <row r="1527" spans="1:5" ht="15.6" x14ac:dyDescent="0.3">
      <c r="A1527" s="1" t="s">
        <v>845</v>
      </c>
      <c r="B1527" s="1" t="s">
        <v>3908</v>
      </c>
      <c r="C1527" t="s">
        <v>6257</v>
      </c>
      <c r="D1527" t="s">
        <v>8241</v>
      </c>
      <c r="E1527" t="s">
        <v>10124</v>
      </c>
    </row>
    <row r="1528" spans="1:5" ht="15.6" x14ac:dyDescent="0.3">
      <c r="A1528" s="1" t="s">
        <v>844</v>
      </c>
      <c r="B1528" s="1" t="s">
        <v>3909</v>
      </c>
      <c r="C1528" t="s">
        <v>6258</v>
      </c>
      <c r="D1528" t="s">
        <v>8242</v>
      </c>
      <c r="E1528" t="s">
        <v>10125</v>
      </c>
    </row>
    <row r="1529" spans="1:5" ht="15.6" x14ac:dyDescent="0.3">
      <c r="A1529" s="1" t="s">
        <v>843</v>
      </c>
      <c r="B1529" s="1" t="s">
        <v>3910</v>
      </c>
      <c r="C1529" t="s">
        <v>6259</v>
      </c>
      <c r="D1529" t="s">
        <v>8243</v>
      </c>
      <c r="E1529" t="s">
        <v>10126</v>
      </c>
    </row>
    <row r="1530" spans="1:5" ht="15.6" x14ac:dyDescent="0.3">
      <c r="A1530" s="1" t="s">
        <v>842</v>
      </c>
      <c r="B1530" s="1" t="s">
        <v>3911</v>
      </c>
      <c r="C1530" t="s">
        <v>6260</v>
      </c>
      <c r="D1530" t="s">
        <v>8244</v>
      </c>
      <c r="E1530" t="s">
        <v>10127</v>
      </c>
    </row>
    <row r="1531" spans="1:5" ht="15.6" x14ac:dyDescent="0.3">
      <c r="A1531" s="1" t="s">
        <v>841</v>
      </c>
      <c r="B1531" s="1" t="s">
        <v>3912</v>
      </c>
      <c r="C1531" t="s">
        <v>6261</v>
      </c>
      <c r="D1531" t="s">
        <v>7152</v>
      </c>
      <c r="E1531" t="s">
        <v>9034</v>
      </c>
    </row>
    <row r="1532" spans="1:5" ht="15.6" x14ac:dyDescent="0.3">
      <c r="A1532" s="1" t="s">
        <v>840</v>
      </c>
      <c r="B1532" s="1" t="s">
        <v>3913</v>
      </c>
      <c r="C1532" t="s">
        <v>6262</v>
      </c>
      <c r="D1532" t="s">
        <v>8245</v>
      </c>
      <c r="E1532" t="s">
        <v>10128</v>
      </c>
    </row>
    <row r="1533" spans="1:5" ht="15.6" x14ac:dyDescent="0.3">
      <c r="A1533" s="1" t="s">
        <v>839</v>
      </c>
      <c r="B1533" s="1" t="s">
        <v>3914</v>
      </c>
      <c r="C1533" t="s">
        <v>6263</v>
      </c>
      <c r="D1533" t="s">
        <v>8246</v>
      </c>
      <c r="E1533" t="s">
        <v>10129</v>
      </c>
    </row>
    <row r="1534" spans="1:5" ht="15.6" x14ac:dyDescent="0.3">
      <c r="A1534" s="1" t="s">
        <v>838</v>
      </c>
      <c r="B1534" s="1" t="s">
        <v>3915</v>
      </c>
      <c r="C1534" t="s">
        <v>6264</v>
      </c>
      <c r="D1534" t="s">
        <v>7422</v>
      </c>
      <c r="E1534" t="s">
        <v>10130</v>
      </c>
    </row>
    <row r="1535" spans="1:5" ht="15.6" x14ac:dyDescent="0.3">
      <c r="A1535" s="1" t="s">
        <v>837</v>
      </c>
      <c r="B1535" s="1" t="s">
        <v>3916</v>
      </c>
      <c r="C1535" t="s">
        <v>6265</v>
      </c>
      <c r="D1535" t="s">
        <v>7157</v>
      </c>
      <c r="E1535" t="s">
        <v>10131</v>
      </c>
    </row>
    <row r="1536" spans="1:5" ht="15.6" x14ac:dyDescent="0.3">
      <c r="A1536" s="1" t="s">
        <v>836</v>
      </c>
      <c r="B1536" s="1" t="s">
        <v>3917</v>
      </c>
      <c r="C1536" t="s">
        <v>6266</v>
      </c>
      <c r="D1536" t="s">
        <v>7100</v>
      </c>
      <c r="E1536" t="s">
        <v>10132</v>
      </c>
    </row>
    <row r="1537" spans="1:5" ht="15.6" x14ac:dyDescent="0.3">
      <c r="A1537" s="1" t="s">
        <v>835</v>
      </c>
      <c r="B1537" s="1" t="s">
        <v>3918</v>
      </c>
      <c r="C1537" t="s">
        <v>6267</v>
      </c>
      <c r="D1537" t="s">
        <v>7122</v>
      </c>
      <c r="E1537" t="s">
        <v>10133</v>
      </c>
    </row>
    <row r="1538" spans="1:5" ht="15.6" x14ac:dyDescent="0.3">
      <c r="A1538" s="1" t="s">
        <v>834</v>
      </c>
      <c r="B1538" s="1" t="s">
        <v>3919</v>
      </c>
      <c r="C1538" t="s">
        <v>6268</v>
      </c>
      <c r="D1538" t="s">
        <v>8247</v>
      </c>
      <c r="E1538" t="s">
        <v>10134</v>
      </c>
    </row>
    <row r="1539" spans="1:5" ht="15.6" x14ac:dyDescent="0.3">
      <c r="A1539" s="1" t="s">
        <v>833</v>
      </c>
      <c r="B1539" s="1" t="s">
        <v>3920</v>
      </c>
      <c r="C1539" t="s">
        <v>6269</v>
      </c>
      <c r="D1539" t="s">
        <v>7277</v>
      </c>
      <c r="E1539" t="s">
        <v>10135</v>
      </c>
    </row>
    <row r="1540" spans="1:5" ht="15.6" x14ac:dyDescent="0.3">
      <c r="A1540" s="1" t="s">
        <v>832</v>
      </c>
      <c r="B1540" s="1" t="s">
        <v>3921</v>
      </c>
      <c r="C1540" t="s">
        <v>6270</v>
      </c>
      <c r="D1540" t="s">
        <v>8248</v>
      </c>
      <c r="E1540" t="s">
        <v>10136</v>
      </c>
    </row>
    <row r="1541" spans="1:5" ht="15.6" x14ac:dyDescent="0.3">
      <c r="A1541" s="1" t="s">
        <v>831</v>
      </c>
      <c r="B1541" s="1" t="s">
        <v>3922</v>
      </c>
      <c r="C1541" t="s">
        <v>6271</v>
      </c>
      <c r="D1541" t="s">
        <v>8249</v>
      </c>
      <c r="E1541" t="s">
        <v>10137</v>
      </c>
    </row>
    <row r="1542" spans="1:5" ht="15.6" x14ac:dyDescent="0.3">
      <c r="A1542" s="1" t="s">
        <v>830</v>
      </c>
      <c r="B1542" s="1" t="s">
        <v>3923</v>
      </c>
      <c r="C1542" t="s">
        <v>6272</v>
      </c>
      <c r="D1542" t="s">
        <v>8250</v>
      </c>
      <c r="E1542" t="s">
        <v>10138</v>
      </c>
    </row>
    <row r="1543" spans="1:5" ht="15.6" x14ac:dyDescent="0.3">
      <c r="A1543" s="1" t="s">
        <v>829</v>
      </c>
      <c r="B1543" s="1" t="s">
        <v>3924</v>
      </c>
      <c r="C1543" t="s">
        <v>6273</v>
      </c>
      <c r="D1543" t="s">
        <v>8251</v>
      </c>
      <c r="E1543" t="s">
        <v>10139</v>
      </c>
    </row>
    <row r="1544" spans="1:5" ht="15.6" x14ac:dyDescent="0.3">
      <c r="A1544" s="1" t="s">
        <v>828</v>
      </c>
      <c r="B1544" s="1" t="s">
        <v>3925</v>
      </c>
      <c r="C1544" t="s">
        <v>6274</v>
      </c>
      <c r="D1544" t="s">
        <v>7122</v>
      </c>
      <c r="E1544" t="s">
        <v>10140</v>
      </c>
    </row>
    <row r="1545" spans="1:5" ht="15.6" x14ac:dyDescent="0.3">
      <c r="A1545" s="1" t="s">
        <v>827</v>
      </c>
      <c r="B1545" s="1" t="s">
        <v>3926</v>
      </c>
      <c r="C1545" t="s">
        <v>6275</v>
      </c>
      <c r="D1545" t="s">
        <v>8252</v>
      </c>
      <c r="E1545" t="s">
        <v>10141</v>
      </c>
    </row>
    <row r="1546" spans="1:5" ht="15.6" x14ac:dyDescent="0.3">
      <c r="A1546" s="1" t="s">
        <v>826</v>
      </c>
      <c r="B1546" s="1" t="s">
        <v>3927</v>
      </c>
      <c r="C1546" t="s">
        <v>6276</v>
      </c>
      <c r="D1546" t="s">
        <v>8253</v>
      </c>
      <c r="E1546" t="s">
        <v>10142</v>
      </c>
    </row>
    <row r="1547" spans="1:5" ht="15.6" x14ac:dyDescent="0.3">
      <c r="A1547" s="1" t="s">
        <v>825</v>
      </c>
      <c r="B1547" s="1" t="s">
        <v>3928</v>
      </c>
      <c r="C1547" t="s">
        <v>6277</v>
      </c>
      <c r="D1547" t="s">
        <v>7727</v>
      </c>
      <c r="E1547" t="s">
        <v>10143</v>
      </c>
    </row>
    <row r="1548" spans="1:5" ht="15.6" x14ac:dyDescent="0.3">
      <c r="A1548" s="1" t="s">
        <v>824</v>
      </c>
      <c r="B1548" s="1" t="s">
        <v>3929</v>
      </c>
      <c r="C1548" t="s">
        <v>6278</v>
      </c>
      <c r="D1548" t="s">
        <v>8254</v>
      </c>
      <c r="E1548" t="s">
        <v>10144</v>
      </c>
    </row>
    <row r="1549" spans="1:5" ht="15.6" x14ac:dyDescent="0.3">
      <c r="A1549" s="1" t="s">
        <v>823</v>
      </c>
      <c r="B1549" s="1" t="s">
        <v>3930</v>
      </c>
      <c r="C1549" t="s">
        <v>6279</v>
      </c>
      <c r="D1549" t="s">
        <v>8255</v>
      </c>
      <c r="E1549" t="s">
        <v>10145</v>
      </c>
    </row>
    <row r="1550" spans="1:5" ht="15.6" x14ac:dyDescent="0.3">
      <c r="A1550" s="1" t="s">
        <v>822</v>
      </c>
      <c r="B1550" s="1" t="s">
        <v>3931</v>
      </c>
      <c r="C1550" t="s">
        <v>4730</v>
      </c>
      <c r="D1550" t="s">
        <v>7065</v>
      </c>
      <c r="E1550" t="s">
        <v>10146</v>
      </c>
    </row>
    <row r="1551" spans="1:5" ht="15.6" x14ac:dyDescent="0.3">
      <c r="A1551" s="1" t="s">
        <v>821</v>
      </c>
      <c r="B1551" s="1" t="s">
        <v>3932</v>
      </c>
      <c r="C1551" t="s">
        <v>6280</v>
      </c>
      <c r="D1551" t="s">
        <v>7102</v>
      </c>
      <c r="E1551" t="s">
        <v>10147</v>
      </c>
    </row>
    <row r="1552" spans="1:5" ht="15.6" x14ac:dyDescent="0.3">
      <c r="A1552" s="1" t="s">
        <v>820</v>
      </c>
      <c r="B1552" s="1" t="s">
        <v>3933</v>
      </c>
      <c r="C1552" t="s">
        <v>6281</v>
      </c>
      <c r="D1552" t="s">
        <v>8256</v>
      </c>
      <c r="E1552" t="s">
        <v>10148</v>
      </c>
    </row>
    <row r="1553" spans="1:5" ht="15.6" x14ac:dyDescent="0.3">
      <c r="A1553" s="1" t="s">
        <v>819</v>
      </c>
      <c r="B1553" s="1" t="s">
        <v>3934</v>
      </c>
      <c r="C1553" t="s">
        <v>6282</v>
      </c>
      <c r="D1553" t="s">
        <v>7474</v>
      </c>
      <c r="E1553" t="s">
        <v>9897</v>
      </c>
    </row>
    <row r="1554" spans="1:5" ht="15.6" x14ac:dyDescent="0.3">
      <c r="A1554" s="1" t="s">
        <v>818</v>
      </c>
      <c r="B1554" s="1" t="s">
        <v>3935</v>
      </c>
      <c r="C1554" t="s">
        <v>6283</v>
      </c>
      <c r="D1554" t="s">
        <v>8257</v>
      </c>
      <c r="E1554" t="s">
        <v>10149</v>
      </c>
    </row>
    <row r="1555" spans="1:5" ht="15.6" x14ac:dyDescent="0.3">
      <c r="A1555" s="1" t="s">
        <v>817</v>
      </c>
      <c r="B1555" s="1" t="s">
        <v>3936</v>
      </c>
      <c r="C1555" t="s">
        <v>6284</v>
      </c>
      <c r="D1555" t="s">
        <v>8258</v>
      </c>
      <c r="E1555" t="s">
        <v>10150</v>
      </c>
    </row>
    <row r="1556" spans="1:5" ht="15.6" x14ac:dyDescent="0.3">
      <c r="A1556" s="1" t="s">
        <v>816</v>
      </c>
      <c r="B1556" s="1" t="s">
        <v>3937</v>
      </c>
      <c r="C1556" t="s">
        <v>6285</v>
      </c>
      <c r="D1556" t="s">
        <v>7251</v>
      </c>
      <c r="E1556" t="s">
        <v>10151</v>
      </c>
    </row>
    <row r="1557" spans="1:5" ht="15.6" x14ac:dyDescent="0.3">
      <c r="A1557" s="1" t="s">
        <v>815</v>
      </c>
      <c r="B1557" s="1" t="s">
        <v>3938</v>
      </c>
      <c r="C1557" t="s">
        <v>4731</v>
      </c>
      <c r="D1557" t="s">
        <v>7066</v>
      </c>
      <c r="E1557" t="s">
        <v>9749</v>
      </c>
    </row>
    <row r="1558" spans="1:5" ht="15.6" x14ac:dyDescent="0.3">
      <c r="A1558" s="1" t="s">
        <v>814</v>
      </c>
      <c r="B1558" s="1" t="s">
        <v>3939</v>
      </c>
      <c r="C1558" t="s">
        <v>6286</v>
      </c>
      <c r="D1558" t="s">
        <v>8259</v>
      </c>
      <c r="E1558" t="s">
        <v>10152</v>
      </c>
    </row>
    <row r="1559" spans="1:5" ht="15.6" x14ac:dyDescent="0.3">
      <c r="A1559" s="1" t="s">
        <v>813</v>
      </c>
      <c r="B1559" s="1" t="s">
        <v>3940</v>
      </c>
      <c r="C1559" t="s">
        <v>6287</v>
      </c>
      <c r="D1559" t="s">
        <v>8158</v>
      </c>
      <c r="E1559" t="s">
        <v>10153</v>
      </c>
    </row>
    <row r="1560" spans="1:5" ht="15.6" x14ac:dyDescent="0.3">
      <c r="A1560" s="1" t="s">
        <v>812</v>
      </c>
      <c r="B1560" s="1" t="s">
        <v>3941</v>
      </c>
      <c r="C1560" t="s">
        <v>6288</v>
      </c>
      <c r="D1560" t="s">
        <v>8260</v>
      </c>
      <c r="E1560" t="s">
        <v>10154</v>
      </c>
    </row>
    <row r="1561" spans="1:5" ht="15.6" x14ac:dyDescent="0.3">
      <c r="A1561" s="1" t="s">
        <v>811</v>
      </c>
      <c r="B1561" s="1" t="s">
        <v>3942</v>
      </c>
      <c r="C1561" t="s">
        <v>6289</v>
      </c>
      <c r="D1561" t="s">
        <v>8261</v>
      </c>
      <c r="E1561" t="s">
        <v>10155</v>
      </c>
    </row>
    <row r="1562" spans="1:5" ht="15.6" x14ac:dyDescent="0.3">
      <c r="A1562" s="1" t="s">
        <v>810</v>
      </c>
      <c r="B1562" s="1" t="s">
        <v>3943</v>
      </c>
      <c r="C1562" t="s">
        <v>6290</v>
      </c>
      <c r="D1562" t="s">
        <v>8262</v>
      </c>
      <c r="E1562" t="s">
        <v>10156</v>
      </c>
    </row>
    <row r="1563" spans="1:5" ht="15.6" x14ac:dyDescent="0.3">
      <c r="A1563" s="1" t="s">
        <v>809</v>
      </c>
      <c r="B1563" s="1" t="s">
        <v>3944</v>
      </c>
      <c r="C1563" t="s">
        <v>6291</v>
      </c>
      <c r="D1563" t="s">
        <v>8263</v>
      </c>
      <c r="E1563" t="s">
        <v>10157</v>
      </c>
    </row>
    <row r="1564" spans="1:5" ht="15.6" x14ac:dyDescent="0.3">
      <c r="A1564" s="1" t="s">
        <v>808</v>
      </c>
      <c r="B1564" s="1" t="s">
        <v>3945</v>
      </c>
      <c r="C1564" t="s">
        <v>6292</v>
      </c>
      <c r="D1564" t="s">
        <v>8264</v>
      </c>
      <c r="E1564" t="s">
        <v>10158</v>
      </c>
    </row>
    <row r="1565" spans="1:5" ht="15.6" x14ac:dyDescent="0.3">
      <c r="A1565" s="1" t="s">
        <v>807</v>
      </c>
      <c r="B1565" s="1" t="s">
        <v>3946</v>
      </c>
      <c r="C1565" t="s">
        <v>6293</v>
      </c>
      <c r="D1565" t="s">
        <v>7216</v>
      </c>
      <c r="E1565" t="s">
        <v>9213</v>
      </c>
    </row>
    <row r="1566" spans="1:5" ht="15.6" x14ac:dyDescent="0.3">
      <c r="A1566" s="1" t="s">
        <v>806</v>
      </c>
      <c r="B1566" s="1" t="s">
        <v>3947</v>
      </c>
      <c r="C1566" t="s">
        <v>6294</v>
      </c>
      <c r="D1566" t="s">
        <v>8265</v>
      </c>
      <c r="E1566" t="s">
        <v>9572</v>
      </c>
    </row>
    <row r="1567" spans="1:5" ht="15.6" x14ac:dyDescent="0.3">
      <c r="A1567" s="1" t="s">
        <v>805</v>
      </c>
      <c r="B1567" s="1" t="s">
        <v>3948</v>
      </c>
      <c r="C1567" t="s">
        <v>6295</v>
      </c>
      <c r="D1567" t="s">
        <v>8266</v>
      </c>
      <c r="E1567" t="s">
        <v>10159</v>
      </c>
    </row>
    <row r="1568" spans="1:5" ht="15.6" x14ac:dyDescent="0.3">
      <c r="A1568" s="1" t="s">
        <v>804</v>
      </c>
      <c r="B1568" s="1" t="s">
        <v>3949</v>
      </c>
      <c r="C1568" t="s">
        <v>6296</v>
      </c>
      <c r="D1568" t="s">
        <v>7395</v>
      </c>
      <c r="E1568" t="s">
        <v>10160</v>
      </c>
    </row>
    <row r="1569" spans="1:5" ht="15.6" x14ac:dyDescent="0.3">
      <c r="A1569" s="1" t="s">
        <v>803</v>
      </c>
      <c r="B1569" s="1" t="s">
        <v>3950</v>
      </c>
      <c r="C1569" t="s">
        <v>6297</v>
      </c>
      <c r="D1569" t="s">
        <v>8267</v>
      </c>
      <c r="E1569" t="s">
        <v>9256</v>
      </c>
    </row>
    <row r="1570" spans="1:5" ht="15.6" x14ac:dyDescent="0.3">
      <c r="A1570" s="1" t="s">
        <v>802</v>
      </c>
      <c r="B1570" s="1" t="s">
        <v>3951</v>
      </c>
      <c r="C1570" t="s">
        <v>6298</v>
      </c>
      <c r="D1570" t="s">
        <v>8268</v>
      </c>
      <c r="E1570" t="s">
        <v>10161</v>
      </c>
    </row>
    <row r="1571" spans="1:5" ht="15.6" x14ac:dyDescent="0.3">
      <c r="A1571" s="1" t="s">
        <v>801</v>
      </c>
      <c r="B1571" s="1" t="s">
        <v>3952</v>
      </c>
      <c r="C1571" t="s">
        <v>6299</v>
      </c>
      <c r="D1571" t="s">
        <v>7907</v>
      </c>
      <c r="E1571" t="s">
        <v>10162</v>
      </c>
    </row>
    <row r="1572" spans="1:5" ht="15.6" x14ac:dyDescent="0.3">
      <c r="A1572" s="1" t="s">
        <v>800</v>
      </c>
      <c r="B1572" s="1" t="s">
        <v>3953</v>
      </c>
      <c r="C1572" t="s">
        <v>6300</v>
      </c>
      <c r="D1572" t="s">
        <v>8269</v>
      </c>
      <c r="E1572" t="s">
        <v>10163</v>
      </c>
    </row>
    <row r="1573" spans="1:5" ht="15.6" x14ac:dyDescent="0.3">
      <c r="A1573" s="1" t="s">
        <v>799</v>
      </c>
      <c r="B1573" s="1" t="s">
        <v>3954</v>
      </c>
      <c r="C1573" t="s">
        <v>6301</v>
      </c>
      <c r="D1573" t="s">
        <v>8270</v>
      </c>
      <c r="E1573" t="s">
        <v>9204</v>
      </c>
    </row>
    <row r="1574" spans="1:5" ht="15.6" x14ac:dyDescent="0.3">
      <c r="A1574" s="1" t="s">
        <v>798</v>
      </c>
      <c r="B1574" s="1" t="s">
        <v>3955</v>
      </c>
      <c r="C1574" t="s">
        <v>6302</v>
      </c>
      <c r="D1574" t="s">
        <v>8271</v>
      </c>
      <c r="E1574" t="s">
        <v>10164</v>
      </c>
    </row>
    <row r="1575" spans="1:5" ht="15.6" x14ac:dyDescent="0.3">
      <c r="A1575" s="1" t="s">
        <v>797</v>
      </c>
      <c r="B1575" s="1" t="s">
        <v>3956</v>
      </c>
      <c r="C1575" t="s">
        <v>6303</v>
      </c>
      <c r="D1575" t="s">
        <v>8272</v>
      </c>
      <c r="E1575" t="s">
        <v>10165</v>
      </c>
    </row>
    <row r="1576" spans="1:5" ht="15.6" x14ac:dyDescent="0.3">
      <c r="A1576" s="1" t="s">
        <v>796</v>
      </c>
      <c r="B1576" s="1" t="s">
        <v>3957</v>
      </c>
      <c r="C1576" t="s">
        <v>6304</v>
      </c>
      <c r="D1576" t="s">
        <v>7098</v>
      </c>
      <c r="E1576" t="s">
        <v>10166</v>
      </c>
    </row>
    <row r="1577" spans="1:5" ht="15.6" x14ac:dyDescent="0.3">
      <c r="A1577" s="1" t="s">
        <v>795</v>
      </c>
      <c r="B1577" s="1" t="s">
        <v>3958</v>
      </c>
      <c r="C1577" t="s">
        <v>6305</v>
      </c>
      <c r="D1577" t="s">
        <v>8273</v>
      </c>
      <c r="E1577" t="s">
        <v>9271</v>
      </c>
    </row>
    <row r="1578" spans="1:5" ht="15.6" x14ac:dyDescent="0.3">
      <c r="A1578" s="1" t="s">
        <v>794</v>
      </c>
      <c r="B1578" s="1" t="s">
        <v>3959</v>
      </c>
      <c r="C1578" t="s">
        <v>6306</v>
      </c>
      <c r="D1578" t="s">
        <v>8274</v>
      </c>
      <c r="E1578" t="s">
        <v>10167</v>
      </c>
    </row>
    <row r="1579" spans="1:5" ht="15.6" x14ac:dyDescent="0.3">
      <c r="A1579" s="1" t="s">
        <v>793</v>
      </c>
      <c r="B1579" s="1" t="s">
        <v>3960</v>
      </c>
      <c r="C1579" t="s">
        <v>6307</v>
      </c>
      <c r="D1579" t="s">
        <v>8275</v>
      </c>
      <c r="E1579" t="s">
        <v>10168</v>
      </c>
    </row>
    <row r="1580" spans="1:5" ht="15.6" x14ac:dyDescent="0.3">
      <c r="A1580" s="1" t="s">
        <v>792</v>
      </c>
      <c r="B1580" s="1" t="s">
        <v>3961</v>
      </c>
      <c r="C1580" t="s">
        <v>6308</v>
      </c>
      <c r="D1580" t="s">
        <v>8276</v>
      </c>
      <c r="E1580" t="s">
        <v>9364</v>
      </c>
    </row>
    <row r="1581" spans="1:5" ht="15.6" x14ac:dyDescent="0.3">
      <c r="A1581" s="1" t="s">
        <v>791</v>
      </c>
      <c r="B1581" s="1" t="s">
        <v>3962</v>
      </c>
      <c r="C1581" t="s">
        <v>6309</v>
      </c>
      <c r="D1581" t="s">
        <v>7217</v>
      </c>
      <c r="E1581" t="s">
        <v>10169</v>
      </c>
    </row>
    <row r="1582" spans="1:5" ht="15.6" x14ac:dyDescent="0.3">
      <c r="A1582" s="1" t="s">
        <v>790</v>
      </c>
      <c r="B1582" s="1" t="s">
        <v>3963</v>
      </c>
      <c r="C1582" t="s">
        <v>6310</v>
      </c>
      <c r="D1582" t="s">
        <v>8277</v>
      </c>
      <c r="E1582" t="s">
        <v>10170</v>
      </c>
    </row>
    <row r="1583" spans="1:5" ht="15.6" x14ac:dyDescent="0.3">
      <c r="A1583" s="1" t="s">
        <v>789</v>
      </c>
      <c r="B1583" s="1" t="s">
        <v>3964</v>
      </c>
      <c r="C1583" t="s">
        <v>6311</v>
      </c>
      <c r="D1583" t="s">
        <v>8278</v>
      </c>
      <c r="E1583" t="s">
        <v>9073</v>
      </c>
    </row>
    <row r="1584" spans="1:5" ht="15.6" x14ac:dyDescent="0.3">
      <c r="A1584" s="1" t="s">
        <v>788</v>
      </c>
      <c r="B1584" s="1" t="s">
        <v>3965</v>
      </c>
      <c r="C1584" t="s">
        <v>6312</v>
      </c>
      <c r="D1584" t="s">
        <v>8279</v>
      </c>
      <c r="E1584" t="s">
        <v>10171</v>
      </c>
    </row>
    <row r="1585" spans="1:5" ht="15.6" x14ac:dyDescent="0.3">
      <c r="A1585" s="1" t="s">
        <v>787</v>
      </c>
      <c r="B1585" s="1" t="s">
        <v>3966</v>
      </c>
      <c r="C1585" t="s">
        <v>6313</v>
      </c>
      <c r="D1585" t="s">
        <v>8280</v>
      </c>
      <c r="E1585" t="s">
        <v>10172</v>
      </c>
    </row>
    <row r="1586" spans="1:5" ht="15.6" x14ac:dyDescent="0.3">
      <c r="A1586" s="1" t="s">
        <v>786</v>
      </c>
      <c r="B1586" s="1" t="s">
        <v>3967</v>
      </c>
      <c r="C1586" t="s">
        <v>6314</v>
      </c>
      <c r="D1586" t="s">
        <v>8281</v>
      </c>
      <c r="E1586" t="s">
        <v>10173</v>
      </c>
    </row>
    <row r="1587" spans="1:5" ht="15.6" x14ac:dyDescent="0.3">
      <c r="A1587" s="1" t="s">
        <v>785</v>
      </c>
      <c r="B1587" s="1" t="s">
        <v>3968</v>
      </c>
      <c r="C1587" t="s">
        <v>6315</v>
      </c>
      <c r="D1587" t="s">
        <v>8282</v>
      </c>
      <c r="E1587" t="s">
        <v>10174</v>
      </c>
    </row>
    <row r="1588" spans="1:5" ht="15.6" x14ac:dyDescent="0.3">
      <c r="A1588" s="1" t="s">
        <v>784</v>
      </c>
      <c r="B1588" s="1" t="s">
        <v>3969</v>
      </c>
      <c r="C1588" t="s">
        <v>6316</v>
      </c>
      <c r="D1588" t="s">
        <v>8283</v>
      </c>
      <c r="E1588" t="s">
        <v>10175</v>
      </c>
    </row>
    <row r="1589" spans="1:5" ht="15.6" x14ac:dyDescent="0.3">
      <c r="A1589" s="1" t="s">
        <v>783</v>
      </c>
      <c r="B1589" s="1" t="s">
        <v>3970</v>
      </c>
      <c r="C1589" t="s">
        <v>6317</v>
      </c>
      <c r="D1589" t="s">
        <v>8284</v>
      </c>
      <c r="E1589" t="s">
        <v>10176</v>
      </c>
    </row>
    <row r="1590" spans="1:5" ht="15.6" x14ac:dyDescent="0.3">
      <c r="A1590" s="1" t="s">
        <v>782</v>
      </c>
      <c r="B1590" s="1" t="s">
        <v>3971</v>
      </c>
      <c r="C1590" t="s">
        <v>6318</v>
      </c>
      <c r="D1590" t="s">
        <v>8285</v>
      </c>
      <c r="E1590" t="s">
        <v>10177</v>
      </c>
    </row>
    <row r="1591" spans="1:5" ht="15.6" x14ac:dyDescent="0.3">
      <c r="A1591" s="1" t="s">
        <v>781</v>
      </c>
      <c r="B1591" s="1" t="s">
        <v>3972</v>
      </c>
      <c r="C1591" t="s">
        <v>6319</v>
      </c>
      <c r="D1591" t="s">
        <v>7433</v>
      </c>
      <c r="E1591" t="s">
        <v>9038</v>
      </c>
    </row>
    <row r="1592" spans="1:5" ht="15.6" x14ac:dyDescent="0.3">
      <c r="A1592" s="1" t="s">
        <v>780</v>
      </c>
      <c r="B1592" s="1" t="s">
        <v>3973</v>
      </c>
      <c r="C1592" t="s">
        <v>6320</v>
      </c>
      <c r="D1592" t="s">
        <v>7511</v>
      </c>
      <c r="E1592" t="s">
        <v>10178</v>
      </c>
    </row>
    <row r="1593" spans="1:5" ht="15.6" x14ac:dyDescent="0.3">
      <c r="A1593" s="1" t="s">
        <v>779</v>
      </c>
      <c r="B1593" s="1" t="s">
        <v>3974</v>
      </c>
      <c r="C1593" t="s">
        <v>6321</v>
      </c>
      <c r="D1593" t="s">
        <v>7269</v>
      </c>
      <c r="E1593" t="s">
        <v>10179</v>
      </c>
    </row>
    <row r="1594" spans="1:5" ht="15.6" x14ac:dyDescent="0.3">
      <c r="A1594" s="1" t="s">
        <v>778</v>
      </c>
      <c r="B1594" s="1" t="s">
        <v>3975</v>
      </c>
      <c r="C1594" t="s">
        <v>6322</v>
      </c>
      <c r="D1594" t="s">
        <v>7542</v>
      </c>
      <c r="E1594" t="s">
        <v>10180</v>
      </c>
    </row>
    <row r="1595" spans="1:5" ht="15.6" x14ac:dyDescent="0.3">
      <c r="A1595" s="1" t="s">
        <v>777</v>
      </c>
      <c r="B1595" s="1" t="s">
        <v>3976</v>
      </c>
      <c r="C1595" t="s">
        <v>6323</v>
      </c>
      <c r="D1595" t="s">
        <v>8286</v>
      </c>
      <c r="E1595" t="s">
        <v>10181</v>
      </c>
    </row>
    <row r="1596" spans="1:5" ht="15.6" x14ac:dyDescent="0.3">
      <c r="A1596" s="1" t="s">
        <v>776</v>
      </c>
      <c r="B1596" s="1" t="s">
        <v>3977</v>
      </c>
      <c r="C1596" t="s">
        <v>6324</v>
      </c>
      <c r="D1596" t="s">
        <v>7247</v>
      </c>
      <c r="E1596" t="s">
        <v>10182</v>
      </c>
    </row>
    <row r="1597" spans="1:5" ht="15.6" x14ac:dyDescent="0.3">
      <c r="A1597" s="1" t="s">
        <v>775</v>
      </c>
      <c r="B1597" s="1" t="s">
        <v>3978</v>
      </c>
      <c r="C1597" t="s">
        <v>6325</v>
      </c>
      <c r="D1597" t="s">
        <v>8287</v>
      </c>
      <c r="E1597" t="s">
        <v>10183</v>
      </c>
    </row>
    <row r="1598" spans="1:5" ht="15.6" x14ac:dyDescent="0.3">
      <c r="A1598" s="1" t="s">
        <v>774</v>
      </c>
      <c r="B1598" s="1" t="s">
        <v>3979</v>
      </c>
      <c r="C1598" t="s">
        <v>6326</v>
      </c>
      <c r="D1598" t="s">
        <v>8288</v>
      </c>
      <c r="E1598" t="s">
        <v>10184</v>
      </c>
    </row>
    <row r="1599" spans="1:5" ht="15.6" x14ac:dyDescent="0.3">
      <c r="A1599" s="1" t="s">
        <v>773</v>
      </c>
      <c r="B1599" s="1" t="s">
        <v>3980</v>
      </c>
      <c r="C1599" t="s">
        <v>6327</v>
      </c>
      <c r="D1599" t="s">
        <v>8289</v>
      </c>
      <c r="E1599" t="s">
        <v>10185</v>
      </c>
    </row>
    <row r="1600" spans="1:5" ht="15.6" x14ac:dyDescent="0.3">
      <c r="A1600" s="1" t="s">
        <v>772</v>
      </c>
      <c r="B1600" s="1" t="s">
        <v>3981</v>
      </c>
      <c r="C1600" t="s">
        <v>6328</v>
      </c>
      <c r="D1600" t="s">
        <v>8290</v>
      </c>
      <c r="E1600" t="s">
        <v>9609</v>
      </c>
    </row>
    <row r="1601" spans="1:5" ht="15.6" x14ac:dyDescent="0.3">
      <c r="A1601" s="1" t="s">
        <v>771</v>
      </c>
      <c r="B1601" s="1" t="s">
        <v>3982</v>
      </c>
      <c r="C1601" t="s">
        <v>6329</v>
      </c>
      <c r="D1601" t="s">
        <v>7416</v>
      </c>
      <c r="E1601" t="s">
        <v>10186</v>
      </c>
    </row>
    <row r="1602" spans="1:5" ht="15.6" x14ac:dyDescent="0.3">
      <c r="A1602" s="1" t="s">
        <v>770</v>
      </c>
      <c r="B1602" s="1" t="s">
        <v>3983</v>
      </c>
      <c r="C1602" t="s">
        <v>6330</v>
      </c>
      <c r="D1602" t="s">
        <v>8291</v>
      </c>
      <c r="E1602" t="s">
        <v>10187</v>
      </c>
    </row>
    <row r="1603" spans="1:5" ht="15.6" x14ac:dyDescent="0.3">
      <c r="A1603" s="1" t="s">
        <v>769</v>
      </c>
      <c r="B1603" s="1" t="s">
        <v>3984</v>
      </c>
      <c r="C1603" t="s">
        <v>6331</v>
      </c>
      <c r="D1603" t="s">
        <v>8292</v>
      </c>
      <c r="E1603" t="s">
        <v>10188</v>
      </c>
    </row>
    <row r="1604" spans="1:5" ht="15.6" x14ac:dyDescent="0.3">
      <c r="A1604" s="1" t="s">
        <v>768</v>
      </c>
      <c r="B1604" s="1" t="s">
        <v>3985</v>
      </c>
      <c r="C1604" t="s">
        <v>6332</v>
      </c>
      <c r="D1604" t="s">
        <v>7197</v>
      </c>
      <c r="E1604" t="s">
        <v>10189</v>
      </c>
    </row>
    <row r="1605" spans="1:5" ht="15.6" x14ac:dyDescent="0.3">
      <c r="A1605" s="1" t="s">
        <v>767</v>
      </c>
      <c r="B1605" s="1" t="s">
        <v>3986</v>
      </c>
      <c r="C1605" t="s">
        <v>6333</v>
      </c>
      <c r="D1605" t="s">
        <v>8293</v>
      </c>
      <c r="E1605" t="s">
        <v>9496</v>
      </c>
    </row>
    <row r="1606" spans="1:5" ht="15.6" x14ac:dyDescent="0.3">
      <c r="A1606" s="1" t="s">
        <v>766</v>
      </c>
      <c r="B1606" s="1" t="s">
        <v>3987</v>
      </c>
      <c r="C1606" t="s">
        <v>6334</v>
      </c>
      <c r="D1606" t="s">
        <v>8294</v>
      </c>
      <c r="E1606" t="s">
        <v>10190</v>
      </c>
    </row>
    <row r="1607" spans="1:5" ht="15.6" x14ac:dyDescent="0.3">
      <c r="A1607" s="1" t="s">
        <v>765</v>
      </c>
      <c r="B1607" s="1" t="s">
        <v>3988</v>
      </c>
      <c r="C1607" t="s">
        <v>6335</v>
      </c>
      <c r="D1607" t="s">
        <v>7162</v>
      </c>
      <c r="E1607" t="s">
        <v>10191</v>
      </c>
    </row>
    <row r="1608" spans="1:5" ht="15.6" x14ac:dyDescent="0.3">
      <c r="A1608" s="1" t="s">
        <v>764</v>
      </c>
      <c r="B1608" s="1" t="s">
        <v>3989</v>
      </c>
      <c r="C1608" t="s">
        <v>6336</v>
      </c>
      <c r="D1608" t="s">
        <v>8295</v>
      </c>
      <c r="E1608" t="s">
        <v>9213</v>
      </c>
    </row>
    <row r="1609" spans="1:5" ht="15.6" x14ac:dyDescent="0.3">
      <c r="A1609" s="1" t="s">
        <v>763</v>
      </c>
      <c r="B1609" s="1" t="s">
        <v>3990</v>
      </c>
      <c r="C1609" t="s">
        <v>6337</v>
      </c>
      <c r="D1609" t="s">
        <v>8296</v>
      </c>
      <c r="E1609" t="s">
        <v>10192</v>
      </c>
    </row>
    <row r="1610" spans="1:5" ht="15.6" x14ac:dyDescent="0.3">
      <c r="A1610" s="1" t="s">
        <v>762</v>
      </c>
      <c r="B1610" s="1" t="s">
        <v>3991</v>
      </c>
      <c r="C1610" t="s">
        <v>6338</v>
      </c>
      <c r="D1610" t="s">
        <v>7517</v>
      </c>
      <c r="E1610" t="s">
        <v>10193</v>
      </c>
    </row>
    <row r="1611" spans="1:5" ht="15.6" x14ac:dyDescent="0.3">
      <c r="A1611" s="1" t="s">
        <v>761</v>
      </c>
      <c r="B1611" s="1" t="s">
        <v>3992</v>
      </c>
      <c r="C1611" t="s">
        <v>6339</v>
      </c>
      <c r="D1611" t="s">
        <v>8297</v>
      </c>
      <c r="E1611" t="s">
        <v>10194</v>
      </c>
    </row>
    <row r="1612" spans="1:5" ht="15.6" x14ac:dyDescent="0.3">
      <c r="A1612" s="1" t="s">
        <v>760</v>
      </c>
      <c r="B1612" s="1" t="s">
        <v>3993</v>
      </c>
      <c r="C1612" t="s">
        <v>6340</v>
      </c>
      <c r="D1612" t="s">
        <v>8298</v>
      </c>
      <c r="E1612" t="s">
        <v>10195</v>
      </c>
    </row>
    <row r="1613" spans="1:5" ht="15.6" x14ac:dyDescent="0.3">
      <c r="A1613" s="1" t="s">
        <v>759</v>
      </c>
      <c r="B1613" s="1" t="s">
        <v>3994</v>
      </c>
      <c r="C1613" t="s">
        <v>6341</v>
      </c>
      <c r="D1613" t="s">
        <v>7421</v>
      </c>
      <c r="E1613" t="s">
        <v>10196</v>
      </c>
    </row>
    <row r="1614" spans="1:5" ht="15.6" x14ac:dyDescent="0.3">
      <c r="A1614" s="1" t="s">
        <v>758</v>
      </c>
      <c r="B1614" s="1" t="s">
        <v>3995</v>
      </c>
      <c r="C1614" t="s">
        <v>6342</v>
      </c>
      <c r="D1614" t="s">
        <v>8299</v>
      </c>
      <c r="E1614" t="s">
        <v>10197</v>
      </c>
    </row>
    <row r="1615" spans="1:5" ht="15.6" x14ac:dyDescent="0.3">
      <c r="A1615" s="1" t="s">
        <v>757</v>
      </c>
      <c r="B1615" s="1" t="s">
        <v>3996</v>
      </c>
      <c r="C1615" t="s">
        <v>6343</v>
      </c>
      <c r="D1615" t="s">
        <v>8300</v>
      </c>
      <c r="E1615" t="s">
        <v>10198</v>
      </c>
    </row>
    <row r="1616" spans="1:5" ht="15.6" x14ac:dyDescent="0.3">
      <c r="A1616" s="1" t="s">
        <v>756</v>
      </c>
      <c r="B1616" s="1" t="s">
        <v>3997</v>
      </c>
      <c r="C1616" t="s">
        <v>6344</v>
      </c>
      <c r="D1616" t="s">
        <v>7277</v>
      </c>
      <c r="E1616" t="s">
        <v>10199</v>
      </c>
    </row>
    <row r="1617" spans="1:5" ht="15.6" x14ac:dyDescent="0.3">
      <c r="A1617" s="1" t="s">
        <v>755</v>
      </c>
      <c r="B1617" s="1" t="s">
        <v>3998</v>
      </c>
      <c r="C1617" t="s">
        <v>6345</v>
      </c>
      <c r="D1617" t="s">
        <v>8301</v>
      </c>
      <c r="E1617" t="s">
        <v>10200</v>
      </c>
    </row>
    <row r="1618" spans="1:5" ht="15.6" x14ac:dyDescent="0.3">
      <c r="A1618" s="1" t="s">
        <v>754</v>
      </c>
      <c r="B1618" s="1" t="s">
        <v>3999</v>
      </c>
      <c r="C1618" t="s">
        <v>6346</v>
      </c>
      <c r="D1618" t="s">
        <v>8302</v>
      </c>
      <c r="E1618" t="s">
        <v>10201</v>
      </c>
    </row>
    <row r="1619" spans="1:5" ht="15.6" x14ac:dyDescent="0.3">
      <c r="A1619" s="1" t="s">
        <v>753</v>
      </c>
      <c r="B1619" s="1" t="s">
        <v>4000</v>
      </c>
      <c r="C1619" t="s">
        <v>6347</v>
      </c>
      <c r="D1619" t="s">
        <v>8303</v>
      </c>
      <c r="E1619" t="s">
        <v>10202</v>
      </c>
    </row>
    <row r="1620" spans="1:5" ht="15.6" x14ac:dyDescent="0.3">
      <c r="A1620" s="1" t="s">
        <v>752</v>
      </c>
      <c r="B1620" s="1" t="s">
        <v>4001</v>
      </c>
      <c r="C1620" t="s">
        <v>6348</v>
      </c>
      <c r="D1620" t="s">
        <v>8304</v>
      </c>
      <c r="E1620" t="s">
        <v>8798</v>
      </c>
    </row>
    <row r="1621" spans="1:5" ht="15.6" x14ac:dyDescent="0.3">
      <c r="A1621" s="1" t="s">
        <v>751</v>
      </c>
      <c r="B1621" s="1" t="s">
        <v>4002</v>
      </c>
      <c r="C1621" t="s">
        <v>6349</v>
      </c>
      <c r="D1621" t="s">
        <v>8305</v>
      </c>
      <c r="E1621" t="s">
        <v>10203</v>
      </c>
    </row>
    <row r="1622" spans="1:5" ht="15.6" x14ac:dyDescent="0.3">
      <c r="A1622" s="1" t="s">
        <v>750</v>
      </c>
      <c r="B1622" s="1" t="s">
        <v>4003</v>
      </c>
      <c r="C1622" t="s">
        <v>6350</v>
      </c>
      <c r="D1622" t="s">
        <v>8306</v>
      </c>
      <c r="E1622" t="s">
        <v>10204</v>
      </c>
    </row>
    <row r="1623" spans="1:5" ht="15.6" x14ac:dyDescent="0.3">
      <c r="A1623" s="1" t="s">
        <v>749</v>
      </c>
      <c r="B1623" s="1" t="s">
        <v>4004</v>
      </c>
      <c r="C1623" t="s">
        <v>6351</v>
      </c>
      <c r="D1623" t="s">
        <v>7242</v>
      </c>
      <c r="E1623" t="s">
        <v>10205</v>
      </c>
    </row>
    <row r="1624" spans="1:5" ht="15.6" x14ac:dyDescent="0.3">
      <c r="A1624" s="1" t="s">
        <v>748</v>
      </c>
      <c r="B1624" s="1" t="s">
        <v>4005</v>
      </c>
      <c r="C1624" t="s">
        <v>6352</v>
      </c>
      <c r="D1624" t="s">
        <v>7582</v>
      </c>
      <c r="E1624" t="s">
        <v>10206</v>
      </c>
    </row>
    <row r="1625" spans="1:5" ht="15.6" x14ac:dyDescent="0.3">
      <c r="A1625" s="1" t="s">
        <v>747</v>
      </c>
      <c r="B1625" s="1" t="s">
        <v>4006</v>
      </c>
      <c r="C1625" t="s">
        <v>6353</v>
      </c>
      <c r="D1625" t="s">
        <v>7442</v>
      </c>
      <c r="E1625" t="s">
        <v>10207</v>
      </c>
    </row>
    <row r="1626" spans="1:5" ht="15.6" x14ac:dyDescent="0.3">
      <c r="A1626" s="1" t="s">
        <v>746</v>
      </c>
      <c r="B1626" s="1" t="s">
        <v>4007</v>
      </c>
      <c r="C1626" t="s">
        <v>6354</v>
      </c>
      <c r="D1626" t="s">
        <v>7157</v>
      </c>
      <c r="E1626" t="s">
        <v>10208</v>
      </c>
    </row>
    <row r="1627" spans="1:5" ht="15.6" x14ac:dyDescent="0.3">
      <c r="A1627" s="1" t="s">
        <v>745</v>
      </c>
      <c r="B1627" s="1" t="s">
        <v>4008</v>
      </c>
      <c r="C1627" t="s">
        <v>6355</v>
      </c>
      <c r="D1627" t="s">
        <v>8307</v>
      </c>
      <c r="E1627" t="s">
        <v>9702</v>
      </c>
    </row>
    <row r="1628" spans="1:5" ht="15.6" x14ac:dyDescent="0.3">
      <c r="A1628" s="1" t="s">
        <v>744</v>
      </c>
      <c r="B1628" s="1" t="s">
        <v>4009</v>
      </c>
      <c r="C1628" t="s">
        <v>6356</v>
      </c>
      <c r="D1628" t="s">
        <v>8308</v>
      </c>
      <c r="E1628" t="s">
        <v>10209</v>
      </c>
    </row>
    <row r="1629" spans="1:5" ht="15.6" x14ac:dyDescent="0.3">
      <c r="A1629" s="1" t="s">
        <v>743</v>
      </c>
      <c r="B1629" s="1" t="s">
        <v>4010</v>
      </c>
      <c r="C1629" t="s">
        <v>6357</v>
      </c>
      <c r="D1629" t="s">
        <v>7153</v>
      </c>
      <c r="E1629" t="s">
        <v>10210</v>
      </c>
    </row>
    <row r="1630" spans="1:5" ht="15.6" x14ac:dyDescent="0.3">
      <c r="A1630" s="1" t="s">
        <v>742</v>
      </c>
      <c r="B1630" s="1" t="s">
        <v>4011</v>
      </c>
      <c r="C1630" t="s">
        <v>6358</v>
      </c>
      <c r="D1630" t="s">
        <v>8309</v>
      </c>
      <c r="E1630" t="s">
        <v>10211</v>
      </c>
    </row>
    <row r="1631" spans="1:5" ht="15.6" x14ac:dyDescent="0.3">
      <c r="A1631" s="1" t="s">
        <v>741</v>
      </c>
      <c r="B1631" s="1" t="s">
        <v>4012</v>
      </c>
      <c r="C1631" t="s">
        <v>6359</v>
      </c>
      <c r="D1631" t="s">
        <v>8310</v>
      </c>
      <c r="E1631" t="s">
        <v>10212</v>
      </c>
    </row>
    <row r="1632" spans="1:5" ht="15.6" x14ac:dyDescent="0.3">
      <c r="A1632" s="1" t="s">
        <v>740</v>
      </c>
      <c r="B1632" s="1" t="s">
        <v>4013</v>
      </c>
      <c r="C1632" t="s">
        <v>6360</v>
      </c>
      <c r="D1632" t="s">
        <v>7277</v>
      </c>
      <c r="E1632" t="s">
        <v>9697</v>
      </c>
    </row>
    <row r="1633" spans="1:5" ht="15.6" x14ac:dyDescent="0.3">
      <c r="A1633" s="1" t="s">
        <v>739</v>
      </c>
      <c r="B1633" s="1" t="s">
        <v>4014</v>
      </c>
      <c r="C1633" t="s">
        <v>6361</v>
      </c>
      <c r="D1633" t="s">
        <v>8311</v>
      </c>
      <c r="E1633" t="s">
        <v>10134</v>
      </c>
    </row>
    <row r="1634" spans="1:5" ht="15.6" x14ac:dyDescent="0.3">
      <c r="A1634" s="1" t="s">
        <v>738</v>
      </c>
      <c r="B1634" s="1" t="s">
        <v>4015</v>
      </c>
      <c r="C1634" t="s">
        <v>6362</v>
      </c>
      <c r="D1634" t="s">
        <v>7995</v>
      </c>
      <c r="E1634" t="s">
        <v>10213</v>
      </c>
    </row>
    <row r="1635" spans="1:5" ht="15.6" x14ac:dyDescent="0.3">
      <c r="A1635" s="1" t="s">
        <v>737</v>
      </c>
      <c r="B1635" s="1" t="s">
        <v>4016</v>
      </c>
      <c r="C1635" t="s">
        <v>6363</v>
      </c>
      <c r="D1635" t="s">
        <v>8312</v>
      </c>
      <c r="E1635" t="s">
        <v>10214</v>
      </c>
    </row>
    <row r="1636" spans="1:5" ht="15.6" x14ac:dyDescent="0.3">
      <c r="A1636" s="1" t="s">
        <v>736</v>
      </c>
      <c r="B1636" s="1" t="s">
        <v>4017</v>
      </c>
      <c r="C1636" t="s">
        <v>6364</v>
      </c>
      <c r="D1636" t="s">
        <v>8313</v>
      </c>
      <c r="E1636" t="s">
        <v>10215</v>
      </c>
    </row>
    <row r="1637" spans="1:5" ht="15.6" x14ac:dyDescent="0.3">
      <c r="A1637" s="1" t="s">
        <v>735</v>
      </c>
      <c r="B1637" s="1" t="s">
        <v>4018</v>
      </c>
      <c r="C1637" t="s">
        <v>6365</v>
      </c>
      <c r="D1637" t="s">
        <v>7490</v>
      </c>
      <c r="E1637" t="s">
        <v>10216</v>
      </c>
    </row>
    <row r="1638" spans="1:5" ht="15.6" x14ac:dyDescent="0.3">
      <c r="A1638" s="1" t="s">
        <v>734</v>
      </c>
      <c r="B1638" s="1" t="s">
        <v>4019</v>
      </c>
      <c r="C1638" t="s">
        <v>6366</v>
      </c>
      <c r="D1638" t="s">
        <v>8314</v>
      </c>
      <c r="E1638" t="s">
        <v>10217</v>
      </c>
    </row>
    <row r="1639" spans="1:5" ht="15.6" x14ac:dyDescent="0.3">
      <c r="A1639" s="1" t="s">
        <v>733</v>
      </c>
      <c r="B1639" s="1" t="s">
        <v>4020</v>
      </c>
      <c r="C1639" t="s">
        <v>6367</v>
      </c>
      <c r="D1639" t="s">
        <v>8315</v>
      </c>
      <c r="E1639" t="s">
        <v>9976</v>
      </c>
    </row>
    <row r="1640" spans="1:5" ht="15.6" x14ac:dyDescent="0.3">
      <c r="A1640" s="1" t="s">
        <v>732</v>
      </c>
      <c r="B1640" s="1" t="s">
        <v>4021</v>
      </c>
      <c r="C1640" t="s">
        <v>6368</v>
      </c>
      <c r="D1640" t="s">
        <v>8316</v>
      </c>
      <c r="E1640" t="s">
        <v>8985</v>
      </c>
    </row>
    <row r="1641" spans="1:5" ht="15.6" x14ac:dyDescent="0.3">
      <c r="A1641" s="1" t="s">
        <v>731</v>
      </c>
      <c r="B1641" s="1" t="s">
        <v>4022</v>
      </c>
      <c r="C1641" t="s">
        <v>6369</v>
      </c>
      <c r="D1641" t="s">
        <v>8317</v>
      </c>
      <c r="E1641" t="s">
        <v>10218</v>
      </c>
    </row>
    <row r="1642" spans="1:5" ht="15.6" x14ac:dyDescent="0.3">
      <c r="A1642" s="1" t="s">
        <v>730</v>
      </c>
      <c r="B1642" s="1" t="s">
        <v>4023</v>
      </c>
      <c r="C1642" t="s">
        <v>6370</v>
      </c>
      <c r="D1642" t="s">
        <v>8318</v>
      </c>
      <c r="E1642" t="s">
        <v>10219</v>
      </c>
    </row>
    <row r="1643" spans="1:5" ht="15.6" x14ac:dyDescent="0.3">
      <c r="A1643" s="1" t="s">
        <v>729</v>
      </c>
      <c r="B1643" s="1" t="s">
        <v>4024</v>
      </c>
      <c r="C1643" t="s">
        <v>6371</v>
      </c>
      <c r="D1643" t="s">
        <v>7471</v>
      </c>
      <c r="E1643" t="s">
        <v>9186</v>
      </c>
    </row>
    <row r="1644" spans="1:5" ht="15.6" x14ac:dyDescent="0.3">
      <c r="A1644" s="1" t="s">
        <v>728</v>
      </c>
      <c r="B1644" s="1" t="s">
        <v>4025</v>
      </c>
      <c r="C1644" t="s">
        <v>6372</v>
      </c>
      <c r="D1644" t="s">
        <v>7510</v>
      </c>
      <c r="E1644" t="s">
        <v>10220</v>
      </c>
    </row>
    <row r="1645" spans="1:5" ht="15.6" x14ac:dyDescent="0.3">
      <c r="A1645" s="1" t="s">
        <v>727</v>
      </c>
      <c r="B1645" s="1" t="s">
        <v>4026</v>
      </c>
      <c r="C1645" t="s">
        <v>6373</v>
      </c>
      <c r="D1645" t="s">
        <v>7232</v>
      </c>
      <c r="E1645" t="s">
        <v>9272</v>
      </c>
    </row>
    <row r="1646" spans="1:5" ht="15.6" x14ac:dyDescent="0.3">
      <c r="A1646" s="1" t="s">
        <v>726</v>
      </c>
      <c r="B1646" s="1" t="s">
        <v>4027</v>
      </c>
      <c r="C1646" t="s">
        <v>6374</v>
      </c>
      <c r="D1646" t="s">
        <v>8319</v>
      </c>
      <c r="E1646" t="s">
        <v>9487</v>
      </c>
    </row>
    <row r="1647" spans="1:5" ht="15.6" x14ac:dyDescent="0.3">
      <c r="A1647" s="1" t="s">
        <v>725</v>
      </c>
      <c r="B1647" s="1" t="s">
        <v>4028</v>
      </c>
      <c r="C1647" t="s">
        <v>6375</v>
      </c>
      <c r="D1647" t="s">
        <v>8320</v>
      </c>
      <c r="E1647" t="s">
        <v>10221</v>
      </c>
    </row>
    <row r="1648" spans="1:5" ht="15.6" x14ac:dyDescent="0.3">
      <c r="A1648" s="1" t="s">
        <v>724</v>
      </c>
      <c r="B1648" s="1" t="s">
        <v>4029</v>
      </c>
      <c r="C1648" t="s">
        <v>6376</v>
      </c>
      <c r="D1648" t="s">
        <v>7235</v>
      </c>
      <c r="E1648" t="s">
        <v>10222</v>
      </c>
    </row>
    <row r="1649" spans="1:5" ht="15.6" x14ac:dyDescent="0.3">
      <c r="A1649" s="1" t="s">
        <v>723</v>
      </c>
      <c r="B1649" s="1" t="s">
        <v>4030</v>
      </c>
      <c r="C1649" t="s">
        <v>6377</v>
      </c>
      <c r="D1649" t="s">
        <v>7293</v>
      </c>
      <c r="E1649" t="s">
        <v>10223</v>
      </c>
    </row>
    <row r="1650" spans="1:5" ht="15.6" x14ac:dyDescent="0.3">
      <c r="A1650" s="1" t="s">
        <v>722</v>
      </c>
      <c r="B1650" s="1" t="s">
        <v>4031</v>
      </c>
      <c r="C1650" t="s">
        <v>6378</v>
      </c>
      <c r="D1650" t="s">
        <v>8301</v>
      </c>
      <c r="E1650" t="s">
        <v>8985</v>
      </c>
    </row>
    <row r="1651" spans="1:5" ht="15.6" x14ac:dyDescent="0.3">
      <c r="A1651" s="1" t="s">
        <v>721</v>
      </c>
      <c r="B1651" s="1" t="s">
        <v>4032</v>
      </c>
      <c r="C1651" t="s">
        <v>6379</v>
      </c>
      <c r="D1651" t="s">
        <v>7495</v>
      </c>
      <c r="E1651" t="s">
        <v>10224</v>
      </c>
    </row>
    <row r="1652" spans="1:5" ht="15.6" x14ac:dyDescent="0.3">
      <c r="A1652" s="1" t="s">
        <v>720</v>
      </c>
      <c r="B1652" s="1" t="s">
        <v>4033</v>
      </c>
      <c r="C1652" t="s">
        <v>6380</v>
      </c>
      <c r="D1652" t="s">
        <v>8321</v>
      </c>
      <c r="E1652" t="s">
        <v>10225</v>
      </c>
    </row>
    <row r="1653" spans="1:5" ht="15.6" x14ac:dyDescent="0.3">
      <c r="A1653" s="1" t="s">
        <v>719</v>
      </c>
      <c r="B1653" s="1" t="s">
        <v>4034</v>
      </c>
      <c r="C1653" t="s">
        <v>6381</v>
      </c>
      <c r="D1653" t="s">
        <v>8322</v>
      </c>
      <c r="E1653" t="s">
        <v>10226</v>
      </c>
    </row>
    <row r="1654" spans="1:5" ht="15.6" x14ac:dyDescent="0.3">
      <c r="A1654" s="1" t="s">
        <v>718</v>
      </c>
      <c r="B1654" s="1" t="s">
        <v>4035</v>
      </c>
      <c r="C1654" t="s">
        <v>6382</v>
      </c>
      <c r="D1654" t="s">
        <v>7492</v>
      </c>
      <c r="E1654" t="s">
        <v>10227</v>
      </c>
    </row>
    <row r="1655" spans="1:5" ht="15.6" x14ac:dyDescent="0.3">
      <c r="A1655" s="1" t="s">
        <v>717</v>
      </c>
      <c r="B1655" s="1" t="s">
        <v>4036</v>
      </c>
      <c r="C1655" t="s">
        <v>6383</v>
      </c>
      <c r="D1655" t="s">
        <v>8323</v>
      </c>
      <c r="E1655" t="s">
        <v>10228</v>
      </c>
    </row>
    <row r="1656" spans="1:5" ht="15.6" x14ac:dyDescent="0.3">
      <c r="A1656" s="1" t="s">
        <v>716</v>
      </c>
      <c r="B1656" s="1" t="s">
        <v>4037</v>
      </c>
      <c r="C1656" t="s">
        <v>6384</v>
      </c>
      <c r="D1656" t="s">
        <v>8324</v>
      </c>
      <c r="E1656" t="s">
        <v>10229</v>
      </c>
    </row>
    <row r="1657" spans="1:5" ht="15.6" x14ac:dyDescent="0.3">
      <c r="A1657" s="1" t="s">
        <v>715</v>
      </c>
      <c r="B1657" s="1" t="s">
        <v>4038</v>
      </c>
      <c r="C1657" t="s">
        <v>6385</v>
      </c>
      <c r="D1657" t="s">
        <v>7211</v>
      </c>
      <c r="E1657" t="s">
        <v>10230</v>
      </c>
    </row>
    <row r="1658" spans="1:5" ht="15.6" x14ac:dyDescent="0.3">
      <c r="A1658" s="1" t="s">
        <v>714</v>
      </c>
      <c r="B1658" s="1" t="s">
        <v>4039</v>
      </c>
      <c r="C1658" t="s">
        <v>6386</v>
      </c>
      <c r="D1658" t="s">
        <v>8325</v>
      </c>
      <c r="E1658" t="s">
        <v>9418</v>
      </c>
    </row>
    <row r="1659" spans="1:5" ht="15.6" x14ac:dyDescent="0.3">
      <c r="A1659" s="1" t="s">
        <v>713</v>
      </c>
      <c r="B1659" s="1" t="s">
        <v>4040</v>
      </c>
      <c r="C1659" t="s">
        <v>6387</v>
      </c>
      <c r="D1659" t="s">
        <v>8326</v>
      </c>
      <c r="E1659" t="s">
        <v>10231</v>
      </c>
    </row>
    <row r="1660" spans="1:5" ht="15.6" x14ac:dyDescent="0.3">
      <c r="A1660" s="1" t="s">
        <v>712</v>
      </c>
      <c r="B1660" s="1" t="s">
        <v>4041</v>
      </c>
      <c r="C1660" t="s">
        <v>6388</v>
      </c>
      <c r="D1660" t="s">
        <v>7075</v>
      </c>
      <c r="E1660" t="s">
        <v>9602</v>
      </c>
    </row>
    <row r="1661" spans="1:5" ht="15.6" x14ac:dyDescent="0.3">
      <c r="A1661" s="1" t="s">
        <v>711</v>
      </c>
      <c r="B1661" s="1" t="s">
        <v>4042</v>
      </c>
      <c r="C1661" t="s">
        <v>6389</v>
      </c>
      <c r="D1661" t="s">
        <v>8327</v>
      </c>
      <c r="E1661" t="s">
        <v>10232</v>
      </c>
    </row>
    <row r="1662" spans="1:5" ht="15.6" x14ac:dyDescent="0.3">
      <c r="A1662" s="1" t="s">
        <v>710</v>
      </c>
      <c r="B1662" s="1" t="s">
        <v>4043</v>
      </c>
      <c r="C1662" t="s">
        <v>6390</v>
      </c>
      <c r="D1662" t="s">
        <v>8328</v>
      </c>
      <c r="E1662" t="s">
        <v>10233</v>
      </c>
    </row>
    <row r="1663" spans="1:5" ht="15.6" x14ac:dyDescent="0.3">
      <c r="A1663" s="1" t="s">
        <v>709</v>
      </c>
      <c r="B1663" s="1" t="s">
        <v>4044</v>
      </c>
      <c r="C1663" t="s">
        <v>6391</v>
      </c>
      <c r="D1663" t="s">
        <v>7282</v>
      </c>
      <c r="E1663" t="s">
        <v>10234</v>
      </c>
    </row>
    <row r="1664" spans="1:5" ht="15.6" x14ac:dyDescent="0.3">
      <c r="A1664" s="1" t="s">
        <v>708</v>
      </c>
      <c r="B1664" s="1" t="s">
        <v>4045</v>
      </c>
      <c r="C1664" t="s">
        <v>6392</v>
      </c>
      <c r="D1664" t="s">
        <v>8329</v>
      </c>
      <c r="E1664" t="s">
        <v>10235</v>
      </c>
    </row>
    <row r="1665" spans="1:5" ht="15.6" x14ac:dyDescent="0.3">
      <c r="A1665" s="1" t="s">
        <v>707</v>
      </c>
      <c r="B1665" s="1" t="s">
        <v>4046</v>
      </c>
      <c r="C1665" t="s">
        <v>6393</v>
      </c>
      <c r="D1665" t="s">
        <v>8330</v>
      </c>
      <c r="E1665" t="s">
        <v>10236</v>
      </c>
    </row>
    <row r="1666" spans="1:5" ht="15.6" x14ac:dyDescent="0.3">
      <c r="A1666" s="1" t="s">
        <v>706</v>
      </c>
      <c r="B1666" s="1" t="s">
        <v>4047</v>
      </c>
      <c r="C1666" t="s">
        <v>6394</v>
      </c>
      <c r="D1666" t="s">
        <v>8331</v>
      </c>
      <c r="E1666" t="s">
        <v>10237</v>
      </c>
    </row>
    <row r="1667" spans="1:5" ht="15.6" x14ac:dyDescent="0.3">
      <c r="A1667" s="1" t="s">
        <v>705</v>
      </c>
      <c r="B1667" s="1" t="s">
        <v>4048</v>
      </c>
      <c r="C1667" t="s">
        <v>6395</v>
      </c>
      <c r="D1667" t="s">
        <v>8332</v>
      </c>
      <c r="E1667" t="s">
        <v>8814</v>
      </c>
    </row>
    <row r="1668" spans="1:5" ht="15.6" x14ac:dyDescent="0.3">
      <c r="A1668" s="1" t="s">
        <v>704</v>
      </c>
      <c r="B1668" s="1" t="s">
        <v>4049</v>
      </c>
      <c r="C1668" t="s">
        <v>6396</v>
      </c>
      <c r="D1668" t="s">
        <v>7113</v>
      </c>
      <c r="E1668" t="s">
        <v>10238</v>
      </c>
    </row>
    <row r="1669" spans="1:5" ht="15.6" x14ac:dyDescent="0.3">
      <c r="A1669" s="1" t="s">
        <v>703</v>
      </c>
      <c r="B1669" s="1" t="s">
        <v>4050</v>
      </c>
      <c r="C1669" t="s">
        <v>6397</v>
      </c>
      <c r="D1669" t="s">
        <v>8333</v>
      </c>
      <c r="E1669" t="s">
        <v>10239</v>
      </c>
    </row>
    <row r="1670" spans="1:5" ht="15.6" x14ac:dyDescent="0.3">
      <c r="A1670" s="1" t="s">
        <v>702</v>
      </c>
      <c r="B1670" s="1" t="s">
        <v>4051</v>
      </c>
      <c r="C1670" t="s">
        <v>6398</v>
      </c>
      <c r="D1670" t="s">
        <v>7219</v>
      </c>
      <c r="E1670" t="s">
        <v>9148</v>
      </c>
    </row>
    <row r="1671" spans="1:5" ht="15.6" x14ac:dyDescent="0.3">
      <c r="A1671" s="1" t="s">
        <v>701</v>
      </c>
      <c r="B1671" s="1" t="s">
        <v>4052</v>
      </c>
      <c r="C1671" t="s">
        <v>6399</v>
      </c>
      <c r="D1671" t="s">
        <v>8334</v>
      </c>
      <c r="E1671" t="s">
        <v>10240</v>
      </c>
    </row>
    <row r="1672" spans="1:5" ht="15.6" x14ac:dyDescent="0.3">
      <c r="A1672" s="1" t="s">
        <v>700</v>
      </c>
      <c r="B1672" s="1" t="s">
        <v>4053</v>
      </c>
      <c r="C1672" t="s">
        <v>6400</v>
      </c>
      <c r="D1672" t="s">
        <v>8335</v>
      </c>
      <c r="E1672" t="s">
        <v>9847</v>
      </c>
    </row>
    <row r="1673" spans="1:5" ht="15.6" x14ac:dyDescent="0.3">
      <c r="A1673" s="1" t="s">
        <v>699</v>
      </c>
      <c r="B1673" s="1" t="s">
        <v>4054</v>
      </c>
      <c r="C1673" t="s">
        <v>6401</v>
      </c>
      <c r="D1673" t="s">
        <v>8253</v>
      </c>
      <c r="E1673" t="s">
        <v>10241</v>
      </c>
    </row>
    <row r="1674" spans="1:5" ht="15.6" x14ac:dyDescent="0.3">
      <c r="A1674" s="1" t="s">
        <v>698</v>
      </c>
      <c r="B1674" s="1" t="s">
        <v>4055</v>
      </c>
      <c r="C1674" t="s">
        <v>6402</v>
      </c>
      <c r="D1674" t="s">
        <v>8254</v>
      </c>
      <c r="E1674" t="s">
        <v>10242</v>
      </c>
    </row>
    <row r="1675" spans="1:5" ht="15.6" x14ac:dyDescent="0.3">
      <c r="A1675" s="1" t="s">
        <v>697</v>
      </c>
      <c r="B1675" s="1" t="s">
        <v>4056</v>
      </c>
      <c r="C1675" t="s">
        <v>6403</v>
      </c>
      <c r="D1675" t="s">
        <v>8166</v>
      </c>
      <c r="E1675" t="s">
        <v>10243</v>
      </c>
    </row>
    <row r="1676" spans="1:5" ht="15.6" x14ac:dyDescent="0.3">
      <c r="A1676" s="1" t="s">
        <v>696</v>
      </c>
      <c r="B1676" s="1" t="s">
        <v>4057</v>
      </c>
      <c r="C1676" t="s">
        <v>6404</v>
      </c>
      <c r="D1676" t="s">
        <v>8336</v>
      </c>
      <c r="E1676" t="s">
        <v>10244</v>
      </c>
    </row>
    <row r="1677" spans="1:5" ht="15.6" x14ac:dyDescent="0.3">
      <c r="A1677" s="1" t="s">
        <v>695</v>
      </c>
      <c r="B1677" s="1" t="s">
        <v>4058</v>
      </c>
      <c r="C1677" t="s">
        <v>6405</v>
      </c>
      <c r="D1677" t="s">
        <v>8337</v>
      </c>
      <c r="E1677" t="s">
        <v>10245</v>
      </c>
    </row>
    <row r="1678" spans="1:5" ht="15.6" x14ac:dyDescent="0.3">
      <c r="A1678" s="1" t="s">
        <v>694</v>
      </c>
      <c r="B1678" s="1" t="s">
        <v>4059</v>
      </c>
      <c r="C1678" t="s">
        <v>6406</v>
      </c>
      <c r="D1678" t="s">
        <v>8338</v>
      </c>
      <c r="E1678" t="s">
        <v>10246</v>
      </c>
    </row>
    <row r="1679" spans="1:5" ht="15.6" x14ac:dyDescent="0.3">
      <c r="A1679" s="1" t="s">
        <v>693</v>
      </c>
      <c r="B1679" s="1" t="s">
        <v>4060</v>
      </c>
      <c r="C1679" t="s">
        <v>6407</v>
      </c>
      <c r="D1679" t="s">
        <v>8339</v>
      </c>
      <c r="E1679" t="s">
        <v>10247</v>
      </c>
    </row>
    <row r="1680" spans="1:5" ht="15.6" x14ac:dyDescent="0.3">
      <c r="A1680" s="1" t="s">
        <v>692</v>
      </c>
      <c r="B1680" s="1" t="s">
        <v>4061</v>
      </c>
      <c r="C1680" t="s">
        <v>6408</v>
      </c>
      <c r="D1680" t="s">
        <v>8340</v>
      </c>
      <c r="E1680" t="s">
        <v>9820</v>
      </c>
    </row>
    <row r="1681" spans="1:5" ht="15.6" x14ac:dyDescent="0.3">
      <c r="A1681" s="1" t="s">
        <v>691</v>
      </c>
      <c r="B1681" s="1" t="s">
        <v>4062</v>
      </c>
      <c r="C1681" t="s">
        <v>6409</v>
      </c>
      <c r="D1681" t="s">
        <v>8341</v>
      </c>
      <c r="E1681" t="s">
        <v>10248</v>
      </c>
    </row>
    <row r="1682" spans="1:5" ht="15.6" x14ac:dyDescent="0.3">
      <c r="A1682" s="1" t="s">
        <v>690</v>
      </c>
      <c r="B1682" s="1" t="s">
        <v>4063</v>
      </c>
      <c r="C1682" t="s">
        <v>6410</v>
      </c>
      <c r="D1682" t="s">
        <v>8342</v>
      </c>
      <c r="E1682" t="s">
        <v>9286</v>
      </c>
    </row>
    <row r="1683" spans="1:5" ht="15.6" x14ac:dyDescent="0.3">
      <c r="A1683" s="1" t="s">
        <v>689</v>
      </c>
      <c r="B1683" s="1" t="s">
        <v>4064</v>
      </c>
      <c r="C1683" t="s">
        <v>6411</v>
      </c>
      <c r="D1683" t="s">
        <v>8007</v>
      </c>
      <c r="E1683" t="s">
        <v>10249</v>
      </c>
    </row>
    <row r="1684" spans="1:5" ht="15.6" x14ac:dyDescent="0.3">
      <c r="A1684" s="1" t="s">
        <v>688</v>
      </c>
      <c r="B1684" s="1" t="s">
        <v>4065</v>
      </c>
      <c r="C1684" t="s">
        <v>6412</v>
      </c>
      <c r="D1684" t="s">
        <v>8343</v>
      </c>
      <c r="E1684" t="s">
        <v>9085</v>
      </c>
    </row>
    <row r="1685" spans="1:5" ht="15.6" x14ac:dyDescent="0.3">
      <c r="A1685" s="1" t="s">
        <v>687</v>
      </c>
      <c r="B1685" s="1" t="s">
        <v>4066</v>
      </c>
      <c r="C1685" t="s">
        <v>6413</v>
      </c>
      <c r="D1685" t="s">
        <v>8344</v>
      </c>
      <c r="E1685" t="s">
        <v>9974</v>
      </c>
    </row>
    <row r="1686" spans="1:5" ht="15.6" x14ac:dyDescent="0.3">
      <c r="A1686" s="1" t="s">
        <v>686</v>
      </c>
      <c r="B1686" s="1" t="s">
        <v>4067</v>
      </c>
      <c r="C1686" t="s">
        <v>6414</v>
      </c>
      <c r="D1686" t="s">
        <v>7858</v>
      </c>
      <c r="E1686" t="s">
        <v>10250</v>
      </c>
    </row>
    <row r="1687" spans="1:5" ht="15.6" x14ac:dyDescent="0.3">
      <c r="A1687" s="1" t="s">
        <v>685</v>
      </c>
      <c r="B1687" s="1" t="s">
        <v>4068</v>
      </c>
      <c r="C1687" t="s">
        <v>6415</v>
      </c>
      <c r="D1687" t="s">
        <v>8345</v>
      </c>
      <c r="E1687" t="s">
        <v>9201</v>
      </c>
    </row>
    <row r="1688" spans="1:5" ht="15.6" x14ac:dyDescent="0.3">
      <c r="A1688" s="1" t="s">
        <v>684</v>
      </c>
      <c r="B1688" s="1" t="s">
        <v>4069</v>
      </c>
      <c r="C1688" t="s">
        <v>6416</v>
      </c>
      <c r="D1688" t="s">
        <v>8346</v>
      </c>
      <c r="E1688" t="s">
        <v>10251</v>
      </c>
    </row>
    <row r="1689" spans="1:5" ht="15.6" x14ac:dyDescent="0.3">
      <c r="A1689" s="1" t="s">
        <v>683</v>
      </c>
      <c r="B1689" s="1" t="s">
        <v>4070</v>
      </c>
      <c r="C1689" t="s">
        <v>6417</v>
      </c>
      <c r="D1689" t="s">
        <v>8347</v>
      </c>
      <c r="E1689" t="s">
        <v>10252</v>
      </c>
    </row>
    <row r="1690" spans="1:5" ht="15.6" x14ac:dyDescent="0.3">
      <c r="A1690" s="1" t="s">
        <v>682</v>
      </c>
      <c r="B1690" s="1" t="s">
        <v>4071</v>
      </c>
      <c r="C1690" t="s">
        <v>6418</v>
      </c>
      <c r="D1690" t="s">
        <v>8010</v>
      </c>
      <c r="E1690" t="s">
        <v>10253</v>
      </c>
    </row>
    <row r="1691" spans="1:5" ht="15.6" x14ac:dyDescent="0.3">
      <c r="A1691" s="1" t="s">
        <v>681</v>
      </c>
      <c r="B1691" s="1" t="s">
        <v>4072</v>
      </c>
      <c r="C1691" t="s">
        <v>6419</v>
      </c>
      <c r="D1691" t="s">
        <v>8348</v>
      </c>
      <c r="E1691" t="s">
        <v>10254</v>
      </c>
    </row>
    <row r="1692" spans="1:5" ht="15.6" x14ac:dyDescent="0.3">
      <c r="A1692" s="1" t="s">
        <v>680</v>
      </c>
      <c r="B1692" s="1" t="s">
        <v>4073</v>
      </c>
      <c r="C1692" t="s">
        <v>6420</v>
      </c>
      <c r="D1692" t="s">
        <v>8349</v>
      </c>
      <c r="E1692" t="s">
        <v>10255</v>
      </c>
    </row>
    <row r="1693" spans="1:5" ht="15.6" x14ac:dyDescent="0.3">
      <c r="A1693" s="1" t="s">
        <v>679</v>
      </c>
      <c r="B1693" s="1" t="s">
        <v>4074</v>
      </c>
      <c r="C1693" t="s">
        <v>6421</v>
      </c>
      <c r="D1693" t="s">
        <v>8350</v>
      </c>
      <c r="E1693" t="s">
        <v>10256</v>
      </c>
    </row>
    <row r="1694" spans="1:5" ht="15.6" x14ac:dyDescent="0.3">
      <c r="A1694" s="1" t="s">
        <v>678</v>
      </c>
      <c r="B1694" s="1" t="s">
        <v>4075</v>
      </c>
      <c r="C1694" t="s">
        <v>6422</v>
      </c>
      <c r="D1694" t="s">
        <v>8351</v>
      </c>
      <c r="E1694" t="s">
        <v>9211</v>
      </c>
    </row>
    <row r="1695" spans="1:5" ht="15.6" x14ac:dyDescent="0.3">
      <c r="A1695" s="1" t="s">
        <v>677</v>
      </c>
      <c r="B1695" s="1" t="s">
        <v>4076</v>
      </c>
      <c r="C1695" t="s">
        <v>6423</v>
      </c>
      <c r="D1695" t="s">
        <v>7573</v>
      </c>
      <c r="E1695" t="s">
        <v>10257</v>
      </c>
    </row>
    <row r="1696" spans="1:5" ht="15.6" x14ac:dyDescent="0.3">
      <c r="A1696" s="1" t="s">
        <v>676</v>
      </c>
      <c r="B1696" s="1" t="s">
        <v>4077</v>
      </c>
      <c r="C1696" t="s">
        <v>6424</v>
      </c>
      <c r="D1696" t="s">
        <v>8352</v>
      </c>
      <c r="E1696" t="s">
        <v>10258</v>
      </c>
    </row>
    <row r="1697" spans="1:5" ht="15.6" x14ac:dyDescent="0.3">
      <c r="A1697" s="1" t="s">
        <v>675</v>
      </c>
      <c r="B1697" s="1" t="s">
        <v>4078</v>
      </c>
      <c r="C1697" t="s">
        <v>6425</v>
      </c>
      <c r="D1697" t="s">
        <v>8353</v>
      </c>
      <c r="E1697" t="s">
        <v>10259</v>
      </c>
    </row>
    <row r="1698" spans="1:5" ht="15.6" x14ac:dyDescent="0.3">
      <c r="A1698" s="1" t="s">
        <v>674</v>
      </c>
      <c r="B1698" s="1" t="s">
        <v>4079</v>
      </c>
      <c r="C1698" t="s">
        <v>6426</v>
      </c>
      <c r="D1698" t="s">
        <v>8354</v>
      </c>
      <c r="E1698" t="s">
        <v>10002</v>
      </c>
    </row>
    <row r="1699" spans="1:5" ht="15.6" x14ac:dyDescent="0.3">
      <c r="A1699" s="1" t="s">
        <v>673</v>
      </c>
      <c r="B1699" s="1" t="s">
        <v>4080</v>
      </c>
      <c r="C1699" t="s">
        <v>6427</v>
      </c>
      <c r="D1699" t="s">
        <v>7908</v>
      </c>
      <c r="E1699" t="s">
        <v>10260</v>
      </c>
    </row>
    <row r="1700" spans="1:5" ht="15.6" x14ac:dyDescent="0.3">
      <c r="A1700" s="1" t="s">
        <v>672</v>
      </c>
      <c r="B1700" s="1" t="s">
        <v>4081</v>
      </c>
      <c r="C1700" t="s">
        <v>6428</v>
      </c>
      <c r="D1700" t="s">
        <v>7167</v>
      </c>
      <c r="E1700" t="s">
        <v>10261</v>
      </c>
    </row>
    <row r="1701" spans="1:5" ht="15.6" x14ac:dyDescent="0.3">
      <c r="A1701" s="1" t="s">
        <v>671</v>
      </c>
      <c r="B1701" s="1" t="s">
        <v>4082</v>
      </c>
      <c r="C1701" t="s">
        <v>6429</v>
      </c>
      <c r="D1701" t="s">
        <v>8355</v>
      </c>
      <c r="E1701" t="s">
        <v>10262</v>
      </c>
    </row>
    <row r="1702" spans="1:5" ht="15.6" x14ac:dyDescent="0.3">
      <c r="A1702" s="1" t="s">
        <v>670</v>
      </c>
      <c r="B1702" s="1" t="s">
        <v>4083</v>
      </c>
      <c r="C1702" t="s">
        <v>6430</v>
      </c>
      <c r="D1702" t="s">
        <v>7082</v>
      </c>
      <c r="E1702" t="s">
        <v>10263</v>
      </c>
    </row>
    <row r="1703" spans="1:5" ht="15.6" x14ac:dyDescent="0.3">
      <c r="A1703" s="1" t="s">
        <v>669</v>
      </c>
      <c r="B1703" s="1" t="s">
        <v>4084</v>
      </c>
      <c r="C1703" t="s">
        <v>6431</v>
      </c>
      <c r="D1703" t="s">
        <v>7148</v>
      </c>
      <c r="E1703" t="s">
        <v>10264</v>
      </c>
    </row>
    <row r="1704" spans="1:5" ht="15.6" x14ac:dyDescent="0.3">
      <c r="A1704" s="1" t="s">
        <v>668</v>
      </c>
      <c r="B1704" s="1" t="s">
        <v>4085</v>
      </c>
      <c r="C1704" t="s">
        <v>6432</v>
      </c>
      <c r="D1704" t="s">
        <v>7671</v>
      </c>
      <c r="E1704" t="s">
        <v>10265</v>
      </c>
    </row>
    <row r="1705" spans="1:5" ht="15.6" x14ac:dyDescent="0.3">
      <c r="A1705" s="1" t="s">
        <v>667</v>
      </c>
      <c r="B1705" s="1" t="s">
        <v>4086</v>
      </c>
      <c r="C1705" t="s">
        <v>6433</v>
      </c>
      <c r="D1705" t="s">
        <v>7251</v>
      </c>
      <c r="E1705" t="s">
        <v>10266</v>
      </c>
    </row>
    <row r="1706" spans="1:5" ht="15.6" x14ac:dyDescent="0.3">
      <c r="A1706" s="1" t="s">
        <v>666</v>
      </c>
      <c r="B1706" s="1" t="s">
        <v>4087</v>
      </c>
      <c r="C1706" t="s">
        <v>6434</v>
      </c>
      <c r="D1706" t="s">
        <v>8356</v>
      </c>
      <c r="E1706" t="s">
        <v>9470</v>
      </c>
    </row>
    <row r="1707" spans="1:5" ht="15.6" x14ac:dyDescent="0.3">
      <c r="A1707" s="1" t="s">
        <v>665</v>
      </c>
      <c r="B1707" s="1" t="s">
        <v>4088</v>
      </c>
      <c r="C1707" t="s">
        <v>6435</v>
      </c>
      <c r="D1707" t="s">
        <v>8357</v>
      </c>
      <c r="E1707" t="s">
        <v>10267</v>
      </c>
    </row>
    <row r="1708" spans="1:5" ht="15.6" x14ac:dyDescent="0.3">
      <c r="A1708" s="1" t="s">
        <v>664</v>
      </c>
      <c r="B1708" s="1" t="s">
        <v>4089</v>
      </c>
      <c r="C1708" t="s">
        <v>6436</v>
      </c>
      <c r="D1708" t="s">
        <v>7541</v>
      </c>
      <c r="E1708" t="s">
        <v>9795</v>
      </c>
    </row>
    <row r="1709" spans="1:5" ht="15.6" x14ac:dyDescent="0.3">
      <c r="A1709" s="1" t="s">
        <v>663</v>
      </c>
      <c r="B1709" s="1" t="s">
        <v>4090</v>
      </c>
      <c r="C1709" t="s">
        <v>6437</v>
      </c>
      <c r="D1709" t="s">
        <v>8358</v>
      </c>
      <c r="E1709" t="s">
        <v>10268</v>
      </c>
    </row>
    <row r="1710" spans="1:5" ht="15.6" x14ac:dyDescent="0.3">
      <c r="A1710" s="1" t="s">
        <v>662</v>
      </c>
      <c r="B1710" s="1" t="s">
        <v>4091</v>
      </c>
      <c r="C1710" t="s">
        <v>6438</v>
      </c>
      <c r="D1710" t="s">
        <v>7801</v>
      </c>
      <c r="E1710" t="s">
        <v>10002</v>
      </c>
    </row>
    <row r="1711" spans="1:5" ht="15.6" x14ac:dyDescent="0.3">
      <c r="A1711" s="1" t="s">
        <v>661</v>
      </c>
      <c r="B1711" s="1" t="s">
        <v>4092</v>
      </c>
      <c r="C1711" t="s">
        <v>6439</v>
      </c>
      <c r="D1711" t="s">
        <v>8359</v>
      </c>
      <c r="E1711" t="s">
        <v>10269</v>
      </c>
    </row>
    <row r="1712" spans="1:5" ht="15.6" x14ac:dyDescent="0.3">
      <c r="A1712" s="1" t="s">
        <v>660</v>
      </c>
      <c r="B1712" s="1" t="s">
        <v>4093</v>
      </c>
      <c r="C1712" t="s">
        <v>4732</v>
      </c>
      <c r="D1712" t="s">
        <v>7067</v>
      </c>
      <c r="E1712" t="s">
        <v>10270</v>
      </c>
    </row>
    <row r="1713" spans="1:5" ht="15.6" x14ac:dyDescent="0.3">
      <c r="A1713" s="1" t="s">
        <v>659</v>
      </c>
      <c r="B1713" s="1" t="s">
        <v>4094</v>
      </c>
      <c r="C1713" t="s">
        <v>6440</v>
      </c>
      <c r="D1713" t="s">
        <v>7375</v>
      </c>
      <c r="E1713" t="s">
        <v>10271</v>
      </c>
    </row>
    <row r="1714" spans="1:5" ht="15.6" x14ac:dyDescent="0.3">
      <c r="A1714" s="1" t="s">
        <v>658</v>
      </c>
      <c r="B1714" s="1" t="s">
        <v>4095</v>
      </c>
      <c r="C1714" t="s">
        <v>6441</v>
      </c>
      <c r="D1714" t="s">
        <v>7241</v>
      </c>
      <c r="E1714" t="s">
        <v>10272</v>
      </c>
    </row>
    <row r="1715" spans="1:5" ht="15.6" x14ac:dyDescent="0.3">
      <c r="A1715" s="1" t="s">
        <v>657</v>
      </c>
      <c r="B1715" s="1" t="s">
        <v>4096</v>
      </c>
      <c r="C1715" t="s">
        <v>6442</v>
      </c>
      <c r="D1715" t="s">
        <v>8360</v>
      </c>
      <c r="E1715" t="s">
        <v>10273</v>
      </c>
    </row>
    <row r="1716" spans="1:5" ht="15.6" x14ac:dyDescent="0.3">
      <c r="A1716" s="1" t="s">
        <v>656</v>
      </c>
      <c r="B1716" s="1" t="s">
        <v>4097</v>
      </c>
      <c r="C1716" t="s">
        <v>6443</v>
      </c>
      <c r="D1716" t="s">
        <v>8359</v>
      </c>
      <c r="E1716" t="s">
        <v>10274</v>
      </c>
    </row>
    <row r="1717" spans="1:5" ht="15.6" x14ac:dyDescent="0.3">
      <c r="A1717" s="1" t="s">
        <v>655</v>
      </c>
      <c r="B1717" s="1" t="s">
        <v>4098</v>
      </c>
      <c r="C1717" t="s">
        <v>6444</v>
      </c>
      <c r="D1717" t="s">
        <v>7163</v>
      </c>
      <c r="E1717" t="s">
        <v>10275</v>
      </c>
    </row>
    <row r="1718" spans="1:5" ht="15.6" x14ac:dyDescent="0.3">
      <c r="A1718" s="1" t="s">
        <v>654</v>
      </c>
      <c r="B1718" s="1" t="s">
        <v>4099</v>
      </c>
      <c r="C1718" t="s">
        <v>6445</v>
      </c>
      <c r="D1718" t="s">
        <v>8361</v>
      </c>
      <c r="E1718" t="s">
        <v>10276</v>
      </c>
    </row>
    <row r="1719" spans="1:5" ht="15.6" x14ac:dyDescent="0.3">
      <c r="A1719" s="1" t="s">
        <v>653</v>
      </c>
      <c r="B1719" s="1" t="s">
        <v>4100</v>
      </c>
      <c r="C1719" t="s">
        <v>6446</v>
      </c>
      <c r="D1719" t="s">
        <v>8362</v>
      </c>
      <c r="E1719" t="s">
        <v>10277</v>
      </c>
    </row>
    <row r="1720" spans="1:5" ht="15.6" x14ac:dyDescent="0.3">
      <c r="A1720" s="1" t="s">
        <v>652</v>
      </c>
      <c r="B1720" s="1" t="s">
        <v>4101</v>
      </c>
      <c r="C1720" t="s">
        <v>6447</v>
      </c>
      <c r="D1720" t="s">
        <v>8363</v>
      </c>
      <c r="E1720" t="s">
        <v>10278</v>
      </c>
    </row>
    <row r="1721" spans="1:5" ht="15.6" x14ac:dyDescent="0.3">
      <c r="A1721" s="1" t="s">
        <v>651</v>
      </c>
      <c r="B1721" s="1" t="s">
        <v>4102</v>
      </c>
      <c r="C1721" t="s">
        <v>6448</v>
      </c>
      <c r="D1721" t="s">
        <v>8364</v>
      </c>
      <c r="E1721" t="s">
        <v>8951</v>
      </c>
    </row>
    <row r="1722" spans="1:5" ht="15.6" x14ac:dyDescent="0.3">
      <c r="A1722" s="1" t="s">
        <v>650</v>
      </c>
      <c r="B1722" s="1" t="s">
        <v>4103</v>
      </c>
      <c r="C1722" t="s">
        <v>6449</v>
      </c>
      <c r="D1722" t="s">
        <v>7151</v>
      </c>
      <c r="E1722" t="s">
        <v>10279</v>
      </c>
    </row>
    <row r="1723" spans="1:5" ht="15.6" x14ac:dyDescent="0.3">
      <c r="A1723" s="1" t="s">
        <v>649</v>
      </c>
      <c r="B1723" s="1" t="s">
        <v>4104</v>
      </c>
      <c r="C1723" t="s">
        <v>6450</v>
      </c>
      <c r="D1723" t="s">
        <v>8365</v>
      </c>
      <c r="E1723" t="s">
        <v>10280</v>
      </c>
    </row>
    <row r="1724" spans="1:5" ht="15.6" x14ac:dyDescent="0.3">
      <c r="A1724" s="1" t="s">
        <v>648</v>
      </c>
      <c r="B1724" s="1" t="s">
        <v>4105</v>
      </c>
      <c r="C1724" t="s">
        <v>6451</v>
      </c>
      <c r="D1724" t="s">
        <v>8366</v>
      </c>
      <c r="E1724" t="s">
        <v>10281</v>
      </c>
    </row>
    <row r="1725" spans="1:5" ht="15.6" x14ac:dyDescent="0.3">
      <c r="A1725" s="1" t="s">
        <v>647</v>
      </c>
      <c r="B1725" s="1" t="s">
        <v>4106</v>
      </c>
      <c r="C1725" t="s">
        <v>6452</v>
      </c>
      <c r="D1725" t="s">
        <v>8367</v>
      </c>
      <c r="E1725" t="s">
        <v>10282</v>
      </c>
    </row>
    <row r="1726" spans="1:5" ht="15.6" x14ac:dyDescent="0.3">
      <c r="A1726" s="1" t="s">
        <v>646</v>
      </c>
      <c r="B1726" s="1" t="s">
        <v>4107</v>
      </c>
      <c r="C1726" t="s">
        <v>6453</v>
      </c>
      <c r="D1726" t="s">
        <v>8368</v>
      </c>
      <c r="E1726" t="s">
        <v>10059</v>
      </c>
    </row>
    <row r="1727" spans="1:5" ht="15.6" x14ac:dyDescent="0.3">
      <c r="A1727" s="1" t="s">
        <v>645</v>
      </c>
      <c r="B1727" s="1" t="s">
        <v>4108</v>
      </c>
      <c r="C1727" t="s">
        <v>6454</v>
      </c>
      <c r="D1727" t="s">
        <v>8369</v>
      </c>
      <c r="E1727" t="s">
        <v>10283</v>
      </c>
    </row>
    <row r="1728" spans="1:5" ht="15.6" x14ac:dyDescent="0.3">
      <c r="A1728" s="1" t="s">
        <v>644</v>
      </c>
      <c r="B1728" s="1" t="s">
        <v>4109</v>
      </c>
      <c r="C1728" t="s">
        <v>6455</v>
      </c>
      <c r="D1728" t="s">
        <v>8370</v>
      </c>
      <c r="E1728" t="s">
        <v>10284</v>
      </c>
    </row>
    <row r="1729" spans="1:5" ht="15.6" x14ac:dyDescent="0.3">
      <c r="A1729" s="1" t="s">
        <v>643</v>
      </c>
      <c r="B1729" s="1" t="s">
        <v>4110</v>
      </c>
      <c r="C1729" t="s">
        <v>6456</v>
      </c>
      <c r="D1729" t="s">
        <v>8371</v>
      </c>
      <c r="E1729" t="s">
        <v>9377</v>
      </c>
    </row>
    <row r="1730" spans="1:5" ht="15.6" x14ac:dyDescent="0.3">
      <c r="A1730" s="1" t="s">
        <v>642</v>
      </c>
      <c r="B1730" s="1" t="s">
        <v>4111</v>
      </c>
      <c r="C1730" t="s">
        <v>6457</v>
      </c>
      <c r="D1730" t="s">
        <v>8372</v>
      </c>
      <c r="E1730" t="s">
        <v>10285</v>
      </c>
    </row>
    <row r="1731" spans="1:5" ht="15.6" x14ac:dyDescent="0.3">
      <c r="A1731" s="1" t="s">
        <v>641</v>
      </c>
      <c r="B1731" s="1" t="s">
        <v>4112</v>
      </c>
      <c r="C1731" t="s">
        <v>6458</v>
      </c>
      <c r="D1731" t="s">
        <v>8373</v>
      </c>
      <c r="E1731" t="s">
        <v>10182</v>
      </c>
    </row>
    <row r="1732" spans="1:5" ht="15.6" x14ac:dyDescent="0.3">
      <c r="A1732" s="1" t="s">
        <v>640</v>
      </c>
      <c r="B1732" s="1" t="s">
        <v>4113</v>
      </c>
      <c r="C1732" t="s">
        <v>6459</v>
      </c>
      <c r="D1732" t="s">
        <v>8374</v>
      </c>
      <c r="E1732" t="s">
        <v>9307</v>
      </c>
    </row>
    <row r="1733" spans="1:5" ht="15.6" x14ac:dyDescent="0.3">
      <c r="A1733" s="1" t="s">
        <v>639</v>
      </c>
      <c r="B1733" s="1" t="s">
        <v>4114</v>
      </c>
      <c r="C1733" t="s">
        <v>6460</v>
      </c>
      <c r="D1733" t="s">
        <v>7152</v>
      </c>
      <c r="E1733" t="s">
        <v>10286</v>
      </c>
    </row>
    <row r="1734" spans="1:5" ht="15.6" x14ac:dyDescent="0.3">
      <c r="A1734" s="1" t="s">
        <v>638</v>
      </c>
      <c r="B1734" s="1" t="s">
        <v>4115</v>
      </c>
      <c r="C1734" t="s">
        <v>6461</v>
      </c>
      <c r="D1734" t="s">
        <v>8375</v>
      </c>
      <c r="E1734" t="s">
        <v>10287</v>
      </c>
    </row>
    <row r="1735" spans="1:5" ht="15.6" x14ac:dyDescent="0.3">
      <c r="A1735" s="1" t="s">
        <v>637</v>
      </c>
      <c r="B1735" s="1" t="s">
        <v>4116</v>
      </c>
      <c r="C1735" t="s">
        <v>6462</v>
      </c>
      <c r="D1735" t="s">
        <v>8376</v>
      </c>
      <c r="E1735" t="s">
        <v>10288</v>
      </c>
    </row>
    <row r="1736" spans="1:5" ht="15.6" x14ac:dyDescent="0.3">
      <c r="A1736" s="1" t="s">
        <v>636</v>
      </c>
      <c r="B1736" s="1" t="s">
        <v>4117</v>
      </c>
      <c r="C1736" t="s">
        <v>6463</v>
      </c>
      <c r="D1736" t="s">
        <v>8377</v>
      </c>
      <c r="E1736" t="s">
        <v>10289</v>
      </c>
    </row>
    <row r="1737" spans="1:5" ht="15.6" x14ac:dyDescent="0.3">
      <c r="A1737" s="1" t="s">
        <v>635</v>
      </c>
      <c r="B1737" s="1" t="s">
        <v>4118</v>
      </c>
      <c r="C1737" t="s">
        <v>6464</v>
      </c>
      <c r="D1737" t="s">
        <v>8378</v>
      </c>
      <c r="E1737" t="s">
        <v>10290</v>
      </c>
    </row>
    <row r="1738" spans="1:5" ht="15.6" x14ac:dyDescent="0.3">
      <c r="A1738" s="1" t="s">
        <v>634</v>
      </c>
      <c r="B1738" s="1" t="s">
        <v>4119</v>
      </c>
      <c r="C1738" t="s">
        <v>6465</v>
      </c>
      <c r="D1738" t="s">
        <v>8379</v>
      </c>
      <c r="E1738" t="s">
        <v>9588</v>
      </c>
    </row>
    <row r="1739" spans="1:5" ht="15.6" x14ac:dyDescent="0.3">
      <c r="A1739" s="1" t="s">
        <v>633</v>
      </c>
      <c r="B1739" s="1" t="s">
        <v>4120</v>
      </c>
      <c r="C1739" t="s">
        <v>6466</v>
      </c>
      <c r="D1739" t="s">
        <v>7270</v>
      </c>
      <c r="E1739" t="s">
        <v>10291</v>
      </c>
    </row>
    <row r="1740" spans="1:5" ht="15.6" x14ac:dyDescent="0.3">
      <c r="A1740" s="1" t="s">
        <v>631</v>
      </c>
      <c r="B1740" s="1" t="s">
        <v>4121</v>
      </c>
      <c r="C1740" t="s">
        <v>6467</v>
      </c>
      <c r="D1740" t="s">
        <v>8380</v>
      </c>
      <c r="E1740" t="s">
        <v>10292</v>
      </c>
    </row>
    <row r="1741" spans="1:5" ht="15.6" x14ac:dyDescent="0.3">
      <c r="A1741" s="1" t="s">
        <v>630</v>
      </c>
      <c r="B1741" s="1" t="s">
        <v>4122</v>
      </c>
      <c r="C1741" t="s">
        <v>6468</v>
      </c>
      <c r="D1741" t="s">
        <v>8381</v>
      </c>
      <c r="E1741" t="s">
        <v>10293</v>
      </c>
    </row>
    <row r="1742" spans="1:5" ht="15.6" x14ac:dyDescent="0.3">
      <c r="A1742" s="1" t="s">
        <v>629</v>
      </c>
      <c r="B1742" s="1" t="s">
        <v>4123</v>
      </c>
      <c r="C1742" t="s">
        <v>6469</v>
      </c>
      <c r="D1742" t="s">
        <v>8382</v>
      </c>
      <c r="E1742" t="s">
        <v>10294</v>
      </c>
    </row>
    <row r="1743" spans="1:5" ht="15.6" x14ac:dyDescent="0.3">
      <c r="A1743" s="1" t="s">
        <v>628</v>
      </c>
      <c r="B1743" s="1" t="s">
        <v>4124</v>
      </c>
      <c r="C1743" t="s">
        <v>6470</v>
      </c>
      <c r="D1743" t="s">
        <v>8383</v>
      </c>
      <c r="E1743" t="s">
        <v>10295</v>
      </c>
    </row>
    <row r="1744" spans="1:5" ht="15.6" x14ac:dyDescent="0.3">
      <c r="A1744" s="1" t="s">
        <v>627</v>
      </c>
      <c r="B1744" s="1" t="s">
        <v>4125</v>
      </c>
      <c r="C1744" t="s">
        <v>6471</v>
      </c>
      <c r="D1744" t="s">
        <v>8384</v>
      </c>
      <c r="E1744" t="s">
        <v>10296</v>
      </c>
    </row>
    <row r="1745" spans="1:5" ht="15.6" x14ac:dyDescent="0.3">
      <c r="A1745" s="1" t="s">
        <v>626</v>
      </c>
      <c r="B1745" s="1" t="s">
        <v>4126</v>
      </c>
      <c r="C1745" t="s">
        <v>6472</v>
      </c>
      <c r="D1745" t="s">
        <v>7517</v>
      </c>
      <c r="E1745" t="s">
        <v>10297</v>
      </c>
    </row>
    <row r="1746" spans="1:5" ht="15.6" x14ac:dyDescent="0.3">
      <c r="A1746" s="1" t="s">
        <v>625</v>
      </c>
      <c r="B1746" s="1" t="s">
        <v>4127</v>
      </c>
      <c r="C1746" t="s">
        <v>6473</v>
      </c>
      <c r="D1746" t="s">
        <v>8385</v>
      </c>
      <c r="E1746" t="s">
        <v>9440</v>
      </c>
    </row>
    <row r="1747" spans="1:5" ht="15.6" x14ac:dyDescent="0.3">
      <c r="A1747" s="1" t="s">
        <v>624</v>
      </c>
      <c r="B1747" s="1" t="s">
        <v>4128</v>
      </c>
      <c r="C1747" t="s">
        <v>6474</v>
      </c>
      <c r="D1747" t="s">
        <v>8241</v>
      </c>
      <c r="E1747" t="s">
        <v>10298</v>
      </c>
    </row>
    <row r="1748" spans="1:5" ht="15.6" x14ac:dyDescent="0.3">
      <c r="A1748" s="1" t="s">
        <v>623</v>
      </c>
      <c r="B1748" s="1" t="s">
        <v>4129</v>
      </c>
      <c r="C1748" t="s">
        <v>6475</v>
      </c>
      <c r="D1748" t="s">
        <v>8386</v>
      </c>
      <c r="E1748" t="s">
        <v>10299</v>
      </c>
    </row>
    <row r="1749" spans="1:5" ht="15.6" x14ac:dyDescent="0.3">
      <c r="A1749" s="1" t="s">
        <v>622</v>
      </c>
      <c r="B1749" s="1" t="s">
        <v>4130</v>
      </c>
      <c r="C1749" t="s">
        <v>6476</v>
      </c>
      <c r="D1749" t="s">
        <v>8387</v>
      </c>
      <c r="E1749" t="s">
        <v>10290</v>
      </c>
    </row>
    <row r="1750" spans="1:5" ht="15.6" x14ac:dyDescent="0.3">
      <c r="A1750" s="1" t="s">
        <v>621</v>
      </c>
      <c r="B1750" s="1" t="s">
        <v>4131</v>
      </c>
      <c r="C1750" t="s">
        <v>6477</v>
      </c>
      <c r="D1750" t="s">
        <v>7735</v>
      </c>
      <c r="E1750" t="s">
        <v>10300</v>
      </c>
    </row>
    <row r="1751" spans="1:5" ht="15.6" x14ac:dyDescent="0.3">
      <c r="A1751" s="1" t="s">
        <v>620</v>
      </c>
      <c r="B1751" s="1" t="s">
        <v>4132</v>
      </c>
      <c r="C1751" t="s">
        <v>6478</v>
      </c>
      <c r="D1751" t="s">
        <v>8388</v>
      </c>
      <c r="E1751" t="s">
        <v>9758</v>
      </c>
    </row>
    <row r="1752" spans="1:5" ht="15.6" x14ac:dyDescent="0.3">
      <c r="A1752" s="1" t="s">
        <v>619</v>
      </c>
      <c r="B1752" s="1" t="s">
        <v>4133</v>
      </c>
      <c r="C1752" t="s">
        <v>6479</v>
      </c>
      <c r="D1752" t="s">
        <v>8389</v>
      </c>
      <c r="E1752" t="s">
        <v>10301</v>
      </c>
    </row>
    <row r="1753" spans="1:5" ht="15.6" x14ac:dyDescent="0.3">
      <c r="A1753" s="1" t="s">
        <v>618</v>
      </c>
      <c r="B1753" s="1" t="s">
        <v>4134</v>
      </c>
      <c r="C1753" t="s">
        <v>6480</v>
      </c>
      <c r="D1753" t="s">
        <v>8295</v>
      </c>
      <c r="E1753" t="s">
        <v>10302</v>
      </c>
    </row>
    <row r="1754" spans="1:5" ht="15.6" x14ac:dyDescent="0.3">
      <c r="A1754" s="1" t="s">
        <v>617</v>
      </c>
      <c r="B1754" s="1" t="s">
        <v>4135</v>
      </c>
      <c r="C1754" t="s">
        <v>6481</v>
      </c>
      <c r="D1754" t="s">
        <v>8390</v>
      </c>
      <c r="E1754" t="s">
        <v>10303</v>
      </c>
    </row>
    <row r="1755" spans="1:5" ht="15.6" x14ac:dyDescent="0.3">
      <c r="A1755" s="1" t="s">
        <v>616</v>
      </c>
      <c r="B1755" s="1" t="s">
        <v>4136</v>
      </c>
      <c r="C1755" t="s">
        <v>6482</v>
      </c>
      <c r="D1755" t="s">
        <v>8391</v>
      </c>
      <c r="E1755" t="s">
        <v>9317</v>
      </c>
    </row>
    <row r="1756" spans="1:5" ht="15.6" x14ac:dyDescent="0.3">
      <c r="A1756" s="1" t="s">
        <v>615</v>
      </c>
      <c r="B1756" s="1" t="s">
        <v>4137</v>
      </c>
      <c r="C1756" t="s">
        <v>6483</v>
      </c>
      <c r="D1756" t="s">
        <v>8392</v>
      </c>
      <c r="E1756" t="s">
        <v>10304</v>
      </c>
    </row>
    <row r="1757" spans="1:5" ht="15.6" x14ac:dyDescent="0.3">
      <c r="A1757" s="1" t="s">
        <v>614</v>
      </c>
      <c r="B1757" s="1" t="s">
        <v>4138</v>
      </c>
      <c r="C1757" t="s">
        <v>6484</v>
      </c>
      <c r="D1757" t="s">
        <v>8393</v>
      </c>
      <c r="E1757" t="s">
        <v>10305</v>
      </c>
    </row>
    <row r="1758" spans="1:5" ht="15.6" x14ac:dyDescent="0.3">
      <c r="A1758" s="1" t="s">
        <v>613</v>
      </c>
      <c r="B1758" s="1" t="s">
        <v>4139</v>
      </c>
      <c r="C1758" t="s">
        <v>6485</v>
      </c>
      <c r="D1758" t="s">
        <v>8394</v>
      </c>
      <c r="E1758" t="s">
        <v>8985</v>
      </c>
    </row>
    <row r="1759" spans="1:5" ht="15.6" x14ac:dyDescent="0.3">
      <c r="A1759" s="1" t="s">
        <v>612</v>
      </c>
      <c r="B1759" s="1" t="s">
        <v>4140</v>
      </c>
      <c r="C1759" t="s">
        <v>6486</v>
      </c>
      <c r="D1759" t="s">
        <v>8395</v>
      </c>
      <c r="E1759" t="s">
        <v>10306</v>
      </c>
    </row>
    <row r="1760" spans="1:5" ht="15.6" x14ac:dyDescent="0.3">
      <c r="A1760" s="1" t="s">
        <v>611</v>
      </c>
      <c r="B1760" s="1" t="s">
        <v>4141</v>
      </c>
      <c r="C1760" t="s">
        <v>6487</v>
      </c>
      <c r="D1760" t="s">
        <v>8396</v>
      </c>
      <c r="E1760" t="s">
        <v>10307</v>
      </c>
    </row>
    <row r="1761" spans="1:5" ht="15.6" x14ac:dyDescent="0.3">
      <c r="A1761" s="1" t="s">
        <v>610</v>
      </c>
      <c r="B1761" s="1" t="s">
        <v>4142</v>
      </c>
      <c r="C1761" t="s">
        <v>6488</v>
      </c>
      <c r="D1761" t="s">
        <v>8397</v>
      </c>
      <c r="E1761" t="s">
        <v>10308</v>
      </c>
    </row>
    <row r="1762" spans="1:5" ht="15.6" x14ac:dyDescent="0.3">
      <c r="A1762" s="1" t="s">
        <v>609</v>
      </c>
      <c r="B1762" s="1" t="s">
        <v>4143</v>
      </c>
      <c r="C1762" t="s">
        <v>6489</v>
      </c>
      <c r="D1762" t="s">
        <v>8398</v>
      </c>
      <c r="E1762" t="s">
        <v>10309</v>
      </c>
    </row>
    <row r="1763" spans="1:5" ht="15.6" x14ac:dyDescent="0.3">
      <c r="A1763" s="1" t="s">
        <v>608</v>
      </c>
      <c r="B1763" s="1" t="s">
        <v>4144</v>
      </c>
      <c r="C1763" t="s">
        <v>6490</v>
      </c>
      <c r="D1763" t="s">
        <v>8399</v>
      </c>
      <c r="E1763" t="s">
        <v>10310</v>
      </c>
    </row>
    <row r="1764" spans="1:5" ht="15.6" x14ac:dyDescent="0.3">
      <c r="A1764" s="1" t="s">
        <v>607</v>
      </c>
      <c r="B1764" s="1" t="s">
        <v>4145</v>
      </c>
      <c r="C1764" t="s">
        <v>6491</v>
      </c>
      <c r="D1764" t="s">
        <v>8400</v>
      </c>
      <c r="E1764" t="s">
        <v>10311</v>
      </c>
    </row>
    <row r="1765" spans="1:5" ht="15.6" x14ac:dyDescent="0.3">
      <c r="A1765" s="1" t="s">
        <v>606</v>
      </c>
      <c r="B1765" s="1" t="s">
        <v>4146</v>
      </c>
      <c r="C1765" t="s">
        <v>6492</v>
      </c>
      <c r="D1765" t="s">
        <v>8401</v>
      </c>
      <c r="E1765" t="s">
        <v>8975</v>
      </c>
    </row>
    <row r="1766" spans="1:5" ht="15.6" x14ac:dyDescent="0.3">
      <c r="A1766" s="1" t="s">
        <v>605</v>
      </c>
      <c r="B1766" s="1" t="s">
        <v>4147</v>
      </c>
      <c r="C1766" t="s">
        <v>6493</v>
      </c>
      <c r="D1766" t="s">
        <v>8402</v>
      </c>
      <c r="E1766" t="s">
        <v>9815</v>
      </c>
    </row>
    <row r="1767" spans="1:5" ht="15.6" x14ac:dyDescent="0.3">
      <c r="A1767" s="1" t="s">
        <v>604</v>
      </c>
      <c r="B1767" s="1" t="s">
        <v>4148</v>
      </c>
      <c r="C1767" t="s">
        <v>6494</v>
      </c>
      <c r="D1767" t="s">
        <v>7226</v>
      </c>
      <c r="E1767" t="s">
        <v>10312</v>
      </c>
    </row>
    <row r="1768" spans="1:5" ht="15.6" x14ac:dyDescent="0.3">
      <c r="A1768" s="1" t="s">
        <v>603</v>
      </c>
      <c r="B1768" s="1" t="s">
        <v>4149</v>
      </c>
      <c r="C1768" t="s">
        <v>6495</v>
      </c>
      <c r="D1768" t="s">
        <v>8403</v>
      </c>
      <c r="E1768" t="s">
        <v>10313</v>
      </c>
    </row>
    <row r="1769" spans="1:5" ht="15.6" x14ac:dyDescent="0.3">
      <c r="A1769" s="1" t="s">
        <v>602</v>
      </c>
      <c r="B1769" s="1" t="s">
        <v>4150</v>
      </c>
      <c r="C1769" t="s">
        <v>6496</v>
      </c>
      <c r="D1769" t="s">
        <v>7247</v>
      </c>
      <c r="E1769" t="s">
        <v>10314</v>
      </c>
    </row>
    <row r="1770" spans="1:5" ht="15.6" x14ac:dyDescent="0.3">
      <c r="A1770" s="1" t="s">
        <v>601</v>
      </c>
      <c r="B1770" s="1" t="s">
        <v>4151</v>
      </c>
      <c r="C1770" t="s">
        <v>6497</v>
      </c>
      <c r="D1770" t="s">
        <v>7517</v>
      </c>
      <c r="E1770" t="s">
        <v>10315</v>
      </c>
    </row>
    <row r="1771" spans="1:5" ht="15.6" x14ac:dyDescent="0.3">
      <c r="A1771" s="1" t="s">
        <v>600</v>
      </c>
      <c r="B1771" s="1" t="s">
        <v>4152</v>
      </c>
      <c r="C1771" t="s">
        <v>6498</v>
      </c>
      <c r="D1771" t="s">
        <v>8404</v>
      </c>
      <c r="E1771" t="s">
        <v>10316</v>
      </c>
    </row>
    <row r="1772" spans="1:5" ht="15.6" x14ac:dyDescent="0.3">
      <c r="A1772" s="1" t="s">
        <v>599</v>
      </c>
      <c r="B1772" s="1" t="s">
        <v>4153</v>
      </c>
      <c r="C1772" t="s">
        <v>6499</v>
      </c>
      <c r="D1772" t="s">
        <v>8405</v>
      </c>
      <c r="E1772" t="s">
        <v>10317</v>
      </c>
    </row>
    <row r="1773" spans="1:5" ht="15.6" x14ac:dyDescent="0.3">
      <c r="A1773" s="1" t="s">
        <v>598</v>
      </c>
      <c r="B1773" s="1" t="s">
        <v>4154</v>
      </c>
      <c r="C1773" t="s">
        <v>6500</v>
      </c>
      <c r="D1773" t="s">
        <v>7497</v>
      </c>
      <c r="E1773" t="s">
        <v>10318</v>
      </c>
    </row>
    <row r="1774" spans="1:5" ht="15.6" x14ac:dyDescent="0.3">
      <c r="A1774" s="1" t="s">
        <v>597</v>
      </c>
      <c r="B1774" s="1" t="s">
        <v>4155</v>
      </c>
      <c r="C1774" t="s">
        <v>6501</v>
      </c>
      <c r="D1774" t="s">
        <v>8406</v>
      </c>
      <c r="E1774" t="s">
        <v>10319</v>
      </c>
    </row>
    <row r="1775" spans="1:5" ht="15.6" x14ac:dyDescent="0.3">
      <c r="A1775" s="1" t="s">
        <v>596</v>
      </c>
      <c r="B1775" s="1" t="s">
        <v>4156</v>
      </c>
      <c r="C1775" t="s">
        <v>6502</v>
      </c>
      <c r="D1775" t="s">
        <v>8407</v>
      </c>
      <c r="E1775" t="s">
        <v>10320</v>
      </c>
    </row>
    <row r="1776" spans="1:5" ht="15.6" x14ac:dyDescent="0.3">
      <c r="A1776" s="1" t="s">
        <v>595</v>
      </c>
      <c r="B1776" s="1" t="s">
        <v>4157</v>
      </c>
      <c r="C1776" t="s">
        <v>6503</v>
      </c>
      <c r="D1776" t="s">
        <v>7909</v>
      </c>
      <c r="E1776" t="s">
        <v>10321</v>
      </c>
    </row>
    <row r="1777" spans="1:5" ht="15.6" x14ac:dyDescent="0.3">
      <c r="A1777" s="1" t="s">
        <v>594</v>
      </c>
      <c r="B1777" s="1" t="s">
        <v>4158</v>
      </c>
      <c r="C1777" t="s">
        <v>6504</v>
      </c>
      <c r="D1777" t="s">
        <v>7165</v>
      </c>
      <c r="E1777" t="s">
        <v>10322</v>
      </c>
    </row>
    <row r="1778" spans="1:5" ht="15.6" x14ac:dyDescent="0.3">
      <c r="A1778" s="1" t="s">
        <v>593</v>
      </c>
      <c r="B1778" s="1" t="s">
        <v>4159</v>
      </c>
      <c r="C1778" t="s">
        <v>6505</v>
      </c>
      <c r="D1778" t="s">
        <v>8408</v>
      </c>
      <c r="E1778" t="s">
        <v>10323</v>
      </c>
    </row>
    <row r="1779" spans="1:5" ht="15.6" x14ac:dyDescent="0.3">
      <c r="A1779" s="1" t="s">
        <v>592</v>
      </c>
      <c r="B1779" s="1" t="s">
        <v>4160</v>
      </c>
      <c r="C1779" t="s">
        <v>6506</v>
      </c>
      <c r="D1779" t="s">
        <v>8409</v>
      </c>
      <c r="E1779" t="s">
        <v>9759</v>
      </c>
    </row>
    <row r="1780" spans="1:5" ht="15.6" x14ac:dyDescent="0.3">
      <c r="A1780" s="1" t="s">
        <v>591</v>
      </c>
      <c r="B1780" s="1" t="s">
        <v>4161</v>
      </c>
      <c r="C1780" t="s">
        <v>4733</v>
      </c>
      <c r="D1780" t="s">
        <v>7068</v>
      </c>
      <c r="E1780" t="s">
        <v>10324</v>
      </c>
    </row>
    <row r="1781" spans="1:5" ht="15.6" x14ac:dyDescent="0.3">
      <c r="A1781" s="1" t="s">
        <v>590</v>
      </c>
      <c r="B1781" s="1" t="s">
        <v>4162</v>
      </c>
      <c r="C1781" t="s">
        <v>6507</v>
      </c>
      <c r="D1781" t="s">
        <v>8410</v>
      </c>
      <c r="E1781" t="s">
        <v>10325</v>
      </c>
    </row>
    <row r="1782" spans="1:5" ht="15.6" x14ac:dyDescent="0.3">
      <c r="A1782" s="1" t="s">
        <v>589</v>
      </c>
      <c r="B1782" s="1" t="s">
        <v>4163</v>
      </c>
      <c r="C1782" t="s">
        <v>6508</v>
      </c>
      <c r="D1782" t="s">
        <v>7779</v>
      </c>
      <c r="E1782" t="s">
        <v>10326</v>
      </c>
    </row>
    <row r="1783" spans="1:5" ht="15.6" x14ac:dyDescent="0.3">
      <c r="A1783" s="1" t="s">
        <v>588</v>
      </c>
      <c r="B1783" s="1" t="s">
        <v>4164</v>
      </c>
      <c r="C1783" t="s">
        <v>6509</v>
      </c>
      <c r="D1783" t="s">
        <v>8411</v>
      </c>
      <c r="E1783" t="s">
        <v>10188</v>
      </c>
    </row>
    <row r="1784" spans="1:5" ht="15.6" x14ac:dyDescent="0.3">
      <c r="A1784" s="1" t="s">
        <v>587</v>
      </c>
      <c r="B1784" s="1" t="s">
        <v>4165</v>
      </c>
      <c r="C1784" t="s">
        <v>6510</v>
      </c>
      <c r="D1784" t="s">
        <v>8412</v>
      </c>
      <c r="E1784" t="s">
        <v>8773</v>
      </c>
    </row>
    <row r="1785" spans="1:5" ht="15.6" x14ac:dyDescent="0.3">
      <c r="A1785" s="1" t="s">
        <v>586</v>
      </c>
      <c r="B1785" s="1" t="s">
        <v>4166</v>
      </c>
      <c r="C1785" t="s">
        <v>6511</v>
      </c>
      <c r="D1785" t="s">
        <v>7717</v>
      </c>
      <c r="E1785" t="s">
        <v>9305</v>
      </c>
    </row>
    <row r="1786" spans="1:5" ht="15.6" x14ac:dyDescent="0.3">
      <c r="A1786" s="1" t="s">
        <v>585</v>
      </c>
      <c r="B1786" s="1" t="s">
        <v>4167</v>
      </c>
      <c r="C1786" t="s">
        <v>6512</v>
      </c>
      <c r="D1786" t="s">
        <v>8413</v>
      </c>
      <c r="E1786" t="s">
        <v>10327</v>
      </c>
    </row>
    <row r="1787" spans="1:5" ht="15.6" x14ac:dyDescent="0.3">
      <c r="A1787" s="1" t="s">
        <v>584</v>
      </c>
      <c r="B1787" s="1" t="s">
        <v>4168</v>
      </c>
      <c r="C1787" t="s">
        <v>6513</v>
      </c>
      <c r="D1787" t="s">
        <v>7094</v>
      </c>
      <c r="E1787" t="s">
        <v>10328</v>
      </c>
    </row>
    <row r="1788" spans="1:5" ht="15.6" x14ac:dyDescent="0.3">
      <c r="A1788" s="1" t="s">
        <v>583</v>
      </c>
      <c r="B1788" s="1" t="s">
        <v>4169</v>
      </c>
      <c r="C1788" t="s">
        <v>6514</v>
      </c>
      <c r="D1788" t="s">
        <v>8414</v>
      </c>
      <c r="E1788" t="s">
        <v>10329</v>
      </c>
    </row>
    <row r="1789" spans="1:5" ht="15.6" x14ac:dyDescent="0.3">
      <c r="A1789" s="1" t="s">
        <v>582</v>
      </c>
      <c r="B1789" s="1" t="s">
        <v>4170</v>
      </c>
      <c r="C1789" t="s">
        <v>6515</v>
      </c>
      <c r="D1789" t="s">
        <v>8415</v>
      </c>
      <c r="E1789" t="s">
        <v>9779</v>
      </c>
    </row>
    <row r="1790" spans="1:5" ht="15.6" x14ac:dyDescent="0.3">
      <c r="A1790" s="1" t="s">
        <v>581</v>
      </c>
      <c r="B1790" s="1" t="s">
        <v>4171</v>
      </c>
      <c r="C1790" t="s">
        <v>6516</v>
      </c>
      <c r="D1790" t="s">
        <v>7081</v>
      </c>
      <c r="E1790" t="s">
        <v>10330</v>
      </c>
    </row>
    <row r="1791" spans="1:5" ht="15.6" x14ac:dyDescent="0.3">
      <c r="A1791" s="1" t="s">
        <v>580</v>
      </c>
      <c r="B1791" s="1" t="s">
        <v>4172</v>
      </c>
      <c r="C1791" t="s">
        <v>6517</v>
      </c>
      <c r="D1791" t="s">
        <v>8416</v>
      </c>
      <c r="E1791" t="s">
        <v>10331</v>
      </c>
    </row>
    <row r="1792" spans="1:5" ht="15.6" x14ac:dyDescent="0.3">
      <c r="A1792" s="1" t="s">
        <v>579</v>
      </c>
      <c r="B1792" s="1" t="s">
        <v>4173</v>
      </c>
      <c r="C1792" t="s">
        <v>4734</v>
      </c>
      <c r="D1792" t="s">
        <v>7069</v>
      </c>
      <c r="E1792" t="s">
        <v>9141</v>
      </c>
    </row>
    <row r="1793" spans="1:5" ht="15.6" x14ac:dyDescent="0.3">
      <c r="A1793" s="1" t="s">
        <v>578</v>
      </c>
      <c r="B1793" s="1" t="s">
        <v>4174</v>
      </c>
      <c r="C1793" t="s">
        <v>6518</v>
      </c>
      <c r="D1793" t="s">
        <v>7251</v>
      </c>
      <c r="E1793" t="s">
        <v>10332</v>
      </c>
    </row>
    <row r="1794" spans="1:5" ht="15.6" x14ac:dyDescent="0.3">
      <c r="A1794" s="1" t="s">
        <v>577</v>
      </c>
      <c r="B1794" s="1" t="s">
        <v>4175</v>
      </c>
      <c r="C1794" t="s">
        <v>6519</v>
      </c>
      <c r="D1794" t="s">
        <v>7217</v>
      </c>
      <c r="E1794" t="s">
        <v>10333</v>
      </c>
    </row>
    <row r="1795" spans="1:5" ht="15.6" x14ac:dyDescent="0.3">
      <c r="A1795" s="1" t="s">
        <v>576</v>
      </c>
      <c r="B1795" s="1" t="s">
        <v>4176</v>
      </c>
      <c r="C1795" t="s">
        <v>6520</v>
      </c>
      <c r="D1795" t="s">
        <v>7619</v>
      </c>
      <c r="E1795" t="s">
        <v>10334</v>
      </c>
    </row>
    <row r="1796" spans="1:5" ht="15.6" x14ac:dyDescent="0.3">
      <c r="A1796" s="1" t="s">
        <v>575</v>
      </c>
      <c r="B1796" s="1" t="s">
        <v>4177</v>
      </c>
      <c r="C1796" t="s">
        <v>6521</v>
      </c>
      <c r="D1796" t="s">
        <v>7110</v>
      </c>
      <c r="E1796" t="s">
        <v>10047</v>
      </c>
    </row>
    <row r="1797" spans="1:5" ht="15.6" x14ac:dyDescent="0.3">
      <c r="A1797" s="1" t="s">
        <v>574</v>
      </c>
      <c r="B1797" s="1" t="s">
        <v>4178</v>
      </c>
      <c r="C1797" t="s">
        <v>6522</v>
      </c>
      <c r="D1797" t="s">
        <v>7969</v>
      </c>
      <c r="E1797" t="s">
        <v>10335</v>
      </c>
    </row>
    <row r="1798" spans="1:5" ht="15.6" x14ac:dyDescent="0.3">
      <c r="A1798" s="1" t="s">
        <v>573</v>
      </c>
      <c r="B1798" s="1" t="s">
        <v>4179</v>
      </c>
      <c r="C1798" t="s">
        <v>6523</v>
      </c>
      <c r="D1798" t="s">
        <v>8417</v>
      </c>
      <c r="E1798" t="s">
        <v>10336</v>
      </c>
    </row>
    <row r="1799" spans="1:5" ht="15.6" x14ac:dyDescent="0.3">
      <c r="A1799" s="1" t="s">
        <v>572</v>
      </c>
      <c r="B1799" s="1" t="s">
        <v>4180</v>
      </c>
      <c r="C1799" t="s">
        <v>6524</v>
      </c>
      <c r="D1799" t="s">
        <v>8418</v>
      </c>
      <c r="E1799" t="s">
        <v>10337</v>
      </c>
    </row>
    <row r="1800" spans="1:5" ht="15.6" x14ac:dyDescent="0.3">
      <c r="A1800" s="1" t="s">
        <v>571</v>
      </c>
      <c r="B1800" s="1" t="s">
        <v>4181</v>
      </c>
      <c r="C1800" t="s">
        <v>6525</v>
      </c>
      <c r="D1800" t="s">
        <v>8419</v>
      </c>
      <c r="E1800" t="s">
        <v>9278</v>
      </c>
    </row>
    <row r="1801" spans="1:5" ht="15.6" x14ac:dyDescent="0.3">
      <c r="A1801" s="1" t="s">
        <v>570</v>
      </c>
      <c r="B1801" s="1" t="s">
        <v>4182</v>
      </c>
      <c r="C1801" t="s">
        <v>6526</v>
      </c>
      <c r="D1801" t="s">
        <v>8420</v>
      </c>
      <c r="E1801" t="s">
        <v>10338</v>
      </c>
    </row>
    <row r="1802" spans="1:5" ht="15.6" x14ac:dyDescent="0.3">
      <c r="A1802" s="1" t="s">
        <v>569</v>
      </c>
      <c r="B1802" s="1" t="s">
        <v>4183</v>
      </c>
      <c r="C1802" t="s">
        <v>6527</v>
      </c>
      <c r="D1802" t="s">
        <v>8359</v>
      </c>
      <c r="E1802" t="s">
        <v>10339</v>
      </c>
    </row>
    <row r="1803" spans="1:5" ht="15.6" x14ac:dyDescent="0.3">
      <c r="A1803" s="1" t="s">
        <v>568</v>
      </c>
      <c r="B1803" s="1" t="s">
        <v>4184</v>
      </c>
      <c r="C1803" t="s">
        <v>6528</v>
      </c>
      <c r="D1803" t="s">
        <v>7137</v>
      </c>
      <c r="E1803" t="s">
        <v>10340</v>
      </c>
    </row>
    <row r="1804" spans="1:5" ht="15.6" x14ac:dyDescent="0.3">
      <c r="A1804" s="1" t="s">
        <v>567</v>
      </c>
      <c r="B1804" s="1" t="s">
        <v>4185</v>
      </c>
      <c r="C1804" t="s">
        <v>6529</v>
      </c>
      <c r="D1804" t="s">
        <v>7557</v>
      </c>
      <c r="E1804" t="s">
        <v>8948</v>
      </c>
    </row>
    <row r="1805" spans="1:5" ht="15.6" x14ac:dyDescent="0.3">
      <c r="A1805" s="1" t="s">
        <v>566</v>
      </c>
      <c r="B1805" s="1" t="s">
        <v>4186</v>
      </c>
      <c r="C1805" t="s">
        <v>6530</v>
      </c>
      <c r="D1805" t="s">
        <v>8421</v>
      </c>
      <c r="E1805" t="s">
        <v>8776</v>
      </c>
    </row>
    <row r="1806" spans="1:5" ht="15.6" x14ac:dyDescent="0.3">
      <c r="A1806" s="1" t="s">
        <v>565</v>
      </c>
      <c r="B1806" s="1" t="s">
        <v>4187</v>
      </c>
      <c r="C1806" t="s">
        <v>6531</v>
      </c>
      <c r="D1806" t="s">
        <v>8422</v>
      </c>
      <c r="E1806" t="s">
        <v>10341</v>
      </c>
    </row>
    <row r="1807" spans="1:5" ht="15.6" x14ac:dyDescent="0.3">
      <c r="A1807" s="1" t="s">
        <v>564</v>
      </c>
      <c r="B1807" s="1" t="s">
        <v>4188</v>
      </c>
      <c r="C1807" t="s">
        <v>6532</v>
      </c>
      <c r="D1807" t="s">
        <v>7463</v>
      </c>
      <c r="E1807" t="s">
        <v>10342</v>
      </c>
    </row>
    <row r="1808" spans="1:5" ht="15.6" x14ac:dyDescent="0.3">
      <c r="A1808" s="1" t="s">
        <v>563</v>
      </c>
      <c r="B1808" s="1" t="s">
        <v>4189</v>
      </c>
      <c r="C1808" t="s">
        <v>6533</v>
      </c>
      <c r="D1808" t="s">
        <v>8423</v>
      </c>
      <c r="E1808" t="s">
        <v>10343</v>
      </c>
    </row>
    <row r="1809" spans="1:5" ht="15.6" x14ac:dyDescent="0.3">
      <c r="A1809" s="1" t="s">
        <v>562</v>
      </c>
      <c r="B1809" s="1" t="s">
        <v>4190</v>
      </c>
      <c r="C1809" t="s">
        <v>6534</v>
      </c>
      <c r="D1809" t="s">
        <v>8424</v>
      </c>
      <c r="E1809" t="s">
        <v>10344</v>
      </c>
    </row>
    <row r="1810" spans="1:5" ht="15.6" x14ac:dyDescent="0.3">
      <c r="A1810" s="1" t="s">
        <v>561</v>
      </c>
      <c r="B1810" s="1" t="s">
        <v>4191</v>
      </c>
      <c r="C1810" t="s">
        <v>6535</v>
      </c>
      <c r="D1810" t="s">
        <v>7299</v>
      </c>
      <c r="E1810" t="s">
        <v>10345</v>
      </c>
    </row>
    <row r="1811" spans="1:5" ht="15.6" x14ac:dyDescent="0.3">
      <c r="A1811" s="1" t="s">
        <v>560</v>
      </c>
      <c r="B1811" s="1" t="s">
        <v>4192</v>
      </c>
      <c r="C1811" t="s">
        <v>6536</v>
      </c>
      <c r="D1811" t="s">
        <v>8382</v>
      </c>
      <c r="E1811" t="s">
        <v>10346</v>
      </c>
    </row>
    <row r="1812" spans="1:5" ht="15.6" x14ac:dyDescent="0.3">
      <c r="A1812" s="1" t="s">
        <v>559</v>
      </c>
      <c r="B1812" s="1" t="s">
        <v>4193</v>
      </c>
      <c r="C1812" t="s">
        <v>6537</v>
      </c>
      <c r="D1812" t="s">
        <v>8425</v>
      </c>
      <c r="E1812" t="s">
        <v>10347</v>
      </c>
    </row>
    <row r="1813" spans="1:5" ht="15.6" x14ac:dyDescent="0.3">
      <c r="A1813" s="1" t="s">
        <v>558</v>
      </c>
      <c r="B1813" s="1" t="s">
        <v>4194</v>
      </c>
      <c r="C1813" t="s">
        <v>6538</v>
      </c>
      <c r="D1813" t="s">
        <v>8426</v>
      </c>
      <c r="E1813" t="s">
        <v>10348</v>
      </c>
    </row>
    <row r="1814" spans="1:5" ht="15.6" x14ac:dyDescent="0.3">
      <c r="A1814" s="1" t="s">
        <v>557</v>
      </c>
      <c r="B1814" s="1" t="s">
        <v>4195</v>
      </c>
      <c r="C1814" t="s">
        <v>6539</v>
      </c>
      <c r="D1814" t="s">
        <v>8427</v>
      </c>
      <c r="E1814" t="s">
        <v>10349</v>
      </c>
    </row>
    <row r="1815" spans="1:5" ht="15.6" x14ac:dyDescent="0.3">
      <c r="A1815" s="1" t="s">
        <v>556</v>
      </c>
      <c r="B1815" s="1" t="s">
        <v>4196</v>
      </c>
      <c r="C1815" t="s">
        <v>6540</v>
      </c>
      <c r="D1815" t="s">
        <v>7463</v>
      </c>
      <c r="E1815" t="s">
        <v>10350</v>
      </c>
    </row>
    <row r="1816" spans="1:5" ht="15.6" x14ac:dyDescent="0.3">
      <c r="A1816" s="1" t="s">
        <v>555</v>
      </c>
      <c r="B1816" s="1" t="s">
        <v>4197</v>
      </c>
      <c r="C1816" t="s">
        <v>6541</v>
      </c>
      <c r="D1816" t="s">
        <v>7678</v>
      </c>
      <c r="E1816" t="s">
        <v>10351</v>
      </c>
    </row>
    <row r="1817" spans="1:5" ht="15.6" x14ac:dyDescent="0.3">
      <c r="A1817" s="1" t="s">
        <v>554</v>
      </c>
      <c r="B1817" s="1" t="s">
        <v>4198</v>
      </c>
      <c r="C1817" t="s">
        <v>6542</v>
      </c>
      <c r="D1817" t="s">
        <v>8428</v>
      </c>
      <c r="E1817" t="s">
        <v>10352</v>
      </c>
    </row>
    <row r="1818" spans="1:5" ht="15.6" x14ac:dyDescent="0.3">
      <c r="A1818" s="1" t="s">
        <v>553</v>
      </c>
      <c r="B1818" s="1" t="s">
        <v>4199</v>
      </c>
      <c r="C1818" t="s">
        <v>4735</v>
      </c>
      <c r="D1818" t="s">
        <v>7070</v>
      </c>
      <c r="E1818" t="s">
        <v>10353</v>
      </c>
    </row>
    <row r="1819" spans="1:5" ht="15.6" x14ac:dyDescent="0.3">
      <c r="A1819" s="1" t="s">
        <v>552</v>
      </c>
      <c r="B1819" s="1" t="s">
        <v>4200</v>
      </c>
      <c r="C1819" t="s">
        <v>6543</v>
      </c>
      <c r="D1819" t="s">
        <v>8211</v>
      </c>
      <c r="E1819" t="s">
        <v>10354</v>
      </c>
    </row>
    <row r="1820" spans="1:5" ht="15.6" x14ac:dyDescent="0.3">
      <c r="A1820" s="1" t="s">
        <v>551</v>
      </c>
      <c r="B1820" s="1" t="s">
        <v>4201</v>
      </c>
      <c r="C1820" t="s">
        <v>6544</v>
      </c>
      <c r="D1820" t="s">
        <v>7384</v>
      </c>
      <c r="E1820" t="s">
        <v>9696</v>
      </c>
    </row>
    <row r="1821" spans="1:5" ht="15.6" x14ac:dyDescent="0.3">
      <c r="A1821" s="1" t="s">
        <v>550</v>
      </c>
      <c r="B1821" s="1" t="s">
        <v>4202</v>
      </c>
      <c r="C1821" t="s">
        <v>6545</v>
      </c>
      <c r="D1821" t="s">
        <v>8429</v>
      </c>
      <c r="E1821" t="s">
        <v>10355</v>
      </c>
    </row>
    <row r="1822" spans="1:5" ht="15.6" x14ac:dyDescent="0.3">
      <c r="A1822" s="1" t="s">
        <v>549</v>
      </c>
      <c r="B1822" s="1" t="s">
        <v>4203</v>
      </c>
      <c r="C1822" t="s">
        <v>6546</v>
      </c>
      <c r="D1822" t="s">
        <v>7151</v>
      </c>
      <c r="E1822" t="s">
        <v>10356</v>
      </c>
    </row>
    <row r="1823" spans="1:5" ht="15.6" x14ac:dyDescent="0.3">
      <c r="A1823" s="1" t="s">
        <v>548</v>
      </c>
      <c r="B1823" s="1" t="s">
        <v>4204</v>
      </c>
      <c r="C1823" t="s">
        <v>6547</v>
      </c>
      <c r="D1823" t="s">
        <v>8430</v>
      </c>
      <c r="E1823" t="s">
        <v>10357</v>
      </c>
    </row>
    <row r="1824" spans="1:5" ht="15.6" x14ac:dyDescent="0.3">
      <c r="A1824" s="1" t="s">
        <v>547</v>
      </c>
      <c r="B1824" s="1" t="s">
        <v>4205</v>
      </c>
      <c r="C1824" t="s">
        <v>6548</v>
      </c>
      <c r="D1824" t="s">
        <v>8431</v>
      </c>
      <c r="E1824" t="s">
        <v>10358</v>
      </c>
    </row>
    <row r="1825" spans="1:5" ht="15.6" x14ac:dyDescent="0.3">
      <c r="A1825" s="1" t="s">
        <v>546</v>
      </c>
      <c r="B1825" s="1" t="s">
        <v>4206</v>
      </c>
      <c r="C1825" t="s">
        <v>6549</v>
      </c>
      <c r="D1825" t="s">
        <v>7475</v>
      </c>
      <c r="E1825" t="s">
        <v>9457</v>
      </c>
    </row>
    <row r="1826" spans="1:5" ht="15.6" x14ac:dyDescent="0.3">
      <c r="A1826" s="1" t="s">
        <v>545</v>
      </c>
      <c r="B1826" s="1" t="s">
        <v>4207</v>
      </c>
      <c r="C1826" t="s">
        <v>6550</v>
      </c>
      <c r="D1826" t="s">
        <v>8432</v>
      </c>
      <c r="E1826" t="s">
        <v>10359</v>
      </c>
    </row>
    <row r="1827" spans="1:5" ht="15.6" x14ac:dyDescent="0.3">
      <c r="A1827" s="1" t="s">
        <v>544</v>
      </c>
      <c r="B1827" s="1" t="s">
        <v>4208</v>
      </c>
      <c r="C1827" t="s">
        <v>6551</v>
      </c>
      <c r="D1827" t="s">
        <v>8433</v>
      </c>
      <c r="E1827" t="s">
        <v>10360</v>
      </c>
    </row>
    <row r="1828" spans="1:5" ht="15.6" x14ac:dyDescent="0.3">
      <c r="A1828" s="1" t="s">
        <v>543</v>
      </c>
      <c r="B1828" s="1" t="s">
        <v>4209</v>
      </c>
      <c r="C1828" t="s">
        <v>6552</v>
      </c>
      <c r="D1828" t="s">
        <v>8434</v>
      </c>
      <c r="E1828" t="s">
        <v>10361</v>
      </c>
    </row>
    <row r="1829" spans="1:5" ht="15.6" x14ac:dyDescent="0.3">
      <c r="A1829" s="1" t="s">
        <v>542</v>
      </c>
      <c r="B1829" s="1" t="s">
        <v>4210</v>
      </c>
      <c r="C1829" t="s">
        <v>6553</v>
      </c>
      <c r="D1829" t="s">
        <v>8366</v>
      </c>
      <c r="E1829" t="s">
        <v>10362</v>
      </c>
    </row>
    <row r="1830" spans="1:5" ht="15.6" x14ac:dyDescent="0.3">
      <c r="A1830" s="1" t="s">
        <v>541</v>
      </c>
      <c r="B1830" s="1" t="s">
        <v>4211</v>
      </c>
      <c r="C1830" t="s">
        <v>6554</v>
      </c>
      <c r="D1830" t="s">
        <v>7458</v>
      </c>
      <c r="E1830" t="s">
        <v>10363</v>
      </c>
    </row>
    <row r="1831" spans="1:5" ht="15.6" x14ac:dyDescent="0.3">
      <c r="A1831" s="1" t="s">
        <v>540</v>
      </c>
      <c r="B1831" s="1" t="s">
        <v>4212</v>
      </c>
      <c r="C1831" t="s">
        <v>6555</v>
      </c>
      <c r="D1831" t="s">
        <v>8435</v>
      </c>
      <c r="E1831" t="s">
        <v>8935</v>
      </c>
    </row>
    <row r="1832" spans="1:5" ht="15.6" x14ac:dyDescent="0.3">
      <c r="A1832" s="1" t="s">
        <v>539</v>
      </c>
      <c r="B1832" s="1" t="s">
        <v>4213</v>
      </c>
      <c r="C1832" t="s">
        <v>6556</v>
      </c>
      <c r="D1832" t="s">
        <v>8436</v>
      </c>
      <c r="E1832" t="s">
        <v>9697</v>
      </c>
    </row>
    <row r="1833" spans="1:5" ht="15.6" x14ac:dyDescent="0.3">
      <c r="A1833" s="1" t="s">
        <v>538</v>
      </c>
      <c r="B1833" s="1" t="s">
        <v>4214</v>
      </c>
      <c r="C1833" t="s">
        <v>6557</v>
      </c>
      <c r="D1833" t="s">
        <v>8329</v>
      </c>
      <c r="E1833" t="s">
        <v>9128</v>
      </c>
    </row>
    <row r="1834" spans="1:5" ht="15.6" x14ac:dyDescent="0.3">
      <c r="A1834" s="1" t="s">
        <v>537</v>
      </c>
      <c r="B1834" s="1" t="s">
        <v>4215</v>
      </c>
      <c r="C1834" t="s">
        <v>6558</v>
      </c>
      <c r="D1834" t="s">
        <v>8437</v>
      </c>
      <c r="E1834" t="s">
        <v>10364</v>
      </c>
    </row>
    <row r="1835" spans="1:5" ht="15.6" x14ac:dyDescent="0.3">
      <c r="A1835" s="1" t="s">
        <v>536</v>
      </c>
      <c r="B1835" s="1" t="s">
        <v>4216</v>
      </c>
      <c r="C1835" t="s">
        <v>6559</v>
      </c>
      <c r="D1835" t="s">
        <v>8438</v>
      </c>
      <c r="E1835" t="s">
        <v>10365</v>
      </c>
    </row>
    <row r="1836" spans="1:5" ht="15.6" x14ac:dyDescent="0.3">
      <c r="A1836" s="1" t="s">
        <v>534</v>
      </c>
      <c r="B1836" s="1" t="s">
        <v>4217</v>
      </c>
      <c r="C1836" t="s">
        <v>6560</v>
      </c>
      <c r="D1836" t="s">
        <v>8439</v>
      </c>
      <c r="E1836" t="s">
        <v>10366</v>
      </c>
    </row>
    <row r="1837" spans="1:5" ht="15.6" x14ac:dyDescent="0.3">
      <c r="A1837" s="1" t="s">
        <v>533</v>
      </c>
      <c r="B1837" s="1" t="s">
        <v>4218</v>
      </c>
      <c r="C1837" t="s">
        <v>6561</v>
      </c>
      <c r="D1837" t="s">
        <v>7678</v>
      </c>
      <c r="E1837" t="s">
        <v>10367</v>
      </c>
    </row>
    <row r="1838" spans="1:5" ht="15.6" x14ac:dyDescent="0.3">
      <c r="A1838" s="1" t="s">
        <v>532</v>
      </c>
      <c r="B1838" s="1" t="s">
        <v>4219</v>
      </c>
      <c r="C1838" t="s">
        <v>6562</v>
      </c>
      <c r="D1838" t="s">
        <v>8440</v>
      </c>
      <c r="E1838" t="s">
        <v>10368</v>
      </c>
    </row>
    <row r="1839" spans="1:5" ht="15.6" x14ac:dyDescent="0.3">
      <c r="A1839" s="1" t="s">
        <v>531</v>
      </c>
      <c r="B1839" s="1" t="s">
        <v>4220</v>
      </c>
      <c r="C1839" t="s">
        <v>6563</v>
      </c>
      <c r="D1839" t="s">
        <v>8441</v>
      </c>
      <c r="E1839" t="s">
        <v>10369</v>
      </c>
    </row>
    <row r="1840" spans="1:5" ht="15.6" x14ac:dyDescent="0.3">
      <c r="A1840" s="1" t="s">
        <v>530</v>
      </c>
      <c r="B1840" s="1" t="s">
        <v>4221</v>
      </c>
      <c r="C1840" t="s">
        <v>6564</v>
      </c>
      <c r="D1840" t="s">
        <v>8442</v>
      </c>
      <c r="E1840" t="s">
        <v>9826</v>
      </c>
    </row>
    <row r="1841" spans="1:5" ht="15.6" x14ac:dyDescent="0.3">
      <c r="A1841" s="1" t="s">
        <v>529</v>
      </c>
      <c r="B1841" s="1" t="s">
        <v>4222</v>
      </c>
      <c r="C1841" t="s">
        <v>6565</v>
      </c>
      <c r="D1841" t="s">
        <v>8443</v>
      </c>
      <c r="E1841" t="s">
        <v>9872</v>
      </c>
    </row>
    <row r="1842" spans="1:5" ht="15.6" x14ac:dyDescent="0.3">
      <c r="A1842" s="1" t="s">
        <v>528</v>
      </c>
      <c r="B1842" s="1" t="s">
        <v>4223</v>
      </c>
      <c r="C1842" t="s">
        <v>6566</v>
      </c>
      <c r="D1842" t="s">
        <v>7136</v>
      </c>
      <c r="E1842" t="s">
        <v>10370</v>
      </c>
    </row>
    <row r="1843" spans="1:5" ht="15.6" x14ac:dyDescent="0.3">
      <c r="A1843" s="1" t="s">
        <v>527</v>
      </c>
      <c r="B1843" s="1" t="s">
        <v>4224</v>
      </c>
      <c r="C1843" t="s">
        <v>6567</v>
      </c>
      <c r="D1843" t="s">
        <v>8444</v>
      </c>
      <c r="E1843" t="s">
        <v>10371</v>
      </c>
    </row>
    <row r="1844" spans="1:5" ht="15.6" x14ac:dyDescent="0.3">
      <c r="A1844" s="1" t="s">
        <v>526</v>
      </c>
      <c r="B1844" s="1" t="s">
        <v>4225</v>
      </c>
      <c r="C1844" t="s">
        <v>6568</v>
      </c>
      <c r="D1844" t="s">
        <v>8445</v>
      </c>
      <c r="E1844" t="s">
        <v>8814</v>
      </c>
    </row>
    <row r="1845" spans="1:5" ht="15.6" x14ac:dyDescent="0.3">
      <c r="A1845" s="1" t="s">
        <v>525</v>
      </c>
      <c r="B1845" s="1" t="s">
        <v>4226</v>
      </c>
      <c r="C1845" t="s">
        <v>6569</v>
      </c>
      <c r="D1845" t="s">
        <v>8446</v>
      </c>
      <c r="E1845" t="s">
        <v>10372</v>
      </c>
    </row>
    <row r="1846" spans="1:5" ht="15.6" x14ac:dyDescent="0.3">
      <c r="A1846" s="1" t="s">
        <v>524</v>
      </c>
      <c r="B1846" s="1" t="s">
        <v>4227</v>
      </c>
      <c r="C1846" t="s">
        <v>6570</v>
      </c>
      <c r="D1846" t="s">
        <v>7100</v>
      </c>
      <c r="E1846" t="s">
        <v>10373</v>
      </c>
    </row>
    <row r="1847" spans="1:5" ht="15.6" x14ac:dyDescent="0.3">
      <c r="A1847" s="1" t="s">
        <v>523</v>
      </c>
      <c r="B1847" s="1" t="s">
        <v>4228</v>
      </c>
      <c r="C1847" t="s">
        <v>6571</v>
      </c>
      <c r="D1847" t="s">
        <v>8447</v>
      </c>
      <c r="E1847" t="s">
        <v>10374</v>
      </c>
    </row>
    <row r="1848" spans="1:5" ht="15.6" x14ac:dyDescent="0.3">
      <c r="A1848" s="1" t="s">
        <v>522</v>
      </c>
      <c r="B1848" s="1" t="s">
        <v>4229</v>
      </c>
      <c r="C1848" t="s">
        <v>6572</v>
      </c>
      <c r="D1848" t="s">
        <v>8448</v>
      </c>
      <c r="E1848" t="s">
        <v>10375</v>
      </c>
    </row>
    <row r="1849" spans="1:5" ht="15.6" x14ac:dyDescent="0.3">
      <c r="A1849" s="1" t="s">
        <v>521</v>
      </c>
      <c r="B1849" s="1" t="s">
        <v>4230</v>
      </c>
      <c r="C1849" t="s">
        <v>6573</v>
      </c>
      <c r="D1849" t="s">
        <v>8449</v>
      </c>
      <c r="E1849" t="s">
        <v>10376</v>
      </c>
    </row>
    <row r="1850" spans="1:5" ht="15.6" x14ac:dyDescent="0.3">
      <c r="A1850" s="1" t="s">
        <v>520</v>
      </c>
      <c r="B1850" s="1" t="s">
        <v>4231</v>
      </c>
      <c r="C1850" t="s">
        <v>6574</v>
      </c>
      <c r="D1850" t="s">
        <v>8450</v>
      </c>
      <c r="E1850" t="s">
        <v>10377</v>
      </c>
    </row>
    <row r="1851" spans="1:5" ht="15.6" x14ac:dyDescent="0.3">
      <c r="A1851" s="1" t="s">
        <v>519</v>
      </c>
      <c r="B1851" s="1" t="s">
        <v>4232</v>
      </c>
      <c r="C1851" t="s">
        <v>6575</v>
      </c>
      <c r="D1851" t="s">
        <v>7343</v>
      </c>
      <c r="E1851" t="s">
        <v>10378</v>
      </c>
    </row>
    <row r="1852" spans="1:5" ht="15.6" x14ac:dyDescent="0.3">
      <c r="A1852" s="1" t="s">
        <v>518</v>
      </c>
      <c r="B1852" s="1" t="s">
        <v>4233</v>
      </c>
      <c r="C1852" t="s">
        <v>6576</v>
      </c>
      <c r="D1852" t="s">
        <v>7122</v>
      </c>
      <c r="E1852" t="s">
        <v>10379</v>
      </c>
    </row>
    <row r="1853" spans="1:5" ht="15.6" x14ac:dyDescent="0.3">
      <c r="A1853" s="1" t="s">
        <v>517</v>
      </c>
      <c r="B1853" s="1" t="s">
        <v>4234</v>
      </c>
      <c r="C1853" t="s">
        <v>6577</v>
      </c>
      <c r="D1853" t="s">
        <v>8451</v>
      </c>
      <c r="E1853" t="s">
        <v>10380</v>
      </c>
    </row>
    <row r="1854" spans="1:5" ht="15.6" x14ac:dyDescent="0.3">
      <c r="A1854" s="1" t="s">
        <v>515</v>
      </c>
      <c r="B1854" s="1" t="s">
        <v>4235</v>
      </c>
      <c r="C1854" t="s">
        <v>6578</v>
      </c>
      <c r="D1854" t="s">
        <v>7122</v>
      </c>
      <c r="E1854" t="s">
        <v>10381</v>
      </c>
    </row>
    <row r="1855" spans="1:5" ht="15.6" x14ac:dyDescent="0.3">
      <c r="A1855" s="1" t="s">
        <v>514</v>
      </c>
      <c r="B1855" s="1" t="s">
        <v>4236</v>
      </c>
      <c r="C1855" t="s">
        <v>6579</v>
      </c>
      <c r="D1855" t="s">
        <v>8452</v>
      </c>
      <c r="E1855" t="s">
        <v>10214</v>
      </c>
    </row>
    <row r="1856" spans="1:5" ht="15.6" x14ac:dyDescent="0.3">
      <c r="A1856" s="1" t="s">
        <v>513</v>
      </c>
      <c r="B1856" s="1" t="s">
        <v>4237</v>
      </c>
      <c r="C1856" t="s">
        <v>6580</v>
      </c>
      <c r="D1856" t="s">
        <v>8069</v>
      </c>
      <c r="E1856" t="s">
        <v>9396</v>
      </c>
    </row>
    <row r="1857" spans="1:5" ht="15.6" x14ac:dyDescent="0.3">
      <c r="A1857" s="1" t="s">
        <v>512</v>
      </c>
      <c r="B1857" s="1" t="s">
        <v>4238</v>
      </c>
      <c r="C1857" t="s">
        <v>6581</v>
      </c>
      <c r="D1857" t="s">
        <v>7433</v>
      </c>
      <c r="E1857" t="s">
        <v>10382</v>
      </c>
    </row>
    <row r="1858" spans="1:5" ht="15.6" x14ac:dyDescent="0.3">
      <c r="A1858" s="1" t="s">
        <v>511</v>
      </c>
      <c r="B1858" s="1" t="s">
        <v>4239</v>
      </c>
      <c r="C1858" t="s">
        <v>6582</v>
      </c>
      <c r="D1858" t="s">
        <v>8453</v>
      </c>
      <c r="E1858" t="s">
        <v>10383</v>
      </c>
    </row>
    <row r="1859" spans="1:5" ht="15.6" x14ac:dyDescent="0.3">
      <c r="A1859" s="1" t="s">
        <v>510</v>
      </c>
      <c r="B1859" s="1" t="s">
        <v>4240</v>
      </c>
      <c r="C1859" t="s">
        <v>6583</v>
      </c>
      <c r="D1859" t="s">
        <v>8454</v>
      </c>
      <c r="E1859" t="s">
        <v>10384</v>
      </c>
    </row>
    <row r="1860" spans="1:5" ht="15.6" x14ac:dyDescent="0.3">
      <c r="A1860" s="1" t="s">
        <v>509</v>
      </c>
      <c r="B1860" s="1" t="s">
        <v>4241</v>
      </c>
      <c r="C1860" t="s">
        <v>6584</v>
      </c>
      <c r="D1860" t="s">
        <v>8099</v>
      </c>
      <c r="E1860" t="s">
        <v>9746</v>
      </c>
    </row>
    <row r="1861" spans="1:5" ht="15.6" x14ac:dyDescent="0.3">
      <c r="A1861" s="1" t="s">
        <v>508</v>
      </c>
      <c r="B1861" s="1" t="s">
        <v>4242</v>
      </c>
      <c r="C1861" t="s">
        <v>6585</v>
      </c>
      <c r="D1861" t="s">
        <v>8455</v>
      </c>
      <c r="E1861" t="s">
        <v>9588</v>
      </c>
    </row>
    <row r="1862" spans="1:5" ht="15.6" x14ac:dyDescent="0.3">
      <c r="A1862" s="1" t="s">
        <v>507</v>
      </c>
      <c r="B1862" s="1" t="s">
        <v>4243</v>
      </c>
      <c r="C1862" t="s">
        <v>6586</v>
      </c>
      <c r="D1862" t="s">
        <v>8456</v>
      </c>
      <c r="E1862" t="s">
        <v>10385</v>
      </c>
    </row>
    <row r="1863" spans="1:5" ht="15.6" x14ac:dyDescent="0.3">
      <c r="A1863" s="1" t="s">
        <v>506</v>
      </c>
      <c r="B1863" s="1" t="s">
        <v>4244</v>
      </c>
      <c r="C1863" t="s">
        <v>6587</v>
      </c>
      <c r="D1863" t="s">
        <v>7517</v>
      </c>
      <c r="E1863" t="s">
        <v>9132</v>
      </c>
    </row>
    <row r="1864" spans="1:5" ht="15.6" x14ac:dyDescent="0.3">
      <c r="A1864" s="1" t="s">
        <v>505</v>
      </c>
      <c r="B1864" s="1" t="s">
        <v>4245</v>
      </c>
      <c r="C1864" t="s">
        <v>6588</v>
      </c>
      <c r="D1864" t="s">
        <v>8457</v>
      </c>
      <c r="E1864" t="s">
        <v>10386</v>
      </c>
    </row>
    <row r="1865" spans="1:5" ht="15.6" x14ac:dyDescent="0.3">
      <c r="A1865" s="1" t="s">
        <v>504</v>
      </c>
      <c r="B1865" s="1" t="s">
        <v>4246</v>
      </c>
      <c r="C1865" t="s">
        <v>6589</v>
      </c>
      <c r="D1865" t="s">
        <v>7127</v>
      </c>
      <c r="E1865" t="s">
        <v>10387</v>
      </c>
    </row>
    <row r="1866" spans="1:5" ht="15.6" x14ac:dyDescent="0.3">
      <c r="A1866" s="1" t="s">
        <v>503</v>
      </c>
      <c r="B1866" s="1" t="s">
        <v>4247</v>
      </c>
      <c r="C1866" t="s">
        <v>6590</v>
      </c>
      <c r="D1866" t="s">
        <v>8458</v>
      </c>
      <c r="E1866" t="s">
        <v>9179</v>
      </c>
    </row>
    <row r="1867" spans="1:5" ht="15.6" x14ac:dyDescent="0.3">
      <c r="A1867" s="1" t="s">
        <v>502</v>
      </c>
      <c r="B1867" s="1" t="s">
        <v>4248</v>
      </c>
      <c r="C1867" t="s">
        <v>6591</v>
      </c>
      <c r="D1867" t="s">
        <v>8459</v>
      </c>
      <c r="E1867" t="s">
        <v>10388</v>
      </c>
    </row>
    <row r="1868" spans="1:5" ht="15.6" x14ac:dyDescent="0.3">
      <c r="A1868" s="1" t="s">
        <v>501</v>
      </c>
      <c r="B1868" s="1" t="s">
        <v>4249</v>
      </c>
      <c r="C1868" t="s">
        <v>6592</v>
      </c>
      <c r="D1868" t="s">
        <v>7705</v>
      </c>
      <c r="E1868" t="s">
        <v>9511</v>
      </c>
    </row>
    <row r="1869" spans="1:5" ht="15.6" x14ac:dyDescent="0.3">
      <c r="A1869" s="1" t="s">
        <v>500</v>
      </c>
      <c r="B1869" s="1" t="s">
        <v>4250</v>
      </c>
      <c r="C1869" t="s">
        <v>6593</v>
      </c>
      <c r="D1869" t="s">
        <v>8460</v>
      </c>
      <c r="E1869" t="s">
        <v>9418</v>
      </c>
    </row>
    <row r="1870" spans="1:5" ht="15.6" x14ac:dyDescent="0.3">
      <c r="A1870" s="1" t="s">
        <v>499</v>
      </c>
      <c r="B1870" s="1" t="s">
        <v>4251</v>
      </c>
      <c r="C1870" t="s">
        <v>6594</v>
      </c>
      <c r="D1870" t="s">
        <v>7405</v>
      </c>
      <c r="E1870" t="s">
        <v>10389</v>
      </c>
    </row>
    <row r="1871" spans="1:5" ht="15.6" x14ac:dyDescent="0.3">
      <c r="A1871" s="1" t="s">
        <v>498</v>
      </c>
      <c r="B1871" s="1" t="s">
        <v>4252</v>
      </c>
      <c r="C1871" t="s">
        <v>6595</v>
      </c>
      <c r="D1871" t="s">
        <v>7193</v>
      </c>
      <c r="E1871" t="s">
        <v>8952</v>
      </c>
    </row>
    <row r="1872" spans="1:5" ht="15.6" x14ac:dyDescent="0.3">
      <c r="A1872" s="1" t="s">
        <v>497</v>
      </c>
      <c r="B1872" s="1" t="s">
        <v>4253</v>
      </c>
      <c r="C1872" t="s">
        <v>6596</v>
      </c>
      <c r="D1872" t="s">
        <v>8461</v>
      </c>
      <c r="E1872" t="s">
        <v>10390</v>
      </c>
    </row>
    <row r="1873" spans="1:5" ht="15.6" x14ac:dyDescent="0.3">
      <c r="A1873" s="1" t="s">
        <v>496</v>
      </c>
      <c r="B1873" s="1" t="s">
        <v>4254</v>
      </c>
      <c r="C1873" t="s">
        <v>6597</v>
      </c>
      <c r="D1873" t="s">
        <v>8462</v>
      </c>
      <c r="E1873" t="s">
        <v>10391</v>
      </c>
    </row>
    <row r="1874" spans="1:5" ht="15.6" x14ac:dyDescent="0.3">
      <c r="A1874" s="1" t="s">
        <v>495</v>
      </c>
      <c r="B1874" s="1" t="s">
        <v>4255</v>
      </c>
      <c r="C1874" t="s">
        <v>6598</v>
      </c>
      <c r="D1874" t="s">
        <v>8463</v>
      </c>
      <c r="E1874" t="s">
        <v>10392</v>
      </c>
    </row>
    <row r="1875" spans="1:5" ht="15.6" x14ac:dyDescent="0.3">
      <c r="A1875" s="1" t="s">
        <v>494</v>
      </c>
      <c r="B1875" s="1" t="s">
        <v>4256</v>
      </c>
      <c r="C1875" t="s">
        <v>6599</v>
      </c>
      <c r="D1875" t="s">
        <v>8464</v>
      </c>
      <c r="E1875" t="s">
        <v>10393</v>
      </c>
    </row>
    <row r="1876" spans="1:5" ht="15.6" x14ac:dyDescent="0.3">
      <c r="A1876" s="1" t="s">
        <v>493</v>
      </c>
      <c r="B1876" s="1" t="s">
        <v>4257</v>
      </c>
      <c r="C1876" t="s">
        <v>6600</v>
      </c>
      <c r="D1876" t="s">
        <v>8465</v>
      </c>
      <c r="E1876" t="s">
        <v>10394</v>
      </c>
    </row>
    <row r="1877" spans="1:5" ht="15.6" x14ac:dyDescent="0.3">
      <c r="A1877" s="1" t="s">
        <v>492</v>
      </c>
      <c r="B1877" s="1" t="s">
        <v>4258</v>
      </c>
      <c r="C1877" t="s">
        <v>6601</v>
      </c>
      <c r="D1877" t="s">
        <v>8466</v>
      </c>
      <c r="E1877" t="s">
        <v>9779</v>
      </c>
    </row>
    <row r="1878" spans="1:5" ht="15.6" x14ac:dyDescent="0.3">
      <c r="A1878" s="1" t="s">
        <v>491</v>
      </c>
      <c r="B1878" s="1" t="s">
        <v>4259</v>
      </c>
      <c r="C1878" t="s">
        <v>6602</v>
      </c>
      <c r="D1878" t="s">
        <v>7645</v>
      </c>
      <c r="E1878" t="s">
        <v>10395</v>
      </c>
    </row>
    <row r="1879" spans="1:5" ht="15.6" x14ac:dyDescent="0.3">
      <c r="A1879" s="1" t="s">
        <v>490</v>
      </c>
      <c r="B1879" s="1" t="s">
        <v>4260</v>
      </c>
      <c r="C1879" t="s">
        <v>6603</v>
      </c>
      <c r="D1879" t="s">
        <v>8467</v>
      </c>
      <c r="E1879" t="s">
        <v>10396</v>
      </c>
    </row>
    <row r="1880" spans="1:5" ht="15.6" x14ac:dyDescent="0.3">
      <c r="A1880" s="1" t="s">
        <v>489</v>
      </c>
      <c r="B1880" s="1" t="s">
        <v>4261</v>
      </c>
      <c r="C1880" t="s">
        <v>6604</v>
      </c>
      <c r="D1880" t="s">
        <v>8468</v>
      </c>
      <c r="E1880" t="s">
        <v>10397</v>
      </c>
    </row>
    <row r="1881" spans="1:5" ht="15.6" x14ac:dyDescent="0.3">
      <c r="A1881" s="1" t="s">
        <v>488</v>
      </c>
      <c r="B1881" s="1" t="s">
        <v>4262</v>
      </c>
      <c r="C1881" t="s">
        <v>6605</v>
      </c>
      <c r="D1881" t="s">
        <v>8469</v>
      </c>
      <c r="E1881" t="s">
        <v>10398</v>
      </c>
    </row>
    <row r="1882" spans="1:5" ht="15.6" x14ac:dyDescent="0.3">
      <c r="A1882" s="1" t="s">
        <v>487</v>
      </c>
      <c r="B1882" s="1" t="s">
        <v>4263</v>
      </c>
      <c r="C1882" t="s">
        <v>6606</v>
      </c>
      <c r="D1882" t="s">
        <v>8470</v>
      </c>
      <c r="E1882" t="s">
        <v>9287</v>
      </c>
    </row>
    <row r="1883" spans="1:5" ht="15.6" x14ac:dyDescent="0.3">
      <c r="A1883" s="1" t="s">
        <v>486</v>
      </c>
      <c r="B1883" s="1" t="s">
        <v>4264</v>
      </c>
      <c r="C1883" t="s">
        <v>6607</v>
      </c>
      <c r="D1883" t="s">
        <v>8466</v>
      </c>
      <c r="E1883" t="s">
        <v>10399</v>
      </c>
    </row>
    <row r="1884" spans="1:5" ht="15.6" x14ac:dyDescent="0.3">
      <c r="A1884" s="1" t="s">
        <v>485</v>
      </c>
      <c r="B1884" s="1" t="s">
        <v>4265</v>
      </c>
      <c r="C1884" t="s">
        <v>6608</v>
      </c>
      <c r="D1884" t="s">
        <v>8471</v>
      </c>
      <c r="E1884" t="s">
        <v>10400</v>
      </c>
    </row>
    <row r="1885" spans="1:5" ht="15.6" x14ac:dyDescent="0.3">
      <c r="A1885" s="1" t="s">
        <v>484</v>
      </c>
      <c r="B1885" s="1" t="s">
        <v>4266</v>
      </c>
      <c r="C1885" t="s">
        <v>6609</v>
      </c>
      <c r="D1885" t="s">
        <v>8472</v>
      </c>
      <c r="E1885" t="s">
        <v>10401</v>
      </c>
    </row>
    <row r="1886" spans="1:5" ht="15.6" x14ac:dyDescent="0.3">
      <c r="A1886" s="1" t="s">
        <v>483</v>
      </c>
      <c r="B1886" s="1" t="s">
        <v>4267</v>
      </c>
      <c r="C1886" t="s">
        <v>6610</v>
      </c>
      <c r="D1886" t="s">
        <v>8473</v>
      </c>
      <c r="E1886" t="s">
        <v>10402</v>
      </c>
    </row>
    <row r="1887" spans="1:5" ht="15.6" x14ac:dyDescent="0.3">
      <c r="A1887" s="1" t="s">
        <v>482</v>
      </c>
      <c r="B1887" s="1" t="s">
        <v>4268</v>
      </c>
      <c r="C1887" t="s">
        <v>6611</v>
      </c>
      <c r="D1887" t="s">
        <v>8474</v>
      </c>
      <c r="E1887" t="s">
        <v>10403</v>
      </c>
    </row>
    <row r="1888" spans="1:5" ht="15.6" x14ac:dyDescent="0.3">
      <c r="A1888" s="1" t="s">
        <v>481</v>
      </c>
      <c r="B1888" s="1" t="s">
        <v>4269</v>
      </c>
      <c r="C1888" t="s">
        <v>6612</v>
      </c>
      <c r="D1888" t="s">
        <v>8475</v>
      </c>
      <c r="E1888" t="s">
        <v>10404</v>
      </c>
    </row>
    <row r="1889" spans="1:5" ht="15.6" x14ac:dyDescent="0.3">
      <c r="A1889" s="1" t="s">
        <v>480</v>
      </c>
      <c r="B1889" s="1" t="s">
        <v>4270</v>
      </c>
      <c r="C1889" t="s">
        <v>6613</v>
      </c>
      <c r="D1889" t="s">
        <v>7420</v>
      </c>
      <c r="E1889" t="s">
        <v>10405</v>
      </c>
    </row>
    <row r="1890" spans="1:5" ht="15.6" x14ac:dyDescent="0.3">
      <c r="A1890" s="1" t="s">
        <v>479</v>
      </c>
      <c r="B1890" s="1" t="s">
        <v>4271</v>
      </c>
      <c r="C1890" t="s">
        <v>6614</v>
      </c>
      <c r="D1890" t="s">
        <v>8476</v>
      </c>
      <c r="E1890" t="s">
        <v>9302</v>
      </c>
    </row>
    <row r="1891" spans="1:5" ht="15.6" x14ac:dyDescent="0.3">
      <c r="A1891" s="1" t="s">
        <v>478</v>
      </c>
      <c r="B1891" s="1" t="s">
        <v>4272</v>
      </c>
      <c r="C1891" t="s">
        <v>6615</v>
      </c>
      <c r="D1891" t="s">
        <v>7995</v>
      </c>
      <c r="E1891" t="s">
        <v>10406</v>
      </c>
    </row>
    <row r="1892" spans="1:5" ht="15.6" x14ac:dyDescent="0.3">
      <c r="A1892" s="1" t="s">
        <v>477</v>
      </c>
      <c r="B1892" s="1" t="s">
        <v>4273</v>
      </c>
      <c r="C1892" t="s">
        <v>6616</v>
      </c>
      <c r="D1892" t="s">
        <v>7094</v>
      </c>
      <c r="E1892" t="s">
        <v>10407</v>
      </c>
    </row>
    <row r="1893" spans="1:5" ht="15.6" x14ac:dyDescent="0.3">
      <c r="A1893" s="1" t="s">
        <v>476</v>
      </c>
      <c r="B1893" s="1" t="s">
        <v>4274</v>
      </c>
      <c r="C1893" t="s">
        <v>6617</v>
      </c>
      <c r="D1893" t="s">
        <v>8477</v>
      </c>
      <c r="E1893" t="s">
        <v>10408</v>
      </c>
    </row>
    <row r="1894" spans="1:5" ht="15.6" x14ac:dyDescent="0.3">
      <c r="A1894" s="1" t="s">
        <v>475</v>
      </c>
      <c r="B1894" s="1" t="s">
        <v>4275</v>
      </c>
      <c r="C1894" t="s">
        <v>6618</v>
      </c>
      <c r="D1894" t="s">
        <v>8478</v>
      </c>
      <c r="E1894" t="s">
        <v>10409</v>
      </c>
    </row>
    <row r="1895" spans="1:5" ht="15.6" x14ac:dyDescent="0.3">
      <c r="A1895" s="1" t="s">
        <v>474</v>
      </c>
      <c r="B1895" s="1" t="s">
        <v>4276</v>
      </c>
      <c r="C1895" t="s">
        <v>6619</v>
      </c>
      <c r="D1895" t="s">
        <v>7183</v>
      </c>
      <c r="E1895" t="s">
        <v>10410</v>
      </c>
    </row>
    <row r="1896" spans="1:5" ht="15.6" x14ac:dyDescent="0.3">
      <c r="A1896" s="1" t="s">
        <v>473</v>
      </c>
      <c r="B1896" s="1" t="s">
        <v>4277</v>
      </c>
      <c r="C1896" t="s">
        <v>6620</v>
      </c>
      <c r="D1896" t="s">
        <v>8479</v>
      </c>
      <c r="E1896" t="s">
        <v>10411</v>
      </c>
    </row>
    <row r="1897" spans="1:5" ht="15.6" x14ac:dyDescent="0.3">
      <c r="A1897" s="1" t="s">
        <v>472</v>
      </c>
      <c r="B1897" s="1" t="s">
        <v>4278</v>
      </c>
      <c r="C1897" t="s">
        <v>4736</v>
      </c>
      <c r="D1897" t="s">
        <v>7071</v>
      </c>
      <c r="E1897" t="s">
        <v>8984</v>
      </c>
    </row>
    <row r="1898" spans="1:5" ht="15.6" x14ac:dyDescent="0.3">
      <c r="A1898" s="1" t="s">
        <v>471</v>
      </c>
      <c r="B1898" s="1" t="s">
        <v>4279</v>
      </c>
      <c r="C1898" t="s">
        <v>6621</v>
      </c>
      <c r="D1898" t="s">
        <v>7219</v>
      </c>
      <c r="E1898" t="s">
        <v>10412</v>
      </c>
    </row>
    <row r="1899" spans="1:5" ht="15.6" x14ac:dyDescent="0.3">
      <c r="A1899" s="1" t="s">
        <v>470</v>
      </c>
      <c r="B1899" s="1" t="s">
        <v>4280</v>
      </c>
      <c r="C1899" t="s">
        <v>6622</v>
      </c>
      <c r="D1899" t="s">
        <v>8480</v>
      </c>
      <c r="E1899" t="s">
        <v>8817</v>
      </c>
    </row>
    <row r="1900" spans="1:5" ht="15.6" x14ac:dyDescent="0.3">
      <c r="A1900" s="1" t="s">
        <v>469</v>
      </c>
      <c r="B1900" s="1" t="s">
        <v>4281</v>
      </c>
      <c r="C1900" t="s">
        <v>6623</v>
      </c>
      <c r="D1900" t="s">
        <v>7433</v>
      </c>
      <c r="E1900" t="s">
        <v>8847</v>
      </c>
    </row>
    <row r="1901" spans="1:5" ht="15.6" x14ac:dyDescent="0.3">
      <c r="A1901" s="1" t="s">
        <v>468</v>
      </c>
      <c r="B1901" s="1" t="s">
        <v>4282</v>
      </c>
      <c r="C1901" t="s">
        <v>6624</v>
      </c>
      <c r="D1901" t="s">
        <v>7165</v>
      </c>
      <c r="E1901" t="s">
        <v>10413</v>
      </c>
    </row>
    <row r="1902" spans="1:5" ht="15.6" x14ac:dyDescent="0.3">
      <c r="A1902" s="1" t="s">
        <v>467</v>
      </c>
      <c r="B1902" s="1" t="s">
        <v>4283</v>
      </c>
      <c r="C1902" t="s">
        <v>6625</v>
      </c>
      <c r="D1902" t="s">
        <v>8481</v>
      </c>
      <c r="E1902" t="s">
        <v>10323</v>
      </c>
    </row>
    <row r="1903" spans="1:5" ht="15.6" x14ac:dyDescent="0.3">
      <c r="A1903" s="1" t="s">
        <v>466</v>
      </c>
      <c r="B1903" s="1" t="s">
        <v>4284</v>
      </c>
      <c r="C1903" t="s">
        <v>6626</v>
      </c>
      <c r="D1903" t="s">
        <v>7969</v>
      </c>
      <c r="E1903" t="s">
        <v>10414</v>
      </c>
    </row>
    <row r="1904" spans="1:5" ht="15.6" x14ac:dyDescent="0.3">
      <c r="A1904" s="1" t="s">
        <v>465</v>
      </c>
      <c r="B1904" s="1" t="s">
        <v>4285</v>
      </c>
      <c r="C1904" t="s">
        <v>6627</v>
      </c>
      <c r="D1904" t="s">
        <v>7281</v>
      </c>
      <c r="E1904" t="s">
        <v>10415</v>
      </c>
    </row>
    <row r="1905" spans="1:5" ht="15.6" x14ac:dyDescent="0.3">
      <c r="A1905" s="1" t="s">
        <v>464</v>
      </c>
      <c r="B1905" s="1" t="s">
        <v>4286</v>
      </c>
      <c r="C1905" t="s">
        <v>6628</v>
      </c>
      <c r="D1905" t="s">
        <v>8482</v>
      </c>
      <c r="E1905" t="s">
        <v>10416</v>
      </c>
    </row>
    <row r="1906" spans="1:5" ht="15.6" x14ac:dyDescent="0.3">
      <c r="A1906" s="1" t="s">
        <v>463</v>
      </c>
      <c r="B1906" s="1" t="s">
        <v>4287</v>
      </c>
      <c r="C1906" t="s">
        <v>6629</v>
      </c>
      <c r="D1906" t="s">
        <v>8483</v>
      </c>
      <c r="E1906" t="s">
        <v>10417</v>
      </c>
    </row>
    <row r="1907" spans="1:5" ht="15.6" x14ac:dyDescent="0.3">
      <c r="A1907" s="1" t="s">
        <v>462</v>
      </c>
      <c r="B1907" s="1" t="s">
        <v>4288</v>
      </c>
      <c r="C1907" t="s">
        <v>6630</v>
      </c>
      <c r="D1907" t="s">
        <v>8484</v>
      </c>
      <c r="E1907" t="s">
        <v>10418</v>
      </c>
    </row>
    <row r="1908" spans="1:5" ht="15.6" x14ac:dyDescent="0.3">
      <c r="A1908" s="1" t="s">
        <v>461</v>
      </c>
      <c r="B1908" s="1" t="s">
        <v>4289</v>
      </c>
      <c r="C1908" t="s">
        <v>6631</v>
      </c>
      <c r="D1908" t="s">
        <v>8485</v>
      </c>
      <c r="E1908" t="s">
        <v>9033</v>
      </c>
    </row>
    <row r="1909" spans="1:5" ht="15.6" x14ac:dyDescent="0.3">
      <c r="A1909" s="1" t="s">
        <v>460</v>
      </c>
      <c r="B1909" s="1" t="s">
        <v>4290</v>
      </c>
      <c r="C1909" t="s">
        <v>6632</v>
      </c>
      <c r="D1909" t="s">
        <v>8486</v>
      </c>
      <c r="E1909" t="s">
        <v>10419</v>
      </c>
    </row>
    <row r="1910" spans="1:5" ht="15.6" x14ac:dyDescent="0.3">
      <c r="A1910" s="1" t="s">
        <v>459</v>
      </c>
      <c r="B1910" s="1" t="s">
        <v>4291</v>
      </c>
      <c r="C1910" t="s">
        <v>6633</v>
      </c>
      <c r="D1910" t="s">
        <v>8487</v>
      </c>
      <c r="E1910" t="s">
        <v>10420</v>
      </c>
    </row>
    <row r="1911" spans="1:5" ht="15.6" x14ac:dyDescent="0.3">
      <c r="A1911" s="1" t="s">
        <v>458</v>
      </c>
      <c r="B1911" s="1" t="s">
        <v>4292</v>
      </c>
      <c r="C1911" t="s">
        <v>6634</v>
      </c>
      <c r="D1911" t="s">
        <v>8488</v>
      </c>
      <c r="E1911" t="s">
        <v>9179</v>
      </c>
    </row>
    <row r="1912" spans="1:5" ht="15.6" x14ac:dyDescent="0.3">
      <c r="A1912" s="1" t="s">
        <v>457</v>
      </c>
      <c r="B1912" s="1" t="s">
        <v>4293</v>
      </c>
      <c r="C1912" t="s">
        <v>6635</v>
      </c>
      <c r="D1912" t="s">
        <v>8489</v>
      </c>
      <c r="E1912" t="s">
        <v>10421</v>
      </c>
    </row>
    <row r="1913" spans="1:5" ht="15.6" x14ac:dyDescent="0.3">
      <c r="A1913" s="1" t="s">
        <v>456</v>
      </c>
      <c r="B1913" s="1" t="s">
        <v>4294</v>
      </c>
      <c r="C1913" t="s">
        <v>6636</v>
      </c>
      <c r="D1913" t="s">
        <v>8490</v>
      </c>
      <c r="E1913" t="s">
        <v>9121</v>
      </c>
    </row>
    <row r="1914" spans="1:5" ht="15.6" x14ac:dyDescent="0.3">
      <c r="A1914" s="1" t="s">
        <v>455</v>
      </c>
      <c r="B1914" s="1" t="s">
        <v>4295</v>
      </c>
      <c r="C1914" t="s">
        <v>6637</v>
      </c>
      <c r="D1914" t="s">
        <v>8491</v>
      </c>
      <c r="E1914" t="s">
        <v>10422</v>
      </c>
    </row>
    <row r="1915" spans="1:5" ht="15.6" x14ac:dyDescent="0.3">
      <c r="A1915" s="1" t="s">
        <v>454</v>
      </c>
      <c r="B1915" s="1" t="s">
        <v>4296</v>
      </c>
      <c r="C1915" t="s">
        <v>6638</v>
      </c>
      <c r="D1915" t="s">
        <v>8492</v>
      </c>
      <c r="E1915" t="s">
        <v>9307</v>
      </c>
    </row>
    <row r="1916" spans="1:5" ht="15.6" x14ac:dyDescent="0.3">
      <c r="A1916" s="1" t="s">
        <v>453</v>
      </c>
      <c r="B1916" s="1" t="s">
        <v>4297</v>
      </c>
      <c r="C1916" t="s">
        <v>6639</v>
      </c>
      <c r="D1916" t="s">
        <v>8493</v>
      </c>
      <c r="E1916" t="s">
        <v>10423</v>
      </c>
    </row>
    <row r="1917" spans="1:5" ht="15.6" x14ac:dyDescent="0.3">
      <c r="A1917" s="1" t="s">
        <v>452</v>
      </c>
      <c r="B1917" s="1" t="s">
        <v>4298</v>
      </c>
      <c r="C1917" t="s">
        <v>6640</v>
      </c>
      <c r="D1917" t="s">
        <v>8494</v>
      </c>
      <c r="E1917" t="s">
        <v>10424</v>
      </c>
    </row>
    <row r="1918" spans="1:5" ht="15.6" x14ac:dyDescent="0.3">
      <c r="A1918" s="1" t="s">
        <v>451</v>
      </c>
      <c r="B1918" s="1" t="s">
        <v>4299</v>
      </c>
      <c r="C1918" t="s">
        <v>6641</v>
      </c>
      <c r="D1918" t="s">
        <v>7217</v>
      </c>
      <c r="E1918" t="s">
        <v>10425</v>
      </c>
    </row>
    <row r="1919" spans="1:5" ht="15.6" x14ac:dyDescent="0.3">
      <c r="A1919" s="1" t="s">
        <v>450</v>
      </c>
      <c r="B1919" s="1" t="s">
        <v>4300</v>
      </c>
      <c r="C1919" t="s">
        <v>6642</v>
      </c>
      <c r="D1919" t="s">
        <v>8111</v>
      </c>
      <c r="E1919" t="s">
        <v>10426</v>
      </c>
    </row>
    <row r="1920" spans="1:5" ht="15.6" x14ac:dyDescent="0.3">
      <c r="A1920" s="1" t="s">
        <v>449</v>
      </c>
      <c r="B1920" s="1" t="s">
        <v>4301</v>
      </c>
      <c r="C1920" t="s">
        <v>6643</v>
      </c>
      <c r="D1920" t="s">
        <v>8495</v>
      </c>
      <c r="E1920" t="s">
        <v>10427</v>
      </c>
    </row>
    <row r="1921" spans="1:5" ht="15.6" x14ac:dyDescent="0.3">
      <c r="A1921" s="1" t="s">
        <v>448</v>
      </c>
      <c r="B1921" s="1" t="s">
        <v>4302</v>
      </c>
      <c r="C1921" t="s">
        <v>6644</v>
      </c>
      <c r="D1921" t="s">
        <v>7180</v>
      </c>
      <c r="E1921" t="s">
        <v>10428</v>
      </c>
    </row>
    <row r="1922" spans="1:5" ht="15.6" x14ac:dyDescent="0.3">
      <c r="A1922" s="1" t="s">
        <v>447</v>
      </c>
      <c r="B1922" s="1" t="s">
        <v>4303</v>
      </c>
      <c r="C1922" t="s">
        <v>6645</v>
      </c>
      <c r="D1922" t="s">
        <v>8496</v>
      </c>
      <c r="E1922" t="s">
        <v>10429</v>
      </c>
    </row>
    <row r="1923" spans="1:5" ht="15.6" x14ac:dyDescent="0.3">
      <c r="A1923" s="1" t="s">
        <v>446</v>
      </c>
      <c r="B1923" s="1" t="s">
        <v>4304</v>
      </c>
      <c r="C1923" t="s">
        <v>6646</v>
      </c>
      <c r="D1923" t="s">
        <v>7217</v>
      </c>
      <c r="E1923" t="s">
        <v>10430</v>
      </c>
    </row>
    <row r="1924" spans="1:5" ht="15.6" x14ac:dyDescent="0.3">
      <c r="A1924" s="1" t="s">
        <v>445</v>
      </c>
      <c r="B1924" s="1" t="s">
        <v>4305</v>
      </c>
      <c r="C1924" t="s">
        <v>6647</v>
      </c>
      <c r="D1924" t="s">
        <v>7678</v>
      </c>
      <c r="E1924" t="s">
        <v>10431</v>
      </c>
    </row>
    <row r="1925" spans="1:5" ht="15.6" x14ac:dyDescent="0.3">
      <c r="A1925" s="1" t="s">
        <v>444</v>
      </c>
      <c r="B1925" s="1" t="s">
        <v>4306</v>
      </c>
      <c r="C1925" t="s">
        <v>6648</v>
      </c>
      <c r="D1925" t="s">
        <v>8497</v>
      </c>
      <c r="E1925" t="s">
        <v>10432</v>
      </c>
    </row>
    <row r="1926" spans="1:5" ht="15.6" x14ac:dyDescent="0.3">
      <c r="A1926" s="1" t="s">
        <v>443</v>
      </c>
      <c r="B1926" s="1" t="s">
        <v>4307</v>
      </c>
      <c r="C1926" t="s">
        <v>6649</v>
      </c>
      <c r="D1926" t="s">
        <v>7203</v>
      </c>
      <c r="E1926" t="s">
        <v>10433</v>
      </c>
    </row>
    <row r="1927" spans="1:5" ht="15.6" x14ac:dyDescent="0.3">
      <c r="A1927" s="1" t="s">
        <v>442</v>
      </c>
      <c r="B1927" s="1" t="s">
        <v>4308</v>
      </c>
      <c r="C1927" t="s">
        <v>6650</v>
      </c>
      <c r="D1927" t="s">
        <v>8498</v>
      </c>
      <c r="E1927" t="s">
        <v>9549</v>
      </c>
    </row>
    <row r="1928" spans="1:5" ht="15.6" x14ac:dyDescent="0.3">
      <c r="A1928" s="1" t="s">
        <v>441</v>
      </c>
      <c r="B1928" s="1" t="s">
        <v>4309</v>
      </c>
      <c r="C1928" t="s">
        <v>6651</v>
      </c>
      <c r="D1928" t="s">
        <v>8499</v>
      </c>
      <c r="E1928" t="s">
        <v>10434</v>
      </c>
    </row>
    <row r="1929" spans="1:5" ht="15.6" x14ac:dyDescent="0.3">
      <c r="A1929" s="1" t="s">
        <v>440</v>
      </c>
      <c r="B1929" s="1" t="s">
        <v>4310</v>
      </c>
      <c r="C1929" t="s">
        <v>6652</v>
      </c>
      <c r="D1929" t="s">
        <v>7137</v>
      </c>
      <c r="E1929" t="s">
        <v>10435</v>
      </c>
    </row>
    <row r="1930" spans="1:5" ht="15.6" x14ac:dyDescent="0.3">
      <c r="A1930" s="1" t="s">
        <v>439</v>
      </c>
      <c r="B1930" s="1" t="s">
        <v>4311</v>
      </c>
      <c r="C1930" t="s">
        <v>6653</v>
      </c>
      <c r="D1930" t="s">
        <v>8500</v>
      </c>
      <c r="E1930" t="s">
        <v>9751</v>
      </c>
    </row>
    <row r="1931" spans="1:5" ht="15.6" x14ac:dyDescent="0.3">
      <c r="A1931" s="1" t="s">
        <v>438</v>
      </c>
      <c r="B1931" s="1" t="s">
        <v>4312</v>
      </c>
      <c r="C1931" t="s">
        <v>6654</v>
      </c>
      <c r="D1931" t="s">
        <v>7967</v>
      </c>
      <c r="E1931" t="s">
        <v>9213</v>
      </c>
    </row>
    <row r="1932" spans="1:5" ht="15.6" x14ac:dyDescent="0.3">
      <c r="A1932" s="1" t="s">
        <v>437</v>
      </c>
      <c r="B1932" s="1" t="s">
        <v>4313</v>
      </c>
      <c r="C1932" t="s">
        <v>6655</v>
      </c>
      <c r="D1932" t="s">
        <v>8501</v>
      </c>
      <c r="E1932" t="s">
        <v>10436</v>
      </c>
    </row>
    <row r="1933" spans="1:5" ht="15.6" x14ac:dyDescent="0.3">
      <c r="A1933" s="1" t="s">
        <v>436</v>
      </c>
      <c r="B1933" s="1" t="s">
        <v>4314</v>
      </c>
      <c r="C1933" t="s">
        <v>6656</v>
      </c>
      <c r="D1933" t="s">
        <v>8502</v>
      </c>
      <c r="E1933" t="s">
        <v>10437</v>
      </c>
    </row>
    <row r="1934" spans="1:5" ht="15.6" x14ac:dyDescent="0.3">
      <c r="A1934" s="1" t="s">
        <v>435</v>
      </c>
      <c r="B1934" s="1" t="s">
        <v>4315</v>
      </c>
      <c r="C1934" t="s">
        <v>6657</v>
      </c>
      <c r="D1934" t="s">
        <v>7153</v>
      </c>
      <c r="E1934" t="s">
        <v>10438</v>
      </c>
    </row>
    <row r="1935" spans="1:5" ht="15.6" x14ac:dyDescent="0.3">
      <c r="A1935" s="1" t="s">
        <v>434</v>
      </c>
      <c r="B1935" s="1" t="s">
        <v>4316</v>
      </c>
      <c r="C1935" t="s">
        <v>6658</v>
      </c>
      <c r="D1935" t="s">
        <v>7165</v>
      </c>
      <c r="E1935" t="s">
        <v>10439</v>
      </c>
    </row>
    <row r="1936" spans="1:5" ht="15.6" x14ac:dyDescent="0.3">
      <c r="A1936" s="1" t="s">
        <v>433</v>
      </c>
      <c r="B1936" s="1" t="s">
        <v>4317</v>
      </c>
      <c r="C1936" t="s">
        <v>6659</v>
      </c>
      <c r="D1936" t="s">
        <v>8503</v>
      </c>
      <c r="E1936" t="s">
        <v>10440</v>
      </c>
    </row>
    <row r="1937" spans="1:5" ht="15.6" x14ac:dyDescent="0.3">
      <c r="A1937" s="1" t="s">
        <v>432</v>
      </c>
      <c r="B1937" s="1" t="s">
        <v>4318</v>
      </c>
      <c r="C1937" t="s">
        <v>6660</v>
      </c>
      <c r="D1937" t="s">
        <v>8504</v>
      </c>
      <c r="E1937" t="s">
        <v>10441</v>
      </c>
    </row>
    <row r="1938" spans="1:5" ht="15.6" x14ac:dyDescent="0.3">
      <c r="A1938" s="1" t="s">
        <v>431</v>
      </c>
      <c r="B1938" s="1" t="s">
        <v>4319</v>
      </c>
      <c r="C1938" t="s">
        <v>6661</v>
      </c>
      <c r="D1938" t="s">
        <v>8505</v>
      </c>
      <c r="E1938" t="s">
        <v>10442</v>
      </c>
    </row>
    <row r="1939" spans="1:5" ht="15.6" x14ac:dyDescent="0.3">
      <c r="A1939" s="1" t="s">
        <v>430</v>
      </c>
      <c r="B1939" s="1" t="s">
        <v>4320</v>
      </c>
      <c r="C1939" t="s">
        <v>6662</v>
      </c>
      <c r="D1939" t="s">
        <v>7086</v>
      </c>
      <c r="E1939" t="s">
        <v>10264</v>
      </c>
    </row>
    <row r="1940" spans="1:5" ht="15.6" x14ac:dyDescent="0.3">
      <c r="A1940" s="1" t="s">
        <v>429</v>
      </c>
      <c r="B1940" s="1" t="s">
        <v>4321</v>
      </c>
      <c r="C1940" t="s">
        <v>6663</v>
      </c>
      <c r="D1940" t="s">
        <v>8506</v>
      </c>
      <c r="E1940" t="s">
        <v>10443</v>
      </c>
    </row>
    <row r="1941" spans="1:5" ht="15.6" x14ac:dyDescent="0.3">
      <c r="A1941" s="1" t="s">
        <v>428</v>
      </c>
      <c r="B1941" s="1" t="s">
        <v>4322</v>
      </c>
      <c r="C1941" t="s">
        <v>6664</v>
      </c>
      <c r="D1941" t="s">
        <v>8507</v>
      </c>
      <c r="E1941" t="s">
        <v>10444</v>
      </c>
    </row>
    <row r="1942" spans="1:5" ht="15.6" x14ac:dyDescent="0.3">
      <c r="A1942" s="1" t="s">
        <v>427</v>
      </c>
      <c r="B1942" s="1" t="s">
        <v>4323</v>
      </c>
      <c r="C1942" t="s">
        <v>6665</v>
      </c>
      <c r="D1942" t="s">
        <v>8508</v>
      </c>
      <c r="E1942" t="s">
        <v>9515</v>
      </c>
    </row>
    <row r="1943" spans="1:5" ht="15.6" x14ac:dyDescent="0.3">
      <c r="A1943" s="1" t="s">
        <v>426</v>
      </c>
      <c r="B1943" s="1" t="s">
        <v>4324</v>
      </c>
      <c r="C1943" t="s">
        <v>6666</v>
      </c>
      <c r="D1943" t="s">
        <v>8509</v>
      </c>
      <c r="E1943" t="s">
        <v>10445</v>
      </c>
    </row>
    <row r="1944" spans="1:5" ht="15.6" x14ac:dyDescent="0.3">
      <c r="A1944" s="1" t="s">
        <v>425</v>
      </c>
      <c r="B1944" s="1" t="s">
        <v>4325</v>
      </c>
      <c r="C1944" t="s">
        <v>6667</v>
      </c>
      <c r="D1944" t="s">
        <v>7217</v>
      </c>
      <c r="E1944" t="s">
        <v>10446</v>
      </c>
    </row>
    <row r="1945" spans="1:5" ht="15.6" x14ac:dyDescent="0.3">
      <c r="A1945" s="1" t="s">
        <v>424</v>
      </c>
      <c r="B1945" s="1" t="s">
        <v>4326</v>
      </c>
      <c r="C1945" t="s">
        <v>6668</v>
      </c>
      <c r="D1945" t="s">
        <v>8510</v>
      </c>
      <c r="E1945" t="s">
        <v>9439</v>
      </c>
    </row>
    <row r="1946" spans="1:5" ht="15.6" x14ac:dyDescent="0.3">
      <c r="A1946" s="1" t="s">
        <v>423</v>
      </c>
      <c r="B1946" s="1" t="s">
        <v>4327</v>
      </c>
      <c r="C1946" t="s">
        <v>6669</v>
      </c>
      <c r="D1946" t="s">
        <v>7175</v>
      </c>
      <c r="E1946" t="s">
        <v>10447</v>
      </c>
    </row>
    <row r="1947" spans="1:5" ht="15.6" x14ac:dyDescent="0.3">
      <c r="A1947" s="1" t="s">
        <v>422</v>
      </c>
      <c r="B1947" s="1" t="s">
        <v>4328</v>
      </c>
      <c r="C1947" t="s">
        <v>6670</v>
      </c>
      <c r="D1947" t="s">
        <v>8465</v>
      </c>
      <c r="E1947" t="s">
        <v>10448</v>
      </c>
    </row>
    <row r="1948" spans="1:5" ht="15.6" x14ac:dyDescent="0.3">
      <c r="A1948" s="1" t="s">
        <v>421</v>
      </c>
      <c r="B1948" s="1" t="s">
        <v>4329</v>
      </c>
      <c r="C1948" t="s">
        <v>6671</v>
      </c>
      <c r="D1948" t="s">
        <v>8511</v>
      </c>
      <c r="E1948" t="s">
        <v>10449</v>
      </c>
    </row>
    <row r="1949" spans="1:5" ht="15.6" x14ac:dyDescent="0.3">
      <c r="A1949" s="1" t="s">
        <v>420</v>
      </c>
      <c r="B1949" s="1" t="s">
        <v>4330</v>
      </c>
      <c r="C1949" t="s">
        <v>6672</v>
      </c>
      <c r="D1949" t="s">
        <v>8512</v>
      </c>
      <c r="E1949" t="s">
        <v>10450</v>
      </c>
    </row>
    <row r="1950" spans="1:5" ht="15.6" x14ac:dyDescent="0.3">
      <c r="A1950" s="1" t="s">
        <v>419</v>
      </c>
      <c r="B1950" s="1" t="s">
        <v>4331</v>
      </c>
      <c r="C1950" t="s">
        <v>6673</v>
      </c>
      <c r="D1950" t="s">
        <v>8513</v>
      </c>
      <c r="E1950" t="s">
        <v>10451</v>
      </c>
    </row>
    <row r="1951" spans="1:5" ht="15.6" x14ac:dyDescent="0.3">
      <c r="A1951" s="1" t="s">
        <v>418</v>
      </c>
      <c r="B1951" s="1" t="s">
        <v>4332</v>
      </c>
      <c r="C1951" t="s">
        <v>6674</v>
      </c>
      <c r="D1951" t="s">
        <v>7203</v>
      </c>
      <c r="E1951" t="s">
        <v>9313</v>
      </c>
    </row>
    <row r="1952" spans="1:5" ht="15.6" x14ac:dyDescent="0.3">
      <c r="A1952" s="1" t="s">
        <v>417</v>
      </c>
      <c r="B1952" s="1" t="s">
        <v>4333</v>
      </c>
      <c r="C1952" t="s">
        <v>6675</v>
      </c>
      <c r="D1952" t="s">
        <v>8514</v>
      </c>
      <c r="E1952" t="s">
        <v>10452</v>
      </c>
    </row>
    <row r="1953" spans="1:5" ht="15.6" x14ac:dyDescent="0.3">
      <c r="A1953" s="1" t="s">
        <v>416</v>
      </c>
      <c r="B1953" s="1" t="s">
        <v>4334</v>
      </c>
      <c r="C1953" t="s">
        <v>6676</v>
      </c>
      <c r="D1953" t="s">
        <v>8515</v>
      </c>
      <c r="E1953" t="s">
        <v>10453</v>
      </c>
    </row>
    <row r="1954" spans="1:5" ht="15.6" x14ac:dyDescent="0.3">
      <c r="A1954" s="1" t="s">
        <v>415</v>
      </c>
      <c r="B1954" s="1" t="s">
        <v>4335</v>
      </c>
      <c r="C1954" t="s">
        <v>6677</v>
      </c>
      <c r="D1954" t="s">
        <v>8516</v>
      </c>
      <c r="E1954" t="s">
        <v>10454</v>
      </c>
    </row>
    <row r="1955" spans="1:5" ht="15.6" x14ac:dyDescent="0.3">
      <c r="A1955" s="1" t="s">
        <v>414</v>
      </c>
      <c r="B1955" s="1" t="s">
        <v>4336</v>
      </c>
      <c r="C1955" t="s">
        <v>6678</v>
      </c>
      <c r="D1955" t="s">
        <v>8517</v>
      </c>
      <c r="E1955" t="s">
        <v>10455</v>
      </c>
    </row>
    <row r="1956" spans="1:5" ht="15.6" x14ac:dyDescent="0.3">
      <c r="A1956" s="1" t="s">
        <v>413</v>
      </c>
      <c r="B1956" s="1" t="s">
        <v>4337</v>
      </c>
      <c r="C1956" t="s">
        <v>6679</v>
      </c>
      <c r="D1956" t="s">
        <v>8518</v>
      </c>
      <c r="E1956" t="s">
        <v>10456</v>
      </c>
    </row>
    <row r="1957" spans="1:5" ht="15.6" x14ac:dyDescent="0.3">
      <c r="A1957" s="1" t="s">
        <v>412</v>
      </c>
      <c r="B1957" s="1" t="s">
        <v>4338</v>
      </c>
      <c r="C1957" t="s">
        <v>6680</v>
      </c>
      <c r="D1957" t="s">
        <v>8519</v>
      </c>
      <c r="E1957" t="s">
        <v>10457</v>
      </c>
    </row>
    <row r="1958" spans="1:5" ht="15.6" x14ac:dyDescent="0.3">
      <c r="A1958" s="1" t="s">
        <v>411</v>
      </c>
      <c r="B1958" s="1" t="s">
        <v>4339</v>
      </c>
      <c r="C1958" t="s">
        <v>6681</v>
      </c>
      <c r="D1958" t="s">
        <v>8520</v>
      </c>
      <c r="E1958" t="s">
        <v>10458</v>
      </c>
    </row>
    <row r="1959" spans="1:5" ht="15.6" x14ac:dyDescent="0.3">
      <c r="A1959" s="1" t="s">
        <v>410</v>
      </c>
      <c r="B1959" s="1" t="s">
        <v>4340</v>
      </c>
      <c r="C1959" t="s">
        <v>6682</v>
      </c>
      <c r="D1959" t="s">
        <v>7463</v>
      </c>
      <c r="E1959" t="s">
        <v>9077</v>
      </c>
    </row>
    <row r="1960" spans="1:5" ht="15.6" x14ac:dyDescent="0.3">
      <c r="A1960" s="1" t="s">
        <v>409</v>
      </c>
      <c r="B1960" s="1" t="s">
        <v>4341</v>
      </c>
      <c r="C1960" t="s">
        <v>6683</v>
      </c>
      <c r="D1960" t="s">
        <v>7107</v>
      </c>
      <c r="E1960" t="s">
        <v>10459</v>
      </c>
    </row>
    <row r="1961" spans="1:5" ht="15.6" x14ac:dyDescent="0.3">
      <c r="A1961" s="1" t="s">
        <v>408</v>
      </c>
      <c r="B1961" s="1" t="s">
        <v>4342</v>
      </c>
      <c r="C1961" t="s">
        <v>6684</v>
      </c>
      <c r="D1961" t="s">
        <v>7281</v>
      </c>
      <c r="E1961" t="s">
        <v>9213</v>
      </c>
    </row>
    <row r="1962" spans="1:5" ht="15.6" x14ac:dyDescent="0.3">
      <c r="A1962" s="1" t="s">
        <v>407</v>
      </c>
      <c r="B1962" s="1" t="s">
        <v>4343</v>
      </c>
      <c r="C1962" t="s">
        <v>6685</v>
      </c>
      <c r="D1962" t="s">
        <v>8521</v>
      </c>
      <c r="E1962" t="s">
        <v>10460</v>
      </c>
    </row>
    <row r="1963" spans="1:5" ht="15.6" x14ac:dyDescent="0.3">
      <c r="A1963" s="1" t="s">
        <v>406</v>
      </c>
      <c r="B1963" s="1" t="s">
        <v>4344</v>
      </c>
      <c r="C1963" t="s">
        <v>6686</v>
      </c>
      <c r="D1963" t="s">
        <v>7076</v>
      </c>
      <c r="E1963" t="s">
        <v>10323</v>
      </c>
    </row>
    <row r="1964" spans="1:5" ht="15.6" x14ac:dyDescent="0.3">
      <c r="A1964" s="1" t="s">
        <v>405</v>
      </c>
      <c r="B1964" s="1" t="s">
        <v>4345</v>
      </c>
      <c r="C1964" t="s">
        <v>6687</v>
      </c>
      <c r="D1964" t="s">
        <v>8522</v>
      </c>
      <c r="E1964" t="s">
        <v>10461</v>
      </c>
    </row>
    <row r="1965" spans="1:5" ht="15.6" x14ac:dyDescent="0.3">
      <c r="A1965" s="1" t="s">
        <v>404</v>
      </c>
      <c r="B1965" s="1" t="s">
        <v>4346</v>
      </c>
      <c r="C1965" t="s">
        <v>6688</v>
      </c>
      <c r="D1965" t="s">
        <v>8523</v>
      </c>
      <c r="E1965" t="s">
        <v>9046</v>
      </c>
    </row>
    <row r="1966" spans="1:5" ht="15.6" x14ac:dyDescent="0.3">
      <c r="A1966" s="1" t="s">
        <v>403</v>
      </c>
      <c r="B1966" s="1" t="s">
        <v>4347</v>
      </c>
      <c r="C1966" t="s">
        <v>6689</v>
      </c>
      <c r="D1966" t="s">
        <v>8524</v>
      </c>
      <c r="E1966" t="s">
        <v>10462</v>
      </c>
    </row>
    <row r="1967" spans="1:5" ht="15.6" x14ac:dyDescent="0.3">
      <c r="A1967" s="1" t="s">
        <v>402</v>
      </c>
      <c r="B1967" s="1" t="s">
        <v>4348</v>
      </c>
      <c r="C1967" t="s">
        <v>6690</v>
      </c>
      <c r="D1967" t="s">
        <v>8525</v>
      </c>
      <c r="E1967" t="s">
        <v>8800</v>
      </c>
    </row>
    <row r="1968" spans="1:5" ht="15.6" x14ac:dyDescent="0.3">
      <c r="A1968" s="1" t="s">
        <v>401</v>
      </c>
      <c r="B1968" s="1" t="s">
        <v>4349</v>
      </c>
      <c r="C1968" t="s">
        <v>6691</v>
      </c>
      <c r="D1968" t="s">
        <v>8526</v>
      </c>
      <c r="E1968" t="s">
        <v>10463</v>
      </c>
    </row>
    <row r="1969" spans="1:5" ht="15.6" x14ac:dyDescent="0.3">
      <c r="A1969" s="1" t="s">
        <v>400</v>
      </c>
      <c r="B1969" s="1" t="s">
        <v>4350</v>
      </c>
      <c r="C1969" t="s">
        <v>6692</v>
      </c>
      <c r="D1969" t="s">
        <v>8527</v>
      </c>
      <c r="E1969" t="s">
        <v>9991</v>
      </c>
    </row>
    <row r="1970" spans="1:5" ht="15.6" x14ac:dyDescent="0.3">
      <c r="A1970" s="1" t="s">
        <v>399</v>
      </c>
      <c r="B1970" s="1" t="s">
        <v>4351</v>
      </c>
      <c r="C1970" t="s">
        <v>6693</v>
      </c>
      <c r="D1970" t="s">
        <v>8528</v>
      </c>
      <c r="E1970" t="s">
        <v>9775</v>
      </c>
    </row>
    <row r="1971" spans="1:5" ht="15.6" x14ac:dyDescent="0.3">
      <c r="A1971" s="1" t="s">
        <v>398</v>
      </c>
      <c r="B1971" s="1" t="s">
        <v>4352</v>
      </c>
      <c r="C1971" t="s">
        <v>6694</v>
      </c>
      <c r="D1971" t="s">
        <v>8529</v>
      </c>
      <c r="E1971" t="s">
        <v>10464</v>
      </c>
    </row>
    <row r="1972" spans="1:5" ht="15.6" x14ac:dyDescent="0.3">
      <c r="A1972" s="1" t="s">
        <v>397</v>
      </c>
      <c r="B1972" s="1" t="s">
        <v>4353</v>
      </c>
      <c r="C1972" t="s">
        <v>6695</v>
      </c>
      <c r="D1972" t="s">
        <v>8530</v>
      </c>
      <c r="E1972" t="s">
        <v>10465</v>
      </c>
    </row>
    <row r="1973" spans="1:5" ht="15.6" x14ac:dyDescent="0.3">
      <c r="A1973" s="1" t="s">
        <v>396</v>
      </c>
      <c r="B1973" s="1" t="s">
        <v>4354</v>
      </c>
      <c r="C1973" t="s">
        <v>6696</v>
      </c>
      <c r="D1973" t="s">
        <v>7148</v>
      </c>
      <c r="E1973" t="s">
        <v>10466</v>
      </c>
    </row>
    <row r="1974" spans="1:5" ht="15.6" x14ac:dyDescent="0.3">
      <c r="A1974" s="1" t="s">
        <v>395</v>
      </c>
      <c r="B1974" s="1" t="s">
        <v>4355</v>
      </c>
      <c r="C1974" t="s">
        <v>6697</v>
      </c>
      <c r="D1974" t="s">
        <v>8531</v>
      </c>
      <c r="E1974" t="s">
        <v>10467</v>
      </c>
    </row>
    <row r="1975" spans="1:5" ht="15.6" x14ac:dyDescent="0.3">
      <c r="A1975" s="1" t="s">
        <v>394</v>
      </c>
      <c r="B1975" s="1" t="s">
        <v>4356</v>
      </c>
      <c r="C1975" t="s">
        <v>6698</v>
      </c>
      <c r="D1975" t="s">
        <v>8532</v>
      </c>
      <c r="E1975" t="s">
        <v>10468</v>
      </c>
    </row>
    <row r="1976" spans="1:5" ht="15.6" x14ac:dyDescent="0.3">
      <c r="A1976" s="1" t="s">
        <v>393</v>
      </c>
      <c r="B1976" s="1" t="s">
        <v>4357</v>
      </c>
      <c r="C1976" t="s">
        <v>6699</v>
      </c>
      <c r="D1976" t="s">
        <v>8533</v>
      </c>
      <c r="E1976" t="s">
        <v>10469</v>
      </c>
    </row>
    <row r="1977" spans="1:5" ht="15.6" x14ac:dyDescent="0.3">
      <c r="A1977" s="1" t="s">
        <v>392</v>
      </c>
      <c r="B1977" s="1" t="s">
        <v>4358</v>
      </c>
      <c r="C1977" t="s">
        <v>6700</v>
      </c>
      <c r="D1977" t="s">
        <v>8534</v>
      </c>
      <c r="E1977" t="s">
        <v>10470</v>
      </c>
    </row>
    <row r="1978" spans="1:5" ht="15.6" x14ac:dyDescent="0.3">
      <c r="A1978" s="1" t="s">
        <v>391</v>
      </c>
      <c r="B1978" s="1" t="s">
        <v>4359</v>
      </c>
      <c r="C1978" t="s">
        <v>6701</v>
      </c>
      <c r="D1978" t="s">
        <v>7129</v>
      </c>
      <c r="E1978" t="s">
        <v>10471</v>
      </c>
    </row>
    <row r="1979" spans="1:5" ht="15.6" x14ac:dyDescent="0.3">
      <c r="A1979" s="1" t="s">
        <v>390</v>
      </c>
      <c r="B1979" s="1" t="s">
        <v>4360</v>
      </c>
      <c r="C1979" t="s">
        <v>6702</v>
      </c>
      <c r="D1979" t="s">
        <v>8535</v>
      </c>
      <c r="E1979" t="s">
        <v>8962</v>
      </c>
    </row>
    <row r="1980" spans="1:5" ht="15.6" x14ac:dyDescent="0.3">
      <c r="A1980" s="1" t="s">
        <v>389</v>
      </c>
      <c r="B1980" s="1" t="s">
        <v>4361</v>
      </c>
      <c r="C1980" t="s">
        <v>6703</v>
      </c>
      <c r="D1980" t="s">
        <v>8536</v>
      </c>
      <c r="E1980" t="s">
        <v>10472</v>
      </c>
    </row>
    <row r="1981" spans="1:5" ht="15.6" x14ac:dyDescent="0.3">
      <c r="A1981" s="1" t="s">
        <v>388</v>
      </c>
      <c r="B1981" s="1" t="s">
        <v>4362</v>
      </c>
      <c r="C1981" t="s">
        <v>6704</v>
      </c>
      <c r="D1981" t="s">
        <v>8537</v>
      </c>
      <c r="E1981" t="s">
        <v>10473</v>
      </c>
    </row>
    <row r="1982" spans="1:5" ht="15.6" x14ac:dyDescent="0.3">
      <c r="A1982" s="1" t="s">
        <v>387</v>
      </c>
      <c r="B1982" s="1" t="s">
        <v>4363</v>
      </c>
      <c r="C1982" t="s">
        <v>6705</v>
      </c>
      <c r="D1982" t="s">
        <v>8538</v>
      </c>
      <c r="E1982" t="s">
        <v>10474</v>
      </c>
    </row>
    <row r="1983" spans="1:5" ht="15.6" x14ac:dyDescent="0.3">
      <c r="A1983" s="1" t="s">
        <v>386</v>
      </c>
      <c r="B1983" s="1" t="s">
        <v>4364</v>
      </c>
      <c r="C1983" t="s">
        <v>6706</v>
      </c>
      <c r="D1983" t="s">
        <v>8539</v>
      </c>
      <c r="E1983" t="s">
        <v>10475</v>
      </c>
    </row>
    <row r="1984" spans="1:5" ht="15.6" x14ac:dyDescent="0.3">
      <c r="A1984" s="1" t="s">
        <v>385</v>
      </c>
      <c r="B1984" s="1" t="s">
        <v>4365</v>
      </c>
      <c r="C1984" t="s">
        <v>6707</v>
      </c>
      <c r="D1984" t="s">
        <v>8540</v>
      </c>
      <c r="E1984" t="s">
        <v>10476</v>
      </c>
    </row>
    <row r="1985" spans="1:5" ht="15.6" x14ac:dyDescent="0.3">
      <c r="A1985" s="1" t="s">
        <v>384</v>
      </c>
      <c r="B1985" s="1" t="s">
        <v>4366</v>
      </c>
      <c r="C1985" t="s">
        <v>6708</v>
      </c>
      <c r="D1985" t="s">
        <v>8541</v>
      </c>
      <c r="E1985" t="s">
        <v>10477</v>
      </c>
    </row>
    <row r="1986" spans="1:5" ht="15.6" x14ac:dyDescent="0.3">
      <c r="A1986" s="1" t="s">
        <v>383</v>
      </c>
      <c r="B1986" s="1" t="s">
        <v>4367</v>
      </c>
      <c r="C1986" t="s">
        <v>6709</v>
      </c>
      <c r="D1986" t="s">
        <v>7893</v>
      </c>
      <c r="E1986" t="s">
        <v>10478</v>
      </c>
    </row>
    <row r="1987" spans="1:5" ht="15.6" x14ac:dyDescent="0.3">
      <c r="A1987" s="1" t="s">
        <v>382</v>
      </c>
      <c r="B1987" s="1" t="s">
        <v>4368</v>
      </c>
      <c r="C1987" t="s">
        <v>6710</v>
      </c>
      <c r="D1987" t="s">
        <v>7094</v>
      </c>
      <c r="E1987" t="s">
        <v>10479</v>
      </c>
    </row>
    <row r="1988" spans="1:5" ht="15.6" x14ac:dyDescent="0.3">
      <c r="A1988" s="1" t="s">
        <v>381</v>
      </c>
      <c r="B1988" s="1" t="s">
        <v>4369</v>
      </c>
      <c r="C1988" t="s">
        <v>6711</v>
      </c>
      <c r="D1988" t="s">
        <v>8542</v>
      </c>
      <c r="E1988" t="s">
        <v>10480</v>
      </c>
    </row>
    <row r="1989" spans="1:5" ht="15.6" x14ac:dyDescent="0.3">
      <c r="A1989" s="1" t="s">
        <v>380</v>
      </c>
      <c r="B1989" s="1" t="s">
        <v>4370</v>
      </c>
      <c r="C1989" t="s">
        <v>6712</v>
      </c>
      <c r="D1989" t="s">
        <v>8543</v>
      </c>
      <c r="E1989" t="s">
        <v>10481</v>
      </c>
    </row>
    <row r="1990" spans="1:5" ht="15.6" x14ac:dyDescent="0.3">
      <c r="A1990" s="1" t="s">
        <v>379</v>
      </c>
      <c r="B1990" s="1" t="s">
        <v>4371</v>
      </c>
      <c r="C1990" t="s">
        <v>6713</v>
      </c>
      <c r="D1990" t="s">
        <v>7152</v>
      </c>
      <c r="E1990" t="s">
        <v>10482</v>
      </c>
    </row>
    <row r="1991" spans="1:5" ht="15.6" x14ac:dyDescent="0.3">
      <c r="A1991" s="1" t="s">
        <v>378</v>
      </c>
      <c r="B1991" s="1" t="s">
        <v>4372</v>
      </c>
      <c r="C1991" t="s">
        <v>6714</v>
      </c>
      <c r="D1991" t="s">
        <v>8544</v>
      </c>
      <c r="E1991" t="s">
        <v>10483</v>
      </c>
    </row>
    <row r="1992" spans="1:5" ht="15.6" x14ac:dyDescent="0.3">
      <c r="A1992" s="1" t="s">
        <v>377</v>
      </c>
      <c r="B1992" s="1" t="s">
        <v>4373</v>
      </c>
      <c r="C1992" t="s">
        <v>6715</v>
      </c>
      <c r="D1992" t="s">
        <v>8545</v>
      </c>
      <c r="E1992" t="s">
        <v>10484</v>
      </c>
    </row>
    <row r="1993" spans="1:5" ht="15.6" x14ac:dyDescent="0.3">
      <c r="A1993" s="1" t="s">
        <v>376</v>
      </c>
      <c r="B1993" s="1" t="s">
        <v>4374</v>
      </c>
      <c r="C1993" t="s">
        <v>6716</v>
      </c>
      <c r="D1993" t="s">
        <v>8546</v>
      </c>
      <c r="E1993" t="s">
        <v>10485</v>
      </c>
    </row>
    <row r="1994" spans="1:5" ht="15.6" x14ac:dyDescent="0.3">
      <c r="A1994" s="1" t="s">
        <v>375</v>
      </c>
      <c r="B1994" s="1" t="s">
        <v>4375</v>
      </c>
      <c r="C1994" t="s">
        <v>6717</v>
      </c>
      <c r="D1994" t="s">
        <v>8547</v>
      </c>
      <c r="E1994" t="s">
        <v>10486</v>
      </c>
    </row>
    <row r="1995" spans="1:5" ht="15.6" x14ac:dyDescent="0.3">
      <c r="A1995" s="1" t="s">
        <v>374</v>
      </c>
      <c r="B1995" s="1" t="s">
        <v>4376</v>
      </c>
      <c r="C1995" t="s">
        <v>6718</v>
      </c>
      <c r="D1995" t="s">
        <v>8242</v>
      </c>
      <c r="E1995" t="s">
        <v>10487</v>
      </c>
    </row>
    <row r="1996" spans="1:5" ht="15.6" x14ac:dyDescent="0.3">
      <c r="A1996" s="1" t="s">
        <v>373</v>
      </c>
      <c r="B1996" s="1" t="s">
        <v>4377</v>
      </c>
      <c r="C1996" t="s">
        <v>6719</v>
      </c>
      <c r="D1996" t="s">
        <v>8548</v>
      </c>
      <c r="E1996" t="s">
        <v>10488</v>
      </c>
    </row>
    <row r="1997" spans="1:5" ht="15.6" x14ac:dyDescent="0.3">
      <c r="A1997" s="1" t="s">
        <v>372</v>
      </c>
      <c r="B1997" s="1" t="s">
        <v>4378</v>
      </c>
      <c r="C1997" t="s">
        <v>6720</v>
      </c>
      <c r="D1997" t="s">
        <v>8549</v>
      </c>
      <c r="E1997" t="s">
        <v>9117</v>
      </c>
    </row>
    <row r="1998" spans="1:5" ht="15.6" x14ac:dyDescent="0.3">
      <c r="A1998" s="1" t="s">
        <v>371</v>
      </c>
      <c r="B1998" s="1" t="s">
        <v>4379</v>
      </c>
      <c r="C1998" t="s">
        <v>6721</v>
      </c>
      <c r="D1998" t="s">
        <v>7302</v>
      </c>
      <c r="E1998" t="s">
        <v>8842</v>
      </c>
    </row>
    <row r="1999" spans="1:5" ht="15.6" x14ac:dyDescent="0.3">
      <c r="A1999" s="1" t="s">
        <v>370</v>
      </c>
      <c r="B1999" s="1" t="s">
        <v>4380</v>
      </c>
      <c r="C1999" t="s">
        <v>6722</v>
      </c>
      <c r="D1999" t="s">
        <v>8550</v>
      </c>
      <c r="E1999" t="s">
        <v>10489</v>
      </c>
    </row>
    <row r="2000" spans="1:5" ht="15.6" x14ac:dyDescent="0.3">
      <c r="A2000" s="1" t="s">
        <v>369</v>
      </c>
      <c r="B2000" s="1" t="s">
        <v>4381</v>
      </c>
      <c r="C2000" t="s">
        <v>6723</v>
      </c>
      <c r="D2000" t="s">
        <v>7471</v>
      </c>
      <c r="E2000" t="s">
        <v>9033</v>
      </c>
    </row>
    <row r="2001" spans="1:5" ht="15.6" x14ac:dyDescent="0.3">
      <c r="A2001" s="1" t="s">
        <v>368</v>
      </c>
      <c r="B2001" s="1" t="s">
        <v>4382</v>
      </c>
      <c r="C2001" t="s">
        <v>6724</v>
      </c>
      <c r="D2001" t="s">
        <v>8551</v>
      </c>
      <c r="E2001" t="s">
        <v>10490</v>
      </c>
    </row>
    <row r="2002" spans="1:5" ht="15.6" x14ac:dyDescent="0.3">
      <c r="A2002" s="1" t="s">
        <v>367</v>
      </c>
      <c r="B2002" s="1" t="s">
        <v>4383</v>
      </c>
      <c r="C2002" t="s">
        <v>6725</v>
      </c>
      <c r="D2002" t="s">
        <v>8552</v>
      </c>
      <c r="E2002" t="s">
        <v>10491</v>
      </c>
    </row>
    <row r="2003" spans="1:5" ht="15.6" x14ac:dyDescent="0.3">
      <c r="A2003" s="1" t="s">
        <v>366</v>
      </c>
      <c r="B2003" s="1" t="s">
        <v>4384</v>
      </c>
      <c r="C2003" t="s">
        <v>6726</v>
      </c>
      <c r="D2003" t="s">
        <v>8553</v>
      </c>
      <c r="E2003" t="s">
        <v>10492</v>
      </c>
    </row>
    <row r="2004" spans="1:5" ht="15.6" x14ac:dyDescent="0.3">
      <c r="A2004" s="1" t="s">
        <v>365</v>
      </c>
      <c r="B2004" s="1" t="s">
        <v>4385</v>
      </c>
      <c r="C2004" t="s">
        <v>6727</v>
      </c>
      <c r="D2004" t="s">
        <v>7492</v>
      </c>
      <c r="E2004" t="s">
        <v>10493</v>
      </c>
    </row>
    <row r="2005" spans="1:5" ht="15.6" x14ac:dyDescent="0.3">
      <c r="A2005" s="1" t="s">
        <v>364</v>
      </c>
      <c r="B2005" s="1" t="s">
        <v>4386</v>
      </c>
      <c r="C2005" t="s">
        <v>6728</v>
      </c>
      <c r="D2005" t="s">
        <v>8554</v>
      </c>
      <c r="E2005" t="s">
        <v>10494</v>
      </c>
    </row>
    <row r="2006" spans="1:5" ht="15.6" x14ac:dyDescent="0.3">
      <c r="A2006" s="1" t="s">
        <v>363</v>
      </c>
      <c r="B2006" s="1" t="s">
        <v>4387</v>
      </c>
      <c r="C2006" t="s">
        <v>6729</v>
      </c>
      <c r="D2006" t="s">
        <v>8555</v>
      </c>
      <c r="E2006" t="s">
        <v>9926</v>
      </c>
    </row>
    <row r="2007" spans="1:5" ht="15.6" x14ac:dyDescent="0.3">
      <c r="A2007" s="1" t="s">
        <v>362</v>
      </c>
      <c r="B2007" s="1" t="s">
        <v>4388</v>
      </c>
      <c r="C2007" t="s">
        <v>6730</v>
      </c>
      <c r="D2007" t="s">
        <v>7136</v>
      </c>
      <c r="E2007" t="s">
        <v>10495</v>
      </c>
    </row>
    <row r="2008" spans="1:5" ht="15.6" x14ac:dyDescent="0.3">
      <c r="A2008" s="1" t="s">
        <v>361</v>
      </c>
      <c r="B2008" s="1" t="s">
        <v>4389</v>
      </c>
      <c r="C2008" t="s">
        <v>6731</v>
      </c>
      <c r="D2008" t="s">
        <v>8556</v>
      </c>
      <c r="E2008" t="s">
        <v>9141</v>
      </c>
    </row>
    <row r="2009" spans="1:5" ht="15.6" x14ac:dyDescent="0.3">
      <c r="A2009" s="1" t="s">
        <v>360</v>
      </c>
      <c r="B2009" s="1" t="s">
        <v>4390</v>
      </c>
      <c r="C2009" t="s">
        <v>6732</v>
      </c>
      <c r="D2009" t="s">
        <v>8557</v>
      </c>
      <c r="E2009" t="s">
        <v>10496</v>
      </c>
    </row>
    <row r="2010" spans="1:5" ht="15.6" x14ac:dyDescent="0.3">
      <c r="A2010" s="1" t="s">
        <v>359</v>
      </c>
      <c r="B2010" s="1" t="s">
        <v>4391</v>
      </c>
      <c r="C2010" t="s">
        <v>6733</v>
      </c>
      <c r="D2010" t="s">
        <v>8558</v>
      </c>
      <c r="E2010" t="s">
        <v>10497</v>
      </c>
    </row>
    <row r="2011" spans="1:5" ht="15.6" x14ac:dyDescent="0.3">
      <c r="A2011" s="1" t="s">
        <v>358</v>
      </c>
      <c r="B2011" s="1" t="s">
        <v>4392</v>
      </c>
      <c r="C2011" t="s">
        <v>6734</v>
      </c>
      <c r="D2011" t="s">
        <v>8559</v>
      </c>
      <c r="E2011" t="s">
        <v>10498</v>
      </c>
    </row>
    <row r="2012" spans="1:5" ht="15.6" x14ac:dyDescent="0.3">
      <c r="A2012" s="1" t="s">
        <v>357</v>
      </c>
      <c r="B2012" s="1" t="s">
        <v>4393</v>
      </c>
      <c r="C2012" t="s">
        <v>6735</v>
      </c>
      <c r="D2012" t="s">
        <v>7329</v>
      </c>
      <c r="E2012" t="s">
        <v>10499</v>
      </c>
    </row>
    <row r="2013" spans="1:5" ht="15.6" x14ac:dyDescent="0.3">
      <c r="A2013" s="1" t="s">
        <v>355</v>
      </c>
      <c r="B2013" s="1" t="s">
        <v>4394</v>
      </c>
      <c r="C2013" t="s">
        <v>6736</v>
      </c>
      <c r="D2013" t="s">
        <v>7260</v>
      </c>
      <c r="E2013" t="s">
        <v>10500</v>
      </c>
    </row>
    <row r="2014" spans="1:5" ht="15.6" x14ac:dyDescent="0.3">
      <c r="A2014" s="1" t="s">
        <v>354</v>
      </c>
      <c r="B2014" s="1" t="s">
        <v>4395</v>
      </c>
      <c r="C2014" t="s">
        <v>6737</v>
      </c>
      <c r="D2014" t="s">
        <v>8560</v>
      </c>
      <c r="E2014" t="s">
        <v>9696</v>
      </c>
    </row>
    <row r="2015" spans="1:5" ht="15.6" x14ac:dyDescent="0.3">
      <c r="A2015" s="1" t="s">
        <v>353</v>
      </c>
      <c r="B2015" s="1" t="s">
        <v>4396</v>
      </c>
      <c r="C2015" t="s">
        <v>6738</v>
      </c>
      <c r="D2015" t="s">
        <v>8561</v>
      </c>
      <c r="E2015" t="s">
        <v>10501</v>
      </c>
    </row>
    <row r="2016" spans="1:5" ht="15.6" x14ac:dyDescent="0.3">
      <c r="A2016" s="1" t="s">
        <v>352</v>
      </c>
      <c r="B2016" s="1" t="s">
        <v>4397</v>
      </c>
      <c r="C2016" t="s">
        <v>6739</v>
      </c>
      <c r="D2016" t="s">
        <v>8562</v>
      </c>
      <c r="E2016" t="s">
        <v>10502</v>
      </c>
    </row>
    <row r="2017" spans="1:5" ht="15.6" x14ac:dyDescent="0.3">
      <c r="A2017" s="1" t="s">
        <v>351</v>
      </c>
      <c r="B2017" s="1" t="s">
        <v>4398</v>
      </c>
      <c r="C2017" t="s">
        <v>6740</v>
      </c>
      <c r="D2017" t="s">
        <v>8512</v>
      </c>
      <c r="E2017" t="s">
        <v>10503</v>
      </c>
    </row>
    <row r="2018" spans="1:5" ht="15.6" x14ac:dyDescent="0.3">
      <c r="A2018" s="1" t="s">
        <v>350</v>
      </c>
      <c r="B2018" s="1" t="s">
        <v>4399</v>
      </c>
      <c r="C2018" t="s">
        <v>6741</v>
      </c>
      <c r="D2018" t="s">
        <v>8563</v>
      </c>
      <c r="E2018" t="s">
        <v>10504</v>
      </c>
    </row>
    <row r="2019" spans="1:5" ht="15.6" x14ac:dyDescent="0.3">
      <c r="A2019" s="1" t="s">
        <v>349</v>
      </c>
      <c r="B2019" s="1" t="s">
        <v>4400</v>
      </c>
      <c r="C2019" t="s">
        <v>6742</v>
      </c>
      <c r="D2019" t="s">
        <v>7136</v>
      </c>
      <c r="E2019" t="s">
        <v>10505</v>
      </c>
    </row>
    <row r="2020" spans="1:5" ht="15.6" x14ac:dyDescent="0.3">
      <c r="A2020" s="1" t="s">
        <v>348</v>
      </c>
      <c r="B2020" s="1" t="s">
        <v>4401</v>
      </c>
      <c r="C2020" t="s">
        <v>6743</v>
      </c>
      <c r="D2020" t="s">
        <v>8564</v>
      </c>
      <c r="E2020" t="s">
        <v>8809</v>
      </c>
    </row>
    <row r="2021" spans="1:5" ht="15.6" x14ac:dyDescent="0.3">
      <c r="A2021" s="1" t="s">
        <v>347</v>
      </c>
      <c r="B2021" s="1" t="s">
        <v>4402</v>
      </c>
      <c r="C2021" t="s">
        <v>6744</v>
      </c>
      <c r="D2021" t="s">
        <v>8565</v>
      </c>
      <c r="E2021" t="s">
        <v>10506</v>
      </c>
    </row>
    <row r="2022" spans="1:5" ht="15.6" x14ac:dyDescent="0.3">
      <c r="A2022" s="1" t="s">
        <v>346</v>
      </c>
      <c r="B2022" s="1" t="s">
        <v>4403</v>
      </c>
      <c r="C2022" t="s">
        <v>6745</v>
      </c>
      <c r="D2022" t="s">
        <v>8415</v>
      </c>
      <c r="E2022" t="s">
        <v>8970</v>
      </c>
    </row>
    <row r="2023" spans="1:5" ht="15.6" x14ac:dyDescent="0.3">
      <c r="A2023" s="1" t="s">
        <v>345</v>
      </c>
      <c r="B2023" s="1" t="s">
        <v>4404</v>
      </c>
      <c r="C2023" t="s">
        <v>6746</v>
      </c>
      <c r="D2023" t="s">
        <v>8566</v>
      </c>
      <c r="E2023" t="s">
        <v>10507</v>
      </c>
    </row>
    <row r="2024" spans="1:5" ht="15.6" x14ac:dyDescent="0.3">
      <c r="A2024" s="1" t="s">
        <v>344</v>
      </c>
      <c r="B2024" s="1" t="s">
        <v>4405</v>
      </c>
      <c r="C2024" t="s">
        <v>6747</v>
      </c>
      <c r="D2024" t="s">
        <v>8567</v>
      </c>
      <c r="E2024" t="s">
        <v>10508</v>
      </c>
    </row>
    <row r="2025" spans="1:5" ht="15.6" x14ac:dyDescent="0.3">
      <c r="A2025" s="1" t="s">
        <v>343</v>
      </c>
      <c r="B2025" s="1" t="s">
        <v>4406</v>
      </c>
      <c r="C2025" t="s">
        <v>6748</v>
      </c>
      <c r="D2025" t="s">
        <v>8568</v>
      </c>
      <c r="E2025" t="s">
        <v>10509</v>
      </c>
    </row>
    <row r="2026" spans="1:5" ht="15.6" x14ac:dyDescent="0.3">
      <c r="A2026" s="1" t="s">
        <v>342</v>
      </c>
      <c r="B2026" s="1" t="s">
        <v>4407</v>
      </c>
      <c r="C2026" t="s">
        <v>6749</v>
      </c>
      <c r="D2026" t="s">
        <v>8569</v>
      </c>
      <c r="E2026" t="s">
        <v>10510</v>
      </c>
    </row>
    <row r="2027" spans="1:5" ht="15.6" x14ac:dyDescent="0.3">
      <c r="A2027" s="1" t="s">
        <v>341</v>
      </c>
      <c r="B2027" s="1" t="s">
        <v>4408</v>
      </c>
      <c r="C2027" t="s">
        <v>6750</v>
      </c>
      <c r="D2027" t="s">
        <v>8570</v>
      </c>
      <c r="E2027" t="s">
        <v>10511</v>
      </c>
    </row>
    <row r="2028" spans="1:5" ht="15.6" x14ac:dyDescent="0.3">
      <c r="A2028" s="1" t="s">
        <v>340</v>
      </c>
      <c r="B2028" s="1" t="s">
        <v>4409</v>
      </c>
      <c r="C2028" t="s">
        <v>6751</v>
      </c>
      <c r="D2028" t="s">
        <v>8571</v>
      </c>
      <c r="E2028" t="s">
        <v>10163</v>
      </c>
    </row>
    <row r="2029" spans="1:5" ht="15.6" x14ac:dyDescent="0.3">
      <c r="A2029" s="1" t="s">
        <v>339</v>
      </c>
      <c r="B2029" s="1" t="s">
        <v>4410</v>
      </c>
      <c r="C2029" t="s">
        <v>4737</v>
      </c>
      <c r="D2029" t="s">
        <v>7072</v>
      </c>
      <c r="E2029" t="s">
        <v>10512</v>
      </c>
    </row>
    <row r="2030" spans="1:5" ht="15.6" x14ac:dyDescent="0.3">
      <c r="A2030" s="1" t="s">
        <v>338</v>
      </c>
      <c r="B2030" s="1" t="s">
        <v>4411</v>
      </c>
      <c r="C2030" t="s">
        <v>6752</v>
      </c>
      <c r="D2030" t="s">
        <v>7137</v>
      </c>
      <c r="E2030" t="s">
        <v>10513</v>
      </c>
    </row>
    <row r="2031" spans="1:5" ht="15.6" x14ac:dyDescent="0.3">
      <c r="A2031" s="1" t="s">
        <v>337</v>
      </c>
      <c r="B2031" s="1" t="s">
        <v>4412</v>
      </c>
      <c r="C2031" t="s">
        <v>6753</v>
      </c>
      <c r="D2031" t="s">
        <v>8572</v>
      </c>
      <c r="E2031" t="s">
        <v>10514</v>
      </c>
    </row>
    <row r="2032" spans="1:5" ht="15.6" x14ac:dyDescent="0.3">
      <c r="A2032" s="1" t="s">
        <v>336</v>
      </c>
      <c r="B2032" s="1" t="s">
        <v>4413</v>
      </c>
      <c r="C2032" t="s">
        <v>6754</v>
      </c>
      <c r="D2032" t="s">
        <v>8573</v>
      </c>
      <c r="E2032" t="s">
        <v>10515</v>
      </c>
    </row>
    <row r="2033" spans="1:5" ht="15.6" x14ac:dyDescent="0.3">
      <c r="A2033" s="1" t="s">
        <v>335</v>
      </c>
      <c r="B2033" s="1" t="s">
        <v>4414</v>
      </c>
      <c r="C2033" t="s">
        <v>6755</v>
      </c>
      <c r="D2033" t="s">
        <v>8574</v>
      </c>
      <c r="E2033" t="s">
        <v>9428</v>
      </c>
    </row>
    <row r="2034" spans="1:5" ht="15.6" x14ac:dyDescent="0.3">
      <c r="A2034" s="1" t="s">
        <v>334</v>
      </c>
      <c r="B2034" s="1" t="s">
        <v>4415</v>
      </c>
      <c r="C2034" t="s">
        <v>6756</v>
      </c>
      <c r="D2034" t="s">
        <v>8575</v>
      </c>
      <c r="E2034" t="s">
        <v>10516</v>
      </c>
    </row>
    <row r="2035" spans="1:5" ht="15.6" x14ac:dyDescent="0.3">
      <c r="A2035" s="1" t="s">
        <v>333</v>
      </c>
      <c r="B2035" s="1" t="s">
        <v>4416</v>
      </c>
      <c r="C2035" t="s">
        <v>6757</v>
      </c>
      <c r="D2035" t="s">
        <v>7870</v>
      </c>
      <c r="E2035" t="s">
        <v>10517</v>
      </c>
    </row>
    <row r="2036" spans="1:5" ht="15.6" x14ac:dyDescent="0.3">
      <c r="A2036" s="1" t="s">
        <v>332</v>
      </c>
      <c r="B2036" s="1" t="s">
        <v>4417</v>
      </c>
      <c r="C2036" t="s">
        <v>6758</v>
      </c>
      <c r="D2036" t="s">
        <v>8576</v>
      </c>
      <c r="E2036" t="s">
        <v>10518</v>
      </c>
    </row>
    <row r="2037" spans="1:5" ht="15.6" x14ac:dyDescent="0.3">
      <c r="A2037" s="1" t="s">
        <v>331</v>
      </c>
      <c r="B2037" s="1" t="s">
        <v>4418</v>
      </c>
      <c r="C2037" t="s">
        <v>6759</v>
      </c>
      <c r="D2037" t="s">
        <v>8577</v>
      </c>
      <c r="E2037" t="s">
        <v>10519</v>
      </c>
    </row>
    <row r="2038" spans="1:5" ht="15.6" x14ac:dyDescent="0.3">
      <c r="A2038" s="1" t="s">
        <v>330</v>
      </c>
      <c r="B2038" s="1" t="s">
        <v>4419</v>
      </c>
      <c r="C2038" t="s">
        <v>6760</v>
      </c>
      <c r="D2038" t="s">
        <v>8578</v>
      </c>
      <c r="E2038" t="s">
        <v>10520</v>
      </c>
    </row>
    <row r="2039" spans="1:5" ht="15.6" x14ac:dyDescent="0.3">
      <c r="A2039" s="1" t="s">
        <v>329</v>
      </c>
      <c r="B2039" s="1" t="s">
        <v>4420</v>
      </c>
      <c r="C2039" t="s">
        <v>6761</v>
      </c>
      <c r="D2039" t="s">
        <v>7297</v>
      </c>
      <c r="E2039" t="s">
        <v>10521</v>
      </c>
    </row>
    <row r="2040" spans="1:5" ht="15.6" x14ac:dyDescent="0.3">
      <c r="A2040" s="1" t="s">
        <v>328</v>
      </c>
      <c r="B2040" s="1" t="s">
        <v>4421</v>
      </c>
      <c r="C2040" t="s">
        <v>6762</v>
      </c>
      <c r="D2040" t="s">
        <v>8579</v>
      </c>
      <c r="E2040" t="s">
        <v>8812</v>
      </c>
    </row>
    <row r="2041" spans="1:5" ht="15.6" x14ac:dyDescent="0.3">
      <c r="A2041" s="1" t="s">
        <v>327</v>
      </c>
      <c r="B2041" s="1" t="s">
        <v>4422</v>
      </c>
      <c r="C2041" t="s">
        <v>6763</v>
      </c>
      <c r="D2041" t="s">
        <v>8580</v>
      </c>
      <c r="E2041" t="s">
        <v>10522</v>
      </c>
    </row>
    <row r="2042" spans="1:5" ht="15.6" x14ac:dyDescent="0.3">
      <c r="A2042" s="1" t="s">
        <v>326</v>
      </c>
      <c r="B2042" s="1" t="s">
        <v>4423</v>
      </c>
      <c r="C2042" t="s">
        <v>6764</v>
      </c>
      <c r="D2042" t="s">
        <v>7811</v>
      </c>
      <c r="E2042" t="s">
        <v>9588</v>
      </c>
    </row>
    <row r="2043" spans="1:5" ht="15.6" x14ac:dyDescent="0.3">
      <c r="A2043" s="1" t="s">
        <v>325</v>
      </c>
      <c r="B2043" s="1" t="s">
        <v>4424</v>
      </c>
      <c r="C2043" t="s">
        <v>6765</v>
      </c>
      <c r="D2043" t="s">
        <v>8581</v>
      </c>
      <c r="E2043" t="s">
        <v>10523</v>
      </c>
    </row>
    <row r="2044" spans="1:5" ht="15.6" x14ac:dyDescent="0.3">
      <c r="A2044" s="1" t="s">
        <v>324</v>
      </c>
      <c r="B2044" s="1" t="s">
        <v>4425</v>
      </c>
      <c r="C2044" t="s">
        <v>6766</v>
      </c>
      <c r="D2044" t="s">
        <v>8582</v>
      </c>
      <c r="E2044" t="s">
        <v>10524</v>
      </c>
    </row>
    <row r="2045" spans="1:5" ht="15.6" x14ac:dyDescent="0.3">
      <c r="A2045" s="1" t="s">
        <v>323</v>
      </c>
      <c r="B2045" s="1" t="s">
        <v>4426</v>
      </c>
      <c r="C2045" t="s">
        <v>6767</v>
      </c>
      <c r="D2045" t="s">
        <v>8583</v>
      </c>
      <c r="E2045" t="s">
        <v>10525</v>
      </c>
    </row>
    <row r="2046" spans="1:5" ht="15.6" x14ac:dyDescent="0.3">
      <c r="A2046" s="1" t="s">
        <v>322</v>
      </c>
      <c r="B2046" s="1" t="s">
        <v>4427</v>
      </c>
      <c r="C2046" t="s">
        <v>6768</v>
      </c>
      <c r="D2046" t="s">
        <v>8584</v>
      </c>
      <c r="E2046" t="s">
        <v>10526</v>
      </c>
    </row>
    <row r="2047" spans="1:5" ht="15.6" x14ac:dyDescent="0.3">
      <c r="A2047" s="1" t="s">
        <v>321</v>
      </c>
      <c r="B2047" s="1" t="s">
        <v>4428</v>
      </c>
      <c r="C2047" t="s">
        <v>6769</v>
      </c>
      <c r="D2047" t="s">
        <v>8585</v>
      </c>
      <c r="E2047" t="s">
        <v>10527</v>
      </c>
    </row>
    <row r="2048" spans="1:5" ht="15.6" x14ac:dyDescent="0.3">
      <c r="A2048" s="1" t="s">
        <v>320</v>
      </c>
      <c r="B2048" s="1" t="s">
        <v>4429</v>
      </c>
      <c r="C2048" t="s">
        <v>6770</v>
      </c>
      <c r="D2048" t="s">
        <v>7149</v>
      </c>
      <c r="E2048" t="s">
        <v>8816</v>
      </c>
    </row>
    <row r="2049" spans="1:5" ht="15.6" x14ac:dyDescent="0.3">
      <c r="A2049" s="1" t="s">
        <v>319</v>
      </c>
      <c r="B2049" s="1" t="s">
        <v>4430</v>
      </c>
      <c r="C2049" t="s">
        <v>6771</v>
      </c>
      <c r="D2049" t="s">
        <v>8586</v>
      </c>
      <c r="E2049" t="s">
        <v>10528</v>
      </c>
    </row>
    <row r="2050" spans="1:5" ht="15.6" x14ac:dyDescent="0.3">
      <c r="A2050" s="1" t="s">
        <v>318</v>
      </c>
      <c r="B2050" s="1" t="s">
        <v>4431</v>
      </c>
      <c r="C2050" t="s">
        <v>6772</v>
      </c>
      <c r="D2050" t="s">
        <v>8587</v>
      </c>
      <c r="E2050" t="s">
        <v>9779</v>
      </c>
    </row>
    <row r="2051" spans="1:5" ht="15.6" x14ac:dyDescent="0.3">
      <c r="A2051" s="1" t="s">
        <v>317</v>
      </c>
      <c r="B2051" s="1" t="s">
        <v>4432</v>
      </c>
      <c r="C2051" t="s">
        <v>6773</v>
      </c>
      <c r="D2051" t="s">
        <v>7548</v>
      </c>
      <c r="E2051" t="s">
        <v>10095</v>
      </c>
    </row>
    <row r="2052" spans="1:5" ht="15.6" x14ac:dyDescent="0.3">
      <c r="A2052" s="1" t="s">
        <v>316</v>
      </c>
      <c r="B2052" s="1" t="s">
        <v>4433</v>
      </c>
      <c r="C2052" t="s">
        <v>6774</v>
      </c>
      <c r="D2052" t="s">
        <v>8588</v>
      </c>
      <c r="E2052" t="s">
        <v>10529</v>
      </c>
    </row>
    <row r="2053" spans="1:5" ht="15.6" x14ac:dyDescent="0.3">
      <c r="A2053" s="1" t="s">
        <v>315</v>
      </c>
      <c r="B2053" s="1" t="s">
        <v>4434</v>
      </c>
      <c r="C2053" t="s">
        <v>6775</v>
      </c>
      <c r="D2053" t="s">
        <v>8589</v>
      </c>
      <c r="E2053" t="s">
        <v>9383</v>
      </c>
    </row>
    <row r="2054" spans="1:5" ht="15.6" x14ac:dyDescent="0.3">
      <c r="A2054" s="1" t="s">
        <v>314</v>
      </c>
      <c r="B2054" s="1" t="s">
        <v>4435</v>
      </c>
      <c r="C2054" t="s">
        <v>6776</v>
      </c>
      <c r="D2054" t="s">
        <v>8590</v>
      </c>
      <c r="E2054" t="s">
        <v>10530</v>
      </c>
    </row>
    <row r="2055" spans="1:5" ht="15.6" x14ac:dyDescent="0.3">
      <c r="A2055" s="1" t="s">
        <v>313</v>
      </c>
      <c r="B2055" s="1" t="s">
        <v>4436</v>
      </c>
      <c r="C2055" t="s">
        <v>6777</v>
      </c>
      <c r="D2055" t="s">
        <v>8591</v>
      </c>
      <c r="E2055" t="s">
        <v>10531</v>
      </c>
    </row>
    <row r="2056" spans="1:5" ht="15.6" x14ac:dyDescent="0.3">
      <c r="A2056" s="1" t="s">
        <v>312</v>
      </c>
      <c r="B2056" s="1" t="s">
        <v>4437</v>
      </c>
      <c r="C2056" t="s">
        <v>6778</v>
      </c>
      <c r="D2056" t="s">
        <v>8592</v>
      </c>
      <c r="E2056" t="s">
        <v>9211</v>
      </c>
    </row>
    <row r="2057" spans="1:5" ht="15.6" x14ac:dyDescent="0.3">
      <c r="A2057" s="1" t="s">
        <v>311</v>
      </c>
      <c r="B2057" s="1" t="s">
        <v>4438</v>
      </c>
      <c r="C2057" t="s">
        <v>6779</v>
      </c>
      <c r="D2057" t="s">
        <v>8593</v>
      </c>
      <c r="E2057" t="s">
        <v>10532</v>
      </c>
    </row>
    <row r="2058" spans="1:5" ht="15.6" x14ac:dyDescent="0.3">
      <c r="A2058" s="1" t="s">
        <v>310</v>
      </c>
      <c r="B2058" s="1" t="s">
        <v>4439</v>
      </c>
      <c r="C2058" t="s">
        <v>6780</v>
      </c>
      <c r="D2058" t="s">
        <v>8594</v>
      </c>
      <c r="E2058" t="s">
        <v>10533</v>
      </c>
    </row>
    <row r="2059" spans="1:5" ht="15.6" x14ac:dyDescent="0.3">
      <c r="A2059" s="1" t="s">
        <v>309</v>
      </c>
      <c r="B2059" s="1" t="s">
        <v>4440</v>
      </c>
      <c r="C2059" t="s">
        <v>6781</v>
      </c>
      <c r="D2059" t="s">
        <v>7530</v>
      </c>
      <c r="E2059" t="s">
        <v>10534</v>
      </c>
    </row>
    <row r="2060" spans="1:5" ht="15.6" x14ac:dyDescent="0.3">
      <c r="A2060" s="1" t="s">
        <v>308</v>
      </c>
      <c r="B2060" s="1" t="s">
        <v>4441</v>
      </c>
      <c r="C2060" t="s">
        <v>6782</v>
      </c>
      <c r="D2060" t="s">
        <v>8595</v>
      </c>
      <c r="E2060" t="s">
        <v>10535</v>
      </c>
    </row>
    <row r="2061" spans="1:5" ht="15.6" x14ac:dyDescent="0.3">
      <c r="A2061" s="1" t="s">
        <v>307</v>
      </c>
      <c r="B2061" s="1" t="s">
        <v>4442</v>
      </c>
      <c r="C2061" t="s">
        <v>6783</v>
      </c>
      <c r="D2061" t="s">
        <v>7808</v>
      </c>
      <c r="E2061" t="s">
        <v>10536</v>
      </c>
    </row>
    <row r="2062" spans="1:5" ht="15.6" x14ac:dyDescent="0.3">
      <c r="A2062" s="1" t="s">
        <v>306</v>
      </c>
      <c r="B2062" s="1" t="s">
        <v>4443</v>
      </c>
      <c r="C2062" t="s">
        <v>6784</v>
      </c>
      <c r="D2062" t="s">
        <v>8596</v>
      </c>
      <c r="E2062" t="s">
        <v>10537</v>
      </c>
    </row>
    <row r="2063" spans="1:5" ht="15.6" x14ac:dyDescent="0.3">
      <c r="A2063" s="1" t="s">
        <v>305</v>
      </c>
      <c r="B2063" s="1" t="s">
        <v>4444</v>
      </c>
      <c r="C2063" t="s">
        <v>6785</v>
      </c>
      <c r="D2063" t="s">
        <v>8597</v>
      </c>
      <c r="E2063" t="s">
        <v>10538</v>
      </c>
    </row>
    <row r="2064" spans="1:5" ht="15.6" x14ac:dyDescent="0.3">
      <c r="A2064" s="1" t="s">
        <v>304</v>
      </c>
      <c r="B2064" s="1" t="s">
        <v>4445</v>
      </c>
      <c r="C2064" t="s">
        <v>6786</v>
      </c>
      <c r="D2064" t="s">
        <v>8598</v>
      </c>
      <c r="E2064" t="s">
        <v>9984</v>
      </c>
    </row>
    <row r="2065" spans="1:5" ht="15.6" x14ac:dyDescent="0.3">
      <c r="A2065" s="1" t="s">
        <v>303</v>
      </c>
      <c r="B2065" s="1" t="s">
        <v>4446</v>
      </c>
      <c r="C2065" t="s">
        <v>6787</v>
      </c>
      <c r="D2065" t="s">
        <v>7297</v>
      </c>
      <c r="E2065" t="s">
        <v>9247</v>
      </c>
    </row>
    <row r="2066" spans="1:5" ht="15.6" x14ac:dyDescent="0.3">
      <c r="A2066" s="1" t="s">
        <v>302</v>
      </c>
      <c r="B2066" s="1" t="s">
        <v>4447</v>
      </c>
      <c r="C2066" t="s">
        <v>6788</v>
      </c>
      <c r="D2066" t="s">
        <v>8599</v>
      </c>
      <c r="E2066" t="s">
        <v>10539</v>
      </c>
    </row>
    <row r="2067" spans="1:5" ht="15.6" x14ac:dyDescent="0.3">
      <c r="A2067" s="1" t="s">
        <v>301</v>
      </c>
      <c r="B2067" s="1" t="s">
        <v>4448</v>
      </c>
      <c r="C2067" t="s">
        <v>6789</v>
      </c>
      <c r="D2067" t="s">
        <v>8600</v>
      </c>
      <c r="E2067" t="s">
        <v>9588</v>
      </c>
    </row>
    <row r="2068" spans="1:5" ht="15.6" x14ac:dyDescent="0.3">
      <c r="A2068" s="1" t="s">
        <v>299</v>
      </c>
      <c r="B2068" s="1" t="s">
        <v>4449</v>
      </c>
      <c r="C2068" t="s">
        <v>6790</v>
      </c>
      <c r="D2068" t="s">
        <v>8246</v>
      </c>
      <c r="E2068" t="s">
        <v>10540</v>
      </c>
    </row>
    <row r="2069" spans="1:5" ht="15.6" x14ac:dyDescent="0.3">
      <c r="A2069" s="1" t="s">
        <v>298</v>
      </c>
      <c r="B2069" s="1" t="s">
        <v>4450</v>
      </c>
      <c r="C2069" t="s">
        <v>6791</v>
      </c>
      <c r="D2069" t="s">
        <v>8601</v>
      </c>
      <c r="E2069" t="s">
        <v>10541</v>
      </c>
    </row>
    <row r="2070" spans="1:5" ht="15.6" x14ac:dyDescent="0.3">
      <c r="A2070" s="1" t="s">
        <v>297</v>
      </c>
      <c r="B2070" s="1" t="s">
        <v>4451</v>
      </c>
      <c r="C2070" t="s">
        <v>6792</v>
      </c>
      <c r="D2070" t="s">
        <v>8602</v>
      </c>
      <c r="E2070" t="s">
        <v>10542</v>
      </c>
    </row>
    <row r="2071" spans="1:5" ht="15.6" x14ac:dyDescent="0.3">
      <c r="A2071" s="1" t="s">
        <v>296</v>
      </c>
      <c r="B2071" s="1" t="s">
        <v>4452</v>
      </c>
      <c r="C2071" t="s">
        <v>6793</v>
      </c>
      <c r="D2071" t="s">
        <v>7247</v>
      </c>
      <c r="E2071" t="s">
        <v>10543</v>
      </c>
    </row>
    <row r="2072" spans="1:5" ht="15.6" x14ac:dyDescent="0.3">
      <c r="A2072" s="1" t="s">
        <v>295</v>
      </c>
      <c r="B2072" s="1" t="s">
        <v>4453</v>
      </c>
      <c r="C2072" t="s">
        <v>6794</v>
      </c>
      <c r="D2072" t="s">
        <v>7274</v>
      </c>
      <c r="E2072" t="s">
        <v>8945</v>
      </c>
    </row>
    <row r="2073" spans="1:5" ht="15.6" x14ac:dyDescent="0.3">
      <c r="A2073" s="1" t="s">
        <v>294</v>
      </c>
      <c r="B2073" s="1" t="s">
        <v>4454</v>
      </c>
      <c r="C2073" t="s">
        <v>6795</v>
      </c>
      <c r="D2073" t="s">
        <v>8603</v>
      </c>
      <c r="E2073" t="s">
        <v>10544</v>
      </c>
    </row>
    <row r="2074" spans="1:5" ht="15.6" x14ac:dyDescent="0.3">
      <c r="A2074" s="1" t="s">
        <v>293</v>
      </c>
      <c r="B2074" s="1" t="s">
        <v>4455</v>
      </c>
      <c r="C2074" t="s">
        <v>6796</v>
      </c>
      <c r="D2074" t="s">
        <v>8604</v>
      </c>
      <c r="E2074" t="s">
        <v>10545</v>
      </c>
    </row>
    <row r="2075" spans="1:5" ht="15.6" x14ac:dyDescent="0.3">
      <c r="A2075" s="1" t="s">
        <v>292</v>
      </c>
      <c r="B2075" s="1" t="s">
        <v>4456</v>
      </c>
      <c r="C2075" t="s">
        <v>6797</v>
      </c>
      <c r="D2075" t="s">
        <v>8605</v>
      </c>
      <c r="E2075" t="s">
        <v>10546</v>
      </c>
    </row>
    <row r="2076" spans="1:5" ht="15.6" x14ac:dyDescent="0.3">
      <c r="A2076" s="1" t="s">
        <v>291</v>
      </c>
      <c r="B2076" s="1" t="s">
        <v>4457</v>
      </c>
      <c r="C2076" t="s">
        <v>6798</v>
      </c>
      <c r="D2076" t="s">
        <v>8606</v>
      </c>
      <c r="E2076" t="s">
        <v>10442</v>
      </c>
    </row>
    <row r="2077" spans="1:5" ht="15.6" x14ac:dyDescent="0.3">
      <c r="A2077" s="1" t="s">
        <v>290</v>
      </c>
      <c r="B2077" s="1" t="s">
        <v>4458</v>
      </c>
      <c r="C2077" t="s">
        <v>6799</v>
      </c>
      <c r="D2077" t="s">
        <v>8373</v>
      </c>
      <c r="E2077" t="s">
        <v>10547</v>
      </c>
    </row>
    <row r="2078" spans="1:5" ht="15.6" x14ac:dyDescent="0.3">
      <c r="A2078" s="1" t="s">
        <v>289</v>
      </c>
      <c r="B2078" s="1" t="s">
        <v>4459</v>
      </c>
      <c r="C2078" t="s">
        <v>6800</v>
      </c>
      <c r="D2078" t="s">
        <v>7162</v>
      </c>
      <c r="E2078" t="s">
        <v>10548</v>
      </c>
    </row>
    <row r="2079" spans="1:5" ht="15.6" x14ac:dyDescent="0.3">
      <c r="A2079" s="1" t="s">
        <v>288</v>
      </c>
      <c r="B2079" s="1" t="s">
        <v>4460</v>
      </c>
      <c r="C2079" t="s">
        <v>6801</v>
      </c>
      <c r="D2079" t="s">
        <v>7610</v>
      </c>
      <c r="E2079" t="s">
        <v>10549</v>
      </c>
    </row>
    <row r="2080" spans="1:5" ht="15.6" x14ac:dyDescent="0.3">
      <c r="A2080" s="1" t="s">
        <v>287</v>
      </c>
      <c r="B2080" s="1" t="s">
        <v>4461</v>
      </c>
      <c r="C2080" t="s">
        <v>6802</v>
      </c>
      <c r="D2080" t="s">
        <v>7530</v>
      </c>
      <c r="E2080" t="s">
        <v>10550</v>
      </c>
    </row>
    <row r="2081" spans="1:5" ht="15.6" x14ac:dyDescent="0.3">
      <c r="A2081" s="1" t="s">
        <v>286</v>
      </c>
      <c r="B2081" s="1" t="s">
        <v>4462</v>
      </c>
      <c r="C2081" t="s">
        <v>6803</v>
      </c>
      <c r="D2081" t="s">
        <v>8607</v>
      </c>
      <c r="E2081" t="s">
        <v>9550</v>
      </c>
    </row>
    <row r="2082" spans="1:5" ht="15.6" x14ac:dyDescent="0.3">
      <c r="A2082" s="1" t="s">
        <v>285</v>
      </c>
      <c r="B2082" s="1" t="s">
        <v>4463</v>
      </c>
      <c r="C2082" t="s">
        <v>6804</v>
      </c>
      <c r="D2082" t="s">
        <v>8006</v>
      </c>
      <c r="E2082" t="s">
        <v>10551</v>
      </c>
    </row>
    <row r="2083" spans="1:5" ht="15.6" x14ac:dyDescent="0.3">
      <c r="A2083" s="1" t="s">
        <v>284</v>
      </c>
      <c r="B2083" s="1" t="s">
        <v>4464</v>
      </c>
      <c r="C2083" t="s">
        <v>6805</v>
      </c>
      <c r="D2083" t="s">
        <v>7939</v>
      </c>
      <c r="E2083" t="s">
        <v>10552</v>
      </c>
    </row>
    <row r="2084" spans="1:5" ht="15.6" x14ac:dyDescent="0.3">
      <c r="A2084" s="1" t="s">
        <v>283</v>
      </c>
      <c r="B2084" s="1" t="s">
        <v>4465</v>
      </c>
      <c r="C2084" t="s">
        <v>6806</v>
      </c>
      <c r="D2084" t="s">
        <v>8608</v>
      </c>
      <c r="E2084" t="s">
        <v>10553</v>
      </c>
    </row>
    <row r="2085" spans="1:5" ht="15.6" x14ac:dyDescent="0.3">
      <c r="A2085" s="1" t="s">
        <v>282</v>
      </c>
      <c r="B2085" s="1" t="s">
        <v>4466</v>
      </c>
      <c r="C2085" t="s">
        <v>6807</v>
      </c>
      <c r="D2085" t="s">
        <v>8609</v>
      </c>
      <c r="E2085" t="s">
        <v>10554</v>
      </c>
    </row>
    <row r="2086" spans="1:5" ht="15.6" x14ac:dyDescent="0.3">
      <c r="A2086" s="1" t="s">
        <v>281</v>
      </c>
      <c r="B2086" s="1" t="s">
        <v>4467</v>
      </c>
      <c r="C2086" t="s">
        <v>6808</v>
      </c>
      <c r="D2086" t="s">
        <v>8610</v>
      </c>
      <c r="E2086" t="s">
        <v>10555</v>
      </c>
    </row>
    <row r="2087" spans="1:5" ht="15.6" x14ac:dyDescent="0.3">
      <c r="A2087" s="1" t="s">
        <v>280</v>
      </c>
      <c r="B2087" s="1" t="s">
        <v>4468</v>
      </c>
      <c r="C2087" t="s">
        <v>6809</v>
      </c>
      <c r="D2087" t="s">
        <v>8611</v>
      </c>
      <c r="E2087" t="s">
        <v>10556</v>
      </c>
    </row>
    <row r="2088" spans="1:5" ht="15.6" x14ac:dyDescent="0.3">
      <c r="A2088" s="1" t="s">
        <v>279</v>
      </c>
      <c r="B2088" s="1" t="s">
        <v>4469</v>
      </c>
      <c r="C2088" t="s">
        <v>6810</v>
      </c>
      <c r="D2088" t="s">
        <v>7279</v>
      </c>
      <c r="E2088" t="s">
        <v>8945</v>
      </c>
    </row>
    <row r="2089" spans="1:5" ht="15.6" x14ac:dyDescent="0.3">
      <c r="A2089" s="1" t="s">
        <v>278</v>
      </c>
      <c r="B2089" s="1" t="s">
        <v>4470</v>
      </c>
      <c r="C2089" t="s">
        <v>6811</v>
      </c>
      <c r="D2089" t="s">
        <v>8612</v>
      </c>
      <c r="E2089" t="s">
        <v>10557</v>
      </c>
    </row>
    <row r="2090" spans="1:5" ht="15.6" x14ac:dyDescent="0.3">
      <c r="A2090" s="1" t="s">
        <v>277</v>
      </c>
      <c r="B2090" s="1" t="s">
        <v>4471</v>
      </c>
      <c r="C2090" t="s">
        <v>6812</v>
      </c>
      <c r="D2090" t="s">
        <v>8497</v>
      </c>
      <c r="E2090" t="s">
        <v>10558</v>
      </c>
    </row>
    <row r="2091" spans="1:5" ht="15.6" x14ac:dyDescent="0.3">
      <c r="A2091" s="1" t="s">
        <v>275</v>
      </c>
      <c r="B2091" s="1" t="s">
        <v>4472</v>
      </c>
      <c r="C2091" t="s">
        <v>6813</v>
      </c>
      <c r="D2091" t="s">
        <v>8613</v>
      </c>
      <c r="E2091" t="s">
        <v>10559</v>
      </c>
    </row>
    <row r="2092" spans="1:5" ht="15.6" x14ac:dyDescent="0.3">
      <c r="A2092" s="1" t="s">
        <v>274</v>
      </c>
      <c r="B2092" s="1" t="s">
        <v>4473</v>
      </c>
      <c r="C2092" t="s">
        <v>6814</v>
      </c>
      <c r="D2092" t="s">
        <v>8614</v>
      </c>
      <c r="E2092" t="s">
        <v>10560</v>
      </c>
    </row>
    <row r="2093" spans="1:5" ht="15.6" x14ac:dyDescent="0.3">
      <c r="A2093" s="1" t="s">
        <v>273</v>
      </c>
      <c r="B2093" s="1" t="s">
        <v>4474</v>
      </c>
      <c r="C2093" t="s">
        <v>6815</v>
      </c>
      <c r="D2093" t="s">
        <v>7206</v>
      </c>
      <c r="E2093" t="s">
        <v>10561</v>
      </c>
    </row>
    <row r="2094" spans="1:5" ht="15.6" x14ac:dyDescent="0.3">
      <c r="A2094" s="1" t="s">
        <v>272</v>
      </c>
      <c r="B2094" s="1" t="s">
        <v>4475</v>
      </c>
      <c r="C2094" t="s">
        <v>6816</v>
      </c>
      <c r="D2094" t="s">
        <v>7172</v>
      </c>
      <c r="E2094" t="s">
        <v>10562</v>
      </c>
    </row>
    <row r="2095" spans="1:5" ht="15.6" x14ac:dyDescent="0.3">
      <c r="A2095" s="1" t="s">
        <v>271</v>
      </c>
      <c r="B2095" s="1" t="s">
        <v>4476</v>
      </c>
      <c r="C2095" t="s">
        <v>6817</v>
      </c>
      <c r="D2095" t="s">
        <v>7463</v>
      </c>
      <c r="E2095" t="s">
        <v>10563</v>
      </c>
    </row>
    <row r="2096" spans="1:5" ht="15.6" x14ac:dyDescent="0.3">
      <c r="A2096" s="1" t="s">
        <v>270</v>
      </c>
      <c r="B2096" s="1" t="s">
        <v>4477</v>
      </c>
      <c r="C2096" t="s">
        <v>6818</v>
      </c>
      <c r="D2096" t="s">
        <v>8615</v>
      </c>
      <c r="E2096" t="s">
        <v>10564</v>
      </c>
    </row>
    <row r="2097" spans="1:5" ht="15.6" x14ac:dyDescent="0.3">
      <c r="A2097" s="1" t="s">
        <v>269</v>
      </c>
      <c r="B2097" s="1" t="s">
        <v>4478</v>
      </c>
      <c r="C2097" t="s">
        <v>6819</v>
      </c>
      <c r="D2097" t="s">
        <v>7671</v>
      </c>
      <c r="E2097" t="s">
        <v>10565</v>
      </c>
    </row>
    <row r="2098" spans="1:5" ht="15.6" x14ac:dyDescent="0.3">
      <c r="A2098" s="1" t="s">
        <v>268</v>
      </c>
      <c r="B2098" s="1" t="s">
        <v>4479</v>
      </c>
      <c r="C2098" t="s">
        <v>6820</v>
      </c>
      <c r="D2098" t="s">
        <v>8616</v>
      </c>
      <c r="E2098" t="s">
        <v>10566</v>
      </c>
    </row>
    <row r="2099" spans="1:5" ht="15.6" x14ac:dyDescent="0.3">
      <c r="A2099" s="1" t="s">
        <v>267</v>
      </c>
      <c r="B2099" s="1" t="s">
        <v>4480</v>
      </c>
      <c r="C2099" t="s">
        <v>6821</v>
      </c>
      <c r="D2099" t="s">
        <v>8212</v>
      </c>
      <c r="E2099" t="s">
        <v>10567</v>
      </c>
    </row>
    <row r="2100" spans="1:5" ht="15.6" x14ac:dyDescent="0.3">
      <c r="A2100" s="1" t="s">
        <v>266</v>
      </c>
      <c r="B2100" s="1" t="s">
        <v>4481</v>
      </c>
      <c r="C2100" t="s">
        <v>6822</v>
      </c>
      <c r="D2100" t="s">
        <v>7219</v>
      </c>
      <c r="E2100" t="s">
        <v>10568</v>
      </c>
    </row>
    <row r="2101" spans="1:5" ht="15.6" x14ac:dyDescent="0.3">
      <c r="A2101" s="1" t="s">
        <v>265</v>
      </c>
      <c r="B2101" s="1" t="s">
        <v>4482</v>
      </c>
      <c r="C2101" t="s">
        <v>6823</v>
      </c>
      <c r="D2101" t="s">
        <v>8617</v>
      </c>
      <c r="E2101" t="s">
        <v>10569</v>
      </c>
    </row>
    <row r="2102" spans="1:5" ht="15.6" x14ac:dyDescent="0.3">
      <c r="A2102" s="1" t="s">
        <v>264</v>
      </c>
      <c r="B2102" s="1" t="s">
        <v>4483</v>
      </c>
      <c r="C2102" t="s">
        <v>6824</v>
      </c>
      <c r="D2102" t="s">
        <v>8618</v>
      </c>
      <c r="E2102" t="s">
        <v>10570</v>
      </c>
    </row>
    <row r="2103" spans="1:5" ht="15.6" x14ac:dyDescent="0.3">
      <c r="A2103" s="1" t="s">
        <v>263</v>
      </c>
      <c r="B2103" s="1" t="s">
        <v>4484</v>
      </c>
      <c r="C2103" t="s">
        <v>6825</v>
      </c>
      <c r="D2103" t="s">
        <v>7582</v>
      </c>
      <c r="E2103" t="s">
        <v>10227</v>
      </c>
    </row>
    <row r="2104" spans="1:5" ht="15.6" x14ac:dyDescent="0.3">
      <c r="A2104" s="1" t="s">
        <v>262</v>
      </c>
      <c r="B2104" s="1" t="s">
        <v>4485</v>
      </c>
      <c r="C2104" t="s">
        <v>6826</v>
      </c>
      <c r="D2104" t="s">
        <v>8619</v>
      </c>
      <c r="E2104" t="s">
        <v>10571</v>
      </c>
    </row>
    <row r="2105" spans="1:5" ht="15.6" x14ac:dyDescent="0.3">
      <c r="A2105" s="1" t="s">
        <v>261</v>
      </c>
      <c r="B2105" s="1" t="s">
        <v>4486</v>
      </c>
      <c r="C2105" t="s">
        <v>6827</v>
      </c>
      <c r="D2105" t="s">
        <v>7390</v>
      </c>
      <c r="E2105" t="s">
        <v>8756</v>
      </c>
    </row>
    <row r="2106" spans="1:5" ht="15.6" x14ac:dyDescent="0.3">
      <c r="A2106" s="1" t="s">
        <v>260</v>
      </c>
      <c r="B2106" s="1" t="s">
        <v>4487</v>
      </c>
      <c r="C2106" t="s">
        <v>6828</v>
      </c>
      <c r="D2106" t="s">
        <v>8620</v>
      </c>
      <c r="E2106" t="s">
        <v>10572</v>
      </c>
    </row>
    <row r="2107" spans="1:5" ht="15.6" x14ac:dyDescent="0.3">
      <c r="A2107" s="1" t="s">
        <v>259</v>
      </c>
      <c r="B2107" s="1" t="s">
        <v>4488</v>
      </c>
      <c r="C2107" t="s">
        <v>6829</v>
      </c>
      <c r="D2107" t="s">
        <v>8621</v>
      </c>
      <c r="E2107" t="s">
        <v>10573</v>
      </c>
    </row>
    <row r="2108" spans="1:5" ht="15.6" x14ac:dyDescent="0.3">
      <c r="A2108" s="1" t="s">
        <v>258</v>
      </c>
      <c r="B2108" s="1" t="s">
        <v>4489</v>
      </c>
      <c r="C2108" t="s">
        <v>6830</v>
      </c>
      <c r="D2108" t="s">
        <v>8622</v>
      </c>
      <c r="E2108" t="s">
        <v>10574</v>
      </c>
    </row>
    <row r="2109" spans="1:5" ht="15.6" x14ac:dyDescent="0.3">
      <c r="A2109" s="1" t="s">
        <v>257</v>
      </c>
      <c r="B2109" s="1" t="s">
        <v>4490</v>
      </c>
      <c r="C2109" t="s">
        <v>6831</v>
      </c>
      <c r="D2109" t="s">
        <v>8623</v>
      </c>
      <c r="E2109" t="s">
        <v>10575</v>
      </c>
    </row>
    <row r="2110" spans="1:5" ht="15.6" x14ac:dyDescent="0.3">
      <c r="A2110" s="1" t="s">
        <v>256</v>
      </c>
      <c r="B2110" s="1" t="s">
        <v>4491</v>
      </c>
      <c r="C2110" t="s">
        <v>6832</v>
      </c>
      <c r="D2110" t="s">
        <v>8624</v>
      </c>
      <c r="E2110" t="s">
        <v>9194</v>
      </c>
    </row>
    <row r="2111" spans="1:5" ht="15.6" x14ac:dyDescent="0.3">
      <c r="A2111" s="1" t="s">
        <v>255</v>
      </c>
      <c r="B2111" s="1" t="s">
        <v>4492</v>
      </c>
      <c r="C2111" t="s">
        <v>6833</v>
      </c>
      <c r="D2111" t="s">
        <v>8625</v>
      </c>
      <c r="E2111" t="s">
        <v>10576</v>
      </c>
    </row>
    <row r="2112" spans="1:5" ht="15.6" x14ac:dyDescent="0.3">
      <c r="A2112" s="1" t="s">
        <v>254</v>
      </c>
      <c r="B2112" s="1" t="s">
        <v>4493</v>
      </c>
      <c r="C2112" t="s">
        <v>6834</v>
      </c>
      <c r="D2112" t="s">
        <v>8626</v>
      </c>
      <c r="E2112" t="s">
        <v>10577</v>
      </c>
    </row>
    <row r="2113" spans="1:5" ht="15.6" x14ac:dyDescent="0.3">
      <c r="A2113" s="1" t="s">
        <v>253</v>
      </c>
      <c r="B2113" s="1" t="s">
        <v>4494</v>
      </c>
      <c r="C2113" t="s">
        <v>6835</v>
      </c>
      <c r="D2113" t="s">
        <v>8627</v>
      </c>
      <c r="E2113" t="s">
        <v>10578</v>
      </c>
    </row>
    <row r="2114" spans="1:5" ht="15.6" x14ac:dyDescent="0.3">
      <c r="A2114" s="1" t="s">
        <v>252</v>
      </c>
      <c r="B2114" s="1" t="s">
        <v>4495</v>
      </c>
      <c r="C2114" t="s">
        <v>6836</v>
      </c>
      <c r="D2114" t="s">
        <v>7763</v>
      </c>
      <c r="E2114" t="s">
        <v>10579</v>
      </c>
    </row>
    <row r="2115" spans="1:5" ht="15.6" x14ac:dyDescent="0.3">
      <c r="A2115" s="1" t="s">
        <v>251</v>
      </c>
      <c r="B2115" s="1" t="s">
        <v>4496</v>
      </c>
      <c r="C2115" t="s">
        <v>6837</v>
      </c>
      <c r="D2115" t="s">
        <v>7377</v>
      </c>
      <c r="E2115" t="s">
        <v>10580</v>
      </c>
    </row>
    <row r="2116" spans="1:5" ht="15.6" x14ac:dyDescent="0.3">
      <c r="A2116" s="1" t="s">
        <v>250</v>
      </c>
      <c r="B2116" s="1" t="s">
        <v>4497</v>
      </c>
      <c r="C2116" t="s">
        <v>6838</v>
      </c>
      <c r="D2116" t="s">
        <v>7884</v>
      </c>
      <c r="E2116" t="s">
        <v>10581</v>
      </c>
    </row>
    <row r="2117" spans="1:5" ht="15.6" x14ac:dyDescent="0.3">
      <c r="A2117" s="1" t="s">
        <v>248</v>
      </c>
      <c r="B2117" s="1" t="s">
        <v>4498</v>
      </c>
      <c r="C2117" t="s">
        <v>6839</v>
      </c>
      <c r="D2117" t="s">
        <v>8628</v>
      </c>
      <c r="E2117" t="s">
        <v>10582</v>
      </c>
    </row>
    <row r="2118" spans="1:5" ht="15.6" x14ac:dyDescent="0.3">
      <c r="A2118" s="1" t="s">
        <v>246</v>
      </c>
      <c r="B2118" s="1" t="s">
        <v>4499</v>
      </c>
      <c r="C2118" t="s">
        <v>6840</v>
      </c>
      <c r="D2118" t="s">
        <v>8629</v>
      </c>
      <c r="E2118" t="s">
        <v>10583</v>
      </c>
    </row>
    <row r="2119" spans="1:5" ht="15.6" x14ac:dyDescent="0.3">
      <c r="A2119" s="1" t="s">
        <v>245</v>
      </c>
      <c r="B2119" s="1" t="s">
        <v>4500</v>
      </c>
      <c r="C2119" t="s">
        <v>6841</v>
      </c>
      <c r="D2119" t="s">
        <v>8630</v>
      </c>
      <c r="E2119" t="s">
        <v>10584</v>
      </c>
    </row>
    <row r="2120" spans="1:5" ht="15.6" x14ac:dyDescent="0.3">
      <c r="A2120" s="1" t="s">
        <v>244</v>
      </c>
      <c r="B2120" s="1" t="s">
        <v>4501</v>
      </c>
      <c r="C2120" t="s">
        <v>6842</v>
      </c>
      <c r="D2120" t="s">
        <v>7219</v>
      </c>
      <c r="E2120" t="s">
        <v>10585</v>
      </c>
    </row>
    <row r="2121" spans="1:5" ht="15.6" x14ac:dyDescent="0.3">
      <c r="A2121" s="1" t="s">
        <v>243</v>
      </c>
      <c r="B2121" s="1" t="s">
        <v>4502</v>
      </c>
      <c r="C2121" t="s">
        <v>6843</v>
      </c>
      <c r="D2121" t="s">
        <v>7502</v>
      </c>
      <c r="E2121" t="s">
        <v>10586</v>
      </c>
    </row>
    <row r="2122" spans="1:5" ht="15.6" x14ac:dyDescent="0.3">
      <c r="A2122" s="1" t="s">
        <v>242</v>
      </c>
      <c r="B2122" s="1" t="s">
        <v>4503</v>
      </c>
      <c r="C2122" t="s">
        <v>6844</v>
      </c>
      <c r="D2122" t="s">
        <v>8631</v>
      </c>
      <c r="E2122" t="s">
        <v>10587</v>
      </c>
    </row>
    <row r="2123" spans="1:5" ht="15.6" x14ac:dyDescent="0.3">
      <c r="A2123" s="1" t="s">
        <v>241</v>
      </c>
      <c r="B2123" s="1" t="s">
        <v>4504</v>
      </c>
      <c r="C2123" t="s">
        <v>6845</v>
      </c>
      <c r="D2123" t="s">
        <v>8632</v>
      </c>
      <c r="E2123" t="s">
        <v>10588</v>
      </c>
    </row>
    <row r="2124" spans="1:5" ht="15.6" x14ac:dyDescent="0.3">
      <c r="A2124" s="1" t="s">
        <v>240</v>
      </c>
      <c r="B2124" s="1" t="s">
        <v>4505</v>
      </c>
      <c r="C2124" t="s">
        <v>6846</v>
      </c>
      <c r="D2124" t="s">
        <v>8633</v>
      </c>
      <c r="E2124" t="s">
        <v>10589</v>
      </c>
    </row>
    <row r="2125" spans="1:5" ht="15.6" x14ac:dyDescent="0.3">
      <c r="A2125" s="1" t="s">
        <v>239</v>
      </c>
      <c r="B2125" s="1" t="s">
        <v>4506</v>
      </c>
      <c r="C2125" t="s">
        <v>6847</v>
      </c>
      <c r="D2125" t="s">
        <v>8634</v>
      </c>
      <c r="E2125" t="s">
        <v>9446</v>
      </c>
    </row>
    <row r="2126" spans="1:5" ht="15.6" x14ac:dyDescent="0.3">
      <c r="A2126" s="1" t="s">
        <v>238</v>
      </c>
      <c r="B2126" s="1" t="s">
        <v>4507</v>
      </c>
      <c r="C2126" t="s">
        <v>6848</v>
      </c>
      <c r="D2126" t="s">
        <v>8635</v>
      </c>
      <c r="E2126" t="s">
        <v>10590</v>
      </c>
    </row>
    <row r="2127" spans="1:5" ht="15.6" x14ac:dyDescent="0.3">
      <c r="A2127" s="1" t="s">
        <v>237</v>
      </c>
      <c r="B2127" s="1" t="s">
        <v>4508</v>
      </c>
      <c r="C2127" t="s">
        <v>6849</v>
      </c>
      <c r="D2127" t="s">
        <v>8591</v>
      </c>
      <c r="E2127" t="s">
        <v>10591</v>
      </c>
    </row>
    <row r="2128" spans="1:5" ht="15.6" x14ac:dyDescent="0.3">
      <c r="A2128" s="1" t="s">
        <v>236</v>
      </c>
      <c r="B2128" s="1" t="s">
        <v>4509</v>
      </c>
      <c r="C2128" t="s">
        <v>6850</v>
      </c>
      <c r="D2128" t="s">
        <v>8636</v>
      </c>
      <c r="E2128" t="s">
        <v>10592</v>
      </c>
    </row>
    <row r="2129" spans="1:5" ht="15.6" x14ac:dyDescent="0.3">
      <c r="A2129" s="1" t="s">
        <v>235</v>
      </c>
      <c r="B2129" s="1" t="s">
        <v>4510</v>
      </c>
      <c r="C2129" t="s">
        <v>6851</v>
      </c>
      <c r="D2129" t="s">
        <v>8359</v>
      </c>
      <c r="E2129" t="s">
        <v>10593</v>
      </c>
    </row>
    <row r="2130" spans="1:5" ht="15.6" x14ac:dyDescent="0.3">
      <c r="A2130" s="1" t="s">
        <v>234</v>
      </c>
      <c r="B2130" s="1" t="s">
        <v>4511</v>
      </c>
      <c r="C2130" t="s">
        <v>6852</v>
      </c>
      <c r="D2130" t="s">
        <v>8637</v>
      </c>
      <c r="E2130" t="s">
        <v>10594</v>
      </c>
    </row>
    <row r="2131" spans="1:5" ht="15.6" x14ac:dyDescent="0.3">
      <c r="A2131" s="1" t="s">
        <v>233</v>
      </c>
      <c r="B2131" s="1" t="s">
        <v>4512</v>
      </c>
      <c r="C2131" t="s">
        <v>6853</v>
      </c>
      <c r="D2131" t="s">
        <v>8280</v>
      </c>
      <c r="E2131" t="s">
        <v>9506</v>
      </c>
    </row>
    <row r="2132" spans="1:5" ht="15.6" x14ac:dyDescent="0.3">
      <c r="A2132" s="1" t="s">
        <v>232</v>
      </c>
      <c r="B2132" s="1" t="s">
        <v>4513</v>
      </c>
      <c r="C2132" t="s">
        <v>6854</v>
      </c>
      <c r="D2132" t="s">
        <v>8638</v>
      </c>
      <c r="E2132" t="s">
        <v>8787</v>
      </c>
    </row>
    <row r="2133" spans="1:5" ht="15.6" x14ac:dyDescent="0.3">
      <c r="A2133" s="1" t="s">
        <v>231</v>
      </c>
      <c r="B2133" s="1" t="s">
        <v>4514</v>
      </c>
      <c r="C2133" t="s">
        <v>6855</v>
      </c>
      <c r="D2133" t="s">
        <v>8639</v>
      </c>
      <c r="E2133" t="s">
        <v>10595</v>
      </c>
    </row>
    <row r="2134" spans="1:5" ht="15.6" x14ac:dyDescent="0.3">
      <c r="A2134" s="1" t="s">
        <v>230</v>
      </c>
      <c r="B2134" s="1" t="s">
        <v>4515</v>
      </c>
      <c r="C2134" t="s">
        <v>6856</v>
      </c>
      <c r="D2134" t="s">
        <v>8578</v>
      </c>
      <c r="E2134" t="s">
        <v>10596</v>
      </c>
    </row>
    <row r="2135" spans="1:5" ht="15.6" x14ac:dyDescent="0.3">
      <c r="A2135" s="1" t="s">
        <v>229</v>
      </c>
      <c r="B2135" s="1" t="s">
        <v>4516</v>
      </c>
      <c r="C2135" t="s">
        <v>6857</v>
      </c>
      <c r="D2135" t="s">
        <v>7307</v>
      </c>
      <c r="E2135" t="s">
        <v>10597</v>
      </c>
    </row>
    <row r="2136" spans="1:5" ht="15.6" x14ac:dyDescent="0.3">
      <c r="A2136" s="1" t="s">
        <v>228</v>
      </c>
      <c r="B2136" s="1" t="s">
        <v>4517</v>
      </c>
      <c r="C2136" t="s">
        <v>6858</v>
      </c>
      <c r="D2136" t="s">
        <v>8640</v>
      </c>
      <c r="E2136" t="s">
        <v>10598</v>
      </c>
    </row>
    <row r="2137" spans="1:5" ht="15.6" x14ac:dyDescent="0.3">
      <c r="A2137" s="1" t="s">
        <v>227</v>
      </c>
      <c r="B2137" s="1" t="s">
        <v>4518</v>
      </c>
      <c r="C2137" t="s">
        <v>6859</v>
      </c>
      <c r="D2137" t="s">
        <v>8641</v>
      </c>
      <c r="E2137" t="s">
        <v>10503</v>
      </c>
    </row>
    <row r="2138" spans="1:5" ht="15.6" x14ac:dyDescent="0.3">
      <c r="A2138" s="1" t="s">
        <v>226</v>
      </c>
      <c r="B2138" s="1" t="s">
        <v>4519</v>
      </c>
      <c r="C2138" t="s">
        <v>6860</v>
      </c>
      <c r="D2138" t="s">
        <v>8642</v>
      </c>
      <c r="E2138" t="s">
        <v>10171</v>
      </c>
    </row>
    <row r="2139" spans="1:5" ht="15.6" x14ac:dyDescent="0.3">
      <c r="A2139" s="1" t="s">
        <v>225</v>
      </c>
      <c r="B2139" s="1" t="s">
        <v>4520</v>
      </c>
      <c r="C2139" t="s">
        <v>6861</v>
      </c>
      <c r="D2139" t="s">
        <v>7687</v>
      </c>
      <c r="E2139" t="s">
        <v>10599</v>
      </c>
    </row>
    <row r="2140" spans="1:5" ht="15.6" x14ac:dyDescent="0.3">
      <c r="A2140" s="1" t="s">
        <v>224</v>
      </c>
      <c r="B2140" s="1" t="s">
        <v>4521</v>
      </c>
      <c r="C2140" t="s">
        <v>6862</v>
      </c>
      <c r="D2140" t="s">
        <v>8643</v>
      </c>
      <c r="E2140" t="s">
        <v>10600</v>
      </c>
    </row>
    <row r="2141" spans="1:5" ht="15.6" x14ac:dyDescent="0.3">
      <c r="A2141" s="1" t="s">
        <v>223</v>
      </c>
      <c r="B2141" s="1" t="s">
        <v>4522</v>
      </c>
      <c r="C2141" t="s">
        <v>6863</v>
      </c>
      <c r="D2141" t="s">
        <v>7163</v>
      </c>
      <c r="E2141" t="s">
        <v>10601</v>
      </c>
    </row>
    <row r="2142" spans="1:5" ht="15.6" x14ac:dyDescent="0.3">
      <c r="A2142" s="1" t="s">
        <v>222</v>
      </c>
      <c r="B2142" s="1" t="s">
        <v>4523</v>
      </c>
      <c r="C2142" t="s">
        <v>6864</v>
      </c>
      <c r="D2142" t="s">
        <v>7149</v>
      </c>
      <c r="E2142" t="s">
        <v>10602</v>
      </c>
    </row>
    <row r="2143" spans="1:5" ht="15.6" x14ac:dyDescent="0.3">
      <c r="A2143" s="1" t="s">
        <v>221</v>
      </c>
      <c r="B2143" s="1" t="s">
        <v>4524</v>
      </c>
      <c r="C2143" t="s">
        <v>6865</v>
      </c>
      <c r="D2143" t="s">
        <v>8644</v>
      </c>
      <c r="E2143" t="s">
        <v>10603</v>
      </c>
    </row>
    <row r="2144" spans="1:5" ht="15.6" x14ac:dyDescent="0.3">
      <c r="A2144" s="1" t="s">
        <v>220</v>
      </c>
      <c r="B2144" s="1" t="s">
        <v>4525</v>
      </c>
      <c r="C2144" t="s">
        <v>6866</v>
      </c>
      <c r="D2144" t="s">
        <v>8645</v>
      </c>
      <c r="E2144" t="s">
        <v>10604</v>
      </c>
    </row>
    <row r="2145" spans="1:5" ht="15.6" x14ac:dyDescent="0.3">
      <c r="A2145" s="1" t="s">
        <v>219</v>
      </c>
      <c r="B2145" s="1" t="s">
        <v>4526</v>
      </c>
      <c r="C2145" t="s">
        <v>6867</v>
      </c>
      <c r="D2145" t="s">
        <v>8646</v>
      </c>
      <c r="E2145" t="s">
        <v>10605</v>
      </c>
    </row>
    <row r="2146" spans="1:5" ht="15.6" x14ac:dyDescent="0.3">
      <c r="A2146" s="1" t="s">
        <v>218</v>
      </c>
      <c r="B2146" s="1" t="s">
        <v>4527</v>
      </c>
      <c r="C2146" t="s">
        <v>6868</v>
      </c>
      <c r="D2146" t="s">
        <v>8647</v>
      </c>
      <c r="E2146" t="s">
        <v>10606</v>
      </c>
    </row>
    <row r="2147" spans="1:5" ht="15.6" x14ac:dyDescent="0.3">
      <c r="A2147" s="1" t="s">
        <v>217</v>
      </c>
      <c r="B2147" s="1" t="s">
        <v>4528</v>
      </c>
      <c r="C2147" t="s">
        <v>6869</v>
      </c>
      <c r="D2147" t="s">
        <v>8648</v>
      </c>
      <c r="E2147" t="s">
        <v>10607</v>
      </c>
    </row>
    <row r="2148" spans="1:5" ht="15.6" x14ac:dyDescent="0.3">
      <c r="A2148" s="1" t="s">
        <v>216</v>
      </c>
      <c r="B2148" s="1" t="s">
        <v>4529</v>
      </c>
      <c r="C2148" t="s">
        <v>6870</v>
      </c>
      <c r="D2148" t="s">
        <v>8649</v>
      </c>
      <c r="E2148" t="s">
        <v>10608</v>
      </c>
    </row>
    <row r="2149" spans="1:5" ht="15.6" x14ac:dyDescent="0.3">
      <c r="A2149" s="1" t="s">
        <v>215</v>
      </c>
      <c r="B2149" s="1" t="s">
        <v>4530</v>
      </c>
      <c r="C2149" t="s">
        <v>6871</v>
      </c>
      <c r="D2149" t="s">
        <v>8650</v>
      </c>
      <c r="E2149" t="s">
        <v>10609</v>
      </c>
    </row>
    <row r="2150" spans="1:5" ht="15.6" x14ac:dyDescent="0.3">
      <c r="A2150" s="1" t="s">
        <v>214</v>
      </c>
      <c r="B2150" s="1" t="s">
        <v>4531</v>
      </c>
      <c r="C2150" t="s">
        <v>6872</v>
      </c>
      <c r="D2150" t="s">
        <v>7100</v>
      </c>
      <c r="E2150" t="s">
        <v>10610</v>
      </c>
    </row>
    <row r="2151" spans="1:5" ht="15.6" x14ac:dyDescent="0.3">
      <c r="A2151" s="1" t="s">
        <v>213</v>
      </c>
      <c r="B2151" s="1" t="s">
        <v>4532</v>
      </c>
      <c r="C2151" t="s">
        <v>6873</v>
      </c>
      <c r="D2151" t="s">
        <v>8651</v>
      </c>
      <c r="E2151" t="s">
        <v>10033</v>
      </c>
    </row>
    <row r="2152" spans="1:5" ht="15.6" x14ac:dyDescent="0.3">
      <c r="A2152" s="1" t="s">
        <v>212</v>
      </c>
      <c r="B2152" s="1" t="s">
        <v>4533</v>
      </c>
      <c r="C2152" t="s">
        <v>6874</v>
      </c>
      <c r="D2152" t="s">
        <v>8652</v>
      </c>
      <c r="E2152" t="s">
        <v>10611</v>
      </c>
    </row>
    <row r="2153" spans="1:5" ht="15.6" x14ac:dyDescent="0.3">
      <c r="A2153" s="1" t="s">
        <v>211</v>
      </c>
      <c r="B2153" s="1" t="s">
        <v>4534</v>
      </c>
      <c r="C2153" t="s">
        <v>6875</v>
      </c>
      <c r="D2153" t="s">
        <v>8653</v>
      </c>
      <c r="E2153" t="s">
        <v>10612</v>
      </c>
    </row>
    <row r="2154" spans="1:5" ht="15.6" x14ac:dyDescent="0.3">
      <c r="A2154" s="1" t="s">
        <v>210</v>
      </c>
      <c r="B2154" s="1" t="s">
        <v>4535</v>
      </c>
      <c r="C2154" t="s">
        <v>6876</v>
      </c>
      <c r="D2154" t="s">
        <v>8654</v>
      </c>
      <c r="E2154" t="s">
        <v>10613</v>
      </c>
    </row>
    <row r="2155" spans="1:5" ht="15.6" x14ac:dyDescent="0.3">
      <c r="A2155" s="1" t="s">
        <v>209</v>
      </c>
      <c r="B2155" s="1" t="s">
        <v>4536</v>
      </c>
      <c r="C2155" t="s">
        <v>6877</v>
      </c>
      <c r="D2155" t="s">
        <v>8655</v>
      </c>
      <c r="E2155" t="s">
        <v>10614</v>
      </c>
    </row>
    <row r="2156" spans="1:5" ht="15.6" x14ac:dyDescent="0.3">
      <c r="A2156" s="1" t="s">
        <v>208</v>
      </c>
      <c r="B2156" s="1" t="s">
        <v>4537</v>
      </c>
      <c r="C2156" t="s">
        <v>6878</v>
      </c>
      <c r="D2156" t="s">
        <v>8656</v>
      </c>
      <c r="E2156" t="s">
        <v>10586</v>
      </c>
    </row>
    <row r="2157" spans="1:5" ht="15.6" x14ac:dyDescent="0.3">
      <c r="A2157" s="1" t="s">
        <v>207</v>
      </c>
      <c r="B2157" s="1" t="s">
        <v>4538</v>
      </c>
      <c r="C2157" t="s">
        <v>6879</v>
      </c>
      <c r="D2157" t="s">
        <v>8488</v>
      </c>
      <c r="E2157" t="s">
        <v>10615</v>
      </c>
    </row>
    <row r="2158" spans="1:5" ht="15.6" x14ac:dyDescent="0.3">
      <c r="A2158" s="1" t="s">
        <v>206</v>
      </c>
      <c r="B2158" s="1" t="s">
        <v>4539</v>
      </c>
      <c r="C2158" t="s">
        <v>6880</v>
      </c>
      <c r="D2158" t="s">
        <v>7082</v>
      </c>
      <c r="E2158" t="s">
        <v>10616</v>
      </c>
    </row>
    <row r="2159" spans="1:5" ht="15.6" x14ac:dyDescent="0.3">
      <c r="A2159" s="1" t="s">
        <v>205</v>
      </c>
      <c r="B2159" s="1" t="s">
        <v>4540</v>
      </c>
      <c r="C2159" t="s">
        <v>6881</v>
      </c>
      <c r="D2159" t="s">
        <v>8657</v>
      </c>
      <c r="E2159" t="s">
        <v>10617</v>
      </c>
    </row>
    <row r="2160" spans="1:5" ht="15.6" x14ac:dyDescent="0.3">
      <c r="A2160" s="1" t="s">
        <v>204</v>
      </c>
      <c r="B2160" s="1" t="s">
        <v>4541</v>
      </c>
      <c r="C2160" t="s">
        <v>6882</v>
      </c>
      <c r="D2160" t="s">
        <v>8382</v>
      </c>
      <c r="E2160" t="s">
        <v>10618</v>
      </c>
    </row>
    <row r="2161" spans="1:5" ht="15.6" x14ac:dyDescent="0.3">
      <c r="A2161" s="1" t="s">
        <v>203</v>
      </c>
      <c r="B2161" s="1" t="s">
        <v>4542</v>
      </c>
      <c r="C2161" t="s">
        <v>6883</v>
      </c>
      <c r="D2161" t="s">
        <v>8658</v>
      </c>
      <c r="E2161" t="s">
        <v>10619</v>
      </c>
    </row>
    <row r="2162" spans="1:5" ht="15.6" x14ac:dyDescent="0.3">
      <c r="A2162" s="1" t="s">
        <v>202</v>
      </c>
      <c r="B2162" s="1" t="s">
        <v>4543</v>
      </c>
      <c r="C2162" t="s">
        <v>6884</v>
      </c>
      <c r="D2162" t="s">
        <v>7758</v>
      </c>
      <c r="E2162" t="s">
        <v>10620</v>
      </c>
    </row>
    <row r="2163" spans="1:5" ht="15.6" x14ac:dyDescent="0.3">
      <c r="A2163" s="1" t="s">
        <v>201</v>
      </c>
      <c r="B2163" s="1" t="s">
        <v>4544</v>
      </c>
      <c r="C2163" t="s">
        <v>6885</v>
      </c>
      <c r="D2163" t="s">
        <v>7245</v>
      </c>
      <c r="E2163" t="s">
        <v>10621</v>
      </c>
    </row>
    <row r="2164" spans="1:5" ht="15.6" x14ac:dyDescent="0.3">
      <c r="A2164" s="1" t="s">
        <v>199</v>
      </c>
      <c r="B2164" s="1" t="s">
        <v>4545</v>
      </c>
      <c r="C2164" t="s">
        <v>6886</v>
      </c>
      <c r="D2164" t="s">
        <v>8659</v>
      </c>
      <c r="E2164" t="s">
        <v>10622</v>
      </c>
    </row>
    <row r="2165" spans="1:5" ht="15.6" x14ac:dyDescent="0.3">
      <c r="A2165" s="1" t="s">
        <v>198</v>
      </c>
      <c r="B2165" s="1" t="s">
        <v>4546</v>
      </c>
      <c r="C2165" t="s">
        <v>6887</v>
      </c>
      <c r="D2165" t="s">
        <v>8660</v>
      </c>
      <c r="E2165" t="s">
        <v>8827</v>
      </c>
    </row>
    <row r="2166" spans="1:5" ht="15.6" x14ac:dyDescent="0.3">
      <c r="A2166" s="1" t="s">
        <v>197</v>
      </c>
      <c r="B2166" s="1" t="s">
        <v>4547</v>
      </c>
      <c r="C2166" t="s">
        <v>6888</v>
      </c>
      <c r="D2166" t="s">
        <v>7678</v>
      </c>
      <c r="E2166" t="s">
        <v>10623</v>
      </c>
    </row>
    <row r="2167" spans="1:5" ht="15.6" x14ac:dyDescent="0.3">
      <c r="A2167" s="1" t="s">
        <v>196</v>
      </c>
      <c r="B2167" s="1" t="s">
        <v>4548</v>
      </c>
      <c r="C2167" t="s">
        <v>6889</v>
      </c>
      <c r="D2167" t="s">
        <v>8661</v>
      </c>
      <c r="E2167" t="s">
        <v>10624</v>
      </c>
    </row>
    <row r="2168" spans="1:5" ht="15.6" x14ac:dyDescent="0.3">
      <c r="A2168" s="1" t="s">
        <v>195</v>
      </c>
      <c r="B2168" s="1" t="s">
        <v>4549</v>
      </c>
      <c r="C2168" t="s">
        <v>6890</v>
      </c>
      <c r="D2168" t="s">
        <v>8662</v>
      </c>
      <c r="E2168" t="s">
        <v>10625</v>
      </c>
    </row>
    <row r="2169" spans="1:5" ht="15.6" x14ac:dyDescent="0.3">
      <c r="A2169" s="1" t="s">
        <v>194</v>
      </c>
      <c r="B2169" s="1" t="s">
        <v>4550</v>
      </c>
      <c r="C2169" t="s">
        <v>6891</v>
      </c>
      <c r="D2169" t="s">
        <v>7557</v>
      </c>
      <c r="E2169" t="s">
        <v>10626</v>
      </c>
    </row>
    <row r="2170" spans="1:5" ht="15.6" x14ac:dyDescent="0.3">
      <c r="A2170" s="1" t="s">
        <v>193</v>
      </c>
      <c r="B2170" s="1" t="s">
        <v>4551</v>
      </c>
      <c r="C2170" t="s">
        <v>6892</v>
      </c>
      <c r="D2170" t="s">
        <v>8663</v>
      </c>
      <c r="E2170" t="s">
        <v>10627</v>
      </c>
    </row>
    <row r="2171" spans="1:5" ht="15.6" x14ac:dyDescent="0.3">
      <c r="A2171" s="1" t="s">
        <v>192</v>
      </c>
      <c r="B2171" s="1" t="s">
        <v>4552</v>
      </c>
      <c r="C2171" t="s">
        <v>6893</v>
      </c>
      <c r="D2171" t="s">
        <v>7209</v>
      </c>
      <c r="E2171" t="s">
        <v>10628</v>
      </c>
    </row>
    <row r="2172" spans="1:5" ht="15.6" x14ac:dyDescent="0.3">
      <c r="A2172" s="1" t="s">
        <v>191</v>
      </c>
      <c r="B2172" s="1" t="s">
        <v>4553</v>
      </c>
      <c r="C2172" t="s">
        <v>6894</v>
      </c>
      <c r="D2172" t="s">
        <v>7844</v>
      </c>
      <c r="E2172" t="s">
        <v>10629</v>
      </c>
    </row>
    <row r="2173" spans="1:5" ht="15.6" x14ac:dyDescent="0.3">
      <c r="A2173" s="1" t="s">
        <v>190</v>
      </c>
      <c r="B2173" s="1" t="s">
        <v>4554</v>
      </c>
      <c r="C2173" t="s">
        <v>6895</v>
      </c>
      <c r="D2173" t="s">
        <v>7216</v>
      </c>
      <c r="E2173" t="s">
        <v>10238</v>
      </c>
    </row>
    <row r="2174" spans="1:5" ht="15.6" x14ac:dyDescent="0.3">
      <c r="A2174" s="1" t="s">
        <v>189</v>
      </c>
      <c r="B2174" s="1" t="s">
        <v>4555</v>
      </c>
      <c r="C2174" t="s">
        <v>6896</v>
      </c>
      <c r="D2174" t="s">
        <v>8664</v>
      </c>
      <c r="E2174" t="s">
        <v>10630</v>
      </c>
    </row>
    <row r="2175" spans="1:5" ht="15.6" x14ac:dyDescent="0.3">
      <c r="A2175" s="1" t="s">
        <v>188</v>
      </c>
      <c r="B2175" s="1" t="s">
        <v>4556</v>
      </c>
      <c r="C2175" t="s">
        <v>6897</v>
      </c>
      <c r="D2175" t="s">
        <v>8665</v>
      </c>
      <c r="E2175" t="s">
        <v>9781</v>
      </c>
    </row>
    <row r="2176" spans="1:5" ht="15.6" x14ac:dyDescent="0.3">
      <c r="A2176" s="1" t="s">
        <v>187</v>
      </c>
      <c r="B2176" s="1" t="s">
        <v>4557</v>
      </c>
      <c r="C2176" t="s">
        <v>6898</v>
      </c>
      <c r="D2176" t="s">
        <v>8666</v>
      </c>
      <c r="E2176" t="s">
        <v>10631</v>
      </c>
    </row>
    <row r="2177" spans="1:5" ht="15.6" x14ac:dyDescent="0.3">
      <c r="A2177" s="1" t="s">
        <v>186</v>
      </c>
      <c r="B2177" s="1" t="s">
        <v>4558</v>
      </c>
      <c r="C2177" t="s">
        <v>6899</v>
      </c>
      <c r="D2177" t="s">
        <v>8667</v>
      </c>
      <c r="E2177" t="s">
        <v>8970</v>
      </c>
    </row>
    <row r="2178" spans="1:5" ht="15.6" x14ac:dyDescent="0.3">
      <c r="A2178" s="1" t="s">
        <v>185</v>
      </c>
      <c r="B2178" s="1" t="s">
        <v>4559</v>
      </c>
      <c r="C2178" t="s">
        <v>6900</v>
      </c>
      <c r="D2178" t="s">
        <v>8668</v>
      </c>
      <c r="E2178" t="s">
        <v>8962</v>
      </c>
    </row>
    <row r="2179" spans="1:5" ht="15.6" x14ac:dyDescent="0.3">
      <c r="A2179" s="1" t="s">
        <v>184</v>
      </c>
      <c r="B2179" s="1" t="s">
        <v>4560</v>
      </c>
      <c r="C2179" t="s">
        <v>6901</v>
      </c>
      <c r="D2179" t="s">
        <v>7387</v>
      </c>
      <c r="E2179" t="s">
        <v>9377</v>
      </c>
    </row>
    <row r="2180" spans="1:5" ht="15.6" x14ac:dyDescent="0.3">
      <c r="A2180" s="1" t="s">
        <v>183</v>
      </c>
      <c r="B2180" s="1" t="s">
        <v>4561</v>
      </c>
      <c r="C2180" t="s">
        <v>6902</v>
      </c>
      <c r="D2180" t="s">
        <v>8669</v>
      </c>
      <c r="E2180" t="s">
        <v>10632</v>
      </c>
    </row>
    <row r="2181" spans="1:5" ht="15.6" x14ac:dyDescent="0.3">
      <c r="A2181" s="1" t="s">
        <v>182</v>
      </c>
      <c r="B2181" s="1" t="s">
        <v>4562</v>
      </c>
      <c r="C2181" t="s">
        <v>6903</v>
      </c>
      <c r="D2181" t="s">
        <v>7369</v>
      </c>
      <c r="E2181" t="s">
        <v>9815</v>
      </c>
    </row>
    <row r="2182" spans="1:5" ht="15.6" x14ac:dyDescent="0.3">
      <c r="A2182" s="1" t="s">
        <v>181</v>
      </c>
      <c r="B2182" s="1" t="s">
        <v>4563</v>
      </c>
      <c r="C2182" t="s">
        <v>6904</v>
      </c>
      <c r="D2182" t="s">
        <v>8670</v>
      </c>
      <c r="E2182" t="s">
        <v>10633</v>
      </c>
    </row>
    <row r="2183" spans="1:5" ht="15.6" x14ac:dyDescent="0.3">
      <c r="A2183" s="1" t="s">
        <v>180</v>
      </c>
      <c r="B2183" s="1" t="s">
        <v>4564</v>
      </c>
      <c r="C2183" t="s">
        <v>6905</v>
      </c>
      <c r="D2183" t="s">
        <v>7385</v>
      </c>
      <c r="E2183" t="s">
        <v>10634</v>
      </c>
    </row>
    <row r="2184" spans="1:5" ht="15.6" x14ac:dyDescent="0.3">
      <c r="A2184" s="1" t="s">
        <v>179</v>
      </c>
      <c r="B2184" s="1" t="s">
        <v>4565</v>
      </c>
      <c r="C2184" t="s">
        <v>6906</v>
      </c>
      <c r="D2184" t="s">
        <v>8427</v>
      </c>
      <c r="E2184" t="s">
        <v>9121</v>
      </c>
    </row>
    <row r="2185" spans="1:5" ht="15.6" x14ac:dyDescent="0.3">
      <c r="A2185" s="1" t="s">
        <v>178</v>
      </c>
      <c r="B2185" s="1" t="s">
        <v>4566</v>
      </c>
      <c r="C2185" t="s">
        <v>6907</v>
      </c>
      <c r="D2185" t="s">
        <v>8671</v>
      </c>
      <c r="E2185" t="s">
        <v>10635</v>
      </c>
    </row>
    <row r="2186" spans="1:5" ht="15.6" x14ac:dyDescent="0.3">
      <c r="A2186" s="1" t="s">
        <v>177</v>
      </c>
      <c r="B2186" s="1" t="s">
        <v>4567</v>
      </c>
      <c r="C2186" t="s">
        <v>6908</v>
      </c>
      <c r="D2186" t="s">
        <v>7305</v>
      </c>
      <c r="E2186" t="s">
        <v>10636</v>
      </c>
    </row>
    <row r="2187" spans="1:5" ht="15.6" x14ac:dyDescent="0.3">
      <c r="A2187" s="1" t="s">
        <v>176</v>
      </c>
      <c r="B2187" s="1" t="s">
        <v>4568</v>
      </c>
      <c r="C2187" t="s">
        <v>6909</v>
      </c>
      <c r="D2187" t="s">
        <v>8672</v>
      </c>
      <c r="E2187" t="s">
        <v>9270</v>
      </c>
    </row>
    <row r="2188" spans="1:5" ht="15.6" x14ac:dyDescent="0.3">
      <c r="A2188" s="1" t="s">
        <v>175</v>
      </c>
      <c r="B2188" s="1" t="s">
        <v>4569</v>
      </c>
      <c r="C2188" t="s">
        <v>6910</v>
      </c>
      <c r="D2188" t="s">
        <v>7081</v>
      </c>
      <c r="E2188" t="s">
        <v>10637</v>
      </c>
    </row>
    <row r="2189" spans="1:5" ht="15.6" x14ac:dyDescent="0.3">
      <c r="A2189" s="1" t="s">
        <v>174</v>
      </c>
      <c r="B2189" s="1" t="s">
        <v>4570</v>
      </c>
      <c r="C2189" t="s">
        <v>6911</v>
      </c>
      <c r="D2189" t="s">
        <v>7153</v>
      </c>
      <c r="E2189" t="s">
        <v>10638</v>
      </c>
    </row>
    <row r="2190" spans="1:5" ht="15.6" x14ac:dyDescent="0.3">
      <c r="A2190" s="1" t="s">
        <v>173</v>
      </c>
      <c r="B2190" s="1" t="s">
        <v>4571</v>
      </c>
      <c r="C2190" t="s">
        <v>6912</v>
      </c>
      <c r="D2190" t="s">
        <v>8673</v>
      </c>
      <c r="E2190" t="s">
        <v>9969</v>
      </c>
    </row>
    <row r="2191" spans="1:5" ht="15.6" x14ac:dyDescent="0.3">
      <c r="A2191" s="1" t="s">
        <v>172</v>
      </c>
      <c r="B2191" s="1" t="s">
        <v>4572</v>
      </c>
      <c r="C2191" t="s">
        <v>6913</v>
      </c>
      <c r="D2191" t="s">
        <v>8674</v>
      </c>
      <c r="E2191" t="s">
        <v>10639</v>
      </c>
    </row>
    <row r="2192" spans="1:5" ht="15.6" x14ac:dyDescent="0.3">
      <c r="A2192" s="1" t="s">
        <v>171</v>
      </c>
      <c r="B2192" s="1" t="s">
        <v>4573</v>
      </c>
      <c r="C2192" t="s">
        <v>6914</v>
      </c>
      <c r="D2192" t="s">
        <v>8675</v>
      </c>
      <c r="E2192" t="s">
        <v>8960</v>
      </c>
    </row>
    <row r="2193" spans="1:5" ht="15.6" x14ac:dyDescent="0.3">
      <c r="A2193" s="1" t="s">
        <v>169</v>
      </c>
      <c r="B2193" s="1" t="s">
        <v>4574</v>
      </c>
      <c r="C2193" t="s">
        <v>4738</v>
      </c>
      <c r="D2193" t="s">
        <v>7073</v>
      </c>
      <c r="E2193" t="s">
        <v>10640</v>
      </c>
    </row>
    <row r="2194" spans="1:5" ht="15.6" x14ac:dyDescent="0.3">
      <c r="A2194" s="1" t="s">
        <v>167</v>
      </c>
      <c r="B2194" s="1" t="s">
        <v>4575</v>
      </c>
      <c r="C2194" t="s">
        <v>6915</v>
      </c>
      <c r="D2194" t="s">
        <v>8676</v>
      </c>
      <c r="E2194" t="s">
        <v>10296</v>
      </c>
    </row>
    <row r="2195" spans="1:5" ht="15.6" x14ac:dyDescent="0.3">
      <c r="A2195" s="1" t="s">
        <v>165</v>
      </c>
      <c r="B2195" s="1" t="s">
        <v>4576</v>
      </c>
      <c r="C2195" t="s">
        <v>6916</v>
      </c>
      <c r="D2195" t="s">
        <v>8677</v>
      </c>
      <c r="E2195" t="s">
        <v>9332</v>
      </c>
    </row>
    <row r="2196" spans="1:5" ht="15.6" x14ac:dyDescent="0.3">
      <c r="A2196" s="1" t="s">
        <v>163</v>
      </c>
      <c r="B2196" s="1" t="s">
        <v>4577</v>
      </c>
      <c r="C2196" t="s">
        <v>6917</v>
      </c>
      <c r="D2196" t="s">
        <v>8678</v>
      </c>
      <c r="E2196" t="s">
        <v>10641</v>
      </c>
    </row>
    <row r="2197" spans="1:5" ht="15.6" x14ac:dyDescent="0.3">
      <c r="A2197" s="1" t="s">
        <v>162</v>
      </c>
      <c r="B2197" s="1" t="s">
        <v>4578</v>
      </c>
      <c r="C2197" t="s">
        <v>6918</v>
      </c>
      <c r="D2197" t="s">
        <v>8679</v>
      </c>
      <c r="E2197" t="s">
        <v>9236</v>
      </c>
    </row>
    <row r="2198" spans="1:5" ht="15.6" x14ac:dyDescent="0.3">
      <c r="A2198" s="1" t="s">
        <v>161</v>
      </c>
      <c r="B2198" s="1" t="s">
        <v>4579</v>
      </c>
      <c r="C2198" t="s">
        <v>6919</v>
      </c>
      <c r="D2198" t="s">
        <v>8680</v>
      </c>
      <c r="E2198" t="s">
        <v>10642</v>
      </c>
    </row>
    <row r="2199" spans="1:5" ht="15.6" x14ac:dyDescent="0.3">
      <c r="A2199" s="1" t="s">
        <v>160</v>
      </c>
      <c r="B2199" s="1" t="s">
        <v>4580</v>
      </c>
      <c r="C2199" t="s">
        <v>6920</v>
      </c>
      <c r="D2199" t="s">
        <v>7122</v>
      </c>
      <c r="E2199" t="s">
        <v>10643</v>
      </c>
    </row>
    <row r="2200" spans="1:5" ht="15.6" x14ac:dyDescent="0.3">
      <c r="A2200" s="1" t="s">
        <v>159</v>
      </c>
      <c r="B2200" s="1" t="s">
        <v>4581</v>
      </c>
      <c r="C2200" t="s">
        <v>6921</v>
      </c>
      <c r="D2200" t="s">
        <v>8681</v>
      </c>
      <c r="E2200" t="s">
        <v>10644</v>
      </c>
    </row>
    <row r="2201" spans="1:5" ht="15.6" x14ac:dyDescent="0.3">
      <c r="A2201" s="1" t="s">
        <v>158</v>
      </c>
      <c r="B2201" s="1" t="s">
        <v>4582</v>
      </c>
      <c r="C2201" t="s">
        <v>6922</v>
      </c>
      <c r="D2201" t="s">
        <v>8682</v>
      </c>
      <c r="E2201" t="s">
        <v>10645</v>
      </c>
    </row>
    <row r="2202" spans="1:5" ht="15.6" x14ac:dyDescent="0.3">
      <c r="A2202" s="1" t="s">
        <v>157</v>
      </c>
      <c r="B2202" s="1" t="s">
        <v>4583</v>
      </c>
      <c r="C2202" t="s">
        <v>6923</v>
      </c>
      <c r="D2202" t="s">
        <v>8683</v>
      </c>
      <c r="E2202" t="s">
        <v>10646</v>
      </c>
    </row>
    <row r="2203" spans="1:5" ht="15.6" x14ac:dyDescent="0.3">
      <c r="A2203" s="1" t="s">
        <v>156</v>
      </c>
      <c r="B2203" s="1" t="s">
        <v>4584</v>
      </c>
      <c r="C2203" t="s">
        <v>6924</v>
      </c>
      <c r="D2203" t="s">
        <v>7241</v>
      </c>
      <c r="E2203" t="s">
        <v>10647</v>
      </c>
    </row>
    <row r="2204" spans="1:5" ht="15.6" x14ac:dyDescent="0.3">
      <c r="A2204" s="1" t="s">
        <v>155</v>
      </c>
      <c r="B2204" s="1" t="s">
        <v>4585</v>
      </c>
      <c r="C2204" t="s">
        <v>6925</v>
      </c>
      <c r="D2204" t="s">
        <v>8684</v>
      </c>
      <c r="E2204" t="s">
        <v>10648</v>
      </c>
    </row>
    <row r="2205" spans="1:5" ht="15.6" x14ac:dyDescent="0.3">
      <c r="A2205" s="1" t="s">
        <v>154</v>
      </c>
      <c r="B2205" s="1" t="s">
        <v>4586</v>
      </c>
      <c r="C2205" t="s">
        <v>6926</v>
      </c>
      <c r="D2205" t="s">
        <v>8685</v>
      </c>
      <c r="E2205" t="s">
        <v>10649</v>
      </c>
    </row>
    <row r="2206" spans="1:5" ht="15.6" x14ac:dyDescent="0.3">
      <c r="A2206" s="1" t="s">
        <v>153</v>
      </c>
      <c r="B2206" s="1" t="s">
        <v>4587</v>
      </c>
      <c r="C2206" t="s">
        <v>6927</v>
      </c>
      <c r="D2206" t="s">
        <v>8686</v>
      </c>
      <c r="E2206" t="s">
        <v>10650</v>
      </c>
    </row>
    <row r="2207" spans="1:5" ht="15.6" x14ac:dyDescent="0.3">
      <c r="A2207" s="1" t="s">
        <v>152</v>
      </c>
      <c r="B2207" s="1" t="s">
        <v>4588</v>
      </c>
      <c r="C2207" t="s">
        <v>6928</v>
      </c>
      <c r="D2207" t="s">
        <v>8687</v>
      </c>
      <c r="E2207" t="s">
        <v>10651</v>
      </c>
    </row>
    <row r="2208" spans="1:5" ht="15.6" x14ac:dyDescent="0.3">
      <c r="A2208" s="1" t="s">
        <v>151</v>
      </c>
      <c r="B2208" s="1" t="s">
        <v>4589</v>
      </c>
      <c r="C2208" t="s">
        <v>6929</v>
      </c>
      <c r="D2208" t="s">
        <v>8185</v>
      </c>
      <c r="E2208" t="s">
        <v>10652</v>
      </c>
    </row>
    <row r="2209" spans="1:5" ht="15.6" x14ac:dyDescent="0.3">
      <c r="A2209" s="1" t="s">
        <v>150</v>
      </c>
      <c r="B2209" s="1" t="s">
        <v>4590</v>
      </c>
      <c r="C2209" t="s">
        <v>6930</v>
      </c>
      <c r="D2209" t="s">
        <v>8688</v>
      </c>
      <c r="E2209" t="s">
        <v>10653</v>
      </c>
    </row>
    <row r="2210" spans="1:5" ht="15.6" x14ac:dyDescent="0.3">
      <c r="A2210" s="1" t="s">
        <v>149</v>
      </c>
      <c r="B2210" s="1" t="s">
        <v>4591</v>
      </c>
      <c r="C2210" t="s">
        <v>6931</v>
      </c>
      <c r="D2210" t="s">
        <v>8689</v>
      </c>
      <c r="E2210" t="s">
        <v>10654</v>
      </c>
    </row>
    <row r="2211" spans="1:5" ht="15.6" x14ac:dyDescent="0.3">
      <c r="A2211" s="1" t="s">
        <v>148</v>
      </c>
      <c r="B2211" s="1" t="s">
        <v>4592</v>
      </c>
      <c r="C2211" t="s">
        <v>6932</v>
      </c>
      <c r="D2211" t="s">
        <v>7091</v>
      </c>
      <c r="E2211" t="s">
        <v>10655</v>
      </c>
    </row>
    <row r="2212" spans="1:5" ht="15.6" x14ac:dyDescent="0.3">
      <c r="A2212" s="1" t="s">
        <v>147</v>
      </c>
      <c r="B2212" s="1" t="s">
        <v>4593</v>
      </c>
      <c r="C2212" t="s">
        <v>6933</v>
      </c>
      <c r="D2212" t="s">
        <v>8509</v>
      </c>
      <c r="E2212" t="s">
        <v>10656</v>
      </c>
    </row>
    <row r="2213" spans="1:5" ht="15.6" x14ac:dyDescent="0.3">
      <c r="A2213" s="1" t="s">
        <v>146</v>
      </c>
      <c r="B2213" s="1" t="s">
        <v>4594</v>
      </c>
      <c r="C2213" t="s">
        <v>6934</v>
      </c>
      <c r="D2213" t="s">
        <v>8185</v>
      </c>
      <c r="E2213" t="s">
        <v>10343</v>
      </c>
    </row>
    <row r="2214" spans="1:5" ht="15.6" x14ac:dyDescent="0.3">
      <c r="A2214" s="1" t="s">
        <v>145</v>
      </c>
      <c r="B2214" s="1" t="s">
        <v>4595</v>
      </c>
      <c r="C2214" t="s">
        <v>6935</v>
      </c>
      <c r="D2214" t="s">
        <v>7433</v>
      </c>
      <c r="E2214" t="s">
        <v>10657</v>
      </c>
    </row>
    <row r="2215" spans="1:5" ht="15.6" x14ac:dyDescent="0.3">
      <c r="A2215" s="1" t="s">
        <v>144</v>
      </c>
      <c r="B2215" s="1" t="s">
        <v>4596</v>
      </c>
      <c r="C2215" t="s">
        <v>6936</v>
      </c>
      <c r="D2215" t="s">
        <v>8690</v>
      </c>
      <c r="E2215" t="s">
        <v>10658</v>
      </c>
    </row>
    <row r="2216" spans="1:5" ht="15.6" x14ac:dyDescent="0.3">
      <c r="A2216" s="1" t="s">
        <v>143</v>
      </c>
      <c r="B2216" s="1" t="s">
        <v>4597</v>
      </c>
      <c r="C2216" t="s">
        <v>6937</v>
      </c>
      <c r="D2216" t="s">
        <v>7442</v>
      </c>
      <c r="E2216" t="s">
        <v>10659</v>
      </c>
    </row>
    <row r="2217" spans="1:5" ht="15.6" x14ac:dyDescent="0.3">
      <c r="A2217" s="1" t="s">
        <v>142</v>
      </c>
      <c r="B2217" s="1" t="s">
        <v>4598</v>
      </c>
      <c r="C2217" t="s">
        <v>6938</v>
      </c>
      <c r="D2217" t="s">
        <v>8691</v>
      </c>
      <c r="E2217" t="s">
        <v>9478</v>
      </c>
    </row>
    <row r="2218" spans="1:5" ht="15.6" x14ac:dyDescent="0.3">
      <c r="A2218" s="1" t="s">
        <v>141</v>
      </c>
      <c r="B2218" s="1" t="s">
        <v>4599</v>
      </c>
      <c r="C2218" t="s">
        <v>6939</v>
      </c>
      <c r="D2218" t="s">
        <v>8692</v>
      </c>
      <c r="E2218" t="s">
        <v>8811</v>
      </c>
    </row>
    <row r="2219" spans="1:5" ht="15.6" x14ac:dyDescent="0.3">
      <c r="A2219" s="1" t="s">
        <v>140</v>
      </c>
      <c r="B2219" s="1" t="s">
        <v>4600</v>
      </c>
      <c r="C2219" t="s">
        <v>6940</v>
      </c>
      <c r="D2219" t="s">
        <v>7689</v>
      </c>
      <c r="E2219" t="s">
        <v>10660</v>
      </c>
    </row>
    <row r="2220" spans="1:5" ht="15.6" x14ac:dyDescent="0.3">
      <c r="A2220" s="1" t="s">
        <v>139</v>
      </c>
      <c r="B2220" s="1" t="s">
        <v>4601</v>
      </c>
      <c r="C2220" t="s">
        <v>6941</v>
      </c>
      <c r="D2220" t="s">
        <v>7281</v>
      </c>
      <c r="E2220" t="s">
        <v>10661</v>
      </c>
    </row>
    <row r="2221" spans="1:5" ht="15.6" x14ac:dyDescent="0.3">
      <c r="A2221" s="1" t="s">
        <v>138</v>
      </c>
      <c r="B2221" s="1" t="s">
        <v>4602</v>
      </c>
      <c r="C2221" t="s">
        <v>6942</v>
      </c>
      <c r="D2221" t="s">
        <v>8693</v>
      </c>
      <c r="E2221" t="s">
        <v>10662</v>
      </c>
    </row>
    <row r="2222" spans="1:5" ht="15.6" x14ac:dyDescent="0.3">
      <c r="A2222" s="1" t="s">
        <v>137</v>
      </c>
      <c r="B2222" s="1" t="s">
        <v>4603</v>
      </c>
      <c r="C2222" t="s">
        <v>6943</v>
      </c>
      <c r="D2222" t="s">
        <v>7205</v>
      </c>
      <c r="E2222" t="s">
        <v>10663</v>
      </c>
    </row>
    <row r="2223" spans="1:5" ht="15.6" x14ac:dyDescent="0.3">
      <c r="A2223" s="1" t="s">
        <v>136</v>
      </c>
      <c r="B2223" s="1" t="s">
        <v>4604</v>
      </c>
      <c r="C2223" t="s">
        <v>6944</v>
      </c>
      <c r="D2223" t="s">
        <v>7913</v>
      </c>
      <c r="E2223" t="s">
        <v>10664</v>
      </c>
    </row>
    <row r="2224" spans="1:5" ht="15.6" x14ac:dyDescent="0.3">
      <c r="A2224" s="1" t="s">
        <v>135</v>
      </c>
      <c r="B2224" s="1" t="s">
        <v>4605</v>
      </c>
      <c r="C2224" t="s">
        <v>6945</v>
      </c>
      <c r="D2224" t="s">
        <v>7405</v>
      </c>
      <c r="E2224" t="s">
        <v>9204</v>
      </c>
    </row>
    <row r="2225" spans="1:5" ht="15.6" x14ac:dyDescent="0.3">
      <c r="A2225" s="1" t="s">
        <v>134</v>
      </c>
      <c r="B2225" s="1" t="s">
        <v>4606</v>
      </c>
      <c r="C2225" t="s">
        <v>6946</v>
      </c>
      <c r="D2225" t="s">
        <v>7913</v>
      </c>
      <c r="E2225" t="s">
        <v>10665</v>
      </c>
    </row>
    <row r="2226" spans="1:5" ht="15.6" x14ac:dyDescent="0.3">
      <c r="A2226" s="1" t="s">
        <v>133</v>
      </c>
      <c r="B2226" s="1" t="s">
        <v>4607</v>
      </c>
      <c r="C2226" t="s">
        <v>6947</v>
      </c>
      <c r="D2226" t="s">
        <v>8694</v>
      </c>
      <c r="E2226" t="s">
        <v>10345</v>
      </c>
    </row>
    <row r="2227" spans="1:5" ht="15.6" x14ac:dyDescent="0.3">
      <c r="A2227" s="1" t="s">
        <v>132</v>
      </c>
      <c r="B2227" s="1" t="s">
        <v>4608</v>
      </c>
      <c r="C2227" t="s">
        <v>6948</v>
      </c>
      <c r="D2227" t="s">
        <v>7299</v>
      </c>
      <c r="E2227" t="s">
        <v>9452</v>
      </c>
    </row>
    <row r="2228" spans="1:5" ht="15.6" x14ac:dyDescent="0.3">
      <c r="A2228" s="1" t="s">
        <v>131</v>
      </c>
      <c r="B2228" s="1" t="s">
        <v>4609</v>
      </c>
      <c r="C2228" t="s">
        <v>6949</v>
      </c>
      <c r="D2228" t="s">
        <v>8078</v>
      </c>
      <c r="E2228" t="s">
        <v>9989</v>
      </c>
    </row>
    <row r="2229" spans="1:5" ht="15.6" x14ac:dyDescent="0.3">
      <c r="A2229" s="1" t="s">
        <v>130</v>
      </c>
      <c r="B2229" s="1" t="s">
        <v>4610</v>
      </c>
      <c r="C2229" t="s">
        <v>6950</v>
      </c>
      <c r="D2229" t="s">
        <v>8695</v>
      </c>
      <c r="E2229" t="s">
        <v>10666</v>
      </c>
    </row>
    <row r="2230" spans="1:5" ht="15.6" x14ac:dyDescent="0.3">
      <c r="A2230" s="1" t="s">
        <v>129</v>
      </c>
      <c r="B2230" s="1" t="s">
        <v>4611</v>
      </c>
      <c r="C2230" t="s">
        <v>6951</v>
      </c>
      <c r="D2230" t="s">
        <v>8696</v>
      </c>
      <c r="E2230" t="s">
        <v>10667</v>
      </c>
    </row>
    <row r="2231" spans="1:5" ht="15.6" x14ac:dyDescent="0.3">
      <c r="A2231" s="1" t="s">
        <v>128</v>
      </c>
      <c r="B2231" s="1" t="s">
        <v>4612</v>
      </c>
      <c r="C2231" t="s">
        <v>6952</v>
      </c>
      <c r="D2231" t="s">
        <v>8697</v>
      </c>
      <c r="E2231" t="s">
        <v>10668</v>
      </c>
    </row>
    <row r="2232" spans="1:5" ht="15.6" x14ac:dyDescent="0.3">
      <c r="A2232" s="1" t="s">
        <v>127</v>
      </c>
      <c r="B2232" s="1" t="s">
        <v>4613</v>
      </c>
      <c r="C2232" t="s">
        <v>6953</v>
      </c>
      <c r="D2232" t="s">
        <v>8698</v>
      </c>
      <c r="E2232" t="s">
        <v>10669</v>
      </c>
    </row>
    <row r="2233" spans="1:5" ht="15.6" x14ac:dyDescent="0.3">
      <c r="A2233" s="1" t="s">
        <v>126</v>
      </c>
      <c r="B2233" s="1" t="s">
        <v>4614</v>
      </c>
      <c r="C2233" t="s">
        <v>6954</v>
      </c>
      <c r="D2233" t="s">
        <v>8699</v>
      </c>
      <c r="E2233" t="s">
        <v>10670</v>
      </c>
    </row>
    <row r="2234" spans="1:5" ht="15.6" x14ac:dyDescent="0.3">
      <c r="A2234" s="1" t="s">
        <v>125</v>
      </c>
      <c r="B2234" s="1" t="s">
        <v>4615</v>
      </c>
      <c r="C2234" t="s">
        <v>6955</v>
      </c>
      <c r="D2234" t="s">
        <v>8700</v>
      </c>
      <c r="E2234" t="s">
        <v>10671</v>
      </c>
    </row>
    <row r="2235" spans="1:5" ht="15.6" x14ac:dyDescent="0.3">
      <c r="A2235" s="1" t="s">
        <v>124</v>
      </c>
      <c r="B2235" s="1" t="s">
        <v>4616</v>
      </c>
      <c r="C2235" t="s">
        <v>6956</v>
      </c>
      <c r="D2235" t="s">
        <v>7081</v>
      </c>
      <c r="E2235" t="s">
        <v>9751</v>
      </c>
    </row>
    <row r="2236" spans="1:5" ht="15.6" x14ac:dyDescent="0.3">
      <c r="A2236" s="1" t="s">
        <v>123</v>
      </c>
      <c r="B2236" s="1" t="s">
        <v>4617</v>
      </c>
      <c r="C2236" t="s">
        <v>6957</v>
      </c>
      <c r="D2236" t="s">
        <v>7094</v>
      </c>
      <c r="E2236" t="s">
        <v>10672</v>
      </c>
    </row>
    <row r="2237" spans="1:5" ht="15.6" x14ac:dyDescent="0.3">
      <c r="A2237" s="1" t="s">
        <v>122</v>
      </c>
      <c r="B2237" s="1" t="s">
        <v>4618</v>
      </c>
      <c r="C2237" t="s">
        <v>6958</v>
      </c>
      <c r="D2237" t="s">
        <v>8701</v>
      </c>
      <c r="E2237" t="s">
        <v>10673</v>
      </c>
    </row>
    <row r="2238" spans="1:5" ht="15.6" x14ac:dyDescent="0.3">
      <c r="A2238" s="1" t="s">
        <v>121</v>
      </c>
      <c r="B2238" s="1" t="s">
        <v>4619</v>
      </c>
      <c r="C2238" t="s">
        <v>6959</v>
      </c>
      <c r="D2238" t="s">
        <v>8422</v>
      </c>
      <c r="E2238" t="s">
        <v>10674</v>
      </c>
    </row>
    <row r="2239" spans="1:5" ht="15.6" x14ac:dyDescent="0.3">
      <c r="A2239" s="1" t="s">
        <v>120</v>
      </c>
      <c r="B2239" s="1" t="s">
        <v>4620</v>
      </c>
      <c r="C2239" t="s">
        <v>6960</v>
      </c>
      <c r="D2239" t="s">
        <v>8702</v>
      </c>
      <c r="E2239" t="s">
        <v>10675</v>
      </c>
    </row>
    <row r="2240" spans="1:5" ht="15.6" x14ac:dyDescent="0.3">
      <c r="A2240" s="1" t="s">
        <v>119</v>
      </c>
      <c r="B2240" s="1" t="s">
        <v>4621</v>
      </c>
      <c r="C2240" t="s">
        <v>6961</v>
      </c>
      <c r="D2240" t="s">
        <v>8703</v>
      </c>
      <c r="E2240" t="s">
        <v>8814</v>
      </c>
    </row>
    <row r="2241" spans="1:5" ht="15.6" x14ac:dyDescent="0.3">
      <c r="A2241" s="1" t="s">
        <v>118</v>
      </c>
      <c r="B2241" s="1" t="s">
        <v>4622</v>
      </c>
      <c r="C2241" t="s">
        <v>6962</v>
      </c>
      <c r="D2241" t="s">
        <v>8704</v>
      </c>
      <c r="E2241" t="s">
        <v>10676</v>
      </c>
    </row>
    <row r="2242" spans="1:5" ht="15.6" x14ac:dyDescent="0.3">
      <c r="A2242" s="1" t="s">
        <v>117</v>
      </c>
      <c r="B2242" s="1" t="s">
        <v>4623</v>
      </c>
      <c r="C2242" t="s">
        <v>6963</v>
      </c>
      <c r="D2242" t="s">
        <v>7165</v>
      </c>
      <c r="E2242" t="s">
        <v>10677</v>
      </c>
    </row>
    <row r="2243" spans="1:5" ht="15.6" x14ac:dyDescent="0.3">
      <c r="A2243" s="1" t="s">
        <v>116</v>
      </c>
      <c r="B2243" s="1" t="s">
        <v>4624</v>
      </c>
      <c r="C2243" t="s">
        <v>6964</v>
      </c>
      <c r="D2243" t="s">
        <v>8705</v>
      </c>
      <c r="E2243" t="s">
        <v>10678</v>
      </c>
    </row>
    <row r="2244" spans="1:5" ht="15.6" x14ac:dyDescent="0.3">
      <c r="A2244" s="1" t="s">
        <v>115</v>
      </c>
      <c r="B2244" s="1" t="s">
        <v>4625</v>
      </c>
      <c r="C2244" t="s">
        <v>6965</v>
      </c>
      <c r="D2244" t="s">
        <v>7444</v>
      </c>
      <c r="E2244" t="s">
        <v>9602</v>
      </c>
    </row>
    <row r="2245" spans="1:5" ht="15.6" x14ac:dyDescent="0.3">
      <c r="A2245" s="1" t="s">
        <v>114</v>
      </c>
      <c r="B2245" s="1" t="s">
        <v>4626</v>
      </c>
      <c r="C2245" t="s">
        <v>6966</v>
      </c>
      <c r="D2245" t="s">
        <v>7167</v>
      </c>
      <c r="E2245" t="s">
        <v>10679</v>
      </c>
    </row>
    <row r="2246" spans="1:5" ht="15.6" x14ac:dyDescent="0.3">
      <c r="A2246" s="1" t="s">
        <v>113</v>
      </c>
      <c r="B2246" s="1" t="s">
        <v>4627</v>
      </c>
      <c r="C2246" t="s">
        <v>6967</v>
      </c>
      <c r="D2246" t="s">
        <v>8184</v>
      </c>
      <c r="E2246" t="s">
        <v>9377</v>
      </c>
    </row>
    <row r="2247" spans="1:5" ht="15.6" x14ac:dyDescent="0.3">
      <c r="A2247" s="1" t="s">
        <v>112</v>
      </c>
      <c r="B2247" s="1" t="s">
        <v>4628</v>
      </c>
      <c r="C2247" t="s">
        <v>6968</v>
      </c>
      <c r="D2247" t="s">
        <v>7713</v>
      </c>
      <c r="E2247" t="s">
        <v>10680</v>
      </c>
    </row>
    <row r="2248" spans="1:5" ht="15.6" x14ac:dyDescent="0.3">
      <c r="A2248" s="1" t="s">
        <v>111</v>
      </c>
      <c r="B2248" s="1" t="s">
        <v>4629</v>
      </c>
      <c r="C2248" t="s">
        <v>6969</v>
      </c>
      <c r="D2248" t="s">
        <v>7165</v>
      </c>
      <c r="E2248" t="s">
        <v>10681</v>
      </c>
    </row>
    <row r="2249" spans="1:5" ht="15.6" x14ac:dyDescent="0.3">
      <c r="A2249" s="1" t="s">
        <v>110</v>
      </c>
      <c r="B2249" s="1" t="s">
        <v>4630</v>
      </c>
      <c r="C2249" t="s">
        <v>6970</v>
      </c>
      <c r="D2249" t="s">
        <v>8706</v>
      </c>
      <c r="E2249" t="s">
        <v>10682</v>
      </c>
    </row>
    <row r="2250" spans="1:5" ht="15.6" x14ac:dyDescent="0.3">
      <c r="A2250" s="1" t="s">
        <v>109</v>
      </c>
      <c r="B2250" s="1" t="s">
        <v>4631</v>
      </c>
      <c r="C2250" t="s">
        <v>6971</v>
      </c>
      <c r="D2250" t="s">
        <v>7511</v>
      </c>
      <c r="E2250" t="s">
        <v>10683</v>
      </c>
    </row>
    <row r="2251" spans="1:5" ht="15.6" x14ac:dyDescent="0.3">
      <c r="A2251" s="1" t="s">
        <v>108</v>
      </c>
      <c r="B2251" s="1" t="s">
        <v>4632</v>
      </c>
      <c r="C2251" t="s">
        <v>6972</v>
      </c>
      <c r="D2251" t="s">
        <v>7564</v>
      </c>
      <c r="E2251" t="s">
        <v>10684</v>
      </c>
    </row>
    <row r="2252" spans="1:5" ht="15.6" x14ac:dyDescent="0.3">
      <c r="A2252" s="1" t="s">
        <v>107</v>
      </c>
      <c r="B2252" s="1" t="s">
        <v>4633</v>
      </c>
      <c r="C2252" t="s">
        <v>6973</v>
      </c>
      <c r="D2252" t="s">
        <v>7103</v>
      </c>
      <c r="E2252" t="s">
        <v>10685</v>
      </c>
    </row>
    <row r="2253" spans="1:5" ht="15.6" x14ac:dyDescent="0.3">
      <c r="A2253" s="1" t="s">
        <v>106</v>
      </c>
      <c r="B2253" s="1" t="s">
        <v>4634</v>
      </c>
      <c r="C2253" t="s">
        <v>6974</v>
      </c>
      <c r="D2253" t="s">
        <v>7433</v>
      </c>
      <c r="E2253" t="s">
        <v>10686</v>
      </c>
    </row>
    <row r="2254" spans="1:5" ht="15.6" x14ac:dyDescent="0.3">
      <c r="A2254" s="1" t="s">
        <v>105</v>
      </c>
      <c r="B2254" s="1" t="s">
        <v>4635</v>
      </c>
      <c r="C2254" t="s">
        <v>6975</v>
      </c>
      <c r="D2254" t="s">
        <v>8707</v>
      </c>
      <c r="E2254" t="s">
        <v>10687</v>
      </c>
    </row>
    <row r="2255" spans="1:5" ht="15.6" x14ac:dyDescent="0.3">
      <c r="A2255" s="1" t="s">
        <v>104</v>
      </c>
      <c r="B2255" s="1" t="s">
        <v>4636</v>
      </c>
      <c r="C2255" t="s">
        <v>6976</v>
      </c>
      <c r="D2255" t="s">
        <v>7909</v>
      </c>
      <c r="E2255" t="s">
        <v>10688</v>
      </c>
    </row>
    <row r="2256" spans="1:5" ht="15.6" x14ac:dyDescent="0.3">
      <c r="A2256" s="1" t="s">
        <v>103</v>
      </c>
      <c r="B2256" s="1" t="s">
        <v>4637</v>
      </c>
      <c r="C2256" t="s">
        <v>6977</v>
      </c>
      <c r="D2256" t="s">
        <v>8708</v>
      </c>
      <c r="E2256" t="s">
        <v>10689</v>
      </c>
    </row>
    <row r="2257" spans="1:5" ht="15.6" x14ac:dyDescent="0.3">
      <c r="A2257" s="1" t="s">
        <v>102</v>
      </c>
      <c r="B2257" s="1" t="s">
        <v>4638</v>
      </c>
      <c r="C2257" t="s">
        <v>6978</v>
      </c>
      <c r="D2257" t="s">
        <v>8709</v>
      </c>
      <c r="E2257" t="s">
        <v>8814</v>
      </c>
    </row>
    <row r="2258" spans="1:5" ht="15.6" x14ac:dyDescent="0.3">
      <c r="A2258" s="1" t="s">
        <v>101</v>
      </c>
      <c r="B2258" s="1" t="s">
        <v>4639</v>
      </c>
      <c r="C2258" t="s">
        <v>6979</v>
      </c>
      <c r="D2258" t="s">
        <v>8710</v>
      </c>
      <c r="E2258" t="s">
        <v>10690</v>
      </c>
    </row>
    <row r="2259" spans="1:5" ht="15.6" x14ac:dyDescent="0.3">
      <c r="A2259" s="1" t="s">
        <v>100</v>
      </c>
      <c r="B2259" s="1" t="s">
        <v>4640</v>
      </c>
      <c r="C2259" t="s">
        <v>6980</v>
      </c>
      <c r="D2259" t="s">
        <v>8711</v>
      </c>
      <c r="E2259" t="s">
        <v>10691</v>
      </c>
    </row>
    <row r="2260" spans="1:5" ht="15.6" x14ac:dyDescent="0.3">
      <c r="A2260" s="1" t="s">
        <v>99</v>
      </c>
      <c r="B2260" s="1" t="s">
        <v>4641</v>
      </c>
      <c r="C2260" t="s">
        <v>6981</v>
      </c>
      <c r="D2260" t="s">
        <v>8712</v>
      </c>
      <c r="E2260" t="s">
        <v>10692</v>
      </c>
    </row>
    <row r="2261" spans="1:5" ht="15.6" x14ac:dyDescent="0.3">
      <c r="A2261" s="1" t="s">
        <v>98</v>
      </c>
      <c r="B2261" s="1" t="s">
        <v>4642</v>
      </c>
      <c r="C2261" t="s">
        <v>6982</v>
      </c>
      <c r="D2261" t="s">
        <v>7282</v>
      </c>
      <c r="E2261" t="s">
        <v>10693</v>
      </c>
    </row>
    <row r="2262" spans="1:5" ht="15.6" x14ac:dyDescent="0.3">
      <c r="A2262" s="1" t="s">
        <v>97</v>
      </c>
      <c r="B2262" s="1" t="s">
        <v>4643</v>
      </c>
      <c r="C2262" t="s">
        <v>6983</v>
      </c>
      <c r="D2262" t="s">
        <v>7147</v>
      </c>
      <c r="E2262" t="s">
        <v>10694</v>
      </c>
    </row>
    <row r="2263" spans="1:5" ht="15.6" x14ac:dyDescent="0.3">
      <c r="A2263" s="1" t="s">
        <v>96</v>
      </c>
      <c r="B2263" s="1" t="s">
        <v>4644</v>
      </c>
      <c r="C2263" t="s">
        <v>6984</v>
      </c>
      <c r="D2263" t="s">
        <v>7137</v>
      </c>
      <c r="E2263" t="s">
        <v>10695</v>
      </c>
    </row>
    <row r="2264" spans="1:5" ht="15.6" x14ac:dyDescent="0.3">
      <c r="A2264" s="1" t="s">
        <v>95</v>
      </c>
      <c r="B2264" s="1" t="s">
        <v>4645</v>
      </c>
      <c r="C2264" t="s">
        <v>6985</v>
      </c>
      <c r="D2264" t="s">
        <v>7263</v>
      </c>
      <c r="E2264" t="s">
        <v>10696</v>
      </c>
    </row>
    <row r="2265" spans="1:5" ht="15.6" x14ac:dyDescent="0.3">
      <c r="A2265" s="1" t="s">
        <v>94</v>
      </c>
      <c r="B2265" s="1" t="s">
        <v>4646</v>
      </c>
      <c r="C2265" t="s">
        <v>6986</v>
      </c>
      <c r="D2265" t="s">
        <v>8713</v>
      </c>
      <c r="E2265" t="s">
        <v>10697</v>
      </c>
    </row>
    <row r="2266" spans="1:5" ht="15.6" x14ac:dyDescent="0.3">
      <c r="A2266" s="1" t="s">
        <v>93</v>
      </c>
      <c r="B2266" s="1" t="s">
        <v>4647</v>
      </c>
      <c r="C2266" t="s">
        <v>6987</v>
      </c>
      <c r="D2266" t="s">
        <v>7219</v>
      </c>
      <c r="E2266" t="s">
        <v>10220</v>
      </c>
    </row>
    <row r="2267" spans="1:5" ht="15.6" x14ac:dyDescent="0.3">
      <c r="A2267" s="1" t="s">
        <v>92</v>
      </c>
      <c r="B2267" s="1" t="s">
        <v>4648</v>
      </c>
      <c r="C2267" t="s">
        <v>6988</v>
      </c>
      <c r="D2267" t="s">
        <v>7971</v>
      </c>
      <c r="E2267" t="s">
        <v>10698</v>
      </c>
    </row>
    <row r="2268" spans="1:5" ht="15.6" x14ac:dyDescent="0.3">
      <c r="A2268" s="1" t="s">
        <v>91</v>
      </c>
      <c r="B2268" s="1" t="s">
        <v>4649</v>
      </c>
      <c r="C2268" t="s">
        <v>6989</v>
      </c>
      <c r="D2268" t="s">
        <v>7517</v>
      </c>
      <c r="E2268" t="s">
        <v>10699</v>
      </c>
    </row>
    <row r="2269" spans="1:5" ht="15.6" x14ac:dyDescent="0.3">
      <c r="A2269" s="1" t="s">
        <v>90</v>
      </c>
      <c r="B2269" s="1" t="s">
        <v>4650</v>
      </c>
      <c r="C2269" t="s">
        <v>6990</v>
      </c>
      <c r="D2269" t="s">
        <v>8714</v>
      </c>
      <c r="E2269" t="s">
        <v>10700</v>
      </c>
    </row>
    <row r="2270" spans="1:5" ht="15.6" x14ac:dyDescent="0.3">
      <c r="A2270" s="1" t="s">
        <v>89</v>
      </c>
      <c r="B2270" s="1" t="s">
        <v>4651</v>
      </c>
      <c r="C2270" t="s">
        <v>6991</v>
      </c>
      <c r="D2270" t="s">
        <v>8715</v>
      </c>
      <c r="E2270" t="s">
        <v>8880</v>
      </c>
    </row>
    <row r="2271" spans="1:5" ht="15.6" x14ac:dyDescent="0.3">
      <c r="A2271" s="1" t="s">
        <v>88</v>
      </c>
      <c r="B2271" s="1" t="s">
        <v>4652</v>
      </c>
      <c r="C2271" t="s">
        <v>6992</v>
      </c>
      <c r="D2271" t="s">
        <v>8187</v>
      </c>
      <c r="E2271" t="s">
        <v>9307</v>
      </c>
    </row>
    <row r="2272" spans="1:5" ht="15.6" x14ac:dyDescent="0.3">
      <c r="A2272" s="1" t="s">
        <v>87</v>
      </c>
      <c r="B2272" s="1" t="s">
        <v>4653</v>
      </c>
      <c r="C2272" t="s">
        <v>6993</v>
      </c>
      <c r="D2272" t="s">
        <v>8716</v>
      </c>
      <c r="E2272" t="s">
        <v>10701</v>
      </c>
    </row>
    <row r="2273" spans="1:5" ht="15.6" x14ac:dyDescent="0.3">
      <c r="A2273" s="1" t="s">
        <v>86</v>
      </c>
      <c r="B2273" s="1" t="s">
        <v>4654</v>
      </c>
      <c r="C2273" t="s">
        <v>6994</v>
      </c>
      <c r="D2273" t="s">
        <v>8717</v>
      </c>
      <c r="E2273" t="s">
        <v>10702</v>
      </c>
    </row>
    <row r="2274" spans="1:5" ht="15.6" x14ac:dyDescent="0.3">
      <c r="A2274" s="1" t="s">
        <v>85</v>
      </c>
      <c r="B2274" s="1" t="s">
        <v>4655</v>
      </c>
      <c r="C2274" t="s">
        <v>6995</v>
      </c>
      <c r="D2274" t="s">
        <v>8718</v>
      </c>
      <c r="E2274" t="s">
        <v>8816</v>
      </c>
    </row>
    <row r="2275" spans="1:5" ht="15.6" x14ac:dyDescent="0.3">
      <c r="A2275" s="1" t="s">
        <v>84</v>
      </c>
      <c r="B2275" s="1" t="s">
        <v>4656</v>
      </c>
      <c r="C2275" t="s">
        <v>6996</v>
      </c>
      <c r="D2275" t="s">
        <v>8669</v>
      </c>
      <c r="E2275" t="s">
        <v>10703</v>
      </c>
    </row>
    <row r="2276" spans="1:5" ht="15.6" x14ac:dyDescent="0.3">
      <c r="A2276" s="1" t="s">
        <v>83</v>
      </c>
      <c r="B2276" s="1" t="s">
        <v>4657</v>
      </c>
      <c r="C2276" t="s">
        <v>6997</v>
      </c>
      <c r="D2276" t="s">
        <v>7474</v>
      </c>
      <c r="E2276" t="s">
        <v>10704</v>
      </c>
    </row>
    <row r="2277" spans="1:5" ht="15.6" x14ac:dyDescent="0.3">
      <c r="A2277" s="1" t="s">
        <v>82</v>
      </c>
      <c r="B2277" s="1" t="s">
        <v>4658</v>
      </c>
      <c r="C2277" t="s">
        <v>6998</v>
      </c>
      <c r="D2277" t="s">
        <v>7893</v>
      </c>
      <c r="E2277" t="s">
        <v>10705</v>
      </c>
    </row>
    <row r="2278" spans="1:5" ht="15.6" x14ac:dyDescent="0.3">
      <c r="A2278" s="1" t="s">
        <v>81</v>
      </c>
      <c r="B2278" s="1" t="s">
        <v>4659</v>
      </c>
      <c r="C2278" t="s">
        <v>6999</v>
      </c>
      <c r="D2278" t="s">
        <v>8719</v>
      </c>
      <c r="E2278" t="s">
        <v>10706</v>
      </c>
    </row>
    <row r="2279" spans="1:5" ht="15.6" x14ac:dyDescent="0.3">
      <c r="A2279" s="1" t="s">
        <v>80</v>
      </c>
      <c r="B2279" s="1" t="s">
        <v>4660</v>
      </c>
      <c r="C2279" t="s">
        <v>7000</v>
      </c>
      <c r="D2279" t="s">
        <v>7172</v>
      </c>
      <c r="E2279" t="s">
        <v>10707</v>
      </c>
    </row>
    <row r="2280" spans="1:5" ht="15.6" x14ac:dyDescent="0.3">
      <c r="A2280" s="1" t="s">
        <v>79</v>
      </c>
      <c r="B2280" s="1" t="s">
        <v>4661</v>
      </c>
      <c r="C2280" t="s">
        <v>7001</v>
      </c>
      <c r="D2280" t="s">
        <v>8720</v>
      </c>
      <c r="E2280" t="s">
        <v>8925</v>
      </c>
    </row>
    <row r="2281" spans="1:5" ht="15.6" x14ac:dyDescent="0.3">
      <c r="A2281" s="1" t="s">
        <v>78</v>
      </c>
      <c r="B2281" s="1" t="s">
        <v>4662</v>
      </c>
      <c r="C2281" t="s">
        <v>7002</v>
      </c>
      <c r="D2281" t="s">
        <v>7148</v>
      </c>
      <c r="E2281" t="s">
        <v>10708</v>
      </c>
    </row>
    <row r="2282" spans="1:5" ht="15.6" x14ac:dyDescent="0.3">
      <c r="A2282" s="1" t="s">
        <v>77</v>
      </c>
      <c r="B2282" s="1" t="s">
        <v>4663</v>
      </c>
      <c r="C2282" t="s">
        <v>7003</v>
      </c>
      <c r="D2282" t="s">
        <v>8721</v>
      </c>
      <c r="E2282" t="s">
        <v>10709</v>
      </c>
    </row>
    <row r="2283" spans="1:5" ht="15.6" x14ac:dyDescent="0.3">
      <c r="A2283" s="1" t="s">
        <v>76</v>
      </c>
      <c r="B2283" s="1" t="s">
        <v>4664</v>
      </c>
      <c r="C2283" t="s">
        <v>7004</v>
      </c>
      <c r="D2283" t="s">
        <v>7152</v>
      </c>
      <c r="E2283" t="s">
        <v>8789</v>
      </c>
    </row>
    <row r="2284" spans="1:5" ht="15.6" x14ac:dyDescent="0.3">
      <c r="A2284" s="1" t="s">
        <v>75</v>
      </c>
      <c r="B2284" s="1" t="s">
        <v>4665</v>
      </c>
      <c r="C2284" t="s">
        <v>7005</v>
      </c>
      <c r="D2284" t="s">
        <v>7086</v>
      </c>
      <c r="E2284" t="s">
        <v>10710</v>
      </c>
    </row>
    <row r="2285" spans="1:5" ht="15.6" x14ac:dyDescent="0.3">
      <c r="A2285" s="1" t="s">
        <v>74</v>
      </c>
      <c r="B2285" s="1" t="s">
        <v>4666</v>
      </c>
      <c r="C2285" t="s">
        <v>7006</v>
      </c>
      <c r="D2285" t="s">
        <v>7818</v>
      </c>
      <c r="E2285" t="s">
        <v>10711</v>
      </c>
    </row>
    <row r="2286" spans="1:5" ht="15.6" x14ac:dyDescent="0.3">
      <c r="A2286" s="1" t="s">
        <v>73</v>
      </c>
      <c r="B2286" s="1" t="s">
        <v>4667</v>
      </c>
      <c r="C2286" t="s">
        <v>7007</v>
      </c>
      <c r="D2286" t="s">
        <v>8722</v>
      </c>
      <c r="E2286" t="s">
        <v>10712</v>
      </c>
    </row>
    <row r="2287" spans="1:5" ht="15.6" x14ac:dyDescent="0.3">
      <c r="A2287" s="1" t="s">
        <v>72</v>
      </c>
      <c r="B2287" s="1" t="s">
        <v>4668</v>
      </c>
      <c r="C2287" t="s">
        <v>7008</v>
      </c>
      <c r="D2287" t="s">
        <v>7160</v>
      </c>
      <c r="E2287" t="s">
        <v>10686</v>
      </c>
    </row>
    <row r="2288" spans="1:5" ht="15.6" x14ac:dyDescent="0.3">
      <c r="A2288" s="1" t="s">
        <v>71</v>
      </c>
      <c r="B2288" s="1" t="s">
        <v>4669</v>
      </c>
      <c r="C2288" t="s">
        <v>7009</v>
      </c>
      <c r="D2288" t="s">
        <v>8723</v>
      </c>
      <c r="E2288" t="s">
        <v>10713</v>
      </c>
    </row>
    <row r="2289" spans="1:5" ht="15.6" x14ac:dyDescent="0.3">
      <c r="A2289" s="1" t="s">
        <v>70</v>
      </c>
      <c r="B2289" s="1" t="s">
        <v>4670</v>
      </c>
      <c r="C2289" t="s">
        <v>7010</v>
      </c>
      <c r="D2289" t="s">
        <v>8189</v>
      </c>
      <c r="E2289" t="s">
        <v>10714</v>
      </c>
    </row>
    <row r="2290" spans="1:5" ht="15.6" x14ac:dyDescent="0.3">
      <c r="A2290" s="1" t="s">
        <v>69</v>
      </c>
      <c r="B2290" s="1" t="s">
        <v>4671</v>
      </c>
      <c r="C2290" t="s">
        <v>7011</v>
      </c>
      <c r="D2290" t="s">
        <v>8724</v>
      </c>
      <c r="E2290" t="s">
        <v>10715</v>
      </c>
    </row>
    <row r="2291" spans="1:5" ht="15.6" x14ac:dyDescent="0.3">
      <c r="A2291" s="1" t="s">
        <v>68</v>
      </c>
      <c r="B2291" s="1" t="s">
        <v>4672</v>
      </c>
      <c r="C2291" t="s">
        <v>7012</v>
      </c>
      <c r="D2291" t="s">
        <v>8725</v>
      </c>
      <c r="E2291" t="s">
        <v>10716</v>
      </c>
    </row>
    <row r="2292" spans="1:5" ht="15.6" x14ac:dyDescent="0.3">
      <c r="A2292" s="1" t="s">
        <v>67</v>
      </c>
      <c r="B2292" s="1" t="s">
        <v>4673</v>
      </c>
      <c r="C2292" t="s">
        <v>7013</v>
      </c>
      <c r="D2292" t="s">
        <v>7314</v>
      </c>
      <c r="E2292" t="s">
        <v>8925</v>
      </c>
    </row>
    <row r="2293" spans="1:5" ht="15.6" x14ac:dyDescent="0.3">
      <c r="A2293" s="1" t="s">
        <v>66</v>
      </c>
      <c r="B2293" s="1" t="s">
        <v>4674</v>
      </c>
      <c r="C2293" t="s">
        <v>7014</v>
      </c>
      <c r="D2293" t="s">
        <v>8726</v>
      </c>
      <c r="E2293" t="s">
        <v>10717</v>
      </c>
    </row>
    <row r="2294" spans="1:5" ht="15.6" x14ac:dyDescent="0.3">
      <c r="A2294" s="1" t="s">
        <v>65</v>
      </c>
      <c r="B2294" s="1" t="s">
        <v>4675</v>
      </c>
      <c r="C2294" t="s">
        <v>7015</v>
      </c>
      <c r="D2294" t="s">
        <v>7122</v>
      </c>
      <c r="E2294" t="s">
        <v>8832</v>
      </c>
    </row>
    <row r="2295" spans="1:5" ht="15.6" x14ac:dyDescent="0.3">
      <c r="A2295" s="1" t="s">
        <v>64</v>
      </c>
      <c r="B2295" s="1" t="s">
        <v>4676</v>
      </c>
      <c r="C2295" t="s">
        <v>7016</v>
      </c>
      <c r="D2295" t="s">
        <v>7160</v>
      </c>
      <c r="E2295" t="s">
        <v>10718</v>
      </c>
    </row>
    <row r="2296" spans="1:5" ht="15.6" x14ac:dyDescent="0.3">
      <c r="A2296" s="1" t="s">
        <v>63</v>
      </c>
      <c r="B2296" s="1" t="s">
        <v>4677</v>
      </c>
      <c r="C2296" t="s">
        <v>7017</v>
      </c>
      <c r="D2296" t="s">
        <v>7671</v>
      </c>
      <c r="E2296" t="s">
        <v>10719</v>
      </c>
    </row>
    <row r="2297" spans="1:5" ht="15.6" x14ac:dyDescent="0.3">
      <c r="A2297" s="1" t="s">
        <v>62</v>
      </c>
      <c r="B2297" s="1" t="s">
        <v>4678</v>
      </c>
      <c r="C2297" t="s">
        <v>7018</v>
      </c>
      <c r="D2297" t="s">
        <v>8727</v>
      </c>
      <c r="E2297" t="s">
        <v>10720</v>
      </c>
    </row>
    <row r="2298" spans="1:5" ht="15.6" x14ac:dyDescent="0.3">
      <c r="A2298" s="1" t="s">
        <v>61</v>
      </c>
      <c r="B2298" s="1" t="s">
        <v>4679</v>
      </c>
      <c r="C2298" t="s">
        <v>7019</v>
      </c>
      <c r="D2298" t="s">
        <v>8728</v>
      </c>
      <c r="E2298" t="s">
        <v>10721</v>
      </c>
    </row>
    <row r="2299" spans="1:5" ht="15.6" x14ac:dyDescent="0.3">
      <c r="A2299" s="1" t="s">
        <v>60</v>
      </c>
      <c r="B2299" s="1" t="s">
        <v>4680</v>
      </c>
      <c r="C2299" t="s">
        <v>7020</v>
      </c>
      <c r="D2299" t="s">
        <v>8729</v>
      </c>
      <c r="E2299" t="s">
        <v>10722</v>
      </c>
    </row>
    <row r="2300" spans="1:5" ht="15.6" x14ac:dyDescent="0.3">
      <c r="A2300" s="1" t="s">
        <v>59</v>
      </c>
      <c r="B2300" s="1" t="s">
        <v>4681</v>
      </c>
      <c r="C2300" t="s">
        <v>7021</v>
      </c>
      <c r="D2300" t="s">
        <v>8730</v>
      </c>
      <c r="E2300" t="s">
        <v>10723</v>
      </c>
    </row>
    <row r="2301" spans="1:5" ht="15.6" x14ac:dyDescent="0.3">
      <c r="A2301" s="1" t="s">
        <v>58</v>
      </c>
      <c r="B2301" s="1" t="s">
        <v>4682</v>
      </c>
      <c r="C2301" t="s">
        <v>7022</v>
      </c>
      <c r="D2301" t="s">
        <v>7151</v>
      </c>
      <c r="E2301" t="s">
        <v>10724</v>
      </c>
    </row>
    <row r="2302" spans="1:5" ht="15.6" x14ac:dyDescent="0.3">
      <c r="A2302" s="1" t="s">
        <v>57</v>
      </c>
      <c r="B2302" s="1" t="s">
        <v>4683</v>
      </c>
      <c r="C2302" t="s">
        <v>7023</v>
      </c>
      <c r="D2302" t="s">
        <v>8731</v>
      </c>
      <c r="E2302" t="s">
        <v>10725</v>
      </c>
    </row>
    <row r="2303" spans="1:5" ht="15.6" x14ac:dyDescent="0.3">
      <c r="A2303" s="1" t="s">
        <v>56</v>
      </c>
      <c r="B2303" s="1" t="s">
        <v>4684</v>
      </c>
      <c r="C2303" t="s">
        <v>7024</v>
      </c>
      <c r="D2303" t="s">
        <v>7086</v>
      </c>
      <c r="E2303" t="s">
        <v>9017</v>
      </c>
    </row>
    <row r="2304" spans="1:5" ht="15.6" x14ac:dyDescent="0.3">
      <c r="A2304" s="1" t="s">
        <v>55</v>
      </c>
      <c r="B2304" s="1" t="s">
        <v>4685</v>
      </c>
      <c r="C2304" t="s">
        <v>7025</v>
      </c>
      <c r="D2304" t="s">
        <v>8732</v>
      </c>
      <c r="E2304" t="s">
        <v>10726</v>
      </c>
    </row>
    <row r="2305" spans="1:5" ht="15.6" x14ac:dyDescent="0.3">
      <c r="A2305" s="1" t="s">
        <v>54</v>
      </c>
      <c r="B2305" s="1" t="s">
        <v>4686</v>
      </c>
      <c r="C2305" t="s">
        <v>7026</v>
      </c>
      <c r="D2305" t="s">
        <v>7474</v>
      </c>
      <c r="E2305" t="s">
        <v>10727</v>
      </c>
    </row>
    <row r="2306" spans="1:5" ht="15.6" x14ac:dyDescent="0.3">
      <c r="A2306" s="1" t="s">
        <v>53</v>
      </c>
      <c r="B2306" s="1" t="s">
        <v>4687</v>
      </c>
      <c r="C2306" t="s">
        <v>7027</v>
      </c>
      <c r="D2306" t="s">
        <v>8733</v>
      </c>
      <c r="E2306" t="s">
        <v>10728</v>
      </c>
    </row>
    <row r="2307" spans="1:5" ht="15.6" x14ac:dyDescent="0.3">
      <c r="A2307" s="1" t="s">
        <v>52</v>
      </c>
      <c r="B2307" s="1" t="s">
        <v>4688</v>
      </c>
      <c r="C2307" t="s">
        <v>7028</v>
      </c>
      <c r="D2307" t="s">
        <v>7958</v>
      </c>
      <c r="E2307" t="s">
        <v>10729</v>
      </c>
    </row>
    <row r="2308" spans="1:5" ht="15.6" x14ac:dyDescent="0.3">
      <c r="A2308" s="1" t="s">
        <v>51</v>
      </c>
      <c r="B2308" s="1" t="s">
        <v>4689</v>
      </c>
      <c r="C2308" t="s">
        <v>7029</v>
      </c>
      <c r="D2308" t="s">
        <v>7330</v>
      </c>
      <c r="E2308" t="s">
        <v>10730</v>
      </c>
    </row>
    <row r="2309" spans="1:5" ht="15.6" x14ac:dyDescent="0.3">
      <c r="A2309" s="1" t="s">
        <v>50</v>
      </c>
      <c r="B2309" s="1" t="s">
        <v>4690</v>
      </c>
      <c r="C2309" t="s">
        <v>7030</v>
      </c>
      <c r="D2309" t="s">
        <v>8375</v>
      </c>
      <c r="E2309" t="s">
        <v>10731</v>
      </c>
    </row>
    <row r="2310" spans="1:5" ht="15.6" x14ac:dyDescent="0.3">
      <c r="A2310" s="1" t="s">
        <v>49</v>
      </c>
      <c r="B2310" s="1" t="s">
        <v>4691</v>
      </c>
      <c r="C2310" t="s">
        <v>7031</v>
      </c>
      <c r="D2310" t="s">
        <v>8359</v>
      </c>
      <c r="E2310" t="s">
        <v>10367</v>
      </c>
    </row>
    <row r="2311" spans="1:5" ht="15.6" x14ac:dyDescent="0.3">
      <c r="A2311" s="1" t="s">
        <v>48</v>
      </c>
      <c r="B2311" s="1" t="s">
        <v>4692</v>
      </c>
      <c r="C2311" t="s">
        <v>7032</v>
      </c>
      <c r="D2311" t="s">
        <v>7219</v>
      </c>
      <c r="E2311" t="s">
        <v>8880</v>
      </c>
    </row>
    <row r="2312" spans="1:5" ht="15.6" x14ac:dyDescent="0.3">
      <c r="A2312" s="1" t="s">
        <v>47</v>
      </c>
      <c r="B2312" s="1" t="s">
        <v>4693</v>
      </c>
      <c r="C2312" t="s">
        <v>7033</v>
      </c>
      <c r="D2312" t="s">
        <v>8734</v>
      </c>
      <c r="E2312" t="s">
        <v>10732</v>
      </c>
    </row>
    <row r="2313" spans="1:5" ht="15.6" x14ac:dyDescent="0.3">
      <c r="A2313" s="1" t="s">
        <v>46</v>
      </c>
      <c r="B2313" s="1" t="s">
        <v>4694</v>
      </c>
      <c r="C2313" t="s">
        <v>7034</v>
      </c>
      <c r="D2313" t="s">
        <v>7129</v>
      </c>
      <c r="E2313" t="s">
        <v>10733</v>
      </c>
    </row>
    <row r="2314" spans="1:5" ht="15.6" x14ac:dyDescent="0.3">
      <c r="A2314" s="1" t="s">
        <v>45</v>
      </c>
      <c r="B2314" s="1" t="s">
        <v>4695</v>
      </c>
      <c r="C2314" t="s">
        <v>7035</v>
      </c>
      <c r="D2314" t="s">
        <v>7113</v>
      </c>
      <c r="E2314" t="s">
        <v>10734</v>
      </c>
    </row>
    <row r="2315" spans="1:5" ht="15.6" x14ac:dyDescent="0.3">
      <c r="A2315" s="1" t="s">
        <v>44</v>
      </c>
      <c r="B2315" s="1" t="s">
        <v>4696</v>
      </c>
      <c r="C2315" t="s">
        <v>7036</v>
      </c>
      <c r="D2315" t="s">
        <v>7423</v>
      </c>
      <c r="E2315" t="s">
        <v>10735</v>
      </c>
    </row>
    <row r="2316" spans="1:5" ht="15.6" x14ac:dyDescent="0.3">
      <c r="A2316" s="1" t="s">
        <v>43</v>
      </c>
      <c r="B2316" s="1" t="s">
        <v>4697</v>
      </c>
      <c r="C2316" t="s">
        <v>7037</v>
      </c>
      <c r="D2316" t="s">
        <v>8735</v>
      </c>
      <c r="E2316" t="s">
        <v>9558</v>
      </c>
    </row>
    <row r="2317" spans="1:5" ht="15.6" x14ac:dyDescent="0.3">
      <c r="A2317" s="1" t="s">
        <v>41</v>
      </c>
      <c r="B2317" s="1" t="s">
        <v>4698</v>
      </c>
      <c r="C2317" t="s">
        <v>7038</v>
      </c>
      <c r="D2317" t="s">
        <v>8736</v>
      </c>
      <c r="E2317" t="s">
        <v>9034</v>
      </c>
    </row>
    <row r="2318" spans="1:5" ht="15.6" x14ac:dyDescent="0.3">
      <c r="A2318" s="1" t="s">
        <v>40</v>
      </c>
      <c r="B2318" s="1" t="s">
        <v>4699</v>
      </c>
      <c r="C2318" t="s">
        <v>7039</v>
      </c>
      <c r="D2318" t="s">
        <v>7722</v>
      </c>
      <c r="E2318" t="s">
        <v>10736</v>
      </c>
    </row>
    <row r="2319" spans="1:5" ht="15.6" x14ac:dyDescent="0.3">
      <c r="A2319" s="1" t="s">
        <v>39</v>
      </c>
      <c r="B2319" s="1" t="s">
        <v>4700</v>
      </c>
      <c r="C2319" t="s">
        <v>7040</v>
      </c>
      <c r="D2319" t="s">
        <v>8737</v>
      </c>
      <c r="E2319" t="s">
        <v>10299</v>
      </c>
    </row>
    <row r="2320" spans="1:5" ht="15.6" x14ac:dyDescent="0.3">
      <c r="A2320" s="1" t="s">
        <v>38</v>
      </c>
      <c r="B2320" s="1" t="s">
        <v>4701</v>
      </c>
      <c r="C2320" t="s">
        <v>7041</v>
      </c>
      <c r="D2320" t="s">
        <v>8738</v>
      </c>
      <c r="E2320" t="s">
        <v>10737</v>
      </c>
    </row>
    <row r="2321" spans="1:5" ht="15.6" x14ac:dyDescent="0.3">
      <c r="A2321" s="1" t="s">
        <v>36</v>
      </c>
      <c r="B2321" s="1" t="s">
        <v>4702</v>
      </c>
      <c r="C2321" t="s">
        <v>7042</v>
      </c>
      <c r="D2321" t="s">
        <v>8739</v>
      </c>
      <c r="E2321" t="s">
        <v>10738</v>
      </c>
    </row>
    <row r="2322" spans="1:5" ht="15.6" x14ac:dyDescent="0.3">
      <c r="A2322" s="1" t="s">
        <v>34</v>
      </c>
      <c r="B2322" s="1" t="s">
        <v>4703</v>
      </c>
      <c r="C2322" t="s">
        <v>7043</v>
      </c>
      <c r="D2322" t="s">
        <v>7163</v>
      </c>
      <c r="E2322" t="s">
        <v>10739</v>
      </c>
    </row>
    <row r="2323" spans="1:5" ht="15.6" x14ac:dyDescent="0.3">
      <c r="A2323" s="1" t="s">
        <v>33</v>
      </c>
      <c r="B2323" s="1" t="s">
        <v>4704</v>
      </c>
      <c r="C2323" t="s">
        <v>7044</v>
      </c>
      <c r="D2323" t="s">
        <v>8740</v>
      </c>
      <c r="E2323" t="s">
        <v>10740</v>
      </c>
    </row>
    <row r="2324" spans="1:5" ht="15.6" x14ac:dyDescent="0.3">
      <c r="A2324" s="1" t="s">
        <v>32</v>
      </c>
      <c r="B2324" s="1" t="s">
        <v>4705</v>
      </c>
      <c r="C2324" t="s">
        <v>7045</v>
      </c>
      <c r="D2324" t="s">
        <v>7219</v>
      </c>
      <c r="E2324" t="s">
        <v>10741</v>
      </c>
    </row>
    <row r="2325" spans="1:5" ht="15.6" x14ac:dyDescent="0.3">
      <c r="A2325" s="1" t="s">
        <v>29</v>
      </c>
      <c r="B2325" s="1" t="s">
        <v>4706</v>
      </c>
      <c r="C2325" t="s">
        <v>7046</v>
      </c>
      <c r="D2325" t="s">
        <v>8741</v>
      </c>
      <c r="E2325" t="s">
        <v>10742</v>
      </c>
    </row>
    <row r="2326" spans="1:5" ht="15.6" x14ac:dyDescent="0.3">
      <c r="A2326" s="1" t="s">
        <v>28</v>
      </c>
      <c r="B2326" s="1" t="s">
        <v>4707</v>
      </c>
      <c r="C2326" t="s">
        <v>7047</v>
      </c>
      <c r="D2326" t="s">
        <v>8742</v>
      </c>
      <c r="E2326" t="s">
        <v>9456</v>
      </c>
    </row>
    <row r="2327" spans="1:5" ht="15.6" x14ac:dyDescent="0.3">
      <c r="A2327" s="1" t="s">
        <v>27</v>
      </c>
      <c r="B2327" s="1" t="s">
        <v>4708</v>
      </c>
      <c r="C2327" t="s">
        <v>7048</v>
      </c>
      <c r="D2327" t="s">
        <v>8743</v>
      </c>
      <c r="E2327" t="s">
        <v>10743</v>
      </c>
    </row>
    <row r="2328" spans="1:5" ht="15.6" x14ac:dyDescent="0.3">
      <c r="A2328" s="1" t="s">
        <v>26</v>
      </c>
      <c r="B2328" s="1" t="s">
        <v>4709</v>
      </c>
      <c r="C2328" t="s">
        <v>7049</v>
      </c>
      <c r="D2328" t="s">
        <v>7939</v>
      </c>
      <c r="E2328" t="s">
        <v>9084</v>
      </c>
    </row>
    <row r="2329" spans="1:5" ht="15.6" x14ac:dyDescent="0.3">
      <c r="A2329" s="1" t="s">
        <v>25</v>
      </c>
      <c r="B2329" s="1" t="s">
        <v>4710</v>
      </c>
      <c r="C2329" t="s">
        <v>7050</v>
      </c>
      <c r="D2329" t="s">
        <v>7097</v>
      </c>
      <c r="E2329" t="s">
        <v>10744</v>
      </c>
    </row>
    <row r="2330" spans="1:5" ht="15.6" x14ac:dyDescent="0.3">
      <c r="A2330" s="1" t="s">
        <v>24</v>
      </c>
      <c r="B2330" s="1" t="s">
        <v>4711</v>
      </c>
      <c r="C2330" t="s">
        <v>7051</v>
      </c>
      <c r="D2330" t="s">
        <v>8744</v>
      </c>
      <c r="E2330" t="s">
        <v>10745</v>
      </c>
    </row>
    <row r="2331" spans="1:5" ht="15.6" x14ac:dyDescent="0.3">
      <c r="A2331" s="1" t="s">
        <v>22</v>
      </c>
      <c r="B2331" s="1" t="s">
        <v>4712</v>
      </c>
      <c r="C2331" t="s">
        <v>7052</v>
      </c>
      <c r="D2331" t="s">
        <v>8745</v>
      </c>
      <c r="E2331" t="s">
        <v>10746</v>
      </c>
    </row>
    <row r="2332" spans="1:5" ht="15.6" x14ac:dyDescent="0.3">
      <c r="A2332" s="1" t="s">
        <v>21</v>
      </c>
      <c r="B2332" s="1" t="s">
        <v>4713</v>
      </c>
      <c r="C2332" t="s">
        <v>7053</v>
      </c>
      <c r="D2332" t="s">
        <v>7444</v>
      </c>
      <c r="E2332" t="s">
        <v>10747</v>
      </c>
    </row>
    <row r="2333" spans="1:5" ht="15.6" x14ac:dyDescent="0.3">
      <c r="A2333" s="1" t="s">
        <v>19</v>
      </c>
      <c r="B2333" s="1" t="s">
        <v>4714</v>
      </c>
      <c r="C2333" t="s">
        <v>4739</v>
      </c>
      <c r="D2333" t="s">
        <v>7074</v>
      </c>
      <c r="E2333" t="s">
        <v>10748</v>
      </c>
    </row>
    <row r="2334" spans="1:5" ht="15.6" x14ac:dyDescent="0.3">
      <c r="A2334" s="1" t="s">
        <v>17</v>
      </c>
      <c r="B2334" s="1" t="s">
        <v>4715</v>
      </c>
      <c r="C2334" t="s">
        <v>7054</v>
      </c>
      <c r="D2334" t="s">
        <v>8366</v>
      </c>
      <c r="E2334" t="s">
        <v>10749</v>
      </c>
    </row>
    <row r="2335" spans="1:5" ht="15.6" x14ac:dyDescent="0.3">
      <c r="A2335" s="1" t="s">
        <v>14</v>
      </c>
      <c r="B2335" s="1" t="s">
        <v>4716</v>
      </c>
      <c r="C2335" t="s">
        <v>7055</v>
      </c>
      <c r="D2335" t="s">
        <v>8746</v>
      </c>
      <c r="E2335" t="s">
        <v>10750</v>
      </c>
    </row>
    <row r="2336" spans="1:5" ht="15.6" x14ac:dyDescent="0.3">
      <c r="A2336" s="1" t="s">
        <v>9</v>
      </c>
      <c r="B2336" s="1" t="s">
        <v>4717</v>
      </c>
      <c r="C2336" t="s">
        <v>7056</v>
      </c>
      <c r="D2336" t="s">
        <v>8747</v>
      </c>
      <c r="E2336" t="s">
        <v>10751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36"/>
  <sheetViews>
    <sheetView workbookViewId="0">
      <selection activeCell="Q2332" sqref="Q2332"/>
    </sheetView>
  </sheetViews>
  <sheetFormatPr defaultRowHeight="14.4" x14ac:dyDescent="0.3"/>
  <cols>
    <col min="1" max="1" width="13.21875" customWidth="1"/>
    <col min="2" max="2" width="8.88671875" style="8"/>
    <col min="4" max="4" width="12.88671875" customWidth="1"/>
    <col min="5" max="5" width="16.33203125" customWidth="1"/>
    <col min="6" max="6" width="14.88671875" customWidth="1"/>
    <col min="7" max="7" width="24.5546875" customWidth="1"/>
    <col min="8" max="8" width="9.33203125" customWidth="1"/>
    <col min="9" max="9" width="14.5546875" customWidth="1"/>
    <col min="10" max="10" width="15.77734375" customWidth="1"/>
  </cols>
  <sheetData>
    <row r="1" spans="1:13" ht="18.899999999999999" customHeight="1" x14ac:dyDescent="0.3">
      <c r="A1" s="3" t="s">
        <v>0</v>
      </c>
      <c r="B1" s="7" t="s">
        <v>2373</v>
      </c>
      <c r="C1" s="3" t="s">
        <v>2374</v>
      </c>
      <c r="D1" s="3" t="s">
        <v>2375</v>
      </c>
      <c r="E1" s="3" t="s">
        <v>2376</v>
      </c>
      <c r="F1" s="3" t="s">
        <v>2377</v>
      </c>
      <c r="G1" s="3" t="s">
        <v>2378</v>
      </c>
      <c r="H1" s="10" t="s">
        <v>10752</v>
      </c>
      <c r="I1" s="9" t="s">
        <v>10753</v>
      </c>
      <c r="J1" s="9" t="s">
        <v>10754</v>
      </c>
    </row>
    <row r="2" spans="1:13" x14ac:dyDescent="0.3">
      <c r="A2" t="s">
        <v>2372</v>
      </c>
      <c r="B2" s="8">
        <v>47.41</v>
      </c>
      <c r="C2">
        <v>7.47</v>
      </c>
      <c r="D2" t="s">
        <v>2379</v>
      </c>
      <c r="E2" t="s">
        <v>2379</v>
      </c>
      <c r="F2" t="s">
        <v>2379</v>
      </c>
      <c r="G2">
        <v>0</v>
      </c>
      <c r="H2" t="s">
        <v>2381</v>
      </c>
      <c r="I2" t="str" cm="1">
        <f t="array" ref="I2">_xlfn.IFS(B2&lt;18.5,"Underweight",AND(B2&gt;=18.5,B2&lt;=24.99),"Normalweight",AND(B2&gt;=25,B2&lt;=29.99),"Overweight",B2&gt;=30,"Obesity")</f>
        <v>Obesity</v>
      </c>
      <c r="J2" t="str" cm="1">
        <f t="array" ref="J2">_xlfn.IFS(C2&lt;5.7,"Normal",AND(C2&gt;=5.7,C2&lt;=6.49),"Prediabetes",C2&gt;=6.5,"Diabetes")</f>
        <v>Diabetes</v>
      </c>
    </row>
    <row r="3" spans="1:13" x14ac:dyDescent="0.3">
      <c r="A3" t="s">
        <v>2371</v>
      </c>
      <c r="B3" s="8">
        <v>30.36</v>
      </c>
      <c r="C3">
        <v>5.77</v>
      </c>
      <c r="D3" t="s">
        <v>2379</v>
      </c>
      <c r="E3" t="s">
        <v>2379</v>
      </c>
      <c r="F3" t="s">
        <v>2379</v>
      </c>
      <c r="G3">
        <v>0</v>
      </c>
      <c r="H3" t="s">
        <v>2381</v>
      </c>
      <c r="I3" t="str" cm="1">
        <f t="array" ref="I3">_xlfn.IFS(B3&lt;18.5,"Underweight",AND(B3&gt;=18.5,B3&lt;=24.99),"Normalweight",AND(B3&gt;=25,B3&lt;=29.99),"Overweight",B3&gt;=30,"Obesity")</f>
        <v>Obesity</v>
      </c>
      <c r="J3" t="str" cm="1">
        <f t="array" ref="J3">_xlfn.IFS(C3&lt;5.7,"Normal",AND(C3&gt;=5.7,C3&lt;=6.49),"Prediabetes",C3&gt;=6.5,"Diabetes")</f>
        <v>Prediabetes</v>
      </c>
      <c r="L3" t="str">
        <f>IF(18.5&lt;B2&gt;24.9,"Normalweight")</f>
        <v>Normalweight</v>
      </c>
    </row>
    <row r="4" spans="1:13" x14ac:dyDescent="0.3">
      <c r="A4" t="s">
        <v>2370</v>
      </c>
      <c r="B4" s="8">
        <v>34.484999999999999</v>
      </c>
      <c r="C4">
        <v>11.87</v>
      </c>
      <c r="D4" t="s">
        <v>2381</v>
      </c>
      <c r="E4" t="s">
        <v>2379</v>
      </c>
      <c r="F4" t="s">
        <v>2379</v>
      </c>
      <c r="G4">
        <v>2</v>
      </c>
      <c r="H4" t="s">
        <v>2381</v>
      </c>
      <c r="I4" t="str" cm="1">
        <f t="array" ref="I4">_xlfn.IFS(B4&lt;18.5,"Underweight",AND(B4&gt;=18.5,B4&lt;=24.99),"Normalweight",AND(B4&gt;=25,B4&lt;=29.99),"Overweight",B4&gt;=30,"Obesity")</f>
        <v>Obesity</v>
      </c>
      <c r="J4" t="str" cm="1">
        <f t="array" ref="J4">_xlfn.IFS(C4&lt;5.7,"Normal",AND(C4&gt;=5.7,C4&lt;=6.49),"Prediabetes",C4&gt;=6.5,"Diabetes")</f>
        <v>Diabetes</v>
      </c>
      <c r="L4" t="b">
        <f>IF(B2&lt;18.5,"Underweight")</f>
        <v>0</v>
      </c>
    </row>
    <row r="5" spans="1:13" x14ac:dyDescent="0.3">
      <c r="A5" t="s">
        <v>2369</v>
      </c>
      <c r="B5" s="8">
        <v>38.094999999999999</v>
      </c>
      <c r="C5">
        <v>6.05</v>
      </c>
      <c r="D5" t="s">
        <v>2379</v>
      </c>
      <c r="E5" t="s">
        <v>2379</v>
      </c>
      <c r="F5" t="s">
        <v>2379</v>
      </c>
      <c r="G5">
        <v>0</v>
      </c>
      <c r="H5" t="s">
        <v>2381</v>
      </c>
      <c r="I5" t="str" cm="1">
        <f t="array" ref="I5">_xlfn.IFS(B5&lt;18.5,"Underweight",AND(B5&gt;=18.5,B5&lt;=24.99),"Normalweight",AND(B5&gt;=25,B5&lt;=29.99),"Overweight",B5&gt;=30,"Obesity")</f>
        <v>Obesity</v>
      </c>
      <c r="J5" t="str" cm="1">
        <f t="array" ref="J5">_xlfn.IFS(C5&lt;5.7,"Normal",AND(C5&gt;=5.7,C5&lt;=6.49),"Prediabetes",C5&gt;=6.5,"Diabetes")</f>
        <v>Prediabetes</v>
      </c>
    </row>
    <row r="6" spans="1:13" x14ac:dyDescent="0.3">
      <c r="A6" t="s">
        <v>2368</v>
      </c>
      <c r="B6" s="8">
        <v>35.53</v>
      </c>
      <c r="C6">
        <v>5.45</v>
      </c>
      <c r="D6" t="s">
        <v>2379</v>
      </c>
      <c r="E6" t="s">
        <v>2379</v>
      </c>
      <c r="F6" t="s">
        <v>2379</v>
      </c>
      <c r="G6">
        <v>0</v>
      </c>
      <c r="H6" t="s">
        <v>2381</v>
      </c>
      <c r="I6" t="str" cm="1">
        <f t="array" ref="I6">_xlfn.IFS(B6&lt;18.5,"Underweight",AND(B6&gt;=18.5,B6&lt;=24.99),"Normalweight",AND(B6&gt;=25,B6&lt;=29.99),"Overweight",B6&gt;=30,"Obesity")</f>
        <v>Obesity</v>
      </c>
      <c r="J6" t="str" cm="1">
        <f t="array" ref="J6">_xlfn.IFS(C6&lt;5.7,"Normal",AND(C6&gt;=5.7,C6&lt;=6.49),"Prediabetes",C6&gt;=6.5,"Diabetes")</f>
        <v>Normal</v>
      </c>
    </row>
    <row r="7" spans="1:13" x14ac:dyDescent="0.3">
      <c r="A7" t="s">
        <v>2367</v>
      </c>
      <c r="B7" s="8">
        <v>32.799999999999997</v>
      </c>
      <c r="C7">
        <v>6.59</v>
      </c>
      <c r="D7" t="s">
        <v>2379</v>
      </c>
      <c r="E7" t="s">
        <v>2379</v>
      </c>
      <c r="F7" t="s">
        <v>2379</v>
      </c>
      <c r="G7">
        <v>0</v>
      </c>
      <c r="H7" t="s">
        <v>2381</v>
      </c>
      <c r="I7" t="str" cm="1">
        <f t="array" ref="I7">_xlfn.IFS(B7&lt;18.5,"Underweight",AND(B7&gt;=18.5,B7&lt;=24.99),"Normalweight",AND(B7&gt;=25,B7&lt;=29.99),"Overweight",B7&gt;=30,"Obesity")</f>
        <v>Obesity</v>
      </c>
      <c r="J7" t="str" cm="1">
        <f t="array" ref="J7">_xlfn.IFS(C7&lt;5.7,"Normal",AND(C7&gt;=5.7,C7&lt;=6.49),"Prediabetes",C7&gt;=6.5,"Diabetes")</f>
        <v>Diabetes</v>
      </c>
      <c r="M7" t="e" cm="1">
        <f t="array" ref="M7">IFS</f>
        <v>#NAME?</v>
      </c>
    </row>
    <row r="8" spans="1:13" x14ac:dyDescent="0.3">
      <c r="A8" t="s">
        <v>2366</v>
      </c>
      <c r="B8" s="8">
        <v>36.4</v>
      </c>
      <c r="C8">
        <v>6.07</v>
      </c>
      <c r="D8" t="s">
        <v>2379</v>
      </c>
      <c r="E8" t="s">
        <v>2379</v>
      </c>
      <c r="F8" t="s">
        <v>2379</v>
      </c>
      <c r="G8">
        <v>0</v>
      </c>
      <c r="H8" t="s">
        <v>2381</v>
      </c>
      <c r="I8" t="str" cm="1">
        <f t="array" ref="I8">_xlfn.IFS(B8&lt;18.5,"Underweight",AND(B8&gt;=18.5,B8&lt;=24.99),"Normalweight",AND(B8&gt;=25,B8&lt;=29.99),"Overweight",B8&gt;=30,"Obesity")</f>
        <v>Obesity</v>
      </c>
      <c r="J8" t="str" cm="1">
        <f t="array" ref="J8">_xlfn.IFS(C8&lt;5.7,"Normal",AND(C8&gt;=5.7,C8&lt;=6.49),"Prediabetes",C8&gt;=6.5,"Diabetes")</f>
        <v>Prediabetes</v>
      </c>
    </row>
    <row r="9" spans="1:13" x14ac:dyDescent="0.3">
      <c r="A9" t="s">
        <v>2365</v>
      </c>
      <c r="B9" s="8">
        <v>36.96</v>
      </c>
      <c r="C9">
        <v>7.93</v>
      </c>
      <c r="D9" t="s">
        <v>2379</v>
      </c>
      <c r="E9" t="s">
        <v>2379</v>
      </c>
      <c r="F9" t="s">
        <v>2379</v>
      </c>
      <c r="G9">
        <v>3</v>
      </c>
      <c r="H9" t="s">
        <v>2381</v>
      </c>
      <c r="I9" t="str" cm="1">
        <f t="array" ref="I9">_xlfn.IFS(B9&lt;18.5,"Underweight",AND(B9&gt;=18.5,B9&lt;=24.99),"Normalweight",AND(B9&gt;=25,B9&lt;=29.99),"Overweight",B9&gt;=30,"Obesity")</f>
        <v>Obesity</v>
      </c>
      <c r="J9" t="str" cm="1">
        <f t="array" ref="J9">_xlfn.IFS(C9&lt;5.7,"Normal",AND(C9&gt;=5.7,C9&lt;=6.49),"Prediabetes",C9&gt;=6.5,"Diabetes")</f>
        <v>Diabetes</v>
      </c>
    </row>
    <row r="10" spans="1:13" x14ac:dyDescent="0.3">
      <c r="A10" t="s">
        <v>2364</v>
      </c>
      <c r="B10" s="8">
        <v>41.14</v>
      </c>
      <c r="C10">
        <v>9.58</v>
      </c>
      <c r="D10" t="s">
        <v>2381</v>
      </c>
      <c r="E10" t="s">
        <v>2379</v>
      </c>
      <c r="F10" t="s">
        <v>2381</v>
      </c>
      <c r="G10">
        <v>1</v>
      </c>
      <c r="H10" t="s">
        <v>2381</v>
      </c>
      <c r="I10" t="str" cm="1">
        <f t="array" ref="I10">_xlfn.IFS(B10&lt;18.5,"Underweight",AND(B10&gt;=18.5,B10&lt;=24.99),"Normalweight",AND(B10&gt;=25,B10&lt;=29.99),"Overweight",B10&gt;=30,"Obesity")</f>
        <v>Obesity</v>
      </c>
      <c r="J10" t="str" cm="1">
        <f t="array" ref="J10">_xlfn.IFS(C10&lt;5.7,"Normal",AND(C10&gt;=5.7,C10&lt;=6.49),"Prediabetes",C10&gt;=6.5,"Diabetes")</f>
        <v>Diabetes</v>
      </c>
    </row>
    <row r="11" spans="1:13" x14ac:dyDescent="0.3">
      <c r="A11" t="s">
        <v>2363</v>
      </c>
      <c r="B11" s="8">
        <v>38.06</v>
      </c>
      <c r="C11">
        <v>10.79</v>
      </c>
      <c r="D11" t="s">
        <v>2379</v>
      </c>
      <c r="E11" t="s">
        <v>2379</v>
      </c>
      <c r="F11" t="s">
        <v>2379</v>
      </c>
      <c r="G11">
        <v>0</v>
      </c>
      <c r="H11" t="s">
        <v>2381</v>
      </c>
      <c r="I11" t="str" cm="1">
        <f t="array" ref="I11">_xlfn.IFS(B11&lt;18.5,"Underweight",AND(B11&gt;=18.5,B11&lt;=24.99),"Normalweight",AND(B11&gt;=25,B11&lt;=29.99),"Overweight",B11&gt;=30,"Obesity")</f>
        <v>Obesity</v>
      </c>
      <c r="J11" t="str" cm="1">
        <f t="array" ref="J11">_xlfn.IFS(C11&lt;5.7,"Normal",AND(C11&gt;=5.7,C11&lt;=6.49),"Prediabetes",C11&gt;=6.5,"Diabetes")</f>
        <v>Diabetes</v>
      </c>
    </row>
    <row r="12" spans="1:13" x14ac:dyDescent="0.3">
      <c r="A12" t="s">
        <v>2362</v>
      </c>
      <c r="B12" s="8">
        <v>37.700000000000003</v>
      </c>
      <c r="C12">
        <v>5.96</v>
      </c>
      <c r="D12" t="s">
        <v>2381</v>
      </c>
      <c r="E12" t="s">
        <v>2379</v>
      </c>
      <c r="F12" t="s">
        <v>2379</v>
      </c>
      <c r="G12">
        <v>2</v>
      </c>
      <c r="H12" t="s">
        <v>2381</v>
      </c>
      <c r="I12" t="str" cm="1">
        <f t="array" ref="I12">_xlfn.IFS(B12&lt;18.5,"Underweight",AND(B12&gt;=18.5,B12&lt;=24.99),"Normalweight",AND(B12&gt;=25,B12&lt;=29.99),"Overweight",B12&gt;=30,"Obesity")</f>
        <v>Obesity</v>
      </c>
      <c r="J12" t="str" cm="1">
        <f t="array" ref="J12">_xlfn.IFS(C12&lt;5.7,"Normal",AND(C12&gt;=5.7,C12&lt;=6.49),"Prediabetes",C12&gt;=6.5,"Diabetes")</f>
        <v>Prediabetes</v>
      </c>
    </row>
    <row r="13" spans="1:13" x14ac:dyDescent="0.3">
      <c r="A13" t="s">
        <v>2361</v>
      </c>
      <c r="B13" s="8">
        <v>42.13</v>
      </c>
      <c r="C13">
        <v>11.9</v>
      </c>
      <c r="D13" t="s">
        <v>2379</v>
      </c>
      <c r="E13" t="s">
        <v>2379</v>
      </c>
      <c r="F13" t="s">
        <v>2379</v>
      </c>
      <c r="G13">
        <v>0</v>
      </c>
      <c r="H13" t="s">
        <v>2381</v>
      </c>
      <c r="I13" t="str" cm="1">
        <f t="array" ref="I13">_xlfn.IFS(B13&lt;18.5,"Underweight",AND(B13&gt;=18.5,B13&lt;=24.99),"Normalweight",AND(B13&gt;=25,B13&lt;=29.99),"Overweight",B13&gt;=30,"Obesity")</f>
        <v>Obesity</v>
      </c>
      <c r="J13" t="str" cm="1">
        <f t="array" ref="J13">_xlfn.IFS(C13&lt;5.7,"Normal",AND(C13&gt;=5.7,C13&lt;=6.49),"Prediabetes",C13&gt;=6.5,"Diabetes")</f>
        <v>Diabetes</v>
      </c>
    </row>
    <row r="14" spans="1:13" x14ac:dyDescent="0.3">
      <c r="A14" t="s">
        <v>2360</v>
      </c>
      <c r="B14" s="8">
        <v>40.92</v>
      </c>
      <c r="C14">
        <v>8.41</v>
      </c>
      <c r="D14" t="s">
        <v>2379</v>
      </c>
      <c r="E14" t="s">
        <v>2379</v>
      </c>
      <c r="F14" t="s">
        <v>2379</v>
      </c>
      <c r="G14">
        <v>0</v>
      </c>
      <c r="H14" t="s">
        <v>2381</v>
      </c>
      <c r="I14" t="str" cm="1">
        <f t="array" ref="I14">_xlfn.IFS(B14&lt;18.5,"Underweight",AND(B14&gt;=18.5,B14&lt;=24.99),"Normalweight",AND(B14&gt;=25,B14&lt;=29.99),"Overweight",B14&gt;=30,"Obesity")</f>
        <v>Obesity</v>
      </c>
      <c r="J14" t="str" cm="1">
        <f t="array" ref="J14">_xlfn.IFS(C14&lt;5.7,"Normal",AND(C14&gt;=5.7,C14&lt;=6.49),"Prediabetes",C14&gt;=6.5,"Diabetes")</f>
        <v>Diabetes</v>
      </c>
    </row>
    <row r="15" spans="1:13" x14ac:dyDescent="0.3">
      <c r="A15" t="s">
        <v>2359</v>
      </c>
      <c r="B15" s="8">
        <v>40.564999999999998</v>
      </c>
      <c r="C15">
        <v>7.02</v>
      </c>
      <c r="D15" t="s">
        <v>2379</v>
      </c>
      <c r="E15" t="s">
        <v>2379</v>
      </c>
      <c r="F15" t="s">
        <v>2379</v>
      </c>
      <c r="G15">
        <v>0</v>
      </c>
      <c r="H15" t="s">
        <v>2381</v>
      </c>
      <c r="I15" t="str" cm="1">
        <f t="array" ref="I15">_xlfn.IFS(B15&lt;18.5,"Underweight",AND(B15&gt;=18.5,B15&lt;=24.99),"Normalweight",AND(B15&gt;=25,B15&lt;=29.99),"Overweight",B15&gt;=30,"Obesity")</f>
        <v>Obesity</v>
      </c>
      <c r="J15" t="str" cm="1">
        <f t="array" ref="J15">_xlfn.IFS(C15&lt;5.7,"Normal",AND(C15&gt;=5.7,C15&lt;=6.49),"Prediabetes",C15&gt;=6.5,"Diabetes")</f>
        <v>Diabetes</v>
      </c>
    </row>
    <row r="16" spans="1:13" x14ac:dyDescent="0.3">
      <c r="A16" t="s">
        <v>2358</v>
      </c>
      <c r="B16" s="8">
        <v>36.384999999999998</v>
      </c>
      <c r="C16">
        <v>7.59</v>
      </c>
      <c r="D16" t="s">
        <v>2381</v>
      </c>
      <c r="E16" t="s">
        <v>2379</v>
      </c>
      <c r="F16" t="s">
        <v>2379</v>
      </c>
      <c r="G16">
        <v>2</v>
      </c>
      <c r="H16" t="s">
        <v>2381</v>
      </c>
      <c r="I16" t="str" cm="1">
        <f t="array" ref="I16">_xlfn.IFS(B16&lt;18.5,"Underweight",AND(B16&gt;=18.5,B16&lt;=24.99),"Normalweight",AND(B16&gt;=25,B16&lt;=29.99),"Overweight",B16&gt;=30,"Obesity")</f>
        <v>Obesity</v>
      </c>
      <c r="J16" t="str" cm="1">
        <f t="array" ref="J16">_xlfn.IFS(C16&lt;5.7,"Normal",AND(C16&gt;=5.7,C16&lt;=6.49),"Prediabetes",C16&gt;=6.5,"Diabetes")</f>
        <v>Diabetes</v>
      </c>
    </row>
    <row r="17" spans="1:10" x14ac:dyDescent="0.3">
      <c r="A17" t="s">
        <v>2357</v>
      </c>
      <c r="B17" s="8">
        <v>39.9</v>
      </c>
      <c r="C17">
        <v>11.32</v>
      </c>
      <c r="D17" t="s">
        <v>2379</v>
      </c>
      <c r="E17" t="s">
        <v>2379</v>
      </c>
      <c r="F17" t="s">
        <v>2379</v>
      </c>
      <c r="G17">
        <v>0</v>
      </c>
      <c r="H17" t="s">
        <v>2381</v>
      </c>
      <c r="I17" t="str" cm="1">
        <f t="array" ref="I17">_xlfn.IFS(B17&lt;18.5,"Underweight",AND(B17&gt;=18.5,B17&lt;=24.99),"Normalweight",AND(B17&gt;=25,B17&lt;=29.99),"Overweight",B17&gt;=30,"Obesity")</f>
        <v>Obesity</v>
      </c>
      <c r="J17" t="str" cm="1">
        <f t="array" ref="J17">_xlfn.IFS(C17&lt;5.7,"Normal",AND(C17&gt;=5.7,C17&lt;=6.49),"Prediabetes",C17&gt;=6.5,"Diabetes")</f>
        <v>Diabetes</v>
      </c>
    </row>
    <row r="18" spans="1:10" x14ac:dyDescent="0.3">
      <c r="A18" t="s">
        <v>2356</v>
      </c>
      <c r="B18" s="8">
        <v>33.799999999999997</v>
      </c>
      <c r="C18">
        <v>7.67</v>
      </c>
      <c r="D18" t="s">
        <v>2379</v>
      </c>
      <c r="E18" t="s">
        <v>2379</v>
      </c>
      <c r="F18" t="s">
        <v>2379</v>
      </c>
      <c r="G18">
        <v>3</v>
      </c>
      <c r="H18" t="s">
        <v>2381</v>
      </c>
      <c r="I18" t="str" cm="1">
        <f t="array" ref="I18">_xlfn.IFS(B18&lt;18.5,"Underweight",AND(B18&gt;=18.5,B18&lt;=24.99),"Normalweight",AND(B18&gt;=25,B18&lt;=29.99),"Overweight",B18&gt;=30,"Obesity")</f>
        <v>Obesity</v>
      </c>
      <c r="J18" t="str" cm="1">
        <f t="array" ref="J18">_xlfn.IFS(C18&lt;5.7,"Normal",AND(C18&gt;=5.7,C18&lt;=6.49),"Prediabetes",C18&gt;=6.5,"Diabetes")</f>
        <v>Diabetes</v>
      </c>
    </row>
    <row r="19" spans="1:10" x14ac:dyDescent="0.3">
      <c r="A19" t="s">
        <v>2355</v>
      </c>
      <c r="B19" s="8">
        <v>36.765000000000001</v>
      </c>
      <c r="C19">
        <v>7.29</v>
      </c>
      <c r="D19" t="s">
        <v>2381</v>
      </c>
      <c r="E19" t="s">
        <v>2379</v>
      </c>
      <c r="F19" t="s">
        <v>2381</v>
      </c>
      <c r="G19">
        <v>1</v>
      </c>
      <c r="H19" t="s">
        <v>2381</v>
      </c>
      <c r="I19" t="str" cm="1">
        <f t="array" ref="I19">_xlfn.IFS(B19&lt;18.5,"Underweight",AND(B19&gt;=18.5,B19&lt;=24.99),"Normalweight",AND(B19&gt;=25,B19&lt;=29.99),"Overweight",B19&gt;=30,"Obesity")</f>
        <v>Obesity</v>
      </c>
      <c r="J19" t="str" cm="1">
        <f t="array" ref="J19">_xlfn.IFS(C19&lt;5.7,"Normal",AND(C19&gt;=5.7,C19&lt;=6.49),"Prediabetes",C19&gt;=6.5,"Diabetes")</f>
        <v>Diabetes</v>
      </c>
    </row>
    <row r="20" spans="1:10" x14ac:dyDescent="0.3">
      <c r="A20" t="s">
        <v>2354</v>
      </c>
      <c r="B20" s="8">
        <v>36.954999999999998</v>
      </c>
      <c r="C20">
        <v>4.72</v>
      </c>
      <c r="D20" t="s">
        <v>2381</v>
      </c>
      <c r="E20" t="s">
        <v>2379</v>
      </c>
      <c r="F20" t="s">
        <v>2379</v>
      </c>
      <c r="G20">
        <v>1</v>
      </c>
      <c r="H20" t="s">
        <v>2381</v>
      </c>
      <c r="I20" t="str" cm="1">
        <f t="array" ref="I20">_xlfn.IFS(B20&lt;18.5,"Underweight",AND(B20&gt;=18.5,B20&lt;=24.99),"Normalweight",AND(B20&gt;=25,B20&lt;=29.99),"Overweight",B20&gt;=30,"Obesity")</f>
        <v>Obesity</v>
      </c>
      <c r="J20" t="str" cm="1">
        <f t="array" ref="J20">_xlfn.IFS(C20&lt;5.7,"Normal",AND(C20&gt;=5.7,C20&lt;=6.49),"Prediabetes",C20&gt;=6.5,"Diabetes")</f>
        <v>Normal</v>
      </c>
    </row>
    <row r="21" spans="1:10" x14ac:dyDescent="0.3">
      <c r="A21" t="s">
        <v>2353</v>
      </c>
      <c r="B21" s="8">
        <v>42.9</v>
      </c>
      <c r="C21">
        <v>11.41</v>
      </c>
      <c r="D21" t="s">
        <v>2379</v>
      </c>
      <c r="E21" t="s">
        <v>2379</v>
      </c>
      <c r="F21" t="s">
        <v>2379</v>
      </c>
      <c r="G21">
        <v>0</v>
      </c>
      <c r="H21" t="s">
        <v>2381</v>
      </c>
      <c r="I21" t="str" cm="1">
        <f t="array" ref="I21">_xlfn.IFS(B21&lt;18.5,"Underweight",AND(B21&gt;=18.5,B21&lt;=24.99),"Normalweight",AND(B21&gt;=25,B21&lt;=29.99),"Overweight",B21&gt;=30,"Obesity")</f>
        <v>Obesity</v>
      </c>
      <c r="J21" t="str" cm="1">
        <f t="array" ref="J21">_xlfn.IFS(C21&lt;5.7,"Normal",AND(C21&gt;=5.7,C21&lt;=6.49),"Prediabetes",C21&gt;=6.5,"Diabetes")</f>
        <v>Diabetes</v>
      </c>
    </row>
    <row r="22" spans="1:10" x14ac:dyDescent="0.3">
      <c r="A22" t="s">
        <v>2352</v>
      </c>
      <c r="B22" s="8">
        <v>36.299999999999997</v>
      </c>
      <c r="C22">
        <v>11.5</v>
      </c>
      <c r="D22" t="s">
        <v>2381</v>
      </c>
      <c r="E22" t="s">
        <v>2379</v>
      </c>
      <c r="F22" t="s">
        <v>2379</v>
      </c>
      <c r="G22">
        <v>2</v>
      </c>
      <c r="H22" t="s">
        <v>2381</v>
      </c>
      <c r="I22" t="str" cm="1">
        <f t="array" ref="I22">_xlfn.IFS(B22&lt;18.5,"Underweight",AND(B22&gt;=18.5,B22&lt;=24.99),"Normalweight",AND(B22&gt;=25,B22&lt;=29.99),"Overweight",B22&gt;=30,"Obesity")</f>
        <v>Obesity</v>
      </c>
      <c r="J22" t="str" cm="1">
        <f t="array" ref="J22">_xlfn.IFS(C22&lt;5.7,"Normal",AND(C22&gt;=5.7,C22&lt;=6.49),"Prediabetes",C22&gt;=6.5,"Diabetes")</f>
        <v>Diabetes</v>
      </c>
    </row>
    <row r="23" spans="1:10" x14ac:dyDescent="0.3">
      <c r="A23" t="s">
        <v>2351</v>
      </c>
      <c r="B23" s="8">
        <v>32.200000000000003</v>
      </c>
      <c r="C23">
        <v>6.22</v>
      </c>
      <c r="D23" t="s">
        <v>2381</v>
      </c>
      <c r="E23" t="s">
        <v>2379</v>
      </c>
      <c r="F23" t="s">
        <v>2379</v>
      </c>
      <c r="G23">
        <v>2</v>
      </c>
      <c r="H23" t="s">
        <v>2381</v>
      </c>
      <c r="I23" t="str" cm="1">
        <f t="array" ref="I23">_xlfn.IFS(B23&lt;18.5,"Underweight",AND(B23&gt;=18.5,B23&lt;=24.99),"Normalweight",AND(B23&gt;=25,B23&lt;=29.99),"Overweight",B23&gt;=30,"Obesity")</f>
        <v>Obesity</v>
      </c>
      <c r="J23" t="str" cm="1">
        <f t="array" ref="J23">_xlfn.IFS(C23&lt;5.7,"Normal",AND(C23&gt;=5.7,C23&lt;=6.49),"Prediabetes",C23&gt;=6.5,"Diabetes")</f>
        <v>Prediabetes</v>
      </c>
    </row>
    <row r="24" spans="1:10" x14ac:dyDescent="0.3">
      <c r="A24" t="s">
        <v>2350</v>
      </c>
      <c r="B24" s="8">
        <v>31.3</v>
      </c>
      <c r="C24">
        <v>11.38</v>
      </c>
      <c r="D24" t="s">
        <v>2379</v>
      </c>
      <c r="E24" t="s">
        <v>2379</v>
      </c>
      <c r="F24" t="s">
        <v>2379</v>
      </c>
      <c r="G24">
        <v>3</v>
      </c>
      <c r="H24" t="s">
        <v>2381</v>
      </c>
      <c r="I24" t="str" cm="1">
        <f t="array" ref="I24">_xlfn.IFS(B24&lt;18.5,"Underweight",AND(B24&gt;=18.5,B24&lt;=24.99),"Normalweight",AND(B24&gt;=25,B24&lt;=29.99),"Overweight",B24&gt;=30,"Obesity")</f>
        <v>Obesity</v>
      </c>
      <c r="J24" t="str" cm="1">
        <f t="array" ref="J24">_xlfn.IFS(C24&lt;5.7,"Normal",AND(C24&gt;=5.7,C24&lt;=6.49),"Prediabetes",C24&gt;=6.5,"Diabetes")</f>
        <v>Diabetes</v>
      </c>
    </row>
    <row r="25" spans="1:10" x14ac:dyDescent="0.3">
      <c r="A25" t="s">
        <v>2349</v>
      </c>
      <c r="B25" s="8">
        <v>41.8</v>
      </c>
      <c r="C25">
        <v>7.89</v>
      </c>
      <c r="D25" t="s">
        <v>2381</v>
      </c>
      <c r="E25" t="s">
        <v>2379</v>
      </c>
      <c r="F25" t="s">
        <v>2379</v>
      </c>
      <c r="G25">
        <v>2</v>
      </c>
      <c r="H25" t="s">
        <v>2381</v>
      </c>
      <c r="I25" t="str" cm="1">
        <f t="array" ref="I25">_xlfn.IFS(B25&lt;18.5,"Underweight",AND(B25&gt;=18.5,B25&lt;=24.99),"Normalweight",AND(B25&gt;=25,B25&lt;=29.99),"Overweight",B25&gt;=30,"Obesity")</f>
        <v>Obesity</v>
      </c>
      <c r="J25" t="str" cm="1">
        <f t="array" ref="J25">_xlfn.IFS(C25&lt;5.7,"Normal",AND(C25&gt;=5.7,C25&lt;=6.49),"Prediabetes",C25&gt;=6.5,"Diabetes")</f>
        <v>Diabetes</v>
      </c>
    </row>
    <row r="26" spans="1:10" x14ac:dyDescent="0.3">
      <c r="A26" t="s">
        <v>2348</v>
      </c>
      <c r="B26" s="8">
        <v>35.090000000000003</v>
      </c>
      <c r="C26">
        <v>4.38</v>
      </c>
      <c r="D26" t="s">
        <v>2381</v>
      </c>
      <c r="E26" t="s">
        <v>2379</v>
      </c>
      <c r="F26" t="s">
        <v>2379</v>
      </c>
      <c r="G26">
        <v>2</v>
      </c>
      <c r="H26" t="s">
        <v>2381</v>
      </c>
      <c r="I26" t="str" cm="1">
        <f t="array" ref="I26">_xlfn.IFS(B26&lt;18.5,"Underweight",AND(B26&gt;=18.5,B26&lt;=24.99),"Normalweight",AND(B26&gt;=25,B26&lt;=29.99),"Overweight",B26&gt;=30,"Obesity")</f>
        <v>Obesity</v>
      </c>
      <c r="J26" t="str" cm="1">
        <f t="array" ref="J26">_xlfn.IFS(C26&lt;5.7,"Normal",AND(C26&gt;=5.7,C26&lt;=6.49),"Prediabetes",C26&gt;=6.5,"Diabetes")</f>
        <v>Normal</v>
      </c>
    </row>
    <row r="27" spans="1:10" x14ac:dyDescent="0.3">
      <c r="A27" t="s">
        <v>2347</v>
      </c>
      <c r="B27" s="8">
        <v>33.880000000000003</v>
      </c>
      <c r="C27">
        <v>7.01</v>
      </c>
      <c r="D27" t="s">
        <v>2379</v>
      </c>
      <c r="E27" t="s">
        <v>2379</v>
      </c>
      <c r="F27" t="s">
        <v>2379</v>
      </c>
      <c r="G27">
        <v>3</v>
      </c>
      <c r="H27" t="s">
        <v>2381</v>
      </c>
      <c r="I27" t="str" cm="1">
        <f t="array" ref="I27">_xlfn.IFS(B27&lt;18.5,"Underweight",AND(B27&gt;=18.5,B27&lt;=24.99),"Normalweight",AND(B27&gt;=25,B27&lt;=29.99),"Overweight",B27&gt;=30,"Obesity")</f>
        <v>Obesity</v>
      </c>
      <c r="J27" t="str" cm="1">
        <f t="array" ref="J27">_xlfn.IFS(C27&lt;5.7,"Normal",AND(C27&gt;=5.7,C27&lt;=6.49),"Prediabetes",C27&gt;=6.5,"Diabetes")</f>
        <v>Diabetes</v>
      </c>
    </row>
    <row r="28" spans="1:10" x14ac:dyDescent="0.3">
      <c r="A28" t="s">
        <v>2346</v>
      </c>
      <c r="B28" s="8">
        <v>30.875</v>
      </c>
      <c r="C28">
        <v>11.88</v>
      </c>
      <c r="D28" t="s">
        <v>2379</v>
      </c>
      <c r="E28" t="s">
        <v>2379</v>
      </c>
      <c r="F28" t="s">
        <v>2379</v>
      </c>
      <c r="G28">
        <v>0</v>
      </c>
      <c r="H28" t="s">
        <v>2381</v>
      </c>
      <c r="I28" t="str" cm="1">
        <f t="array" ref="I28">_xlfn.IFS(B28&lt;18.5,"Underweight",AND(B28&gt;=18.5,B28&lt;=24.99),"Normalweight",AND(B28&gt;=25,B28&lt;=29.99),"Overweight",B28&gt;=30,"Obesity")</f>
        <v>Obesity</v>
      </c>
      <c r="J28" t="str" cm="1">
        <f t="array" ref="J28">_xlfn.IFS(C28&lt;5.7,"Normal",AND(C28&gt;=5.7,C28&lt;=6.49),"Prediabetes",C28&gt;=6.5,"Diabetes")</f>
        <v>Diabetes</v>
      </c>
    </row>
    <row r="29" spans="1:10" x14ac:dyDescent="0.3">
      <c r="A29" t="s">
        <v>2345</v>
      </c>
      <c r="B29" s="8">
        <v>36.86</v>
      </c>
      <c r="C29">
        <v>5.19</v>
      </c>
      <c r="D29" t="s">
        <v>2381</v>
      </c>
      <c r="E29" t="s">
        <v>2379</v>
      </c>
      <c r="F29" t="s">
        <v>2381</v>
      </c>
      <c r="G29">
        <v>1</v>
      </c>
      <c r="H29" t="s">
        <v>2381</v>
      </c>
      <c r="I29" t="str" cm="1">
        <f t="array" ref="I29">_xlfn.IFS(B29&lt;18.5,"Underweight",AND(B29&gt;=18.5,B29&lt;=24.99),"Normalweight",AND(B29&gt;=25,B29&lt;=29.99),"Overweight",B29&gt;=30,"Obesity")</f>
        <v>Obesity</v>
      </c>
      <c r="J29" t="str" cm="1">
        <f t="array" ref="J29">_xlfn.IFS(C29&lt;5.7,"Normal",AND(C29&gt;=5.7,C29&lt;=6.49),"Prediabetes",C29&gt;=6.5,"Diabetes")</f>
        <v>Normal</v>
      </c>
    </row>
    <row r="30" spans="1:10" x14ac:dyDescent="0.3">
      <c r="A30" t="s">
        <v>2344</v>
      </c>
      <c r="B30" s="8">
        <v>35.86</v>
      </c>
      <c r="C30">
        <v>6.74</v>
      </c>
      <c r="D30" t="s">
        <v>2381</v>
      </c>
      <c r="E30" t="s">
        <v>2379</v>
      </c>
      <c r="F30" t="s">
        <v>2379</v>
      </c>
      <c r="G30">
        <v>2</v>
      </c>
      <c r="H30" t="s">
        <v>2381</v>
      </c>
      <c r="I30" t="str" cm="1">
        <f t="array" ref="I30">_xlfn.IFS(B30&lt;18.5,"Underweight",AND(B30&gt;=18.5,B30&lt;=24.99),"Normalweight",AND(B30&gt;=25,B30&lt;=29.99),"Overweight",B30&gt;=30,"Obesity")</f>
        <v>Obesity</v>
      </c>
      <c r="J30" t="str" cm="1">
        <f t="array" ref="J30">_xlfn.IFS(C30&lt;5.7,"Normal",AND(C30&gt;=5.7,C30&lt;=6.49),"Prediabetes",C30&gt;=6.5,"Diabetes")</f>
        <v>Diabetes</v>
      </c>
    </row>
    <row r="31" spans="1:10" x14ac:dyDescent="0.3">
      <c r="A31" t="s">
        <v>2343</v>
      </c>
      <c r="B31" s="8">
        <v>37.049999999999997</v>
      </c>
      <c r="C31">
        <v>8.44</v>
      </c>
      <c r="D31" t="s">
        <v>2379</v>
      </c>
      <c r="E31" t="s">
        <v>2379</v>
      </c>
      <c r="F31" t="s">
        <v>2379</v>
      </c>
      <c r="G31">
        <v>0</v>
      </c>
      <c r="H31" t="s">
        <v>2381</v>
      </c>
      <c r="I31" t="str" cm="1">
        <f t="array" ref="I31">_xlfn.IFS(B31&lt;18.5,"Underweight",AND(B31&gt;=18.5,B31&lt;=24.99),"Normalweight",AND(B31&gt;=25,B31&lt;=29.99),"Overweight",B31&gt;=30,"Obesity")</f>
        <v>Obesity</v>
      </c>
      <c r="J31" t="str" cm="1">
        <f t="array" ref="J31">_xlfn.IFS(C31&lt;5.7,"Normal",AND(C31&gt;=5.7,C31&lt;=6.49),"Prediabetes",C31&gt;=6.5,"Diabetes")</f>
        <v>Diabetes</v>
      </c>
    </row>
    <row r="32" spans="1:10" x14ac:dyDescent="0.3">
      <c r="A32" t="s">
        <v>2342</v>
      </c>
      <c r="B32" s="8">
        <v>43.89</v>
      </c>
      <c r="C32">
        <v>8.7100000000000009</v>
      </c>
      <c r="D32" t="s">
        <v>2379</v>
      </c>
      <c r="E32" t="s">
        <v>2379</v>
      </c>
      <c r="F32" t="s">
        <v>2379</v>
      </c>
      <c r="G32">
        <v>0</v>
      </c>
      <c r="H32" t="s">
        <v>2381</v>
      </c>
      <c r="I32" t="str" cm="1">
        <f t="array" ref="I32">_xlfn.IFS(B32&lt;18.5,"Underweight",AND(B32&gt;=18.5,B32&lt;=24.99),"Normalweight",AND(B32&gt;=25,B32&lt;=29.99),"Overweight",B32&gt;=30,"Obesity")</f>
        <v>Obesity</v>
      </c>
      <c r="J32" t="str" cm="1">
        <f t="array" ref="J32">_xlfn.IFS(C32&lt;5.7,"Normal",AND(C32&gt;=5.7,C32&lt;=6.49),"Prediabetes",C32&gt;=6.5,"Diabetes")</f>
        <v>Diabetes</v>
      </c>
    </row>
    <row r="33" spans="1:10" x14ac:dyDescent="0.3">
      <c r="A33" t="s">
        <v>2341</v>
      </c>
      <c r="B33" s="8">
        <v>42.35</v>
      </c>
      <c r="C33">
        <v>5.08</v>
      </c>
      <c r="D33" t="s">
        <v>2381</v>
      </c>
      <c r="E33" t="s">
        <v>2379</v>
      </c>
      <c r="F33" t="s">
        <v>2379</v>
      </c>
      <c r="G33">
        <v>0</v>
      </c>
      <c r="H33" t="s">
        <v>2381</v>
      </c>
      <c r="I33" t="str" cm="1">
        <f t="array" ref="I33">_xlfn.IFS(B33&lt;18.5,"Underweight",AND(B33&gt;=18.5,B33&lt;=24.99),"Normalweight",AND(B33&gt;=25,B33&lt;=29.99),"Overweight",B33&gt;=30,"Obesity")</f>
        <v>Obesity</v>
      </c>
      <c r="J33" t="str" cm="1">
        <f t="array" ref="J33">_xlfn.IFS(C33&lt;5.7,"Normal",AND(C33&gt;=5.7,C33&lt;=6.49),"Prediabetes",C33&gt;=6.5,"Diabetes")</f>
        <v>Normal</v>
      </c>
    </row>
    <row r="34" spans="1:10" x14ac:dyDescent="0.3">
      <c r="A34" t="s">
        <v>2340</v>
      </c>
      <c r="B34" s="8">
        <v>31.35</v>
      </c>
      <c r="C34">
        <v>6.86</v>
      </c>
      <c r="D34" t="s">
        <v>2379</v>
      </c>
      <c r="E34" t="s">
        <v>2379</v>
      </c>
      <c r="F34" t="s">
        <v>2379</v>
      </c>
      <c r="G34">
        <v>0</v>
      </c>
      <c r="H34" t="s">
        <v>2381</v>
      </c>
      <c r="I34" t="str" cm="1">
        <f t="array" ref="I34">_xlfn.IFS(B34&lt;18.5,"Underweight",AND(B34&gt;=18.5,B34&lt;=24.99),"Normalweight",AND(B34&gt;=25,B34&lt;=29.99),"Overweight",B34&gt;=30,"Obesity")</f>
        <v>Obesity</v>
      </c>
      <c r="J34" t="str" cm="1">
        <f t="array" ref="J34">_xlfn.IFS(C34&lt;5.7,"Normal",AND(C34&gt;=5.7,C34&lt;=6.49),"Prediabetes",C34&gt;=6.5,"Diabetes")</f>
        <v>Diabetes</v>
      </c>
    </row>
    <row r="35" spans="1:10" x14ac:dyDescent="0.3">
      <c r="A35" t="s">
        <v>2339</v>
      </c>
      <c r="B35" s="8">
        <v>47.6</v>
      </c>
      <c r="C35">
        <v>5.95</v>
      </c>
      <c r="D35" t="s">
        <v>2381</v>
      </c>
      <c r="E35" t="s">
        <v>2379</v>
      </c>
      <c r="F35" t="s">
        <v>2379</v>
      </c>
      <c r="G35">
        <v>0</v>
      </c>
      <c r="H35" t="s">
        <v>2381</v>
      </c>
      <c r="I35" t="str" cm="1">
        <f t="array" ref="I35">_xlfn.IFS(B35&lt;18.5,"Underweight",AND(B35&gt;=18.5,B35&lt;=24.99),"Normalweight",AND(B35&gt;=25,B35&lt;=29.99),"Overweight",B35&gt;=30,"Obesity")</f>
        <v>Obesity</v>
      </c>
      <c r="J35" t="str" cm="1">
        <f t="array" ref="J35">_xlfn.IFS(C35&lt;5.7,"Normal",AND(C35&gt;=5.7,C35&lt;=6.49),"Prediabetes",C35&gt;=6.5,"Diabetes")</f>
        <v>Prediabetes</v>
      </c>
    </row>
    <row r="36" spans="1:10" x14ac:dyDescent="0.3">
      <c r="A36" t="s">
        <v>2338</v>
      </c>
      <c r="B36" s="8">
        <v>46.2</v>
      </c>
      <c r="C36">
        <v>6.09</v>
      </c>
      <c r="D36" t="s">
        <v>2379</v>
      </c>
      <c r="E36" t="s">
        <v>2379</v>
      </c>
      <c r="F36" t="s">
        <v>2381</v>
      </c>
      <c r="G36">
        <v>1</v>
      </c>
      <c r="H36" t="s">
        <v>2381</v>
      </c>
      <c r="I36" t="str" cm="1">
        <f t="array" ref="I36">_xlfn.IFS(B36&lt;18.5,"Underweight",AND(B36&gt;=18.5,B36&lt;=24.99),"Normalweight",AND(B36&gt;=25,B36&lt;=29.99),"Overweight",B36&gt;=30,"Obesity")</f>
        <v>Obesity</v>
      </c>
      <c r="J36" t="str" cm="1">
        <f t="array" ref="J36">_xlfn.IFS(C36&lt;5.7,"Normal",AND(C36&gt;=5.7,C36&lt;=6.49),"Prediabetes",C36&gt;=6.5,"Diabetes")</f>
        <v>Prediabetes</v>
      </c>
    </row>
    <row r="37" spans="1:10" x14ac:dyDescent="0.3">
      <c r="A37" t="s">
        <v>2337</v>
      </c>
      <c r="B37" s="8">
        <v>32.015000000000001</v>
      </c>
      <c r="C37">
        <v>11.75</v>
      </c>
      <c r="D37" t="s">
        <v>2379</v>
      </c>
      <c r="E37" t="s">
        <v>2379</v>
      </c>
      <c r="F37" t="s">
        <v>2379</v>
      </c>
      <c r="G37">
        <v>0</v>
      </c>
      <c r="H37" t="s">
        <v>2381</v>
      </c>
      <c r="I37" t="str" cm="1">
        <f t="array" ref="I37">_xlfn.IFS(B37&lt;18.5,"Underweight",AND(B37&gt;=18.5,B37&lt;=24.99),"Normalweight",AND(B37&gt;=25,B37&lt;=29.99),"Overweight",B37&gt;=30,"Obesity")</f>
        <v>Obesity</v>
      </c>
      <c r="J37" t="str" cm="1">
        <f t="array" ref="J37">_xlfn.IFS(C37&lt;5.7,"Normal",AND(C37&gt;=5.7,C37&lt;=6.49),"Prediabetes",C37&gt;=6.5,"Diabetes")</f>
        <v>Diabetes</v>
      </c>
    </row>
    <row r="38" spans="1:10" x14ac:dyDescent="0.3">
      <c r="A38" t="s">
        <v>2336</v>
      </c>
      <c r="B38" s="8">
        <v>40.564999999999998</v>
      </c>
      <c r="C38">
        <v>7.37</v>
      </c>
      <c r="D38" t="s">
        <v>2379</v>
      </c>
      <c r="E38" t="s">
        <v>2379</v>
      </c>
      <c r="F38" t="s">
        <v>2379</v>
      </c>
      <c r="G38">
        <v>0</v>
      </c>
      <c r="H38" t="s">
        <v>2381</v>
      </c>
      <c r="I38" t="str" cm="1">
        <f t="array" ref="I38">_xlfn.IFS(B38&lt;18.5,"Underweight",AND(B38&gt;=18.5,B38&lt;=24.99),"Normalweight",AND(B38&gt;=25,B38&lt;=29.99),"Overweight",B38&gt;=30,"Obesity")</f>
        <v>Obesity</v>
      </c>
      <c r="J38" t="str" cm="1">
        <f t="array" ref="J38">_xlfn.IFS(C38&lt;5.7,"Normal",AND(C38&gt;=5.7,C38&lt;=6.49),"Prediabetes",C38&gt;=6.5,"Diabetes")</f>
        <v>Diabetes</v>
      </c>
    </row>
    <row r="39" spans="1:10" x14ac:dyDescent="0.3">
      <c r="A39" t="s">
        <v>2335</v>
      </c>
      <c r="B39" s="8">
        <v>32.450000000000003</v>
      </c>
      <c r="C39">
        <v>11.91</v>
      </c>
      <c r="D39" t="s">
        <v>2379</v>
      </c>
      <c r="E39" t="s">
        <v>2379</v>
      </c>
      <c r="F39" t="s">
        <v>2379</v>
      </c>
      <c r="G39">
        <v>0</v>
      </c>
      <c r="H39" t="s">
        <v>2381</v>
      </c>
      <c r="I39" t="str" cm="1">
        <f t="array" ref="I39">_xlfn.IFS(B39&lt;18.5,"Underweight",AND(B39&gt;=18.5,B39&lt;=24.99),"Normalweight",AND(B39&gt;=25,B39&lt;=29.99),"Overweight",B39&gt;=30,"Obesity")</f>
        <v>Obesity</v>
      </c>
      <c r="J39" t="str" cm="1">
        <f t="array" ref="J39">_xlfn.IFS(C39&lt;5.7,"Normal",AND(C39&gt;=5.7,C39&lt;=6.49),"Prediabetes",C39&gt;=6.5,"Diabetes")</f>
        <v>Diabetes</v>
      </c>
    </row>
    <row r="40" spans="1:10" x14ac:dyDescent="0.3">
      <c r="A40" t="s">
        <v>2334</v>
      </c>
      <c r="B40" s="8">
        <v>34.96</v>
      </c>
      <c r="C40">
        <v>6.52</v>
      </c>
      <c r="D40" t="s">
        <v>2379</v>
      </c>
      <c r="E40" t="s">
        <v>2379</v>
      </c>
      <c r="F40" t="s">
        <v>2379</v>
      </c>
      <c r="G40">
        <v>0</v>
      </c>
      <c r="H40" t="s">
        <v>2381</v>
      </c>
      <c r="I40" t="str" cm="1">
        <f t="array" ref="I40">_xlfn.IFS(B40&lt;18.5,"Underweight",AND(B40&gt;=18.5,B40&lt;=24.99),"Normalweight",AND(B40&gt;=25,B40&lt;=29.99),"Overweight",B40&gt;=30,"Obesity")</f>
        <v>Obesity</v>
      </c>
      <c r="J40" t="str" cm="1">
        <f t="array" ref="J40">_xlfn.IFS(C40&lt;5.7,"Normal",AND(C40&gt;=5.7,C40&lt;=6.49),"Prediabetes",C40&gt;=6.5,"Diabetes")</f>
        <v>Diabetes</v>
      </c>
    </row>
    <row r="41" spans="1:10" x14ac:dyDescent="0.3">
      <c r="A41" t="s">
        <v>2333</v>
      </c>
      <c r="B41" s="8">
        <v>35.5</v>
      </c>
      <c r="C41">
        <v>5.14</v>
      </c>
      <c r="D41" t="s">
        <v>2379</v>
      </c>
      <c r="E41" t="s">
        <v>2379</v>
      </c>
      <c r="F41" t="s">
        <v>2381</v>
      </c>
      <c r="G41">
        <v>1</v>
      </c>
      <c r="H41" t="s">
        <v>2381</v>
      </c>
      <c r="I41" t="str" cm="1">
        <f t="array" ref="I41">_xlfn.IFS(B41&lt;18.5,"Underweight",AND(B41&gt;=18.5,B41&lt;=24.99),"Normalweight",AND(B41&gt;=25,B41&lt;=29.99),"Overweight",B41&gt;=30,"Obesity")</f>
        <v>Obesity</v>
      </c>
      <c r="J41" t="str" cm="1">
        <f t="array" ref="J41">_xlfn.IFS(C41&lt;5.7,"Normal",AND(C41&gt;=5.7,C41&lt;=6.49),"Prediabetes",C41&gt;=6.5,"Diabetes")</f>
        <v>Normal</v>
      </c>
    </row>
    <row r="42" spans="1:10" x14ac:dyDescent="0.3">
      <c r="A42" t="s">
        <v>2332</v>
      </c>
      <c r="B42" s="8">
        <v>52.58</v>
      </c>
      <c r="C42">
        <v>4.1900000000000004</v>
      </c>
      <c r="D42" t="s">
        <v>2379</v>
      </c>
      <c r="E42" t="s">
        <v>2380</v>
      </c>
      <c r="F42" t="s">
        <v>2379</v>
      </c>
      <c r="G42">
        <v>1</v>
      </c>
      <c r="H42" t="s">
        <v>2381</v>
      </c>
      <c r="I42" t="str" cm="1">
        <f t="array" ref="I42">_xlfn.IFS(B42&lt;18.5,"Underweight",AND(B42&gt;=18.5,B42&lt;=24.99),"Normalweight",AND(B42&gt;=25,B42&lt;=29.99),"Overweight",B42&gt;=30,"Obesity")</f>
        <v>Obesity</v>
      </c>
      <c r="J42" t="str" cm="1">
        <f t="array" ref="J42">_xlfn.IFS(C42&lt;5.7,"Normal",AND(C42&gt;=5.7,C42&lt;=6.49),"Prediabetes",C42&gt;=6.5,"Diabetes")</f>
        <v>Normal</v>
      </c>
    </row>
    <row r="43" spans="1:10" x14ac:dyDescent="0.3">
      <c r="A43" t="s">
        <v>2331</v>
      </c>
      <c r="B43" s="8">
        <v>35.200000000000003</v>
      </c>
      <c r="C43">
        <v>11.68</v>
      </c>
      <c r="D43" t="s">
        <v>2381</v>
      </c>
      <c r="E43" t="s">
        <v>2379</v>
      </c>
      <c r="F43" t="s">
        <v>2379</v>
      </c>
      <c r="G43">
        <v>0</v>
      </c>
      <c r="H43" t="s">
        <v>2381</v>
      </c>
      <c r="I43" t="str" cm="1">
        <f t="array" ref="I43">_xlfn.IFS(B43&lt;18.5,"Underweight",AND(B43&gt;=18.5,B43&lt;=24.99),"Normalweight",AND(B43&gt;=25,B43&lt;=29.99),"Overweight",B43&gt;=30,"Obesity")</f>
        <v>Obesity</v>
      </c>
      <c r="J43" t="str" cm="1">
        <f t="array" ref="J43">_xlfn.IFS(C43&lt;5.7,"Normal",AND(C43&gt;=5.7,C43&lt;=6.49),"Prediabetes",C43&gt;=6.5,"Diabetes")</f>
        <v>Diabetes</v>
      </c>
    </row>
    <row r="44" spans="1:10" x14ac:dyDescent="0.3">
      <c r="A44" t="s">
        <v>2330</v>
      </c>
      <c r="B44" s="8">
        <v>38.06</v>
      </c>
      <c r="C44">
        <v>6.98</v>
      </c>
      <c r="D44" t="s">
        <v>2379</v>
      </c>
      <c r="E44" t="s">
        <v>2379</v>
      </c>
      <c r="F44" t="s">
        <v>2379</v>
      </c>
      <c r="G44">
        <v>0</v>
      </c>
      <c r="H44" t="s">
        <v>2381</v>
      </c>
      <c r="I44" t="str" cm="1">
        <f t="array" ref="I44">_xlfn.IFS(B44&lt;18.5,"Underweight",AND(B44&gt;=18.5,B44&lt;=24.99),"Normalweight",AND(B44&gt;=25,B44&lt;=29.99),"Overweight",B44&gt;=30,"Obesity")</f>
        <v>Obesity</v>
      </c>
      <c r="J44" t="str" cm="1">
        <f t="array" ref="J44">_xlfn.IFS(C44&lt;5.7,"Normal",AND(C44&gt;=5.7,C44&lt;=6.49),"Prediabetes",C44&gt;=6.5,"Diabetes")</f>
        <v>Diabetes</v>
      </c>
    </row>
    <row r="45" spans="1:10" x14ac:dyDescent="0.3">
      <c r="A45" t="s">
        <v>2329</v>
      </c>
      <c r="B45" s="8">
        <v>34.21</v>
      </c>
      <c r="C45">
        <v>8.34</v>
      </c>
      <c r="D45" t="s">
        <v>2379</v>
      </c>
      <c r="E45" t="s">
        <v>2379</v>
      </c>
      <c r="F45" t="s">
        <v>2379</v>
      </c>
      <c r="G45">
        <v>0</v>
      </c>
      <c r="H45" t="s">
        <v>2381</v>
      </c>
      <c r="I45" t="str" cm="1">
        <f t="array" ref="I45">_xlfn.IFS(B45&lt;18.5,"Underweight",AND(B45&gt;=18.5,B45&lt;=24.99),"Normalweight",AND(B45&gt;=25,B45&lt;=29.99),"Overweight",B45&gt;=30,"Obesity")</f>
        <v>Obesity</v>
      </c>
      <c r="J45" t="str" cm="1">
        <f t="array" ref="J45">_xlfn.IFS(C45&lt;5.7,"Normal",AND(C45&gt;=5.7,C45&lt;=6.49),"Prediabetes",C45&gt;=6.5,"Diabetes")</f>
        <v>Diabetes</v>
      </c>
    </row>
    <row r="46" spans="1:10" x14ac:dyDescent="0.3">
      <c r="A46" t="s">
        <v>2328</v>
      </c>
      <c r="B46" s="8">
        <v>38.94</v>
      </c>
      <c r="C46">
        <v>8.49</v>
      </c>
      <c r="D46" t="s">
        <v>2381</v>
      </c>
      <c r="E46" t="s">
        <v>2379</v>
      </c>
      <c r="F46" t="s">
        <v>2379</v>
      </c>
      <c r="G46">
        <v>1</v>
      </c>
      <c r="H46" t="s">
        <v>2381</v>
      </c>
      <c r="I46" t="str" cm="1">
        <f t="array" ref="I46">_xlfn.IFS(B46&lt;18.5,"Underweight",AND(B46&gt;=18.5,B46&lt;=24.99),"Normalweight",AND(B46&gt;=25,B46&lt;=29.99),"Overweight",B46&gt;=30,"Obesity")</f>
        <v>Obesity</v>
      </c>
      <c r="J46" t="str" cm="1">
        <f t="array" ref="J46">_xlfn.IFS(C46&lt;5.7,"Normal",AND(C46&gt;=5.7,C46&lt;=6.49),"Prediabetes",C46&gt;=6.5,"Diabetes")</f>
        <v>Diabetes</v>
      </c>
    </row>
    <row r="47" spans="1:10" x14ac:dyDescent="0.3">
      <c r="A47" t="s">
        <v>2327</v>
      </c>
      <c r="B47" s="8">
        <v>30.21</v>
      </c>
      <c r="C47">
        <v>5.34</v>
      </c>
      <c r="D47" t="s">
        <v>2381</v>
      </c>
      <c r="E47" t="s">
        <v>2379</v>
      </c>
      <c r="F47" t="s">
        <v>2379</v>
      </c>
      <c r="G47">
        <v>1</v>
      </c>
      <c r="H47" t="s">
        <v>2381</v>
      </c>
      <c r="I47" t="str" cm="1">
        <f t="array" ref="I47">_xlfn.IFS(B47&lt;18.5,"Underweight",AND(B47&gt;=18.5,B47&lt;=24.99),"Normalweight",AND(B47&gt;=25,B47&lt;=29.99),"Overweight",B47&gt;=30,"Obesity")</f>
        <v>Obesity</v>
      </c>
      <c r="J47" t="str" cm="1">
        <f t="array" ref="J47">_xlfn.IFS(C47&lt;5.7,"Normal",AND(C47&gt;=5.7,C47&lt;=6.49),"Prediabetes",C47&gt;=6.5,"Diabetes")</f>
        <v>Normal</v>
      </c>
    </row>
    <row r="48" spans="1:10" x14ac:dyDescent="0.3">
      <c r="A48" t="s">
        <v>2326</v>
      </c>
      <c r="B48" s="8">
        <v>33.630000000000003</v>
      </c>
      <c r="C48">
        <v>4.43</v>
      </c>
      <c r="D48" t="s">
        <v>2381</v>
      </c>
      <c r="E48" t="s">
        <v>2379</v>
      </c>
      <c r="F48" t="s">
        <v>2379</v>
      </c>
      <c r="G48">
        <v>2</v>
      </c>
      <c r="H48" t="s">
        <v>2381</v>
      </c>
      <c r="I48" t="str" cm="1">
        <f t="array" ref="I48">_xlfn.IFS(B48&lt;18.5,"Underweight",AND(B48&gt;=18.5,B48&lt;=24.99),"Normalweight",AND(B48&gt;=25,B48&lt;=29.99),"Overweight",B48&gt;=30,"Obesity")</f>
        <v>Obesity</v>
      </c>
      <c r="J48" t="str" cm="1">
        <f t="array" ref="J48">_xlfn.IFS(C48&lt;5.7,"Normal",AND(C48&gt;=5.7,C48&lt;=6.49),"Prediabetes",C48&gt;=6.5,"Diabetes")</f>
        <v>Normal</v>
      </c>
    </row>
    <row r="49" spans="1:10" x14ac:dyDescent="0.3">
      <c r="A49" t="s">
        <v>2325</v>
      </c>
      <c r="B49" s="8">
        <v>40.369999999999997</v>
      </c>
      <c r="C49">
        <v>4.47</v>
      </c>
      <c r="D49" t="s">
        <v>2379</v>
      </c>
      <c r="E49" t="s">
        <v>2379</v>
      </c>
      <c r="F49" t="s">
        <v>2379</v>
      </c>
      <c r="G49">
        <v>0</v>
      </c>
      <c r="H49" t="s">
        <v>2381</v>
      </c>
      <c r="I49" t="str" cm="1">
        <f t="array" ref="I49">_xlfn.IFS(B49&lt;18.5,"Underweight",AND(B49&gt;=18.5,B49&lt;=24.99),"Normalweight",AND(B49&gt;=25,B49&lt;=29.99),"Overweight",B49&gt;=30,"Obesity")</f>
        <v>Obesity</v>
      </c>
      <c r="J49" t="str" cm="1">
        <f t="array" ref="J49">_xlfn.IFS(C49&lt;5.7,"Normal",AND(C49&gt;=5.7,C49&lt;=6.49),"Prediabetes",C49&gt;=6.5,"Diabetes")</f>
        <v>Normal</v>
      </c>
    </row>
    <row r="50" spans="1:10" x14ac:dyDescent="0.3">
      <c r="A50" t="s">
        <v>2324</v>
      </c>
      <c r="B50" s="8">
        <v>53.09</v>
      </c>
      <c r="C50">
        <v>4.82</v>
      </c>
      <c r="D50" t="s">
        <v>2381</v>
      </c>
      <c r="E50" t="s">
        <v>2379</v>
      </c>
      <c r="F50" t="s">
        <v>2379</v>
      </c>
      <c r="G50">
        <v>2</v>
      </c>
      <c r="H50" t="s">
        <v>2381</v>
      </c>
      <c r="I50" t="str" cm="1">
        <f t="array" ref="I50">_xlfn.IFS(B50&lt;18.5,"Underweight",AND(B50&gt;=18.5,B50&lt;=24.99),"Normalweight",AND(B50&gt;=25,B50&lt;=29.99),"Overweight",B50&gt;=30,"Obesity")</f>
        <v>Obesity</v>
      </c>
      <c r="J50" t="str" cm="1">
        <f t="array" ref="J50">_xlfn.IFS(C50&lt;5.7,"Normal",AND(C50&gt;=5.7,C50&lt;=6.49),"Prediabetes",C50&gt;=6.5,"Diabetes")</f>
        <v>Normal</v>
      </c>
    </row>
    <row r="51" spans="1:10" x14ac:dyDescent="0.3">
      <c r="A51" t="s">
        <v>2323</v>
      </c>
      <c r="B51" s="8">
        <v>31.79</v>
      </c>
      <c r="C51">
        <v>5.51</v>
      </c>
      <c r="D51" t="s">
        <v>2381</v>
      </c>
      <c r="E51" t="s">
        <v>2379</v>
      </c>
      <c r="F51" t="s">
        <v>2379</v>
      </c>
      <c r="G51">
        <v>2</v>
      </c>
      <c r="H51" t="s">
        <v>2381</v>
      </c>
      <c r="I51" t="str" cm="1">
        <f t="array" ref="I51">_xlfn.IFS(B51&lt;18.5,"Underweight",AND(B51&gt;=18.5,B51&lt;=24.99),"Normalweight",AND(B51&gt;=25,B51&lt;=29.99),"Overweight",B51&gt;=30,"Obesity")</f>
        <v>Obesity</v>
      </c>
      <c r="J51" t="str" cm="1">
        <f t="array" ref="J51">_xlfn.IFS(C51&lt;5.7,"Normal",AND(C51&gt;=5.7,C51&lt;=6.49),"Prediabetes",C51&gt;=6.5,"Diabetes")</f>
        <v>Normal</v>
      </c>
    </row>
    <row r="52" spans="1:10" x14ac:dyDescent="0.3">
      <c r="A52" t="s">
        <v>2322</v>
      </c>
      <c r="B52" s="8">
        <v>41.895000000000003</v>
      </c>
      <c r="C52">
        <v>10.87</v>
      </c>
      <c r="D52" t="s">
        <v>2381</v>
      </c>
      <c r="E52" t="s">
        <v>2379</v>
      </c>
      <c r="F52" t="s">
        <v>2379</v>
      </c>
      <c r="G52">
        <v>1</v>
      </c>
      <c r="H52" t="s">
        <v>2381</v>
      </c>
      <c r="I52" t="str" cm="1">
        <f t="array" ref="I52">_xlfn.IFS(B52&lt;18.5,"Underweight",AND(B52&gt;=18.5,B52&lt;=24.99),"Normalweight",AND(B52&gt;=25,B52&lt;=29.99),"Overweight",B52&gt;=30,"Obesity")</f>
        <v>Obesity</v>
      </c>
      <c r="J52" t="str" cm="1">
        <f t="array" ref="J52">_xlfn.IFS(C52&lt;5.7,"Normal",AND(C52&gt;=5.7,C52&lt;=6.49),"Prediabetes",C52&gt;=6.5,"Diabetes")</f>
        <v>Diabetes</v>
      </c>
    </row>
    <row r="53" spans="1:10" x14ac:dyDescent="0.3">
      <c r="A53" t="s">
        <v>2321</v>
      </c>
      <c r="B53" s="8">
        <v>31.16</v>
      </c>
      <c r="C53">
        <v>9.34</v>
      </c>
      <c r="D53" t="s">
        <v>2379</v>
      </c>
      <c r="E53" t="s">
        <v>2379</v>
      </c>
      <c r="F53" t="s">
        <v>2379</v>
      </c>
      <c r="G53">
        <v>0</v>
      </c>
      <c r="H53" t="s">
        <v>2381</v>
      </c>
      <c r="I53" t="str" cm="1">
        <f t="array" ref="I53">_xlfn.IFS(B53&lt;18.5,"Underweight",AND(B53&gt;=18.5,B53&lt;=24.99),"Normalweight",AND(B53&gt;=25,B53&lt;=29.99),"Overweight",B53&gt;=30,"Obesity")</f>
        <v>Obesity</v>
      </c>
      <c r="J53" t="str" cm="1">
        <f t="array" ref="J53">_xlfn.IFS(C53&lt;5.7,"Normal",AND(C53&gt;=5.7,C53&lt;=6.49),"Prediabetes",C53&gt;=6.5,"Diabetes")</f>
        <v>Diabetes</v>
      </c>
    </row>
    <row r="54" spans="1:10" x14ac:dyDescent="0.3">
      <c r="A54" t="s">
        <v>2320</v>
      </c>
      <c r="B54" s="8">
        <v>34.104999999999997</v>
      </c>
      <c r="C54">
        <v>5.03</v>
      </c>
      <c r="D54" t="s">
        <v>2381</v>
      </c>
      <c r="E54" t="s">
        <v>2379</v>
      </c>
      <c r="F54" t="s">
        <v>2381</v>
      </c>
      <c r="G54">
        <v>1</v>
      </c>
      <c r="H54" t="s">
        <v>2381</v>
      </c>
      <c r="I54" t="str" cm="1">
        <f t="array" ref="I54">_xlfn.IFS(B54&lt;18.5,"Underweight",AND(B54&gt;=18.5,B54&lt;=24.99),"Normalweight",AND(B54&gt;=25,B54&lt;=29.99),"Overweight",B54&gt;=30,"Obesity")</f>
        <v>Obesity</v>
      </c>
      <c r="J54" t="str" cm="1">
        <f t="array" ref="J54">_xlfn.IFS(C54&lt;5.7,"Normal",AND(C54&gt;=5.7,C54&lt;=6.49),"Prediabetes",C54&gt;=6.5,"Diabetes")</f>
        <v>Normal</v>
      </c>
    </row>
    <row r="55" spans="1:10" x14ac:dyDescent="0.3">
      <c r="A55" t="s">
        <v>2319</v>
      </c>
      <c r="B55" s="8">
        <v>51.93</v>
      </c>
      <c r="C55">
        <v>11.05</v>
      </c>
      <c r="D55" t="s">
        <v>2379</v>
      </c>
      <c r="E55" t="s">
        <v>2379</v>
      </c>
      <c r="F55" t="s">
        <v>2379</v>
      </c>
      <c r="G55">
        <v>0</v>
      </c>
      <c r="H55" t="s">
        <v>2381</v>
      </c>
      <c r="I55" t="str" cm="1">
        <f t="array" ref="I55">_xlfn.IFS(B55&lt;18.5,"Underweight",AND(B55&gt;=18.5,B55&lt;=24.99),"Normalweight",AND(B55&gt;=25,B55&lt;=29.99),"Overweight",B55&gt;=30,"Obesity")</f>
        <v>Obesity</v>
      </c>
      <c r="J55" t="str" cm="1">
        <f t="array" ref="J55">_xlfn.IFS(C55&lt;5.7,"Normal",AND(C55&gt;=5.7,C55&lt;=6.49),"Prediabetes",C55&gt;=6.5,"Diabetes")</f>
        <v>Diabetes</v>
      </c>
    </row>
    <row r="56" spans="1:10" x14ac:dyDescent="0.3">
      <c r="A56" t="s">
        <v>2318</v>
      </c>
      <c r="B56" s="8">
        <v>38.950000000000003</v>
      </c>
      <c r="C56">
        <v>11.95</v>
      </c>
      <c r="D56" t="s">
        <v>2379</v>
      </c>
      <c r="E56" t="s">
        <v>2379</v>
      </c>
      <c r="F56" t="s">
        <v>2379</v>
      </c>
      <c r="G56">
        <v>0</v>
      </c>
      <c r="H56" t="s">
        <v>2381</v>
      </c>
      <c r="I56" t="str" cm="1">
        <f t="array" ref="I56">_xlfn.IFS(B56&lt;18.5,"Underweight",AND(B56&gt;=18.5,B56&lt;=24.99),"Normalweight",AND(B56&gt;=25,B56&lt;=29.99),"Overweight",B56&gt;=30,"Obesity")</f>
        <v>Obesity</v>
      </c>
      <c r="J56" t="str" cm="1">
        <f t="array" ref="J56">_xlfn.IFS(C56&lt;5.7,"Normal",AND(C56&gt;=5.7,C56&lt;=6.49),"Prediabetes",C56&gt;=6.5,"Diabetes")</f>
        <v>Diabetes</v>
      </c>
    </row>
    <row r="57" spans="1:10" x14ac:dyDescent="0.3">
      <c r="A57" t="s">
        <v>2317</v>
      </c>
      <c r="B57" s="8">
        <v>36.630000000000003</v>
      </c>
      <c r="C57">
        <v>7.72</v>
      </c>
      <c r="D57" t="s">
        <v>2381</v>
      </c>
      <c r="E57" t="s">
        <v>2379</v>
      </c>
      <c r="F57" t="s">
        <v>2379</v>
      </c>
      <c r="G57">
        <v>1</v>
      </c>
      <c r="H57" t="s">
        <v>2381</v>
      </c>
      <c r="I57" t="str" cm="1">
        <f t="array" ref="I57">_xlfn.IFS(B57&lt;18.5,"Underweight",AND(B57&gt;=18.5,B57&lt;=24.99),"Normalweight",AND(B57&gt;=25,B57&lt;=29.99),"Overweight",B57&gt;=30,"Obesity")</f>
        <v>Obesity</v>
      </c>
      <c r="J57" t="str" cm="1">
        <f t="array" ref="J57">_xlfn.IFS(C57&lt;5.7,"Normal",AND(C57&gt;=5.7,C57&lt;=6.49),"Prediabetes",C57&gt;=6.5,"Diabetes")</f>
        <v>Diabetes</v>
      </c>
    </row>
    <row r="58" spans="1:10" x14ac:dyDescent="0.3">
      <c r="A58" t="s">
        <v>2316</v>
      </c>
      <c r="B58" s="8">
        <v>34.200000000000003</v>
      </c>
      <c r="C58">
        <v>5.75</v>
      </c>
      <c r="D58" t="s">
        <v>2379</v>
      </c>
      <c r="E58" t="s">
        <v>2379</v>
      </c>
      <c r="F58" t="s">
        <v>2379</v>
      </c>
      <c r="G58">
        <v>2</v>
      </c>
      <c r="H58" t="s">
        <v>2381</v>
      </c>
      <c r="I58" t="str" cm="1">
        <f t="array" ref="I58">_xlfn.IFS(B58&lt;18.5,"Underweight",AND(B58&gt;=18.5,B58&lt;=24.99),"Normalweight",AND(B58&gt;=25,B58&lt;=29.99),"Overweight",B58&gt;=30,"Obesity")</f>
        <v>Obesity</v>
      </c>
      <c r="J58" t="str" cm="1">
        <f t="array" ref="J58">_xlfn.IFS(C58&lt;5.7,"Normal",AND(C58&gt;=5.7,C58&lt;=6.49),"Prediabetes",C58&gt;=6.5,"Diabetes")</f>
        <v>Prediabetes</v>
      </c>
    </row>
    <row r="59" spans="1:10" x14ac:dyDescent="0.3">
      <c r="A59" t="s">
        <v>2315</v>
      </c>
      <c r="B59" s="8">
        <v>50.63</v>
      </c>
      <c r="C59">
        <v>11.89</v>
      </c>
      <c r="D59" t="s">
        <v>2379</v>
      </c>
      <c r="E59" t="s">
        <v>2379</v>
      </c>
      <c r="F59" t="s">
        <v>2379</v>
      </c>
      <c r="G59">
        <v>0</v>
      </c>
      <c r="H59" t="s">
        <v>2381</v>
      </c>
      <c r="I59" t="str" cm="1">
        <f t="array" ref="I59">_xlfn.IFS(B59&lt;18.5,"Underweight",AND(B59&gt;=18.5,B59&lt;=24.99),"Normalweight",AND(B59&gt;=25,B59&lt;=29.99),"Overweight",B59&gt;=30,"Obesity")</f>
        <v>Obesity</v>
      </c>
      <c r="J59" t="str" cm="1">
        <f t="array" ref="J59">_xlfn.IFS(C59&lt;5.7,"Normal",AND(C59&gt;=5.7,C59&lt;=6.49),"Prediabetes",C59&gt;=6.5,"Diabetes")</f>
        <v>Diabetes</v>
      </c>
    </row>
    <row r="60" spans="1:10" x14ac:dyDescent="0.3">
      <c r="A60" t="s">
        <v>2314</v>
      </c>
      <c r="B60" s="8">
        <v>36.479999999999997</v>
      </c>
      <c r="C60">
        <v>6.2</v>
      </c>
      <c r="D60" t="s">
        <v>2379</v>
      </c>
      <c r="E60" t="s">
        <v>2379</v>
      </c>
      <c r="F60" t="s">
        <v>2379</v>
      </c>
      <c r="G60">
        <v>0</v>
      </c>
      <c r="H60" t="s">
        <v>2381</v>
      </c>
      <c r="I60" t="str" cm="1">
        <f t="array" ref="I60">_xlfn.IFS(B60&lt;18.5,"Underweight",AND(B60&gt;=18.5,B60&lt;=24.99),"Normalweight",AND(B60&gt;=25,B60&lt;=29.99),"Overweight",B60&gt;=30,"Obesity")</f>
        <v>Obesity</v>
      </c>
      <c r="J60" t="str" cm="1">
        <f t="array" ref="J60">_xlfn.IFS(C60&lt;5.7,"Normal",AND(C60&gt;=5.7,C60&lt;=6.49),"Prediabetes",C60&gt;=6.5,"Diabetes")</f>
        <v>Prediabetes</v>
      </c>
    </row>
    <row r="61" spans="1:10" x14ac:dyDescent="0.3">
      <c r="A61" t="s">
        <v>2313</v>
      </c>
      <c r="B61" s="8">
        <v>54.82</v>
      </c>
      <c r="C61">
        <v>10.61</v>
      </c>
      <c r="D61" t="s">
        <v>2379</v>
      </c>
      <c r="E61" t="s">
        <v>2379</v>
      </c>
      <c r="F61" t="s">
        <v>2379</v>
      </c>
      <c r="G61">
        <v>0</v>
      </c>
      <c r="H61" t="s">
        <v>2381</v>
      </c>
      <c r="I61" t="str" cm="1">
        <f t="array" ref="I61">_xlfn.IFS(B61&lt;18.5,"Underweight",AND(B61&gt;=18.5,B61&lt;=24.99),"Normalweight",AND(B61&gt;=25,B61&lt;=29.99),"Overweight",B61&gt;=30,"Obesity")</f>
        <v>Obesity</v>
      </c>
      <c r="J61" t="str" cm="1">
        <f t="array" ref="J61">_xlfn.IFS(C61&lt;5.7,"Normal",AND(C61&gt;=5.7,C61&lt;=6.49),"Prediabetes",C61&gt;=6.5,"Diabetes")</f>
        <v>Diabetes</v>
      </c>
    </row>
    <row r="62" spans="1:10" x14ac:dyDescent="0.3">
      <c r="A62" t="s">
        <v>2312</v>
      </c>
      <c r="B62" s="8">
        <v>38.06</v>
      </c>
      <c r="C62">
        <v>6.04</v>
      </c>
      <c r="D62" t="s">
        <v>2379</v>
      </c>
      <c r="E62" t="s">
        <v>2379</v>
      </c>
      <c r="F62" t="s">
        <v>2381</v>
      </c>
      <c r="G62">
        <v>1</v>
      </c>
      <c r="H62" t="s">
        <v>2381</v>
      </c>
      <c r="I62" t="str" cm="1">
        <f t="array" ref="I62">_xlfn.IFS(B62&lt;18.5,"Underweight",AND(B62&gt;=18.5,B62&lt;=24.99),"Normalweight",AND(B62&gt;=25,B62&lt;=29.99),"Overweight",B62&gt;=30,"Obesity")</f>
        <v>Obesity</v>
      </c>
      <c r="J62" t="str" cm="1">
        <f t="array" ref="J62">_xlfn.IFS(C62&lt;5.7,"Normal",AND(C62&gt;=5.7,C62&lt;=6.49),"Prediabetes",C62&gt;=6.5,"Diabetes")</f>
        <v>Prediabetes</v>
      </c>
    </row>
    <row r="63" spans="1:10" x14ac:dyDescent="0.3">
      <c r="A63" t="s">
        <v>2311</v>
      </c>
      <c r="B63" s="8">
        <v>51.48</v>
      </c>
      <c r="C63">
        <v>9.33</v>
      </c>
      <c r="D63" t="s">
        <v>2381</v>
      </c>
      <c r="E63" t="s">
        <v>2379</v>
      </c>
      <c r="F63" t="s">
        <v>2379</v>
      </c>
      <c r="G63">
        <v>0</v>
      </c>
      <c r="H63" t="s">
        <v>2381</v>
      </c>
      <c r="I63" t="str" cm="1">
        <f t="array" ref="I63">_xlfn.IFS(B63&lt;18.5,"Underweight",AND(B63&gt;=18.5,B63&lt;=24.99),"Normalweight",AND(B63&gt;=25,B63&lt;=29.99),"Overweight",B63&gt;=30,"Obesity")</f>
        <v>Obesity</v>
      </c>
      <c r="J63" t="str" cm="1">
        <f t="array" ref="J63">_xlfn.IFS(C63&lt;5.7,"Normal",AND(C63&gt;=5.7,C63&lt;=6.49),"Prediabetes",C63&gt;=6.5,"Diabetes")</f>
        <v>Diabetes</v>
      </c>
    </row>
    <row r="64" spans="1:10" x14ac:dyDescent="0.3">
      <c r="A64" t="s">
        <v>2310</v>
      </c>
      <c r="B64" s="8">
        <v>52.06</v>
      </c>
      <c r="C64">
        <v>11.47</v>
      </c>
      <c r="D64" t="s">
        <v>2379</v>
      </c>
      <c r="E64" t="s">
        <v>2379</v>
      </c>
      <c r="F64" t="s">
        <v>2379</v>
      </c>
      <c r="G64">
        <v>0</v>
      </c>
      <c r="H64" t="s">
        <v>2381</v>
      </c>
      <c r="I64" t="str" cm="1">
        <f t="array" ref="I64">_xlfn.IFS(B64&lt;18.5,"Underweight",AND(B64&gt;=18.5,B64&lt;=24.99),"Normalweight",AND(B64&gt;=25,B64&lt;=29.99),"Overweight",B64&gt;=30,"Obesity")</f>
        <v>Obesity</v>
      </c>
      <c r="J64" t="str" cm="1">
        <f t="array" ref="J64">_xlfn.IFS(C64&lt;5.7,"Normal",AND(C64&gt;=5.7,C64&lt;=6.49),"Prediabetes",C64&gt;=6.5,"Diabetes")</f>
        <v>Diabetes</v>
      </c>
    </row>
    <row r="65" spans="1:10" x14ac:dyDescent="0.3">
      <c r="A65" t="s">
        <v>2309</v>
      </c>
      <c r="B65" s="8">
        <v>30.684999999999999</v>
      </c>
      <c r="C65">
        <v>7.02</v>
      </c>
      <c r="D65" t="s">
        <v>2381</v>
      </c>
      <c r="E65" t="s">
        <v>2379</v>
      </c>
      <c r="F65" t="s">
        <v>2379</v>
      </c>
      <c r="G65">
        <v>0</v>
      </c>
      <c r="H65" t="s">
        <v>2381</v>
      </c>
      <c r="I65" t="str" cm="1">
        <f t="array" ref="I65">_xlfn.IFS(B65&lt;18.5,"Underweight",AND(B65&gt;=18.5,B65&lt;=24.99),"Normalweight",AND(B65&gt;=25,B65&lt;=29.99),"Overweight",B65&gt;=30,"Obesity")</f>
        <v>Obesity</v>
      </c>
      <c r="J65" t="str" cm="1">
        <f t="array" ref="J65">_xlfn.IFS(C65&lt;5.7,"Normal",AND(C65&gt;=5.7,C65&lt;=6.49),"Prediabetes",C65&gt;=6.5,"Diabetes")</f>
        <v>Diabetes</v>
      </c>
    </row>
    <row r="66" spans="1:10" x14ac:dyDescent="0.3">
      <c r="A66" t="s">
        <v>2308</v>
      </c>
      <c r="B66" s="8">
        <v>36.08</v>
      </c>
      <c r="C66">
        <v>8.8000000000000007</v>
      </c>
      <c r="D66" t="s">
        <v>2381</v>
      </c>
      <c r="E66" t="s">
        <v>2379</v>
      </c>
      <c r="F66" t="s">
        <v>2379</v>
      </c>
      <c r="G66">
        <v>1</v>
      </c>
      <c r="H66" t="s">
        <v>2381</v>
      </c>
      <c r="I66" t="str" cm="1">
        <f t="array" ref="I66">_xlfn.IFS(B66&lt;18.5,"Underweight",AND(B66&gt;=18.5,B66&lt;=24.99),"Normalweight",AND(B66&gt;=25,B66&lt;=29.99),"Overweight",B66&gt;=30,"Obesity")</f>
        <v>Obesity</v>
      </c>
      <c r="J66" t="str" cm="1">
        <f t="array" ref="J66">_xlfn.IFS(C66&lt;5.7,"Normal",AND(C66&gt;=5.7,C66&lt;=6.49),"Prediabetes",C66&gt;=6.5,"Diabetes")</f>
        <v>Diabetes</v>
      </c>
    </row>
    <row r="67" spans="1:10" x14ac:dyDescent="0.3">
      <c r="A67" t="s">
        <v>2307</v>
      </c>
      <c r="B67" s="8">
        <v>54.99</v>
      </c>
      <c r="C67">
        <v>8.68</v>
      </c>
      <c r="D67" t="s">
        <v>2379</v>
      </c>
      <c r="E67" t="s">
        <v>2379</v>
      </c>
      <c r="F67" t="s">
        <v>2379</v>
      </c>
      <c r="G67">
        <v>2</v>
      </c>
      <c r="H67" t="s">
        <v>2381</v>
      </c>
      <c r="I67" t="str" cm="1">
        <f t="array" ref="I67">_xlfn.IFS(B67&lt;18.5,"Underweight",AND(B67&gt;=18.5,B67&lt;=24.99),"Normalweight",AND(B67&gt;=25,B67&lt;=29.99),"Overweight",B67&gt;=30,"Obesity")</f>
        <v>Obesity</v>
      </c>
      <c r="J67" t="str" cm="1">
        <f t="array" ref="J67">_xlfn.IFS(C67&lt;5.7,"Normal",AND(C67&gt;=5.7,C67&lt;=6.49),"Prediabetes",C67&gt;=6.5,"Diabetes")</f>
        <v>Diabetes</v>
      </c>
    </row>
    <row r="68" spans="1:10" x14ac:dyDescent="0.3">
      <c r="A68" t="s">
        <v>2306</v>
      </c>
      <c r="B68" s="8">
        <v>35.97</v>
      </c>
      <c r="C68">
        <v>6.12</v>
      </c>
      <c r="D68" t="s">
        <v>2379</v>
      </c>
      <c r="E68" t="s">
        <v>2379</v>
      </c>
      <c r="F68" t="s">
        <v>2381</v>
      </c>
      <c r="G68">
        <v>1</v>
      </c>
      <c r="H68" t="s">
        <v>2381</v>
      </c>
      <c r="I68" t="str" cm="1">
        <f t="array" ref="I68">_xlfn.IFS(B68&lt;18.5,"Underweight",AND(B68&gt;=18.5,B68&lt;=24.99),"Normalweight",AND(B68&gt;=25,B68&lt;=29.99),"Overweight",B68&gt;=30,"Obesity")</f>
        <v>Obesity</v>
      </c>
      <c r="J68" t="str" cm="1">
        <f t="array" ref="J68">_xlfn.IFS(C68&lt;5.7,"Normal",AND(C68&gt;=5.7,C68&lt;=6.49),"Prediabetes",C68&gt;=6.5,"Diabetes")</f>
        <v>Prediabetes</v>
      </c>
    </row>
    <row r="69" spans="1:10" x14ac:dyDescent="0.3">
      <c r="A69" t="s">
        <v>2305</v>
      </c>
      <c r="B69" s="8">
        <v>45.54</v>
      </c>
      <c r="C69">
        <v>5.4</v>
      </c>
      <c r="D69" t="s">
        <v>2381</v>
      </c>
      <c r="E69" t="s">
        <v>2379</v>
      </c>
      <c r="F69" t="s">
        <v>2381</v>
      </c>
      <c r="G69">
        <v>1</v>
      </c>
      <c r="H69" t="s">
        <v>2381</v>
      </c>
      <c r="I69" t="str" cm="1">
        <f t="array" ref="I69">_xlfn.IFS(B69&lt;18.5,"Underweight",AND(B69&gt;=18.5,B69&lt;=24.99),"Normalweight",AND(B69&gt;=25,B69&lt;=29.99),"Overweight",B69&gt;=30,"Obesity")</f>
        <v>Obesity</v>
      </c>
      <c r="J69" t="str" cm="1">
        <f t="array" ref="J69">_xlfn.IFS(C69&lt;5.7,"Normal",AND(C69&gt;=5.7,C69&lt;=6.49),"Prediabetes",C69&gt;=6.5,"Diabetes")</f>
        <v>Normal</v>
      </c>
    </row>
    <row r="70" spans="1:10" x14ac:dyDescent="0.3">
      <c r="A70" t="s">
        <v>2304</v>
      </c>
      <c r="B70" s="8">
        <v>35.53</v>
      </c>
      <c r="C70">
        <v>4.3600000000000003</v>
      </c>
      <c r="D70" t="s">
        <v>2381</v>
      </c>
      <c r="E70" t="s">
        <v>2379</v>
      </c>
      <c r="F70" t="s">
        <v>2379</v>
      </c>
      <c r="G70">
        <v>0</v>
      </c>
      <c r="H70" t="s">
        <v>2381</v>
      </c>
      <c r="I70" t="str" cm="1">
        <f t="array" ref="I70">_xlfn.IFS(B70&lt;18.5,"Underweight",AND(B70&gt;=18.5,B70&lt;=24.99),"Normalweight",AND(B70&gt;=25,B70&lt;=29.99),"Overweight",B70&gt;=30,"Obesity")</f>
        <v>Obesity</v>
      </c>
      <c r="J70" t="str" cm="1">
        <f t="array" ref="J70">_xlfn.IFS(C70&lt;5.7,"Normal",AND(C70&gt;=5.7,C70&lt;=6.49),"Prediabetes",C70&gt;=6.5,"Diabetes")</f>
        <v>Normal</v>
      </c>
    </row>
    <row r="71" spans="1:10" x14ac:dyDescent="0.3">
      <c r="A71" t="s">
        <v>2303</v>
      </c>
      <c r="B71" s="8">
        <v>30.8</v>
      </c>
      <c r="C71">
        <v>9.77</v>
      </c>
      <c r="D71" t="s">
        <v>2379</v>
      </c>
      <c r="E71" t="s">
        <v>2379</v>
      </c>
      <c r="F71" t="s">
        <v>2379</v>
      </c>
      <c r="G71">
        <v>0</v>
      </c>
      <c r="H71" t="s">
        <v>2381</v>
      </c>
      <c r="I71" t="str" cm="1">
        <f t="array" ref="I71">_xlfn.IFS(B71&lt;18.5,"Underweight",AND(B71&gt;=18.5,B71&lt;=24.99),"Normalweight",AND(B71&gt;=25,B71&lt;=29.99),"Overweight",B71&gt;=30,"Obesity")</f>
        <v>Obesity</v>
      </c>
      <c r="J71" t="str" cm="1">
        <f t="array" ref="J71">_xlfn.IFS(C71&lt;5.7,"Normal",AND(C71&gt;=5.7,C71&lt;=6.49),"Prediabetes",C71&gt;=6.5,"Diabetes")</f>
        <v>Diabetes</v>
      </c>
    </row>
    <row r="72" spans="1:10" x14ac:dyDescent="0.3">
      <c r="A72" t="s">
        <v>2302</v>
      </c>
      <c r="B72" s="8">
        <v>38.39</v>
      </c>
      <c r="C72">
        <v>4.25</v>
      </c>
      <c r="D72" t="s">
        <v>2379</v>
      </c>
      <c r="E72" t="s">
        <v>2379</v>
      </c>
      <c r="F72" t="s">
        <v>2379</v>
      </c>
      <c r="G72">
        <v>1</v>
      </c>
      <c r="H72" t="s">
        <v>2381</v>
      </c>
      <c r="I72" t="str" cm="1">
        <f t="array" ref="I72">_xlfn.IFS(B72&lt;18.5,"Underweight",AND(B72&gt;=18.5,B72&lt;=24.99),"Normalweight",AND(B72&gt;=25,B72&lt;=29.99),"Overweight",B72&gt;=30,"Obesity")</f>
        <v>Obesity</v>
      </c>
      <c r="J72" t="str" cm="1">
        <f t="array" ref="J72">_xlfn.IFS(C72&lt;5.7,"Normal",AND(C72&gt;=5.7,C72&lt;=6.49),"Prediabetes",C72&gt;=6.5,"Diabetes")</f>
        <v>Normal</v>
      </c>
    </row>
    <row r="73" spans="1:10" x14ac:dyDescent="0.3">
      <c r="A73" t="s">
        <v>2301</v>
      </c>
      <c r="B73" s="8">
        <v>32.299999999999997</v>
      </c>
      <c r="C73">
        <v>4.76</v>
      </c>
      <c r="D73" t="s">
        <v>2379</v>
      </c>
      <c r="E73" t="s">
        <v>2379</v>
      </c>
      <c r="F73" t="s">
        <v>2379</v>
      </c>
      <c r="G73">
        <v>2</v>
      </c>
      <c r="H73" t="s">
        <v>2381</v>
      </c>
      <c r="I73" t="str" cm="1">
        <f t="array" ref="I73">_xlfn.IFS(B73&lt;18.5,"Underweight",AND(B73&gt;=18.5,B73&lt;=24.99),"Normalweight",AND(B73&gt;=25,B73&lt;=29.99),"Overweight",B73&gt;=30,"Obesity")</f>
        <v>Obesity</v>
      </c>
      <c r="J73" t="str" cm="1">
        <f t="array" ref="J73">_xlfn.IFS(C73&lt;5.7,"Normal",AND(C73&gt;=5.7,C73&lt;=6.49),"Prediabetes",C73&gt;=6.5,"Diabetes")</f>
        <v>Normal</v>
      </c>
    </row>
    <row r="74" spans="1:10" x14ac:dyDescent="0.3">
      <c r="A74" t="s">
        <v>2300</v>
      </c>
      <c r="B74" s="8">
        <v>48.8</v>
      </c>
      <c r="C74">
        <v>6.22</v>
      </c>
      <c r="D74" t="s">
        <v>2381</v>
      </c>
      <c r="E74" t="s">
        <v>2379</v>
      </c>
      <c r="F74" t="s">
        <v>2379</v>
      </c>
      <c r="G74">
        <v>2</v>
      </c>
      <c r="H74" t="s">
        <v>2381</v>
      </c>
      <c r="I74" t="str" cm="1">
        <f t="array" ref="I74">_xlfn.IFS(B74&lt;18.5,"Underweight",AND(B74&gt;=18.5,B74&lt;=24.99),"Normalweight",AND(B74&gt;=25,B74&lt;=29.99),"Overweight",B74&gt;=30,"Obesity")</f>
        <v>Obesity</v>
      </c>
      <c r="J74" t="str" cm="1">
        <f t="array" ref="J74">_xlfn.IFS(C74&lt;5.7,"Normal",AND(C74&gt;=5.7,C74&lt;=6.49),"Prediabetes",C74&gt;=6.5,"Diabetes")</f>
        <v>Prediabetes</v>
      </c>
    </row>
    <row r="75" spans="1:10" x14ac:dyDescent="0.3">
      <c r="A75" t="s">
        <v>2299</v>
      </c>
      <c r="B75" s="8">
        <v>45.5</v>
      </c>
      <c r="C75">
        <v>7.96</v>
      </c>
      <c r="D75" t="s">
        <v>2379</v>
      </c>
      <c r="E75" t="s">
        <v>2379</v>
      </c>
      <c r="F75" t="s">
        <v>2379</v>
      </c>
      <c r="G75">
        <v>0</v>
      </c>
      <c r="H75" t="s">
        <v>2381</v>
      </c>
      <c r="I75" t="str" cm="1">
        <f t="array" ref="I75">_xlfn.IFS(B75&lt;18.5,"Underweight",AND(B75&gt;=18.5,B75&lt;=24.99),"Normalweight",AND(B75&gt;=25,B75&lt;=29.99),"Overweight",B75&gt;=30,"Obesity")</f>
        <v>Obesity</v>
      </c>
      <c r="J75" t="str" cm="1">
        <f t="array" ref="J75">_xlfn.IFS(C75&lt;5.7,"Normal",AND(C75&gt;=5.7,C75&lt;=6.49),"Prediabetes",C75&gt;=6.5,"Diabetes")</f>
        <v>Diabetes</v>
      </c>
    </row>
    <row r="76" spans="1:10" x14ac:dyDescent="0.3">
      <c r="A76" t="s">
        <v>2298</v>
      </c>
      <c r="B76" s="8">
        <v>53.61</v>
      </c>
      <c r="C76">
        <v>10.92</v>
      </c>
      <c r="D76" t="s">
        <v>2381</v>
      </c>
      <c r="E76" t="s">
        <v>2379</v>
      </c>
      <c r="F76" t="s">
        <v>2379</v>
      </c>
      <c r="G76">
        <v>1</v>
      </c>
      <c r="H76" t="s">
        <v>2381</v>
      </c>
      <c r="I76" t="str" cm="1">
        <f t="array" ref="I76">_xlfn.IFS(B76&lt;18.5,"Underweight",AND(B76&gt;=18.5,B76&lt;=24.99),"Normalweight",AND(B76&gt;=25,B76&lt;=29.99),"Overweight",B76&gt;=30,"Obesity")</f>
        <v>Obesity</v>
      </c>
      <c r="J76" t="str" cm="1">
        <f t="array" ref="J76">_xlfn.IFS(C76&lt;5.7,"Normal",AND(C76&gt;=5.7,C76&lt;=6.49),"Prediabetes",C76&gt;=6.5,"Diabetes")</f>
        <v>Diabetes</v>
      </c>
    </row>
    <row r="77" spans="1:10" x14ac:dyDescent="0.3">
      <c r="A77" t="s">
        <v>2297</v>
      </c>
      <c r="B77" s="8">
        <v>36.19</v>
      </c>
      <c r="C77">
        <v>11.51</v>
      </c>
      <c r="D77" t="s">
        <v>2381</v>
      </c>
      <c r="E77" t="s">
        <v>2379</v>
      </c>
      <c r="F77" t="s">
        <v>2379</v>
      </c>
      <c r="G77">
        <v>1</v>
      </c>
      <c r="H77" t="s">
        <v>2381</v>
      </c>
      <c r="I77" t="str" cm="1">
        <f t="array" ref="I77">_xlfn.IFS(B77&lt;18.5,"Underweight",AND(B77&gt;=18.5,B77&lt;=24.99),"Normalweight",AND(B77&gt;=25,B77&lt;=29.99),"Overweight",B77&gt;=30,"Obesity")</f>
        <v>Obesity</v>
      </c>
      <c r="J77" t="str" cm="1">
        <f t="array" ref="J77">_xlfn.IFS(C77&lt;5.7,"Normal",AND(C77&gt;=5.7,C77&lt;=6.49),"Prediabetes",C77&gt;=6.5,"Diabetes")</f>
        <v>Diabetes</v>
      </c>
    </row>
    <row r="78" spans="1:10" x14ac:dyDescent="0.3">
      <c r="A78" t="s">
        <v>2296</v>
      </c>
      <c r="B78" s="8">
        <v>34.6</v>
      </c>
      <c r="C78">
        <v>5.99</v>
      </c>
      <c r="D78" t="s">
        <v>2381</v>
      </c>
      <c r="E78" t="s">
        <v>2379</v>
      </c>
      <c r="F78" t="s">
        <v>2379</v>
      </c>
      <c r="G78">
        <v>0</v>
      </c>
      <c r="H78" t="s">
        <v>2381</v>
      </c>
      <c r="I78" t="str" cm="1">
        <f t="array" ref="I78">_xlfn.IFS(B78&lt;18.5,"Underweight",AND(B78&gt;=18.5,B78&lt;=24.99),"Normalweight",AND(B78&gt;=25,B78&lt;=29.99),"Overweight",B78&gt;=30,"Obesity")</f>
        <v>Obesity</v>
      </c>
      <c r="J78" t="str" cm="1">
        <f t="array" ref="J78">_xlfn.IFS(C78&lt;5.7,"Normal",AND(C78&gt;=5.7,C78&lt;=6.49),"Prediabetes",C78&gt;=6.5,"Diabetes")</f>
        <v>Prediabetes</v>
      </c>
    </row>
    <row r="79" spans="1:10" x14ac:dyDescent="0.3">
      <c r="A79" t="s">
        <v>2295</v>
      </c>
      <c r="B79" s="8">
        <v>54.12</v>
      </c>
      <c r="C79">
        <v>11.57</v>
      </c>
      <c r="D79" t="s">
        <v>2379</v>
      </c>
      <c r="E79" t="s">
        <v>2379</v>
      </c>
      <c r="F79" t="s">
        <v>2379</v>
      </c>
      <c r="G79">
        <v>0</v>
      </c>
      <c r="H79" t="s">
        <v>2381</v>
      </c>
      <c r="I79" t="str" cm="1">
        <f t="array" ref="I79">_xlfn.IFS(B79&lt;18.5,"Underweight",AND(B79&gt;=18.5,B79&lt;=24.99),"Normalweight",AND(B79&gt;=25,B79&lt;=29.99),"Overweight",B79&gt;=30,"Obesity")</f>
        <v>Obesity</v>
      </c>
      <c r="J79" t="str" cm="1">
        <f t="array" ref="J79">_xlfn.IFS(C79&lt;5.7,"Normal",AND(C79&gt;=5.7,C79&lt;=6.49),"Prediabetes",C79&gt;=6.5,"Diabetes")</f>
        <v>Diabetes</v>
      </c>
    </row>
    <row r="80" spans="1:10" x14ac:dyDescent="0.3">
      <c r="A80" t="s">
        <v>2294</v>
      </c>
      <c r="B80" s="8">
        <v>48.82</v>
      </c>
      <c r="C80">
        <v>6.67</v>
      </c>
      <c r="D80" t="s">
        <v>2381</v>
      </c>
      <c r="E80" t="s">
        <v>2379</v>
      </c>
      <c r="F80" t="s">
        <v>2379</v>
      </c>
      <c r="G80">
        <v>0</v>
      </c>
      <c r="H80" t="s">
        <v>2381</v>
      </c>
      <c r="I80" t="str" cm="1">
        <f t="array" ref="I80">_xlfn.IFS(B80&lt;18.5,"Underweight",AND(B80&gt;=18.5,B80&lt;=24.99),"Normalweight",AND(B80&gt;=25,B80&lt;=29.99),"Overweight",B80&gt;=30,"Obesity")</f>
        <v>Obesity</v>
      </c>
      <c r="J80" t="str" cm="1">
        <f t="array" ref="J80">_xlfn.IFS(C80&lt;5.7,"Normal",AND(C80&gt;=5.7,C80&lt;=6.49),"Prediabetes",C80&gt;=6.5,"Diabetes")</f>
        <v>Diabetes</v>
      </c>
    </row>
    <row r="81" spans="1:10" x14ac:dyDescent="0.3">
      <c r="A81" t="s">
        <v>2293</v>
      </c>
      <c r="B81" s="8">
        <v>51.01</v>
      </c>
      <c r="C81">
        <v>9.1999999999999993</v>
      </c>
      <c r="D81" t="s">
        <v>2379</v>
      </c>
      <c r="E81" t="s">
        <v>2379</v>
      </c>
      <c r="F81" t="s">
        <v>2379</v>
      </c>
      <c r="G81">
        <v>0</v>
      </c>
      <c r="H81" t="s">
        <v>2381</v>
      </c>
      <c r="I81" t="str" cm="1">
        <f t="array" ref="I81">_xlfn.IFS(B81&lt;18.5,"Underweight",AND(B81&gt;=18.5,B81&lt;=24.99),"Normalweight",AND(B81&gt;=25,B81&lt;=29.99),"Overweight",B81&gt;=30,"Obesity")</f>
        <v>Obesity</v>
      </c>
      <c r="J81" t="str" cm="1">
        <f t="array" ref="J81">_xlfn.IFS(C81&lt;5.7,"Normal",AND(C81&gt;=5.7,C81&lt;=6.49),"Prediabetes",C81&gt;=6.5,"Diabetes")</f>
        <v>Diabetes</v>
      </c>
    </row>
    <row r="82" spans="1:10" x14ac:dyDescent="0.3">
      <c r="A82" t="s">
        <v>2292</v>
      </c>
      <c r="B82" s="8">
        <v>45.65</v>
      </c>
      <c r="C82">
        <v>5.1100000000000003</v>
      </c>
      <c r="D82" t="s">
        <v>2381</v>
      </c>
      <c r="E82" t="s">
        <v>2379</v>
      </c>
      <c r="F82" t="s">
        <v>2379</v>
      </c>
      <c r="G82">
        <v>1</v>
      </c>
      <c r="H82" t="s">
        <v>2381</v>
      </c>
      <c r="I82" t="str" cm="1">
        <f t="array" ref="I82">_xlfn.IFS(B82&lt;18.5,"Underweight",AND(B82&gt;=18.5,B82&lt;=24.99),"Normalweight",AND(B82&gt;=25,B82&lt;=29.99),"Overweight",B82&gt;=30,"Obesity")</f>
        <v>Obesity</v>
      </c>
      <c r="J82" t="str" cm="1">
        <f t="array" ref="J82">_xlfn.IFS(C82&lt;5.7,"Normal",AND(C82&gt;=5.7,C82&lt;=6.49),"Prediabetes",C82&gt;=6.5,"Diabetes")</f>
        <v>Normal</v>
      </c>
    </row>
    <row r="83" spans="1:10" x14ac:dyDescent="0.3">
      <c r="A83" t="s">
        <v>2291</v>
      </c>
      <c r="B83" s="8">
        <v>52.9</v>
      </c>
      <c r="C83">
        <v>5.34</v>
      </c>
      <c r="D83" t="s">
        <v>2379</v>
      </c>
      <c r="E83" t="s">
        <v>2379</v>
      </c>
      <c r="F83" t="s">
        <v>2379</v>
      </c>
      <c r="G83">
        <v>0</v>
      </c>
      <c r="H83" t="s">
        <v>2381</v>
      </c>
      <c r="I83" t="str" cm="1">
        <f t="array" ref="I83">_xlfn.IFS(B83&lt;18.5,"Underweight",AND(B83&gt;=18.5,B83&lt;=24.99),"Normalweight",AND(B83&gt;=25,B83&lt;=29.99),"Overweight",B83&gt;=30,"Obesity")</f>
        <v>Obesity</v>
      </c>
      <c r="J83" t="str" cm="1">
        <f t="array" ref="J83">_xlfn.IFS(C83&lt;5.7,"Normal",AND(C83&gt;=5.7,C83&lt;=6.49),"Prediabetes",C83&gt;=6.5,"Diabetes")</f>
        <v>Normal</v>
      </c>
    </row>
    <row r="84" spans="1:10" x14ac:dyDescent="0.3">
      <c r="A84" t="s">
        <v>2290</v>
      </c>
      <c r="B84" s="8">
        <v>45.41</v>
      </c>
      <c r="C84">
        <v>4.03</v>
      </c>
      <c r="D84" t="s">
        <v>2381</v>
      </c>
      <c r="E84" t="s">
        <v>2379</v>
      </c>
      <c r="F84" t="s">
        <v>2379</v>
      </c>
      <c r="G84">
        <v>1</v>
      </c>
      <c r="H84" t="s">
        <v>2381</v>
      </c>
      <c r="I84" t="str" cm="1">
        <f t="array" ref="I84">_xlfn.IFS(B84&lt;18.5,"Underweight",AND(B84&gt;=18.5,B84&lt;=24.99),"Normalweight",AND(B84&gt;=25,B84&lt;=29.99),"Overweight",B84&gt;=30,"Obesity")</f>
        <v>Obesity</v>
      </c>
      <c r="J84" t="str" cm="1">
        <f t="array" ref="J84">_xlfn.IFS(C84&lt;5.7,"Normal",AND(C84&gt;=5.7,C84&lt;=6.49),"Prediabetes",C84&gt;=6.5,"Diabetes")</f>
        <v>Normal</v>
      </c>
    </row>
    <row r="85" spans="1:10" x14ac:dyDescent="0.3">
      <c r="A85" t="s">
        <v>2289</v>
      </c>
      <c r="B85" s="8">
        <v>49.41</v>
      </c>
      <c r="C85">
        <v>4.2300000000000004</v>
      </c>
      <c r="D85" t="s">
        <v>2381</v>
      </c>
      <c r="E85" t="s">
        <v>2379</v>
      </c>
      <c r="F85" t="s">
        <v>2381</v>
      </c>
      <c r="G85">
        <v>1</v>
      </c>
      <c r="H85" t="s">
        <v>2381</v>
      </c>
      <c r="I85" t="str" cm="1">
        <f t="array" ref="I85">_xlfn.IFS(B85&lt;18.5,"Underweight",AND(B85&gt;=18.5,B85&lt;=24.99),"Normalweight",AND(B85&gt;=25,B85&lt;=29.99),"Overweight",B85&gt;=30,"Obesity")</f>
        <v>Obesity</v>
      </c>
      <c r="J85" t="str" cm="1">
        <f t="array" ref="J85">_xlfn.IFS(C85&lt;5.7,"Normal",AND(C85&gt;=5.7,C85&lt;=6.49),"Prediabetes",C85&gt;=6.5,"Diabetes")</f>
        <v>Normal</v>
      </c>
    </row>
    <row r="86" spans="1:10" x14ac:dyDescent="0.3">
      <c r="A86" t="s">
        <v>2288</v>
      </c>
      <c r="B86" s="8">
        <v>31.824999999999999</v>
      </c>
      <c r="C86">
        <v>4.0599999999999996</v>
      </c>
      <c r="D86" t="s">
        <v>2379</v>
      </c>
      <c r="E86" t="s">
        <v>2379</v>
      </c>
      <c r="F86" t="s">
        <v>2379</v>
      </c>
      <c r="G86">
        <v>2</v>
      </c>
      <c r="H86" t="s">
        <v>2381</v>
      </c>
      <c r="I86" t="str" cm="1">
        <f t="array" ref="I86">_xlfn.IFS(B86&lt;18.5,"Underweight",AND(B86&gt;=18.5,B86&lt;=24.99),"Normalweight",AND(B86&gt;=25,B86&lt;=29.99),"Overweight",B86&gt;=30,"Obesity")</f>
        <v>Obesity</v>
      </c>
      <c r="J86" t="str" cm="1">
        <f t="array" ref="J86">_xlfn.IFS(C86&lt;5.7,"Normal",AND(C86&gt;=5.7,C86&lt;=6.49),"Prediabetes",C86&gt;=6.5,"Diabetes")</f>
        <v>Normal</v>
      </c>
    </row>
    <row r="87" spans="1:10" x14ac:dyDescent="0.3">
      <c r="A87" t="s">
        <v>2287</v>
      </c>
      <c r="B87" s="8">
        <v>51.28</v>
      </c>
      <c r="C87">
        <v>4.68</v>
      </c>
      <c r="D87" t="s">
        <v>2379</v>
      </c>
      <c r="E87" t="s">
        <v>2379</v>
      </c>
      <c r="F87" t="s">
        <v>2379</v>
      </c>
      <c r="G87">
        <v>2</v>
      </c>
      <c r="H87" t="s">
        <v>2381</v>
      </c>
      <c r="I87" t="str" cm="1">
        <f t="array" ref="I87">_xlfn.IFS(B87&lt;18.5,"Underweight",AND(B87&gt;=18.5,B87&lt;=24.99),"Normalweight",AND(B87&gt;=25,B87&lt;=29.99),"Overweight",B87&gt;=30,"Obesity")</f>
        <v>Obesity</v>
      </c>
      <c r="J87" t="str" cm="1">
        <f t="array" ref="J87">_xlfn.IFS(C87&lt;5.7,"Normal",AND(C87&gt;=5.7,C87&lt;=6.49),"Prediabetes",C87&gt;=6.5,"Diabetes")</f>
        <v>Normal</v>
      </c>
    </row>
    <row r="88" spans="1:10" x14ac:dyDescent="0.3">
      <c r="A88" t="s">
        <v>2286</v>
      </c>
      <c r="B88" s="8">
        <v>34.96</v>
      </c>
      <c r="C88">
        <v>4.34</v>
      </c>
      <c r="D88" t="s">
        <v>2379</v>
      </c>
      <c r="E88" t="s">
        <v>2379</v>
      </c>
      <c r="F88" t="s">
        <v>2381</v>
      </c>
      <c r="G88">
        <v>1</v>
      </c>
      <c r="H88" t="s">
        <v>2381</v>
      </c>
      <c r="I88" t="str" cm="1">
        <f t="array" ref="I88">_xlfn.IFS(B88&lt;18.5,"Underweight",AND(B88&gt;=18.5,B88&lt;=24.99),"Normalweight",AND(B88&gt;=25,B88&lt;=29.99),"Overweight",B88&gt;=30,"Obesity")</f>
        <v>Obesity</v>
      </c>
      <c r="J88" t="str" cm="1">
        <f t="array" ref="J88">_xlfn.IFS(C88&lt;5.7,"Normal",AND(C88&gt;=5.7,C88&lt;=6.49),"Prediabetes",C88&gt;=6.5,"Diabetes")</f>
        <v>Normal</v>
      </c>
    </row>
    <row r="89" spans="1:10" x14ac:dyDescent="0.3">
      <c r="A89" t="s">
        <v>2285</v>
      </c>
      <c r="B89" s="8">
        <v>33.11</v>
      </c>
      <c r="C89">
        <v>10.51</v>
      </c>
      <c r="D89" t="s">
        <v>2379</v>
      </c>
      <c r="E89" t="s">
        <v>2379</v>
      </c>
      <c r="F89" t="s">
        <v>2379</v>
      </c>
      <c r="G89">
        <v>0</v>
      </c>
      <c r="H89" t="s">
        <v>2381</v>
      </c>
      <c r="I89" t="str" cm="1">
        <f t="array" ref="I89">_xlfn.IFS(B89&lt;18.5,"Underweight",AND(B89&gt;=18.5,B89&lt;=24.99),"Normalweight",AND(B89&gt;=25,B89&lt;=29.99),"Overweight",B89&gt;=30,"Obesity")</f>
        <v>Obesity</v>
      </c>
      <c r="J89" t="str" cm="1">
        <f t="array" ref="J89">_xlfn.IFS(C89&lt;5.7,"Normal",AND(C89&gt;=5.7,C89&lt;=6.49),"Prediabetes",C89&gt;=6.5,"Diabetes")</f>
        <v>Diabetes</v>
      </c>
    </row>
    <row r="90" spans="1:10" x14ac:dyDescent="0.3">
      <c r="A90" t="s">
        <v>2284</v>
      </c>
      <c r="B90" s="8">
        <v>54.74</v>
      </c>
      <c r="C90">
        <v>5.84</v>
      </c>
      <c r="D90" t="s">
        <v>2381</v>
      </c>
      <c r="E90" t="s">
        <v>2379</v>
      </c>
      <c r="F90" t="s">
        <v>2381</v>
      </c>
      <c r="G90">
        <v>1</v>
      </c>
      <c r="H90" t="s">
        <v>2381</v>
      </c>
      <c r="I90" t="str" cm="1">
        <f t="array" ref="I90">_xlfn.IFS(B90&lt;18.5,"Underweight",AND(B90&gt;=18.5,B90&lt;=24.99),"Normalweight",AND(B90&gt;=25,B90&lt;=29.99),"Overweight",B90&gt;=30,"Obesity")</f>
        <v>Obesity</v>
      </c>
      <c r="J90" t="str" cm="1">
        <f t="array" ref="J90">_xlfn.IFS(C90&lt;5.7,"Normal",AND(C90&gt;=5.7,C90&lt;=6.49),"Prediabetes",C90&gt;=6.5,"Diabetes")</f>
        <v>Prediabetes</v>
      </c>
    </row>
    <row r="91" spans="1:10" x14ac:dyDescent="0.3">
      <c r="A91" t="s">
        <v>2283</v>
      </c>
      <c r="B91" s="8">
        <v>32.56</v>
      </c>
      <c r="C91">
        <v>5.41</v>
      </c>
      <c r="D91" t="s">
        <v>2379</v>
      </c>
      <c r="E91" t="s">
        <v>2379</v>
      </c>
      <c r="F91" t="s">
        <v>2381</v>
      </c>
      <c r="G91">
        <v>1</v>
      </c>
      <c r="H91" t="s">
        <v>2381</v>
      </c>
      <c r="I91" t="str" cm="1">
        <f t="array" ref="I91">_xlfn.IFS(B91&lt;18.5,"Underweight",AND(B91&gt;=18.5,B91&lt;=24.99),"Normalweight",AND(B91&gt;=25,B91&lt;=29.99),"Overweight",B91&gt;=30,"Obesity")</f>
        <v>Obesity</v>
      </c>
      <c r="J91" t="str" cm="1">
        <f t="array" ref="J91">_xlfn.IFS(C91&lt;5.7,"Normal",AND(C91&gt;=5.7,C91&lt;=6.49),"Prediabetes",C91&gt;=6.5,"Diabetes")</f>
        <v>Normal</v>
      </c>
    </row>
    <row r="92" spans="1:10" x14ac:dyDescent="0.3">
      <c r="A92" t="s">
        <v>2282</v>
      </c>
      <c r="B92" s="8">
        <v>39.049999999999997</v>
      </c>
      <c r="C92">
        <v>6.06</v>
      </c>
      <c r="D92" t="s">
        <v>2379</v>
      </c>
      <c r="E92" t="s">
        <v>2379</v>
      </c>
      <c r="F92" t="s">
        <v>2379</v>
      </c>
      <c r="G92">
        <v>1</v>
      </c>
      <c r="H92" t="s">
        <v>2381</v>
      </c>
      <c r="I92" t="str" cm="1">
        <f t="array" ref="I92">_xlfn.IFS(B92&lt;18.5,"Underweight",AND(B92&gt;=18.5,B92&lt;=24.99),"Normalweight",AND(B92&gt;=25,B92&lt;=29.99),"Overweight",B92&gt;=30,"Obesity")</f>
        <v>Obesity</v>
      </c>
      <c r="J92" t="str" cm="1">
        <f t="array" ref="J92">_xlfn.IFS(C92&lt;5.7,"Normal",AND(C92&gt;=5.7,C92&lt;=6.49),"Prediabetes",C92&gt;=6.5,"Diabetes")</f>
        <v>Prediabetes</v>
      </c>
    </row>
    <row r="93" spans="1:10" x14ac:dyDescent="0.3">
      <c r="A93" t="s">
        <v>2281</v>
      </c>
      <c r="B93" s="8">
        <v>42.75</v>
      </c>
      <c r="C93">
        <v>4.22</v>
      </c>
      <c r="D93" t="s">
        <v>2379</v>
      </c>
      <c r="E93" t="s">
        <v>2379</v>
      </c>
      <c r="F93" t="s">
        <v>2379</v>
      </c>
      <c r="G93">
        <v>0</v>
      </c>
      <c r="H93" t="s">
        <v>2381</v>
      </c>
      <c r="I93" t="str" cm="1">
        <f t="array" ref="I93">_xlfn.IFS(B93&lt;18.5,"Underweight",AND(B93&gt;=18.5,B93&lt;=24.99),"Normalweight",AND(B93&gt;=25,B93&lt;=29.99),"Overweight",B93&gt;=30,"Obesity")</f>
        <v>Obesity</v>
      </c>
      <c r="J93" t="str" cm="1">
        <f t="array" ref="J93">_xlfn.IFS(C93&lt;5.7,"Normal",AND(C93&gt;=5.7,C93&lt;=6.49),"Prediabetes",C93&gt;=6.5,"Diabetes")</f>
        <v>Normal</v>
      </c>
    </row>
    <row r="94" spans="1:10" x14ac:dyDescent="0.3">
      <c r="A94" t="s">
        <v>2280</v>
      </c>
      <c r="B94" s="8">
        <v>50.58</v>
      </c>
      <c r="C94">
        <v>5.12</v>
      </c>
      <c r="D94" t="s">
        <v>2379</v>
      </c>
      <c r="E94" t="s">
        <v>2379</v>
      </c>
      <c r="F94" t="s">
        <v>2379</v>
      </c>
      <c r="G94">
        <v>2</v>
      </c>
      <c r="H94" t="s">
        <v>2381</v>
      </c>
      <c r="I94" t="str" cm="1">
        <f t="array" ref="I94">_xlfn.IFS(B94&lt;18.5,"Underweight",AND(B94&gt;=18.5,B94&lt;=24.99),"Normalweight",AND(B94&gt;=25,B94&lt;=29.99),"Overweight",B94&gt;=30,"Obesity")</f>
        <v>Obesity</v>
      </c>
      <c r="J94" t="str" cm="1">
        <f t="array" ref="J94">_xlfn.IFS(C94&lt;5.7,"Normal",AND(C94&gt;=5.7,C94&lt;=6.49),"Prediabetes",C94&gt;=6.5,"Diabetes")</f>
        <v>Normal</v>
      </c>
    </row>
    <row r="95" spans="1:10" x14ac:dyDescent="0.3">
      <c r="A95" t="s">
        <v>2279</v>
      </c>
      <c r="B95" s="8">
        <v>30.495000000000001</v>
      </c>
      <c r="C95">
        <v>4.57</v>
      </c>
      <c r="D95" t="s">
        <v>2381</v>
      </c>
      <c r="E95" t="s">
        <v>2379</v>
      </c>
      <c r="F95" t="s">
        <v>2379</v>
      </c>
      <c r="G95">
        <v>0</v>
      </c>
      <c r="H95" t="s">
        <v>2381</v>
      </c>
      <c r="I95" t="str" cm="1">
        <f t="array" ref="I95">_xlfn.IFS(B95&lt;18.5,"Underweight",AND(B95&gt;=18.5,B95&lt;=24.99),"Normalweight",AND(B95&gt;=25,B95&lt;=29.99),"Overweight",B95&gt;=30,"Obesity")</f>
        <v>Obesity</v>
      </c>
      <c r="J95" t="str" cm="1">
        <f t="array" ref="J95">_xlfn.IFS(C95&lt;5.7,"Normal",AND(C95&gt;=5.7,C95&lt;=6.49),"Prediabetes",C95&gt;=6.5,"Diabetes")</f>
        <v>Normal</v>
      </c>
    </row>
    <row r="96" spans="1:10" x14ac:dyDescent="0.3">
      <c r="A96" t="s">
        <v>2278</v>
      </c>
      <c r="B96" s="8">
        <v>48.31</v>
      </c>
      <c r="C96">
        <v>9.58</v>
      </c>
      <c r="D96" t="s">
        <v>2381</v>
      </c>
      <c r="E96" t="s">
        <v>2379</v>
      </c>
      <c r="F96" t="s">
        <v>2379</v>
      </c>
      <c r="G96">
        <v>2</v>
      </c>
      <c r="H96" t="s">
        <v>2381</v>
      </c>
      <c r="I96" t="str" cm="1">
        <f t="array" ref="I96">_xlfn.IFS(B96&lt;18.5,"Underweight",AND(B96&gt;=18.5,B96&lt;=24.99),"Normalweight",AND(B96&gt;=25,B96&lt;=29.99),"Overweight",B96&gt;=30,"Obesity")</f>
        <v>Obesity</v>
      </c>
      <c r="J96" t="str" cm="1">
        <f t="array" ref="J96">_xlfn.IFS(C96&lt;5.7,"Normal",AND(C96&gt;=5.7,C96&lt;=6.49),"Prediabetes",C96&gt;=6.5,"Diabetes")</f>
        <v>Diabetes</v>
      </c>
    </row>
    <row r="97" spans="1:10" x14ac:dyDescent="0.3">
      <c r="A97" t="s">
        <v>2277</v>
      </c>
      <c r="B97" s="8">
        <v>48.99</v>
      </c>
      <c r="C97">
        <v>9.7799999999999994</v>
      </c>
      <c r="D97" t="s">
        <v>2381</v>
      </c>
      <c r="E97" t="s">
        <v>2379</v>
      </c>
      <c r="F97" t="s">
        <v>2379</v>
      </c>
      <c r="G97">
        <v>1</v>
      </c>
      <c r="H97" t="s">
        <v>2381</v>
      </c>
      <c r="I97" t="str" cm="1">
        <f t="array" ref="I97">_xlfn.IFS(B97&lt;18.5,"Underweight",AND(B97&gt;=18.5,B97&lt;=24.99),"Normalweight",AND(B97&gt;=25,B97&lt;=29.99),"Overweight",B97&gt;=30,"Obesity")</f>
        <v>Obesity</v>
      </c>
      <c r="J97" t="str" cm="1">
        <f t="array" ref="J97">_xlfn.IFS(C97&lt;5.7,"Normal",AND(C97&gt;=5.7,C97&lt;=6.49),"Prediabetes",C97&gt;=6.5,"Diabetes")</f>
        <v>Diabetes</v>
      </c>
    </row>
    <row r="98" spans="1:10" x14ac:dyDescent="0.3">
      <c r="A98" t="s">
        <v>2276</v>
      </c>
      <c r="B98" s="8">
        <v>38.39</v>
      </c>
      <c r="C98">
        <v>4.1100000000000003</v>
      </c>
      <c r="D98" t="s">
        <v>2381</v>
      </c>
      <c r="E98" t="s">
        <v>2379</v>
      </c>
      <c r="F98" t="s">
        <v>2379</v>
      </c>
      <c r="G98">
        <v>0</v>
      </c>
      <c r="H98" t="s">
        <v>2381</v>
      </c>
      <c r="I98" t="str" cm="1">
        <f t="array" ref="I98">_xlfn.IFS(B98&lt;18.5,"Underweight",AND(B98&gt;=18.5,B98&lt;=24.99),"Normalweight",AND(B98&gt;=25,B98&lt;=29.99),"Overweight",B98&gt;=30,"Obesity")</f>
        <v>Obesity</v>
      </c>
      <c r="J98" t="str" cm="1">
        <f t="array" ref="J98">_xlfn.IFS(C98&lt;5.7,"Normal",AND(C98&gt;=5.7,C98&lt;=6.49),"Prediabetes",C98&gt;=6.5,"Diabetes")</f>
        <v>Normal</v>
      </c>
    </row>
    <row r="99" spans="1:10" x14ac:dyDescent="0.3">
      <c r="A99" t="s">
        <v>2275</v>
      </c>
      <c r="B99" s="8">
        <v>44.34</v>
      </c>
      <c r="C99">
        <v>4.0199999999999996</v>
      </c>
      <c r="D99" t="s">
        <v>2381</v>
      </c>
      <c r="E99" t="s">
        <v>2379</v>
      </c>
      <c r="F99" t="s">
        <v>2379</v>
      </c>
      <c r="G99">
        <v>2</v>
      </c>
      <c r="H99" t="s">
        <v>2381</v>
      </c>
      <c r="I99" t="str" cm="1">
        <f t="array" ref="I99">_xlfn.IFS(B99&lt;18.5,"Underweight",AND(B99&gt;=18.5,B99&lt;=24.99),"Normalweight",AND(B99&gt;=25,B99&lt;=29.99),"Overweight",B99&gt;=30,"Obesity")</f>
        <v>Obesity</v>
      </c>
      <c r="J99" t="str" cm="1">
        <f t="array" ref="J99">_xlfn.IFS(C99&lt;5.7,"Normal",AND(C99&gt;=5.7,C99&lt;=6.49),"Prediabetes",C99&gt;=6.5,"Diabetes")</f>
        <v>Normal</v>
      </c>
    </row>
    <row r="100" spans="1:10" x14ac:dyDescent="0.3">
      <c r="A100" t="s">
        <v>2274</v>
      </c>
      <c r="B100" s="8">
        <v>41.51</v>
      </c>
      <c r="C100">
        <v>6.92</v>
      </c>
      <c r="D100" t="s">
        <v>2379</v>
      </c>
      <c r="E100" t="s">
        <v>2379</v>
      </c>
      <c r="F100" t="s">
        <v>2379</v>
      </c>
      <c r="G100">
        <v>0</v>
      </c>
      <c r="H100" t="s">
        <v>2381</v>
      </c>
      <c r="I100" t="str" cm="1">
        <f t="array" ref="I100">_xlfn.IFS(B100&lt;18.5,"Underweight",AND(B100&gt;=18.5,B100&lt;=24.99),"Normalweight",AND(B100&gt;=25,B100&lt;=29.99),"Overweight",B100&gt;=30,"Obesity")</f>
        <v>Obesity</v>
      </c>
      <c r="J100" t="str" cm="1">
        <f t="array" ref="J100">_xlfn.IFS(C100&lt;5.7,"Normal",AND(C100&gt;=5.7,C100&lt;=6.49),"Prediabetes",C100&gt;=6.5,"Diabetes")</f>
        <v>Diabetes</v>
      </c>
    </row>
    <row r="101" spans="1:10" x14ac:dyDescent="0.3">
      <c r="A101" t="s">
        <v>2273</v>
      </c>
      <c r="B101" s="8">
        <v>48.2</v>
      </c>
      <c r="C101">
        <v>4.84</v>
      </c>
      <c r="D101" t="s">
        <v>2379</v>
      </c>
      <c r="E101" t="s">
        <v>2379</v>
      </c>
      <c r="F101" t="s">
        <v>2379</v>
      </c>
      <c r="G101">
        <v>0</v>
      </c>
      <c r="H101" t="s">
        <v>2381</v>
      </c>
      <c r="I101" t="str" cm="1">
        <f t="array" ref="I101">_xlfn.IFS(B101&lt;18.5,"Underweight",AND(B101&gt;=18.5,B101&lt;=24.99),"Normalweight",AND(B101&gt;=25,B101&lt;=29.99),"Overweight",B101&gt;=30,"Obesity")</f>
        <v>Obesity</v>
      </c>
      <c r="J101" t="str" cm="1">
        <f t="array" ref="J101">_xlfn.IFS(C101&lt;5.7,"Normal",AND(C101&gt;=5.7,C101&lt;=6.49),"Prediabetes",C101&gt;=6.5,"Diabetes")</f>
        <v>Normal</v>
      </c>
    </row>
    <row r="102" spans="1:10" x14ac:dyDescent="0.3">
      <c r="A102" t="s">
        <v>2272</v>
      </c>
      <c r="B102" s="8">
        <v>35.75</v>
      </c>
      <c r="C102">
        <v>8</v>
      </c>
      <c r="D102" t="s">
        <v>2381</v>
      </c>
      <c r="E102" t="s">
        <v>2379</v>
      </c>
      <c r="F102" t="s">
        <v>2379</v>
      </c>
      <c r="G102">
        <v>0</v>
      </c>
      <c r="H102" t="s">
        <v>2381</v>
      </c>
      <c r="I102" t="str" cm="1">
        <f t="array" ref="I102">_xlfn.IFS(B102&lt;18.5,"Underweight",AND(B102&gt;=18.5,B102&lt;=24.99),"Normalweight",AND(B102&gt;=25,B102&lt;=29.99),"Overweight",B102&gt;=30,"Obesity")</f>
        <v>Obesity</v>
      </c>
      <c r="J102" t="str" cm="1">
        <f t="array" ref="J102">_xlfn.IFS(C102&lt;5.7,"Normal",AND(C102&gt;=5.7,C102&lt;=6.49),"Prediabetes",C102&gt;=6.5,"Diabetes")</f>
        <v>Diabetes</v>
      </c>
    </row>
    <row r="103" spans="1:10" x14ac:dyDescent="0.3">
      <c r="A103" t="s">
        <v>2271</v>
      </c>
      <c r="B103" s="8">
        <v>53.81</v>
      </c>
      <c r="C103">
        <v>8.77</v>
      </c>
      <c r="D103" t="s">
        <v>2381</v>
      </c>
      <c r="E103" t="s">
        <v>2379</v>
      </c>
      <c r="F103" t="s">
        <v>2379</v>
      </c>
      <c r="G103">
        <v>0</v>
      </c>
      <c r="H103" t="s">
        <v>2381</v>
      </c>
      <c r="I103" t="str" cm="1">
        <f t="array" ref="I103">_xlfn.IFS(B103&lt;18.5,"Underweight",AND(B103&gt;=18.5,B103&lt;=24.99),"Normalweight",AND(B103&gt;=25,B103&lt;=29.99),"Overweight",B103&gt;=30,"Obesity")</f>
        <v>Obesity</v>
      </c>
      <c r="J103" t="str" cm="1">
        <f t="array" ref="J103">_xlfn.IFS(C103&lt;5.7,"Normal",AND(C103&gt;=5.7,C103&lt;=6.49),"Prediabetes",C103&gt;=6.5,"Diabetes")</f>
        <v>Diabetes</v>
      </c>
    </row>
    <row r="104" spans="1:10" x14ac:dyDescent="0.3">
      <c r="A104" t="s">
        <v>2270</v>
      </c>
      <c r="B104" s="8">
        <v>49.48</v>
      </c>
      <c r="C104">
        <v>4.96</v>
      </c>
      <c r="D104" t="s">
        <v>2379</v>
      </c>
      <c r="E104" t="s">
        <v>2379</v>
      </c>
      <c r="F104" t="s">
        <v>2381</v>
      </c>
      <c r="G104">
        <v>1</v>
      </c>
      <c r="H104" t="s">
        <v>2381</v>
      </c>
      <c r="I104" t="str" cm="1">
        <f t="array" ref="I104">_xlfn.IFS(B104&lt;18.5,"Underweight",AND(B104&gt;=18.5,B104&lt;=24.99),"Normalweight",AND(B104&gt;=25,B104&lt;=29.99),"Overweight",B104&gt;=30,"Obesity")</f>
        <v>Obesity</v>
      </c>
      <c r="J104" t="str" cm="1">
        <f t="array" ref="J104">_xlfn.IFS(C104&lt;5.7,"Normal",AND(C104&gt;=5.7,C104&lt;=6.49),"Prediabetes",C104&gt;=6.5,"Diabetes")</f>
        <v>Normal</v>
      </c>
    </row>
    <row r="105" spans="1:10" x14ac:dyDescent="0.3">
      <c r="A105" t="s">
        <v>2269</v>
      </c>
      <c r="B105" s="8">
        <v>34.1</v>
      </c>
      <c r="C105">
        <v>4.43</v>
      </c>
      <c r="D105" t="s">
        <v>2381</v>
      </c>
      <c r="E105" t="s">
        <v>2379</v>
      </c>
      <c r="F105" t="s">
        <v>2379</v>
      </c>
      <c r="G105">
        <v>0</v>
      </c>
      <c r="H105" t="s">
        <v>2381</v>
      </c>
      <c r="I105" t="str" cm="1">
        <f t="array" ref="I105">_xlfn.IFS(B105&lt;18.5,"Underweight",AND(B105&gt;=18.5,B105&lt;=24.99),"Normalweight",AND(B105&gt;=25,B105&lt;=29.99),"Overweight",B105&gt;=30,"Obesity")</f>
        <v>Obesity</v>
      </c>
      <c r="J105" t="str" cm="1">
        <f t="array" ref="J105">_xlfn.IFS(C105&lt;5.7,"Normal",AND(C105&gt;=5.7,C105&lt;=6.49),"Prediabetes",C105&gt;=6.5,"Diabetes")</f>
        <v>Normal</v>
      </c>
    </row>
    <row r="106" spans="1:10" x14ac:dyDescent="0.3">
      <c r="A106" t="s">
        <v>2268</v>
      </c>
      <c r="B106" s="8">
        <v>35.299999999999997</v>
      </c>
      <c r="C106">
        <v>5.82</v>
      </c>
      <c r="D106" t="s">
        <v>2381</v>
      </c>
      <c r="E106" t="s">
        <v>2379</v>
      </c>
      <c r="F106" t="s">
        <v>2381</v>
      </c>
      <c r="G106">
        <v>1</v>
      </c>
      <c r="H106" t="s">
        <v>2381</v>
      </c>
      <c r="I106" t="str" cm="1">
        <f t="array" ref="I106">_xlfn.IFS(B106&lt;18.5,"Underweight",AND(B106&gt;=18.5,B106&lt;=24.99),"Normalweight",AND(B106&gt;=25,B106&lt;=29.99),"Overweight",B106&gt;=30,"Obesity")</f>
        <v>Obesity</v>
      </c>
      <c r="J106" t="str" cm="1">
        <f t="array" ref="J106">_xlfn.IFS(C106&lt;5.7,"Normal",AND(C106&gt;=5.7,C106&lt;=6.49),"Prediabetes",C106&gt;=6.5,"Diabetes")</f>
        <v>Prediabetes</v>
      </c>
    </row>
    <row r="107" spans="1:10" x14ac:dyDescent="0.3">
      <c r="A107" t="s">
        <v>2267</v>
      </c>
      <c r="B107" s="8">
        <v>43.83</v>
      </c>
      <c r="C107">
        <v>6.03</v>
      </c>
      <c r="D107" t="s">
        <v>2381</v>
      </c>
      <c r="E107" t="s">
        <v>2379</v>
      </c>
      <c r="F107" t="s">
        <v>2379</v>
      </c>
      <c r="G107">
        <v>2</v>
      </c>
      <c r="H107" t="s">
        <v>2381</v>
      </c>
      <c r="I107" t="str" cm="1">
        <f t="array" ref="I107">_xlfn.IFS(B107&lt;18.5,"Underweight",AND(B107&gt;=18.5,B107&lt;=24.99),"Normalweight",AND(B107&gt;=25,B107&lt;=29.99),"Overweight",B107&gt;=30,"Obesity")</f>
        <v>Obesity</v>
      </c>
      <c r="J107" t="str" cm="1">
        <f t="array" ref="J107">_xlfn.IFS(C107&lt;5.7,"Normal",AND(C107&gt;=5.7,C107&lt;=6.49),"Prediabetes",C107&gt;=6.5,"Diabetes")</f>
        <v>Prediabetes</v>
      </c>
    </row>
    <row r="108" spans="1:10" x14ac:dyDescent="0.3">
      <c r="A108" t="s">
        <v>2266</v>
      </c>
      <c r="B108" s="8">
        <v>50.07</v>
      </c>
      <c r="C108">
        <v>9.27</v>
      </c>
      <c r="D108" t="s">
        <v>2379</v>
      </c>
      <c r="E108" t="s">
        <v>2379</v>
      </c>
      <c r="F108" t="s">
        <v>2379</v>
      </c>
      <c r="G108">
        <v>0</v>
      </c>
      <c r="H108" t="s">
        <v>2381</v>
      </c>
      <c r="I108" t="str" cm="1">
        <f t="array" ref="I108">_xlfn.IFS(B108&lt;18.5,"Underweight",AND(B108&gt;=18.5,B108&lt;=24.99),"Normalweight",AND(B108&gt;=25,B108&lt;=29.99),"Overweight",B108&gt;=30,"Obesity")</f>
        <v>Obesity</v>
      </c>
      <c r="J108" t="str" cm="1">
        <f t="array" ref="J108">_xlfn.IFS(C108&lt;5.7,"Normal",AND(C108&gt;=5.7,C108&lt;=6.49),"Prediabetes",C108&gt;=6.5,"Diabetes")</f>
        <v>Diabetes</v>
      </c>
    </row>
    <row r="109" spans="1:10" x14ac:dyDescent="0.3">
      <c r="A109" t="s">
        <v>2265</v>
      </c>
      <c r="B109" s="8">
        <v>32.774999999999999</v>
      </c>
      <c r="C109">
        <v>5.53</v>
      </c>
      <c r="D109" t="s">
        <v>2379</v>
      </c>
      <c r="E109" t="s">
        <v>2379</v>
      </c>
      <c r="F109" t="s">
        <v>2379</v>
      </c>
      <c r="G109">
        <v>0</v>
      </c>
      <c r="H109" t="s">
        <v>2381</v>
      </c>
      <c r="I109" t="str" cm="1">
        <f t="array" ref="I109">_xlfn.IFS(B109&lt;18.5,"Underweight",AND(B109&gt;=18.5,B109&lt;=24.99),"Normalweight",AND(B109&gt;=25,B109&lt;=29.99),"Overweight",B109&gt;=30,"Obesity")</f>
        <v>Obesity</v>
      </c>
      <c r="J109" t="str" cm="1">
        <f t="array" ref="J109">_xlfn.IFS(C109&lt;5.7,"Normal",AND(C109&gt;=5.7,C109&lt;=6.49),"Prediabetes",C109&gt;=6.5,"Diabetes")</f>
        <v>Normal</v>
      </c>
    </row>
    <row r="110" spans="1:10" x14ac:dyDescent="0.3">
      <c r="A110" t="s">
        <v>2264</v>
      </c>
      <c r="B110" s="8">
        <v>34.104999999999997</v>
      </c>
      <c r="C110">
        <v>5.07</v>
      </c>
      <c r="D110" t="s">
        <v>2379</v>
      </c>
      <c r="E110" t="s">
        <v>2379</v>
      </c>
      <c r="F110" t="s">
        <v>2379</v>
      </c>
      <c r="G110">
        <v>1</v>
      </c>
      <c r="H110" t="s">
        <v>2381</v>
      </c>
      <c r="I110" t="str" cm="1">
        <f t="array" ref="I110">_xlfn.IFS(B110&lt;18.5,"Underweight",AND(B110&gt;=18.5,B110&lt;=24.99),"Normalweight",AND(B110&gt;=25,B110&lt;=29.99),"Overweight",B110&gt;=30,"Obesity")</f>
        <v>Obesity</v>
      </c>
      <c r="J110" t="str" cm="1">
        <f t="array" ref="J110">_xlfn.IFS(C110&lt;5.7,"Normal",AND(C110&gt;=5.7,C110&lt;=6.49),"Prediabetes",C110&gt;=6.5,"Diabetes")</f>
        <v>Normal</v>
      </c>
    </row>
    <row r="111" spans="1:10" x14ac:dyDescent="0.3">
      <c r="A111" t="s">
        <v>2263</v>
      </c>
      <c r="B111" s="8">
        <v>48.93</v>
      </c>
      <c r="C111">
        <v>11.17</v>
      </c>
      <c r="D111" t="s">
        <v>2381</v>
      </c>
      <c r="E111" t="s">
        <v>2379</v>
      </c>
      <c r="F111" t="s">
        <v>2379</v>
      </c>
      <c r="G111">
        <v>1</v>
      </c>
      <c r="H111" t="s">
        <v>2381</v>
      </c>
      <c r="I111" t="str" cm="1">
        <f t="array" ref="I111">_xlfn.IFS(B111&lt;18.5,"Underweight",AND(B111&gt;=18.5,B111&lt;=24.99),"Normalweight",AND(B111&gt;=25,B111&lt;=29.99),"Overweight",B111&gt;=30,"Obesity")</f>
        <v>Obesity</v>
      </c>
      <c r="J111" t="str" cm="1">
        <f t="array" ref="J111">_xlfn.IFS(C111&lt;5.7,"Normal",AND(C111&gt;=5.7,C111&lt;=6.49),"Prediabetes",C111&gt;=6.5,"Diabetes")</f>
        <v>Diabetes</v>
      </c>
    </row>
    <row r="112" spans="1:10" x14ac:dyDescent="0.3">
      <c r="A112" t="s">
        <v>2262</v>
      </c>
      <c r="B112" s="8">
        <v>37.07</v>
      </c>
      <c r="C112">
        <v>6.14</v>
      </c>
      <c r="D112" t="s">
        <v>2381</v>
      </c>
      <c r="E112" t="s">
        <v>2379</v>
      </c>
      <c r="F112" t="s">
        <v>2379</v>
      </c>
      <c r="G112">
        <v>0</v>
      </c>
      <c r="H112" t="s">
        <v>2381</v>
      </c>
      <c r="I112" t="str" cm="1">
        <f t="array" ref="I112">_xlfn.IFS(B112&lt;18.5,"Underweight",AND(B112&gt;=18.5,B112&lt;=24.99),"Normalweight",AND(B112&gt;=25,B112&lt;=29.99),"Overweight",B112&gt;=30,"Obesity")</f>
        <v>Obesity</v>
      </c>
      <c r="J112" t="str" cm="1">
        <f t="array" ref="J112">_xlfn.IFS(C112&lt;5.7,"Normal",AND(C112&gt;=5.7,C112&lt;=6.49),"Prediabetes",C112&gt;=6.5,"Diabetes")</f>
        <v>Prediabetes</v>
      </c>
    </row>
    <row r="113" spans="1:10" x14ac:dyDescent="0.3">
      <c r="A113" t="s">
        <v>2261</v>
      </c>
      <c r="B113" s="8">
        <v>51.51</v>
      </c>
      <c r="C113">
        <v>6.26</v>
      </c>
      <c r="D113" t="s">
        <v>2381</v>
      </c>
      <c r="E113" t="s">
        <v>2379</v>
      </c>
      <c r="F113" t="s">
        <v>2381</v>
      </c>
      <c r="G113">
        <v>1</v>
      </c>
      <c r="H113" t="s">
        <v>2381</v>
      </c>
      <c r="I113" t="str" cm="1">
        <f t="array" ref="I113">_xlfn.IFS(B113&lt;18.5,"Underweight",AND(B113&gt;=18.5,B113&lt;=24.99),"Normalweight",AND(B113&gt;=25,B113&lt;=29.99),"Overweight",B113&gt;=30,"Obesity")</f>
        <v>Obesity</v>
      </c>
      <c r="J113" t="str" cm="1">
        <f t="array" ref="J113">_xlfn.IFS(C113&lt;5.7,"Normal",AND(C113&gt;=5.7,C113&lt;=6.49),"Prediabetes",C113&gt;=6.5,"Diabetes")</f>
        <v>Prediabetes</v>
      </c>
    </row>
    <row r="114" spans="1:10" x14ac:dyDescent="0.3">
      <c r="A114" t="s">
        <v>2260</v>
      </c>
      <c r="B114" s="8">
        <v>34.799999999999997</v>
      </c>
      <c r="C114">
        <v>4.72</v>
      </c>
      <c r="D114" t="s">
        <v>2381</v>
      </c>
      <c r="E114" t="s">
        <v>2379</v>
      </c>
      <c r="F114" t="s">
        <v>2379</v>
      </c>
      <c r="G114">
        <v>0</v>
      </c>
      <c r="H114" t="s">
        <v>2381</v>
      </c>
      <c r="I114" t="str" cm="1">
        <f t="array" ref="I114">_xlfn.IFS(B114&lt;18.5,"Underweight",AND(B114&gt;=18.5,B114&lt;=24.99),"Normalweight",AND(B114&gt;=25,B114&lt;=29.99),"Overweight",B114&gt;=30,"Obesity")</f>
        <v>Obesity</v>
      </c>
      <c r="J114" t="str" cm="1">
        <f t="array" ref="J114">_xlfn.IFS(C114&lt;5.7,"Normal",AND(C114&gt;=5.7,C114&lt;=6.49),"Prediabetes",C114&gt;=6.5,"Diabetes")</f>
        <v>Normal</v>
      </c>
    </row>
    <row r="115" spans="1:10" x14ac:dyDescent="0.3">
      <c r="A115" t="s">
        <v>2259</v>
      </c>
      <c r="B115" s="8">
        <v>36.67</v>
      </c>
      <c r="C115">
        <v>5.18</v>
      </c>
      <c r="D115" t="s">
        <v>2379</v>
      </c>
      <c r="E115" t="s">
        <v>2379</v>
      </c>
      <c r="F115" t="s">
        <v>2379</v>
      </c>
      <c r="G115">
        <v>1</v>
      </c>
      <c r="H115" t="s">
        <v>2381</v>
      </c>
      <c r="I115" t="str" cm="1">
        <f t="array" ref="I115">_xlfn.IFS(B115&lt;18.5,"Underweight",AND(B115&gt;=18.5,B115&lt;=24.99),"Normalweight",AND(B115&gt;=25,B115&lt;=29.99),"Overweight",B115&gt;=30,"Obesity")</f>
        <v>Obesity</v>
      </c>
      <c r="J115" t="str" cm="1">
        <f t="array" ref="J115">_xlfn.IFS(C115&lt;5.7,"Normal",AND(C115&gt;=5.7,C115&lt;=6.49),"Prediabetes",C115&gt;=6.5,"Diabetes")</f>
        <v>Normal</v>
      </c>
    </row>
    <row r="116" spans="1:10" x14ac:dyDescent="0.3">
      <c r="A116" t="s">
        <v>2258</v>
      </c>
      <c r="B116" s="8">
        <v>30.9</v>
      </c>
      <c r="C116">
        <v>9.4</v>
      </c>
      <c r="D116" t="s">
        <v>2379</v>
      </c>
      <c r="E116" t="s">
        <v>2379</v>
      </c>
      <c r="F116" t="s">
        <v>2379</v>
      </c>
      <c r="G116">
        <v>2</v>
      </c>
      <c r="H116" t="s">
        <v>2381</v>
      </c>
      <c r="I116" t="str" cm="1">
        <f t="array" ref="I116">_xlfn.IFS(B116&lt;18.5,"Underweight",AND(B116&gt;=18.5,B116&lt;=24.99),"Normalweight",AND(B116&gt;=25,B116&lt;=29.99),"Overweight",B116&gt;=30,"Obesity")</f>
        <v>Obesity</v>
      </c>
      <c r="J116" t="str" cm="1">
        <f t="array" ref="J116">_xlfn.IFS(C116&lt;5.7,"Normal",AND(C116&gt;=5.7,C116&lt;=6.49),"Prediabetes",C116&gt;=6.5,"Diabetes")</f>
        <v>Diabetes</v>
      </c>
    </row>
    <row r="117" spans="1:10" x14ac:dyDescent="0.3">
      <c r="A117" t="s">
        <v>2257</v>
      </c>
      <c r="B117" s="8">
        <v>30.495000000000001</v>
      </c>
      <c r="C117">
        <v>6.29</v>
      </c>
      <c r="D117" t="s">
        <v>2379</v>
      </c>
      <c r="E117" t="s">
        <v>2379</v>
      </c>
      <c r="F117" t="s">
        <v>2379</v>
      </c>
      <c r="G117">
        <v>0</v>
      </c>
      <c r="H117" t="s">
        <v>2381</v>
      </c>
      <c r="I117" t="str" cm="1">
        <f t="array" ref="I117">_xlfn.IFS(B117&lt;18.5,"Underweight",AND(B117&gt;=18.5,B117&lt;=24.99),"Normalweight",AND(B117&gt;=25,B117&lt;=29.99),"Overweight",B117&gt;=30,"Obesity")</f>
        <v>Obesity</v>
      </c>
      <c r="J117" t="str" cm="1">
        <f t="array" ref="J117">_xlfn.IFS(C117&lt;5.7,"Normal",AND(C117&gt;=5.7,C117&lt;=6.49),"Prediabetes",C117&gt;=6.5,"Diabetes")</f>
        <v>Prediabetes</v>
      </c>
    </row>
    <row r="118" spans="1:10" x14ac:dyDescent="0.3">
      <c r="A118" t="s">
        <v>2256</v>
      </c>
      <c r="B118" s="8">
        <v>44.88</v>
      </c>
      <c r="C118">
        <v>6.04</v>
      </c>
      <c r="D118" t="s">
        <v>2379</v>
      </c>
      <c r="E118" t="s">
        <v>2379</v>
      </c>
      <c r="F118" t="s">
        <v>2381</v>
      </c>
      <c r="G118">
        <v>1</v>
      </c>
      <c r="H118" t="s">
        <v>2381</v>
      </c>
      <c r="I118" t="str" cm="1">
        <f t="array" ref="I118">_xlfn.IFS(B118&lt;18.5,"Underweight",AND(B118&gt;=18.5,B118&lt;=24.99),"Normalweight",AND(B118&gt;=25,B118&lt;=29.99),"Overweight",B118&gt;=30,"Obesity")</f>
        <v>Obesity</v>
      </c>
      <c r="J118" t="str" cm="1">
        <f t="array" ref="J118">_xlfn.IFS(C118&lt;5.7,"Normal",AND(C118&gt;=5.7,C118&lt;=6.49),"Prediabetes",C118&gt;=6.5,"Diabetes")</f>
        <v>Prediabetes</v>
      </c>
    </row>
    <row r="119" spans="1:10" x14ac:dyDescent="0.3">
      <c r="A119" t="s">
        <v>2255</v>
      </c>
      <c r="B119" s="8">
        <v>44.32</v>
      </c>
      <c r="C119">
        <v>10.55</v>
      </c>
      <c r="D119" t="s">
        <v>2379</v>
      </c>
      <c r="E119" t="s">
        <v>2379</v>
      </c>
      <c r="F119" t="s">
        <v>2379</v>
      </c>
      <c r="G119">
        <v>0</v>
      </c>
      <c r="H119" t="s">
        <v>2381</v>
      </c>
      <c r="I119" t="str" cm="1">
        <f t="array" ref="I119">_xlfn.IFS(B119&lt;18.5,"Underweight",AND(B119&gt;=18.5,B119&lt;=24.99),"Normalweight",AND(B119&gt;=25,B119&lt;=29.99),"Overweight",B119&gt;=30,"Obesity")</f>
        <v>Obesity</v>
      </c>
      <c r="J119" t="str" cm="1">
        <f t="array" ref="J119">_xlfn.IFS(C119&lt;5.7,"Normal",AND(C119&gt;=5.7,C119&lt;=6.49),"Prediabetes",C119&gt;=6.5,"Diabetes")</f>
        <v>Diabetes</v>
      </c>
    </row>
    <row r="120" spans="1:10" x14ac:dyDescent="0.3">
      <c r="A120" t="s">
        <v>2254</v>
      </c>
      <c r="B120" s="8">
        <v>46.39</v>
      </c>
      <c r="C120">
        <v>5.09</v>
      </c>
      <c r="D120" t="s">
        <v>2379</v>
      </c>
      <c r="E120" t="s">
        <v>2379</v>
      </c>
      <c r="F120" t="s">
        <v>2379</v>
      </c>
      <c r="G120">
        <v>0</v>
      </c>
      <c r="H120" t="s">
        <v>2381</v>
      </c>
      <c r="I120" t="str" cm="1">
        <f t="array" ref="I120">_xlfn.IFS(B120&lt;18.5,"Underweight",AND(B120&gt;=18.5,B120&lt;=24.99),"Normalweight",AND(B120&gt;=25,B120&lt;=29.99),"Overweight",B120&gt;=30,"Obesity")</f>
        <v>Obesity</v>
      </c>
      <c r="J120" t="str" cm="1">
        <f t="array" ref="J120">_xlfn.IFS(C120&lt;5.7,"Normal",AND(C120&gt;=5.7,C120&lt;=6.49),"Prediabetes",C120&gt;=6.5,"Diabetes")</f>
        <v>Normal</v>
      </c>
    </row>
    <row r="121" spans="1:10" x14ac:dyDescent="0.3">
      <c r="A121" t="s">
        <v>2253</v>
      </c>
      <c r="B121" s="8">
        <v>42.13</v>
      </c>
      <c r="C121">
        <v>5.2</v>
      </c>
      <c r="D121" t="s">
        <v>2381</v>
      </c>
      <c r="E121" t="s">
        <v>2379</v>
      </c>
      <c r="F121" t="s">
        <v>2379</v>
      </c>
      <c r="G121">
        <v>1</v>
      </c>
      <c r="H121" t="s">
        <v>2381</v>
      </c>
      <c r="I121" t="str" cm="1">
        <f t="array" ref="I121">_xlfn.IFS(B121&lt;18.5,"Underweight",AND(B121&gt;=18.5,B121&lt;=24.99),"Normalweight",AND(B121&gt;=25,B121&lt;=29.99),"Overweight",B121&gt;=30,"Obesity")</f>
        <v>Obesity</v>
      </c>
      <c r="J121" t="str" cm="1">
        <f t="array" ref="J121">_xlfn.IFS(C121&lt;5.7,"Normal",AND(C121&gt;=5.7,C121&lt;=6.49),"Prediabetes",C121&gt;=6.5,"Diabetes")</f>
        <v>Normal</v>
      </c>
    </row>
    <row r="122" spans="1:10" x14ac:dyDescent="0.3">
      <c r="A122" t="s">
        <v>2252</v>
      </c>
      <c r="B122" s="8">
        <v>30.78</v>
      </c>
      <c r="C122">
        <v>8.4499999999999993</v>
      </c>
      <c r="D122" t="s">
        <v>2381</v>
      </c>
      <c r="E122" t="s">
        <v>2379</v>
      </c>
      <c r="F122" t="s">
        <v>2379</v>
      </c>
      <c r="G122">
        <v>0</v>
      </c>
      <c r="H122" t="s">
        <v>2381</v>
      </c>
      <c r="I122" t="str" cm="1">
        <f t="array" ref="I122">_xlfn.IFS(B122&lt;18.5,"Underweight",AND(B122&gt;=18.5,B122&lt;=24.99),"Normalweight",AND(B122&gt;=25,B122&lt;=29.99),"Overweight",B122&gt;=30,"Obesity")</f>
        <v>Obesity</v>
      </c>
      <c r="J122" t="str" cm="1">
        <f t="array" ref="J122">_xlfn.IFS(C122&lt;5.7,"Normal",AND(C122&gt;=5.7,C122&lt;=6.49),"Prediabetes",C122&gt;=6.5,"Diabetes")</f>
        <v>Diabetes</v>
      </c>
    </row>
    <row r="123" spans="1:10" x14ac:dyDescent="0.3">
      <c r="A123" t="s">
        <v>2251</v>
      </c>
      <c r="B123" s="8">
        <v>31.35</v>
      </c>
      <c r="C123">
        <v>9.5399999999999991</v>
      </c>
      <c r="D123" t="s">
        <v>2379</v>
      </c>
      <c r="E123" t="s">
        <v>2379</v>
      </c>
      <c r="F123" t="s">
        <v>2379</v>
      </c>
      <c r="G123">
        <v>0</v>
      </c>
      <c r="H123" t="s">
        <v>2381</v>
      </c>
      <c r="I123" t="str" cm="1">
        <f t="array" ref="I123">_xlfn.IFS(B123&lt;18.5,"Underweight",AND(B123&gt;=18.5,B123&lt;=24.99),"Normalweight",AND(B123&gt;=25,B123&lt;=29.99),"Overweight",B123&gt;=30,"Obesity")</f>
        <v>Obesity</v>
      </c>
      <c r="J123" t="str" cm="1">
        <f t="array" ref="J123">_xlfn.IFS(C123&lt;5.7,"Normal",AND(C123&gt;=5.7,C123&lt;=6.49),"Prediabetes",C123&gt;=6.5,"Diabetes")</f>
        <v>Diabetes</v>
      </c>
    </row>
    <row r="124" spans="1:10" x14ac:dyDescent="0.3">
      <c r="A124" t="s">
        <v>2250</v>
      </c>
      <c r="B124" s="8">
        <v>41.46</v>
      </c>
      <c r="C124">
        <v>4.99</v>
      </c>
      <c r="D124" t="s">
        <v>2381</v>
      </c>
      <c r="E124" t="s">
        <v>2379</v>
      </c>
      <c r="F124" t="s">
        <v>2379</v>
      </c>
      <c r="G124">
        <v>2</v>
      </c>
      <c r="H124" t="s">
        <v>2381</v>
      </c>
      <c r="I124" t="str" cm="1">
        <f t="array" ref="I124">_xlfn.IFS(B124&lt;18.5,"Underweight",AND(B124&gt;=18.5,B124&lt;=24.99),"Normalweight",AND(B124&gt;=25,B124&lt;=29.99),"Overweight",B124&gt;=30,"Obesity")</f>
        <v>Obesity</v>
      </c>
      <c r="J124" t="str" cm="1">
        <f t="array" ref="J124">_xlfn.IFS(C124&lt;5.7,"Normal",AND(C124&gt;=5.7,C124&lt;=6.49),"Prediabetes",C124&gt;=6.5,"Diabetes")</f>
        <v>Normal</v>
      </c>
    </row>
    <row r="125" spans="1:10" x14ac:dyDescent="0.3">
      <c r="A125" t="s">
        <v>2249</v>
      </c>
      <c r="B125" s="8">
        <v>48</v>
      </c>
      <c r="C125">
        <v>10.54</v>
      </c>
      <c r="D125" t="s">
        <v>2379</v>
      </c>
      <c r="E125" t="s">
        <v>2379</v>
      </c>
      <c r="F125" t="s">
        <v>2379</v>
      </c>
      <c r="G125">
        <v>0</v>
      </c>
      <c r="H125" t="s">
        <v>2381</v>
      </c>
      <c r="I125" t="str" cm="1">
        <f t="array" ref="I125">_xlfn.IFS(B125&lt;18.5,"Underweight",AND(B125&gt;=18.5,B125&lt;=24.99),"Normalweight",AND(B125&gt;=25,B125&lt;=29.99),"Overweight",B125&gt;=30,"Obesity")</f>
        <v>Obesity</v>
      </c>
      <c r="J125" t="str" cm="1">
        <f t="array" ref="J125">_xlfn.IFS(C125&lt;5.7,"Normal",AND(C125&gt;=5.7,C125&lt;=6.49),"Prediabetes",C125&gt;=6.5,"Diabetes")</f>
        <v>Diabetes</v>
      </c>
    </row>
    <row r="126" spans="1:10" x14ac:dyDescent="0.3">
      <c r="A126" t="s">
        <v>2248</v>
      </c>
      <c r="B126" s="8">
        <v>49.13</v>
      </c>
      <c r="C126">
        <v>4.54</v>
      </c>
      <c r="D126" t="s">
        <v>2379</v>
      </c>
      <c r="E126" t="s">
        <v>2379</v>
      </c>
      <c r="F126" t="s">
        <v>2379</v>
      </c>
      <c r="G126">
        <v>0</v>
      </c>
      <c r="H126" t="s">
        <v>2381</v>
      </c>
      <c r="I126" t="str" cm="1">
        <f t="array" ref="I126">_xlfn.IFS(B126&lt;18.5,"Underweight",AND(B126&gt;=18.5,B126&lt;=24.99),"Normalweight",AND(B126&gt;=25,B126&lt;=29.99),"Overweight",B126&gt;=30,"Obesity")</f>
        <v>Obesity</v>
      </c>
      <c r="J126" t="str" cm="1">
        <f t="array" ref="J126">_xlfn.IFS(C126&lt;5.7,"Normal",AND(C126&gt;=5.7,C126&lt;=6.49),"Prediabetes",C126&gt;=6.5,"Diabetes")</f>
        <v>Normal</v>
      </c>
    </row>
    <row r="127" spans="1:10" x14ac:dyDescent="0.3">
      <c r="A127" t="s">
        <v>2247</v>
      </c>
      <c r="B127" s="8">
        <v>37.799999999999997</v>
      </c>
      <c r="C127">
        <v>6.29</v>
      </c>
      <c r="D127" t="s">
        <v>2379</v>
      </c>
      <c r="E127" t="s">
        <v>2379</v>
      </c>
      <c r="F127" t="s">
        <v>2379</v>
      </c>
      <c r="G127">
        <v>1</v>
      </c>
      <c r="H127" t="s">
        <v>2381</v>
      </c>
      <c r="I127" t="str" cm="1">
        <f t="array" ref="I127">_xlfn.IFS(B127&lt;18.5,"Underweight",AND(B127&gt;=18.5,B127&lt;=24.99),"Normalweight",AND(B127&gt;=25,B127&lt;=29.99),"Overweight",B127&gt;=30,"Obesity")</f>
        <v>Obesity</v>
      </c>
      <c r="J127" t="str" cm="1">
        <f t="array" ref="J127">_xlfn.IFS(C127&lt;5.7,"Normal",AND(C127&gt;=5.7,C127&lt;=6.49),"Prediabetes",C127&gt;=6.5,"Diabetes")</f>
        <v>Prediabetes</v>
      </c>
    </row>
    <row r="128" spans="1:10" x14ac:dyDescent="0.3">
      <c r="A128" t="s">
        <v>2246</v>
      </c>
      <c r="B128" s="8">
        <v>38.299999999999997</v>
      </c>
      <c r="C128">
        <v>9.51</v>
      </c>
      <c r="D128" t="s">
        <v>2379</v>
      </c>
      <c r="E128" t="s">
        <v>2379</v>
      </c>
      <c r="F128" t="s">
        <v>2379</v>
      </c>
      <c r="G128">
        <v>0</v>
      </c>
      <c r="H128" t="s">
        <v>2381</v>
      </c>
      <c r="I128" t="str" cm="1">
        <f t="array" ref="I128">_xlfn.IFS(B128&lt;18.5,"Underweight",AND(B128&gt;=18.5,B128&lt;=24.99),"Normalweight",AND(B128&gt;=25,B128&lt;=29.99),"Overweight",B128&gt;=30,"Obesity")</f>
        <v>Obesity</v>
      </c>
      <c r="J128" t="str" cm="1">
        <f t="array" ref="J128">_xlfn.IFS(C128&lt;5.7,"Normal",AND(C128&gt;=5.7,C128&lt;=6.49),"Prediabetes",C128&gt;=6.5,"Diabetes")</f>
        <v>Diabetes</v>
      </c>
    </row>
    <row r="129" spans="1:10" x14ac:dyDescent="0.3">
      <c r="A129" t="s">
        <v>2245</v>
      </c>
      <c r="B129" s="8">
        <v>32.774999999999999</v>
      </c>
      <c r="C129">
        <v>4.72</v>
      </c>
      <c r="D129" t="s">
        <v>2379</v>
      </c>
      <c r="E129" t="s">
        <v>2379</v>
      </c>
      <c r="F129" t="s">
        <v>2379</v>
      </c>
      <c r="G129">
        <v>0</v>
      </c>
      <c r="H129" t="s">
        <v>2381</v>
      </c>
      <c r="I129" t="str" cm="1">
        <f t="array" ref="I129">_xlfn.IFS(B129&lt;18.5,"Underweight",AND(B129&gt;=18.5,B129&lt;=24.99),"Normalweight",AND(B129&gt;=25,B129&lt;=29.99),"Overweight",B129&gt;=30,"Obesity")</f>
        <v>Obesity</v>
      </c>
      <c r="J129" t="str" cm="1">
        <f t="array" ref="J129">_xlfn.IFS(C129&lt;5.7,"Normal",AND(C129&gt;=5.7,C129&lt;=6.49),"Prediabetes",C129&gt;=6.5,"Diabetes")</f>
        <v>Normal</v>
      </c>
    </row>
    <row r="130" spans="1:10" x14ac:dyDescent="0.3">
      <c r="A130" t="s">
        <v>2244</v>
      </c>
      <c r="B130" s="8">
        <v>34.200000000000003</v>
      </c>
      <c r="C130">
        <v>5.91</v>
      </c>
      <c r="D130" t="s">
        <v>2381</v>
      </c>
      <c r="E130" t="s">
        <v>2379</v>
      </c>
      <c r="F130" t="s">
        <v>2379</v>
      </c>
      <c r="G130">
        <v>0</v>
      </c>
      <c r="H130" t="s">
        <v>2381</v>
      </c>
      <c r="I130" t="str" cm="1">
        <f t="array" ref="I130">_xlfn.IFS(B130&lt;18.5,"Underweight",AND(B130&gt;=18.5,B130&lt;=24.99),"Normalweight",AND(B130&gt;=25,B130&lt;=29.99),"Overweight",B130&gt;=30,"Obesity")</f>
        <v>Obesity</v>
      </c>
      <c r="J130" t="str" cm="1">
        <f t="array" ref="J130">_xlfn.IFS(C130&lt;5.7,"Normal",AND(C130&gt;=5.7,C130&lt;=6.49),"Prediabetes",C130&gt;=6.5,"Diabetes")</f>
        <v>Prediabetes</v>
      </c>
    </row>
    <row r="131" spans="1:10" x14ac:dyDescent="0.3">
      <c r="A131" t="s">
        <v>2243</v>
      </c>
      <c r="B131" s="8">
        <v>30.2</v>
      </c>
      <c r="C131">
        <v>9.58</v>
      </c>
      <c r="D131" t="s">
        <v>2379</v>
      </c>
      <c r="E131" t="s">
        <v>2379</v>
      </c>
      <c r="F131" t="s">
        <v>2379</v>
      </c>
      <c r="G131">
        <v>0</v>
      </c>
      <c r="H131" t="s">
        <v>2381</v>
      </c>
      <c r="I131" t="str" cm="1">
        <f t="array" ref="I131">_xlfn.IFS(B131&lt;18.5,"Underweight",AND(B131&gt;=18.5,B131&lt;=24.99),"Normalweight",AND(B131&gt;=25,B131&lt;=29.99),"Overweight",B131&gt;=30,"Obesity")</f>
        <v>Obesity</v>
      </c>
      <c r="J131" t="str" cm="1">
        <f t="array" ref="J131">_xlfn.IFS(C131&lt;5.7,"Normal",AND(C131&gt;=5.7,C131&lt;=6.49),"Prediabetes",C131&gt;=6.5,"Diabetes")</f>
        <v>Diabetes</v>
      </c>
    </row>
    <row r="132" spans="1:10" x14ac:dyDescent="0.3">
      <c r="A132" t="s">
        <v>2242</v>
      </c>
      <c r="B132" s="8">
        <v>48.32</v>
      </c>
      <c r="C132">
        <v>5.77</v>
      </c>
      <c r="D132" t="s">
        <v>2379</v>
      </c>
      <c r="E132" t="s">
        <v>2379</v>
      </c>
      <c r="F132" t="s">
        <v>2379</v>
      </c>
      <c r="G132">
        <v>0</v>
      </c>
      <c r="H132" t="s">
        <v>2381</v>
      </c>
      <c r="I132" t="str" cm="1">
        <f t="array" ref="I132">_xlfn.IFS(B132&lt;18.5,"Underweight",AND(B132&gt;=18.5,B132&lt;=24.99),"Normalweight",AND(B132&gt;=25,B132&lt;=29.99),"Overweight",B132&gt;=30,"Obesity")</f>
        <v>Obesity</v>
      </c>
      <c r="J132" t="str" cm="1">
        <f t="array" ref="J132">_xlfn.IFS(C132&lt;5.7,"Normal",AND(C132&gt;=5.7,C132&lt;=6.49),"Prediabetes",C132&gt;=6.5,"Diabetes")</f>
        <v>Prediabetes</v>
      </c>
    </row>
    <row r="133" spans="1:10" x14ac:dyDescent="0.3">
      <c r="A133" t="s">
        <v>2241</v>
      </c>
      <c r="B133" s="8">
        <v>44.86</v>
      </c>
      <c r="C133">
        <v>4.38</v>
      </c>
      <c r="D133" t="s">
        <v>2381</v>
      </c>
      <c r="E133" t="s">
        <v>2379</v>
      </c>
      <c r="F133" t="s">
        <v>2379</v>
      </c>
      <c r="G133">
        <v>0</v>
      </c>
      <c r="H133" t="s">
        <v>2381</v>
      </c>
      <c r="I133" t="str" cm="1">
        <f t="array" ref="I133">_xlfn.IFS(B133&lt;18.5,"Underweight",AND(B133&gt;=18.5,B133&lt;=24.99),"Normalweight",AND(B133&gt;=25,B133&lt;=29.99),"Overweight",B133&gt;=30,"Obesity")</f>
        <v>Obesity</v>
      </c>
      <c r="J133" t="str" cm="1">
        <f t="array" ref="J133">_xlfn.IFS(C133&lt;5.7,"Normal",AND(C133&gt;=5.7,C133&lt;=6.49),"Prediabetes",C133&gt;=6.5,"Diabetes")</f>
        <v>Normal</v>
      </c>
    </row>
    <row r="134" spans="1:10" x14ac:dyDescent="0.3">
      <c r="A134" t="s">
        <v>2240</v>
      </c>
      <c r="B134" s="8">
        <v>52.15</v>
      </c>
      <c r="C134">
        <v>5.65</v>
      </c>
      <c r="D134" t="s">
        <v>2379</v>
      </c>
      <c r="E134" t="s">
        <v>2379</v>
      </c>
      <c r="F134" t="s">
        <v>2379</v>
      </c>
      <c r="G134">
        <v>1</v>
      </c>
      <c r="H134" t="s">
        <v>2381</v>
      </c>
      <c r="I134" t="str" cm="1">
        <f t="array" ref="I134">_xlfn.IFS(B134&lt;18.5,"Underweight",AND(B134&gt;=18.5,B134&lt;=24.99),"Normalweight",AND(B134&gt;=25,B134&lt;=29.99),"Overweight",B134&gt;=30,"Obesity")</f>
        <v>Obesity</v>
      </c>
      <c r="J134" t="str" cm="1">
        <f t="array" ref="J134">_xlfn.IFS(C134&lt;5.7,"Normal",AND(C134&gt;=5.7,C134&lt;=6.49),"Prediabetes",C134&gt;=6.5,"Diabetes")</f>
        <v>Normal</v>
      </c>
    </row>
    <row r="135" spans="1:10" x14ac:dyDescent="0.3">
      <c r="A135" t="s">
        <v>2239</v>
      </c>
      <c r="B135" s="8">
        <v>41.12</v>
      </c>
      <c r="C135">
        <v>7.54</v>
      </c>
      <c r="D135" t="s">
        <v>2381</v>
      </c>
      <c r="E135" t="s">
        <v>2379</v>
      </c>
      <c r="F135" t="s">
        <v>2379</v>
      </c>
      <c r="G135">
        <v>0</v>
      </c>
      <c r="H135" t="s">
        <v>2381</v>
      </c>
      <c r="I135" t="str" cm="1">
        <f t="array" ref="I135">_xlfn.IFS(B135&lt;18.5,"Underweight",AND(B135&gt;=18.5,B135&lt;=24.99),"Normalweight",AND(B135&gt;=25,B135&lt;=29.99),"Overweight",B135&gt;=30,"Obesity")</f>
        <v>Obesity</v>
      </c>
      <c r="J135" t="str" cm="1">
        <f t="array" ref="J135">_xlfn.IFS(C135&lt;5.7,"Normal",AND(C135&gt;=5.7,C135&lt;=6.49),"Prediabetes",C135&gt;=6.5,"Diabetes")</f>
        <v>Diabetes</v>
      </c>
    </row>
    <row r="136" spans="1:10" x14ac:dyDescent="0.3">
      <c r="A136" t="s">
        <v>2238</v>
      </c>
      <c r="B136" s="8">
        <v>38.39</v>
      </c>
      <c r="C136">
        <v>5.1100000000000003</v>
      </c>
      <c r="D136" t="s">
        <v>2381</v>
      </c>
      <c r="E136" t="s">
        <v>2379</v>
      </c>
      <c r="F136" t="s">
        <v>2379</v>
      </c>
      <c r="G136">
        <v>1</v>
      </c>
      <c r="H136" t="s">
        <v>2381</v>
      </c>
      <c r="I136" t="str" cm="1">
        <f t="array" ref="I136">_xlfn.IFS(B136&lt;18.5,"Underweight",AND(B136&gt;=18.5,B136&lt;=24.99),"Normalweight",AND(B136&gt;=25,B136&lt;=29.99),"Overweight",B136&gt;=30,"Obesity")</f>
        <v>Obesity</v>
      </c>
      <c r="J136" t="str" cm="1">
        <f t="array" ref="J136">_xlfn.IFS(C136&lt;5.7,"Normal",AND(C136&gt;=5.7,C136&lt;=6.49),"Prediabetes",C136&gt;=6.5,"Diabetes")</f>
        <v>Normal</v>
      </c>
    </row>
    <row r="137" spans="1:10" x14ac:dyDescent="0.3">
      <c r="A137" t="s">
        <v>2237</v>
      </c>
      <c r="B137" s="8">
        <v>46.85</v>
      </c>
      <c r="C137">
        <v>4.25</v>
      </c>
      <c r="D137" t="s">
        <v>2379</v>
      </c>
      <c r="E137" t="s">
        <v>2379</v>
      </c>
      <c r="F137" t="s">
        <v>2381</v>
      </c>
      <c r="G137">
        <v>1</v>
      </c>
      <c r="H137" t="s">
        <v>2381</v>
      </c>
      <c r="I137" t="str" cm="1">
        <f t="array" ref="I137">_xlfn.IFS(B137&lt;18.5,"Underweight",AND(B137&gt;=18.5,B137&lt;=24.99),"Normalweight",AND(B137&gt;=25,B137&lt;=29.99),"Overweight",B137&gt;=30,"Obesity")</f>
        <v>Obesity</v>
      </c>
      <c r="J137" t="str" cm="1">
        <f t="array" ref="J137">_xlfn.IFS(C137&lt;5.7,"Normal",AND(C137&gt;=5.7,C137&lt;=6.49),"Prediabetes",C137&gt;=6.5,"Diabetes")</f>
        <v>Normal</v>
      </c>
    </row>
    <row r="138" spans="1:10" x14ac:dyDescent="0.3">
      <c r="A138" t="s">
        <v>2236</v>
      </c>
      <c r="B138" s="8">
        <v>42.24</v>
      </c>
      <c r="C138">
        <v>5.55</v>
      </c>
      <c r="D138" t="s">
        <v>2379</v>
      </c>
      <c r="E138" t="s">
        <v>2380</v>
      </c>
      <c r="F138" t="s">
        <v>2379</v>
      </c>
      <c r="G138">
        <v>1</v>
      </c>
      <c r="H138" t="s">
        <v>2381</v>
      </c>
      <c r="I138" t="str" cm="1">
        <f t="array" ref="I138">_xlfn.IFS(B138&lt;18.5,"Underweight",AND(B138&gt;=18.5,B138&lt;=24.99),"Normalweight",AND(B138&gt;=25,B138&lt;=29.99),"Overweight",B138&gt;=30,"Obesity")</f>
        <v>Obesity</v>
      </c>
      <c r="J138" t="str" cm="1">
        <f t="array" ref="J138">_xlfn.IFS(C138&lt;5.7,"Normal",AND(C138&gt;=5.7,C138&lt;=6.49),"Prediabetes",C138&gt;=6.5,"Diabetes")</f>
        <v>Normal</v>
      </c>
    </row>
    <row r="139" spans="1:10" x14ac:dyDescent="0.3">
      <c r="A139" t="s">
        <v>2235</v>
      </c>
      <c r="B139" s="8">
        <v>34.39</v>
      </c>
      <c r="C139">
        <v>5.78</v>
      </c>
      <c r="D139" t="s">
        <v>2379</v>
      </c>
      <c r="E139" t="s">
        <v>2379</v>
      </c>
      <c r="F139" t="s">
        <v>2379</v>
      </c>
      <c r="G139">
        <v>0</v>
      </c>
      <c r="H139" t="s">
        <v>2381</v>
      </c>
      <c r="I139" t="str" cm="1">
        <f t="array" ref="I139">_xlfn.IFS(B139&lt;18.5,"Underweight",AND(B139&gt;=18.5,B139&lt;=24.99),"Normalweight",AND(B139&gt;=25,B139&lt;=29.99),"Overweight",B139&gt;=30,"Obesity")</f>
        <v>Obesity</v>
      </c>
      <c r="J139" t="str" cm="1">
        <f t="array" ref="J139">_xlfn.IFS(C139&lt;5.7,"Normal",AND(C139&gt;=5.7,C139&lt;=6.49),"Prediabetes",C139&gt;=6.5,"Diabetes")</f>
        <v>Prediabetes</v>
      </c>
    </row>
    <row r="140" spans="1:10" x14ac:dyDescent="0.3">
      <c r="A140" t="s">
        <v>2234</v>
      </c>
      <c r="B140" s="8">
        <v>42.89</v>
      </c>
      <c r="C140">
        <v>5.28</v>
      </c>
      <c r="D140" t="s">
        <v>2381</v>
      </c>
      <c r="E140" t="s">
        <v>2379</v>
      </c>
      <c r="F140" t="s">
        <v>2379</v>
      </c>
      <c r="G140">
        <v>0</v>
      </c>
      <c r="H140" t="s">
        <v>2381</v>
      </c>
      <c r="I140" t="str" cm="1">
        <f t="array" ref="I140">_xlfn.IFS(B140&lt;18.5,"Underweight",AND(B140&gt;=18.5,B140&lt;=24.99),"Normalweight",AND(B140&gt;=25,B140&lt;=29.99),"Overweight",B140&gt;=30,"Obesity")</f>
        <v>Obesity</v>
      </c>
      <c r="J140" t="str" cm="1">
        <f t="array" ref="J140">_xlfn.IFS(C140&lt;5.7,"Normal",AND(C140&gt;=5.7,C140&lt;=6.49),"Prediabetes",C140&gt;=6.5,"Diabetes")</f>
        <v>Normal</v>
      </c>
    </row>
    <row r="141" spans="1:10" x14ac:dyDescent="0.3">
      <c r="A141" t="s">
        <v>2233</v>
      </c>
      <c r="B141" s="8">
        <v>36.299999999999997</v>
      </c>
      <c r="C141">
        <v>5.39</v>
      </c>
      <c r="D141" t="s">
        <v>2379</v>
      </c>
      <c r="E141" t="s">
        <v>2379</v>
      </c>
      <c r="F141" t="s">
        <v>2379</v>
      </c>
      <c r="G141">
        <v>0</v>
      </c>
      <c r="H141" t="s">
        <v>2381</v>
      </c>
      <c r="I141" t="str" cm="1">
        <f t="array" ref="I141">_xlfn.IFS(B141&lt;18.5,"Underweight",AND(B141&gt;=18.5,B141&lt;=24.99),"Normalweight",AND(B141&gt;=25,B141&lt;=29.99),"Overweight",B141&gt;=30,"Obesity")</f>
        <v>Obesity</v>
      </c>
      <c r="J141" t="str" cm="1">
        <f t="array" ref="J141">_xlfn.IFS(C141&lt;5.7,"Normal",AND(C141&gt;=5.7,C141&lt;=6.49),"Prediabetes",C141&gt;=6.5,"Diabetes")</f>
        <v>Normal</v>
      </c>
    </row>
    <row r="142" spans="1:10" x14ac:dyDescent="0.3">
      <c r="A142" t="s">
        <v>2232</v>
      </c>
      <c r="B142" s="8">
        <v>35.200000000000003</v>
      </c>
      <c r="C142">
        <v>8.01</v>
      </c>
      <c r="D142" t="s">
        <v>2381</v>
      </c>
      <c r="E142" t="s">
        <v>2379</v>
      </c>
      <c r="F142" t="s">
        <v>2379</v>
      </c>
      <c r="G142">
        <v>1</v>
      </c>
      <c r="H142" t="s">
        <v>2381</v>
      </c>
      <c r="I142" t="str" cm="1">
        <f t="array" ref="I142">_xlfn.IFS(B142&lt;18.5,"Underweight",AND(B142&gt;=18.5,B142&lt;=24.99),"Normalweight",AND(B142&gt;=25,B142&lt;=29.99),"Overweight",B142&gt;=30,"Obesity")</f>
        <v>Obesity</v>
      </c>
      <c r="J142" t="str" cm="1">
        <f t="array" ref="J142">_xlfn.IFS(C142&lt;5.7,"Normal",AND(C142&gt;=5.7,C142&lt;=6.49),"Prediabetes",C142&gt;=6.5,"Diabetes")</f>
        <v>Diabetes</v>
      </c>
    </row>
    <row r="143" spans="1:10" x14ac:dyDescent="0.3">
      <c r="A143" t="s">
        <v>2231</v>
      </c>
      <c r="B143" s="8">
        <v>53.62</v>
      </c>
      <c r="C143">
        <v>5.21</v>
      </c>
      <c r="D143" t="s">
        <v>2379</v>
      </c>
      <c r="E143" t="s">
        <v>2379</v>
      </c>
      <c r="F143" t="s">
        <v>2379</v>
      </c>
      <c r="G143">
        <v>0</v>
      </c>
      <c r="H143" t="s">
        <v>2381</v>
      </c>
      <c r="I143" t="str" cm="1">
        <f t="array" ref="I143">_xlfn.IFS(B143&lt;18.5,"Underweight",AND(B143&gt;=18.5,B143&lt;=24.99),"Normalweight",AND(B143&gt;=25,B143&lt;=29.99),"Overweight",B143&gt;=30,"Obesity")</f>
        <v>Obesity</v>
      </c>
      <c r="J143" t="str" cm="1">
        <f t="array" ref="J143">_xlfn.IFS(C143&lt;5.7,"Normal",AND(C143&gt;=5.7,C143&lt;=6.49),"Prediabetes",C143&gt;=6.5,"Diabetes")</f>
        <v>Normal</v>
      </c>
    </row>
    <row r="144" spans="1:10" x14ac:dyDescent="0.3">
      <c r="A144" t="s">
        <v>2230</v>
      </c>
      <c r="B144" s="8">
        <v>36.67</v>
      </c>
      <c r="C144">
        <v>6.27</v>
      </c>
      <c r="D144" t="s">
        <v>2379</v>
      </c>
      <c r="E144" t="s">
        <v>2379</v>
      </c>
      <c r="F144" t="s">
        <v>2379</v>
      </c>
      <c r="G144">
        <v>0</v>
      </c>
      <c r="H144" t="s">
        <v>2381</v>
      </c>
      <c r="I144" t="str" cm="1">
        <f t="array" ref="I144">_xlfn.IFS(B144&lt;18.5,"Underweight",AND(B144&gt;=18.5,B144&lt;=24.99),"Normalweight",AND(B144&gt;=25,B144&lt;=29.99),"Overweight",B144&gt;=30,"Obesity")</f>
        <v>Obesity</v>
      </c>
      <c r="J144" t="str" cm="1">
        <f t="array" ref="J144">_xlfn.IFS(C144&lt;5.7,"Normal",AND(C144&gt;=5.7,C144&lt;=6.49),"Prediabetes",C144&gt;=6.5,"Diabetes")</f>
        <v>Prediabetes</v>
      </c>
    </row>
    <row r="145" spans="1:10" x14ac:dyDescent="0.3">
      <c r="A145" t="s">
        <v>2229</v>
      </c>
      <c r="B145" s="8">
        <v>33.4</v>
      </c>
      <c r="C145">
        <v>10.73</v>
      </c>
      <c r="D145" t="s">
        <v>2381</v>
      </c>
      <c r="E145" t="s">
        <v>2379</v>
      </c>
      <c r="F145" t="s">
        <v>2379</v>
      </c>
      <c r="G145">
        <v>1</v>
      </c>
      <c r="H145" t="s">
        <v>2381</v>
      </c>
      <c r="I145" t="str" cm="1">
        <f t="array" ref="I145">_xlfn.IFS(B145&lt;18.5,"Underweight",AND(B145&gt;=18.5,B145&lt;=24.99),"Normalweight",AND(B145&gt;=25,B145&lt;=29.99),"Overweight",B145&gt;=30,"Obesity")</f>
        <v>Obesity</v>
      </c>
      <c r="J145" t="str" cm="1">
        <f t="array" ref="J145">_xlfn.IFS(C145&lt;5.7,"Normal",AND(C145&gt;=5.7,C145&lt;=6.49),"Prediabetes",C145&gt;=6.5,"Diabetes")</f>
        <v>Diabetes</v>
      </c>
    </row>
    <row r="146" spans="1:10" x14ac:dyDescent="0.3">
      <c r="A146" t="s">
        <v>2228</v>
      </c>
      <c r="B146" s="8">
        <v>42.71</v>
      </c>
      <c r="C146">
        <v>10.52</v>
      </c>
      <c r="D146" t="s">
        <v>2379</v>
      </c>
      <c r="E146" t="s">
        <v>2379</v>
      </c>
      <c r="F146" t="s">
        <v>2379</v>
      </c>
      <c r="G146">
        <v>0</v>
      </c>
      <c r="H146" t="s">
        <v>2381</v>
      </c>
      <c r="I146" t="str" cm="1">
        <f t="array" ref="I146">_xlfn.IFS(B146&lt;18.5,"Underweight",AND(B146&gt;=18.5,B146&lt;=24.99),"Normalweight",AND(B146&gt;=25,B146&lt;=29.99),"Overweight",B146&gt;=30,"Obesity")</f>
        <v>Obesity</v>
      </c>
      <c r="J146" t="str" cm="1">
        <f t="array" ref="J146">_xlfn.IFS(C146&lt;5.7,"Normal",AND(C146&gt;=5.7,C146&lt;=6.49),"Prediabetes",C146&gt;=6.5,"Diabetes")</f>
        <v>Diabetes</v>
      </c>
    </row>
    <row r="147" spans="1:10" x14ac:dyDescent="0.3">
      <c r="A147" t="s">
        <v>2227</v>
      </c>
      <c r="B147" s="8">
        <v>41.52</v>
      </c>
      <c r="C147">
        <v>11.82</v>
      </c>
      <c r="D147" t="s">
        <v>2381</v>
      </c>
      <c r="E147" t="s">
        <v>2379</v>
      </c>
      <c r="F147" t="s">
        <v>2379</v>
      </c>
      <c r="G147">
        <v>2</v>
      </c>
      <c r="H147" t="s">
        <v>2381</v>
      </c>
      <c r="I147" t="str" cm="1">
        <f t="array" ref="I147">_xlfn.IFS(B147&lt;18.5,"Underweight",AND(B147&gt;=18.5,B147&lt;=24.99),"Normalweight",AND(B147&gt;=25,B147&lt;=29.99),"Overweight",B147&gt;=30,"Obesity")</f>
        <v>Obesity</v>
      </c>
      <c r="J147" t="str" cm="1">
        <f t="array" ref="J147">_xlfn.IFS(C147&lt;5.7,"Normal",AND(C147&gt;=5.7,C147&lt;=6.49),"Prediabetes",C147&gt;=6.5,"Diabetes")</f>
        <v>Diabetes</v>
      </c>
    </row>
    <row r="148" spans="1:10" x14ac:dyDescent="0.3">
      <c r="A148" t="s">
        <v>2226</v>
      </c>
      <c r="B148" s="8">
        <v>39.4</v>
      </c>
      <c r="C148">
        <v>6.76</v>
      </c>
      <c r="D148" t="s">
        <v>2379</v>
      </c>
      <c r="E148" t="s">
        <v>2379</v>
      </c>
      <c r="F148" t="s">
        <v>2379</v>
      </c>
      <c r="G148">
        <v>0</v>
      </c>
      <c r="H148" t="s">
        <v>2381</v>
      </c>
      <c r="I148" t="str" cm="1">
        <f t="array" ref="I148">_xlfn.IFS(B148&lt;18.5,"Underweight",AND(B148&gt;=18.5,B148&lt;=24.99),"Normalweight",AND(B148&gt;=25,B148&lt;=29.99),"Overweight",B148&gt;=30,"Obesity")</f>
        <v>Obesity</v>
      </c>
      <c r="J148" t="str" cm="1">
        <f t="array" ref="J148">_xlfn.IFS(C148&lt;5.7,"Normal",AND(C148&gt;=5.7,C148&lt;=6.49),"Prediabetes",C148&gt;=6.5,"Diabetes")</f>
        <v>Diabetes</v>
      </c>
    </row>
    <row r="149" spans="1:10" x14ac:dyDescent="0.3">
      <c r="A149" t="s">
        <v>2225</v>
      </c>
      <c r="B149" s="8">
        <v>46.45</v>
      </c>
      <c r="C149">
        <v>5.62</v>
      </c>
      <c r="D149" t="s">
        <v>2379</v>
      </c>
      <c r="E149" t="s">
        <v>2379</v>
      </c>
      <c r="F149" t="s">
        <v>2379</v>
      </c>
      <c r="G149">
        <v>0</v>
      </c>
      <c r="H149" t="s">
        <v>2381</v>
      </c>
      <c r="I149" t="str" cm="1">
        <f t="array" ref="I149">_xlfn.IFS(B149&lt;18.5,"Underweight",AND(B149&gt;=18.5,B149&lt;=24.99),"Normalweight",AND(B149&gt;=25,B149&lt;=29.99),"Overweight",B149&gt;=30,"Obesity")</f>
        <v>Obesity</v>
      </c>
      <c r="J149" t="str" cm="1">
        <f t="array" ref="J149">_xlfn.IFS(C149&lt;5.7,"Normal",AND(C149&gt;=5.7,C149&lt;=6.49),"Prediabetes",C149&gt;=6.5,"Diabetes")</f>
        <v>Normal</v>
      </c>
    </row>
    <row r="150" spans="1:10" x14ac:dyDescent="0.3">
      <c r="A150" t="s">
        <v>2224</v>
      </c>
      <c r="B150" s="8">
        <v>35.75</v>
      </c>
      <c r="C150">
        <v>4.1900000000000004</v>
      </c>
      <c r="D150" t="s">
        <v>2379</v>
      </c>
      <c r="E150" t="s">
        <v>2379</v>
      </c>
      <c r="F150" t="s">
        <v>2379</v>
      </c>
      <c r="G150">
        <v>0</v>
      </c>
      <c r="H150" t="s">
        <v>2381</v>
      </c>
      <c r="I150" t="str" cm="1">
        <f t="array" ref="I150">_xlfn.IFS(B150&lt;18.5,"Underweight",AND(B150&gt;=18.5,B150&lt;=24.99),"Normalweight",AND(B150&gt;=25,B150&lt;=29.99),"Overweight",B150&gt;=30,"Obesity")</f>
        <v>Obesity</v>
      </c>
      <c r="J150" t="str" cm="1">
        <f t="array" ref="J150">_xlfn.IFS(C150&lt;5.7,"Normal",AND(C150&gt;=5.7,C150&lt;=6.49),"Prediabetes",C150&gt;=6.5,"Diabetes")</f>
        <v>Normal</v>
      </c>
    </row>
    <row r="151" spans="1:10" x14ac:dyDescent="0.3">
      <c r="A151" t="s">
        <v>2223</v>
      </c>
      <c r="B151" s="8">
        <v>26.07</v>
      </c>
      <c r="C151">
        <v>5.32</v>
      </c>
      <c r="D151" t="s">
        <v>2379</v>
      </c>
      <c r="E151" t="s">
        <v>2379</v>
      </c>
      <c r="F151" t="s">
        <v>2379</v>
      </c>
      <c r="G151">
        <v>0</v>
      </c>
      <c r="H151" t="s">
        <v>2381</v>
      </c>
      <c r="I151" t="str" cm="1">
        <f t="array" ref="I151">_xlfn.IFS(B151&lt;18.5,"Underweight",AND(B151&gt;=18.5,B151&lt;=24.99),"Normalweight",AND(B151&gt;=25,B151&lt;=29.99),"Overweight",B151&gt;=30,"Obesity")</f>
        <v>Overweight</v>
      </c>
      <c r="J151" t="str" cm="1">
        <f t="array" ref="J151">_xlfn.IFS(C151&lt;5.7,"Normal",AND(C151&gt;=5.7,C151&lt;=6.49),"Prediabetes",C151&gt;=6.5,"Diabetes")</f>
        <v>Normal</v>
      </c>
    </row>
    <row r="152" spans="1:10" x14ac:dyDescent="0.3">
      <c r="A152" t="s">
        <v>2222</v>
      </c>
      <c r="B152" s="8">
        <v>36.54</v>
      </c>
      <c r="C152">
        <v>4.46</v>
      </c>
      <c r="D152" t="s">
        <v>2381</v>
      </c>
      <c r="E152" t="s">
        <v>2379</v>
      </c>
      <c r="F152" t="s">
        <v>2379</v>
      </c>
      <c r="G152">
        <v>1</v>
      </c>
      <c r="H152" t="s">
        <v>2381</v>
      </c>
      <c r="I152" t="str" cm="1">
        <f t="array" ref="I152">_xlfn.IFS(B152&lt;18.5,"Underweight",AND(B152&gt;=18.5,B152&lt;=24.99),"Normalweight",AND(B152&gt;=25,B152&lt;=29.99),"Overweight",B152&gt;=30,"Obesity")</f>
        <v>Obesity</v>
      </c>
      <c r="J152" t="str" cm="1">
        <f t="array" ref="J152">_xlfn.IFS(C152&lt;5.7,"Normal",AND(C152&gt;=5.7,C152&lt;=6.49),"Prediabetes",C152&gt;=6.5,"Diabetes")</f>
        <v>Normal</v>
      </c>
    </row>
    <row r="153" spans="1:10" x14ac:dyDescent="0.3">
      <c r="A153" t="s">
        <v>2221</v>
      </c>
      <c r="B153" s="8">
        <v>51.64</v>
      </c>
      <c r="C153">
        <v>5.65</v>
      </c>
      <c r="D153" t="s">
        <v>2379</v>
      </c>
      <c r="E153" t="s">
        <v>2379</v>
      </c>
      <c r="F153" t="s">
        <v>2379</v>
      </c>
      <c r="G153">
        <v>0</v>
      </c>
      <c r="H153" t="s">
        <v>2381</v>
      </c>
      <c r="I153" t="str" cm="1">
        <f t="array" ref="I153">_xlfn.IFS(B153&lt;18.5,"Underweight",AND(B153&gt;=18.5,B153&lt;=24.99),"Normalweight",AND(B153&gt;=25,B153&lt;=29.99),"Overweight",B153&gt;=30,"Obesity")</f>
        <v>Obesity</v>
      </c>
      <c r="J153" t="str" cm="1">
        <f t="array" ref="J153">_xlfn.IFS(C153&lt;5.7,"Normal",AND(C153&gt;=5.7,C153&lt;=6.49),"Prediabetes",C153&gt;=6.5,"Diabetes")</f>
        <v>Normal</v>
      </c>
    </row>
    <row r="154" spans="1:10" x14ac:dyDescent="0.3">
      <c r="A154" t="s">
        <v>2220</v>
      </c>
      <c r="B154" s="8">
        <v>42.83</v>
      </c>
      <c r="C154">
        <v>6.04</v>
      </c>
      <c r="D154" t="s">
        <v>2379</v>
      </c>
      <c r="E154" t="s">
        <v>2379</v>
      </c>
      <c r="F154" t="s">
        <v>2379</v>
      </c>
      <c r="G154">
        <v>2</v>
      </c>
      <c r="H154" t="s">
        <v>2381</v>
      </c>
      <c r="I154" t="str" cm="1">
        <f t="array" ref="I154">_xlfn.IFS(B154&lt;18.5,"Underweight",AND(B154&gt;=18.5,B154&lt;=24.99),"Normalweight",AND(B154&gt;=25,B154&lt;=29.99),"Overweight",B154&gt;=30,"Obesity")</f>
        <v>Obesity</v>
      </c>
      <c r="J154" t="str" cm="1">
        <f t="array" ref="J154">_xlfn.IFS(C154&lt;5.7,"Normal",AND(C154&gt;=5.7,C154&lt;=6.49),"Prediabetes",C154&gt;=6.5,"Diabetes")</f>
        <v>Prediabetes</v>
      </c>
    </row>
    <row r="155" spans="1:10" x14ac:dyDescent="0.3">
      <c r="A155" t="s">
        <v>2219</v>
      </c>
      <c r="B155" s="8">
        <v>40.15</v>
      </c>
      <c r="C155">
        <v>5.76</v>
      </c>
      <c r="D155" t="s">
        <v>2379</v>
      </c>
      <c r="E155" t="s">
        <v>2379</v>
      </c>
      <c r="F155" t="s">
        <v>2379</v>
      </c>
      <c r="G155">
        <v>1</v>
      </c>
      <c r="H155" t="s">
        <v>2381</v>
      </c>
      <c r="I155" t="str" cm="1">
        <f t="array" ref="I155">_xlfn.IFS(B155&lt;18.5,"Underweight",AND(B155&gt;=18.5,B155&lt;=24.99),"Normalweight",AND(B155&gt;=25,B155&lt;=29.99),"Overweight",B155&gt;=30,"Obesity")</f>
        <v>Obesity</v>
      </c>
      <c r="J155" t="str" cm="1">
        <f t="array" ref="J155">_xlfn.IFS(C155&lt;5.7,"Normal",AND(C155&gt;=5.7,C155&lt;=6.49),"Prediabetes",C155&gt;=6.5,"Diabetes")</f>
        <v>Prediabetes</v>
      </c>
    </row>
    <row r="156" spans="1:10" x14ac:dyDescent="0.3">
      <c r="A156" t="s">
        <v>2218</v>
      </c>
      <c r="B156" s="8">
        <v>27.8</v>
      </c>
      <c r="C156">
        <v>4.3600000000000003</v>
      </c>
      <c r="D156" t="s">
        <v>2379</v>
      </c>
      <c r="E156" t="s">
        <v>2379</v>
      </c>
      <c r="F156" t="s">
        <v>2381</v>
      </c>
      <c r="G156">
        <v>1</v>
      </c>
      <c r="H156" t="s">
        <v>2381</v>
      </c>
      <c r="I156" t="str" cm="1">
        <f t="array" ref="I156">_xlfn.IFS(B156&lt;18.5,"Underweight",AND(B156&gt;=18.5,B156&lt;=24.99),"Normalweight",AND(B156&gt;=25,B156&lt;=29.99),"Overweight",B156&gt;=30,"Obesity")</f>
        <v>Overweight</v>
      </c>
      <c r="J156" t="str" cm="1">
        <f t="array" ref="J156">_xlfn.IFS(C156&lt;5.7,"Normal",AND(C156&gt;=5.7,C156&lt;=6.49),"Prediabetes",C156&gt;=6.5,"Diabetes")</f>
        <v>Normal</v>
      </c>
    </row>
    <row r="157" spans="1:10" x14ac:dyDescent="0.3">
      <c r="A157" t="s">
        <v>2217</v>
      </c>
      <c r="B157" s="8">
        <v>45.81</v>
      </c>
      <c r="C157">
        <v>4.76</v>
      </c>
      <c r="D157" t="s">
        <v>2381</v>
      </c>
      <c r="E157" t="s">
        <v>2379</v>
      </c>
      <c r="F157" t="s">
        <v>2381</v>
      </c>
      <c r="G157">
        <v>1</v>
      </c>
      <c r="H157" t="s">
        <v>2381</v>
      </c>
      <c r="I157" t="str" cm="1">
        <f t="array" ref="I157">_xlfn.IFS(B157&lt;18.5,"Underweight",AND(B157&gt;=18.5,B157&lt;=24.99),"Normalweight",AND(B157&gt;=25,B157&lt;=29.99),"Overweight",B157&gt;=30,"Obesity")</f>
        <v>Obesity</v>
      </c>
      <c r="J157" t="str" cm="1">
        <f t="array" ref="J157">_xlfn.IFS(C157&lt;5.7,"Normal",AND(C157&gt;=5.7,C157&lt;=6.49),"Prediabetes",C157&gt;=6.5,"Diabetes")</f>
        <v>Normal</v>
      </c>
    </row>
    <row r="158" spans="1:10" x14ac:dyDescent="0.3">
      <c r="A158" t="s">
        <v>2216</v>
      </c>
      <c r="B158" s="8">
        <v>34.43</v>
      </c>
      <c r="C158">
        <v>10.82</v>
      </c>
      <c r="D158" t="s">
        <v>2381</v>
      </c>
      <c r="E158" t="s">
        <v>2379</v>
      </c>
      <c r="F158" t="s">
        <v>2379</v>
      </c>
      <c r="G158">
        <v>1</v>
      </c>
      <c r="H158" t="s">
        <v>2381</v>
      </c>
      <c r="I158" t="str" cm="1">
        <f t="array" ref="I158">_xlfn.IFS(B158&lt;18.5,"Underweight",AND(B158&gt;=18.5,B158&lt;=24.99),"Normalweight",AND(B158&gt;=25,B158&lt;=29.99),"Overweight",B158&gt;=30,"Obesity")</f>
        <v>Obesity</v>
      </c>
      <c r="J158" t="str" cm="1">
        <f t="array" ref="J158">_xlfn.IFS(C158&lt;5.7,"Normal",AND(C158&gt;=5.7,C158&lt;=6.49),"Prediabetes",C158&gt;=6.5,"Diabetes")</f>
        <v>Diabetes</v>
      </c>
    </row>
    <row r="159" spans="1:10" x14ac:dyDescent="0.3">
      <c r="A159" t="s">
        <v>2215</v>
      </c>
      <c r="B159" s="8">
        <v>41.33</v>
      </c>
      <c r="C159">
        <v>4.01</v>
      </c>
      <c r="D159" t="s">
        <v>2381</v>
      </c>
      <c r="E159" t="s">
        <v>2379</v>
      </c>
      <c r="F159" t="s">
        <v>2379</v>
      </c>
      <c r="G159">
        <v>0</v>
      </c>
      <c r="H159" t="s">
        <v>2381</v>
      </c>
      <c r="I159" t="str" cm="1">
        <f t="array" ref="I159">_xlfn.IFS(B159&lt;18.5,"Underweight",AND(B159&gt;=18.5,B159&lt;=24.99),"Normalweight",AND(B159&gt;=25,B159&lt;=29.99),"Overweight",B159&gt;=30,"Obesity")</f>
        <v>Obesity</v>
      </c>
      <c r="J159" t="str" cm="1">
        <f t="array" ref="J159">_xlfn.IFS(C159&lt;5.7,"Normal",AND(C159&gt;=5.7,C159&lt;=6.49),"Prediabetes",C159&gt;=6.5,"Diabetes")</f>
        <v>Normal</v>
      </c>
    </row>
    <row r="160" spans="1:10" x14ac:dyDescent="0.3">
      <c r="A160" t="s">
        <v>2214</v>
      </c>
      <c r="B160" s="8">
        <v>31.92</v>
      </c>
      <c r="C160">
        <v>5.12</v>
      </c>
      <c r="D160" t="s">
        <v>2381</v>
      </c>
      <c r="E160" t="s">
        <v>2379</v>
      </c>
      <c r="F160" t="s">
        <v>2379</v>
      </c>
      <c r="G160">
        <v>1</v>
      </c>
      <c r="H160" t="s">
        <v>2381</v>
      </c>
      <c r="I160" t="str" cm="1">
        <f t="array" ref="I160">_xlfn.IFS(B160&lt;18.5,"Underweight",AND(B160&gt;=18.5,B160&lt;=24.99),"Normalweight",AND(B160&gt;=25,B160&lt;=29.99),"Overweight",B160&gt;=30,"Obesity")</f>
        <v>Obesity</v>
      </c>
      <c r="J160" t="str" cm="1">
        <f t="array" ref="J160">_xlfn.IFS(C160&lt;5.7,"Normal",AND(C160&gt;=5.7,C160&lt;=6.49),"Prediabetes",C160&gt;=6.5,"Diabetes")</f>
        <v>Normal</v>
      </c>
    </row>
    <row r="161" spans="1:10" x14ac:dyDescent="0.3">
      <c r="A161" t="s">
        <v>2213</v>
      </c>
      <c r="B161" s="8">
        <v>39.799999999999997</v>
      </c>
      <c r="C161">
        <v>10.54</v>
      </c>
      <c r="D161" t="s">
        <v>2381</v>
      </c>
      <c r="E161" t="s">
        <v>2379</v>
      </c>
      <c r="F161" t="s">
        <v>2379</v>
      </c>
      <c r="G161">
        <v>2</v>
      </c>
      <c r="H161" t="s">
        <v>2381</v>
      </c>
      <c r="I161" t="str" cm="1">
        <f t="array" ref="I161">_xlfn.IFS(B161&lt;18.5,"Underweight",AND(B161&gt;=18.5,B161&lt;=24.99),"Normalweight",AND(B161&gt;=25,B161&lt;=29.99),"Overweight",B161&gt;=30,"Obesity")</f>
        <v>Obesity</v>
      </c>
      <c r="J161" t="str" cm="1">
        <f t="array" ref="J161">_xlfn.IFS(C161&lt;5.7,"Normal",AND(C161&gt;=5.7,C161&lt;=6.49),"Prediabetes",C161&gt;=6.5,"Diabetes")</f>
        <v>Diabetes</v>
      </c>
    </row>
    <row r="162" spans="1:10" x14ac:dyDescent="0.3">
      <c r="A162" t="s">
        <v>2212</v>
      </c>
      <c r="B162" s="8">
        <v>42.82</v>
      </c>
      <c r="C162">
        <v>4.21</v>
      </c>
      <c r="D162" t="s">
        <v>2379</v>
      </c>
      <c r="E162" t="s">
        <v>2379</v>
      </c>
      <c r="F162" t="s">
        <v>2379</v>
      </c>
      <c r="G162">
        <v>0</v>
      </c>
      <c r="H162" t="s">
        <v>2381</v>
      </c>
      <c r="I162" t="str" cm="1">
        <f t="array" ref="I162">_xlfn.IFS(B162&lt;18.5,"Underweight",AND(B162&gt;=18.5,B162&lt;=24.99),"Normalweight",AND(B162&gt;=25,B162&lt;=29.99),"Overweight",B162&gt;=30,"Obesity")</f>
        <v>Obesity</v>
      </c>
      <c r="J162" t="str" cm="1">
        <f t="array" ref="J162">_xlfn.IFS(C162&lt;5.7,"Normal",AND(C162&gt;=5.7,C162&lt;=6.49),"Prediabetes",C162&gt;=6.5,"Diabetes")</f>
        <v>Normal</v>
      </c>
    </row>
    <row r="163" spans="1:10" x14ac:dyDescent="0.3">
      <c r="A163" t="s">
        <v>2211</v>
      </c>
      <c r="B163" s="8">
        <v>33.630000000000003</v>
      </c>
      <c r="C163">
        <v>5.42</v>
      </c>
      <c r="D163" t="s">
        <v>2379</v>
      </c>
      <c r="E163" t="s">
        <v>2379</v>
      </c>
      <c r="F163" t="s">
        <v>2379</v>
      </c>
      <c r="G163">
        <v>0</v>
      </c>
      <c r="H163" t="s">
        <v>2381</v>
      </c>
      <c r="I163" t="str" cm="1">
        <f t="array" ref="I163">_xlfn.IFS(B163&lt;18.5,"Underweight",AND(B163&gt;=18.5,B163&lt;=24.99),"Normalweight",AND(B163&gt;=25,B163&lt;=29.99),"Overweight",B163&gt;=30,"Obesity")</f>
        <v>Obesity</v>
      </c>
      <c r="J163" t="str" cm="1">
        <f t="array" ref="J163">_xlfn.IFS(C163&lt;5.7,"Normal",AND(C163&gt;=5.7,C163&lt;=6.49),"Prediabetes",C163&gt;=6.5,"Diabetes")</f>
        <v>Normal</v>
      </c>
    </row>
    <row r="164" spans="1:10" x14ac:dyDescent="0.3">
      <c r="A164" t="s">
        <v>2210</v>
      </c>
      <c r="B164" s="8">
        <v>37.07</v>
      </c>
      <c r="C164">
        <v>4.28</v>
      </c>
      <c r="D164" t="s">
        <v>2379</v>
      </c>
      <c r="E164" t="s">
        <v>2380</v>
      </c>
      <c r="F164" t="s">
        <v>2379</v>
      </c>
      <c r="G164">
        <v>1</v>
      </c>
      <c r="H164" t="s">
        <v>2381</v>
      </c>
      <c r="I164" t="str" cm="1">
        <f t="array" ref="I164">_xlfn.IFS(B164&lt;18.5,"Underweight",AND(B164&gt;=18.5,B164&lt;=24.99),"Normalweight",AND(B164&gt;=25,B164&lt;=29.99),"Overweight",B164&gt;=30,"Obesity")</f>
        <v>Obesity</v>
      </c>
      <c r="J164" t="str" cm="1">
        <f t="array" ref="J164">_xlfn.IFS(C164&lt;5.7,"Normal",AND(C164&gt;=5.7,C164&lt;=6.49),"Prediabetes",C164&gt;=6.5,"Diabetes")</f>
        <v>Normal</v>
      </c>
    </row>
    <row r="165" spans="1:10" x14ac:dyDescent="0.3">
      <c r="A165" t="s">
        <v>2209</v>
      </c>
      <c r="B165" s="8">
        <v>35.625</v>
      </c>
      <c r="C165">
        <v>8.9</v>
      </c>
      <c r="D165" t="s">
        <v>2379</v>
      </c>
      <c r="E165" t="s">
        <v>2379</v>
      </c>
      <c r="F165" t="s">
        <v>2379</v>
      </c>
      <c r="G165">
        <v>0</v>
      </c>
      <c r="H165" t="s">
        <v>2381</v>
      </c>
      <c r="I165" t="str" cm="1">
        <f t="array" ref="I165">_xlfn.IFS(B165&lt;18.5,"Underweight",AND(B165&gt;=18.5,B165&lt;=24.99),"Normalweight",AND(B165&gt;=25,B165&lt;=29.99),"Overweight",B165&gt;=30,"Obesity")</f>
        <v>Obesity</v>
      </c>
      <c r="J165" t="str" cm="1">
        <f t="array" ref="J165">_xlfn.IFS(C165&lt;5.7,"Normal",AND(C165&gt;=5.7,C165&lt;=6.49),"Prediabetes",C165&gt;=6.5,"Diabetes")</f>
        <v>Diabetes</v>
      </c>
    </row>
    <row r="166" spans="1:10" x14ac:dyDescent="0.3">
      <c r="A166" t="s">
        <v>2208</v>
      </c>
      <c r="B166" s="8">
        <v>42.69</v>
      </c>
      <c r="C166">
        <v>4.8899999999999997</v>
      </c>
      <c r="D166" t="s">
        <v>2379</v>
      </c>
      <c r="E166" t="s">
        <v>2379</v>
      </c>
      <c r="F166" t="s">
        <v>2381</v>
      </c>
      <c r="G166">
        <v>1</v>
      </c>
      <c r="H166" t="s">
        <v>2381</v>
      </c>
      <c r="I166" t="str" cm="1">
        <f t="array" ref="I166">_xlfn.IFS(B166&lt;18.5,"Underweight",AND(B166&gt;=18.5,B166&lt;=24.99),"Normalweight",AND(B166&gt;=25,B166&lt;=29.99),"Overweight",B166&gt;=30,"Obesity")</f>
        <v>Obesity</v>
      </c>
      <c r="J166" t="str" cm="1">
        <f t="array" ref="J166">_xlfn.IFS(C166&lt;5.7,"Normal",AND(C166&gt;=5.7,C166&lt;=6.49),"Prediabetes",C166&gt;=6.5,"Diabetes")</f>
        <v>Normal</v>
      </c>
    </row>
    <row r="167" spans="1:10" x14ac:dyDescent="0.3">
      <c r="A167" t="s">
        <v>2207</v>
      </c>
      <c r="B167" s="8">
        <v>37.869999999999997</v>
      </c>
      <c r="C167">
        <v>4.29</v>
      </c>
      <c r="D167" t="s">
        <v>2381</v>
      </c>
      <c r="E167" t="s">
        <v>2379</v>
      </c>
      <c r="F167" t="s">
        <v>2381</v>
      </c>
      <c r="G167">
        <v>1</v>
      </c>
      <c r="H167" t="s">
        <v>2381</v>
      </c>
      <c r="I167" t="str" cm="1">
        <f t="array" ref="I167">_xlfn.IFS(B167&lt;18.5,"Underweight",AND(B167&gt;=18.5,B167&lt;=24.99),"Normalweight",AND(B167&gt;=25,B167&lt;=29.99),"Overweight",B167&gt;=30,"Obesity")</f>
        <v>Obesity</v>
      </c>
      <c r="J167" t="str" cm="1">
        <f t="array" ref="J167">_xlfn.IFS(C167&lt;5.7,"Normal",AND(C167&gt;=5.7,C167&lt;=6.49),"Prediabetes",C167&gt;=6.5,"Diabetes")</f>
        <v>Normal</v>
      </c>
    </row>
    <row r="168" spans="1:10" x14ac:dyDescent="0.3">
      <c r="A168" t="s">
        <v>2206</v>
      </c>
      <c r="B168" s="8">
        <v>40.61</v>
      </c>
      <c r="C168">
        <v>8</v>
      </c>
      <c r="D168" t="s">
        <v>2381</v>
      </c>
      <c r="E168" t="s">
        <v>2379</v>
      </c>
      <c r="F168" t="s">
        <v>2379</v>
      </c>
      <c r="G168">
        <v>1</v>
      </c>
      <c r="H168" t="s">
        <v>2381</v>
      </c>
      <c r="I168" t="str" cm="1">
        <f t="array" ref="I168">_xlfn.IFS(B168&lt;18.5,"Underweight",AND(B168&gt;=18.5,B168&lt;=24.99),"Normalweight",AND(B168&gt;=25,B168&lt;=29.99),"Overweight",B168&gt;=30,"Obesity")</f>
        <v>Obesity</v>
      </c>
      <c r="J168" t="str" cm="1">
        <f t="array" ref="J168">_xlfn.IFS(C168&lt;5.7,"Normal",AND(C168&gt;=5.7,C168&lt;=6.49),"Prediabetes",C168&gt;=6.5,"Diabetes")</f>
        <v>Diabetes</v>
      </c>
    </row>
    <row r="169" spans="1:10" x14ac:dyDescent="0.3">
      <c r="A169" t="s">
        <v>2205</v>
      </c>
      <c r="B169" s="8">
        <v>30.78</v>
      </c>
      <c r="C169">
        <v>4.67</v>
      </c>
      <c r="D169" t="s">
        <v>2381</v>
      </c>
      <c r="E169" t="s">
        <v>2379</v>
      </c>
      <c r="F169" t="s">
        <v>2379</v>
      </c>
      <c r="G169">
        <v>0</v>
      </c>
      <c r="H169" t="s">
        <v>2381</v>
      </c>
      <c r="I169" t="str" cm="1">
        <f t="array" ref="I169">_xlfn.IFS(B169&lt;18.5,"Underweight",AND(B169&gt;=18.5,B169&lt;=24.99),"Normalweight",AND(B169&gt;=25,B169&lt;=29.99),"Overweight",B169&gt;=30,"Obesity")</f>
        <v>Obesity</v>
      </c>
      <c r="J169" t="str" cm="1">
        <f t="array" ref="J169">_xlfn.IFS(C169&lt;5.7,"Normal",AND(C169&gt;=5.7,C169&lt;=6.49),"Prediabetes",C169&gt;=6.5,"Diabetes")</f>
        <v>Normal</v>
      </c>
    </row>
    <row r="170" spans="1:10" x14ac:dyDescent="0.3">
      <c r="A170" t="s">
        <v>2204</v>
      </c>
      <c r="B170" s="8">
        <v>49.49</v>
      </c>
      <c r="C170">
        <v>4.5</v>
      </c>
      <c r="D170" t="s">
        <v>2379</v>
      </c>
      <c r="E170" t="s">
        <v>2379</v>
      </c>
      <c r="F170" t="s">
        <v>2379</v>
      </c>
      <c r="G170">
        <v>0</v>
      </c>
      <c r="H170" t="s">
        <v>2381</v>
      </c>
      <c r="I170" t="str" cm="1">
        <f t="array" ref="I170">_xlfn.IFS(B170&lt;18.5,"Underweight",AND(B170&gt;=18.5,B170&lt;=24.99),"Normalweight",AND(B170&gt;=25,B170&lt;=29.99),"Overweight",B170&gt;=30,"Obesity")</f>
        <v>Obesity</v>
      </c>
      <c r="J170" t="str" cm="1">
        <f t="array" ref="J170">_xlfn.IFS(C170&lt;5.7,"Normal",AND(C170&gt;=5.7,C170&lt;=6.49),"Prediabetes",C170&gt;=6.5,"Diabetes")</f>
        <v>Normal</v>
      </c>
    </row>
    <row r="171" spans="1:10" x14ac:dyDescent="0.3">
      <c r="A171" t="s">
        <v>2203</v>
      </c>
      <c r="B171" s="8">
        <v>37.619999999999997</v>
      </c>
      <c r="C171">
        <v>6.32</v>
      </c>
      <c r="D171" t="s">
        <v>2381</v>
      </c>
      <c r="E171" t="s">
        <v>2380</v>
      </c>
      <c r="F171" t="s">
        <v>2379</v>
      </c>
      <c r="G171">
        <v>2</v>
      </c>
      <c r="H171" t="s">
        <v>2381</v>
      </c>
      <c r="I171" t="str" cm="1">
        <f t="array" ref="I171">_xlfn.IFS(B171&lt;18.5,"Underweight",AND(B171&gt;=18.5,B171&lt;=24.99),"Normalweight",AND(B171&gt;=25,B171&lt;=29.99),"Overweight",B171&gt;=30,"Obesity")</f>
        <v>Obesity</v>
      </c>
      <c r="J171" t="str" cm="1">
        <f t="array" ref="J171">_xlfn.IFS(C171&lt;5.7,"Normal",AND(C171&gt;=5.7,C171&lt;=6.49),"Prediabetes",C171&gt;=6.5,"Diabetes")</f>
        <v>Prediabetes</v>
      </c>
    </row>
    <row r="172" spans="1:10" x14ac:dyDescent="0.3">
      <c r="A172" t="s">
        <v>2202</v>
      </c>
      <c r="B172" s="8">
        <v>36.08</v>
      </c>
      <c r="C172">
        <v>6.1</v>
      </c>
      <c r="D172" t="s">
        <v>2381</v>
      </c>
      <c r="E172" t="s">
        <v>2379</v>
      </c>
      <c r="F172" t="s">
        <v>2379</v>
      </c>
      <c r="G172">
        <v>1</v>
      </c>
      <c r="H172" t="s">
        <v>2381</v>
      </c>
      <c r="I172" t="str" cm="1">
        <f t="array" ref="I172">_xlfn.IFS(B172&lt;18.5,"Underweight",AND(B172&gt;=18.5,B172&lt;=24.99),"Normalweight",AND(B172&gt;=25,B172&lt;=29.99),"Overweight",B172&gt;=30,"Obesity")</f>
        <v>Obesity</v>
      </c>
      <c r="J172" t="str" cm="1">
        <f t="array" ref="J172">_xlfn.IFS(C172&lt;5.7,"Normal",AND(C172&gt;=5.7,C172&lt;=6.49),"Prediabetes",C172&gt;=6.5,"Diabetes")</f>
        <v>Prediabetes</v>
      </c>
    </row>
    <row r="173" spans="1:10" x14ac:dyDescent="0.3">
      <c r="A173" t="s">
        <v>2201</v>
      </c>
      <c r="B173" s="8">
        <v>33.5</v>
      </c>
      <c r="C173">
        <v>5.4</v>
      </c>
      <c r="D173" t="s">
        <v>2379</v>
      </c>
      <c r="E173" t="s">
        <v>2379</v>
      </c>
      <c r="F173" t="s">
        <v>2379</v>
      </c>
      <c r="G173">
        <v>0</v>
      </c>
      <c r="H173" t="s">
        <v>2381</v>
      </c>
      <c r="I173" t="str" cm="1">
        <f t="array" ref="I173">_xlfn.IFS(B173&lt;18.5,"Underweight",AND(B173&gt;=18.5,B173&lt;=24.99),"Normalweight",AND(B173&gt;=25,B173&lt;=29.99),"Overweight",B173&gt;=30,"Obesity")</f>
        <v>Obesity</v>
      </c>
      <c r="J173" t="str" cm="1">
        <f t="array" ref="J173">_xlfn.IFS(C173&lt;5.7,"Normal",AND(C173&gt;=5.7,C173&lt;=6.49),"Prediabetes",C173&gt;=6.5,"Diabetes")</f>
        <v>Normal</v>
      </c>
    </row>
    <row r="174" spans="1:10" x14ac:dyDescent="0.3">
      <c r="A174" t="s">
        <v>2200</v>
      </c>
      <c r="B174" s="8">
        <v>47.46</v>
      </c>
      <c r="C174">
        <v>6.24</v>
      </c>
      <c r="D174" t="s">
        <v>2381</v>
      </c>
      <c r="E174" t="s">
        <v>2379</v>
      </c>
      <c r="F174" t="s">
        <v>2379</v>
      </c>
      <c r="G174">
        <v>1</v>
      </c>
      <c r="H174" t="s">
        <v>2381</v>
      </c>
      <c r="I174" t="str" cm="1">
        <f t="array" ref="I174">_xlfn.IFS(B174&lt;18.5,"Underweight",AND(B174&gt;=18.5,B174&lt;=24.99),"Normalweight",AND(B174&gt;=25,B174&lt;=29.99),"Overweight",B174&gt;=30,"Obesity")</f>
        <v>Obesity</v>
      </c>
      <c r="J174" t="str" cm="1">
        <f t="array" ref="J174">_xlfn.IFS(C174&lt;5.7,"Normal",AND(C174&gt;=5.7,C174&lt;=6.49),"Prediabetes",C174&gt;=6.5,"Diabetes")</f>
        <v>Prediabetes</v>
      </c>
    </row>
    <row r="175" spans="1:10" x14ac:dyDescent="0.3">
      <c r="A175" t="s">
        <v>2199</v>
      </c>
      <c r="B175" s="8">
        <v>49.24</v>
      </c>
      <c r="C175">
        <v>4.45</v>
      </c>
      <c r="D175" t="s">
        <v>2379</v>
      </c>
      <c r="E175" t="s">
        <v>2379</v>
      </c>
      <c r="F175" t="s">
        <v>2379</v>
      </c>
      <c r="G175">
        <v>0</v>
      </c>
      <c r="H175" t="s">
        <v>2381</v>
      </c>
      <c r="I175" t="str" cm="1">
        <f t="array" ref="I175">_xlfn.IFS(B175&lt;18.5,"Underweight",AND(B175&gt;=18.5,B175&lt;=24.99),"Normalweight",AND(B175&gt;=25,B175&lt;=29.99),"Overweight",B175&gt;=30,"Obesity")</f>
        <v>Obesity</v>
      </c>
      <c r="J175" t="str" cm="1">
        <f t="array" ref="J175">_xlfn.IFS(C175&lt;5.7,"Normal",AND(C175&gt;=5.7,C175&lt;=6.49),"Prediabetes",C175&gt;=6.5,"Diabetes")</f>
        <v>Normal</v>
      </c>
    </row>
    <row r="176" spans="1:10" x14ac:dyDescent="0.3">
      <c r="A176" t="s">
        <v>2198</v>
      </c>
      <c r="B176" s="8">
        <v>54.4</v>
      </c>
      <c r="C176">
        <v>5.22</v>
      </c>
      <c r="D176" t="s">
        <v>2379</v>
      </c>
      <c r="E176" t="s">
        <v>2379</v>
      </c>
      <c r="F176" t="s">
        <v>2379</v>
      </c>
      <c r="G176">
        <v>1</v>
      </c>
      <c r="H176" t="s">
        <v>2381</v>
      </c>
      <c r="I176" t="str" cm="1">
        <f t="array" ref="I176">_xlfn.IFS(B176&lt;18.5,"Underweight",AND(B176&gt;=18.5,B176&lt;=24.99),"Normalweight",AND(B176&gt;=25,B176&lt;=29.99),"Overweight",B176&gt;=30,"Obesity")</f>
        <v>Obesity</v>
      </c>
      <c r="J176" t="str" cm="1">
        <f t="array" ref="J176">_xlfn.IFS(C176&lt;5.7,"Normal",AND(C176&gt;=5.7,C176&lt;=6.49),"Prediabetes",C176&gt;=6.5,"Diabetes")</f>
        <v>Normal</v>
      </c>
    </row>
    <row r="177" spans="1:10" x14ac:dyDescent="0.3">
      <c r="A177" t="s">
        <v>2197</v>
      </c>
      <c r="B177" s="8">
        <v>35.53</v>
      </c>
      <c r="C177">
        <v>4.6100000000000003</v>
      </c>
      <c r="D177" t="s">
        <v>2379</v>
      </c>
      <c r="E177" t="s">
        <v>2379</v>
      </c>
      <c r="F177" t="s">
        <v>2379</v>
      </c>
      <c r="G177">
        <v>1</v>
      </c>
      <c r="H177" t="s">
        <v>2381</v>
      </c>
      <c r="I177" t="str" cm="1">
        <f t="array" ref="I177">_xlfn.IFS(B177&lt;18.5,"Underweight",AND(B177&gt;=18.5,B177&lt;=24.99),"Normalweight",AND(B177&gt;=25,B177&lt;=29.99),"Overweight",B177&gt;=30,"Obesity")</f>
        <v>Obesity</v>
      </c>
      <c r="J177" t="str" cm="1">
        <f t="array" ref="J177">_xlfn.IFS(C177&lt;5.7,"Normal",AND(C177&gt;=5.7,C177&lt;=6.49),"Prediabetes",C177&gt;=6.5,"Diabetes")</f>
        <v>Normal</v>
      </c>
    </row>
    <row r="178" spans="1:10" x14ac:dyDescent="0.3">
      <c r="A178" t="s">
        <v>2196</v>
      </c>
      <c r="B178" s="8">
        <v>39.729999999999997</v>
      </c>
      <c r="C178">
        <v>6.24</v>
      </c>
      <c r="D178" t="s">
        <v>2379</v>
      </c>
      <c r="E178" t="s">
        <v>2379</v>
      </c>
      <c r="F178" t="s">
        <v>2379</v>
      </c>
      <c r="G178">
        <v>0</v>
      </c>
      <c r="H178" t="s">
        <v>2381</v>
      </c>
      <c r="I178" t="str" cm="1">
        <f t="array" ref="I178">_xlfn.IFS(B178&lt;18.5,"Underweight",AND(B178&gt;=18.5,B178&lt;=24.99),"Normalweight",AND(B178&gt;=25,B178&lt;=29.99),"Overweight",B178&gt;=30,"Obesity")</f>
        <v>Obesity</v>
      </c>
      <c r="J178" t="str" cm="1">
        <f t="array" ref="J178">_xlfn.IFS(C178&lt;5.7,"Normal",AND(C178&gt;=5.7,C178&lt;=6.49),"Prediabetes",C178&gt;=6.5,"Diabetes")</f>
        <v>Prediabetes</v>
      </c>
    </row>
    <row r="179" spans="1:10" x14ac:dyDescent="0.3">
      <c r="A179" t="s">
        <v>2195</v>
      </c>
      <c r="B179" s="8">
        <v>35.68</v>
      </c>
      <c r="C179">
        <v>10.039999999999999</v>
      </c>
      <c r="D179" t="s">
        <v>2379</v>
      </c>
      <c r="E179" t="s">
        <v>2379</v>
      </c>
      <c r="F179" t="s">
        <v>2379</v>
      </c>
      <c r="G179">
        <v>0</v>
      </c>
      <c r="H179" t="s">
        <v>2381</v>
      </c>
      <c r="I179" t="str" cm="1">
        <f t="array" ref="I179">_xlfn.IFS(B179&lt;18.5,"Underweight",AND(B179&gt;=18.5,B179&lt;=24.99),"Normalweight",AND(B179&gt;=25,B179&lt;=29.99),"Overweight",B179&gt;=30,"Obesity")</f>
        <v>Obesity</v>
      </c>
      <c r="J179" t="str" cm="1">
        <f t="array" ref="J179">_xlfn.IFS(C179&lt;5.7,"Normal",AND(C179&gt;=5.7,C179&lt;=6.49),"Prediabetes",C179&gt;=6.5,"Diabetes")</f>
        <v>Diabetes</v>
      </c>
    </row>
    <row r="180" spans="1:10" x14ac:dyDescent="0.3">
      <c r="A180" t="s">
        <v>2194</v>
      </c>
      <c r="B180" s="8">
        <v>48.86</v>
      </c>
      <c r="C180">
        <v>6.09</v>
      </c>
      <c r="D180" t="s">
        <v>2379</v>
      </c>
      <c r="E180" t="s">
        <v>2379</v>
      </c>
      <c r="F180" t="s">
        <v>2379</v>
      </c>
      <c r="G180">
        <v>0</v>
      </c>
      <c r="H180" t="s">
        <v>2381</v>
      </c>
      <c r="I180" t="str" cm="1">
        <f t="array" ref="I180">_xlfn.IFS(B180&lt;18.5,"Underweight",AND(B180&gt;=18.5,B180&lt;=24.99),"Normalweight",AND(B180&gt;=25,B180&lt;=29.99),"Overweight",B180&gt;=30,"Obesity")</f>
        <v>Obesity</v>
      </c>
      <c r="J180" t="str" cm="1">
        <f t="array" ref="J180">_xlfn.IFS(C180&lt;5.7,"Normal",AND(C180&gt;=5.7,C180&lt;=6.49),"Prediabetes",C180&gt;=6.5,"Diabetes")</f>
        <v>Prediabetes</v>
      </c>
    </row>
    <row r="181" spans="1:10" x14ac:dyDescent="0.3">
      <c r="A181" t="s">
        <v>2193</v>
      </c>
      <c r="B181" s="8">
        <v>34.799999999999997</v>
      </c>
      <c r="C181">
        <v>11.4</v>
      </c>
      <c r="D181" t="s">
        <v>2381</v>
      </c>
      <c r="E181" t="s">
        <v>2379</v>
      </c>
      <c r="F181" t="s">
        <v>2381</v>
      </c>
      <c r="G181">
        <v>1</v>
      </c>
      <c r="H181" t="s">
        <v>2379</v>
      </c>
      <c r="I181" t="str" cm="1">
        <f t="array" ref="I181">_xlfn.IFS(B181&lt;18.5,"Underweight",AND(B181&gt;=18.5,B181&lt;=24.99),"Normalweight",AND(B181&gt;=25,B181&lt;=29.99),"Overweight",B181&gt;=30,"Obesity")</f>
        <v>Obesity</v>
      </c>
      <c r="J181" t="str" cm="1">
        <f t="array" ref="J181">_xlfn.IFS(C181&lt;5.7,"Normal",AND(C181&gt;=5.7,C181&lt;=6.49),"Prediabetes",C181&gt;=6.5,"Diabetes")</f>
        <v>Diabetes</v>
      </c>
    </row>
    <row r="182" spans="1:10" x14ac:dyDescent="0.3">
      <c r="A182" t="s">
        <v>2192</v>
      </c>
      <c r="B182" s="8">
        <v>32.49</v>
      </c>
      <c r="C182">
        <v>4.29</v>
      </c>
      <c r="D182" t="s">
        <v>2379</v>
      </c>
      <c r="E182" t="s">
        <v>2379</v>
      </c>
      <c r="F182" t="s">
        <v>2381</v>
      </c>
      <c r="G182">
        <v>1</v>
      </c>
      <c r="H182" t="s">
        <v>2381</v>
      </c>
      <c r="I182" t="str" cm="1">
        <f t="array" ref="I182">_xlfn.IFS(B182&lt;18.5,"Underweight",AND(B182&gt;=18.5,B182&lt;=24.99),"Normalweight",AND(B182&gt;=25,B182&lt;=29.99),"Overweight",B182&gt;=30,"Obesity")</f>
        <v>Obesity</v>
      </c>
      <c r="J182" t="str" cm="1">
        <f t="array" ref="J182">_xlfn.IFS(C182&lt;5.7,"Normal",AND(C182&gt;=5.7,C182&lt;=6.49),"Prediabetes",C182&gt;=6.5,"Diabetes")</f>
        <v>Normal</v>
      </c>
    </row>
    <row r="183" spans="1:10" x14ac:dyDescent="0.3">
      <c r="A183" t="s">
        <v>2191</v>
      </c>
      <c r="B183" s="8">
        <v>39</v>
      </c>
      <c r="C183">
        <v>5.7</v>
      </c>
      <c r="D183" t="s">
        <v>2379</v>
      </c>
      <c r="E183" t="s">
        <v>2379</v>
      </c>
      <c r="F183" t="s">
        <v>2379</v>
      </c>
      <c r="G183">
        <v>2</v>
      </c>
      <c r="H183" t="s">
        <v>2381</v>
      </c>
      <c r="I183" t="str" cm="1">
        <f t="array" ref="I183">_xlfn.IFS(B183&lt;18.5,"Underweight",AND(B183&gt;=18.5,B183&lt;=24.99),"Normalweight",AND(B183&gt;=25,B183&lt;=29.99),"Overweight",B183&gt;=30,"Obesity")</f>
        <v>Obesity</v>
      </c>
      <c r="J183" t="str" cm="1">
        <f t="array" ref="J183">_xlfn.IFS(C183&lt;5.7,"Normal",AND(C183&gt;=5.7,C183&lt;=6.49),"Prediabetes",C183&gt;=6.5,"Diabetes")</f>
        <v>Prediabetes</v>
      </c>
    </row>
    <row r="184" spans="1:10" x14ac:dyDescent="0.3">
      <c r="A184" t="s">
        <v>2190</v>
      </c>
      <c r="B184" s="8">
        <v>35.299999999999997</v>
      </c>
      <c r="C184">
        <v>6.09</v>
      </c>
      <c r="D184" t="s">
        <v>2379</v>
      </c>
      <c r="E184" t="s">
        <v>2379</v>
      </c>
      <c r="F184" t="s">
        <v>2379</v>
      </c>
      <c r="G184">
        <v>1</v>
      </c>
      <c r="H184" t="s">
        <v>2381</v>
      </c>
      <c r="I184" t="str" cm="1">
        <f t="array" ref="I184">_xlfn.IFS(B184&lt;18.5,"Underweight",AND(B184&gt;=18.5,B184&lt;=24.99),"Normalweight",AND(B184&gt;=25,B184&lt;=29.99),"Overweight",B184&gt;=30,"Obesity")</f>
        <v>Obesity</v>
      </c>
      <c r="J184" t="str" cm="1">
        <f t="array" ref="J184">_xlfn.IFS(C184&lt;5.7,"Normal",AND(C184&gt;=5.7,C184&lt;=6.49),"Prediabetes",C184&gt;=6.5,"Diabetes")</f>
        <v>Prediabetes</v>
      </c>
    </row>
    <row r="185" spans="1:10" x14ac:dyDescent="0.3">
      <c r="A185" t="s">
        <v>2189</v>
      </c>
      <c r="B185" s="8">
        <v>33.42</v>
      </c>
      <c r="C185">
        <v>10.67</v>
      </c>
      <c r="D185" t="s">
        <v>2379</v>
      </c>
      <c r="E185" t="s">
        <v>2379</v>
      </c>
      <c r="F185" t="s">
        <v>2379</v>
      </c>
      <c r="G185">
        <v>0</v>
      </c>
      <c r="H185" t="s">
        <v>2381</v>
      </c>
      <c r="I185" t="str" cm="1">
        <f t="array" ref="I185">_xlfn.IFS(B185&lt;18.5,"Underweight",AND(B185&gt;=18.5,B185&lt;=24.99),"Normalweight",AND(B185&gt;=25,B185&lt;=29.99),"Overweight",B185&gt;=30,"Obesity")</f>
        <v>Obesity</v>
      </c>
      <c r="J185" t="str" cm="1">
        <f t="array" ref="J185">_xlfn.IFS(C185&lt;5.7,"Normal",AND(C185&gt;=5.7,C185&lt;=6.49),"Prediabetes",C185&gt;=6.5,"Diabetes")</f>
        <v>Diabetes</v>
      </c>
    </row>
    <row r="186" spans="1:10" x14ac:dyDescent="0.3">
      <c r="A186" t="s">
        <v>2188</v>
      </c>
      <c r="B186" s="8">
        <v>37.18</v>
      </c>
      <c r="C186">
        <v>6.75</v>
      </c>
      <c r="D186" t="s">
        <v>2381</v>
      </c>
      <c r="E186" t="s">
        <v>2379</v>
      </c>
      <c r="F186" t="s">
        <v>2379</v>
      </c>
      <c r="G186">
        <v>2</v>
      </c>
      <c r="H186" t="s">
        <v>2381</v>
      </c>
      <c r="I186" t="str" cm="1">
        <f t="array" ref="I186">_xlfn.IFS(B186&lt;18.5,"Underweight",AND(B186&gt;=18.5,B186&lt;=24.99),"Normalweight",AND(B186&gt;=25,B186&lt;=29.99),"Overweight",B186&gt;=30,"Obesity")</f>
        <v>Obesity</v>
      </c>
      <c r="J186" t="str" cm="1">
        <f t="array" ref="J186">_xlfn.IFS(C186&lt;5.7,"Normal",AND(C186&gt;=5.7,C186&lt;=6.49),"Prediabetes",C186&gt;=6.5,"Diabetes")</f>
        <v>Diabetes</v>
      </c>
    </row>
    <row r="187" spans="1:10" x14ac:dyDescent="0.3">
      <c r="A187" t="s">
        <v>2187</v>
      </c>
      <c r="B187" s="8">
        <v>33.33</v>
      </c>
      <c r="C187">
        <v>9.26</v>
      </c>
      <c r="D187" t="s">
        <v>2381</v>
      </c>
      <c r="E187" t="s">
        <v>2379</v>
      </c>
      <c r="F187" t="s">
        <v>2379</v>
      </c>
      <c r="G187">
        <v>2</v>
      </c>
      <c r="H187" t="s">
        <v>2379</v>
      </c>
      <c r="I187" t="str" cm="1">
        <f t="array" ref="I187">_xlfn.IFS(B187&lt;18.5,"Underweight",AND(B187&gt;=18.5,B187&lt;=24.99),"Normalweight",AND(B187&gt;=25,B187&lt;=29.99),"Overweight",B187&gt;=30,"Obesity")</f>
        <v>Obesity</v>
      </c>
      <c r="J187" t="str" cm="1">
        <f t="array" ref="J187">_xlfn.IFS(C187&lt;5.7,"Normal",AND(C187&gt;=5.7,C187&lt;=6.49),"Prediabetes",C187&gt;=6.5,"Diabetes")</f>
        <v>Diabetes</v>
      </c>
    </row>
    <row r="188" spans="1:10" x14ac:dyDescent="0.3">
      <c r="A188" t="s">
        <v>2186</v>
      </c>
      <c r="B188" s="8">
        <v>53.21</v>
      </c>
      <c r="C188">
        <v>4.2699999999999996</v>
      </c>
      <c r="D188" t="s">
        <v>2379</v>
      </c>
      <c r="E188" t="s">
        <v>2379</v>
      </c>
      <c r="F188" t="s">
        <v>2379</v>
      </c>
      <c r="G188">
        <v>1</v>
      </c>
      <c r="H188" t="s">
        <v>2381</v>
      </c>
      <c r="I188" t="str" cm="1">
        <f t="array" ref="I188">_xlfn.IFS(B188&lt;18.5,"Underweight",AND(B188&gt;=18.5,B188&lt;=24.99),"Normalweight",AND(B188&gt;=25,B188&lt;=29.99),"Overweight",B188&gt;=30,"Obesity")</f>
        <v>Obesity</v>
      </c>
      <c r="J188" t="str" cm="1">
        <f t="array" ref="J188">_xlfn.IFS(C188&lt;5.7,"Normal",AND(C188&gt;=5.7,C188&lt;=6.49),"Prediabetes",C188&gt;=6.5,"Diabetes")</f>
        <v>Normal</v>
      </c>
    </row>
    <row r="189" spans="1:10" x14ac:dyDescent="0.3">
      <c r="A189" t="s">
        <v>2185</v>
      </c>
      <c r="B189" s="8">
        <v>38.729999999999997</v>
      </c>
      <c r="C189">
        <v>11.51</v>
      </c>
      <c r="D189" t="s">
        <v>2379</v>
      </c>
      <c r="E189" t="s">
        <v>2379</v>
      </c>
      <c r="F189" t="s">
        <v>2379</v>
      </c>
      <c r="G189">
        <v>2</v>
      </c>
      <c r="H189" t="s">
        <v>2381</v>
      </c>
      <c r="I189" t="str" cm="1">
        <f t="array" ref="I189">_xlfn.IFS(B189&lt;18.5,"Underweight",AND(B189&gt;=18.5,B189&lt;=24.99),"Normalweight",AND(B189&gt;=25,B189&lt;=29.99),"Overweight",B189&gt;=30,"Obesity")</f>
        <v>Obesity</v>
      </c>
      <c r="J189" t="str" cm="1">
        <f t="array" ref="J189">_xlfn.IFS(C189&lt;5.7,"Normal",AND(C189&gt;=5.7,C189&lt;=6.49),"Prediabetes",C189&gt;=6.5,"Diabetes")</f>
        <v>Diabetes</v>
      </c>
    </row>
    <row r="190" spans="1:10" x14ac:dyDescent="0.3">
      <c r="A190" t="s">
        <v>2184</v>
      </c>
      <c r="B190" s="8">
        <v>29.73</v>
      </c>
      <c r="C190">
        <v>7.22</v>
      </c>
      <c r="D190" t="s">
        <v>2379</v>
      </c>
      <c r="E190" t="s">
        <v>2379</v>
      </c>
      <c r="F190" t="s">
        <v>2379</v>
      </c>
      <c r="G190">
        <v>0</v>
      </c>
      <c r="H190" t="s">
        <v>2381</v>
      </c>
      <c r="I190" t="str" cm="1">
        <f t="array" ref="I190">_xlfn.IFS(B190&lt;18.5,"Underweight",AND(B190&gt;=18.5,B190&lt;=24.99),"Normalweight",AND(B190&gt;=25,B190&lt;=29.99),"Overweight",B190&gt;=30,"Obesity")</f>
        <v>Overweight</v>
      </c>
      <c r="J190" t="str" cm="1">
        <f t="array" ref="J190">_xlfn.IFS(C190&lt;5.7,"Normal",AND(C190&gt;=5.7,C190&lt;=6.49),"Prediabetes",C190&gt;=6.5,"Diabetes")</f>
        <v>Diabetes</v>
      </c>
    </row>
    <row r="191" spans="1:10" x14ac:dyDescent="0.3">
      <c r="A191" t="s">
        <v>2183</v>
      </c>
      <c r="B191" s="8">
        <v>34.700000000000003</v>
      </c>
      <c r="C191">
        <v>4.37</v>
      </c>
      <c r="D191" t="s">
        <v>2379</v>
      </c>
      <c r="E191" t="s">
        <v>2379</v>
      </c>
      <c r="F191" t="s">
        <v>2381</v>
      </c>
      <c r="G191">
        <v>1</v>
      </c>
      <c r="H191" t="s">
        <v>2381</v>
      </c>
      <c r="I191" t="str" cm="1">
        <f t="array" ref="I191">_xlfn.IFS(B191&lt;18.5,"Underweight",AND(B191&gt;=18.5,B191&lt;=24.99),"Normalweight",AND(B191&gt;=25,B191&lt;=29.99),"Overweight",B191&gt;=30,"Obesity")</f>
        <v>Obesity</v>
      </c>
      <c r="J191" t="str" cm="1">
        <f t="array" ref="J191">_xlfn.IFS(C191&lt;5.7,"Normal",AND(C191&gt;=5.7,C191&lt;=6.49),"Prediabetes",C191&gt;=6.5,"Diabetes")</f>
        <v>Normal</v>
      </c>
    </row>
    <row r="192" spans="1:10" x14ac:dyDescent="0.3">
      <c r="A192" t="s">
        <v>2182</v>
      </c>
      <c r="B192" s="8">
        <v>38.28</v>
      </c>
      <c r="C192">
        <v>11.56</v>
      </c>
      <c r="D192" t="s">
        <v>2381</v>
      </c>
      <c r="E192" t="s">
        <v>2379</v>
      </c>
      <c r="F192" t="s">
        <v>2379</v>
      </c>
      <c r="G192">
        <v>1</v>
      </c>
      <c r="H192" t="s">
        <v>2381</v>
      </c>
      <c r="I192" t="str" cm="1">
        <f t="array" ref="I192">_xlfn.IFS(B192&lt;18.5,"Underweight",AND(B192&gt;=18.5,B192&lt;=24.99),"Normalweight",AND(B192&gt;=25,B192&lt;=29.99),"Overweight",B192&gt;=30,"Obesity")</f>
        <v>Obesity</v>
      </c>
      <c r="J192" t="str" cm="1">
        <f t="array" ref="J192">_xlfn.IFS(C192&lt;5.7,"Normal",AND(C192&gt;=5.7,C192&lt;=6.49),"Prediabetes",C192&gt;=6.5,"Diabetes")</f>
        <v>Diabetes</v>
      </c>
    </row>
    <row r="193" spans="1:10" x14ac:dyDescent="0.3">
      <c r="A193" t="s">
        <v>2181</v>
      </c>
      <c r="B193" s="8">
        <v>33.57</v>
      </c>
      <c r="C193">
        <v>8.82</v>
      </c>
      <c r="D193" t="s">
        <v>2381</v>
      </c>
      <c r="E193" t="s">
        <v>2379</v>
      </c>
      <c r="F193" t="s">
        <v>2379</v>
      </c>
      <c r="G193">
        <v>0</v>
      </c>
      <c r="H193" t="s">
        <v>2381</v>
      </c>
      <c r="I193" t="str" cm="1">
        <f t="array" ref="I193">_xlfn.IFS(B193&lt;18.5,"Underweight",AND(B193&gt;=18.5,B193&lt;=24.99),"Normalweight",AND(B193&gt;=25,B193&lt;=29.99),"Overweight",B193&gt;=30,"Obesity")</f>
        <v>Obesity</v>
      </c>
      <c r="J193" t="str" cm="1">
        <f t="array" ref="J193">_xlfn.IFS(C193&lt;5.7,"Normal",AND(C193&gt;=5.7,C193&lt;=6.49),"Prediabetes",C193&gt;=6.5,"Diabetes")</f>
        <v>Diabetes</v>
      </c>
    </row>
    <row r="194" spans="1:10" x14ac:dyDescent="0.3">
      <c r="A194" t="s">
        <v>2180</v>
      </c>
      <c r="B194" s="8">
        <v>52.06</v>
      </c>
      <c r="C194">
        <v>4.6900000000000004</v>
      </c>
      <c r="D194" t="s">
        <v>2379</v>
      </c>
      <c r="E194" t="s">
        <v>2379</v>
      </c>
      <c r="F194" t="s">
        <v>2379</v>
      </c>
      <c r="G194">
        <v>1</v>
      </c>
      <c r="H194" t="s">
        <v>2381</v>
      </c>
      <c r="I194" t="str" cm="1">
        <f t="array" ref="I194">_xlfn.IFS(B194&lt;18.5,"Underweight",AND(B194&gt;=18.5,B194&lt;=24.99),"Normalweight",AND(B194&gt;=25,B194&lt;=29.99),"Overweight",B194&gt;=30,"Obesity")</f>
        <v>Obesity</v>
      </c>
      <c r="J194" t="str" cm="1">
        <f t="array" ref="J194">_xlfn.IFS(C194&lt;5.7,"Normal",AND(C194&gt;=5.7,C194&lt;=6.49),"Prediabetes",C194&gt;=6.5,"Diabetes")</f>
        <v>Normal</v>
      </c>
    </row>
    <row r="195" spans="1:10" x14ac:dyDescent="0.3">
      <c r="A195" t="s">
        <v>2179</v>
      </c>
      <c r="B195" s="8">
        <v>38.17</v>
      </c>
      <c r="C195">
        <v>4.53</v>
      </c>
      <c r="D195" t="s">
        <v>2379</v>
      </c>
      <c r="E195" t="s">
        <v>2380</v>
      </c>
      <c r="F195" t="s">
        <v>2379</v>
      </c>
      <c r="G195">
        <v>1</v>
      </c>
      <c r="H195" t="s">
        <v>2381</v>
      </c>
      <c r="I195" t="str" cm="1">
        <f t="array" ref="I195">_xlfn.IFS(B195&lt;18.5,"Underweight",AND(B195&gt;=18.5,B195&lt;=24.99),"Normalweight",AND(B195&gt;=25,B195&lt;=29.99),"Overweight",B195&gt;=30,"Obesity")</f>
        <v>Obesity</v>
      </c>
      <c r="J195" t="str" cm="1">
        <f t="array" ref="J195">_xlfn.IFS(C195&lt;5.7,"Normal",AND(C195&gt;=5.7,C195&lt;=6.49),"Prediabetes",C195&gt;=6.5,"Diabetes")</f>
        <v>Normal</v>
      </c>
    </row>
    <row r="196" spans="1:10" x14ac:dyDescent="0.3">
      <c r="A196" t="s">
        <v>2178</v>
      </c>
      <c r="B196" s="8">
        <v>36.954999999999998</v>
      </c>
      <c r="C196">
        <v>5.84</v>
      </c>
      <c r="D196" t="s">
        <v>2379</v>
      </c>
      <c r="E196" t="s">
        <v>2379</v>
      </c>
      <c r="F196" t="s">
        <v>2381</v>
      </c>
      <c r="G196">
        <v>1</v>
      </c>
      <c r="H196" t="s">
        <v>2381</v>
      </c>
      <c r="I196" t="str" cm="1">
        <f t="array" ref="I196">_xlfn.IFS(B196&lt;18.5,"Underweight",AND(B196&gt;=18.5,B196&lt;=24.99),"Normalweight",AND(B196&gt;=25,B196&lt;=29.99),"Overweight",B196&gt;=30,"Obesity")</f>
        <v>Obesity</v>
      </c>
      <c r="J196" t="str" cm="1">
        <f t="array" ref="J196">_xlfn.IFS(C196&lt;5.7,"Normal",AND(C196&gt;=5.7,C196&lt;=6.49),"Prediabetes",C196&gt;=6.5,"Diabetes")</f>
        <v>Prediabetes</v>
      </c>
    </row>
    <row r="197" spans="1:10" x14ac:dyDescent="0.3">
      <c r="A197" t="s">
        <v>2177</v>
      </c>
      <c r="B197" s="8">
        <v>34.4</v>
      </c>
      <c r="C197">
        <v>4.9000000000000004</v>
      </c>
      <c r="D197" t="s">
        <v>2379</v>
      </c>
      <c r="E197" t="s">
        <v>2379</v>
      </c>
      <c r="F197" t="s">
        <v>2381</v>
      </c>
      <c r="G197">
        <v>1</v>
      </c>
      <c r="H197" t="s">
        <v>2381</v>
      </c>
      <c r="I197" t="str" cm="1">
        <f t="array" ref="I197">_xlfn.IFS(B197&lt;18.5,"Underweight",AND(B197&gt;=18.5,B197&lt;=24.99),"Normalweight",AND(B197&gt;=25,B197&lt;=29.99),"Overweight",B197&gt;=30,"Obesity")</f>
        <v>Obesity</v>
      </c>
      <c r="J197" t="str" cm="1">
        <f t="array" ref="J197">_xlfn.IFS(C197&lt;5.7,"Normal",AND(C197&gt;=5.7,C197&lt;=6.49),"Prediabetes",C197&gt;=6.5,"Diabetes")</f>
        <v>Normal</v>
      </c>
    </row>
    <row r="198" spans="1:10" x14ac:dyDescent="0.3">
      <c r="A198" t="s">
        <v>2176</v>
      </c>
      <c r="B198" s="8">
        <v>31.73</v>
      </c>
      <c r="C198">
        <v>4.3</v>
      </c>
      <c r="D198" t="s">
        <v>2379</v>
      </c>
      <c r="E198" t="s">
        <v>2379</v>
      </c>
      <c r="F198" t="s">
        <v>2379</v>
      </c>
      <c r="G198">
        <v>0</v>
      </c>
      <c r="H198" t="s">
        <v>2381</v>
      </c>
      <c r="I198" t="str" cm="1">
        <f t="array" ref="I198">_xlfn.IFS(B198&lt;18.5,"Underweight",AND(B198&gt;=18.5,B198&lt;=24.99),"Normalweight",AND(B198&gt;=25,B198&lt;=29.99),"Overweight",B198&gt;=30,"Obesity")</f>
        <v>Obesity</v>
      </c>
      <c r="J198" t="str" cm="1">
        <f t="array" ref="J198">_xlfn.IFS(C198&lt;5.7,"Normal",AND(C198&gt;=5.7,C198&lt;=6.49),"Prediabetes",C198&gt;=6.5,"Diabetes")</f>
        <v>Normal</v>
      </c>
    </row>
    <row r="199" spans="1:10" x14ac:dyDescent="0.3">
      <c r="A199" t="s">
        <v>2175</v>
      </c>
      <c r="B199" s="8">
        <v>36.64</v>
      </c>
      <c r="C199">
        <v>11.34</v>
      </c>
      <c r="D199" t="s">
        <v>2379</v>
      </c>
      <c r="E199" t="s">
        <v>2379</v>
      </c>
      <c r="F199" t="s">
        <v>2379</v>
      </c>
      <c r="G199">
        <v>0</v>
      </c>
      <c r="H199" t="s">
        <v>2381</v>
      </c>
      <c r="I199" t="str" cm="1">
        <f t="array" ref="I199">_xlfn.IFS(B199&lt;18.5,"Underweight",AND(B199&gt;=18.5,B199&lt;=24.99),"Normalweight",AND(B199&gt;=25,B199&lt;=29.99),"Overweight",B199&gt;=30,"Obesity")</f>
        <v>Obesity</v>
      </c>
      <c r="J199" t="str" cm="1">
        <f t="array" ref="J199">_xlfn.IFS(C199&lt;5.7,"Normal",AND(C199&gt;=5.7,C199&lt;=6.49),"Prediabetes",C199&gt;=6.5,"Diabetes")</f>
        <v>Diabetes</v>
      </c>
    </row>
    <row r="200" spans="1:10" x14ac:dyDescent="0.3">
      <c r="A200" t="s">
        <v>2174</v>
      </c>
      <c r="B200" s="8">
        <v>36.85</v>
      </c>
      <c r="C200">
        <v>5.88</v>
      </c>
      <c r="D200" t="s">
        <v>2379</v>
      </c>
      <c r="E200" t="s">
        <v>2380</v>
      </c>
      <c r="F200" t="s">
        <v>2379</v>
      </c>
      <c r="G200">
        <v>1</v>
      </c>
      <c r="H200" t="s">
        <v>2381</v>
      </c>
      <c r="I200" t="str" cm="1">
        <f t="array" ref="I200">_xlfn.IFS(B200&lt;18.5,"Underweight",AND(B200&gt;=18.5,B200&lt;=24.99),"Normalweight",AND(B200&gt;=25,B200&lt;=29.99),"Overweight",B200&gt;=30,"Obesity")</f>
        <v>Obesity</v>
      </c>
      <c r="J200" t="str" cm="1">
        <f t="array" ref="J200">_xlfn.IFS(C200&lt;5.7,"Normal",AND(C200&gt;=5.7,C200&lt;=6.49),"Prediabetes",C200&gt;=6.5,"Diabetes")</f>
        <v>Prediabetes</v>
      </c>
    </row>
    <row r="201" spans="1:10" x14ac:dyDescent="0.3">
      <c r="A201" t="s">
        <v>2173</v>
      </c>
      <c r="B201" s="8">
        <v>33.33</v>
      </c>
      <c r="C201">
        <v>5.01</v>
      </c>
      <c r="D201" t="s">
        <v>2381</v>
      </c>
      <c r="E201" t="s">
        <v>2379</v>
      </c>
      <c r="F201" t="s">
        <v>2381</v>
      </c>
      <c r="G201">
        <v>1</v>
      </c>
      <c r="H201" t="s">
        <v>2381</v>
      </c>
      <c r="I201" t="str" cm="1">
        <f t="array" ref="I201">_xlfn.IFS(B201&lt;18.5,"Underweight",AND(B201&gt;=18.5,B201&lt;=24.99),"Normalweight",AND(B201&gt;=25,B201&lt;=29.99),"Overweight",B201&gt;=30,"Obesity")</f>
        <v>Obesity</v>
      </c>
      <c r="J201" t="str" cm="1">
        <f t="array" ref="J201">_xlfn.IFS(C201&lt;5.7,"Normal",AND(C201&gt;=5.7,C201&lt;=6.49),"Prediabetes",C201&gt;=6.5,"Diabetes")</f>
        <v>Normal</v>
      </c>
    </row>
    <row r="202" spans="1:10" x14ac:dyDescent="0.3">
      <c r="A202" t="s">
        <v>2172</v>
      </c>
      <c r="B202" s="8">
        <v>39.14</v>
      </c>
      <c r="C202">
        <v>4.4000000000000004</v>
      </c>
      <c r="D202" t="s">
        <v>2379</v>
      </c>
      <c r="E202" t="s">
        <v>2379</v>
      </c>
      <c r="F202" t="s">
        <v>2381</v>
      </c>
      <c r="G202">
        <v>1</v>
      </c>
      <c r="H202" t="s">
        <v>2381</v>
      </c>
      <c r="I202" t="str" cm="1">
        <f t="array" ref="I202">_xlfn.IFS(B202&lt;18.5,"Underweight",AND(B202&gt;=18.5,B202&lt;=24.99),"Normalweight",AND(B202&gt;=25,B202&lt;=29.99),"Overweight",B202&gt;=30,"Obesity")</f>
        <v>Obesity</v>
      </c>
      <c r="J202" t="str" cm="1">
        <f t="array" ref="J202">_xlfn.IFS(C202&lt;5.7,"Normal",AND(C202&gt;=5.7,C202&lt;=6.49),"Prediabetes",C202&gt;=6.5,"Diabetes")</f>
        <v>Normal</v>
      </c>
    </row>
    <row r="203" spans="1:10" x14ac:dyDescent="0.3">
      <c r="A203" t="s">
        <v>2171</v>
      </c>
      <c r="B203" s="8">
        <v>32.9</v>
      </c>
      <c r="C203">
        <v>6.26</v>
      </c>
      <c r="D203" t="s">
        <v>2381</v>
      </c>
      <c r="E203" t="s">
        <v>2379</v>
      </c>
      <c r="F203" t="s">
        <v>2379</v>
      </c>
      <c r="G203">
        <v>0</v>
      </c>
      <c r="H203" t="s">
        <v>2381</v>
      </c>
      <c r="I203" t="str" cm="1">
        <f t="array" ref="I203">_xlfn.IFS(B203&lt;18.5,"Underweight",AND(B203&gt;=18.5,B203&lt;=24.99),"Normalweight",AND(B203&gt;=25,B203&lt;=29.99),"Overweight",B203&gt;=30,"Obesity")</f>
        <v>Obesity</v>
      </c>
      <c r="J203" t="str" cm="1">
        <f t="array" ref="J203">_xlfn.IFS(C203&lt;5.7,"Normal",AND(C203&gt;=5.7,C203&lt;=6.49),"Prediabetes",C203&gt;=6.5,"Diabetes")</f>
        <v>Prediabetes</v>
      </c>
    </row>
    <row r="204" spans="1:10" x14ac:dyDescent="0.3">
      <c r="A204" t="s">
        <v>2170</v>
      </c>
      <c r="B204" s="8">
        <v>29.78</v>
      </c>
      <c r="C204">
        <v>10.27</v>
      </c>
      <c r="D204" t="s">
        <v>2381</v>
      </c>
      <c r="E204" t="s">
        <v>2379</v>
      </c>
      <c r="F204" t="s">
        <v>2381</v>
      </c>
      <c r="G204">
        <v>1</v>
      </c>
      <c r="H204" t="s">
        <v>2381</v>
      </c>
      <c r="I204" t="str" cm="1">
        <f t="array" ref="I204">_xlfn.IFS(B204&lt;18.5,"Underweight",AND(B204&gt;=18.5,B204&lt;=24.99),"Normalweight",AND(B204&gt;=25,B204&lt;=29.99),"Overweight",B204&gt;=30,"Obesity")</f>
        <v>Overweight</v>
      </c>
      <c r="J204" t="str" cm="1">
        <f t="array" ref="J204">_xlfn.IFS(C204&lt;5.7,"Normal",AND(C204&gt;=5.7,C204&lt;=6.49),"Prediabetes",C204&gt;=6.5,"Diabetes")</f>
        <v>Diabetes</v>
      </c>
    </row>
    <row r="205" spans="1:10" x14ac:dyDescent="0.3">
      <c r="A205" t="s">
        <v>2169</v>
      </c>
      <c r="B205" s="8">
        <v>32.78</v>
      </c>
      <c r="C205">
        <v>5.27</v>
      </c>
      <c r="D205" t="s">
        <v>2379</v>
      </c>
      <c r="E205" t="s">
        <v>2379</v>
      </c>
      <c r="F205" t="s">
        <v>2379</v>
      </c>
      <c r="G205">
        <v>0</v>
      </c>
      <c r="H205" t="s">
        <v>2381</v>
      </c>
      <c r="I205" t="str" cm="1">
        <f t="array" ref="I205">_xlfn.IFS(B205&lt;18.5,"Underweight",AND(B205&gt;=18.5,B205&lt;=24.99),"Normalweight",AND(B205&gt;=25,B205&lt;=29.99),"Overweight",B205&gt;=30,"Obesity")</f>
        <v>Obesity</v>
      </c>
      <c r="J205" t="str" cm="1">
        <f t="array" ref="J205">_xlfn.IFS(C205&lt;5.7,"Normal",AND(C205&gt;=5.7,C205&lt;=6.49),"Prediabetes",C205&gt;=6.5,"Diabetes")</f>
        <v>Normal</v>
      </c>
    </row>
    <row r="206" spans="1:10" x14ac:dyDescent="0.3">
      <c r="A206" t="s">
        <v>2168</v>
      </c>
      <c r="B206" s="8">
        <v>41.65</v>
      </c>
      <c r="C206">
        <v>10.73</v>
      </c>
      <c r="D206" t="s">
        <v>2381</v>
      </c>
      <c r="E206" t="s">
        <v>2379</v>
      </c>
      <c r="F206" t="s">
        <v>2379</v>
      </c>
      <c r="G206">
        <v>0</v>
      </c>
      <c r="H206" t="s">
        <v>2381</v>
      </c>
      <c r="I206" t="str" cm="1">
        <f t="array" ref="I206">_xlfn.IFS(B206&lt;18.5,"Underweight",AND(B206&gt;=18.5,B206&lt;=24.99),"Normalweight",AND(B206&gt;=25,B206&lt;=29.99),"Overweight",B206&gt;=30,"Obesity")</f>
        <v>Obesity</v>
      </c>
      <c r="J206" t="str" cm="1">
        <f t="array" ref="J206">_xlfn.IFS(C206&lt;5.7,"Normal",AND(C206&gt;=5.7,C206&lt;=6.49),"Prediabetes",C206&gt;=6.5,"Diabetes")</f>
        <v>Diabetes</v>
      </c>
    </row>
    <row r="207" spans="1:10" x14ac:dyDescent="0.3">
      <c r="A207" t="s">
        <v>2167</v>
      </c>
      <c r="B207" s="8">
        <v>50.79</v>
      </c>
      <c r="C207">
        <v>4.45</v>
      </c>
      <c r="D207" t="s">
        <v>2379</v>
      </c>
      <c r="E207" t="s">
        <v>2379</v>
      </c>
      <c r="F207" t="s">
        <v>2379</v>
      </c>
      <c r="G207">
        <v>1</v>
      </c>
      <c r="H207" t="s">
        <v>2381</v>
      </c>
      <c r="I207" t="str" cm="1">
        <f t="array" ref="I207">_xlfn.IFS(B207&lt;18.5,"Underweight",AND(B207&gt;=18.5,B207&lt;=24.99),"Normalweight",AND(B207&gt;=25,B207&lt;=29.99),"Overweight",B207&gt;=30,"Obesity")</f>
        <v>Obesity</v>
      </c>
      <c r="J207" t="str" cm="1">
        <f t="array" ref="J207">_xlfn.IFS(C207&lt;5.7,"Normal",AND(C207&gt;=5.7,C207&lt;=6.49),"Prediabetes",C207&gt;=6.5,"Diabetes")</f>
        <v>Normal</v>
      </c>
    </row>
    <row r="208" spans="1:10" x14ac:dyDescent="0.3">
      <c r="A208" t="s">
        <v>2166</v>
      </c>
      <c r="B208" s="8">
        <v>35.43</v>
      </c>
      <c r="C208">
        <v>5.25</v>
      </c>
      <c r="D208" t="s">
        <v>2381</v>
      </c>
      <c r="E208" t="s">
        <v>2379</v>
      </c>
      <c r="F208" t="s">
        <v>2379</v>
      </c>
      <c r="G208">
        <v>0</v>
      </c>
      <c r="H208" t="s">
        <v>2381</v>
      </c>
      <c r="I208" t="str" cm="1">
        <f t="array" ref="I208">_xlfn.IFS(B208&lt;18.5,"Underweight",AND(B208&gt;=18.5,B208&lt;=24.99),"Normalweight",AND(B208&gt;=25,B208&lt;=29.99),"Overweight",B208&gt;=30,"Obesity")</f>
        <v>Obesity</v>
      </c>
      <c r="J208" t="str" cm="1">
        <f t="array" ref="J208">_xlfn.IFS(C208&lt;5.7,"Normal",AND(C208&gt;=5.7,C208&lt;=6.49),"Prediabetes",C208&gt;=6.5,"Diabetes")</f>
        <v>Normal</v>
      </c>
    </row>
    <row r="209" spans="1:10" x14ac:dyDescent="0.3">
      <c r="A209" t="s">
        <v>2165</v>
      </c>
      <c r="B209" s="8">
        <v>35.25</v>
      </c>
      <c r="C209">
        <v>9.51</v>
      </c>
      <c r="D209" t="s">
        <v>2379</v>
      </c>
      <c r="E209" t="s">
        <v>2379</v>
      </c>
      <c r="F209" t="s">
        <v>2379</v>
      </c>
      <c r="G209">
        <v>0</v>
      </c>
      <c r="H209" t="s">
        <v>2381</v>
      </c>
      <c r="I209" t="str" cm="1">
        <f t="array" ref="I209">_xlfn.IFS(B209&lt;18.5,"Underweight",AND(B209&gt;=18.5,B209&lt;=24.99),"Normalweight",AND(B209&gt;=25,B209&lt;=29.99),"Overweight",B209&gt;=30,"Obesity")</f>
        <v>Obesity</v>
      </c>
      <c r="J209" t="str" cm="1">
        <f t="array" ref="J209">_xlfn.IFS(C209&lt;5.7,"Normal",AND(C209&gt;=5.7,C209&lt;=6.49),"Prediabetes",C209&gt;=6.5,"Diabetes")</f>
        <v>Diabetes</v>
      </c>
    </row>
    <row r="210" spans="1:10" x14ac:dyDescent="0.3">
      <c r="A210" t="s">
        <v>2164</v>
      </c>
      <c r="B210" s="8">
        <v>36.85</v>
      </c>
      <c r="C210">
        <v>11.12</v>
      </c>
      <c r="D210" t="s">
        <v>2379</v>
      </c>
      <c r="E210" t="s">
        <v>2379</v>
      </c>
      <c r="F210" t="s">
        <v>2379</v>
      </c>
      <c r="G210">
        <v>0</v>
      </c>
      <c r="H210" t="s">
        <v>2381</v>
      </c>
      <c r="I210" t="str" cm="1">
        <f t="array" ref="I210">_xlfn.IFS(B210&lt;18.5,"Underweight",AND(B210&gt;=18.5,B210&lt;=24.99),"Normalweight",AND(B210&gt;=25,B210&lt;=29.99),"Overweight",B210&gt;=30,"Obesity")</f>
        <v>Obesity</v>
      </c>
      <c r="J210" t="str" cm="1">
        <f t="array" ref="J210">_xlfn.IFS(C210&lt;5.7,"Normal",AND(C210&gt;=5.7,C210&lt;=6.49),"Prediabetes",C210&gt;=6.5,"Diabetes")</f>
        <v>Diabetes</v>
      </c>
    </row>
    <row r="211" spans="1:10" x14ac:dyDescent="0.3">
      <c r="A211" t="s">
        <v>2163</v>
      </c>
      <c r="B211" s="8">
        <v>31.02</v>
      </c>
      <c r="C211">
        <v>4.5599999999999996</v>
      </c>
      <c r="D211" t="s">
        <v>2379</v>
      </c>
      <c r="E211" t="s">
        <v>2380</v>
      </c>
      <c r="F211" t="s">
        <v>2379</v>
      </c>
      <c r="G211">
        <v>1</v>
      </c>
      <c r="H211" t="s">
        <v>2381</v>
      </c>
      <c r="I211" t="str" cm="1">
        <f t="array" ref="I211">_xlfn.IFS(B211&lt;18.5,"Underweight",AND(B211&gt;=18.5,B211&lt;=24.99),"Normalweight",AND(B211&gt;=25,B211&lt;=29.99),"Overweight",B211&gt;=30,"Obesity")</f>
        <v>Obesity</v>
      </c>
      <c r="J211" t="str" cm="1">
        <f t="array" ref="J211">_xlfn.IFS(C211&lt;5.7,"Normal",AND(C211&gt;=5.7,C211&lt;=6.49),"Prediabetes",C211&gt;=6.5,"Diabetes")</f>
        <v>Normal</v>
      </c>
    </row>
    <row r="212" spans="1:10" x14ac:dyDescent="0.3">
      <c r="A212" t="s">
        <v>2162</v>
      </c>
      <c r="B212" s="8">
        <v>35.6</v>
      </c>
      <c r="C212">
        <v>4.0199999999999996</v>
      </c>
      <c r="D212" t="s">
        <v>2381</v>
      </c>
      <c r="E212" t="s">
        <v>2380</v>
      </c>
      <c r="F212" t="s">
        <v>2379</v>
      </c>
      <c r="G212">
        <v>2</v>
      </c>
      <c r="H212" t="s">
        <v>2381</v>
      </c>
      <c r="I212" t="str" cm="1">
        <f t="array" ref="I212">_xlfn.IFS(B212&lt;18.5,"Underweight",AND(B212&gt;=18.5,B212&lt;=24.99),"Normalweight",AND(B212&gt;=25,B212&lt;=29.99),"Overweight",B212&gt;=30,"Obesity")</f>
        <v>Obesity</v>
      </c>
      <c r="J212" t="str" cm="1">
        <f t="array" ref="J212">_xlfn.IFS(C212&lt;5.7,"Normal",AND(C212&gt;=5.7,C212&lt;=6.49),"Prediabetes",C212&gt;=6.5,"Diabetes")</f>
        <v>Normal</v>
      </c>
    </row>
    <row r="213" spans="1:10" x14ac:dyDescent="0.3">
      <c r="A213" t="s">
        <v>2161</v>
      </c>
      <c r="B213" s="8">
        <v>34.39</v>
      </c>
      <c r="C213">
        <v>8.7200000000000006</v>
      </c>
      <c r="D213" t="s">
        <v>2379</v>
      </c>
      <c r="E213" t="s">
        <v>2379</v>
      </c>
      <c r="F213" t="s">
        <v>2379</v>
      </c>
      <c r="G213">
        <v>0</v>
      </c>
      <c r="H213" t="s">
        <v>2381</v>
      </c>
      <c r="I213" t="str" cm="1">
        <f t="array" ref="I213">_xlfn.IFS(B213&lt;18.5,"Underweight",AND(B213&gt;=18.5,B213&lt;=24.99),"Normalweight",AND(B213&gt;=25,B213&lt;=29.99),"Overweight",B213&gt;=30,"Obesity")</f>
        <v>Obesity</v>
      </c>
      <c r="J213" t="str" cm="1">
        <f t="array" ref="J213">_xlfn.IFS(C213&lt;5.7,"Normal",AND(C213&gt;=5.7,C213&lt;=6.49),"Prediabetes",C213&gt;=6.5,"Diabetes")</f>
        <v>Diabetes</v>
      </c>
    </row>
    <row r="214" spans="1:10" x14ac:dyDescent="0.3">
      <c r="A214" t="s">
        <v>2160</v>
      </c>
      <c r="B214" s="8">
        <v>29.06</v>
      </c>
      <c r="C214">
        <v>6.25</v>
      </c>
      <c r="D214" t="s">
        <v>2381</v>
      </c>
      <c r="E214" t="s">
        <v>2379</v>
      </c>
      <c r="F214" t="s">
        <v>2379</v>
      </c>
      <c r="G214">
        <v>1</v>
      </c>
      <c r="H214" t="s">
        <v>2381</v>
      </c>
      <c r="I214" t="str" cm="1">
        <f t="array" ref="I214">_xlfn.IFS(B214&lt;18.5,"Underweight",AND(B214&gt;=18.5,B214&lt;=24.99),"Normalweight",AND(B214&gt;=25,B214&lt;=29.99),"Overweight",B214&gt;=30,"Obesity")</f>
        <v>Overweight</v>
      </c>
      <c r="J214" t="str" cm="1">
        <f t="array" ref="J214">_xlfn.IFS(C214&lt;5.7,"Normal",AND(C214&gt;=5.7,C214&lt;=6.49),"Prediabetes",C214&gt;=6.5,"Diabetes")</f>
        <v>Prediabetes</v>
      </c>
    </row>
    <row r="215" spans="1:10" x14ac:dyDescent="0.3">
      <c r="A215" t="s">
        <v>2159</v>
      </c>
      <c r="B215" s="8">
        <v>35.799999999999997</v>
      </c>
      <c r="C215">
        <v>7.32</v>
      </c>
      <c r="D215" t="s">
        <v>2379</v>
      </c>
      <c r="E215" t="s">
        <v>2379</v>
      </c>
      <c r="F215" t="s">
        <v>2379</v>
      </c>
      <c r="G215">
        <v>2</v>
      </c>
      <c r="H215" t="s">
        <v>2381</v>
      </c>
      <c r="I215" t="str" cm="1">
        <f t="array" ref="I215">_xlfn.IFS(B215&lt;18.5,"Underweight",AND(B215&gt;=18.5,B215&lt;=24.99),"Normalweight",AND(B215&gt;=25,B215&lt;=29.99),"Overweight",B215&gt;=30,"Obesity")</f>
        <v>Obesity</v>
      </c>
      <c r="J215" t="str" cm="1">
        <f t="array" ref="J215">_xlfn.IFS(C215&lt;5.7,"Normal",AND(C215&gt;=5.7,C215&lt;=6.49),"Prediabetes",C215&gt;=6.5,"Diabetes")</f>
        <v>Diabetes</v>
      </c>
    </row>
    <row r="216" spans="1:10" x14ac:dyDescent="0.3">
      <c r="A216" t="s">
        <v>2158</v>
      </c>
      <c r="B216" s="8">
        <v>49.8</v>
      </c>
      <c r="C216">
        <v>4.24</v>
      </c>
      <c r="D216" t="s">
        <v>2379</v>
      </c>
      <c r="E216" t="s">
        <v>2379</v>
      </c>
      <c r="F216" t="s">
        <v>2379</v>
      </c>
      <c r="G216">
        <v>1</v>
      </c>
      <c r="H216" t="s">
        <v>2381</v>
      </c>
      <c r="I216" t="str" cm="1">
        <f t="array" ref="I216">_xlfn.IFS(B216&lt;18.5,"Underweight",AND(B216&gt;=18.5,B216&lt;=24.99),"Normalweight",AND(B216&gt;=25,B216&lt;=29.99),"Overweight",B216&gt;=30,"Obesity")</f>
        <v>Obesity</v>
      </c>
      <c r="J216" t="str" cm="1">
        <f t="array" ref="J216">_xlfn.IFS(C216&lt;5.7,"Normal",AND(C216&gt;=5.7,C216&lt;=6.49),"Prediabetes",C216&gt;=6.5,"Diabetes")</f>
        <v>Normal</v>
      </c>
    </row>
    <row r="217" spans="1:10" x14ac:dyDescent="0.3">
      <c r="A217" t="s">
        <v>2157</v>
      </c>
      <c r="B217" s="8">
        <v>35.71</v>
      </c>
      <c r="C217">
        <v>6.84</v>
      </c>
      <c r="D217" t="s">
        <v>2379</v>
      </c>
      <c r="E217" t="s">
        <v>2379</v>
      </c>
      <c r="F217" t="s">
        <v>2379</v>
      </c>
      <c r="G217">
        <v>2</v>
      </c>
      <c r="H217" t="s">
        <v>2381</v>
      </c>
      <c r="I217" t="str" cm="1">
        <f t="array" ref="I217">_xlfn.IFS(B217&lt;18.5,"Underweight",AND(B217&gt;=18.5,B217&lt;=24.99),"Normalweight",AND(B217&gt;=25,B217&lt;=29.99),"Overweight",B217&gt;=30,"Obesity")</f>
        <v>Obesity</v>
      </c>
      <c r="J217" t="str" cm="1">
        <f t="array" ref="J217">_xlfn.IFS(C217&lt;5.7,"Normal",AND(C217&gt;=5.7,C217&lt;=6.49),"Prediabetes",C217&gt;=6.5,"Diabetes")</f>
        <v>Diabetes</v>
      </c>
    </row>
    <row r="218" spans="1:10" x14ac:dyDescent="0.3">
      <c r="A218" t="s">
        <v>2156</v>
      </c>
      <c r="B218" s="8">
        <v>30.8</v>
      </c>
      <c r="C218">
        <v>5.23</v>
      </c>
      <c r="D218" t="s">
        <v>2381</v>
      </c>
      <c r="E218" t="s">
        <v>2379</v>
      </c>
      <c r="F218" t="s">
        <v>2379</v>
      </c>
      <c r="G218">
        <v>1</v>
      </c>
      <c r="H218" t="s">
        <v>2381</v>
      </c>
      <c r="I218" t="str" cm="1">
        <f t="array" ref="I218">_xlfn.IFS(B218&lt;18.5,"Underweight",AND(B218&gt;=18.5,B218&lt;=24.99),"Normalweight",AND(B218&gt;=25,B218&lt;=29.99),"Overweight",B218&gt;=30,"Obesity")</f>
        <v>Obesity</v>
      </c>
      <c r="J218" t="str" cm="1">
        <f t="array" ref="J218">_xlfn.IFS(C218&lt;5.7,"Normal",AND(C218&gt;=5.7,C218&lt;=6.49),"Prediabetes",C218&gt;=6.5,"Diabetes")</f>
        <v>Normal</v>
      </c>
    </row>
    <row r="219" spans="1:10" x14ac:dyDescent="0.3">
      <c r="A219" t="s">
        <v>2155</v>
      </c>
      <c r="B219" s="8">
        <v>33.69</v>
      </c>
      <c r="C219">
        <v>9.68</v>
      </c>
      <c r="D219" t="s">
        <v>2379</v>
      </c>
      <c r="E219" t="s">
        <v>2379</v>
      </c>
      <c r="F219" t="s">
        <v>2379</v>
      </c>
      <c r="G219">
        <v>0</v>
      </c>
      <c r="H219" t="s">
        <v>2381</v>
      </c>
      <c r="I219" t="str" cm="1">
        <f t="array" ref="I219">_xlfn.IFS(B219&lt;18.5,"Underweight",AND(B219&gt;=18.5,B219&lt;=24.99),"Normalweight",AND(B219&gt;=25,B219&lt;=29.99),"Overweight",B219&gt;=30,"Obesity")</f>
        <v>Obesity</v>
      </c>
      <c r="J219" t="str" cm="1">
        <f t="array" ref="J219">_xlfn.IFS(C219&lt;5.7,"Normal",AND(C219&gt;=5.7,C219&lt;=6.49),"Prediabetes",C219&gt;=6.5,"Diabetes")</f>
        <v>Diabetes</v>
      </c>
    </row>
    <row r="220" spans="1:10" x14ac:dyDescent="0.3">
      <c r="A220" t="s">
        <v>2154</v>
      </c>
      <c r="B220" s="8">
        <v>42.27</v>
      </c>
      <c r="C220">
        <v>6.05</v>
      </c>
      <c r="D220" t="s">
        <v>2381</v>
      </c>
      <c r="E220" t="s">
        <v>2379</v>
      </c>
      <c r="F220" t="s">
        <v>2379</v>
      </c>
      <c r="G220">
        <v>1</v>
      </c>
      <c r="H220" t="s">
        <v>2381</v>
      </c>
      <c r="I220" t="str" cm="1">
        <f t="array" ref="I220">_xlfn.IFS(B220&lt;18.5,"Underweight",AND(B220&gt;=18.5,B220&lt;=24.99),"Normalweight",AND(B220&gt;=25,B220&lt;=29.99),"Overweight",B220&gt;=30,"Obesity")</f>
        <v>Obesity</v>
      </c>
      <c r="J220" t="str" cm="1">
        <f t="array" ref="J220">_xlfn.IFS(C220&lt;5.7,"Normal",AND(C220&gt;=5.7,C220&lt;=6.49),"Prediabetes",C220&gt;=6.5,"Diabetes")</f>
        <v>Prediabetes</v>
      </c>
    </row>
    <row r="221" spans="1:10" x14ac:dyDescent="0.3">
      <c r="A221" t="s">
        <v>2153</v>
      </c>
      <c r="B221" s="8">
        <v>53.25</v>
      </c>
      <c r="C221">
        <v>6.11</v>
      </c>
      <c r="D221" t="s">
        <v>2381</v>
      </c>
      <c r="E221" t="s">
        <v>2379</v>
      </c>
      <c r="F221" t="s">
        <v>2381</v>
      </c>
      <c r="G221">
        <v>1</v>
      </c>
      <c r="H221" t="s">
        <v>2381</v>
      </c>
      <c r="I221" t="str" cm="1">
        <f t="array" ref="I221">_xlfn.IFS(B221&lt;18.5,"Underweight",AND(B221&gt;=18.5,B221&lt;=24.99),"Normalweight",AND(B221&gt;=25,B221&lt;=29.99),"Overweight",B221&gt;=30,"Obesity")</f>
        <v>Obesity</v>
      </c>
      <c r="J221" t="str" cm="1">
        <f t="array" ref="J221">_xlfn.IFS(C221&lt;5.7,"Normal",AND(C221&gt;=5.7,C221&lt;=6.49),"Prediabetes",C221&gt;=6.5,"Diabetes")</f>
        <v>Prediabetes</v>
      </c>
    </row>
    <row r="222" spans="1:10" x14ac:dyDescent="0.3">
      <c r="A222" t="s">
        <v>2152</v>
      </c>
      <c r="B222" s="8">
        <v>26.8</v>
      </c>
      <c r="C222">
        <v>10.93</v>
      </c>
      <c r="D222" t="s">
        <v>2381</v>
      </c>
      <c r="E222" t="s">
        <v>2379</v>
      </c>
      <c r="F222" t="s">
        <v>2379</v>
      </c>
      <c r="G222">
        <v>0</v>
      </c>
      <c r="H222" t="s">
        <v>2379</v>
      </c>
      <c r="I222" t="str" cm="1">
        <f t="array" ref="I222">_xlfn.IFS(B222&lt;18.5,"Underweight",AND(B222&gt;=18.5,B222&lt;=24.99),"Normalweight",AND(B222&gt;=25,B222&lt;=29.99),"Overweight",B222&gt;=30,"Obesity")</f>
        <v>Overweight</v>
      </c>
      <c r="J222" t="str" cm="1">
        <f t="array" ref="J222">_xlfn.IFS(C222&lt;5.7,"Normal",AND(C222&gt;=5.7,C222&lt;=6.49),"Prediabetes",C222&gt;=6.5,"Diabetes")</f>
        <v>Diabetes</v>
      </c>
    </row>
    <row r="223" spans="1:10" x14ac:dyDescent="0.3">
      <c r="A223" t="s">
        <v>2151</v>
      </c>
      <c r="B223" s="8">
        <v>28.5</v>
      </c>
      <c r="C223">
        <v>5.12</v>
      </c>
      <c r="D223" t="s">
        <v>2379</v>
      </c>
      <c r="E223" t="s">
        <v>2379</v>
      </c>
      <c r="F223" t="s">
        <v>2379</v>
      </c>
      <c r="G223">
        <v>1</v>
      </c>
      <c r="H223" t="s">
        <v>2381</v>
      </c>
      <c r="I223" t="str" cm="1">
        <f t="array" ref="I223">_xlfn.IFS(B223&lt;18.5,"Underweight",AND(B223&gt;=18.5,B223&lt;=24.99),"Normalweight",AND(B223&gt;=25,B223&lt;=29.99),"Overweight",B223&gt;=30,"Obesity")</f>
        <v>Overweight</v>
      </c>
      <c r="J223" t="str" cm="1">
        <f t="array" ref="J223">_xlfn.IFS(C223&lt;5.7,"Normal",AND(C223&gt;=5.7,C223&lt;=6.49),"Prediabetes",C223&gt;=6.5,"Diabetes")</f>
        <v>Normal</v>
      </c>
    </row>
    <row r="224" spans="1:10" x14ac:dyDescent="0.3">
      <c r="A224" t="s">
        <v>2150</v>
      </c>
      <c r="B224" s="8">
        <v>22.895</v>
      </c>
      <c r="C224">
        <v>5.72</v>
      </c>
      <c r="D224" t="s">
        <v>2379</v>
      </c>
      <c r="E224" t="s">
        <v>2379</v>
      </c>
      <c r="F224" t="s">
        <v>2379</v>
      </c>
      <c r="G224">
        <v>0</v>
      </c>
      <c r="H224" t="s">
        <v>2381</v>
      </c>
      <c r="I224" t="str" cm="1">
        <f t="array" ref="I224">_xlfn.IFS(B224&lt;18.5,"Underweight",AND(B224&gt;=18.5,B224&lt;=24.99),"Normalweight",AND(B224&gt;=25,B224&lt;=29.99),"Overweight",B224&gt;=30,"Obesity")</f>
        <v>Normalweight</v>
      </c>
      <c r="J224" t="str" cm="1">
        <f t="array" ref="J224">_xlfn.IFS(C224&lt;5.7,"Normal",AND(C224&gt;=5.7,C224&lt;=6.49),"Prediabetes",C224&gt;=6.5,"Diabetes")</f>
        <v>Prediabetes</v>
      </c>
    </row>
    <row r="225" spans="1:10" x14ac:dyDescent="0.3">
      <c r="A225" t="s">
        <v>2149</v>
      </c>
      <c r="B225" s="8">
        <v>34.06</v>
      </c>
      <c r="C225">
        <v>11.83</v>
      </c>
      <c r="D225" t="s">
        <v>2381</v>
      </c>
      <c r="E225" t="s">
        <v>2379</v>
      </c>
      <c r="F225" t="s">
        <v>2379</v>
      </c>
      <c r="G225">
        <v>1</v>
      </c>
      <c r="H225" t="s">
        <v>2381</v>
      </c>
      <c r="I225" t="str" cm="1">
        <f t="array" ref="I225">_xlfn.IFS(B225&lt;18.5,"Underweight",AND(B225&gt;=18.5,B225&lt;=24.99),"Normalweight",AND(B225&gt;=25,B225&lt;=29.99),"Overweight",B225&gt;=30,"Obesity")</f>
        <v>Obesity</v>
      </c>
      <c r="J225" t="str" cm="1">
        <f t="array" ref="J225">_xlfn.IFS(C225&lt;5.7,"Normal",AND(C225&gt;=5.7,C225&lt;=6.49),"Prediabetes",C225&gt;=6.5,"Diabetes")</f>
        <v>Diabetes</v>
      </c>
    </row>
    <row r="226" spans="1:10" x14ac:dyDescent="0.3">
      <c r="A226" t="s">
        <v>2148</v>
      </c>
      <c r="B226" s="8">
        <v>36.409999999999997</v>
      </c>
      <c r="C226">
        <v>4.55</v>
      </c>
      <c r="D226" t="s">
        <v>2379</v>
      </c>
      <c r="E226" t="s">
        <v>2379</v>
      </c>
      <c r="F226" t="s">
        <v>2379</v>
      </c>
      <c r="G226">
        <v>0</v>
      </c>
      <c r="H226" t="s">
        <v>2381</v>
      </c>
      <c r="I226" t="str" cm="1">
        <f t="array" ref="I226">_xlfn.IFS(B226&lt;18.5,"Underweight",AND(B226&gt;=18.5,B226&lt;=24.99),"Normalweight",AND(B226&gt;=25,B226&lt;=29.99),"Overweight",B226&gt;=30,"Obesity")</f>
        <v>Obesity</v>
      </c>
      <c r="J226" t="str" cm="1">
        <f t="array" ref="J226">_xlfn.IFS(C226&lt;5.7,"Normal",AND(C226&gt;=5.7,C226&lt;=6.49),"Prediabetes",C226&gt;=6.5,"Diabetes")</f>
        <v>Normal</v>
      </c>
    </row>
    <row r="227" spans="1:10" x14ac:dyDescent="0.3">
      <c r="A227" t="s">
        <v>2147</v>
      </c>
      <c r="B227" s="8">
        <v>52.3</v>
      </c>
      <c r="C227">
        <v>4.87</v>
      </c>
      <c r="D227" t="s">
        <v>2381</v>
      </c>
      <c r="E227" t="s">
        <v>2379</v>
      </c>
      <c r="F227" t="s">
        <v>2381</v>
      </c>
      <c r="G227">
        <v>1</v>
      </c>
      <c r="H227" t="s">
        <v>2381</v>
      </c>
      <c r="I227" t="str" cm="1">
        <f t="array" ref="I227">_xlfn.IFS(B227&lt;18.5,"Underweight",AND(B227&gt;=18.5,B227&lt;=24.99),"Normalweight",AND(B227&gt;=25,B227&lt;=29.99),"Overweight",B227&gt;=30,"Obesity")</f>
        <v>Obesity</v>
      </c>
      <c r="J227" t="str" cm="1">
        <f t="array" ref="J227">_xlfn.IFS(C227&lt;5.7,"Normal",AND(C227&gt;=5.7,C227&lt;=6.49),"Prediabetes",C227&gt;=6.5,"Diabetes")</f>
        <v>Normal</v>
      </c>
    </row>
    <row r="228" spans="1:10" x14ac:dyDescent="0.3">
      <c r="A228" t="s">
        <v>2146</v>
      </c>
      <c r="B228" s="8">
        <v>52.66</v>
      </c>
      <c r="C228">
        <v>4.45</v>
      </c>
      <c r="D228" t="s">
        <v>2379</v>
      </c>
      <c r="E228" t="s">
        <v>2379</v>
      </c>
      <c r="F228" t="s">
        <v>2379</v>
      </c>
      <c r="G228">
        <v>1</v>
      </c>
      <c r="H228" t="s">
        <v>2381</v>
      </c>
      <c r="I228" t="str" cm="1">
        <f t="array" ref="I228">_xlfn.IFS(B228&lt;18.5,"Underweight",AND(B228&gt;=18.5,B228&lt;=24.99),"Normalweight",AND(B228&gt;=25,B228&lt;=29.99),"Overweight",B228&gt;=30,"Obesity")</f>
        <v>Obesity</v>
      </c>
      <c r="J228" t="str" cm="1">
        <f t="array" ref="J228">_xlfn.IFS(C228&lt;5.7,"Normal",AND(C228&gt;=5.7,C228&lt;=6.49),"Prediabetes",C228&gt;=6.5,"Diabetes")</f>
        <v>Normal</v>
      </c>
    </row>
    <row r="229" spans="1:10" x14ac:dyDescent="0.3">
      <c r="A229" t="s">
        <v>2145</v>
      </c>
      <c r="B229" s="8">
        <v>29.57</v>
      </c>
      <c r="C229">
        <v>9.42</v>
      </c>
      <c r="D229" t="s">
        <v>2381</v>
      </c>
      <c r="E229" t="s">
        <v>2379</v>
      </c>
      <c r="F229" t="s">
        <v>2379</v>
      </c>
      <c r="G229">
        <v>0</v>
      </c>
      <c r="H229" t="s">
        <v>2381</v>
      </c>
      <c r="I229" t="str" cm="1">
        <f t="array" ref="I229">_xlfn.IFS(B229&lt;18.5,"Underweight",AND(B229&gt;=18.5,B229&lt;=24.99),"Normalweight",AND(B229&gt;=25,B229&lt;=29.99),"Overweight",B229&gt;=30,"Obesity")</f>
        <v>Overweight</v>
      </c>
      <c r="J229" t="str" cm="1">
        <f t="array" ref="J229">_xlfn.IFS(C229&lt;5.7,"Normal",AND(C229&gt;=5.7,C229&lt;=6.49),"Prediabetes",C229&gt;=6.5,"Diabetes")</f>
        <v>Diabetes</v>
      </c>
    </row>
    <row r="230" spans="1:10" x14ac:dyDescent="0.3">
      <c r="A230" t="s">
        <v>2144</v>
      </c>
      <c r="B230" s="8">
        <v>36.99</v>
      </c>
      <c r="C230">
        <v>5.37</v>
      </c>
      <c r="D230" t="s">
        <v>2381</v>
      </c>
      <c r="E230" t="s">
        <v>2379</v>
      </c>
      <c r="F230" t="s">
        <v>2381</v>
      </c>
      <c r="G230">
        <v>1</v>
      </c>
      <c r="H230" t="s">
        <v>2381</v>
      </c>
      <c r="I230" t="str" cm="1">
        <f t="array" ref="I230">_xlfn.IFS(B230&lt;18.5,"Underweight",AND(B230&gt;=18.5,B230&lt;=24.99),"Normalweight",AND(B230&gt;=25,B230&lt;=29.99),"Overweight",B230&gt;=30,"Obesity")</f>
        <v>Obesity</v>
      </c>
      <c r="J230" t="str" cm="1">
        <f t="array" ref="J230">_xlfn.IFS(C230&lt;5.7,"Normal",AND(C230&gt;=5.7,C230&lt;=6.49),"Prediabetes",C230&gt;=6.5,"Diabetes")</f>
        <v>Normal</v>
      </c>
    </row>
    <row r="231" spans="1:10" x14ac:dyDescent="0.3">
      <c r="A231" t="s">
        <v>2143</v>
      </c>
      <c r="B231" s="8">
        <v>31.4</v>
      </c>
      <c r="C231">
        <v>4.5999999999999996</v>
      </c>
      <c r="D231" t="s">
        <v>2381</v>
      </c>
      <c r="E231" t="s">
        <v>2379</v>
      </c>
      <c r="F231" t="s">
        <v>2379</v>
      </c>
      <c r="G231">
        <v>1</v>
      </c>
      <c r="H231" t="s">
        <v>2381</v>
      </c>
      <c r="I231" t="str" cm="1">
        <f t="array" ref="I231">_xlfn.IFS(B231&lt;18.5,"Underweight",AND(B231&gt;=18.5,B231&lt;=24.99),"Normalweight",AND(B231&gt;=25,B231&lt;=29.99),"Overweight",B231&gt;=30,"Obesity")</f>
        <v>Obesity</v>
      </c>
      <c r="J231" t="str" cm="1">
        <f t="array" ref="J231">_xlfn.IFS(C231&lt;5.7,"Normal",AND(C231&gt;=5.7,C231&lt;=6.49),"Prediabetes",C231&gt;=6.5,"Diabetes")</f>
        <v>Normal</v>
      </c>
    </row>
    <row r="232" spans="1:10" x14ac:dyDescent="0.3">
      <c r="A232" t="s">
        <v>2142</v>
      </c>
      <c r="B232" s="8">
        <v>34.9</v>
      </c>
      <c r="C232">
        <v>6.22</v>
      </c>
      <c r="D232" t="s">
        <v>2379</v>
      </c>
      <c r="E232" t="s">
        <v>2379</v>
      </c>
      <c r="F232" t="s">
        <v>2381</v>
      </c>
      <c r="G232">
        <v>1</v>
      </c>
      <c r="H232" t="s">
        <v>2381</v>
      </c>
      <c r="I232" t="str" cm="1">
        <f t="array" ref="I232">_xlfn.IFS(B232&lt;18.5,"Underweight",AND(B232&gt;=18.5,B232&lt;=24.99),"Normalweight",AND(B232&gt;=25,B232&lt;=29.99),"Overweight",B232&gt;=30,"Obesity")</f>
        <v>Obesity</v>
      </c>
      <c r="J232" t="str" cm="1">
        <f t="array" ref="J232">_xlfn.IFS(C232&lt;5.7,"Normal",AND(C232&gt;=5.7,C232&lt;=6.49),"Prediabetes",C232&gt;=6.5,"Diabetes")</f>
        <v>Prediabetes</v>
      </c>
    </row>
    <row r="233" spans="1:10" x14ac:dyDescent="0.3">
      <c r="A233" t="s">
        <v>2141</v>
      </c>
      <c r="B233" s="8">
        <v>31.13</v>
      </c>
      <c r="C233">
        <v>4.5199999999999996</v>
      </c>
      <c r="D233" t="s">
        <v>2381</v>
      </c>
      <c r="E233" t="s">
        <v>2379</v>
      </c>
      <c r="F233" t="s">
        <v>2379</v>
      </c>
      <c r="G233">
        <v>1</v>
      </c>
      <c r="H233" t="s">
        <v>2381</v>
      </c>
      <c r="I233" t="str" cm="1">
        <f t="array" ref="I233">_xlfn.IFS(B233&lt;18.5,"Underweight",AND(B233&gt;=18.5,B233&lt;=24.99),"Normalweight",AND(B233&gt;=25,B233&lt;=29.99),"Overweight",B233&gt;=30,"Obesity")</f>
        <v>Obesity</v>
      </c>
      <c r="J233" t="str" cm="1">
        <f t="array" ref="J233">_xlfn.IFS(C233&lt;5.7,"Normal",AND(C233&gt;=5.7,C233&lt;=6.49),"Prediabetes",C233&gt;=6.5,"Diabetes")</f>
        <v>Normal</v>
      </c>
    </row>
    <row r="234" spans="1:10" x14ac:dyDescent="0.3">
      <c r="A234" t="s">
        <v>2140</v>
      </c>
      <c r="B234" s="8">
        <v>34.799999999999997</v>
      </c>
      <c r="C234">
        <v>6.18</v>
      </c>
      <c r="D234" t="s">
        <v>2379</v>
      </c>
      <c r="E234" t="s">
        <v>2379</v>
      </c>
      <c r="F234" t="s">
        <v>2381</v>
      </c>
      <c r="G234">
        <v>1</v>
      </c>
      <c r="H234" t="s">
        <v>2381</v>
      </c>
      <c r="I234" t="str" cm="1">
        <f t="array" ref="I234">_xlfn.IFS(B234&lt;18.5,"Underweight",AND(B234&gt;=18.5,B234&lt;=24.99),"Normalweight",AND(B234&gt;=25,B234&lt;=29.99),"Overweight",B234&gt;=30,"Obesity")</f>
        <v>Obesity</v>
      </c>
      <c r="J234" t="str" cm="1">
        <f t="array" ref="J234">_xlfn.IFS(C234&lt;5.7,"Normal",AND(C234&gt;=5.7,C234&lt;=6.49),"Prediabetes",C234&gt;=6.5,"Diabetes")</f>
        <v>Prediabetes</v>
      </c>
    </row>
    <row r="235" spans="1:10" x14ac:dyDescent="0.3">
      <c r="A235" t="s">
        <v>2139</v>
      </c>
      <c r="B235" s="8">
        <v>31.68</v>
      </c>
      <c r="C235">
        <v>4.4000000000000004</v>
      </c>
      <c r="D235" t="s">
        <v>2379</v>
      </c>
      <c r="E235" t="s">
        <v>2379</v>
      </c>
      <c r="F235" t="s">
        <v>2379</v>
      </c>
      <c r="G235">
        <v>0</v>
      </c>
      <c r="H235" t="s">
        <v>2381</v>
      </c>
      <c r="I235" t="str" cm="1">
        <f t="array" ref="I235">_xlfn.IFS(B235&lt;18.5,"Underweight",AND(B235&gt;=18.5,B235&lt;=24.99),"Normalweight",AND(B235&gt;=25,B235&lt;=29.99),"Overweight",B235&gt;=30,"Obesity")</f>
        <v>Obesity</v>
      </c>
      <c r="J235" t="str" cm="1">
        <f t="array" ref="J235">_xlfn.IFS(C235&lt;5.7,"Normal",AND(C235&gt;=5.7,C235&lt;=6.49),"Prediabetes",C235&gt;=6.5,"Diabetes")</f>
        <v>Normal</v>
      </c>
    </row>
    <row r="236" spans="1:10" x14ac:dyDescent="0.3">
      <c r="A236" t="s">
        <v>2138</v>
      </c>
      <c r="B236" s="8">
        <v>33.534999999999997</v>
      </c>
      <c r="C236">
        <v>6.23</v>
      </c>
      <c r="D236" t="s">
        <v>2379</v>
      </c>
      <c r="E236" t="s">
        <v>2380</v>
      </c>
      <c r="F236" t="s">
        <v>2379</v>
      </c>
      <c r="G236">
        <v>1</v>
      </c>
      <c r="H236" t="s">
        <v>2381</v>
      </c>
      <c r="I236" t="str" cm="1">
        <f t="array" ref="I236">_xlfn.IFS(B236&lt;18.5,"Underweight",AND(B236&gt;=18.5,B236&lt;=24.99),"Normalweight",AND(B236&gt;=25,B236&lt;=29.99),"Overweight",B236&gt;=30,"Obesity")</f>
        <v>Obesity</v>
      </c>
      <c r="J236" t="str" cm="1">
        <f t="array" ref="J236">_xlfn.IFS(C236&lt;5.7,"Normal",AND(C236&gt;=5.7,C236&lt;=6.49),"Prediabetes",C236&gt;=6.5,"Diabetes")</f>
        <v>Prediabetes</v>
      </c>
    </row>
    <row r="237" spans="1:10" x14ac:dyDescent="0.3">
      <c r="A237" t="s">
        <v>2137</v>
      </c>
      <c r="B237" s="8">
        <v>31.92</v>
      </c>
      <c r="C237">
        <v>5.33</v>
      </c>
      <c r="D237" t="s">
        <v>2381</v>
      </c>
      <c r="E237" t="s">
        <v>2379</v>
      </c>
      <c r="F237" t="s">
        <v>2379</v>
      </c>
      <c r="G237">
        <v>0</v>
      </c>
      <c r="H237" t="s">
        <v>2381</v>
      </c>
      <c r="I237" t="str" cm="1">
        <f t="array" ref="I237">_xlfn.IFS(B237&lt;18.5,"Underweight",AND(B237&gt;=18.5,B237&lt;=24.99),"Normalweight",AND(B237&gt;=25,B237&lt;=29.99),"Overweight",B237&gt;=30,"Obesity")</f>
        <v>Obesity</v>
      </c>
      <c r="J237" t="str" cm="1">
        <f t="array" ref="J237">_xlfn.IFS(C237&lt;5.7,"Normal",AND(C237&gt;=5.7,C237&lt;=6.49),"Prediabetes",C237&gt;=6.5,"Diabetes")</f>
        <v>Normal</v>
      </c>
    </row>
    <row r="238" spans="1:10" x14ac:dyDescent="0.3">
      <c r="A238" t="s">
        <v>2136</v>
      </c>
      <c r="B238" s="8">
        <v>32.700000000000003</v>
      </c>
      <c r="C238">
        <v>4.09</v>
      </c>
      <c r="D238" t="s">
        <v>2379</v>
      </c>
      <c r="E238" t="s">
        <v>2379</v>
      </c>
      <c r="F238" t="s">
        <v>2379</v>
      </c>
      <c r="G238">
        <v>1</v>
      </c>
      <c r="H238" t="s">
        <v>2381</v>
      </c>
      <c r="I238" t="str" cm="1">
        <f t="array" ref="I238">_xlfn.IFS(B238&lt;18.5,"Underweight",AND(B238&gt;=18.5,B238&lt;=24.99),"Normalweight",AND(B238&gt;=25,B238&lt;=29.99),"Overweight",B238&gt;=30,"Obesity")</f>
        <v>Obesity</v>
      </c>
      <c r="J238" t="str" cm="1">
        <f t="array" ref="J238">_xlfn.IFS(C238&lt;5.7,"Normal",AND(C238&gt;=5.7,C238&lt;=6.49),"Prediabetes",C238&gt;=6.5,"Diabetes")</f>
        <v>Normal</v>
      </c>
    </row>
    <row r="239" spans="1:10" x14ac:dyDescent="0.3">
      <c r="A239" t="s">
        <v>2135</v>
      </c>
      <c r="B239" s="8">
        <v>41.25</v>
      </c>
      <c r="C239">
        <v>5.19</v>
      </c>
      <c r="D239" t="s">
        <v>2379</v>
      </c>
      <c r="E239" t="s">
        <v>2379</v>
      </c>
      <c r="F239" t="s">
        <v>2379</v>
      </c>
      <c r="G239">
        <v>0</v>
      </c>
      <c r="H239" t="s">
        <v>2381</v>
      </c>
      <c r="I239" t="str" cm="1">
        <f t="array" ref="I239">_xlfn.IFS(B239&lt;18.5,"Underweight",AND(B239&gt;=18.5,B239&lt;=24.99),"Normalweight",AND(B239&gt;=25,B239&lt;=29.99),"Overweight",B239&gt;=30,"Obesity")</f>
        <v>Obesity</v>
      </c>
      <c r="J239" t="str" cm="1">
        <f t="array" ref="J239">_xlfn.IFS(C239&lt;5.7,"Normal",AND(C239&gt;=5.7,C239&lt;=6.49),"Prediabetes",C239&gt;=6.5,"Diabetes")</f>
        <v>Normal</v>
      </c>
    </row>
    <row r="240" spans="1:10" x14ac:dyDescent="0.3">
      <c r="A240" t="s">
        <v>2134</v>
      </c>
      <c r="B240" s="8">
        <v>33.11</v>
      </c>
      <c r="C240">
        <v>4.12</v>
      </c>
      <c r="D240" t="s">
        <v>2379</v>
      </c>
      <c r="E240" t="s">
        <v>2379</v>
      </c>
      <c r="F240" t="s">
        <v>2381</v>
      </c>
      <c r="G240">
        <v>1</v>
      </c>
      <c r="H240" t="s">
        <v>2381</v>
      </c>
      <c r="I240" t="str" cm="1">
        <f t="array" ref="I240">_xlfn.IFS(B240&lt;18.5,"Underweight",AND(B240&gt;=18.5,B240&lt;=24.99),"Normalweight",AND(B240&gt;=25,B240&lt;=29.99),"Overweight",B240&gt;=30,"Obesity")</f>
        <v>Obesity</v>
      </c>
      <c r="J240" t="str" cm="1">
        <f t="array" ref="J240">_xlfn.IFS(C240&lt;5.7,"Normal",AND(C240&gt;=5.7,C240&lt;=6.49),"Prediabetes",C240&gt;=6.5,"Diabetes")</f>
        <v>Normal</v>
      </c>
    </row>
    <row r="241" spans="1:10" x14ac:dyDescent="0.3">
      <c r="A241" t="s">
        <v>2133</v>
      </c>
      <c r="B241" s="8">
        <v>36.159999999999997</v>
      </c>
      <c r="C241">
        <v>5.0999999999999996</v>
      </c>
      <c r="D241" t="s">
        <v>2379</v>
      </c>
      <c r="E241" t="s">
        <v>2379</v>
      </c>
      <c r="F241" t="s">
        <v>2379</v>
      </c>
      <c r="G241">
        <v>1</v>
      </c>
      <c r="H241" t="s">
        <v>2381</v>
      </c>
      <c r="I241" t="str" cm="1">
        <f t="array" ref="I241">_xlfn.IFS(B241&lt;18.5,"Underweight",AND(B241&gt;=18.5,B241&lt;=24.99),"Normalweight",AND(B241&gt;=25,B241&lt;=29.99),"Overweight",B241&gt;=30,"Obesity")</f>
        <v>Obesity</v>
      </c>
      <c r="J241" t="str" cm="1">
        <f t="array" ref="J241">_xlfn.IFS(C241&lt;5.7,"Normal",AND(C241&gt;=5.7,C241&lt;=6.49),"Prediabetes",C241&gt;=6.5,"Diabetes")</f>
        <v>Normal</v>
      </c>
    </row>
    <row r="242" spans="1:10" x14ac:dyDescent="0.3">
      <c r="A242" t="s">
        <v>2132</v>
      </c>
      <c r="B242" s="8">
        <v>33.72</v>
      </c>
      <c r="C242">
        <v>6.21</v>
      </c>
      <c r="D242" t="s">
        <v>2381</v>
      </c>
      <c r="E242" t="s">
        <v>2379</v>
      </c>
      <c r="F242" t="s">
        <v>2381</v>
      </c>
      <c r="G242">
        <v>1</v>
      </c>
      <c r="H242" t="s">
        <v>2381</v>
      </c>
      <c r="I242" t="str" cm="1">
        <f t="array" ref="I242">_xlfn.IFS(B242&lt;18.5,"Underweight",AND(B242&gt;=18.5,B242&lt;=24.99),"Normalweight",AND(B242&gt;=25,B242&lt;=29.99),"Overweight",B242&gt;=30,"Obesity")</f>
        <v>Obesity</v>
      </c>
      <c r="J242" t="str" cm="1">
        <f t="array" ref="J242">_xlfn.IFS(C242&lt;5.7,"Normal",AND(C242&gt;=5.7,C242&lt;=6.49),"Prediabetes",C242&gt;=6.5,"Diabetes")</f>
        <v>Prediabetes</v>
      </c>
    </row>
    <row r="243" spans="1:10" x14ac:dyDescent="0.3">
      <c r="A243" t="s">
        <v>2130</v>
      </c>
      <c r="B243" s="8">
        <v>37.74</v>
      </c>
      <c r="C243">
        <v>9.5299999999999994</v>
      </c>
      <c r="D243" t="s">
        <v>2381</v>
      </c>
      <c r="E243" t="s">
        <v>2379</v>
      </c>
      <c r="F243" t="s">
        <v>2379</v>
      </c>
      <c r="G243">
        <v>1</v>
      </c>
      <c r="H243" t="s">
        <v>2381</v>
      </c>
      <c r="I243" t="str" cm="1">
        <f t="array" ref="I243">_xlfn.IFS(B243&lt;18.5,"Underweight",AND(B243&gt;=18.5,B243&lt;=24.99),"Normalweight",AND(B243&gt;=25,B243&lt;=29.99),"Overweight",B243&gt;=30,"Obesity")</f>
        <v>Obesity</v>
      </c>
      <c r="J243" t="str" cm="1">
        <f t="array" ref="J243">_xlfn.IFS(C243&lt;5.7,"Normal",AND(C243&gt;=5.7,C243&lt;=6.49),"Prediabetes",C243&gt;=6.5,"Diabetes")</f>
        <v>Diabetes</v>
      </c>
    </row>
    <row r="244" spans="1:10" x14ac:dyDescent="0.3">
      <c r="A244" t="s">
        <v>2129</v>
      </c>
      <c r="B244" s="8">
        <v>48.75</v>
      </c>
      <c r="C244">
        <v>4.6399999999999997</v>
      </c>
      <c r="D244" t="s">
        <v>2381</v>
      </c>
      <c r="E244" t="s">
        <v>2379</v>
      </c>
      <c r="F244" t="s">
        <v>2379</v>
      </c>
      <c r="G244">
        <v>1</v>
      </c>
      <c r="H244" t="s">
        <v>2381</v>
      </c>
      <c r="I244" t="str" cm="1">
        <f t="array" ref="I244">_xlfn.IFS(B244&lt;18.5,"Underweight",AND(B244&gt;=18.5,B244&lt;=24.99),"Normalweight",AND(B244&gt;=25,B244&lt;=29.99),"Overweight",B244&gt;=30,"Obesity")</f>
        <v>Obesity</v>
      </c>
      <c r="J244" t="str" cm="1">
        <f t="array" ref="J244">_xlfn.IFS(C244&lt;5.7,"Normal",AND(C244&gt;=5.7,C244&lt;=6.49),"Prediabetes",C244&gt;=6.5,"Diabetes")</f>
        <v>Normal</v>
      </c>
    </row>
    <row r="245" spans="1:10" x14ac:dyDescent="0.3">
      <c r="A245" t="s">
        <v>2128</v>
      </c>
      <c r="B245" s="8">
        <v>31.065000000000001</v>
      </c>
      <c r="C245">
        <v>5.05</v>
      </c>
      <c r="D245" t="s">
        <v>2379</v>
      </c>
      <c r="E245" t="s">
        <v>2379</v>
      </c>
      <c r="F245" t="s">
        <v>2379</v>
      </c>
      <c r="G245">
        <v>1</v>
      </c>
      <c r="H245" t="s">
        <v>2381</v>
      </c>
      <c r="I245" t="str" cm="1">
        <f t="array" ref="I245">_xlfn.IFS(B245&lt;18.5,"Underweight",AND(B245&gt;=18.5,B245&lt;=24.99),"Normalweight",AND(B245&gt;=25,B245&lt;=29.99),"Overweight",B245&gt;=30,"Obesity")</f>
        <v>Obesity</v>
      </c>
      <c r="J245" t="str" cm="1">
        <f t="array" ref="J245">_xlfn.IFS(C245&lt;5.7,"Normal",AND(C245&gt;=5.7,C245&lt;=6.49),"Prediabetes",C245&gt;=6.5,"Diabetes")</f>
        <v>Normal</v>
      </c>
    </row>
    <row r="246" spans="1:10" x14ac:dyDescent="0.3">
      <c r="A246" t="s">
        <v>2127</v>
      </c>
      <c r="B246" s="8">
        <v>23.55</v>
      </c>
      <c r="C246">
        <v>10.38</v>
      </c>
      <c r="D246" t="s">
        <v>2379</v>
      </c>
      <c r="E246" t="s">
        <v>2379</v>
      </c>
      <c r="F246" t="s">
        <v>2379</v>
      </c>
      <c r="G246">
        <v>0</v>
      </c>
      <c r="H246" t="s">
        <v>2381</v>
      </c>
      <c r="I246" t="str" cm="1">
        <f t="array" ref="I246">_xlfn.IFS(B246&lt;18.5,"Underweight",AND(B246&gt;=18.5,B246&lt;=24.99),"Normalweight",AND(B246&gt;=25,B246&lt;=29.99),"Overweight",B246&gt;=30,"Obesity")</f>
        <v>Normalweight</v>
      </c>
      <c r="J246" t="str" cm="1">
        <f t="array" ref="J246">_xlfn.IFS(C246&lt;5.7,"Normal",AND(C246&gt;=5.7,C246&lt;=6.49),"Prediabetes",C246&gt;=6.5,"Diabetes")</f>
        <v>Diabetes</v>
      </c>
    </row>
    <row r="247" spans="1:10" x14ac:dyDescent="0.3">
      <c r="A247" t="s">
        <v>2126</v>
      </c>
      <c r="B247" s="8">
        <v>30.18</v>
      </c>
      <c r="C247">
        <v>8.31</v>
      </c>
      <c r="D247" t="s">
        <v>2381</v>
      </c>
      <c r="E247" t="s">
        <v>2379</v>
      </c>
      <c r="F247" t="s">
        <v>2379</v>
      </c>
      <c r="G247">
        <v>1</v>
      </c>
      <c r="H247" t="s">
        <v>2381</v>
      </c>
      <c r="I247" t="str" cm="1">
        <f t="array" ref="I247">_xlfn.IFS(B247&lt;18.5,"Underweight",AND(B247&gt;=18.5,B247&lt;=24.99),"Normalweight",AND(B247&gt;=25,B247&lt;=29.99),"Overweight",B247&gt;=30,"Obesity")</f>
        <v>Obesity</v>
      </c>
      <c r="J247" t="str" cm="1">
        <f t="array" ref="J247">_xlfn.IFS(C247&lt;5.7,"Normal",AND(C247&gt;=5.7,C247&lt;=6.49),"Prediabetes",C247&gt;=6.5,"Diabetes")</f>
        <v>Diabetes</v>
      </c>
    </row>
    <row r="248" spans="1:10" x14ac:dyDescent="0.3">
      <c r="A248" t="s">
        <v>2125</v>
      </c>
      <c r="B248" s="8">
        <v>29.94</v>
      </c>
      <c r="C248">
        <v>7.59</v>
      </c>
      <c r="D248" t="s">
        <v>2379</v>
      </c>
      <c r="E248" t="s">
        <v>2379</v>
      </c>
      <c r="F248" t="s">
        <v>2379</v>
      </c>
      <c r="G248">
        <v>0</v>
      </c>
      <c r="H248" t="s">
        <v>2381</v>
      </c>
      <c r="I248" t="str" cm="1">
        <f t="array" ref="I248">_xlfn.IFS(B248&lt;18.5,"Underweight",AND(B248&gt;=18.5,B248&lt;=24.99),"Normalweight",AND(B248&gt;=25,B248&lt;=29.99),"Overweight",B248&gt;=30,"Obesity")</f>
        <v>Overweight</v>
      </c>
      <c r="J248" t="str" cm="1">
        <f t="array" ref="J248">_xlfn.IFS(C248&lt;5.7,"Normal",AND(C248&gt;=5.7,C248&lt;=6.49),"Prediabetes",C248&gt;=6.5,"Diabetes")</f>
        <v>Diabetes</v>
      </c>
    </row>
    <row r="249" spans="1:10" x14ac:dyDescent="0.3">
      <c r="A249" t="s">
        <v>2124</v>
      </c>
      <c r="B249" s="8">
        <v>31.4</v>
      </c>
      <c r="C249">
        <v>5.49</v>
      </c>
      <c r="D249" t="s">
        <v>2379</v>
      </c>
      <c r="E249" t="s">
        <v>2379</v>
      </c>
      <c r="F249" t="s">
        <v>2379</v>
      </c>
      <c r="G249">
        <v>0</v>
      </c>
      <c r="H249" t="s">
        <v>2381</v>
      </c>
      <c r="I249" t="str" cm="1">
        <f t="array" ref="I249">_xlfn.IFS(B249&lt;18.5,"Underweight",AND(B249&gt;=18.5,B249&lt;=24.99),"Normalweight",AND(B249&gt;=25,B249&lt;=29.99),"Overweight",B249&gt;=30,"Obesity")</f>
        <v>Obesity</v>
      </c>
      <c r="J249" t="str" cm="1">
        <f t="array" ref="J249">_xlfn.IFS(C249&lt;5.7,"Normal",AND(C249&gt;=5.7,C249&lt;=6.49),"Prediabetes",C249&gt;=6.5,"Diabetes")</f>
        <v>Normal</v>
      </c>
    </row>
    <row r="250" spans="1:10" x14ac:dyDescent="0.3">
      <c r="A250" t="s">
        <v>2123</v>
      </c>
      <c r="B250" s="8">
        <v>53.06</v>
      </c>
      <c r="C250">
        <v>11.68</v>
      </c>
      <c r="D250" t="s">
        <v>2379</v>
      </c>
      <c r="E250" t="s">
        <v>2379</v>
      </c>
      <c r="F250" t="s">
        <v>2379</v>
      </c>
      <c r="G250">
        <v>0</v>
      </c>
      <c r="H250" t="s">
        <v>2381</v>
      </c>
      <c r="I250" t="str" cm="1">
        <f t="array" ref="I250">_xlfn.IFS(B250&lt;18.5,"Underweight",AND(B250&gt;=18.5,B250&lt;=24.99),"Normalweight",AND(B250&gt;=25,B250&lt;=29.99),"Overweight",B250&gt;=30,"Obesity")</f>
        <v>Obesity</v>
      </c>
      <c r="J250" t="str" cm="1">
        <f t="array" ref="J250">_xlfn.IFS(C250&lt;5.7,"Normal",AND(C250&gt;=5.7,C250&lt;=6.49),"Prediabetes",C250&gt;=6.5,"Diabetes")</f>
        <v>Diabetes</v>
      </c>
    </row>
    <row r="251" spans="1:10" x14ac:dyDescent="0.3">
      <c r="A251" t="s">
        <v>2122</v>
      </c>
      <c r="B251" s="8">
        <v>30.25</v>
      </c>
      <c r="C251">
        <v>4.1900000000000004</v>
      </c>
      <c r="D251" t="s">
        <v>2379</v>
      </c>
      <c r="E251" t="s">
        <v>2379</v>
      </c>
      <c r="F251" t="s">
        <v>2379</v>
      </c>
      <c r="G251">
        <v>2</v>
      </c>
      <c r="H251" t="s">
        <v>2381</v>
      </c>
      <c r="I251" t="str" cm="1">
        <f t="array" ref="I251">_xlfn.IFS(B251&lt;18.5,"Underweight",AND(B251&gt;=18.5,B251&lt;=24.99),"Normalweight",AND(B251&gt;=25,B251&lt;=29.99),"Overweight",B251&gt;=30,"Obesity")</f>
        <v>Obesity</v>
      </c>
      <c r="J251" t="str" cm="1">
        <f t="array" ref="J251">_xlfn.IFS(C251&lt;5.7,"Normal",AND(C251&gt;=5.7,C251&lt;=6.49),"Prediabetes",C251&gt;=6.5,"Diabetes")</f>
        <v>Normal</v>
      </c>
    </row>
    <row r="252" spans="1:10" x14ac:dyDescent="0.3">
      <c r="A252" t="s">
        <v>2121</v>
      </c>
      <c r="B252" s="8">
        <v>46.68</v>
      </c>
      <c r="C252">
        <v>4.01</v>
      </c>
      <c r="D252" t="s">
        <v>2379</v>
      </c>
      <c r="E252" t="s">
        <v>2379</v>
      </c>
      <c r="F252" t="s">
        <v>2379</v>
      </c>
      <c r="G252">
        <v>0</v>
      </c>
      <c r="H252" t="s">
        <v>2381</v>
      </c>
      <c r="I252" t="str" cm="1">
        <f t="array" ref="I252">_xlfn.IFS(B252&lt;18.5,"Underweight",AND(B252&gt;=18.5,B252&lt;=24.99),"Normalweight",AND(B252&gt;=25,B252&lt;=29.99),"Overweight",B252&gt;=30,"Obesity")</f>
        <v>Obesity</v>
      </c>
      <c r="J252" t="str" cm="1">
        <f t="array" ref="J252">_xlfn.IFS(C252&lt;5.7,"Normal",AND(C252&gt;=5.7,C252&lt;=6.49),"Prediabetes",C252&gt;=6.5,"Diabetes")</f>
        <v>Normal</v>
      </c>
    </row>
    <row r="253" spans="1:10" x14ac:dyDescent="0.3">
      <c r="A253" t="s">
        <v>2120</v>
      </c>
      <c r="B253" s="8">
        <v>30.4</v>
      </c>
      <c r="C253">
        <v>5.91</v>
      </c>
      <c r="D253" t="s">
        <v>2379</v>
      </c>
      <c r="E253" t="s">
        <v>2380</v>
      </c>
      <c r="F253" t="s">
        <v>2379</v>
      </c>
      <c r="G253">
        <v>2</v>
      </c>
      <c r="H253" t="s">
        <v>2381</v>
      </c>
      <c r="I253" t="str" cm="1">
        <f t="array" ref="I253">_xlfn.IFS(B253&lt;18.5,"Underweight",AND(B253&gt;=18.5,B253&lt;=24.99),"Normalweight",AND(B253&gt;=25,B253&lt;=29.99),"Overweight",B253&gt;=30,"Obesity")</f>
        <v>Obesity</v>
      </c>
      <c r="J253" t="str" cm="1">
        <f t="array" ref="J253">_xlfn.IFS(C253&lt;5.7,"Normal",AND(C253&gt;=5.7,C253&lt;=6.49),"Prediabetes",C253&gt;=6.5,"Diabetes")</f>
        <v>Prediabetes</v>
      </c>
    </row>
    <row r="254" spans="1:10" x14ac:dyDescent="0.3">
      <c r="A254" t="s">
        <v>2119</v>
      </c>
      <c r="B254" s="8">
        <v>30.2</v>
      </c>
      <c r="C254">
        <v>4.47</v>
      </c>
      <c r="D254" t="s">
        <v>2381</v>
      </c>
      <c r="E254" t="s">
        <v>2379</v>
      </c>
      <c r="F254" t="s">
        <v>2381</v>
      </c>
      <c r="G254">
        <v>1</v>
      </c>
      <c r="H254" t="s">
        <v>2381</v>
      </c>
      <c r="I254" t="str" cm="1">
        <f t="array" ref="I254">_xlfn.IFS(B254&lt;18.5,"Underweight",AND(B254&gt;=18.5,B254&lt;=24.99),"Normalweight",AND(B254&gt;=25,B254&lt;=29.99),"Overweight",B254&gt;=30,"Obesity")</f>
        <v>Obesity</v>
      </c>
      <c r="J254" t="str" cm="1">
        <f t="array" ref="J254">_xlfn.IFS(C254&lt;5.7,"Normal",AND(C254&gt;=5.7,C254&lt;=6.49),"Prediabetes",C254&gt;=6.5,"Diabetes")</f>
        <v>Normal</v>
      </c>
    </row>
    <row r="255" spans="1:10" x14ac:dyDescent="0.3">
      <c r="A255" t="s">
        <v>2118</v>
      </c>
      <c r="B255" s="8">
        <v>51.18</v>
      </c>
      <c r="C255">
        <v>4.5599999999999996</v>
      </c>
      <c r="D255" t="s">
        <v>2381</v>
      </c>
      <c r="E255" t="s">
        <v>2380</v>
      </c>
      <c r="F255" t="s">
        <v>2379</v>
      </c>
      <c r="G255">
        <v>2</v>
      </c>
      <c r="H255" t="s">
        <v>2381</v>
      </c>
      <c r="I255" t="str" cm="1">
        <f t="array" ref="I255">_xlfn.IFS(B255&lt;18.5,"Underweight",AND(B255&gt;=18.5,B255&lt;=24.99),"Normalweight",AND(B255&gt;=25,B255&lt;=29.99),"Overweight",B255&gt;=30,"Obesity")</f>
        <v>Obesity</v>
      </c>
      <c r="J255" t="str" cm="1">
        <f t="array" ref="J255">_xlfn.IFS(C255&lt;5.7,"Normal",AND(C255&gt;=5.7,C255&lt;=6.49),"Prediabetes",C255&gt;=6.5,"Diabetes")</f>
        <v>Normal</v>
      </c>
    </row>
    <row r="256" spans="1:10" x14ac:dyDescent="0.3">
      <c r="A256" t="s">
        <v>2117</v>
      </c>
      <c r="B256" s="8">
        <v>22.18</v>
      </c>
      <c r="C256">
        <v>9.9</v>
      </c>
      <c r="D256" t="s">
        <v>2379</v>
      </c>
      <c r="E256" t="s">
        <v>2379</v>
      </c>
      <c r="F256" t="s">
        <v>2379</v>
      </c>
      <c r="G256">
        <v>0</v>
      </c>
      <c r="H256" t="s">
        <v>2381</v>
      </c>
      <c r="I256" t="str" cm="1">
        <f t="array" ref="I256">_xlfn.IFS(B256&lt;18.5,"Underweight",AND(B256&gt;=18.5,B256&lt;=24.99),"Normalweight",AND(B256&gt;=25,B256&lt;=29.99),"Overweight",B256&gt;=30,"Obesity")</f>
        <v>Normalweight</v>
      </c>
      <c r="J256" t="str" cm="1">
        <f t="array" ref="J256">_xlfn.IFS(C256&lt;5.7,"Normal",AND(C256&gt;=5.7,C256&lt;=6.49),"Prediabetes",C256&gt;=6.5,"Diabetes")</f>
        <v>Diabetes</v>
      </c>
    </row>
    <row r="257" spans="1:10" x14ac:dyDescent="0.3">
      <c r="A257" t="s">
        <v>2116</v>
      </c>
      <c r="B257" s="8">
        <v>31.92</v>
      </c>
      <c r="C257">
        <v>5.1100000000000003</v>
      </c>
      <c r="D257" t="s">
        <v>2379</v>
      </c>
      <c r="E257" t="s">
        <v>2379</v>
      </c>
      <c r="F257" t="s">
        <v>2381</v>
      </c>
      <c r="G257">
        <v>1</v>
      </c>
      <c r="H257" t="s">
        <v>2381</v>
      </c>
      <c r="I257" t="str" cm="1">
        <f t="array" ref="I257">_xlfn.IFS(B257&lt;18.5,"Underweight",AND(B257&gt;=18.5,B257&lt;=24.99),"Normalweight",AND(B257&gt;=25,B257&lt;=29.99),"Overweight",B257&gt;=30,"Obesity")</f>
        <v>Obesity</v>
      </c>
      <c r="J257" t="str" cm="1">
        <f t="array" ref="J257">_xlfn.IFS(C257&lt;5.7,"Normal",AND(C257&gt;=5.7,C257&lt;=6.49),"Prediabetes",C257&gt;=6.5,"Diabetes")</f>
        <v>Normal</v>
      </c>
    </row>
    <row r="258" spans="1:10" x14ac:dyDescent="0.3">
      <c r="A258" t="s">
        <v>2115</v>
      </c>
      <c r="B258" s="8">
        <v>31.73</v>
      </c>
      <c r="C258">
        <v>5.73</v>
      </c>
      <c r="D258" t="s">
        <v>2379</v>
      </c>
      <c r="E258" t="s">
        <v>2380</v>
      </c>
      <c r="F258" t="s">
        <v>2379</v>
      </c>
      <c r="G258">
        <v>1</v>
      </c>
      <c r="H258" t="s">
        <v>2381</v>
      </c>
      <c r="I258" t="str" cm="1">
        <f t="array" ref="I258">_xlfn.IFS(B258&lt;18.5,"Underweight",AND(B258&gt;=18.5,B258&lt;=24.99),"Normalweight",AND(B258&gt;=25,B258&lt;=29.99),"Overweight",B258&gt;=30,"Obesity")</f>
        <v>Obesity</v>
      </c>
      <c r="J258" t="str" cm="1">
        <f t="array" ref="J258">_xlfn.IFS(C258&lt;5.7,"Normal",AND(C258&gt;=5.7,C258&lt;=6.49),"Prediabetes",C258&gt;=6.5,"Diabetes")</f>
        <v>Prediabetes</v>
      </c>
    </row>
    <row r="259" spans="1:10" x14ac:dyDescent="0.3">
      <c r="A259" t="s">
        <v>2114</v>
      </c>
      <c r="B259" s="8">
        <v>45.52</v>
      </c>
      <c r="C259">
        <v>6.04</v>
      </c>
      <c r="D259" t="s">
        <v>2379</v>
      </c>
      <c r="E259" t="s">
        <v>2379</v>
      </c>
      <c r="F259" t="s">
        <v>2381</v>
      </c>
      <c r="G259">
        <v>1</v>
      </c>
      <c r="H259" t="s">
        <v>2381</v>
      </c>
      <c r="I259" t="str" cm="1">
        <f t="array" ref="I259">_xlfn.IFS(B259&lt;18.5,"Underweight",AND(B259&gt;=18.5,B259&lt;=24.99),"Normalweight",AND(B259&gt;=25,B259&lt;=29.99),"Overweight",B259&gt;=30,"Obesity")</f>
        <v>Obesity</v>
      </c>
      <c r="J259" t="str" cm="1">
        <f t="array" ref="J259">_xlfn.IFS(C259&lt;5.7,"Normal",AND(C259&gt;=5.7,C259&lt;=6.49),"Prediabetes",C259&gt;=6.5,"Diabetes")</f>
        <v>Prediabetes</v>
      </c>
    </row>
    <row r="260" spans="1:10" x14ac:dyDescent="0.3">
      <c r="A260" t="s">
        <v>2113</v>
      </c>
      <c r="B260" s="8">
        <v>52.81</v>
      </c>
      <c r="C260">
        <v>5.19</v>
      </c>
      <c r="D260" t="s">
        <v>2379</v>
      </c>
      <c r="E260" t="s">
        <v>2379</v>
      </c>
      <c r="F260" t="s">
        <v>2381</v>
      </c>
      <c r="G260">
        <v>1</v>
      </c>
      <c r="H260" t="s">
        <v>2381</v>
      </c>
      <c r="I260" t="str" cm="1">
        <f t="array" ref="I260">_xlfn.IFS(B260&lt;18.5,"Underweight",AND(B260&gt;=18.5,B260&lt;=24.99),"Normalweight",AND(B260&gt;=25,B260&lt;=29.99),"Overweight",B260&gt;=30,"Obesity")</f>
        <v>Obesity</v>
      </c>
      <c r="J260" t="str" cm="1">
        <f t="array" ref="J260">_xlfn.IFS(C260&lt;5.7,"Normal",AND(C260&gt;=5.7,C260&lt;=6.49),"Prediabetes",C260&gt;=6.5,"Diabetes")</f>
        <v>Normal</v>
      </c>
    </row>
    <row r="261" spans="1:10" x14ac:dyDescent="0.3">
      <c r="A261" t="s">
        <v>2112</v>
      </c>
      <c r="B261" s="8">
        <v>33.58</v>
      </c>
      <c r="C261">
        <v>5.56</v>
      </c>
      <c r="D261" t="s">
        <v>2379</v>
      </c>
      <c r="E261" t="s">
        <v>2379</v>
      </c>
      <c r="F261" t="s">
        <v>2379</v>
      </c>
      <c r="G261">
        <v>1</v>
      </c>
      <c r="H261" t="s">
        <v>2381</v>
      </c>
      <c r="I261" t="str" cm="1">
        <f t="array" ref="I261">_xlfn.IFS(B261&lt;18.5,"Underweight",AND(B261&gt;=18.5,B261&lt;=24.99),"Normalweight",AND(B261&gt;=25,B261&lt;=29.99),"Overweight",B261&gt;=30,"Obesity")</f>
        <v>Obesity</v>
      </c>
      <c r="J261" t="str" cm="1">
        <f t="array" ref="J261">_xlfn.IFS(C261&lt;5.7,"Normal",AND(C261&gt;=5.7,C261&lt;=6.49),"Prediabetes",C261&gt;=6.5,"Diabetes")</f>
        <v>Normal</v>
      </c>
    </row>
    <row r="262" spans="1:10" x14ac:dyDescent="0.3">
      <c r="A262" t="s">
        <v>2111</v>
      </c>
      <c r="B262" s="8">
        <v>30.684999999999999</v>
      </c>
      <c r="C262">
        <v>8.23</v>
      </c>
      <c r="D262" t="s">
        <v>2379</v>
      </c>
      <c r="E262" t="s">
        <v>2379</v>
      </c>
      <c r="F262" t="s">
        <v>2379</v>
      </c>
      <c r="G262">
        <v>0</v>
      </c>
      <c r="H262" t="s">
        <v>2381</v>
      </c>
      <c r="I262" t="str" cm="1">
        <f t="array" ref="I262">_xlfn.IFS(B262&lt;18.5,"Underweight",AND(B262&gt;=18.5,B262&lt;=24.99),"Normalweight",AND(B262&gt;=25,B262&lt;=29.99),"Overweight",B262&gt;=30,"Obesity")</f>
        <v>Obesity</v>
      </c>
      <c r="J262" t="str" cm="1">
        <f t="array" ref="J262">_xlfn.IFS(C262&lt;5.7,"Normal",AND(C262&gt;=5.7,C262&lt;=6.49),"Prediabetes",C262&gt;=6.5,"Diabetes")</f>
        <v>Diabetes</v>
      </c>
    </row>
    <row r="263" spans="1:10" x14ac:dyDescent="0.3">
      <c r="A263" t="s">
        <v>2110</v>
      </c>
      <c r="B263" s="8">
        <v>37.524999999999999</v>
      </c>
      <c r="C263">
        <v>9.0299999999999994</v>
      </c>
      <c r="D263" t="s">
        <v>2381</v>
      </c>
      <c r="E263" t="s">
        <v>2379</v>
      </c>
      <c r="F263" t="s">
        <v>2379</v>
      </c>
      <c r="G263">
        <v>2</v>
      </c>
      <c r="H263" t="s">
        <v>2379</v>
      </c>
      <c r="I263" t="str" cm="1">
        <f t="array" ref="I263">_xlfn.IFS(B263&lt;18.5,"Underweight",AND(B263&gt;=18.5,B263&lt;=24.99),"Normalweight",AND(B263&gt;=25,B263&lt;=29.99),"Overweight",B263&gt;=30,"Obesity")</f>
        <v>Obesity</v>
      </c>
      <c r="J263" t="str" cm="1">
        <f t="array" ref="J263">_xlfn.IFS(C263&lt;5.7,"Normal",AND(C263&gt;=5.7,C263&lt;=6.49),"Prediabetes",C263&gt;=6.5,"Diabetes")</f>
        <v>Diabetes</v>
      </c>
    </row>
    <row r="264" spans="1:10" x14ac:dyDescent="0.3">
      <c r="A264" t="s">
        <v>2109</v>
      </c>
      <c r="B264" s="8">
        <v>34.5</v>
      </c>
      <c r="C264">
        <v>4.07</v>
      </c>
      <c r="D264" t="s">
        <v>2381</v>
      </c>
      <c r="E264" t="s">
        <v>2379</v>
      </c>
      <c r="F264" t="s">
        <v>2379</v>
      </c>
      <c r="G264">
        <v>0</v>
      </c>
      <c r="H264" t="s">
        <v>2381</v>
      </c>
      <c r="I264" t="str" cm="1">
        <f t="array" ref="I264">_xlfn.IFS(B264&lt;18.5,"Underweight",AND(B264&gt;=18.5,B264&lt;=24.99),"Normalweight",AND(B264&gt;=25,B264&lt;=29.99),"Overweight",B264&gt;=30,"Obesity")</f>
        <v>Obesity</v>
      </c>
      <c r="J264" t="str" cm="1">
        <f t="array" ref="J264">_xlfn.IFS(C264&lt;5.7,"Normal",AND(C264&gt;=5.7,C264&lt;=6.49),"Prediabetes",C264&gt;=6.5,"Diabetes")</f>
        <v>Normal</v>
      </c>
    </row>
    <row r="265" spans="1:10" x14ac:dyDescent="0.3">
      <c r="A265" t="s">
        <v>2108</v>
      </c>
      <c r="B265" s="8">
        <v>28.16</v>
      </c>
      <c r="C265">
        <v>5.77</v>
      </c>
      <c r="D265" t="s">
        <v>2379</v>
      </c>
      <c r="E265" t="s">
        <v>2379</v>
      </c>
      <c r="F265" t="s">
        <v>2379</v>
      </c>
      <c r="G265">
        <v>2</v>
      </c>
      <c r="H265" t="s">
        <v>2381</v>
      </c>
      <c r="I265" t="str" cm="1">
        <f t="array" ref="I265">_xlfn.IFS(B265&lt;18.5,"Underweight",AND(B265&gt;=18.5,B265&lt;=24.99),"Normalweight",AND(B265&gt;=25,B265&lt;=29.99),"Overweight",B265&gt;=30,"Obesity")</f>
        <v>Overweight</v>
      </c>
      <c r="J265" t="str" cm="1">
        <f t="array" ref="J265">_xlfn.IFS(C265&lt;5.7,"Normal",AND(C265&gt;=5.7,C265&lt;=6.49),"Prediabetes",C265&gt;=6.5,"Diabetes")</f>
        <v>Prediabetes</v>
      </c>
    </row>
    <row r="266" spans="1:10" x14ac:dyDescent="0.3">
      <c r="A266" t="s">
        <v>2107</v>
      </c>
      <c r="B266" s="8">
        <v>30.02</v>
      </c>
      <c r="C266">
        <v>5.98</v>
      </c>
      <c r="D266" t="s">
        <v>2379</v>
      </c>
      <c r="E266" t="s">
        <v>2379</v>
      </c>
      <c r="F266" t="s">
        <v>2381</v>
      </c>
      <c r="G266">
        <v>1</v>
      </c>
      <c r="H266" t="s">
        <v>2381</v>
      </c>
      <c r="I266" t="str" cm="1">
        <f t="array" ref="I266">_xlfn.IFS(B266&lt;18.5,"Underweight",AND(B266&gt;=18.5,B266&lt;=24.99),"Normalweight",AND(B266&gt;=25,B266&lt;=29.99),"Overweight",B266&gt;=30,"Obesity")</f>
        <v>Obesity</v>
      </c>
      <c r="J266" t="str" cm="1">
        <f t="array" ref="J266">_xlfn.IFS(C266&lt;5.7,"Normal",AND(C266&gt;=5.7,C266&lt;=6.49),"Prediabetes",C266&gt;=6.5,"Diabetes")</f>
        <v>Prediabetes</v>
      </c>
    </row>
    <row r="267" spans="1:10" x14ac:dyDescent="0.3">
      <c r="A267" t="s">
        <v>2106</v>
      </c>
      <c r="B267" s="8">
        <v>37.82</v>
      </c>
      <c r="C267">
        <v>6.01</v>
      </c>
      <c r="D267" t="s">
        <v>2379</v>
      </c>
      <c r="E267" t="s">
        <v>2379</v>
      </c>
      <c r="F267" t="s">
        <v>2379</v>
      </c>
      <c r="G267">
        <v>0</v>
      </c>
      <c r="H267" t="s">
        <v>2381</v>
      </c>
      <c r="I267" t="str" cm="1">
        <f t="array" ref="I267">_xlfn.IFS(B267&lt;18.5,"Underweight",AND(B267&gt;=18.5,B267&lt;=24.99),"Normalweight",AND(B267&gt;=25,B267&lt;=29.99),"Overweight",B267&gt;=30,"Obesity")</f>
        <v>Obesity</v>
      </c>
      <c r="J267" t="str" cm="1">
        <f t="array" ref="J267">_xlfn.IFS(C267&lt;5.7,"Normal",AND(C267&gt;=5.7,C267&lt;=6.49),"Prediabetes",C267&gt;=6.5,"Diabetes")</f>
        <v>Prediabetes</v>
      </c>
    </row>
    <row r="268" spans="1:10" x14ac:dyDescent="0.3">
      <c r="A268" t="s">
        <v>2105</v>
      </c>
      <c r="B268" s="8">
        <v>33.14</v>
      </c>
      <c r="C268">
        <v>5.67</v>
      </c>
      <c r="D268" t="s">
        <v>2381</v>
      </c>
      <c r="E268" t="s">
        <v>2379</v>
      </c>
      <c r="F268" t="s">
        <v>2379</v>
      </c>
      <c r="G268">
        <v>0</v>
      </c>
      <c r="H268" t="s">
        <v>2381</v>
      </c>
      <c r="I268" t="str" cm="1">
        <f t="array" ref="I268">_xlfn.IFS(B268&lt;18.5,"Underweight",AND(B268&gt;=18.5,B268&lt;=24.99),"Normalweight",AND(B268&gt;=25,B268&lt;=29.99),"Overweight",B268&gt;=30,"Obesity")</f>
        <v>Obesity</v>
      </c>
      <c r="J268" t="str" cm="1">
        <f t="array" ref="J268">_xlfn.IFS(C268&lt;5.7,"Normal",AND(C268&gt;=5.7,C268&lt;=6.49),"Prediabetes",C268&gt;=6.5,"Diabetes")</f>
        <v>Normal</v>
      </c>
    </row>
    <row r="269" spans="1:10" x14ac:dyDescent="0.3">
      <c r="A269" t="s">
        <v>2104</v>
      </c>
      <c r="B269" s="8">
        <v>25.14</v>
      </c>
      <c r="C269">
        <v>6.02</v>
      </c>
      <c r="D269" t="s">
        <v>2381</v>
      </c>
      <c r="E269" t="s">
        <v>2379</v>
      </c>
      <c r="F269" t="s">
        <v>2381</v>
      </c>
      <c r="G269">
        <v>1</v>
      </c>
      <c r="H269" t="s">
        <v>2381</v>
      </c>
      <c r="I269" t="str" cm="1">
        <f t="array" ref="I269">_xlfn.IFS(B269&lt;18.5,"Underweight",AND(B269&gt;=18.5,B269&lt;=24.99),"Normalweight",AND(B269&gt;=25,B269&lt;=29.99),"Overweight",B269&gt;=30,"Obesity")</f>
        <v>Overweight</v>
      </c>
      <c r="J269" t="str" cm="1">
        <f t="array" ref="J269">_xlfn.IFS(C269&lt;5.7,"Normal",AND(C269&gt;=5.7,C269&lt;=6.49),"Prediabetes",C269&gt;=6.5,"Diabetes")</f>
        <v>Prediabetes</v>
      </c>
    </row>
    <row r="270" spans="1:10" x14ac:dyDescent="0.3">
      <c r="A270" t="s">
        <v>2103</v>
      </c>
      <c r="B270" s="8">
        <v>20.18</v>
      </c>
      <c r="C270">
        <v>11.19</v>
      </c>
      <c r="D270" t="s">
        <v>2379</v>
      </c>
      <c r="E270" t="s">
        <v>2379</v>
      </c>
      <c r="F270" t="s">
        <v>2379</v>
      </c>
      <c r="G270">
        <v>0</v>
      </c>
      <c r="H270" t="s">
        <v>2381</v>
      </c>
      <c r="I270" t="str" cm="1">
        <f t="array" ref="I270">_xlfn.IFS(B270&lt;18.5,"Underweight",AND(B270&gt;=18.5,B270&lt;=24.99),"Normalweight",AND(B270&gt;=25,B270&lt;=29.99),"Overweight",B270&gt;=30,"Obesity")</f>
        <v>Normalweight</v>
      </c>
      <c r="J270" t="str" cm="1">
        <f t="array" ref="J270">_xlfn.IFS(C270&lt;5.7,"Normal",AND(C270&gt;=5.7,C270&lt;=6.49),"Prediabetes",C270&gt;=6.5,"Diabetes")</f>
        <v>Diabetes</v>
      </c>
    </row>
    <row r="271" spans="1:10" x14ac:dyDescent="0.3">
      <c r="A271" t="s">
        <v>2102</v>
      </c>
      <c r="B271" s="8">
        <v>44.36</v>
      </c>
      <c r="C271">
        <v>5.1100000000000003</v>
      </c>
      <c r="D271" t="s">
        <v>2379</v>
      </c>
      <c r="E271" t="s">
        <v>2379</v>
      </c>
      <c r="F271" t="s">
        <v>2379</v>
      </c>
      <c r="G271">
        <v>0</v>
      </c>
      <c r="H271" t="s">
        <v>2381</v>
      </c>
      <c r="I271" t="str" cm="1">
        <f t="array" ref="I271">_xlfn.IFS(B271&lt;18.5,"Underweight",AND(B271&gt;=18.5,B271&lt;=24.99),"Normalweight",AND(B271&gt;=25,B271&lt;=29.99),"Overweight",B271&gt;=30,"Obesity")</f>
        <v>Obesity</v>
      </c>
      <c r="J271" t="str" cm="1">
        <f t="array" ref="J271">_xlfn.IFS(C271&lt;5.7,"Normal",AND(C271&gt;=5.7,C271&lt;=6.49),"Prediabetes",C271&gt;=6.5,"Diabetes")</f>
        <v>Normal</v>
      </c>
    </row>
    <row r="272" spans="1:10" x14ac:dyDescent="0.3">
      <c r="A272" t="s">
        <v>2101</v>
      </c>
      <c r="B272" s="8">
        <v>23.82</v>
      </c>
      <c r="C272">
        <v>10.85</v>
      </c>
      <c r="D272" t="s">
        <v>2381</v>
      </c>
      <c r="E272" t="s">
        <v>2379</v>
      </c>
      <c r="F272" t="s">
        <v>2379</v>
      </c>
      <c r="G272">
        <v>0</v>
      </c>
      <c r="H272" t="s">
        <v>2381</v>
      </c>
      <c r="I272" t="str" cm="1">
        <f t="array" ref="I272">_xlfn.IFS(B272&lt;18.5,"Underweight",AND(B272&gt;=18.5,B272&lt;=24.99),"Normalweight",AND(B272&gt;=25,B272&lt;=29.99),"Overweight",B272&gt;=30,"Obesity")</f>
        <v>Normalweight</v>
      </c>
      <c r="J272" t="str" cm="1">
        <f t="array" ref="J272">_xlfn.IFS(C272&lt;5.7,"Normal",AND(C272&gt;=5.7,C272&lt;=6.49),"Prediabetes",C272&gt;=6.5,"Diabetes")</f>
        <v>Diabetes</v>
      </c>
    </row>
    <row r="273" spans="1:10" x14ac:dyDescent="0.3">
      <c r="A273" t="s">
        <v>2100</v>
      </c>
      <c r="B273" s="8">
        <v>45</v>
      </c>
      <c r="C273">
        <v>5.24</v>
      </c>
      <c r="D273" t="s">
        <v>2381</v>
      </c>
      <c r="E273" t="s">
        <v>2379</v>
      </c>
      <c r="F273" t="s">
        <v>2379</v>
      </c>
      <c r="G273">
        <v>1</v>
      </c>
      <c r="H273" t="s">
        <v>2381</v>
      </c>
      <c r="I273" t="str" cm="1">
        <f t="array" ref="I273">_xlfn.IFS(B273&lt;18.5,"Underweight",AND(B273&gt;=18.5,B273&lt;=24.99),"Normalweight",AND(B273&gt;=25,B273&lt;=29.99),"Overweight",B273&gt;=30,"Obesity")</f>
        <v>Obesity</v>
      </c>
      <c r="J273" t="str" cm="1">
        <f t="array" ref="J273">_xlfn.IFS(C273&lt;5.7,"Normal",AND(C273&gt;=5.7,C273&lt;=6.49),"Prediabetes",C273&gt;=6.5,"Diabetes")</f>
        <v>Normal</v>
      </c>
    </row>
    <row r="274" spans="1:10" x14ac:dyDescent="0.3">
      <c r="A274" t="s">
        <v>2099</v>
      </c>
      <c r="B274" s="8">
        <v>26.62</v>
      </c>
      <c r="C274">
        <v>10.08</v>
      </c>
      <c r="D274" t="s">
        <v>2379</v>
      </c>
      <c r="E274" t="s">
        <v>2379</v>
      </c>
      <c r="F274" t="s">
        <v>2379</v>
      </c>
      <c r="G274">
        <v>0</v>
      </c>
      <c r="H274" t="s">
        <v>2381</v>
      </c>
      <c r="I274" t="str" cm="1">
        <f t="array" ref="I274">_xlfn.IFS(B274&lt;18.5,"Underweight",AND(B274&gt;=18.5,B274&lt;=24.99),"Normalweight",AND(B274&gt;=25,B274&lt;=29.99),"Overweight",B274&gt;=30,"Obesity")</f>
        <v>Overweight</v>
      </c>
      <c r="J274" t="str" cm="1">
        <f t="array" ref="J274">_xlfn.IFS(C274&lt;5.7,"Normal",AND(C274&gt;=5.7,C274&lt;=6.49),"Prediabetes",C274&gt;=6.5,"Diabetes")</f>
        <v>Diabetes</v>
      </c>
    </row>
    <row r="275" spans="1:10" x14ac:dyDescent="0.3">
      <c r="A275" t="s">
        <v>2098</v>
      </c>
      <c r="B275" s="8">
        <v>32.67</v>
      </c>
      <c r="C275">
        <v>10.97</v>
      </c>
      <c r="D275" t="s">
        <v>2381</v>
      </c>
      <c r="E275" t="s">
        <v>2379</v>
      </c>
      <c r="F275" t="s">
        <v>2379</v>
      </c>
      <c r="G275">
        <v>0</v>
      </c>
      <c r="H275" t="s">
        <v>2381</v>
      </c>
      <c r="I275" t="str" cm="1">
        <f t="array" ref="I275">_xlfn.IFS(B275&lt;18.5,"Underweight",AND(B275&gt;=18.5,B275&lt;=24.99),"Normalweight",AND(B275&gt;=25,B275&lt;=29.99),"Overweight",B275&gt;=30,"Obesity")</f>
        <v>Obesity</v>
      </c>
      <c r="J275" t="str" cm="1">
        <f t="array" ref="J275">_xlfn.IFS(C275&lt;5.7,"Normal",AND(C275&gt;=5.7,C275&lt;=6.49),"Prediabetes",C275&gt;=6.5,"Diabetes")</f>
        <v>Diabetes</v>
      </c>
    </row>
    <row r="276" spans="1:10" x14ac:dyDescent="0.3">
      <c r="A276" t="s">
        <v>2097</v>
      </c>
      <c r="B276" s="8">
        <v>44.44</v>
      </c>
      <c r="C276">
        <v>4.9000000000000004</v>
      </c>
      <c r="D276" t="s">
        <v>2381</v>
      </c>
      <c r="E276" t="s">
        <v>2379</v>
      </c>
      <c r="F276" t="s">
        <v>2379</v>
      </c>
      <c r="G276">
        <v>1</v>
      </c>
      <c r="H276" t="s">
        <v>2381</v>
      </c>
      <c r="I276" t="str" cm="1">
        <f t="array" ref="I276">_xlfn.IFS(B276&lt;18.5,"Underweight",AND(B276&gt;=18.5,B276&lt;=24.99),"Normalweight",AND(B276&gt;=25,B276&lt;=29.99),"Overweight",B276&gt;=30,"Obesity")</f>
        <v>Obesity</v>
      </c>
      <c r="J276" t="str" cm="1">
        <f t="array" ref="J276">_xlfn.IFS(C276&lt;5.7,"Normal",AND(C276&gt;=5.7,C276&lt;=6.49),"Prediabetes",C276&gt;=6.5,"Diabetes")</f>
        <v>Normal</v>
      </c>
    </row>
    <row r="277" spans="1:10" x14ac:dyDescent="0.3">
      <c r="A277" t="s">
        <v>2096</v>
      </c>
      <c r="B277" s="8">
        <v>28.31</v>
      </c>
      <c r="C277">
        <v>5.33</v>
      </c>
      <c r="D277" t="s">
        <v>2379</v>
      </c>
      <c r="E277" t="s">
        <v>2379</v>
      </c>
      <c r="F277" t="s">
        <v>2379</v>
      </c>
      <c r="G277">
        <v>0</v>
      </c>
      <c r="H277" t="s">
        <v>2381</v>
      </c>
      <c r="I277" t="str" cm="1">
        <f t="array" ref="I277">_xlfn.IFS(B277&lt;18.5,"Underweight",AND(B277&gt;=18.5,B277&lt;=24.99),"Normalweight",AND(B277&gt;=25,B277&lt;=29.99),"Overweight",B277&gt;=30,"Obesity")</f>
        <v>Overweight</v>
      </c>
      <c r="J277" t="str" cm="1">
        <f t="array" ref="J277">_xlfn.IFS(C277&lt;5.7,"Normal",AND(C277&gt;=5.7,C277&lt;=6.49),"Prediabetes",C277&gt;=6.5,"Diabetes")</f>
        <v>Normal</v>
      </c>
    </row>
    <row r="278" spans="1:10" x14ac:dyDescent="0.3">
      <c r="A278" t="s">
        <v>2095</v>
      </c>
      <c r="B278" s="8">
        <v>25.05</v>
      </c>
      <c r="C278">
        <v>4.6100000000000003</v>
      </c>
      <c r="D278" t="s">
        <v>2379</v>
      </c>
      <c r="E278" t="s">
        <v>2379</v>
      </c>
      <c r="F278" t="s">
        <v>2379</v>
      </c>
      <c r="G278">
        <v>2</v>
      </c>
      <c r="H278" t="s">
        <v>2381</v>
      </c>
      <c r="I278" t="str" cm="1">
        <f t="array" ref="I278">_xlfn.IFS(B278&lt;18.5,"Underweight",AND(B278&gt;=18.5,B278&lt;=24.99),"Normalweight",AND(B278&gt;=25,B278&lt;=29.99),"Overweight",B278&gt;=30,"Obesity")</f>
        <v>Overweight</v>
      </c>
      <c r="J278" t="str" cm="1">
        <f t="array" ref="J278">_xlfn.IFS(C278&lt;5.7,"Normal",AND(C278&gt;=5.7,C278&lt;=6.49),"Prediabetes",C278&gt;=6.5,"Diabetes")</f>
        <v>Normal</v>
      </c>
    </row>
    <row r="279" spans="1:10" x14ac:dyDescent="0.3">
      <c r="A279" t="s">
        <v>2094</v>
      </c>
      <c r="B279" s="8">
        <v>28.34</v>
      </c>
      <c r="C279">
        <v>8.18</v>
      </c>
      <c r="D279" t="s">
        <v>2379</v>
      </c>
      <c r="E279" t="s">
        <v>2379</v>
      </c>
      <c r="F279" t="s">
        <v>2379</v>
      </c>
      <c r="G279">
        <v>0</v>
      </c>
      <c r="H279" t="s">
        <v>2381</v>
      </c>
      <c r="I279" t="str" cm="1">
        <f t="array" ref="I279">_xlfn.IFS(B279&lt;18.5,"Underweight",AND(B279&gt;=18.5,B279&lt;=24.99),"Normalweight",AND(B279&gt;=25,B279&lt;=29.99),"Overweight",B279&gt;=30,"Obesity")</f>
        <v>Overweight</v>
      </c>
      <c r="J279" t="str" cm="1">
        <f t="array" ref="J279">_xlfn.IFS(C279&lt;5.7,"Normal",AND(C279&gt;=5.7,C279&lt;=6.49),"Prediabetes",C279&gt;=6.5,"Diabetes")</f>
        <v>Diabetes</v>
      </c>
    </row>
    <row r="280" spans="1:10" x14ac:dyDescent="0.3">
      <c r="A280" t="s">
        <v>2093</v>
      </c>
      <c r="B280" s="8">
        <v>17.765000000000001</v>
      </c>
      <c r="C280">
        <v>5.62</v>
      </c>
      <c r="D280" t="s">
        <v>2379</v>
      </c>
      <c r="E280" t="s">
        <v>2379</v>
      </c>
      <c r="F280" t="s">
        <v>2379</v>
      </c>
      <c r="G280">
        <v>0</v>
      </c>
      <c r="H280" t="s">
        <v>2381</v>
      </c>
      <c r="I280" t="str" cm="1">
        <f t="array" ref="I280">_xlfn.IFS(B280&lt;18.5,"Underweight",AND(B280&gt;=18.5,B280&lt;=24.99),"Normalweight",AND(B280&gt;=25,B280&lt;=29.99),"Overweight",B280&gt;=30,"Obesity")</f>
        <v>Underweight</v>
      </c>
      <c r="J280" t="str" cm="1">
        <f t="array" ref="J280">_xlfn.IFS(C280&lt;5.7,"Normal",AND(C280&gt;=5.7,C280&lt;=6.49),"Prediabetes",C280&gt;=6.5,"Diabetes")</f>
        <v>Normal</v>
      </c>
    </row>
    <row r="281" spans="1:10" x14ac:dyDescent="0.3">
      <c r="A281" t="s">
        <v>2092</v>
      </c>
      <c r="B281" s="8">
        <v>36.119999999999997</v>
      </c>
      <c r="C281">
        <v>5.82</v>
      </c>
      <c r="D281" t="s">
        <v>2379</v>
      </c>
      <c r="E281" t="s">
        <v>2379</v>
      </c>
      <c r="F281" t="s">
        <v>2379</v>
      </c>
      <c r="G281">
        <v>0</v>
      </c>
      <c r="H281" t="s">
        <v>2381</v>
      </c>
      <c r="I281" t="str" cm="1">
        <f t="array" ref="I281">_xlfn.IFS(B281&lt;18.5,"Underweight",AND(B281&gt;=18.5,B281&lt;=24.99),"Normalweight",AND(B281&gt;=25,B281&lt;=29.99),"Overweight",B281&gt;=30,"Obesity")</f>
        <v>Obesity</v>
      </c>
      <c r="J281" t="str" cm="1">
        <f t="array" ref="J281">_xlfn.IFS(C281&lt;5.7,"Normal",AND(C281&gt;=5.7,C281&lt;=6.49),"Prediabetes",C281&gt;=6.5,"Diabetes")</f>
        <v>Prediabetes</v>
      </c>
    </row>
    <row r="282" spans="1:10" x14ac:dyDescent="0.3">
      <c r="A282" t="s">
        <v>2091</v>
      </c>
      <c r="B282" s="8">
        <v>23.19</v>
      </c>
      <c r="C282">
        <v>7.66</v>
      </c>
      <c r="D282" t="s">
        <v>2379</v>
      </c>
      <c r="E282" t="s">
        <v>2379</v>
      </c>
      <c r="F282" t="s">
        <v>2379</v>
      </c>
      <c r="G282">
        <v>0</v>
      </c>
      <c r="H282" t="s">
        <v>2381</v>
      </c>
      <c r="I282" t="str" cm="1">
        <f t="array" ref="I282">_xlfn.IFS(B282&lt;18.5,"Underweight",AND(B282&gt;=18.5,B282&lt;=24.99),"Normalweight",AND(B282&gt;=25,B282&lt;=29.99),"Overweight",B282&gt;=30,"Obesity")</f>
        <v>Normalweight</v>
      </c>
      <c r="J282" t="str" cm="1">
        <f t="array" ref="J282">_xlfn.IFS(C282&lt;5.7,"Normal",AND(C282&gt;=5.7,C282&lt;=6.49),"Prediabetes",C282&gt;=6.5,"Diabetes")</f>
        <v>Diabetes</v>
      </c>
    </row>
    <row r="283" spans="1:10" x14ac:dyDescent="0.3">
      <c r="A283" t="s">
        <v>2090</v>
      </c>
      <c r="B283" s="8">
        <v>35.99</v>
      </c>
      <c r="C283">
        <v>4.2300000000000004</v>
      </c>
      <c r="D283" t="s">
        <v>2379</v>
      </c>
      <c r="E283" t="s">
        <v>2379</v>
      </c>
      <c r="F283" t="s">
        <v>2379</v>
      </c>
      <c r="G283">
        <v>0</v>
      </c>
      <c r="H283" t="s">
        <v>2381</v>
      </c>
      <c r="I283" t="str" cm="1">
        <f t="array" ref="I283">_xlfn.IFS(B283&lt;18.5,"Underweight",AND(B283&gt;=18.5,B283&lt;=24.99),"Normalweight",AND(B283&gt;=25,B283&lt;=29.99),"Overweight",B283&gt;=30,"Obesity")</f>
        <v>Obesity</v>
      </c>
      <c r="J283" t="str" cm="1">
        <f t="array" ref="J283">_xlfn.IFS(C283&lt;5.7,"Normal",AND(C283&gt;=5.7,C283&lt;=6.49),"Prediabetes",C283&gt;=6.5,"Diabetes")</f>
        <v>Normal</v>
      </c>
    </row>
    <row r="284" spans="1:10" x14ac:dyDescent="0.3">
      <c r="A284" t="s">
        <v>2089</v>
      </c>
      <c r="B284" s="8">
        <v>30.25</v>
      </c>
      <c r="C284">
        <v>5.58</v>
      </c>
      <c r="D284" t="s">
        <v>2379</v>
      </c>
      <c r="E284" t="s">
        <v>2379</v>
      </c>
      <c r="F284" t="s">
        <v>2381</v>
      </c>
      <c r="G284">
        <v>1</v>
      </c>
      <c r="H284" t="s">
        <v>2381</v>
      </c>
      <c r="I284" t="str" cm="1">
        <f t="array" ref="I284">_xlfn.IFS(B284&lt;18.5,"Underweight",AND(B284&gt;=18.5,B284&lt;=24.99),"Normalweight",AND(B284&gt;=25,B284&lt;=29.99),"Overweight",B284&gt;=30,"Obesity")</f>
        <v>Obesity</v>
      </c>
      <c r="J284" t="str" cm="1">
        <f t="array" ref="J284">_xlfn.IFS(C284&lt;5.7,"Normal",AND(C284&gt;=5.7,C284&lt;=6.49),"Prediabetes",C284&gt;=6.5,"Diabetes")</f>
        <v>Normal</v>
      </c>
    </row>
    <row r="285" spans="1:10" x14ac:dyDescent="0.3">
      <c r="A285" t="s">
        <v>2088</v>
      </c>
      <c r="B285" s="8">
        <v>26.24</v>
      </c>
      <c r="C285">
        <v>6.26</v>
      </c>
      <c r="D285" t="s">
        <v>2381</v>
      </c>
      <c r="E285" t="s">
        <v>2379</v>
      </c>
      <c r="F285" t="s">
        <v>2379</v>
      </c>
      <c r="G285">
        <v>0</v>
      </c>
      <c r="H285" t="s">
        <v>2381</v>
      </c>
      <c r="I285" t="str" cm="1">
        <f t="array" ref="I285">_xlfn.IFS(B285&lt;18.5,"Underweight",AND(B285&gt;=18.5,B285&lt;=24.99),"Normalweight",AND(B285&gt;=25,B285&lt;=29.99),"Overweight",B285&gt;=30,"Obesity")</f>
        <v>Overweight</v>
      </c>
      <c r="J285" t="str" cm="1">
        <f t="array" ref="J285">_xlfn.IFS(C285&lt;5.7,"Normal",AND(C285&gt;=5.7,C285&lt;=6.49),"Prediabetes",C285&gt;=6.5,"Diabetes")</f>
        <v>Prediabetes</v>
      </c>
    </row>
    <row r="286" spans="1:10" x14ac:dyDescent="0.3">
      <c r="A286" t="s">
        <v>2087</v>
      </c>
      <c r="B286" s="8">
        <v>31.36</v>
      </c>
      <c r="C286">
        <v>10.6</v>
      </c>
      <c r="D286" t="s">
        <v>2381</v>
      </c>
      <c r="E286" t="s">
        <v>2379</v>
      </c>
      <c r="F286" t="s">
        <v>2379</v>
      </c>
      <c r="G286">
        <v>0</v>
      </c>
      <c r="H286" t="s">
        <v>2381</v>
      </c>
      <c r="I286" t="str" cm="1">
        <f t="array" ref="I286">_xlfn.IFS(B286&lt;18.5,"Underweight",AND(B286&gt;=18.5,B286&lt;=24.99),"Normalweight",AND(B286&gt;=25,B286&lt;=29.99),"Overweight",B286&gt;=30,"Obesity")</f>
        <v>Obesity</v>
      </c>
      <c r="J286" t="str" cm="1">
        <f t="array" ref="J286">_xlfn.IFS(C286&lt;5.7,"Normal",AND(C286&gt;=5.7,C286&lt;=6.49),"Prediabetes",C286&gt;=6.5,"Diabetes")</f>
        <v>Diabetes</v>
      </c>
    </row>
    <row r="287" spans="1:10" x14ac:dyDescent="0.3">
      <c r="A287" t="s">
        <v>2086</v>
      </c>
      <c r="B287" s="8">
        <v>25.69</v>
      </c>
      <c r="C287">
        <v>4.78</v>
      </c>
      <c r="D287" t="s">
        <v>2381</v>
      </c>
      <c r="E287" t="s">
        <v>2379</v>
      </c>
      <c r="F287" t="s">
        <v>2379</v>
      </c>
      <c r="G287">
        <v>0</v>
      </c>
      <c r="H287" t="s">
        <v>2381</v>
      </c>
      <c r="I287" t="str" cm="1">
        <f t="array" ref="I287">_xlfn.IFS(B287&lt;18.5,"Underweight",AND(B287&gt;=18.5,B287&lt;=24.99),"Normalweight",AND(B287&gt;=25,B287&lt;=29.99),"Overweight",B287&gt;=30,"Obesity")</f>
        <v>Overweight</v>
      </c>
      <c r="J287" t="str" cm="1">
        <f t="array" ref="J287">_xlfn.IFS(C287&lt;5.7,"Normal",AND(C287&gt;=5.7,C287&lt;=6.49),"Prediabetes",C287&gt;=6.5,"Diabetes")</f>
        <v>Normal</v>
      </c>
    </row>
    <row r="288" spans="1:10" x14ac:dyDescent="0.3">
      <c r="A288" t="s">
        <v>2085</v>
      </c>
      <c r="B288" s="8">
        <v>25.46</v>
      </c>
      <c r="C288">
        <v>6.03</v>
      </c>
      <c r="D288" t="s">
        <v>2379</v>
      </c>
      <c r="E288" t="s">
        <v>2379</v>
      </c>
      <c r="F288" t="s">
        <v>2379</v>
      </c>
      <c r="G288">
        <v>2</v>
      </c>
      <c r="H288" t="s">
        <v>2381</v>
      </c>
      <c r="I288" t="str" cm="1">
        <f t="array" ref="I288">_xlfn.IFS(B288&lt;18.5,"Underweight",AND(B288&gt;=18.5,B288&lt;=24.99),"Normalweight",AND(B288&gt;=25,B288&lt;=29.99),"Overweight",B288&gt;=30,"Obesity")</f>
        <v>Overweight</v>
      </c>
      <c r="J288" t="str" cm="1">
        <f t="array" ref="J288">_xlfn.IFS(C288&lt;5.7,"Normal",AND(C288&gt;=5.7,C288&lt;=6.49),"Prediabetes",C288&gt;=6.5,"Diabetes")</f>
        <v>Prediabetes</v>
      </c>
    </row>
    <row r="289" spans="1:10" x14ac:dyDescent="0.3">
      <c r="A289" t="s">
        <v>2084</v>
      </c>
      <c r="B289" s="8">
        <v>31.83</v>
      </c>
      <c r="C289">
        <v>11.55</v>
      </c>
      <c r="D289" t="s">
        <v>2381</v>
      </c>
      <c r="E289" t="s">
        <v>2379</v>
      </c>
      <c r="F289" t="s">
        <v>2379</v>
      </c>
      <c r="G289">
        <v>1</v>
      </c>
      <c r="H289" t="s">
        <v>2381</v>
      </c>
      <c r="I289" t="str" cm="1">
        <f t="array" ref="I289">_xlfn.IFS(B289&lt;18.5,"Underweight",AND(B289&gt;=18.5,B289&lt;=24.99),"Normalweight",AND(B289&gt;=25,B289&lt;=29.99),"Overweight",B289&gt;=30,"Obesity")</f>
        <v>Obesity</v>
      </c>
      <c r="J289" t="str" cm="1">
        <f t="array" ref="J289">_xlfn.IFS(C289&lt;5.7,"Normal",AND(C289&gt;=5.7,C289&lt;=6.49),"Prediabetes",C289&gt;=6.5,"Diabetes")</f>
        <v>Diabetes</v>
      </c>
    </row>
    <row r="290" spans="1:10" x14ac:dyDescent="0.3">
      <c r="A290" t="s">
        <v>2083</v>
      </c>
      <c r="B290" s="8">
        <v>24.43</v>
      </c>
      <c r="C290">
        <v>7.59</v>
      </c>
      <c r="D290" t="s">
        <v>2381</v>
      </c>
      <c r="E290" t="s">
        <v>2379</v>
      </c>
      <c r="F290" t="s">
        <v>2379</v>
      </c>
      <c r="G290">
        <v>1</v>
      </c>
      <c r="H290" t="s">
        <v>2381</v>
      </c>
      <c r="I290" t="str" cm="1">
        <f t="array" ref="I290">_xlfn.IFS(B290&lt;18.5,"Underweight",AND(B290&gt;=18.5,B290&lt;=24.99),"Normalweight",AND(B290&gt;=25,B290&lt;=29.99),"Overweight",B290&gt;=30,"Obesity")</f>
        <v>Normalweight</v>
      </c>
      <c r="J290" t="str" cm="1">
        <f t="array" ref="J290">_xlfn.IFS(C290&lt;5.7,"Normal",AND(C290&gt;=5.7,C290&lt;=6.49),"Prediabetes",C290&gt;=6.5,"Diabetes")</f>
        <v>Diabetes</v>
      </c>
    </row>
    <row r="291" spans="1:10" x14ac:dyDescent="0.3">
      <c r="A291" t="s">
        <v>2082</v>
      </c>
      <c r="B291" s="8">
        <v>41.9</v>
      </c>
      <c r="C291">
        <v>4.26</v>
      </c>
      <c r="D291" t="s">
        <v>2379</v>
      </c>
      <c r="E291" t="s">
        <v>2379</v>
      </c>
      <c r="F291" t="s">
        <v>2379</v>
      </c>
      <c r="G291">
        <v>0</v>
      </c>
      <c r="H291" t="s">
        <v>2381</v>
      </c>
      <c r="I291" t="str" cm="1">
        <f t="array" ref="I291">_xlfn.IFS(B291&lt;18.5,"Underweight",AND(B291&gt;=18.5,B291&lt;=24.99),"Normalweight",AND(B291&gt;=25,B291&lt;=29.99),"Overweight",B291&gt;=30,"Obesity")</f>
        <v>Obesity</v>
      </c>
      <c r="J291" t="str" cm="1">
        <f t="array" ref="J291">_xlfn.IFS(C291&lt;5.7,"Normal",AND(C291&gt;=5.7,C291&lt;=6.49),"Prediabetes",C291&gt;=6.5,"Diabetes")</f>
        <v>Normal</v>
      </c>
    </row>
    <row r="292" spans="1:10" x14ac:dyDescent="0.3">
      <c r="A292" t="s">
        <v>2081</v>
      </c>
      <c r="B292" s="8">
        <v>22.88</v>
      </c>
      <c r="C292">
        <v>5.9</v>
      </c>
      <c r="D292" t="s">
        <v>2381</v>
      </c>
      <c r="E292" t="s">
        <v>2379</v>
      </c>
      <c r="F292" t="s">
        <v>2381</v>
      </c>
      <c r="G292">
        <v>1</v>
      </c>
      <c r="H292" t="s">
        <v>2381</v>
      </c>
      <c r="I292" t="str" cm="1">
        <f t="array" ref="I292">_xlfn.IFS(B292&lt;18.5,"Underweight",AND(B292&gt;=18.5,B292&lt;=24.99),"Normalweight",AND(B292&gt;=25,B292&lt;=29.99),"Overweight",B292&gt;=30,"Obesity")</f>
        <v>Normalweight</v>
      </c>
      <c r="J292" t="str" cm="1">
        <f t="array" ref="J292">_xlfn.IFS(C292&lt;5.7,"Normal",AND(C292&gt;=5.7,C292&lt;=6.49),"Prediabetes",C292&gt;=6.5,"Diabetes")</f>
        <v>Prediabetes</v>
      </c>
    </row>
    <row r="293" spans="1:10" x14ac:dyDescent="0.3">
      <c r="A293" t="s">
        <v>2080</v>
      </c>
      <c r="B293" s="8">
        <v>29.734999999999999</v>
      </c>
      <c r="C293">
        <v>7.79</v>
      </c>
      <c r="D293" t="s">
        <v>2379</v>
      </c>
      <c r="E293" t="s">
        <v>2379</v>
      </c>
      <c r="F293" t="s">
        <v>2379</v>
      </c>
      <c r="G293">
        <v>0</v>
      </c>
      <c r="H293" t="s">
        <v>2379</v>
      </c>
      <c r="I293" t="str" cm="1">
        <f t="array" ref="I293">_xlfn.IFS(B293&lt;18.5,"Underweight",AND(B293&gt;=18.5,B293&lt;=24.99),"Normalweight",AND(B293&gt;=25,B293&lt;=29.99),"Overweight",B293&gt;=30,"Obesity")</f>
        <v>Overweight</v>
      </c>
      <c r="J293" t="str" cm="1">
        <f t="array" ref="J293">_xlfn.IFS(C293&lt;5.7,"Normal",AND(C293&gt;=5.7,C293&lt;=6.49),"Prediabetes",C293&gt;=6.5,"Diabetes")</f>
        <v>Diabetes</v>
      </c>
    </row>
    <row r="294" spans="1:10" x14ac:dyDescent="0.3">
      <c r="A294" t="s">
        <v>2079</v>
      </c>
      <c r="B294" s="8">
        <v>40.74</v>
      </c>
      <c r="C294">
        <v>5.28</v>
      </c>
      <c r="D294" t="s">
        <v>2379</v>
      </c>
      <c r="E294" t="s">
        <v>2379</v>
      </c>
      <c r="F294" t="s">
        <v>2381</v>
      </c>
      <c r="G294">
        <v>1</v>
      </c>
      <c r="H294" t="s">
        <v>2381</v>
      </c>
      <c r="I294" t="str" cm="1">
        <f t="array" ref="I294">_xlfn.IFS(B294&lt;18.5,"Underweight",AND(B294&gt;=18.5,B294&lt;=24.99),"Normalweight",AND(B294&gt;=25,B294&lt;=29.99),"Overweight",B294&gt;=30,"Obesity")</f>
        <v>Obesity</v>
      </c>
      <c r="J294" t="str" cm="1">
        <f t="array" ref="J294">_xlfn.IFS(C294&lt;5.7,"Normal",AND(C294&gt;=5.7,C294&lt;=6.49),"Prediabetes",C294&gt;=6.5,"Diabetes")</f>
        <v>Normal</v>
      </c>
    </row>
    <row r="295" spans="1:10" x14ac:dyDescent="0.3">
      <c r="A295" t="s">
        <v>2078</v>
      </c>
      <c r="B295" s="8">
        <v>24.14</v>
      </c>
      <c r="C295">
        <v>5.87</v>
      </c>
      <c r="D295" t="s">
        <v>2379</v>
      </c>
      <c r="E295" t="s">
        <v>2379</v>
      </c>
      <c r="F295" t="s">
        <v>2379</v>
      </c>
      <c r="G295">
        <v>2</v>
      </c>
      <c r="H295" t="s">
        <v>2381</v>
      </c>
      <c r="I295" t="str" cm="1">
        <f t="array" ref="I295">_xlfn.IFS(B295&lt;18.5,"Underweight",AND(B295&gt;=18.5,B295&lt;=24.99),"Normalweight",AND(B295&gt;=25,B295&lt;=29.99),"Overweight",B295&gt;=30,"Obesity")</f>
        <v>Normalweight</v>
      </c>
      <c r="J295" t="str" cm="1">
        <f t="array" ref="J295">_xlfn.IFS(C295&lt;5.7,"Normal",AND(C295&gt;=5.7,C295&lt;=6.49),"Prediabetes",C295&gt;=6.5,"Diabetes")</f>
        <v>Prediabetes</v>
      </c>
    </row>
    <row r="296" spans="1:10" x14ac:dyDescent="0.3">
      <c r="A296" t="s">
        <v>2077</v>
      </c>
      <c r="B296" s="8">
        <v>25.15</v>
      </c>
      <c r="C296">
        <v>9.08</v>
      </c>
      <c r="D296" t="s">
        <v>2381</v>
      </c>
      <c r="E296" t="s">
        <v>2379</v>
      </c>
      <c r="F296" t="s">
        <v>2379</v>
      </c>
      <c r="G296">
        <v>1</v>
      </c>
      <c r="H296" t="s">
        <v>2381</v>
      </c>
      <c r="I296" t="str" cm="1">
        <f t="array" ref="I296">_xlfn.IFS(B296&lt;18.5,"Underweight",AND(B296&gt;=18.5,B296&lt;=24.99),"Normalweight",AND(B296&gt;=25,B296&lt;=29.99),"Overweight",B296&gt;=30,"Obesity")</f>
        <v>Overweight</v>
      </c>
      <c r="J296" t="str" cm="1">
        <f t="array" ref="J296">_xlfn.IFS(C296&lt;5.7,"Normal",AND(C296&gt;=5.7,C296&lt;=6.49),"Prediabetes",C296&gt;=6.5,"Diabetes")</f>
        <v>Diabetes</v>
      </c>
    </row>
    <row r="297" spans="1:10" x14ac:dyDescent="0.3">
      <c r="A297" t="s">
        <v>2076</v>
      </c>
      <c r="B297" s="8">
        <v>28.71</v>
      </c>
      <c r="C297">
        <v>5.2</v>
      </c>
      <c r="D297" t="s">
        <v>2379</v>
      </c>
      <c r="E297" t="s">
        <v>2379</v>
      </c>
      <c r="F297" t="s">
        <v>2379</v>
      </c>
      <c r="G297">
        <v>1</v>
      </c>
      <c r="H297" t="s">
        <v>2381</v>
      </c>
      <c r="I297" t="str" cm="1">
        <f t="array" ref="I297">_xlfn.IFS(B297&lt;18.5,"Underweight",AND(B297&gt;=18.5,B297&lt;=24.99),"Normalweight",AND(B297&gt;=25,B297&lt;=29.99),"Overweight",B297&gt;=30,"Obesity")</f>
        <v>Overweight</v>
      </c>
      <c r="J297" t="str" cm="1">
        <f t="array" ref="J297">_xlfn.IFS(C297&lt;5.7,"Normal",AND(C297&gt;=5.7,C297&lt;=6.49),"Prediabetes",C297&gt;=6.5,"Diabetes")</f>
        <v>Normal</v>
      </c>
    </row>
    <row r="298" spans="1:10" x14ac:dyDescent="0.3">
      <c r="A298" t="s">
        <v>2075</v>
      </c>
      <c r="B298" s="8">
        <v>23</v>
      </c>
      <c r="C298">
        <v>5.48</v>
      </c>
      <c r="D298" t="s">
        <v>2379</v>
      </c>
      <c r="E298" t="s">
        <v>2379</v>
      </c>
      <c r="F298" t="s">
        <v>2379</v>
      </c>
      <c r="G298">
        <v>0</v>
      </c>
      <c r="H298" t="s">
        <v>2381</v>
      </c>
      <c r="I298" t="str" cm="1">
        <f t="array" ref="I298">_xlfn.IFS(B298&lt;18.5,"Underweight",AND(B298&gt;=18.5,B298&lt;=24.99),"Normalweight",AND(B298&gt;=25,B298&lt;=29.99),"Overweight",B298&gt;=30,"Obesity")</f>
        <v>Normalweight</v>
      </c>
      <c r="J298" t="str" cm="1">
        <f t="array" ref="J298">_xlfn.IFS(C298&lt;5.7,"Normal",AND(C298&gt;=5.7,C298&lt;=6.49),"Prediabetes",C298&gt;=6.5,"Diabetes")</f>
        <v>Normal</v>
      </c>
    </row>
    <row r="299" spans="1:10" x14ac:dyDescent="0.3">
      <c r="A299" t="s">
        <v>2074</v>
      </c>
      <c r="B299" s="8">
        <v>36.86</v>
      </c>
      <c r="C299">
        <v>11.95</v>
      </c>
      <c r="D299" t="s">
        <v>2379</v>
      </c>
      <c r="E299" t="s">
        <v>2379</v>
      </c>
      <c r="F299" t="s">
        <v>2379</v>
      </c>
      <c r="G299">
        <v>0</v>
      </c>
      <c r="H299" t="s">
        <v>2379</v>
      </c>
      <c r="I299" t="str" cm="1">
        <f t="array" ref="I299">_xlfn.IFS(B299&lt;18.5,"Underweight",AND(B299&gt;=18.5,B299&lt;=24.99),"Normalweight",AND(B299&gt;=25,B299&lt;=29.99),"Overweight",B299&gt;=30,"Obesity")</f>
        <v>Obesity</v>
      </c>
      <c r="J299" t="str" cm="1">
        <f t="array" ref="J299">_xlfn.IFS(C299&lt;5.7,"Normal",AND(C299&gt;=5.7,C299&lt;=6.49),"Prediabetes",C299&gt;=6.5,"Diabetes")</f>
        <v>Diabetes</v>
      </c>
    </row>
    <row r="300" spans="1:10" x14ac:dyDescent="0.3">
      <c r="A300" t="s">
        <v>2073</v>
      </c>
      <c r="B300" s="8">
        <v>24.25</v>
      </c>
      <c r="C300">
        <v>8.6999999999999993</v>
      </c>
      <c r="D300" t="s">
        <v>2381</v>
      </c>
      <c r="E300" t="s">
        <v>2379</v>
      </c>
      <c r="F300" t="s">
        <v>2379</v>
      </c>
      <c r="G300">
        <v>1</v>
      </c>
      <c r="H300" t="s">
        <v>2381</v>
      </c>
      <c r="I300" t="str" cm="1">
        <f t="array" ref="I300">_xlfn.IFS(B300&lt;18.5,"Underweight",AND(B300&gt;=18.5,B300&lt;=24.99),"Normalweight",AND(B300&gt;=25,B300&lt;=29.99),"Overweight",B300&gt;=30,"Obesity")</f>
        <v>Normalweight</v>
      </c>
      <c r="J300" t="str" cm="1">
        <f t="array" ref="J300">_xlfn.IFS(C300&lt;5.7,"Normal",AND(C300&gt;=5.7,C300&lt;=6.49),"Prediabetes",C300&gt;=6.5,"Diabetes")</f>
        <v>Diabetes</v>
      </c>
    </row>
    <row r="301" spans="1:10" x14ac:dyDescent="0.3">
      <c r="A301" t="s">
        <v>2072</v>
      </c>
      <c r="B301" s="8">
        <v>23.85</v>
      </c>
      <c r="C301">
        <v>7.84</v>
      </c>
      <c r="D301" t="s">
        <v>2379</v>
      </c>
      <c r="E301" t="s">
        <v>2379</v>
      </c>
      <c r="F301" t="s">
        <v>2379</v>
      </c>
      <c r="G301">
        <v>0</v>
      </c>
      <c r="H301" t="s">
        <v>2381</v>
      </c>
      <c r="I301" t="str" cm="1">
        <f t="array" ref="I301">_xlfn.IFS(B301&lt;18.5,"Underweight",AND(B301&gt;=18.5,B301&lt;=24.99),"Normalweight",AND(B301&gt;=25,B301&lt;=29.99),"Overweight",B301&gt;=30,"Obesity")</f>
        <v>Normalweight</v>
      </c>
      <c r="J301" t="str" cm="1">
        <f t="array" ref="J301">_xlfn.IFS(C301&lt;5.7,"Normal",AND(C301&gt;=5.7,C301&lt;=6.49),"Prediabetes",C301&gt;=6.5,"Diabetes")</f>
        <v>Diabetes</v>
      </c>
    </row>
    <row r="302" spans="1:10" x14ac:dyDescent="0.3">
      <c r="A302" t="s">
        <v>2071</v>
      </c>
      <c r="B302" s="8">
        <v>40.020000000000003</v>
      </c>
      <c r="C302">
        <v>5.19</v>
      </c>
      <c r="D302" t="s">
        <v>2381</v>
      </c>
      <c r="E302" t="s">
        <v>2379</v>
      </c>
      <c r="F302" t="s">
        <v>2379</v>
      </c>
      <c r="G302">
        <v>1</v>
      </c>
      <c r="H302" t="s">
        <v>2381</v>
      </c>
      <c r="I302" t="str" cm="1">
        <f t="array" ref="I302">_xlfn.IFS(B302&lt;18.5,"Underweight",AND(B302&gt;=18.5,B302&lt;=24.99),"Normalweight",AND(B302&gt;=25,B302&lt;=29.99),"Overweight",B302&gt;=30,"Obesity")</f>
        <v>Obesity</v>
      </c>
      <c r="J302" t="str" cm="1">
        <f t="array" ref="J302">_xlfn.IFS(C302&lt;5.7,"Normal",AND(C302&gt;=5.7,C302&lt;=6.49),"Prediabetes",C302&gt;=6.5,"Diabetes")</f>
        <v>Normal</v>
      </c>
    </row>
    <row r="303" spans="1:10" x14ac:dyDescent="0.3">
      <c r="A303" t="s">
        <v>2070</v>
      </c>
      <c r="B303" s="8">
        <v>19.170000000000002</v>
      </c>
      <c r="C303">
        <v>8.41</v>
      </c>
      <c r="D303" t="s">
        <v>2379</v>
      </c>
      <c r="E303" t="s">
        <v>2379</v>
      </c>
      <c r="F303" t="s">
        <v>2379</v>
      </c>
      <c r="G303">
        <v>0</v>
      </c>
      <c r="H303" t="s">
        <v>2381</v>
      </c>
      <c r="I303" t="str" cm="1">
        <f t="array" ref="I303">_xlfn.IFS(B303&lt;18.5,"Underweight",AND(B303&gt;=18.5,B303&lt;=24.99),"Normalweight",AND(B303&gt;=25,B303&lt;=29.99),"Overweight",B303&gt;=30,"Obesity")</f>
        <v>Normalweight</v>
      </c>
      <c r="J303" t="str" cm="1">
        <f t="array" ref="J303">_xlfn.IFS(C303&lt;5.7,"Normal",AND(C303&gt;=5.7,C303&lt;=6.49),"Prediabetes",C303&gt;=6.5,"Diabetes")</f>
        <v>Diabetes</v>
      </c>
    </row>
    <row r="304" spans="1:10" x14ac:dyDescent="0.3">
      <c r="A304" t="s">
        <v>2069</v>
      </c>
      <c r="B304" s="8">
        <v>43.53</v>
      </c>
      <c r="C304">
        <v>5.86</v>
      </c>
      <c r="D304" t="s">
        <v>2381</v>
      </c>
      <c r="E304" t="s">
        <v>2380</v>
      </c>
      <c r="F304" t="s">
        <v>2379</v>
      </c>
      <c r="G304">
        <v>2</v>
      </c>
      <c r="H304" t="s">
        <v>2381</v>
      </c>
      <c r="I304" t="str" cm="1">
        <f t="array" ref="I304">_xlfn.IFS(B304&lt;18.5,"Underweight",AND(B304&gt;=18.5,B304&lt;=24.99),"Normalweight",AND(B304&gt;=25,B304&lt;=29.99),"Overweight",B304&gt;=30,"Obesity")</f>
        <v>Obesity</v>
      </c>
      <c r="J304" t="str" cm="1">
        <f t="array" ref="J304">_xlfn.IFS(C304&lt;5.7,"Normal",AND(C304&gt;=5.7,C304&lt;=6.49),"Prediabetes",C304&gt;=6.5,"Diabetes")</f>
        <v>Prediabetes</v>
      </c>
    </row>
    <row r="305" spans="1:10" x14ac:dyDescent="0.3">
      <c r="A305" t="s">
        <v>2068</v>
      </c>
      <c r="B305" s="8">
        <v>46.06</v>
      </c>
      <c r="C305">
        <v>4.18</v>
      </c>
      <c r="D305" t="s">
        <v>2379</v>
      </c>
      <c r="E305" t="s">
        <v>2380</v>
      </c>
      <c r="F305" t="s">
        <v>2379</v>
      </c>
      <c r="G305">
        <v>1</v>
      </c>
      <c r="H305" t="s">
        <v>2381</v>
      </c>
      <c r="I305" t="str" cm="1">
        <f t="array" ref="I305">_xlfn.IFS(B305&lt;18.5,"Underweight",AND(B305&gt;=18.5,B305&lt;=24.99),"Normalweight",AND(B305&gt;=25,B305&lt;=29.99),"Overweight",B305&gt;=30,"Obesity")</f>
        <v>Obesity</v>
      </c>
      <c r="J305" t="str" cm="1">
        <f t="array" ref="J305">_xlfn.IFS(C305&lt;5.7,"Normal",AND(C305&gt;=5.7,C305&lt;=6.49),"Prediabetes",C305&gt;=6.5,"Diabetes")</f>
        <v>Normal</v>
      </c>
    </row>
    <row r="306" spans="1:10" x14ac:dyDescent="0.3">
      <c r="A306" t="s">
        <v>2067</v>
      </c>
      <c r="B306" s="8">
        <v>29.92</v>
      </c>
      <c r="C306">
        <v>11.99</v>
      </c>
      <c r="D306" t="s">
        <v>2381</v>
      </c>
      <c r="E306" t="s">
        <v>2379</v>
      </c>
      <c r="F306" t="s">
        <v>2379</v>
      </c>
      <c r="G306">
        <v>2</v>
      </c>
      <c r="H306" t="s">
        <v>2381</v>
      </c>
      <c r="I306" t="str" cm="1">
        <f t="array" ref="I306">_xlfn.IFS(B306&lt;18.5,"Underweight",AND(B306&gt;=18.5,B306&lt;=24.99),"Normalweight",AND(B306&gt;=25,B306&lt;=29.99),"Overweight",B306&gt;=30,"Obesity")</f>
        <v>Overweight</v>
      </c>
      <c r="J306" t="str" cm="1">
        <f t="array" ref="J306">_xlfn.IFS(C306&lt;5.7,"Normal",AND(C306&gt;=5.7,C306&lt;=6.49),"Prediabetes",C306&gt;=6.5,"Diabetes")</f>
        <v>Diabetes</v>
      </c>
    </row>
    <row r="307" spans="1:10" x14ac:dyDescent="0.3">
      <c r="A307" t="s">
        <v>2066</v>
      </c>
      <c r="B307" s="8">
        <v>28.46</v>
      </c>
      <c r="C307">
        <v>4.8499999999999996</v>
      </c>
      <c r="D307" t="s">
        <v>2381</v>
      </c>
      <c r="E307" t="s">
        <v>2379</v>
      </c>
      <c r="F307" t="s">
        <v>2379</v>
      </c>
      <c r="G307">
        <v>1</v>
      </c>
      <c r="H307" t="s">
        <v>2381</v>
      </c>
      <c r="I307" t="str" cm="1">
        <f t="array" ref="I307">_xlfn.IFS(B307&lt;18.5,"Underweight",AND(B307&gt;=18.5,B307&lt;=24.99),"Normalweight",AND(B307&gt;=25,B307&lt;=29.99),"Overweight",B307&gt;=30,"Obesity")</f>
        <v>Overweight</v>
      </c>
      <c r="J307" t="str" cm="1">
        <f t="array" ref="J307">_xlfn.IFS(C307&lt;5.7,"Normal",AND(C307&gt;=5.7,C307&lt;=6.49),"Prediabetes",C307&gt;=6.5,"Diabetes")</f>
        <v>Normal</v>
      </c>
    </row>
    <row r="308" spans="1:10" x14ac:dyDescent="0.3">
      <c r="A308" t="s">
        <v>2065</v>
      </c>
      <c r="B308" s="8">
        <v>24.56</v>
      </c>
      <c r="C308">
        <v>6.18</v>
      </c>
      <c r="D308" t="s">
        <v>2381</v>
      </c>
      <c r="E308" t="s">
        <v>2379</v>
      </c>
      <c r="F308" t="s">
        <v>2381</v>
      </c>
      <c r="G308">
        <v>1</v>
      </c>
      <c r="H308" t="s">
        <v>2381</v>
      </c>
      <c r="I308" t="str" cm="1">
        <f t="array" ref="I308">_xlfn.IFS(B308&lt;18.5,"Underweight",AND(B308&gt;=18.5,B308&lt;=24.99),"Normalweight",AND(B308&gt;=25,B308&lt;=29.99),"Overweight",B308&gt;=30,"Obesity")</f>
        <v>Normalweight</v>
      </c>
      <c r="J308" t="str" cm="1">
        <f t="array" ref="J308">_xlfn.IFS(C308&lt;5.7,"Normal",AND(C308&gt;=5.7,C308&lt;=6.49),"Prediabetes",C308&gt;=6.5,"Diabetes")</f>
        <v>Prediabetes</v>
      </c>
    </row>
    <row r="309" spans="1:10" x14ac:dyDescent="0.3">
      <c r="A309" t="s">
        <v>2064</v>
      </c>
      <c r="B309" s="8">
        <v>41.19</v>
      </c>
      <c r="C309">
        <v>6.37</v>
      </c>
      <c r="D309" t="s">
        <v>2379</v>
      </c>
      <c r="E309" t="s">
        <v>2379</v>
      </c>
      <c r="F309" t="s">
        <v>2379</v>
      </c>
      <c r="G309">
        <v>0</v>
      </c>
      <c r="H309" t="s">
        <v>2381</v>
      </c>
      <c r="I309" t="str" cm="1">
        <f t="array" ref="I309">_xlfn.IFS(B309&lt;18.5,"Underweight",AND(B309&gt;=18.5,B309&lt;=24.99),"Normalweight",AND(B309&gt;=25,B309&lt;=29.99),"Overweight",B309&gt;=30,"Obesity")</f>
        <v>Obesity</v>
      </c>
      <c r="J309" t="str" cm="1">
        <f t="array" ref="J309">_xlfn.IFS(C309&lt;5.7,"Normal",AND(C309&gt;=5.7,C309&lt;=6.49),"Prediabetes",C309&gt;=6.5,"Diabetes")</f>
        <v>Prediabetes</v>
      </c>
    </row>
    <row r="310" spans="1:10" x14ac:dyDescent="0.3">
      <c r="A310" t="s">
        <v>2063</v>
      </c>
      <c r="B310" s="8">
        <v>18.63</v>
      </c>
      <c r="C310">
        <v>9.81</v>
      </c>
      <c r="D310" t="s">
        <v>2381</v>
      </c>
      <c r="E310" t="s">
        <v>2379</v>
      </c>
      <c r="F310" t="s">
        <v>2379</v>
      </c>
      <c r="G310">
        <v>2</v>
      </c>
      <c r="H310" t="s">
        <v>2381</v>
      </c>
      <c r="I310" t="str" cm="1">
        <f t="array" ref="I310">_xlfn.IFS(B310&lt;18.5,"Underweight",AND(B310&gt;=18.5,B310&lt;=24.99),"Normalweight",AND(B310&gt;=25,B310&lt;=29.99),"Overweight",B310&gt;=30,"Obesity")</f>
        <v>Normalweight</v>
      </c>
      <c r="J310" t="str" cm="1">
        <f t="array" ref="J310">_xlfn.IFS(C310&lt;5.7,"Normal",AND(C310&gt;=5.7,C310&lt;=6.49),"Prediabetes",C310&gt;=6.5,"Diabetes")</f>
        <v>Diabetes</v>
      </c>
    </row>
    <row r="311" spans="1:10" x14ac:dyDescent="0.3">
      <c r="A311" t="s">
        <v>2062</v>
      </c>
      <c r="B311" s="8">
        <v>26.26</v>
      </c>
      <c r="C311">
        <v>11.8</v>
      </c>
      <c r="D311" t="s">
        <v>2381</v>
      </c>
      <c r="E311" t="s">
        <v>2379</v>
      </c>
      <c r="F311" t="s">
        <v>2379</v>
      </c>
      <c r="G311">
        <v>1</v>
      </c>
      <c r="H311" t="s">
        <v>2381</v>
      </c>
      <c r="I311" t="str" cm="1">
        <f t="array" ref="I311">_xlfn.IFS(B311&lt;18.5,"Underweight",AND(B311&gt;=18.5,B311&lt;=24.99),"Normalweight",AND(B311&gt;=25,B311&lt;=29.99),"Overweight",B311&gt;=30,"Obesity")</f>
        <v>Overweight</v>
      </c>
      <c r="J311" t="str" cm="1">
        <f t="array" ref="J311">_xlfn.IFS(C311&lt;5.7,"Normal",AND(C311&gt;=5.7,C311&lt;=6.49),"Prediabetes",C311&gt;=6.5,"Diabetes")</f>
        <v>Diabetes</v>
      </c>
    </row>
    <row r="312" spans="1:10" x14ac:dyDescent="0.3">
      <c r="A312" t="s">
        <v>2061</v>
      </c>
      <c r="B312" s="8">
        <v>22.37</v>
      </c>
      <c r="C312">
        <v>5.86</v>
      </c>
      <c r="D312" t="s">
        <v>2381</v>
      </c>
      <c r="E312" t="s">
        <v>2379</v>
      </c>
      <c r="F312" t="s">
        <v>2381</v>
      </c>
      <c r="G312">
        <v>1</v>
      </c>
      <c r="H312" t="s">
        <v>2381</v>
      </c>
      <c r="I312" t="str" cm="1">
        <f t="array" ref="I312">_xlfn.IFS(B312&lt;18.5,"Underweight",AND(B312&gt;=18.5,B312&lt;=24.99),"Normalweight",AND(B312&gt;=25,B312&lt;=29.99),"Overweight",B312&gt;=30,"Obesity")</f>
        <v>Normalweight</v>
      </c>
      <c r="J312" t="str" cm="1">
        <f t="array" ref="J312">_xlfn.IFS(C312&lt;5.7,"Normal",AND(C312&gt;=5.7,C312&lt;=6.49),"Prediabetes",C312&gt;=6.5,"Diabetes")</f>
        <v>Prediabetes</v>
      </c>
    </row>
    <row r="313" spans="1:10" x14ac:dyDescent="0.3">
      <c r="A313" t="s">
        <v>2060</v>
      </c>
      <c r="B313" s="8">
        <v>39.619999999999997</v>
      </c>
      <c r="C313">
        <v>4.28</v>
      </c>
      <c r="D313" t="s">
        <v>2379</v>
      </c>
      <c r="E313" t="s">
        <v>2379</v>
      </c>
      <c r="F313" t="s">
        <v>2379</v>
      </c>
      <c r="G313">
        <v>1</v>
      </c>
      <c r="H313" t="s">
        <v>2381</v>
      </c>
      <c r="I313" t="str" cm="1">
        <f t="array" ref="I313">_xlfn.IFS(B313&lt;18.5,"Underweight",AND(B313&gt;=18.5,B313&lt;=24.99),"Normalweight",AND(B313&gt;=25,B313&lt;=29.99),"Overweight",B313&gt;=30,"Obesity")</f>
        <v>Obesity</v>
      </c>
      <c r="J313" t="str" cm="1">
        <f t="array" ref="J313">_xlfn.IFS(C313&lt;5.7,"Normal",AND(C313&gt;=5.7,C313&lt;=6.49),"Prediabetes",C313&gt;=6.5,"Diabetes")</f>
        <v>Normal</v>
      </c>
    </row>
    <row r="314" spans="1:10" x14ac:dyDescent="0.3">
      <c r="A314" t="s">
        <v>2059</v>
      </c>
      <c r="B314" s="8">
        <v>18.329999999999998</v>
      </c>
      <c r="C314">
        <v>4.16</v>
      </c>
      <c r="D314" t="s">
        <v>2381</v>
      </c>
      <c r="E314" t="s">
        <v>2379</v>
      </c>
      <c r="F314" t="s">
        <v>2379</v>
      </c>
      <c r="G314">
        <v>0</v>
      </c>
      <c r="H314" t="s">
        <v>2381</v>
      </c>
      <c r="I314" t="str" cm="1">
        <f t="array" ref="I314">_xlfn.IFS(B314&lt;18.5,"Underweight",AND(B314&gt;=18.5,B314&lt;=24.99),"Normalweight",AND(B314&gt;=25,B314&lt;=29.99),"Overweight",B314&gt;=30,"Obesity")</f>
        <v>Underweight</v>
      </c>
      <c r="J314" t="str" cm="1">
        <f t="array" ref="J314">_xlfn.IFS(C314&lt;5.7,"Normal",AND(C314&gt;=5.7,C314&lt;=6.49),"Prediabetes",C314&gt;=6.5,"Diabetes")</f>
        <v>Normal</v>
      </c>
    </row>
    <row r="315" spans="1:10" x14ac:dyDescent="0.3">
      <c r="A315" t="s">
        <v>2058</v>
      </c>
      <c r="B315" s="8">
        <v>17.11</v>
      </c>
      <c r="C315">
        <v>4.9800000000000004</v>
      </c>
      <c r="D315" t="s">
        <v>2381</v>
      </c>
      <c r="E315" t="s">
        <v>2379</v>
      </c>
      <c r="F315" t="s">
        <v>2381</v>
      </c>
      <c r="G315">
        <v>1</v>
      </c>
      <c r="H315" t="s">
        <v>2381</v>
      </c>
      <c r="I315" t="str" cm="1">
        <f t="array" ref="I315">_xlfn.IFS(B315&lt;18.5,"Underweight",AND(B315&gt;=18.5,B315&lt;=24.99),"Normalweight",AND(B315&gt;=25,B315&lt;=29.99),"Overweight",B315&gt;=30,"Obesity")</f>
        <v>Underweight</v>
      </c>
      <c r="J315" t="str" cm="1">
        <f t="array" ref="J315">_xlfn.IFS(C315&lt;5.7,"Normal",AND(C315&gt;=5.7,C315&lt;=6.49),"Prediabetes",C315&gt;=6.5,"Diabetes")</f>
        <v>Normal</v>
      </c>
    </row>
    <row r="316" spans="1:10" x14ac:dyDescent="0.3">
      <c r="A316" t="s">
        <v>2057</v>
      </c>
      <c r="B316" s="8">
        <v>43.5</v>
      </c>
      <c r="C316">
        <v>6.38</v>
      </c>
      <c r="D316" t="s">
        <v>2379</v>
      </c>
      <c r="E316" t="s">
        <v>2380</v>
      </c>
      <c r="F316" t="s">
        <v>2379</v>
      </c>
      <c r="G316">
        <v>1</v>
      </c>
      <c r="H316" t="s">
        <v>2381</v>
      </c>
      <c r="I316" t="str" cm="1">
        <f t="array" ref="I316">_xlfn.IFS(B316&lt;18.5,"Underweight",AND(B316&gt;=18.5,B316&lt;=24.99),"Normalweight",AND(B316&gt;=25,B316&lt;=29.99),"Overweight",B316&gt;=30,"Obesity")</f>
        <v>Obesity</v>
      </c>
      <c r="J316" t="str" cm="1">
        <f t="array" ref="J316">_xlfn.IFS(C316&lt;5.7,"Normal",AND(C316&gt;=5.7,C316&lt;=6.49),"Prediabetes",C316&gt;=6.5,"Diabetes")</f>
        <v>Prediabetes</v>
      </c>
    </row>
    <row r="317" spans="1:10" x14ac:dyDescent="0.3">
      <c r="A317" t="s">
        <v>2056</v>
      </c>
      <c r="B317" s="8">
        <v>25.364999999999998</v>
      </c>
      <c r="C317">
        <v>5.19</v>
      </c>
      <c r="D317" t="s">
        <v>2379</v>
      </c>
      <c r="E317" t="s">
        <v>2379</v>
      </c>
      <c r="F317" t="s">
        <v>2379</v>
      </c>
      <c r="G317">
        <v>2</v>
      </c>
      <c r="H317" t="s">
        <v>2379</v>
      </c>
      <c r="I317" t="str" cm="1">
        <f t="array" ref="I317">_xlfn.IFS(B317&lt;18.5,"Underweight",AND(B317&gt;=18.5,B317&lt;=24.99),"Normalweight",AND(B317&gt;=25,B317&lt;=29.99),"Overweight",B317&gt;=30,"Obesity")</f>
        <v>Overweight</v>
      </c>
      <c r="J317" t="str" cm="1">
        <f t="array" ref="J317">_xlfn.IFS(C317&lt;5.7,"Normal",AND(C317&gt;=5.7,C317&lt;=6.49),"Prediabetes",C317&gt;=6.5,"Diabetes")</f>
        <v>Normal</v>
      </c>
    </row>
    <row r="318" spans="1:10" x14ac:dyDescent="0.3">
      <c r="A318" t="s">
        <v>2055</v>
      </c>
      <c r="B318" s="8">
        <v>28.594999999999999</v>
      </c>
      <c r="C318">
        <v>10.210000000000001</v>
      </c>
      <c r="D318" t="s">
        <v>2379</v>
      </c>
      <c r="E318" t="s">
        <v>2379</v>
      </c>
      <c r="F318" t="s">
        <v>2379</v>
      </c>
      <c r="G318">
        <v>0</v>
      </c>
      <c r="H318" t="s">
        <v>2379</v>
      </c>
      <c r="I318" t="str" cm="1">
        <f t="array" ref="I318">_xlfn.IFS(B318&lt;18.5,"Underweight",AND(B318&gt;=18.5,B318&lt;=24.99),"Normalweight",AND(B318&gt;=25,B318&lt;=29.99),"Overweight",B318&gt;=30,"Obesity")</f>
        <v>Overweight</v>
      </c>
      <c r="J318" t="str" cm="1">
        <f t="array" ref="J318">_xlfn.IFS(C318&lt;5.7,"Normal",AND(C318&gt;=5.7,C318&lt;=6.49),"Prediabetes",C318&gt;=6.5,"Diabetes")</f>
        <v>Diabetes</v>
      </c>
    </row>
    <row r="319" spans="1:10" x14ac:dyDescent="0.3">
      <c r="A319" t="s">
        <v>2054</v>
      </c>
      <c r="B319" s="8">
        <v>29.83</v>
      </c>
      <c r="C319">
        <v>9.6999999999999993</v>
      </c>
      <c r="D319" t="s">
        <v>2381</v>
      </c>
      <c r="E319" t="s">
        <v>2379</v>
      </c>
      <c r="F319" t="s">
        <v>2381</v>
      </c>
      <c r="G319">
        <v>1</v>
      </c>
      <c r="H319" t="s">
        <v>2381</v>
      </c>
      <c r="I319" t="str" cm="1">
        <f t="array" ref="I319">_xlfn.IFS(B319&lt;18.5,"Underweight",AND(B319&gt;=18.5,B319&lt;=24.99),"Normalweight",AND(B319&gt;=25,B319&lt;=29.99),"Overweight",B319&gt;=30,"Obesity")</f>
        <v>Overweight</v>
      </c>
      <c r="J319" t="str" cm="1">
        <f t="array" ref="J319">_xlfn.IFS(C319&lt;5.7,"Normal",AND(C319&gt;=5.7,C319&lt;=6.49),"Prediabetes",C319&gt;=6.5,"Diabetes")</f>
        <v>Diabetes</v>
      </c>
    </row>
    <row r="320" spans="1:10" x14ac:dyDescent="0.3">
      <c r="A320" t="s">
        <v>2053</v>
      </c>
      <c r="B320" s="8">
        <v>24.7</v>
      </c>
      <c r="C320">
        <v>10.25</v>
      </c>
      <c r="D320" t="s">
        <v>2379</v>
      </c>
      <c r="E320" t="s">
        <v>2379</v>
      </c>
      <c r="F320" t="s">
        <v>2379</v>
      </c>
      <c r="G320">
        <v>3</v>
      </c>
      <c r="H320" t="s">
        <v>2379</v>
      </c>
      <c r="I320" t="str" cm="1">
        <f t="array" ref="I320">_xlfn.IFS(B320&lt;18.5,"Underweight",AND(B320&gt;=18.5,B320&lt;=24.99),"Normalweight",AND(B320&gt;=25,B320&lt;=29.99),"Overweight",B320&gt;=30,"Obesity")</f>
        <v>Normalweight</v>
      </c>
      <c r="J320" t="str" cm="1">
        <f t="array" ref="J320">_xlfn.IFS(C320&lt;5.7,"Normal",AND(C320&gt;=5.7,C320&lt;=6.49),"Prediabetes",C320&gt;=6.5,"Diabetes")</f>
        <v>Diabetes</v>
      </c>
    </row>
    <row r="321" spans="1:10" x14ac:dyDescent="0.3">
      <c r="A321" t="s">
        <v>2052</v>
      </c>
      <c r="B321" s="8">
        <v>17.940000000000001</v>
      </c>
      <c r="C321">
        <v>9.77</v>
      </c>
      <c r="D321" t="s">
        <v>2379</v>
      </c>
      <c r="E321" t="s">
        <v>2379</v>
      </c>
      <c r="F321" t="s">
        <v>2379</v>
      </c>
      <c r="G321">
        <v>0</v>
      </c>
      <c r="H321" t="s">
        <v>2381</v>
      </c>
      <c r="I321" t="str" cm="1">
        <f t="array" ref="I321">_xlfn.IFS(B321&lt;18.5,"Underweight",AND(B321&gt;=18.5,B321&lt;=24.99),"Normalweight",AND(B321&gt;=25,B321&lt;=29.99),"Overweight",B321&gt;=30,"Obesity")</f>
        <v>Underweight</v>
      </c>
      <c r="J321" t="str" cm="1">
        <f t="array" ref="J321">_xlfn.IFS(C321&lt;5.7,"Normal",AND(C321&gt;=5.7,C321&lt;=6.49),"Prediabetes",C321&gt;=6.5,"Diabetes")</f>
        <v>Diabetes</v>
      </c>
    </row>
    <row r="322" spans="1:10" x14ac:dyDescent="0.3">
      <c r="A322" t="s">
        <v>2051</v>
      </c>
      <c r="B322" s="8">
        <v>21.08</v>
      </c>
      <c r="C322">
        <v>4.83</v>
      </c>
      <c r="D322" t="s">
        <v>2379</v>
      </c>
      <c r="E322" t="s">
        <v>2379</v>
      </c>
      <c r="F322" t="s">
        <v>2381</v>
      </c>
      <c r="G322">
        <v>1</v>
      </c>
      <c r="H322" t="s">
        <v>2381</v>
      </c>
      <c r="I322" t="str" cm="1">
        <f t="array" ref="I322">_xlfn.IFS(B322&lt;18.5,"Underweight",AND(B322&gt;=18.5,B322&lt;=24.99),"Normalweight",AND(B322&gt;=25,B322&lt;=29.99),"Overweight",B322&gt;=30,"Obesity")</f>
        <v>Normalweight</v>
      </c>
      <c r="J322" t="str" cm="1">
        <f t="array" ref="J322">_xlfn.IFS(C322&lt;5.7,"Normal",AND(C322&gt;=5.7,C322&lt;=6.49),"Prediabetes",C322&gt;=6.5,"Diabetes")</f>
        <v>Normal</v>
      </c>
    </row>
    <row r="323" spans="1:10" x14ac:dyDescent="0.3">
      <c r="A323" t="s">
        <v>2050</v>
      </c>
      <c r="B323" s="8">
        <v>37.715000000000003</v>
      </c>
      <c r="C323">
        <v>10.86</v>
      </c>
      <c r="D323" t="s">
        <v>2381</v>
      </c>
      <c r="E323" t="s">
        <v>2379</v>
      </c>
      <c r="F323" t="s">
        <v>2379</v>
      </c>
      <c r="G323">
        <v>0</v>
      </c>
      <c r="H323" t="s">
        <v>2379</v>
      </c>
      <c r="I323" t="str" cm="1">
        <f t="array" ref="I323">_xlfn.IFS(B323&lt;18.5,"Underweight",AND(B323&gt;=18.5,B323&lt;=24.99),"Normalweight",AND(B323&gt;=25,B323&lt;=29.99),"Overweight",B323&gt;=30,"Obesity")</f>
        <v>Obesity</v>
      </c>
      <c r="J323" t="str" cm="1">
        <f t="array" ref="J323">_xlfn.IFS(C323&lt;5.7,"Normal",AND(C323&gt;=5.7,C323&lt;=6.49),"Prediabetes",C323&gt;=6.5,"Diabetes")</f>
        <v>Diabetes</v>
      </c>
    </row>
    <row r="324" spans="1:10" x14ac:dyDescent="0.3">
      <c r="A324" t="s">
        <v>2049</v>
      </c>
      <c r="B324" s="8">
        <v>22.39</v>
      </c>
      <c r="C324">
        <v>9.5299999999999994</v>
      </c>
      <c r="D324" t="s">
        <v>2381</v>
      </c>
      <c r="E324" t="s">
        <v>2379</v>
      </c>
      <c r="F324" t="s">
        <v>2379</v>
      </c>
      <c r="G324">
        <v>0</v>
      </c>
      <c r="H324" t="s">
        <v>2381</v>
      </c>
      <c r="I324" t="str" cm="1">
        <f t="array" ref="I324">_xlfn.IFS(B324&lt;18.5,"Underweight",AND(B324&gt;=18.5,B324&lt;=24.99),"Normalweight",AND(B324&gt;=25,B324&lt;=29.99),"Overweight",B324&gt;=30,"Obesity")</f>
        <v>Normalweight</v>
      </c>
      <c r="J324" t="str" cm="1">
        <f t="array" ref="J324">_xlfn.IFS(C324&lt;5.7,"Normal",AND(C324&gt;=5.7,C324&lt;=6.49),"Prediabetes",C324&gt;=6.5,"Diabetes")</f>
        <v>Diabetes</v>
      </c>
    </row>
    <row r="325" spans="1:10" x14ac:dyDescent="0.3">
      <c r="A325" t="s">
        <v>2048</v>
      </c>
      <c r="B325" s="8">
        <v>28.78</v>
      </c>
      <c r="C325">
        <v>5.68</v>
      </c>
      <c r="D325" t="s">
        <v>2379</v>
      </c>
      <c r="E325" t="s">
        <v>2379</v>
      </c>
      <c r="F325" t="s">
        <v>2379</v>
      </c>
      <c r="G325">
        <v>0</v>
      </c>
      <c r="H325" t="s">
        <v>2381</v>
      </c>
      <c r="I325" t="str" cm="1">
        <f t="array" ref="I325">_xlfn.IFS(B325&lt;18.5,"Underweight",AND(B325&gt;=18.5,B325&lt;=24.99),"Normalweight",AND(B325&gt;=25,B325&lt;=29.99),"Overweight",B325&gt;=30,"Obesity")</f>
        <v>Overweight</v>
      </c>
      <c r="J325" t="str" cm="1">
        <f t="array" ref="J325">_xlfn.IFS(C325&lt;5.7,"Normal",AND(C325&gt;=5.7,C325&lt;=6.49),"Prediabetes",C325&gt;=6.5,"Diabetes")</f>
        <v>Normal</v>
      </c>
    </row>
    <row r="326" spans="1:10" x14ac:dyDescent="0.3">
      <c r="A326" t="s">
        <v>2047</v>
      </c>
      <c r="B326" s="8">
        <v>18.329999999999998</v>
      </c>
      <c r="C326">
        <v>5.57</v>
      </c>
      <c r="D326" t="s">
        <v>2381</v>
      </c>
      <c r="E326" t="s">
        <v>2379</v>
      </c>
      <c r="F326" t="s">
        <v>2379</v>
      </c>
      <c r="G326">
        <v>0</v>
      </c>
      <c r="H326" t="s">
        <v>2381</v>
      </c>
      <c r="I326" t="str" cm="1">
        <f t="array" ref="I326">_xlfn.IFS(B326&lt;18.5,"Underweight",AND(B326&gt;=18.5,B326&lt;=24.99),"Normalweight",AND(B326&gt;=25,B326&lt;=29.99),"Overweight",B326&gt;=30,"Obesity")</f>
        <v>Underweight</v>
      </c>
      <c r="J326" t="str" cm="1">
        <f t="array" ref="J326">_xlfn.IFS(C326&lt;5.7,"Normal",AND(C326&gt;=5.7,C326&lt;=6.49),"Prediabetes",C326&gt;=6.5,"Diabetes")</f>
        <v>Normal</v>
      </c>
    </row>
    <row r="327" spans="1:10" x14ac:dyDescent="0.3">
      <c r="A327" t="s">
        <v>2046</v>
      </c>
      <c r="B327" s="8">
        <v>26.39</v>
      </c>
      <c r="C327">
        <v>4.58</v>
      </c>
      <c r="D327" t="s">
        <v>2381</v>
      </c>
      <c r="E327" t="s">
        <v>2379</v>
      </c>
      <c r="F327" t="s">
        <v>2379</v>
      </c>
      <c r="G327">
        <v>1</v>
      </c>
      <c r="H327" t="s">
        <v>2381</v>
      </c>
      <c r="I327" t="str" cm="1">
        <f t="array" ref="I327">_xlfn.IFS(B327&lt;18.5,"Underweight",AND(B327&gt;=18.5,B327&lt;=24.99),"Normalweight",AND(B327&gt;=25,B327&lt;=29.99),"Overweight",B327&gt;=30,"Obesity")</f>
        <v>Overweight</v>
      </c>
      <c r="J327" t="str" cm="1">
        <f t="array" ref="J327">_xlfn.IFS(C327&lt;5.7,"Normal",AND(C327&gt;=5.7,C327&lt;=6.49),"Prediabetes",C327&gt;=6.5,"Diabetes")</f>
        <v>Normal</v>
      </c>
    </row>
    <row r="328" spans="1:10" x14ac:dyDescent="0.3">
      <c r="A328" t="s">
        <v>2045</v>
      </c>
      <c r="B328" s="8">
        <v>19.260000000000002</v>
      </c>
      <c r="C328">
        <v>8.9600000000000009</v>
      </c>
      <c r="D328" t="s">
        <v>2381</v>
      </c>
      <c r="E328" t="s">
        <v>2379</v>
      </c>
      <c r="F328" t="s">
        <v>2379</v>
      </c>
      <c r="G328">
        <v>1</v>
      </c>
      <c r="H328" t="s">
        <v>2381</v>
      </c>
      <c r="I328" t="str" cm="1">
        <f t="array" ref="I328">_xlfn.IFS(B328&lt;18.5,"Underweight",AND(B328&gt;=18.5,B328&lt;=24.99),"Normalweight",AND(B328&gt;=25,B328&lt;=29.99),"Overweight",B328&gt;=30,"Obesity")</f>
        <v>Normalweight</v>
      </c>
      <c r="J328" t="str" cm="1">
        <f t="array" ref="J328">_xlfn.IFS(C328&lt;5.7,"Normal",AND(C328&gt;=5.7,C328&lt;=6.49),"Prediabetes",C328&gt;=6.5,"Diabetes")</f>
        <v>Diabetes</v>
      </c>
    </row>
    <row r="329" spans="1:10" x14ac:dyDescent="0.3">
      <c r="A329" t="s">
        <v>2044</v>
      </c>
      <c r="B329" s="8">
        <v>26.92</v>
      </c>
      <c r="C329">
        <v>6.09</v>
      </c>
      <c r="D329" t="s">
        <v>2379</v>
      </c>
      <c r="E329" t="s">
        <v>2379</v>
      </c>
      <c r="F329" t="s">
        <v>2379</v>
      </c>
      <c r="G329">
        <v>0</v>
      </c>
      <c r="H329" t="s">
        <v>2381</v>
      </c>
      <c r="I329" t="str" cm="1">
        <f t="array" ref="I329">_xlfn.IFS(B329&lt;18.5,"Underweight",AND(B329&gt;=18.5,B329&lt;=24.99),"Normalweight",AND(B329&gt;=25,B329&lt;=29.99),"Overweight",B329&gt;=30,"Obesity")</f>
        <v>Overweight</v>
      </c>
      <c r="J329" t="str" cm="1">
        <f t="array" ref="J329">_xlfn.IFS(C329&lt;5.7,"Normal",AND(C329&gt;=5.7,C329&lt;=6.49),"Prediabetes",C329&gt;=6.5,"Diabetes")</f>
        <v>Prediabetes</v>
      </c>
    </row>
    <row r="330" spans="1:10" x14ac:dyDescent="0.3">
      <c r="A330" t="s">
        <v>2043</v>
      </c>
      <c r="B330" s="8">
        <v>19.73</v>
      </c>
      <c r="C330">
        <v>4.3600000000000003</v>
      </c>
      <c r="D330" t="s">
        <v>2379</v>
      </c>
      <c r="E330" t="s">
        <v>2379</v>
      </c>
      <c r="F330" t="s">
        <v>2379</v>
      </c>
      <c r="G330">
        <v>0</v>
      </c>
      <c r="H330" t="s">
        <v>2381</v>
      </c>
      <c r="I330" t="str" cm="1">
        <f t="array" ref="I330">_xlfn.IFS(B330&lt;18.5,"Underweight",AND(B330&gt;=18.5,B330&lt;=24.99),"Normalweight",AND(B330&gt;=25,B330&lt;=29.99),"Overweight",B330&gt;=30,"Obesity")</f>
        <v>Normalweight</v>
      </c>
      <c r="J330" t="str" cm="1">
        <f t="array" ref="J330">_xlfn.IFS(C330&lt;5.7,"Normal",AND(C330&gt;=5.7,C330&lt;=6.49),"Prediabetes",C330&gt;=6.5,"Diabetes")</f>
        <v>Normal</v>
      </c>
    </row>
    <row r="331" spans="1:10" x14ac:dyDescent="0.3">
      <c r="A331" t="s">
        <v>2042</v>
      </c>
      <c r="B331" s="8">
        <v>23.56</v>
      </c>
      <c r="C331">
        <v>11.74</v>
      </c>
      <c r="D331" t="s">
        <v>2381</v>
      </c>
      <c r="E331" t="s">
        <v>2379</v>
      </c>
      <c r="F331" t="s">
        <v>2379</v>
      </c>
      <c r="G331">
        <v>0</v>
      </c>
      <c r="H331" t="s">
        <v>2381</v>
      </c>
      <c r="I331" t="str" cm="1">
        <f t="array" ref="I331">_xlfn.IFS(B331&lt;18.5,"Underweight",AND(B331&gt;=18.5,B331&lt;=24.99),"Normalweight",AND(B331&gt;=25,B331&lt;=29.99),"Overweight",B331&gt;=30,"Obesity")</f>
        <v>Normalweight</v>
      </c>
      <c r="J331" t="str" cm="1">
        <f t="array" ref="J331">_xlfn.IFS(C331&lt;5.7,"Normal",AND(C331&gt;=5.7,C331&lt;=6.49),"Prediabetes",C331&gt;=6.5,"Diabetes")</f>
        <v>Diabetes</v>
      </c>
    </row>
    <row r="332" spans="1:10" x14ac:dyDescent="0.3">
      <c r="A332" t="s">
        <v>2041</v>
      </c>
      <c r="B332" s="8">
        <v>37.67</v>
      </c>
      <c r="C332">
        <v>5.89</v>
      </c>
      <c r="D332" t="s">
        <v>2379</v>
      </c>
      <c r="E332" t="s">
        <v>2379</v>
      </c>
      <c r="F332" t="s">
        <v>2379</v>
      </c>
      <c r="G332">
        <v>1</v>
      </c>
      <c r="H332" t="s">
        <v>2381</v>
      </c>
      <c r="I332" t="str" cm="1">
        <f t="array" ref="I332">_xlfn.IFS(B332&lt;18.5,"Underweight",AND(B332&gt;=18.5,B332&lt;=24.99),"Normalweight",AND(B332&gt;=25,B332&lt;=29.99),"Overweight",B332&gt;=30,"Obesity")</f>
        <v>Obesity</v>
      </c>
      <c r="J332" t="str" cm="1">
        <f t="array" ref="J332">_xlfn.IFS(C332&lt;5.7,"Normal",AND(C332&gt;=5.7,C332&lt;=6.49),"Prediabetes",C332&gt;=6.5,"Diabetes")</f>
        <v>Prediabetes</v>
      </c>
    </row>
    <row r="333" spans="1:10" x14ac:dyDescent="0.3">
      <c r="A333" t="s">
        <v>2040</v>
      </c>
      <c r="B333" s="8">
        <v>18.73</v>
      </c>
      <c r="C333">
        <v>10.64</v>
      </c>
      <c r="D333" t="s">
        <v>2379</v>
      </c>
      <c r="E333" t="s">
        <v>2379</v>
      </c>
      <c r="F333" t="s">
        <v>2379</v>
      </c>
      <c r="G333">
        <v>2</v>
      </c>
      <c r="H333" t="s">
        <v>2381</v>
      </c>
      <c r="I333" t="str" cm="1">
        <f t="array" ref="I333">_xlfn.IFS(B333&lt;18.5,"Underweight",AND(B333&gt;=18.5,B333&lt;=24.99),"Normalweight",AND(B333&gt;=25,B333&lt;=29.99),"Overweight",B333&gt;=30,"Obesity")</f>
        <v>Normalweight</v>
      </c>
      <c r="J333" t="str" cm="1">
        <f t="array" ref="J333">_xlfn.IFS(C333&lt;5.7,"Normal",AND(C333&gt;=5.7,C333&lt;=6.49),"Prediabetes",C333&gt;=6.5,"Diabetes")</f>
        <v>Diabetes</v>
      </c>
    </row>
    <row r="334" spans="1:10" x14ac:dyDescent="0.3">
      <c r="A334" t="s">
        <v>2039</v>
      </c>
      <c r="B334" s="8">
        <v>33.090000000000003</v>
      </c>
      <c r="C334">
        <v>6.06</v>
      </c>
      <c r="D334" t="s">
        <v>2379</v>
      </c>
      <c r="E334" t="s">
        <v>2379</v>
      </c>
      <c r="F334" t="s">
        <v>2381</v>
      </c>
      <c r="G334">
        <v>1</v>
      </c>
      <c r="H334" t="s">
        <v>2381</v>
      </c>
      <c r="I334" t="str" cm="1">
        <f t="array" ref="I334">_xlfn.IFS(B334&lt;18.5,"Underweight",AND(B334&gt;=18.5,B334&lt;=24.99),"Normalweight",AND(B334&gt;=25,B334&lt;=29.99),"Overweight",B334&gt;=30,"Obesity")</f>
        <v>Obesity</v>
      </c>
      <c r="J334" t="str" cm="1">
        <f t="array" ref="J334">_xlfn.IFS(C334&lt;5.7,"Normal",AND(C334&gt;=5.7,C334&lt;=6.49),"Prediabetes",C334&gt;=6.5,"Diabetes")</f>
        <v>Prediabetes</v>
      </c>
    </row>
    <row r="335" spans="1:10" x14ac:dyDescent="0.3">
      <c r="A335" t="s">
        <v>2038</v>
      </c>
      <c r="B335" s="8">
        <v>18.329999999999998</v>
      </c>
      <c r="C335">
        <v>7.46</v>
      </c>
      <c r="D335" t="s">
        <v>2381</v>
      </c>
      <c r="E335" t="s">
        <v>2379</v>
      </c>
      <c r="F335" t="s">
        <v>2379</v>
      </c>
      <c r="G335">
        <v>1</v>
      </c>
      <c r="H335" t="s">
        <v>2381</v>
      </c>
      <c r="I335" t="str" cm="1">
        <f t="array" ref="I335">_xlfn.IFS(B335&lt;18.5,"Underweight",AND(B335&gt;=18.5,B335&lt;=24.99),"Normalweight",AND(B335&gt;=25,B335&lt;=29.99),"Overweight",B335&gt;=30,"Obesity")</f>
        <v>Underweight</v>
      </c>
      <c r="J335" t="str" cm="1">
        <f t="array" ref="J335">_xlfn.IFS(C335&lt;5.7,"Normal",AND(C335&gt;=5.7,C335&lt;=6.49),"Prediabetes",C335&gt;=6.5,"Diabetes")</f>
        <v>Diabetes</v>
      </c>
    </row>
    <row r="336" spans="1:10" x14ac:dyDescent="0.3">
      <c r="A336" t="s">
        <v>2037</v>
      </c>
      <c r="B336" s="8">
        <v>27.74</v>
      </c>
      <c r="C336">
        <v>4.68</v>
      </c>
      <c r="D336" t="s">
        <v>2381</v>
      </c>
      <c r="E336" t="s">
        <v>2379</v>
      </c>
      <c r="F336" t="s">
        <v>2379</v>
      </c>
      <c r="G336">
        <v>2</v>
      </c>
      <c r="H336" t="s">
        <v>2381</v>
      </c>
      <c r="I336" t="str" cm="1">
        <f t="array" ref="I336">_xlfn.IFS(B336&lt;18.5,"Underweight",AND(B336&gt;=18.5,B336&lt;=24.99),"Normalweight",AND(B336&gt;=25,B336&lt;=29.99),"Overweight",B336&gt;=30,"Obesity")</f>
        <v>Overweight</v>
      </c>
      <c r="J336" t="str" cm="1">
        <f t="array" ref="J336">_xlfn.IFS(C336&lt;5.7,"Normal",AND(C336&gt;=5.7,C336&lt;=6.49),"Prediabetes",C336&gt;=6.5,"Diabetes")</f>
        <v>Normal</v>
      </c>
    </row>
    <row r="337" spans="1:10" x14ac:dyDescent="0.3">
      <c r="A337" t="s">
        <v>2036</v>
      </c>
      <c r="B337" s="8">
        <v>24.2</v>
      </c>
      <c r="C337">
        <v>6.15</v>
      </c>
      <c r="D337" t="s">
        <v>2379</v>
      </c>
      <c r="E337" t="s">
        <v>2379</v>
      </c>
      <c r="F337" t="s">
        <v>2379</v>
      </c>
      <c r="G337">
        <v>1</v>
      </c>
      <c r="H337" t="s">
        <v>2381</v>
      </c>
      <c r="I337" t="str" cm="1">
        <f t="array" ref="I337">_xlfn.IFS(B337&lt;18.5,"Underweight",AND(B337&gt;=18.5,B337&lt;=24.99),"Normalweight",AND(B337&gt;=25,B337&lt;=29.99),"Overweight",B337&gt;=30,"Obesity")</f>
        <v>Normalweight</v>
      </c>
      <c r="J337" t="str" cm="1">
        <f t="array" ref="J337">_xlfn.IFS(C337&lt;5.7,"Normal",AND(C337&gt;=5.7,C337&lt;=6.49),"Prediabetes",C337&gt;=6.5,"Diabetes")</f>
        <v>Prediabetes</v>
      </c>
    </row>
    <row r="338" spans="1:10" x14ac:dyDescent="0.3">
      <c r="A338" t="s">
        <v>2035</v>
      </c>
      <c r="B338" s="8">
        <v>22.03</v>
      </c>
      <c r="C338">
        <v>4.28</v>
      </c>
      <c r="D338" t="s">
        <v>2381</v>
      </c>
      <c r="E338" t="s">
        <v>2379</v>
      </c>
      <c r="F338" t="s">
        <v>2379</v>
      </c>
      <c r="G338">
        <v>0</v>
      </c>
      <c r="H338" t="s">
        <v>2381</v>
      </c>
      <c r="I338" t="str" cm="1">
        <f t="array" ref="I338">_xlfn.IFS(B338&lt;18.5,"Underweight",AND(B338&gt;=18.5,B338&lt;=24.99),"Normalweight",AND(B338&gt;=25,B338&lt;=29.99),"Overweight",B338&gt;=30,"Obesity")</f>
        <v>Normalweight</v>
      </c>
      <c r="J338" t="str" cm="1">
        <f t="array" ref="J338">_xlfn.IFS(C338&lt;5.7,"Normal",AND(C338&gt;=5.7,C338&lt;=6.49),"Prediabetes",C338&gt;=6.5,"Diabetes")</f>
        <v>Normal</v>
      </c>
    </row>
    <row r="339" spans="1:10" x14ac:dyDescent="0.3">
      <c r="A339" t="s">
        <v>2034</v>
      </c>
      <c r="B339" s="8">
        <v>26.885000000000002</v>
      </c>
      <c r="C339">
        <v>9.86</v>
      </c>
      <c r="D339" t="s">
        <v>2379</v>
      </c>
      <c r="E339" t="s">
        <v>2379</v>
      </c>
      <c r="F339" t="s">
        <v>2379</v>
      </c>
      <c r="G339">
        <v>3</v>
      </c>
      <c r="H339" t="s">
        <v>2381</v>
      </c>
      <c r="I339" t="str" cm="1">
        <f t="array" ref="I339">_xlfn.IFS(B339&lt;18.5,"Underweight",AND(B339&gt;=18.5,B339&lt;=24.99),"Normalweight",AND(B339&gt;=25,B339&lt;=29.99),"Overweight",B339&gt;=30,"Obesity")</f>
        <v>Overweight</v>
      </c>
      <c r="J339" t="str" cm="1">
        <f t="array" ref="J339">_xlfn.IFS(C339&lt;5.7,"Normal",AND(C339&gt;=5.7,C339&lt;=6.49),"Prediabetes",C339&gt;=6.5,"Diabetes")</f>
        <v>Diabetes</v>
      </c>
    </row>
    <row r="340" spans="1:10" x14ac:dyDescent="0.3">
      <c r="A340" t="s">
        <v>2033</v>
      </c>
      <c r="B340" s="8">
        <v>16.36</v>
      </c>
      <c r="C340">
        <v>11.19</v>
      </c>
      <c r="D340" t="s">
        <v>2379</v>
      </c>
      <c r="E340" t="s">
        <v>2379</v>
      </c>
      <c r="F340" t="s">
        <v>2379</v>
      </c>
      <c r="G340">
        <v>0</v>
      </c>
      <c r="H340" t="s">
        <v>2381</v>
      </c>
      <c r="I340" t="str" cm="1">
        <f t="array" ref="I340">_xlfn.IFS(B340&lt;18.5,"Underweight",AND(B340&gt;=18.5,B340&lt;=24.99),"Normalweight",AND(B340&gt;=25,B340&lt;=29.99),"Overweight",B340&gt;=30,"Obesity")</f>
        <v>Underweight</v>
      </c>
      <c r="J340" t="str" cm="1">
        <f t="array" ref="J340">_xlfn.IFS(C340&lt;5.7,"Normal",AND(C340&gt;=5.7,C340&lt;=6.49),"Prediabetes",C340&gt;=6.5,"Diabetes")</f>
        <v>Diabetes</v>
      </c>
    </row>
    <row r="341" spans="1:10" x14ac:dyDescent="0.3">
      <c r="A341" t="s">
        <v>2032</v>
      </c>
      <c r="B341" s="8">
        <v>32.299999999999997</v>
      </c>
      <c r="C341">
        <v>4.8899999999999997</v>
      </c>
      <c r="D341" t="s">
        <v>2381</v>
      </c>
      <c r="E341" t="s">
        <v>2379</v>
      </c>
      <c r="F341" t="s">
        <v>2381</v>
      </c>
      <c r="G341">
        <v>1</v>
      </c>
      <c r="H341" t="s">
        <v>2379</v>
      </c>
      <c r="I341" t="str" cm="1">
        <f t="array" ref="I341">_xlfn.IFS(B341&lt;18.5,"Underweight",AND(B341&gt;=18.5,B341&lt;=24.99),"Normalweight",AND(B341&gt;=25,B341&lt;=29.99),"Overweight",B341&gt;=30,"Obesity")</f>
        <v>Obesity</v>
      </c>
      <c r="J341" t="str" cm="1">
        <f t="array" ref="J341">_xlfn.IFS(C341&lt;5.7,"Normal",AND(C341&gt;=5.7,C341&lt;=6.49),"Prediabetes",C341&gt;=6.5,"Diabetes")</f>
        <v>Normal</v>
      </c>
    </row>
    <row r="342" spans="1:10" x14ac:dyDescent="0.3">
      <c r="A342" t="s">
        <v>2031</v>
      </c>
      <c r="B342" s="8">
        <v>16.05</v>
      </c>
      <c r="C342">
        <v>4.3499999999999996</v>
      </c>
      <c r="D342" t="s">
        <v>2381</v>
      </c>
      <c r="E342" t="s">
        <v>2379</v>
      </c>
      <c r="F342" t="s">
        <v>2379</v>
      </c>
      <c r="G342">
        <v>0</v>
      </c>
      <c r="H342" t="s">
        <v>2381</v>
      </c>
      <c r="I342" t="str" cm="1">
        <f t="array" ref="I342">_xlfn.IFS(B342&lt;18.5,"Underweight",AND(B342&gt;=18.5,B342&lt;=24.99),"Normalweight",AND(B342&gt;=25,B342&lt;=29.99),"Overweight",B342&gt;=30,"Obesity")</f>
        <v>Underweight</v>
      </c>
      <c r="J342" t="str" cm="1">
        <f t="array" ref="J342">_xlfn.IFS(C342&lt;5.7,"Normal",AND(C342&gt;=5.7,C342&lt;=6.49),"Prediabetes",C342&gt;=6.5,"Diabetes")</f>
        <v>Normal</v>
      </c>
    </row>
    <row r="343" spans="1:10" x14ac:dyDescent="0.3">
      <c r="A343" t="s">
        <v>2030</v>
      </c>
      <c r="B343" s="8">
        <v>29.07</v>
      </c>
      <c r="C343">
        <v>8.66</v>
      </c>
      <c r="D343" t="s">
        <v>2381</v>
      </c>
      <c r="E343" t="s">
        <v>2379</v>
      </c>
      <c r="F343" t="s">
        <v>2379</v>
      </c>
      <c r="G343">
        <v>2</v>
      </c>
      <c r="H343" t="s">
        <v>2381</v>
      </c>
      <c r="I343" t="str" cm="1">
        <f t="array" ref="I343">_xlfn.IFS(B343&lt;18.5,"Underweight",AND(B343&gt;=18.5,B343&lt;=24.99),"Normalweight",AND(B343&gt;=25,B343&lt;=29.99),"Overweight",B343&gt;=30,"Obesity")</f>
        <v>Overweight</v>
      </c>
      <c r="J343" t="str" cm="1">
        <f t="array" ref="J343">_xlfn.IFS(C343&lt;5.7,"Normal",AND(C343&gt;=5.7,C343&lt;=6.49),"Prediabetes",C343&gt;=6.5,"Diabetes")</f>
        <v>Diabetes</v>
      </c>
    </row>
    <row r="344" spans="1:10" x14ac:dyDescent="0.3">
      <c r="A344" t="s">
        <v>2029</v>
      </c>
      <c r="B344" s="8">
        <v>17.43</v>
      </c>
      <c r="C344">
        <v>8.64</v>
      </c>
      <c r="D344" t="s">
        <v>2379</v>
      </c>
      <c r="E344" t="s">
        <v>2379</v>
      </c>
      <c r="F344" t="s">
        <v>2379</v>
      </c>
      <c r="G344">
        <v>0</v>
      </c>
      <c r="H344" t="s">
        <v>2381</v>
      </c>
      <c r="I344" t="str" cm="1">
        <f t="array" ref="I344">_xlfn.IFS(B344&lt;18.5,"Underweight",AND(B344&gt;=18.5,B344&lt;=24.99),"Normalweight",AND(B344&gt;=25,B344&lt;=29.99),"Overweight",B344&gt;=30,"Obesity")</f>
        <v>Underweight</v>
      </c>
      <c r="J344" t="str" cm="1">
        <f t="array" ref="J344">_xlfn.IFS(C344&lt;5.7,"Normal",AND(C344&gt;=5.7,C344&lt;=6.49),"Prediabetes",C344&gt;=6.5,"Diabetes")</f>
        <v>Diabetes</v>
      </c>
    </row>
    <row r="345" spans="1:10" x14ac:dyDescent="0.3">
      <c r="A345" t="s">
        <v>2028</v>
      </c>
      <c r="B345" s="8">
        <v>19.329999999999998</v>
      </c>
      <c r="C345">
        <v>4.2699999999999996</v>
      </c>
      <c r="D345" t="s">
        <v>2379</v>
      </c>
      <c r="E345" t="s">
        <v>2379</v>
      </c>
      <c r="F345" t="s">
        <v>2379</v>
      </c>
      <c r="G345">
        <v>0</v>
      </c>
      <c r="H345" t="s">
        <v>2381</v>
      </c>
      <c r="I345" t="str" cm="1">
        <f t="array" ref="I345">_xlfn.IFS(B345&lt;18.5,"Underweight",AND(B345&gt;=18.5,B345&lt;=24.99),"Normalweight",AND(B345&gt;=25,B345&lt;=29.99),"Overweight",B345&gt;=30,"Obesity")</f>
        <v>Normalweight</v>
      </c>
      <c r="J345" t="str" cm="1">
        <f t="array" ref="J345">_xlfn.IFS(C345&lt;5.7,"Normal",AND(C345&gt;=5.7,C345&lt;=6.49),"Prediabetes",C345&gt;=6.5,"Diabetes")</f>
        <v>Normal</v>
      </c>
    </row>
    <row r="346" spans="1:10" x14ac:dyDescent="0.3">
      <c r="A346" t="s">
        <v>2027</v>
      </c>
      <c r="B346" s="8">
        <v>30.52</v>
      </c>
      <c r="C346">
        <v>4.21</v>
      </c>
      <c r="D346" t="s">
        <v>2379</v>
      </c>
      <c r="E346" t="s">
        <v>2379</v>
      </c>
      <c r="F346" t="s">
        <v>2379</v>
      </c>
      <c r="G346">
        <v>1</v>
      </c>
      <c r="H346" t="s">
        <v>2381</v>
      </c>
      <c r="I346" t="str" cm="1">
        <f t="array" ref="I346">_xlfn.IFS(B346&lt;18.5,"Underweight",AND(B346&gt;=18.5,B346&lt;=24.99),"Normalweight",AND(B346&gt;=25,B346&lt;=29.99),"Overweight",B346&gt;=30,"Obesity")</f>
        <v>Obesity</v>
      </c>
      <c r="J346" t="str" cm="1">
        <f t="array" ref="J346">_xlfn.IFS(C346&lt;5.7,"Normal",AND(C346&gt;=5.7,C346&lt;=6.49),"Prediabetes",C346&gt;=6.5,"Diabetes")</f>
        <v>Normal</v>
      </c>
    </row>
    <row r="347" spans="1:10" x14ac:dyDescent="0.3">
      <c r="A347" t="s">
        <v>2026</v>
      </c>
      <c r="B347" s="8">
        <v>39.21</v>
      </c>
      <c r="C347">
        <v>5.04</v>
      </c>
      <c r="D347" t="s">
        <v>2379</v>
      </c>
      <c r="E347" t="s">
        <v>2379</v>
      </c>
      <c r="F347" t="s">
        <v>2381</v>
      </c>
      <c r="G347">
        <v>1</v>
      </c>
      <c r="H347" t="s">
        <v>2381</v>
      </c>
      <c r="I347" t="str" cm="1">
        <f t="array" ref="I347">_xlfn.IFS(B347&lt;18.5,"Underweight",AND(B347&gt;=18.5,B347&lt;=24.99),"Normalweight",AND(B347&gt;=25,B347&lt;=29.99),"Overweight",B347&gt;=30,"Obesity")</f>
        <v>Obesity</v>
      </c>
      <c r="J347" t="str" cm="1">
        <f t="array" ref="J347">_xlfn.IFS(C347&lt;5.7,"Normal",AND(C347&gt;=5.7,C347&lt;=6.49),"Prediabetes",C347&gt;=6.5,"Diabetes")</f>
        <v>Normal</v>
      </c>
    </row>
    <row r="348" spans="1:10" x14ac:dyDescent="0.3">
      <c r="A348" t="s">
        <v>2025</v>
      </c>
      <c r="B348" s="8">
        <v>26.98</v>
      </c>
      <c r="C348">
        <v>5.21</v>
      </c>
      <c r="D348" t="s">
        <v>2381</v>
      </c>
      <c r="E348" t="s">
        <v>2379</v>
      </c>
      <c r="F348" t="s">
        <v>2379</v>
      </c>
      <c r="G348">
        <v>2</v>
      </c>
      <c r="H348" t="s">
        <v>2381</v>
      </c>
      <c r="I348" t="str" cm="1">
        <f t="array" ref="I348">_xlfn.IFS(B348&lt;18.5,"Underweight",AND(B348&gt;=18.5,B348&lt;=24.99),"Normalweight",AND(B348&gt;=25,B348&lt;=29.99),"Overweight",B348&gt;=30,"Obesity")</f>
        <v>Overweight</v>
      </c>
      <c r="J348" t="str" cm="1">
        <f t="array" ref="J348">_xlfn.IFS(C348&lt;5.7,"Normal",AND(C348&gt;=5.7,C348&lt;=6.49),"Prediabetes",C348&gt;=6.5,"Diabetes")</f>
        <v>Normal</v>
      </c>
    </row>
    <row r="349" spans="1:10" x14ac:dyDescent="0.3">
      <c r="A349" t="s">
        <v>2024</v>
      </c>
      <c r="B349" s="8">
        <v>25.84</v>
      </c>
      <c r="C349">
        <v>8.83</v>
      </c>
      <c r="D349" t="s">
        <v>2379</v>
      </c>
      <c r="E349" t="s">
        <v>2379</v>
      </c>
      <c r="F349" t="s">
        <v>2379</v>
      </c>
      <c r="G349">
        <v>0</v>
      </c>
      <c r="H349" t="s">
        <v>2379</v>
      </c>
      <c r="I349" t="str" cm="1">
        <f t="array" ref="I349">_xlfn.IFS(B349&lt;18.5,"Underweight",AND(B349&gt;=18.5,B349&lt;=24.99),"Normalweight",AND(B349&gt;=25,B349&lt;=29.99),"Overweight",B349&gt;=30,"Obesity")</f>
        <v>Overweight</v>
      </c>
      <c r="J349" t="str" cm="1">
        <f t="array" ref="J349">_xlfn.IFS(C349&lt;5.7,"Normal",AND(C349&gt;=5.7,C349&lt;=6.49),"Prediabetes",C349&gt;=6.5,"Diabetes")</f>
        <v>Diabetes</v>
      </c>
    </row>
    <row r="350" spans="1:10" x14ac:dyDescent="0.3">
      <c r="A350" t="s">
        <v>2023</v>
      </c>
      <c r="B350" s="8">
        <v>28.31</v>
      </c>
      <c r="C350">
        <v>8.4700000000000006</v>
      </c>
      <c r="D350" t="s">
        <v>2381</v>
      </c>
      <c r="E350" t="s">
        <v>2379</v>
      </c>
      <c r="F350" t="s">
        <v>2379</v>
      </c>
      <c r="G350">
        <v>2</v>
      </c>
      <c r="H350" t="s">
        <v>2381</v>
      </c>
      <c r="I350" t="str" cm="1">
        <f t="array" ref="I350">_xlfn.IFS(B350&lt;18.5,"Underweight",AND(B350&gt;=18.5,B350&lt;=24.99),"Normalweight",AND(B350&gt;=25,B350&lt;=29.99),"Overweight",B350&gt;=30,"Obesity")</f>
        <v>Overweight</v>
      </c>
      <c r="J350" t="str" cm="1">
        <f t="array" ref="J350">_xlfn.IFS(C350&lt;5.7,"Normal",AND(C350&gt;=5.7,C350&lt;=6.49),"Prediabetes",C350&gt;=6.5,"Diabetes")</f>
        <v>Diabetes</v>
      </c>
    </row>
    <row r="351" spans="1:10" x14ac:dyDescent="0.3">
      <c r="A351" t="s">
        <v>2022</v>
      </c>
      <c r="B351" s="8">
        <v>23.94</v>
      </c>
      <c r="C351">
        <v>4.2</v>
      </c>
      <c r="D351" t="s">
        <v>2379</v>
      </c>
      <c r="E351" t="s">
        <v>2379</v>
      </c>
      <c r="F351" t="s">
        <v>2379</v>
      </c>
      <c r="G351">
        <v>0</v>
      </c>
      <c r="H351" t="s">
        <v>2381</v>
      </c>
      <c r="I351" t="str" cm="1">
        <f t="array" ref="I351">_xlfn.IFS(B351&lt;18.5,"Underweight",AND(B351&gt;=18.5,B351&lt;=24.99),"Normalweight",AND(B351&gt;=25,B351&lt;=29.99),"Overweight",B351&gt;=30,"Obesity")</f>
        <v>Normalweight</v>
      </c>
      <c r="J351" t="str" cm="1">
        <f t="array" ref="J351">_xlfn.IFS(C351&lt;5.7,"Normal",AND(C351&gt;=5.7,C351&lt;=6.49),"Prediabetes",C351&gt;=6.5,"Diabetes")</f>
        <v>Normal</v>
      </c>
    </row>
    <row r="352" spans="1:10" x14ac:dyDescent="0.3">
      <c r="A352" t="s">
        <v>2021</v>
      </c>
      <c r="B352" s="8">
        <v>20.03</v>
      </c>
      <c r="C352">
        <v>6.14</v>
      </c>
      <c r="D352" t="s">
        <v>2381</v>
      </c>
      <c r="E352" t="s">
        <v>2379</v>
      </c>
      <c r="F352" t="s">
        <v>2379</v>
      </c>
      <c r="G352">
        <v>0</v>
      </c>
      <c r="H352" t="s">
        <v>2381</v>
      </c>
      <c r="I352" t="str" cm="1">
        <f t="array" ref="I352">_xlfn.IFS(B352&lt;18.5,"Underweight",AND(B352&gt;=18.5,B352&lt;=24.99),"Normalweight",AND(B352&gt;=25,B352&lt;=29.99),"Overweight",B352&gt;=30,"Obesity")</f>
        <v>Normalweight</v>
      </c>
      <c r="J352" t="str" cm="1">
        <f t="array" ref="J352">_xlfn.IFS(C352&lt;5.7,"Normal",AND(C352&gt;=5.7,C352&lt;=6.49),"Prediabetes",C352&gt;=6.5,"Diabetes")</f>
        <v>Prediabetes</v>
      </c>
    </row>
    <row r="353" spans="1:10" x14ac:dyDescent="0.3">
      <c r="A353" t="s">
        <v>2020</v>
      </c>
      <c r="B353" s="8">
        <v>41.42</v>
      </c>
      <c r="C353">
        <v>6.07</v>
      </c>
      <c r="D353" t="s">
        <v>2379</v>
      </c>
      <c r="E353" t="s">
        <v>2379</v>
      </c>
      <c r="F353" t="s">
        <v>2379</v>
      </c>
      <c r="G353">
        <v>0</v>
      </c>
      <c r="H353" t="s">
        <v>2379</v>
      </c>
      <c r="I353" t="str" cm="1">
        <f t="array" ref="I353">_xlfn.IFS(B353&lt;18.5,"Underweight",AND(B353&gt;=18.5,B353&lt;=24.99),"Normalweight",AND(B353&gt;=25,B353&lt;=29.99),"Overweight",B353&gt;=30,"Obesity")</f>
        <v>Obesity</v>
      </c>
      <c r="J353" t="str" cm="1">
        <f t="array" ref="J353">_xlfn.IFS(C353&lt;5.7,"Normal",AND(C353&gt;=5.7,C353&lt;=6.49),"Prediabetes",C353&gt;=6.5,"Diabetes")</f>
        <v>Prediabetes</v>
      </c>
    </row>
    <row r="354" spans="1:10" x14ac:dyDescent="0.3">
      <c r="A354" t="s">
        <v>2019</v>
      </c>
      <c r="B354" s="8">
        <v>36.67</v>
      </c>
      <c r="C354">
        <v>10.210000000000001</v>
      </c>
      <c r="D354" t="s">
        <v>2379</v>
      </c>
      <c r="E354" t="s">
        <v>2379</v>
      </c>
      <c r="F354" t="s">
        <v>2379</v>
      </c>
      <c r="G354">
        <v>0</v>
      </c>
      <c r="H354" t="s">
        <v>2379</v>
      </c>
      <c r="I354" t="str" cm="1">
        <f t="array" ref="I354">_xlfn.IFS(B354&lt;18.5,"Underweight",AND(B354&gt;=18.5,B354&lt;=24.99),"Normalweight",AND(B354&gt;=25,B354&lt;=29.99),"Overweight",B354&gt;=30,"Obesity")</f>
        <v>Obesity</v>
      </c>
      <c r="J354" t="str" cm="1">
        <f t="array" ref="J354">_xlfn.IFS(C354&lt;5.7,"Normal",AND(C354&gt;=5.7,C354&lt;=6.49),"Prediabetes",C354&gt;=6.5,"Diabetes")</f>
        <v>Diabetes</v>
      </c>
    </row>
    <row r="355" spans="1:10" x14ac:dyDescent="0.3">
      <c r="A355" t="s">
        <v>2018</v>
      </c>
      <c r="B355" s="8">
        <v>27.645</v>
      </c>
      <c r="C355">
        <v>4.6900000000000004</v>
      </c>
      <c r="D355" t="s">
        <v>2379</v>
      </c>
      <c r="E355" t="s">
        <v>2379</v>
      </c>
      <c r="F355" t="s">
        <v>2379</v>
      </c>
      <c r="G355">
        <v>0</v>
      </c>
      <c r="H355" t="s">
        <v>2379</v>
      </c>
      <c r="I355" t="str" cm="1">
        <f t="array" ref="I355">_xlfn.IFS(B355&lt;18.5,"Underweight",AND(B355&gt;=18.5,B355&lt;=24.99),"Normalweight",AND(B355&gt;=25,B355&lt;=29.99),"Overweight",B355&gt;=30,"Obesity")</f>
        <v>Overweight</v>
      </c>
      <c r="J355" t="str" cm="1">
        <f t="array" ref="J355">_xlfn.IFS(C355&lt;5.7,"Normal",AND(C355&gt;=5.7,C355&lt;=6.49),"Prediabetes",C355&gt;=6.5,"Diabetes")</f>
        <v>Normal</v>
      </c>
    </row>
    <row r="356" spans="1:10" x14ac:dyDescent="0.3">
      <c r="A356" t="s">
        <v>2017</v>
      </c>
      <c r="B356" s="8">
        <v>22.72</v>
      </c>
      <c r="C356">
        <v>5.71</v>
      </c>
      <c r="D356" t="s">
        <v>2379</v>
      </c>
      <c r="E356" t="s">
        <v>2379</v>
      </c>
      <c r="F356" t="s">
        <v>2379</v>
      </c>
      <c r="G356">
        <v>0</v>
      </c>
      <c r="H356" t="s">
        <v>2381</v>
      </c>
      <c r="I356" t="str" cm="1">
        <f t="array" ref="I356">_xlfn.IFS(B356&lt;18.5,"Underweight",AND(B356&gt;=18.5,B356&lt;=24.99),"Normalweight",AND(B356&gt;=25,B356&lt;=29.99),"Overweight",B356&gt;=30,"Obesity")</f>
        <v>Normalweight</v>
      </c>
      <c r="J356" t="str" cm="1">
        <f t="array" ref="J356">_xlfn.IFS(C356&lt;5.7,"Normal",AND(C356&gt;=5.7,C356&lt;=6.49),"Prediabetes",C356&gt;=6.5,"Diabetes")</f>
        <v>Prediabetes</v>
      </c>
    </row>
    <row r="357" spans="1:10" x14ac:dyDescent="0.3">
      <c r="A357" t="s">
        <v>2016</v>
      </c>
      <c r="B357" s="8">
        <v>36.520000000000003</v>
      </c>
      <c r="C357">
        <v>9.07</v>
      </c>
      <c r="D357" t="s">
        <v>2381</v>
      </c>
      <c r="E357" t="s">
        <v>2379</v>
      </c>
      <c r="F357" t="s">
        <v>2381</v>
      </c>
      <c r="G357">
        <v>1</v>
      </c>
      <c r="H357" t="s">
        <v>2379</v>
      </c>
      <c r="I357" t="str" cm="1">
        <f t="array" ref="I357">_xlfn.IFS(B357&lt;18.5,"Underweight",AND(B357&gt;=18.5,B357&lt;=24.99),"Normalweight",AND(B357&gt;=25,B357&lt;=29.99),"Overweight",B357&gt;=30,"Obesity")</f>
        <v>Obesity</v>
      </c>
      <c r="J357" t="str" cm="1">
        <f t="array" ref="J357">_xlfn.IFS(C357&lt;5.7,"Normal",AND(C357&gt;=5.7,C357&lt;=6.49),"Prediabetes",C357&gt;=6.5,"Diabetes")</f>
        <v>Diabetes</v>
      </c>
    </row>
    <row r="358" spans="1:10" x14ac:dyDescent="0.3">
      <c r="A358" t="s">
        <v>2015</v>
      </c>
      <c r="B358" s="8">
        <v>33.96</v>
      </c>
      <c r="C358">
        <v>4.99</v>
      </c>
      <c r="D358" t="s">
        <v>2379</v>
      </c>
      <c r="E358" t="s">
        <v>2379</v>
      </c>
      <c r="F358" t="s">
        <v>2379</v>
      </c>
      <c r="G358">
        <v>0</v>
      </c>
      <c r="H358" t="s">
        <v>2381</v>
      </c>
      <c r="I358" t="str" cm="1">
        <f t="array" ref="I358">_xlfn.IFS(B358&lt;18.5,"Underweight",AND(B358&gt;=18.5,B358&lt;=24.99),"Normalweight",AND(B358&gt;=25,B358&lt;=29.99),"Overweight",B358&gt;=30,"Obesity")</f>
        <v>Obesity</v>
      </c>
      <c r="J358" t="str" cm="1">
        <f t="array" ref="J358">_xlfn.IFS(C358&lt;5.7,"Normal",AND(C358&gt;=5.7,C358&lt;=6.49),"Prediabetes",C358&gt;=6.5,"Diabetes")</f>
        <v>Normal</v>
      </c>
    </row>
    <row r="359" spans="1:10" x14ac:dyDescent="0.3">
      <c r="A359" t="s">
        <v>2014</v>
      </c>
      <c r="B359" s="8">
        <v>26.695</v>
      </c>
      <c r="C359">
        <v>8.31</v>
      </c>
      <c r="D359" t="s">
        <v>2379</v>
      </c>
      <c r="E359" t="s">
        <v>2379</v>
      </c>
      <c r="F359" t="s">
        <v>2379</v>
      </c>
      <c r="G359">
        <v>0</v>
      </c>
      <c r="H359" t="s">
        <v>2381</v>
      </c>
      <c r="I359" t="str" cm="1">
        <f t="array" ref="I359">_xlfn.IFS(B359&lt;18.5,"Underweight",AND(B359&gt;=18.5,B359&lt;=24.99),"Normalweight",AND(B359&gt;=25,B359&lt;=29.99),"Overweight",B359&gt;=30,"Obesity")</f>
        <v>Overweight</v>
      </c>
      <c r="J359" t="str" cm="1">
        <f t="array" ref="J359">_xlfn.IFS(C359&lt;5.7,"Normal",AND(C359&gt;=5.7,C359&lt;=6.49),"Prediabetes",C359&gt;=6.5,"Diabetes")</f>
        <v>Diabetes</v>
      </c>
    </row>
    <row r="360" spans="1:10" x14ac:dyDescent="0.3">
      <c r="A360" t="s">
        <v>2013</v>
      </c>
      <c r="B360" s="8">
        <v>18.45</v>
      </c>
      <c r="C360">
        <v>5.07</v>
      </c>
      <c r="D360" t="s">
        <v>2381</v>
      </c>
      <c r="E360" t="s">
        <v>2379</v>
      </c>
      <c r="F360" t="s">
        <v>2379</v>
      </c>
      <c r="G360">
        <v>0</v>
      </c>
      <c r="H360" t="s">
        <v>2381</v>
      </c>
      <c r="I360" t="str" cm="1">
        <f t="array" ref="I360">_xlfn.IFS(B360&lt;18.5,"Underweight",AND(B360&gt;=18.5,B360&lt;=24.99),"Normalweight",AND(B360&gt;=25,B360&lt;=29.99),"Overweight",B360&gt;=30,"Obesity")</f>
        <v>Underweight</v>
      </c>
      <c r="J360" t="str" cm="1">
        <f t="array" ref="J360">_xlfn.IFS(C360&lt;5.7,"Normal",AND(C360&gt;=5.7,C360&lt;=6.49),"Prediabetes",C360&gt;=6.5,"Diabetes")</f>
        <v>Normal</v>
      </c>
    </row>
    <row r="361" spans="1:10" x14ac:dyDescent="0.3">
      <c r="A361" t="s">
        <v>2012</v>
      </c>
      <c r="B361" s="8">
        <v>33.18</v>
      </c>
      <c r="C361">
        <v>4.79</v>
      </c>
      <c r="D361" t="s">
        <v>2379</v>
      </c>
      <c r="E361" t="s">
        <v>2379</v>
      </c>
      <c r="F361" t="s">
        <v>2379</v>
      </c>
      <c r="G361">
        <v>0</v>
      </c>
      <c r="H361" t="s">
        <v>2381</v>
      </c>
      <c r="I361" t="str" cm="1">
        <f t="array" ref="I361">_xlfn.IFS(B361&lt;18.5,"Underweight",AND(B361&gt;=18.5,B361&lt;=24.99),"Normalweight",AND(B361&gt;=25,B361&lt;=29.99),"Overweight",B361&gt;=30,"Obesity")</f>
        <v>Obesity</v>
      </c>
      <c r="J361" t="str" cm="1">
        <f t="array" ref="J361">_xlfn.IFS(C361&lt;5.7,"Normal",AND(C361&gt;=5.7,C361&lt;=6.49),"Prediabetes",C361&gt;=6.5,"Diabetes")</f>
        <v>Normal</v>
      </c>
    </row>
    <row r="362" spans="1:10" x14ac:dyDescent="0.3">
      <c r="A362" t="s">
        <v>2011</v>
      </c>
      <c r="B362" s="8">
        <v>36.1</v>
      </c>
      <c r="C362">
        <v>11.39</v>
      </c>
      <c r="D362" t="s">
        <v>2381</v>
      </c>
      <c r="E362" t="s">
        <v>2379</v>
      </c>
      <c r="F362" t="s">
        <v>2379</v>
      </c>
      <c r="G362">
        <v>2</v>
      </c>
      <c r="H362" t="s">
        <v>2379</v>
      </c>
      <c r="I362" t="str" cm="1">
        <f t="array" ref="I362">_xlfn.IFS(B362&lt;18.5,"Underweight",AND(B362&gt;=18.5,B362&lt;=24.99),"Normalweight",AND(B362&gt;=25,B362&lt;=29.99),"Overweight",B362&gt;=30,"Obesity")</f>
        <v>Obesity</v>
      </c>
      <c r="J362" t="str" cm="1">
        <f t="array" ref="J362">_xlfn.IFS(C362&lt;5.7,"Normal",AND(C362&gt;=5.7,C362&lt;=6.49),"Prediabetes",C362&gt;=6.5,"Diabetes")</f>
        <v>Diabetes</v>
      </c>
    </row>
    <row r="363" spans="1:10" x14ac:dyDescent="0.3">
      <c r="A363" t="s">
        <v>2010</v>
      </c>
      <c r="B363" s="8">
        <v>22.77</v>
      </c>
      <c r="C363">
        <v>6</v>
      </c>
      <c r="D363" t="s">
        <v>2379</v>
      </c>
      <c r="E363" t="s">
        <v>2379</v>
      </c>
      <c r="F363" t="s">
        <v>2379</v>
      </c>
      <c r="G363">
        <v>0</v>
      </c>
      <c r="H363" t="s">
        <v>2381</v>
      </c>
      <c r="I363" t="str" cm="1">
        <f t="array" ref="I363">_xlfn.IFS(B363&lt;18.5,"Underweight",AND(B363&gt;=18.5,B363&lt;=24.99),"Normalweight",AND(B363&gt;=25,B363&lt;=29.99),"Overweight",B363&gt;=30,"Obesity")</f>
        <v>Normalweight</v>
      </c>
      <c r="J363" t="str" cm="1">
        <f t="array" ref="J363">_xlfn.IFS(C363&lt;5.7,"Normal",AND(C363&gt;=5.7,C363&lt;=6.49),"Prediabetes",C363&gt;=6.5,"Diabetes")</f>
        <v>Prediabetes</v>
      </c>
    </row>
    <row r="364" spans="1:10" x14ac:dyDescent="0.3">
      <c r="A364" t="s">
        <v>2009</v>
      </c>
      <c r="B364" s="8">
        <v>21.24</v>
      </c>
      <c r="C364">
        <v>5.13</v>
      </c>
      <c r="D364" t="s">
        <v>2379</v>
      </c>
      <c r="E364" t="s">
        <v>2379</v>
      </c>
      <c r="F364" t="s">
        <v>2379</v>
      </c>
      <c r="G364">
        <v>0</v>
      </c>
      <c r="H364" t="s">
        <v>2381</v>
      </c>
      <c r="I364" t="str" cm="1">
        <f t="array" ref="I364">_xlfn.IFS(B364&lt;18.5,"Underweight",AND(B364&gt;=18.5,B364&lt;=24.99),"Normalweight",AND(B364&gt;=25,B364&lt;=29.99),"Overweight",B364&gt;=30,"Obesity")</f>
        <v>Normalweight</v>
      </c>
      <c r="J364" t="str" cm="1">
        <f t="array" ref="J364">_xlfn.IFS(C364&lt;5.7,"Normal",AND(C364&gt;=5.7,C364&lt;=6.49),"Prediabetes",C364&gt;=6.5,"Diabetes")</f>
        <v>Normal</v>
      </c>
    </row>
    <row r="365" spans="1:10" x14ac:dyDescent="0.3">
      <c r="A365" t="s">
        <v>2008</v>
      </c>
      <c r="B365" s="8">
        <v>17.600000000000001</v>
      </c>
      <c r="C365">
        <v>5.26</v>
      </c>
      <c r="D365" t="s">
        <v>2381</v>
      </c>
      <c r="E365" t="s">
        <v>2379</v>
      </c>
      <c r="F365" t="s">
        <v>2379</v>
      </c>
      <c r="G365">
        <v>0</v>
      </c>
      <c r="H365" t="s">
        <v>2381</v>
      </c>
      <c r="I365" t="str" cm="1">
        <f t="array" ref="I365">_xlfn.IFS(B365&lt;18.5,"Underweight",AND(B365&gt;=18.5,B365&lt;=24.99),"Normalweight",AND(B365&gt;=25,B365&lt;=29.99),"Overweight",B365&gt;=30,"Obesity")</f>
        <v>Underweight</v>
      </c>
      <c r="J365" t="str" cm="1">
        <f t="array" ref="J365">_xlfn.IFS(C365&lt;5.7,"Normal",AND(C365&gt;=5.7,C365&lt;=6.49),"Prediabetes",C365&gt;=6.5,"Diabetes")</f>
        <v>Normal</v>
      </c>
    </row>
    <row r="366" spans="1:10" x14ac:dyDescent="0.3">
      <c r="A366" t="s">
        <v>2007</v>
      </c>
      <c r="B366" s="8">
        <v>26.29</v>
      </c>
      <c r="C366">
        <v>6.84</v>
      </c>
      <c r="D366" t="s">
        <v>2379</v>
      </c>
      <c r="E366" t="s">
        <v>2379</v>
      </c>
      <c r="F366" t="s">
        <v>2379</v>
      </c>
      <c r="G366">
        <v>0</v>
      </c>
      <c r="H366" t="s">
        <v>2381</v>
      </c>
      <c r="I366" t="str" cm="1">
        <f t="array" ref="I366">_xlfn.IFS(B366&lt;18.5,"Underweight",AND(B366&gt;=18.5,B366&lt;=24.99),"Normalweight",AND(B366&gt;=25,B366&lt;=29.99),"Overweight",B366&gt;=30,"Obesity")</f>
        <v>Overweight</v>
      </c>
      <c r="J366" t="str" cm="1">
        <f t="array" ref="J366">_xlfn.IFS(C366&lt;5.7,"Normal",AND(C366&gt;=5.7,C366&lt;=6.49),"Prediabetes",C366&gt;=6.5,"Diabetes")</f>
        <v>Diabetes</v>
      </c>
    </row>
    <row r="367" spans="1:10" x14ac:dyDescent="0.3">
      <c r="A367" t="s">
        <v>2006</v>
      </c>
      <c r="B367" s="8">
        <v>35.31</v>
      </c>
      <c r="C367">
        <v>9.0399999999999991</v>
      </c>
      <c r="D367" t="s">
        <v>2379</v>
      </c>
      <c r="E367" t="s">
        <v>2379</v>
      </c>
      <c r="F367" t="s">
        <v>2379</v>
      </c>
      <c r="G367">
        <v>0</v>
      </c>
      <c r="H367" t="s">
        <v>2379</v>
      </c>
      <c r="I367" t="str" cm="1">
        <f t="array" ref="I367">_xlfn.IFS(B367&lt;18.5,"Underweight",AND(B367&gt;=18.5,B367&lt;=24.99),"Normalweight",AND(B367&gt;=25,B367&lt;=29.99),"Overweight",B367&gt;=30,"Obesity")</f>
        <v>Obesity</v>
      </c>
      <c r="J367" t="str" cm="1">
        <f t="array" ref="J367">_xlfn.IFS(C367&lt;5.7,"Normal",AND(C367&gt;=5.7,C367&lt;=6.49),"Prediabetes",C367&gt;=6.5,"Diabetes")</f>
        <v>Diabetes</v>
      </c>
    </row>
    <row r="368" spans="1:10" x14ac:dyDescent="0.3">
      <c r="A368" t="s">
        <v>2005</v>
      </c>
      <c r="B368" s="8">
        <v>27.04</v>
      </c>
      <c r="C368">
        <v>4.0999999999999996</v>
      </c>
      <c r="D368" t="s">
        <v>2379</v>
      </c>
      <c r="E368" t="s">
        <v>2379</v>
      </c>
      <c r="F368" t="s">
        <v>2379</v>
      </c>
      <c r="G368">
        <v>1</v>
      </c>
      <c r="H368" t="s">
        <v>2381</v>
      </c>
      <c r="I368" t="str" cm="1">
        <f t="array" ref="I368">_xlfn.IFS(B368&lt;18.5,"Underweight",AND(B368&gt;=18.5,B368&lt;=24.99),"Normalweight",AND(B368&gt;=25,B368&lt;=29.99),"Overweight",B368&gt;=30,"Obesity")</f>
        <v>Overweight</v>
      </c>
      <c r="J368" t="str" cm="1">
        <f t="array" ref="J368">_xlfn.IFS(C368&lt;5.7,"Normal",AND(C368&gt;=5.7,C368&lt;=6.49),"Prediabetes",C368&gt;=6.5,"Diabetes")</f>
        <v>Normal</v>
      </c>
    </row>
    <row r="369" spans="1:10" x14ac:dyDescent="0.3">
      <c r="A369" t="s">
        <v>2004</v>
      </c>
      <c r="B369" s="8">
        <v>30.23</v>
      </c>
      <c r="C369">
        <v>4.2300000000000004</v>
      </c>
      <c r="D369" t="s">
        <v>2381</v>
      </c>
      <c r="E369" t="s">
        <v>2379</v>
      </c>
      <c r="F369" t="s">
        <v>2381</v>
      </c>
      <c r="G369">
        <v>1</v>
      </c>
      <c r="H369" t="s">
        <v>2381</v>
      </c>
      <c r="I369" t="str" cm="1">
        <f t="array" ref="I369">_xlfn.IFS(B369&lt;18.5,"Underweight",AND(B369&gt;=18.5,B369&lt;=24.99),"Normalweight",AND(B369&gt;=25,B369&lt;=29.99),"Overweight",B369&gt;=30,"Obesity")</f>
        <v>Obesity</v>
      </c>
      <c r="J369" t="str" cm="1">
        <f t="array" ref="J369">_xlfn.IFS(C369&lt;5.7,"Normal",AND(C369&gt;=5.7,C369&lt;=6.49),"Prediabetes",C369&gt;=6.5,"Diabetes")</f>
        <v>Normal</v>
      </c>
    </row>
    <row r="370" spans="1:10" x14ac:dyDescent="0.3">
      <c r="A370" t="s">
        <v>2003</v>
      </c>
      <c r="B370" s="8">
        <v>30.6</v>
      </c>
      <c r="C370">
        <v>6.48</v>
      </c>
      <c r="D370" t="s">
        <v>2381</v>
      </c>
      <c r="E370" t="s">
        <v>2379</v>
      </c>
      <c r="F370" t="s">
        <v>2381</v>
      </c>
      <c r="G370">
        <v>1</v>
      </c>
      <c r="H370" t="s">
        <v>2381</v>
      </c>
      <c r="I370" t="str" cm="1">
        <f t="array" ref="I370">_xlfn.IFS(B370&lt;18.5,"Underweight",AND(B370&gt;=18.5,B370&lt;=24.99),"Normalweight",AND(B370&gt;=25,B370&lt;=29.99),"Overweight",B370&gt;=30,"Obesity")</f>
        <v>Obesity</v>
      </c>
      <c r="J370" t="str" cm="1">
        <f t="array" ref="J370">_xlfn.IFS(C370&lt;5.7,"Normal",AND(C370&gt;=5.7,C370&lt;=6.49),"Prediabetes",C370&gt;=6.5,"Diabetes")</f>
        <v>Prediabetes</v>
      </c>
    </row>
    <row r="371" spans="1:10" x14ac:dyDescent="0.3">
      <c r="A371" t="s">
        <v>2002</v>
      </c>
      <c r="B371" s="8">
        <v>26.8</v>
      </c>
      <c r="C371">
        <v>5.53</v>
      </c>
      <c r="D371" t="s">
        <v>2379</v>
      </c>
      <c r="E371" t="s">
        <v>2379</v>
      </c>
      <c r="F371" t="s">
        <v>2379</v>
      </c>
      <c r="G371">
        <v>1</v>
      </c>
      <c r="H371" t="s">
        <v>2381</v>
      </c>
      <c r="I371" t="str" cm="1">
        <f t="array" ref="I371">_xlfn.IFS(B371&lt;18.5,"Underweight",AND(B371&gt;=18.5,B371&lt;=24.99),"Normalweight",AND(B371&gt;=25,B371&lt;=29.99),"Overweight",B371&gt;=30,"Obesity")</f>
        <v>Overweight</v>
      </c>
      <c r="J371" t="str" cm="1">
        <f t="array" ref="J371">_xlfn.IFS(C371&lt;5.7,"Normal",AND(C371&gt;=5.7,C371&lt;=6.49),"Prediabetes",C371&gt;=6.5,"Diabetes")</f>
        <v>Normal</v>
      </c>
    </row>
    <row r="372" spans="1:10" x14ac:dyDescent="0.3">
      <c r="A372" t="s">
        <v>2001</v>
      </c>
      <c r="B372" s="8">
        <v>16.86</v>
      </c>
      <c r="C372">
        <v>4.07</v>
      </c>
      <c r="D372" t="s">
        <v>2381</v>
      </c>
      <c r="E372" t="s">
        <v>2379</v>
      </c>
      <c r="F372" t="s">
        <v>2379</v>
      </c>
      <c r="G372">
        <v>0</v>
      </c>
      <c r="H372" t="s">
        <v>2381</v>
      </c>
      <c r="I372" t="str" cm="1">
        <f t="array" ref="I372">_xlfn.IFS(B372&lt;18.5,"Underweight",AND(B372&gt;=18.5,B372&lt;=24.99),"Normalweight",AND(B372&gt;=25,B372&lt;=29.99),"Overweight",B372&gt;=30,"Obesity")</f>
        <v>Underweight</v>
      </c>
      <c r="J372" t="str" cm="1">
        <f t="array" ref="J372">_xlfn.IFS(C372&lt;5.7,"Normal",AND(C372&gt;=5.7,C372&lt;=6.49),"Prediabetes",C372&gt;=6.5,"Diabetes")</f>
        <v>Normal</v>
      </c>
    </row>
    <row r="373" spans="1:10" x14ac:dyDescent="0.3">
      <c r="A373" t="s">
        <v>2000</v>
      </c>
      <c r="B373" s="8">
        <v>16.3</v>
      </c>
      <c r="C373">
        <v>5.51</v>
      </c>
      <c r="D373" t="s">
        <v>2379</v>
      </c>
      <c r="E373" t="s">
        <v>2379</v>
      </c>
      <c r="F373" t="s">
        <v>2379</v>
      </c>
      <c r="G373">
        <v>1</v>
      </c>
      <c r="H373" t="s">
        <v>2381</v>
      </c>
      <c r="I373" t="str" cm="1">
        <f t="array" ref="I373">_xlfn.IFS(B373&lt;18.5,"Underweight",AND(B373&gt;=18.5,B373&lt;=24.99),"Normalweight",AND(B373&gt;=25,B373&lt;=29.99),"Overweight",B373&gt;=30,"Obesity")</f>
        <v>Underweight</v>
      </c>
      <c r="J373" t="str" cm="1">
        <f t="array" ref="J373">_xlfn.IFS(C373&lt;5.7,"Normal",AND(C373&gt;=5.7,C373&lt;=6.49),"Prediabetes",C373&gt;=6.5,"Diabetes")</f>
        <v>Normal</v>
      </c>
    </row>
    <row r="374" spans="1:10" x14ac:dyDescent="0.3">
      <c r="A374" t="s">
        <v>1999</v>
      </c>
      <c r="B374" s="8">
        <v>29.81</v>
      </c>
      <c r="C374">
        <v>11.66</v>
      </c>
      <c r="D374" t="s">
        <v>2379</v>
      </c>
      <c r="E374" t="s">
        <v>2379</v>
      </c>
      <c r="F374" t="s">
        <v>2379</v>
      </c>
      <c r="G374">
        <v>0</v>
      </c>
      <c r="H374" t="s">
        <v>2381</v>
      </c>
      <c r="I374" t="str" cm="1">
        <f t="array" ref="I374">_xlfn.IFS(B374&lt;18.5,"Underweight",AND(B374&gt;=18.5,B374&lt;=24.99),"Normalweight",AND(B374&gt;=25,B374&lt;=29.99),"Overweight",B374&gt;=30,"Obesity")</f>
        <v>Overweight</v>
      </c>
      <c r="J374" t="str" cm="1">
        <f t="array" ref="J374">_xlfn.IFS(C374&lt;5.7,"Normal",AND(C374&gt;=5.7,C374&lt;=6.49),"Prediabetes",C374&gt;=6.5,"Diabetes")</f>
        <v>Diabetes</v>
      </c>
    </row>
    <row r="375" spans="1:10" x14ac:dyDescent="0.3">
      <c r="A375" t="s">
        <v>1998</v>
      </c>
      <c r="B375" s="8">
        <v>16.329999999999998</v>
      </c>
      <c r="C375">
        <v>7.26</v>
      </c>
      <c r="D375" t="s">
        <v>2381</v>
      </c>
      <c r="E375" t="s">
        <v>2379</v>
      </c>
      <c r="F375" t="s">
        <v>2379</v>
      </c>
      <c r="G375">
        <v>0</v>
      </c>
      <c r="H375" t="s">
        <v>2381</v>
      </c>
      <c r="I375" t="str" cm="1">
        <f t="array" ref="I375">_xlfn.IFS(B375&lt;18.5,"Underweight",AND(B375&gt;=18.5,B375&lt;=24.99),"Normalweight",AND(B375&gt;=25,B375&lt;=29.99),"Overweight",B375&gt;=30,"Obesity")</f>
        <v>Underweight</v>
      </c>
      <c r="J375" t="str" cm="1">
        <f t="array" ref="J375">_xlfn.IFS(C375&lt;5.7,"Normal",AND(C375&gt;=5.7,C375&lt;=6.49),"Prediabetes",C375&gt;=6.5,"Diabetes")</f>
        <v>Diabetes</v>
      </c>
    </row>
    <row r="376" spans="1:10" x14ac:dyDescent="0.3">
      <c r="A376" t="s">
        <v>1997</v>
      </c>
      <c r="B376" s="8">
        <v>16.37</v>
      </c>
      <c r="C376">
        <v>4.79</v>
      </c>
      <c r="D376" t="s">
        <v>2381</v>
      </c>
      <c r="E376" t="s">
        <v>2379</v>
      </c>
      <c r="F376" t="s">
        <v>2379</v>
      </c>
      <c r="G376">
        <v>0</v>
      </c>
      <c r="H376" t="s">
        <v>2381</v>
      </c>
      <c r="I376" t="str" cm="1">
        <f t="array" ref="I376">_xlfn.IFS(B376&lt;18.5,"Underweight",AND(B376&gt;=18.5,B376&lt;=24.99),"Normalweight",AND(B376&gt;=25,B376&lt;=29.99),"Overweight",B376&gt;=30,"Obesity")</f>
        <v>Underweight</v>
      </c>
      <c r="J376" t="str" cm="1">
        <f t="array" ref="J376">_xlfn.IFS(C376&lt;5.7,"Normal",AND(C376&gt;=5.7,C376&lt;=6.49),"Prediabetes",C376&gt;=6.5,"Diabetes")</f>
        <v>Normal</v>
      </c>
    </row>
    <row r="377" spans="1:10" x14ac:dyDescent="0.3">
      <c r="A377" t="s">
        <v>1996</v>
      </c>
      <c r="B377" s="8">
        <v>22.42</v>
      </c>
      <c r="C377">
        <v>4.68</v>
      </c>
      <c r="D377" t="s">
        <v>2381</v>
      </c>
      <c r="E377" t="s">
        <v>2379</v>
      </c>
      <c r="F377" t="s">
        <v>2379</v>
      </c>
      <c r="G377">
        <v>1</v>
      </c>
      <c r="H377" t="s">
        <v>2379</v>
      </c>
      <c r="I377" t="str" cm="1">
        <f t="array" ref="I377">_xlfn.IFS(B377&lt;18.5,"Underweight",AND(B377&gt;=18.5,B377&lt;=24.99),"Normalweight",AND(B377&gt;=25,B377&lt;=29.99),"Overweight",B377&gt;=30,"Obesity")</f>
        <v>Normalweight</v>
      </c>
      <c r="J377" t="str" cm="1">
        <f t="array" ref="J377">_xlfn.IFS(C377&lt;5.7,"Normal",AND(C377&gt;=5.7,C377&lt;=6.49),"Prediabetes",C377&gt;=6.5,"Diabetes")</f>
        <v>Normal</v>
      </c>
    </row>
    <row r="378" spans="1:10" x14ac:dyDescent="0.3">
      <c r="A378" t="s">
        <v>1995</v>
      </c>
      <c r="B378" s="8">
        <v>31.35</v>
      </c>
      <c r="C378">
        <v>4.33</v>
      </c>
      <c r="D378" t="s">
        <v>2381</v>
      </c>
      <c r="E378" t="s">
        <v>2379</v>
      </c>
      <c r="F378" t="s">
        <v>2381</v>
      </c>
      <c r="G378">
        <v>1</v>
      </c>
      <c r="H378" t="s">
        <v>2379</v>
      </c>
      <c r="I378" t="str" cm="1">
        <f t="array" ref="I378">_xlfn.IFS(B378&lt;18.5,"Underweight",AND(B378&gt;=18.5,B378&lt;=24.99),"Normalweight",AND(B378&gt;=25,B378&lt;=29.99),"Overweight",B378&gt;=30,"Obesity")</f>
        <v>Obesity</v>
      </c>
      <c r="J378" t="str" cm="1">
        <f t="array" ref="J378">_xlfn.IFS(C378&lt;5.7,"Normal",AND(C378&gt;=5.7,C378&lt;=6.49),"Prediabetes",C378&gt;=6.5,"Diabetes")</f>
        <v>Normal</v>
      </c>
    </row>
    <row r="379" spans="1:10" x14ac:dyDescent="0.3">
      <c r="A379" t="s">
        <v>1994</v>
      </c>
      <c r="B379" s="8">
        <v>31.9</v>
      </c>
      <c r="C379">
        <v>11.89</v>
      </c>
      <c r="D379" t="s">
        <v>2379</v>
      </c>
      <c r="E379" t="s">
        <v>2379</v>
      </c>
      <c r="F379" t="s">
        <v>2379</v>
      </c>
      <c r="G379">
        <v>0</v>
      </c>
      <c r="H379" t="s">
        <v>2379</v>
      </c>
      <c r="I379" t="str" cm="1">
        <f t="array" ref="I379">_xlfn.IFS(B379&lt;18.5,"Underweight",AND(B379&gt;=18.5,B379&lt;=24.99),"Normalweight",AND(B379&gt;=25,B379&lt;=29.99),"Overweight",B379&gt;=30,"Obesity")</f>
        <v>Obesity</v>
      </c>
      <c r="J379" t="str" cm="1">
        <f t="array" ref="J379">_xlfn.IFS(C379&lt;5.7,"Normal",AND(C379&gt;=5.7,C379&lt;=6.49),"Prediabetes",C379&gt;=6.5,"Diabetes")</f>
        <v>Diabetes</v>
      </c>
    </row>
    <row r="380" spans="1:10" x14ac:dyDescent="0.3">
      <c r="A380" t="s">
        <v>1993</v>
      </c>
      <c r="B380" s="8">
        <v>30.6</v>
      </c>
      <c r="C380">
        <v>5.24</v>
      </c>
      <c r="D380" t="s">
        <v>2379</v>
      </c>
      <c r="E380" t="s">
        <v>2379</v>
      </c>
      <c r="F380" t="s">
        <v>2379</v>
      </c>
      <c r="G380">
        <v>0</v>
      </c>
      <c r="H380" t="s">
        <v>2381</v>
      </c>
      <c r="I380" t="str" cm="1">
        <f t="array" ref="I380">_xlfn.IFS(B380&lt;18.5,"Underweight",AND(B380&gt;=18.5,B380&lt;=24.99),"Normalweight",AND(B380&gt;=25,B380&lt;=29.99),"Overweight",B380&gt;=30,"Obesity")</f>
        <v>Obesity</v>
      </c>
      <c r="J380" t="str" cm="1">
        <f t="array" ref="J380">_xlfn.IFS(C380&lt;5.7,"Normal",AND(C380&gt;=5.7,C380&lt;=6.49),"Prediabetes",C380&gt;=6.5,"Diabetes")</f>
        <v>Normal</v>
      </c>
    </row>
    <row r="381" spans="1:10" x14ac:dyDescent="0.3">
      <c r="A381" t="s">
        <v>1992</v>
      </c>
      <c r="B381" s="8">
        <v>28.975000000000001</v>
      </c>
      <c r="C381">
        <v>7.63</v>
      </c>
      <c r="D381" t="s">
        <v>2379</v>
      </c>
      <c r="E381" t="s">
        <v>2379</v>
      </c>
      <c r="F381" t="s">
        <v>2379</v>
      </c>
      <c r="G381">
        <v>0</v>
      </c>
      <c r="H381" t="s">
        <v>2381</v>
      </c>
      <c r="I381" t="str" cm="1">
        <f t="array" ref="I381">_xlfn.IFS(B381&lt;18.5,"Underweight",AND(B381&gt;=18.5,B381&lt;=24.99),"Normalweight",AND(B381&gt;=25,B381&lt;=29.99),"Overweight",B381&gt;=30,"Obesity")</f>
        <v>Overweight</v>
      </c>
      <c r="J381" t="str" cm="1">
        <f t="array" ref="J381">_xlfn.IFS(C381&lt;5.7,"Normal",AND(C381&gt;=5.7,C381&lt;=6.49),"Prediabetes",C381&gt;=6.5,"Diabetes")</f>
        <v>Diabetes</v>
      </c>
    </row>
    <row r="382" spans="1:10" x14ac:dyDescent="0.3">
      <c r="A382" t="s">
        <v>1991</v>
      </c>
      <c r="B382" s="8">
        <v>24.86</v>
      </c>
      <c r="C382">
        <v>8.92</v>
      </c>
      <c r="D382" t="s">
        <v>2381</v>
      </c>
      <c r="E382" t="s">
        <v>2379</v>
      </c>
      <c r="F382" t="s">
        <v>2379</v>
      </c>
      <c r="G382">
        <v>2</v>
      </c>
      <c r="H382" t="s">
        <v>2379</v>
      </c>
      <c r="I382" t="str" cm="1">
        <f t="array" ref="I382">_xlfn.IFS(B382&lt;18.5,"Underweight",AND(B382&gt;=18.5,B382&lt;=24.99),"Normalweight",AND(B382&gt;=25,B382&lt;=29.99),"Overweight",B382&gt;=30,"Obesity")</f>
        <v>Normalweight</v>
      </c>
      <c r="J382" t="str" cm="1">
        <f t="array" ref="J382">_xlfn.IFS(C382&lt;5.7,"Normal",AND(C382&gt;=5.7,C382&lt;=6.49),"Prediabetes",C382&gt;=6.5,"Diabetes")</f>
        <v>Diabetes</v>
      </c>
    </row>
    <row r="383" spans="1:10" x14ac:dyDescent="0.3">
      <c r="A383" t="s">
        <v>1990</v>
      </c>
      <c r="B383" s="8">
        <v>19.54</v>
      </c>
      <c r="C383">
        <v>5.37</v>
      </c>
      <c r="D383" t="s">
        <v>2379</v>
      </c>
      <c r="E383" t="s">
        <v>2379</v>
      </c>
      <c r="F383" t="s">
        <v>2379</v>
      </c>
      <c r="G383">
        <v>0</v>
      </c>
      <c r="H383" t="s">
        <v>2381</v>
      </c>
      <c r="I383" t="str" cm="1">
        <f t="array" ref="I383">_xlfn.IFS(B383&lt;18.5,"Underweight",AND(B383&gt;=18.5,B383&lt;=24.99),"Normalweight",AND(B383&gt;=25,B383&lt;=29.99),"Overweight",B383&gt;=30,"Obesity")</f>
        <v>Normalweight</v>
      </c>
      <c r="J383" t="str" cm="1">
        <f t="array" ref="J383">_xlfn.IFS(C383&lt;5.7,"Normal",AND(C383&gt;=5.7,C383&lt;=6.49),"Prediabetes",C383&gt;=6.5,"Diabetes")</f>
        <v>Normal</v>
      </c>
    </row>
    <row r="384" spans="1:10" x14ac:dyDescent="0.3">
      <c r="A384" t="s">
        <v>1989</v>
      </c>
      <c r="B384" s="8">
        <v>26.74</v>
      </c>
      <c r="C384">
        <v>4.3099999999999996</v>
      </c>
      <c r="D384" t="s">
        <v>2379</v>
      </c>
      <c r="E384" t="s">
        <v>2379</v>
      </c>
      <c r="F384" t="s">
        <v>2379</v>
      </c>
      <c r="G384">
        <v>0</v>
      </c>
      <c r="H384" t="s">
        <v>2381</v>
      </c>
      <c r="I384" t="str" cm="1">
        <f t="array" ref="I384">_xlfn.IFS(B384&lt;18.5,"Underweight",AND(B384&gt;=18.5,B384&lt;=24.99),"Normalweight",AND(B384&gt;=25,B384&lt;=29.99),"Overweight",B384&gt;=30,"Obesity")</f>
        <v>Overweight</v>
      </c>
      <c r="J384" t="str" cm="1">
        <f t="array" ref="J384">_xlfn.IFS(C384&lt;5.7,"Normal",AND(C384&gt;=5.7,C384&lt;=6.49),"Prediabetes",C384&gt;=6.5,"Diabetes")</f>
        <v>Normal</v>
      </c>
    </row>
    <row r="385" spans="1:10" x14ac:dyDescent="0.3">
      <c r="A385" t="s">
        <v>1988</v>
      </c>
      <c r="B385" s="8">
        <v>22.99</v>
      </c>
      <c r="C385">
        <v>10.46</v>
      </c>
      <c r="D385" t="s">
        <v>2379</v>
      </c>
      <c r="E385" t="s">
        <v>2379</v>
      </c>
      <c r="F385" t="s">
        <v>2379</v>
      </c>
      <c r="G385">
        <v>3</v>
      </c>
      <c r="H385" t="s">
        <v>2381</v>
      </c>
      <c r="I385" t="str" cm="1">
        <f t="array" ref="I385">_xlfn.IFS(B385&lt;18.5,"Underweight",AND(B385&gt;=18.5,B385&lt;=24.99),"Normalweight",AND(B385&gt;=25,B385&lt;=29.99),"Overweight",B385&gt;=30,"Obesity")</f>
        <v>Normalweight</v>
      </c>
      <c r="J385" t="str" cm="1">
        <f t="array" ref="J385">_xlfn.IFS(C385&lt;5.7,"Normal",AND(C385&gt;=5.7,C385&lt;=6.49),"Prediabetes",C385&gt;=6.5,"Diabetes")</f>
        <v>Diabetes</v>
      </c>
    </row>
    <row r="386" spans="1:10" x14ac:dyDescent="0.3">
      <c r="A386" t="s">
        <v>1987</v>
      </c>
      <c r="B386" s="8">
        <v>31.46</v>
      </c>
      <c r="C386">
        <v>7.39</v>
      </c>
      <c r="D386" t="s">
        <v>2379</v>
      </c>
      <c r="E386" t="s">
        <v>2379</v>
      </c>
      <c r="F386" t="s">
        <v>2379</v>
      </c>
      <c r="G386">
        <v>0</v>
      </c>
      <c r="H386" t="s">
        <v>2379</v>
      </c>
      <c r="I386" t="str" cm="1">
        <f t="array" ref="I386">_xlfn.IFS(B386&lt;18.5,"Underweight",AND(B386&gt;=18.5,B386&lt;=24.99),"Normalweight",AND(B386&gt;=25,B386&lt;=29.99),"Overweight",B386&gt;=30,"Obesity")</f>
        <v>Obesity</v>
      </c>
      <c r="J386" t="str" cm="1">
        <f t="array" ref="J386">_xlfn.IFS(C386&lt;5.7,"Normal",AND(C386&gt;=5.7,C386&lt;=6.49),"Prediabetes",C386&gt;=6.5,"Diabetes")</f>
        <v>Diabetes</v>
      </c>
    </row>
    <row r="387" spans="1:10" x14ac:dyDescent="0.3">
      <c r="A387" t="s">
        <v>1986</v>
      </c>
      <c r="B387" s="8">
        <v>30.86</v>
      </c>
      <c r="C387">
        <v>6.18</v>
      </c>
      <c r="D387" t="s">
        <v>2379</v>
      </c>
      <c r="E387" t="s">
        <v>2380</v>
      </c>
      <c r="F387" t="s">
        <v>2379</v>
      </c>
      <c r="G387">
        <v>2</v>
      </c>
      <c r="H387" t="s">
        <v>2381</v>
      </c>
      <c r="I387" t="str" cm="1">
        <f t="array" ref="I387">_xlfn.IFS(B387&lt;18.5,"Underweight",AND(B387&gt;=18.5,B387&lt;=24.99),"Normalweight",AND(B387&gt;=25,B387&lt;=29.99),"Overweight",B387&gt;=30,"Obesity")</f>
        <v>Obesity</v>
      </c>
      <c r="J387" t="str" cm="1">
        <f t="array" ref="J387">_xlfn.IFS(C387&lt;5.7,"Normal",AND(C387&gt;=5.7,C387&lt;=6.49),"Prediabetes",C387&gt;=6.5,"Diabetes")</f>
        <v>Prediabetes</v>
      </c>
    </row>
    <row r="388" spans="1:10" x14ac:dyDescent="0.3">
      <c r="A388" t="s">
        <v>1985</v>
      </c>
      <c r="B388" s="8">
        <v>31.96</v>
      </c>
      <c r="C388">
        <v>8.86</v>
      </c>
      <c r="D388" t="s">
        <v>2379</v>
      </c>
      <c r="E388" t="s">
        <v>2379</v>
      </c>
      <c r="F388" t="s">
        <v>2379</v>
      </c>
      <c r="G388">
        <v>0</v>
      </c>
      <c r="H388" t="s">
        <v>2381</v>
      </c>
      <c r="I388" t="str" cm="1">
        <f t="array" ref="I388">_xlfn.IFS(B388&lt;18.5,"Underweight",AND(B388&gt;=18.5,B388&lt;=24.99),"Normalweight",AND(B388&gt;=25,B388&lt;=29.99),"Overweight",B388&gt;=30,"Obesity")</f>
        <v>Obesity</v>
      </c>
      <c r="J388" t="str" cm="1">
        <f t="array" ref="J388">_xlfn.IFS(C388&lt;5.7,"Normal",AND(C388&gt;=5.7,C388&lt;=6.49),"Prediabetes",C388&gt;=6.5,"Diabetes")</f>
        <v>Diabetes</v>
      </c>
    </row>
    <row r="389" spans="1:10" x14ac:dyDescent="0.3">
      <c r="A389" t="s">
        <v>1984</v>
      </c>
      <c r="B389" s="8">
        <v>23.76</v>
      </c>
      <c r="C389">
        <v>10.96</v>
      </c>
      <c r="D389" t="s">
        <v>2379</v>
      </c>
      <c r="E389" t="s">
        <v>2379</v>
      </c>
      <c r="F389" t="s">
        <v>2379</v>
      </c>
      <c r="G389">
        <v>3</v>
      </c>
      <c r="H389" t="s">
        <v>2381</v>
      </c>
      <c r="I389" t="str" cm="1">
        <f t="array" ref="I389">_xlfn.IFS(B389&lt;18.5,"Underweight",AND(B389&gt;=18.5,B389&lt;=24.99),"Normalweight",AND(B389&gt;=25,B389&lt;=29.99),"Overweight",B389&gt;=30,"Obesity")</f>
        <v>Normalweight</v>
      </c>
      <c r="J389" t="str" cm="1">
        <f t="array" ref="J389">_xlfn.IFS(C389&lt;5.7,"Normal",AND(C389&gt;=5.7,C389&lt;=6.49),"Prediabetes",C389&gt;=6.5,"Diabetes")</f>
        <v>Diabetes</v>
      </c>
    </row>
    <row r="390" spans="1:10" x14ac:dyDescent="0.3">
      <c r="A390" t="s">
        <v>1983</v>
      </c>
      <c r="B390" s="8">
        <v>19.38</v>
      </c>
      <c r="C390">
        <v>6.28</v>
      </c>
      <c r="D390" t="s">
        <v>2379</v>
      </c>
      <c r="E390" t="s">
        <v>2379</v>
      </c>
      <c r="F390" t="s">
        <v>2379</v>
      </c>
      <c r="G390">
        <v>0</v>
      </c>
      <c r="H390" t="s">
        <v>2381</v>
      </c>
      <c r="I390" t="str" cm="1">
        <f t="array" ref="I390">_xlfn.IFS(B390&lt;18.5,"Underweight",AND(B390&gt;=18.5,B390&lt;=24.99),"Normalweight",AND(B390&gt;=25,B390&lt;=29.99),"Overweight",B390&gt;=30,"Obesity")</f>
        <v>Normalweight</v>
      </c>
      <c r="J390" t="str" cm="1">
        <f t="array" ref="J390">_xlfn.IFS(C390&lt;5.7,"Normal",AND(C390&gt;=5.7,C390&lt;=6.49),"Prediabetes",C390&gt;=6.5,"Diabetes")</f>
        <v>Prediabetes</v>
      </c>
    </row>
    <row r="391" spans="1:10" x14ac:dyDescent="0.3">
      <c r="A391" t="s">
        <v>1982</v>
      </c>
      <c r="B391" s="8">
        <v>16.21</v>
      </c>
      <c r="C391">
        <v>6.29</v>
      </c>
      <c r="D391" t="s">
        <v>2381</v>
      </c>
      <c r="E391" t="s">
        <v>2379</v>
      </c>
      <c r="F391" t="s">
        <v>2379</v>
      </c>
      <c r="G391">
        <v>1</v>
      </c>
      <c r="H391" t="s">
        <v>2381</v>
      </c>
      <c r="I391" t="str" cm="1">
        <f t="array" ref="I391">_xlfn.IFS(B391&lt;18.5,"Underweight",AND(B391&gt;=18.5,B391&lt;=24.99),"Normalweight",AND(B391&gt;=25,B391&lt;=29.99),"Overweight",B391&gt;=30,"Obesity")</f>
        <v>Underweight</v>
      </c>
      <c r="J391" t="str" cm="1">
        <f t="array" ref="J391">_xlfn.IFS(C391&lt;5.7,"Normal",AND(C391&gt;=5.7,C391&lt;=6.49),"Prediabetes",C391&gt;=6.5,"Diabetes")</f>
        <v>Prediabetes</v>
      </c>
    </row>
    <row r="392" spans="1:10" x14ac:dyDescent="0.3">
      <c r="A392" t="s">
        <v>1981</v>
      </c>
      <c r="B392" s="8">
        <v>32.54</v>
      </c>
      <c r="C392">
        <v>4.0199999999999996</v>
      </c>
      <c r="D392" t="s">
        <v>2379</v>
      </c>
      <c r="E392" t="s">
        <v>2380</v>
      </c>
      <c r="F392" t="s">
        <v>2379</v>
      </c>
      <c r="G392">
        <v>1</v>
      </c>
      <c r="H392" t="s">
        <v>2381</v>
      </c>
      <c r="I392" t="str" cm="1">
        <f t="array" ref="I392">_xlfn.IFS(B392&lt;18.5,"Underweight",AND(B392&gt;=18.5,B392&lt;=24.99),"Normalweight",AND(B392&gt;=25,B392&lt;=29.99),"Overweight",B392&gt;=30,"Obesity")</f>
        <v>Obesity</v>
      </c>
      <c r="J392" t="str" cm="1">
        <f t="array" ref="J392">_xlfn.IFS(C392&lt;5.7,"Normal",AND(C392&gt;=5.7,C392&lt;=6.49),"Prediabetes",C392&gt;=6.5,"Diabetes")</f>
        <v>Normal</v>
      </c>
    </row>
    <row r="393" spans="1:10" x14ac:dyDescent="0.3">
      <c r="A393" t="s">
        <v>1980</v>
      </c>
      <c r="B393" s="8">
        <v>36.765000000000001</v>
      </c>
      <c r="C393">
        <v>11.95</v>
      </c>
      <c r="D393" t="s">
        <v>2381</v>
      </c>
      <c r="E393" t="s">
        <v>2379</v>
      </c>
      <c r="F393" t="s">
        <v>2379</v>
      </c>
      <c r="G393">
        <v>2</v>
      </c>
      <c r="H393" t="s">
        <v>2379</v>
      </c>
      <c r="I393" t="str" cm="1">
        <f t="array" ref="I393">_xlfn.IFS(B393&lt;18.5,"Underweight",AND(B393&gt;=18.5,B393&lt;=24.99),"Normalweight",AND(B393&gt;=25,B393&lt;=29.99),"Overweight",B393&gt;=30,"Obesity")</f>
        <v>Obesity</v>
      </c>
      <c r="J393" t="str" cm="1">
        <f t="array" ref="J393">_xlfn.IFS(C393&lt;5.7,"Normal",AND(C393&gt;=5.7,C393&lt;=6.49),"Prediabetes",C393&gt;=6.5,"Diabetes")</f>
        <v>Diabetes</v>
      </c>
    </row>
    <row r="394" spans="1:10" x14ac:dyDescent="0.3">
      <c r="A394" t="s">
        <v>1979</v>
      </c>
      <c r="B394" s="8">
        <v>35.909999999999997</v>
      </c>
      <c r="C394">
        <v>8.7100000000000009</v>
      </c>
      <c r="D394" t="s">
        <v>2379</v>
      </c>
      <c r="E394" t="s">
        <v>2379</v>
      </c>
      <c r="F394" t="s">
        <v>2379</v>
      </c>
      <c r="G394">
        <v>0</v>
      </c>
      <c r="H394" t="s">
        <v>2379</v>
      </c>
      <c r="I394" t="str" cm="1">
        <f t="array" ref="I394">_xlfn.IFS(B394&lt;18.5,"Underweight",AND(B394&gt;=18.5,B394&lt;=24.99),"Normalweight",AND(B394&gt;=25,B394&lt;=29.99),"Overweight",B394&gt;=30,"Obesity")</f>
        <v>Obesity</v>
      </c>
      <c r="J394" t="str" cm="1">
        <f t="array" ref="J394">_xlfn.IFS(C394&lt;5.7,"Normal",AND(C394&gt;=5.7,C394&lt;=6.49),"Prediabetes",C394&gt;=6.5,"Diabetes")</f>
        <v>Diabetes</v>
      </c>
    </row>
    <row r="395" spans="1:10" x14ac:dyDescent="0.3">
      <c r="A395" t="s">
        <v>1978</v>
      </c>
      <c r="B395" s="8">
        <v>32.06</v>
      </c>
      <c r="C395">
        <v>4.67</v>
      </c>
      <c r="D395" t="s">
        <v>2379</v>
      </c>
      <c r="E395" t="s">
        <v>2380</v>
      </c>
      <c r="F395" t="s">
        <v>2379</v>
      </c>
      <c r="G395">
        <v>1</v>
      </c>
      <c r="H395" t="s">
        <v>2381</v>
      </c>
      <c r="I395" t="str" cm="1">
        <f t="array" ref="I395">_xlfn.IFS(B395&lt;18.5,"Underweight",AND(B395&gt;=18.5,B395&lt;=24.99),"Normalweight",AND(B395&gt;=25,B395&lt;=29.99),"Overweight",B395&gt;=30,"Obesity")</f>
        <v>Obesity</v>
      </c>
      <c r="J395" t="str" cm="1">
        <f t="array" ref="J395">_xlfn.IFS(C395&lt;5.7,"Normal",AND(C395&gt;=5.7,C395&lt;=6.49),"Prediabetes",C395&gt;=6.5,"Diabetes")</f>
        <v>Normal</v>
      </c>
    </row>
    <row r="396" spans="1:10" x14ac:dyDescent="0.3">
      <c r="A396" t="s">
        <v>1977</v>
      </c>
      <c r="B396" s="8">
        <v>24.1</v>
      </c>
      <c r="C396">
        <v>11.14</v>
      </c>
      <c r="D396" t="s">
        <v>2381</v>
      </c>
      <c r="E396" t="s">
        <v>2379</v>
      </c>
      <c r="F396" t="s">
        <v>2379</v>
      </c>
      <c r="G396">
        <v>1</v>
      </c>
      <c r="H396" t="s">
        <v>2379</v>
      </c>
      <c r="I396" t="str" cm="1">
        <f t="array" ref="I396">_xlfn.IFS(B396&lt;18.5,"Underweight",AND(B396&gt;=18.5,B396&lt;=24.99),"Normalweight",AND(B396&gt;=25,B396&lt;=29.99),"Overweight",B396&gt;=30,"Obesity")</f>
        <v>Normalweight</v>
      </c>
      <c r="J396" t="str" cm="1">
        <f t="array" ref="J396">_xlfn.IFS(C396&lt;5.7,"Normal",AND(C396&gt;=5.7,C396&lt;=6.49),"Prediabetes",C396&gt;=6.5,"Diabetes")</f>
        <v>Diabetes</v>
      </c>
    </row>
    <row r="397" spans="1:10" x14ac:dyDescent="0.3">
      <c r="A397" t="s">
        <v>1976</v>
      </c>
      <c r="B397" s="8">
        <v>27.1</v>
      </c>
      <c r="C397">
        <v>9.0500000000000007</v>
      </c>
      <c r="D397" t="s">
        <v>2379</v>
      </c>
      <c r="E397" t="s">
        <v>2379</v>
      </c>
      <c r="F397" t="s">
        <v>2379</v>
      </c>
      <c r="G397">
        <v>2</v>
      </c>
      <c r="H397" t="s">
        <v>2379</v>
      </c>
      <c r="I397" t="str" cm="1">
        <f t="array" ref="I397">_xlfn.IFS(B397&lt;18.5,"Underweight",AND(B397&gt;=18.5,B397&lt;=24.99),"Normalweight",AND(B397&gt;=25,B397&lt;=29.99),"Overweight",B397&gt;=30,"Obesity")</f>
        <v>Overweight</v>
      </c>
      <c r="J397" t="str" cm="1">
        <f t="array" ref="J397">_xlfn.IFS(C397&lt;5.7,"Normal",AND(C397&gt;=5.7,C397&lt;=6.49),"Prediabetes",C397&gt;=6.5,"Diabetes")</f>
        <v>Diabetes</v>
      </c>
    </row>
    <row r="398" spans="1:10" x14ac:dyDescent="0.3">
      <c r="A398" t="s">
        <v>1975</v>
      </c>
      <c r="B398" s="8">
        <v>24.42</v>
      </c>
      <c r="C398">
        <v>11.31</v>
      </c>
      <c r="D398" t="s">
        <v>2379</v>
      </c>
      <c r="E398" t="s">
        <v>2379</v>
      </c>
      <c r="F398" t="s">
        <v>2379</v>
      </c>
      <c r="G398">
        <v>0</v>
      </c>
      <c r="H398" t="s">
        <v>2381</v>
      </c>
      <c r="I398" t="str" cm="1">
        <f t="array" ref="I398">_xlfn.IFS(B398&lt;18.5,"Underweight",AND(B398&gt;=18.5,B398&lt;=24.99),"Normalweight",AND(B398&gt;=25,B398&lt;=29.99),"Overweight",B398&gt;=30,"Obesity")</f>
        <v>Normalweight</v>
      </c>
      <c r="J398" t="str" cm="1">
        <f t="array" ref="J398">_xlfn.IFS(C398&lt;5.7,"Normal",AND(C398&gt;=5.7,C398&lt;=6.49),"Prediabetes",C398&gt;=6.5,"Diabetes")</f>
        <v>Diabetes</v>
      </c>
    </row>
    <row r="399" spans="1:10" x14ac:dyDescent="0.3">
      <c r="A399" t="s">
        <v>1974</v>
      </c>
      <c r="B399" s="8">
        <v>26.695</v>
      </c>
      <c r="C399">
        <v>4.68</v>
      </c>
      <c r="D399" t="s">
        <v>2381</v>
      </c>
      <c r="E399" t="s">
        <v>2379</v>
      </c>
      <c r="F399" t="s">
        <v>2379</v>
      </c>
      <c r="G399">
        <v>2</v>
      </c>
      <c r="H399" t="s">
        <v>2381</v>
      </c>
      <c r="I399" t="str" cm="1">
        <f t="array" ref="I399">_xlfn.IFS(B399&lt;18.5,"Underweight",AND(B399&gt;=18.5,B399&lt;=24.99),"Normalweight",AND(B399&gt;=25,B399&lt;=29.99),"Overweight",B399&gt;=30,"Obesity")</f>
        <v>Overweight</v>
      </c>
      <c r="J399" t="str" cm="1">
        <f t="array" ref="J399">_xlfn.IFS(C399&lt;5.7,"Normal",AND(C399&gt;=5.7,C399&lt;=6.49),"Prediabetes",C399&gt;=6.5,"Diabetes")</f>
        <v>Normal</v>
      </c>
    </row>
    <row r="400" spans="1:10" x14ac:dyDescent="0.3">
      <c r="A400" t="s">
        <v>1973</v>
      </c>
      <c r="B400" s="8">
        <v>27.79</v>
      </c>
      <c r="C400">
        <v>6.05</v>
      </c>
      <c r="D400" t="s">
        <v>2381</v>
      </c>
      <c r="E400" t="s">
        <v>2380</v>
      </c>
      <c r="F400" t="s">
        <v>2379</v>
      </c>
      <c r="G400">
        <v>1</v>
      </c>
      <c r="H400" t="s">
        <v>2381</v>
      </c>
      <c r="I400" t="str" cm="1">
        <f t="array" ref="I400">_xlfn.IFS(B400&lt;18.5,"Underweight",AND(B400&gt;=18.5,B400&lt;=24.99),"Normalweight",AND(B400&gt;=25,B400&lt;=29.99),"Overweight",B400&gt;=30,"Obesity")</f>
        <v>Overweight</v>
      </c>
      <c r="J400" t="str" cm="1">
        <f t="array" ref="J400">_xlfn.IFS(C400&lt;5.7,"Normal",AND(C400&gt;=5.7,C400&lt;=6.49),"Prediabetes",C400&gt;=6.5,"Diabetes")</f>
        <v>Prediabetes</v>
      </c>
    </row>
    <row r="401" spans="1:10" x14ac:dyDescent="0.3">
      <c r="A401" t="s">
        <v>1972</v>
      </c>
      <c r="B401" s="8">
        <v>32.68</v>
      </c>
      <c r="C401">
        <v>4.68</v>
      </c>
      <c r="D401" t="s">
        <v>2381</v>
      </c>
      <c r="E401" t="s">
        <v>2379</v>
      </c>
      <c r="F401" t="s">
        <v>2379</v>
      </c>
      <c r="G401">
        <v>0</v>
      </c>
      <c r="H401" t="s">
        <v>2379</v>
      </c>
      <c r="I401" t="str" cm="1">
        <f t="array" ref="I401">_xlfn.IFS(B401&lt;18.5,"Underweight",AND(B401&gt;=18.5,B401&lt;=24.99),"Normalweight",AND(B401&gt;=25,B401&lt;=29.99),"Overweight",B401&gt;=30,"Obesity")</f>
        <v>Obesity</v>
      </c>
      <c r="J401" t="str" cm="1">
        <f t="array" ref="J401">_xlfn.IFS(C401&lt;5.7,"Normal",AND(C401&gt;=5.7,C401&lt;=6.49),"Prediabetes",C401&gt;=6.5,"Diabetes")</f>
        <v>Normal</v>
      </c>
    </row>
    <row r="402" spans="1:10" x14ac:dyDescent="0.3">
      <c r="A402" t="s">
        <v>1971</v>
      </c>
      <c r="B402" s="8">
        <v>26.4</v>
      </c>
      <c r="C402">
        <v>9.5</v>
      </c>
      <c r="D402" t="s">
        <v>2381</v>
      </c>
      <c r="E402" t="s">
        <v>2379</v>
      </c>
      <c r="F402" t="s">
        <v>2379</v>
      </c>
      <c r="G402">
        <v>2</v>
      </c>
      <c r="H402" t="s">
        <v>2379</v>
      </c>
      <c r="I402" t="str" cm="1">
        <f t="array" ref="I402">_xlfn.IFS(B402&lt;18.5,"Underweight",AND(B402&gt;=18.5,B402&lt;=24.99),"Normalweight",AND(B402&gt;=25,B402&lt;=29.99),"Overweight",B402&gt;=30,"Obesity")</f>
        <v>Overweight</v>
      </c>
      <c r="J402" t="str" cm="1">
        <f t="array" ref="J402">_xlfn.IFS(C402&lt;5.7,"Normal",AND(C402&gt;=5.7,C402&lt;=6.49),"Prediabetes",C402&gt;=6.5,"Diabetes")</f>
        <v>Diabetes</v>
      </c>
    </row>
    <row r="403" spans="1:10" x14ac:dyDescent="0.3">
      <c r="A403" t="s">
        <v>1970</v>
      </c>
      <c r="B403" s="8">
        <v>23.655000000000001</v>
      </c>
      <c r="C403">
        <v>10.84</v>
      </c>
      <c r="D403" t="s">
        <v>2381</v>
      </c>
      <c r="E403" t="s">
        <v>2379</v>
      </c>
      <c r="F403" t="s">
        <v>2381</v>
      </c>
      <c r="G403">
        <v>1</v>
      </c>
      <c r="H403" t="s">
        <v>2381</v>
      </c>
      <c r="I403" t="str" cm="1">
        <f t="array" ref="I403">_xlfn.IFS(B403&lt;18.5,"Underweight",AND(B403&gt;=18.5,B403&lt;=24.99),"Normalweight",AND(B403&gt;=25,B403&lt;=29.99),"Overweight",B403&gt;=30,"Obesity")</f>
        <v>Normalweight</v>
      </c>
      <c r="J403" t="str" cm="1">
        <f t="array" ref="J403">_xlfn.IFS(C403&lt;5.7,"Normal",AND(C403&gt;=5.7,C403&lt;=6.49),"Prediabetes",C403&gt;=6.5,"Diabetes")</f>
        <v>Diabetes</v>
      </c>
    </row>
    <row r="404" spans="1:10" x14ac:dyDescent="0.3">
      <c r="A404" t="s">
        <v>1969</v>
      </c>
      <c r="B404" s="8">
        <v>27.36</v>
      </c>
      <c r="C404">
        <v>5.88</v>
      </c>
      <c r="D404" t="s">
        <v>2379</v>
      </c>
      <c r="E404" t="s">
        <v>2379</v>
      </c>
      <c r="F404" t="s">
        <v>2379</v>
      </c>
      <c r="G404">
        <v>2</v>
      </c>
      <c r="H404" t="s">
        <v>2379</v>
      </c>
      <c r="I404" t="str" cm="1">
        <f t="array" ref="I404">_xlfn.IFS(B404&lt;18.5,"Underweight",AND(B404&gt;=18.5,B404&lt;=24.99),"Normalweight",AND(B404&gt;=25,B404&lt;=29.99),"Overweight",B404&gt;=30,"Obesity")</f>
        <v>Overweight</v>
      </c>
      <c r="J404" t="str" cm="1">
        <f t="array" ref="J404">_xlfn.IFS(C404&lt;5.7,"Normal",AND(C404&gt;=5.7,C404&lt;=6.49),"Prediabetes",C404&gt;=6.5,"Diabetes")</f>
        <v>Prediabetes</v>
      </c>
    </row>
    <row r="405" spans="1:10" x14ac:dyDescent="0.3">
      <c r="A405" t="s">
        <v>1968</v>
      </c>
      <c r="B405" s="8">
        <v>27.82</v>
      </c>
      <c r="C405">
        <v>5.24</v>
      </c>
      <c r="D405" t="s">
        <v>2381</v>
      </c>
      <c r="E405" t="s">
        <v>2379</v>
      </c>
      <c r="F405" t="s">
        <v>2379</v>
      </c>
      <c r="G405">
        <v>0</v>
      </c>
      <c r="H405" t="s">
        <v>2381</v>
      </c>
      <c r="I405" t="str" cm="1">
        <f t="array" ref="I405">_xlfn.IFS(B405&lt;18.5,"Underweight",AND(B405&gt;=18.5,B405&lt;=24.99),"Normalweight",AND(B405&gt;=25,B405&lt;=29.99),"Overweight",B405&gt;=30,"Obesity")</f>
        <v>Overweight</v>
      </c>
      <c r="J405" t="str" cm="1">
        <f t="array" ref="J405">_xlfn.IFS(C405&lt;5.7,"Normal",AND(C405&gt;=5.7,C405&lt;=6.49),"Prediabetes",C405&gt;=6.5,"Diabetes")</f>
        <v>Normal</v>
      </c>
    </row>
    <row r="406" spans="1:10" x14ac:dyDescent="0.3">
      <c r="A406" t="s">
        <v>1967</v>
      </c>
      <c r="B406" s="8">
        <v>25.46</v>
      </c>
      <c r="C406">
        <v>11.75</v>
      </c>
      <c r="D406" t="s">
        <v>2379</v>
      </c>
      <c r="E406" t="s">
        <v>2379</v>
      </c>
      <c r="F406" t="s">
        <v>2379</v>
      </c>
      <c r="G406">
        <v>0</v>
      </c>
      <c r="H406" t="s">
        <v>2379</v>
      </c>
      <c r="I406" t="str" cm="1">
        <f t="array" ref="I406">_xlfn.IFS(B406&lt;18.5,"Underweight",AND(B406&gt;=18.5,B406&lt;=24.99),"Normalweight",AND(B406&gt;=25,B406&lt;=29.99),"Overweight",B406&gt;=30,"Obesity")</f>
        <v>Overweight</v>
      </c>
      <c r="J406" t="str" cm="1">
        <f t="array" ref="J406">_xlfn.IFS(C406&lt;5.7,"Normal",AND(C406&gt;=5.7,C406&lt;=6.49),"Prediabetes",C406&gt;=6.5,"Diabetes")</f>
        <v>Diabetes</v>
      </c>
    </row>
    <row r="407" spans="1:10" x14ac:dyDescent="0.3">
      <c r="A407" t="s">
        <v>1966</v>
      </c>
      <c r="B407" s="8">
        <v>25.1</v>
      </c>
      <c r="C407">
        <v>6.97</v>
      </c>
      <c r="D407" t="s">
        <v>2379</v>
      </c>
      <c r="E407" t="s">
        <v>2379</v>
      </c>
      <c r="F407" t="s">
        <v>2379</v>
      </c>
      <c r="G407">
        <v>0</v>
      </c>
      <c r="H407" t="s">
        <v>2381</v>
      </c>
      <c r="I407" t="str" cm="1">
        <f t="array" ref="I407">_xlfn.IFS(B407&lt;18.5,"Underweight",AND(B407&gt;=18.5,B407&lt;=24.99),"Normalweight",AND(B407&gt;=25,B407&lt;=29.99),"Overweight",B407&gt;=30,"Obesity")</f>
        <v>Overweight</v>
      </c>
      <c r="J407" t="str" cm="1">
        <f t="array" ref="J407">_xlfn.IFS(C407&lt;5.7,"Normal",AND(C407&gt;=5.7,C407&lt;=6.49),"Prediabetes",C407&gt;=6.5,"Diabetes")</f>
        <v>Diabetes</v>
      </c>
    </row>
    <row r="408" spans="1:10" x14ac:dyDescent="0.3">
      <c r="A408" t="s">
        <v>1965</v>
      </c>
      <c r="B408" s="8">
        <v>32.11</v>
      </c>
      <c r="C408">
        <v>4.76</v>
      </c>
      <c r="D408" t="s">
        <v>2379</v>
      </c>
      <c r="E408" t="s">
        <v>2379</v>
      </c>
      <c r="F408" t="s">
        <v>2379</v>
      </c>
      <c r="G408">
        <v>2</v>
      </c>
      <c r="H408" t="s">
        <v>2379</v>
      </c>
      <c r="I408" t="str" cm="1">
        <f t="array" ref="I408">_xlfn.IFS(B408&lt;18.5,"Underweight",AND(B408&gt;=18.5,B408&lt;=24.99),"Normalweight",AND(B408&gt;=25,B408&lt;=29.99),"Overweight",B408&gt;=30,"Obesity")</f>
        <v>Obesity</v>
      </c>
      <c r="J408" t="str" cm="1">
        <f t="array" ref="J408">_xlfn.IFS(C408&lt;5.7,"Normal",AND(C408&gt;=5.7,C408&lt;=6.49),"Prediabetes",C408&gt;=6.5,"Diabetes")</f>
        <v>Normal</v>
      </c>
    </row>
    <row r="409" spans="1:10" x14ac:dyDescent="0.3">
      <c r="A409" t="s">
        <v>1964</v>
      </c>
      <c r="B409" s="8">
        <v>29.8</v>
      </c>
      <c r="C409">
        <v>8.24</v>
      </c>
      <c r="D409" t="s">
        <v>2381</v>
      </c>
      <c r="E409" t="s">
        <v>2379</v>
      </c>
      <c r="F409" t="s">
        <v>2379</v>
      </c>
      <c r="G409">
        <v>1</v>
      </c>
      <c r="H409" t="s">
        <v>2381</v>
      </c>
      <c r="I409" t="str" cm="1">
        <f t="array" ref="I409">_xlfn.IFS(B409&lt;18.5,"Underweight",AND(B409&gt;=18.5,B409&lt;=24.99),"Normalweight",AND(B409&gt;=25,B409&lt;=29.99),"Overweight",B409&gt;=30,"Obesity")</f>
        <v>Overweight</v>
      </c>
      <c r="J409" t="str" cm="1">
        <f t="array" ref="J409">_xlfn.IFS(C409&lt;5.7,"Normal",AND(C409&gt;=5.7,C409&lt;=6.49),"Prediabetes",C409&gt;=6.5,"Diabetes")</f>
        <v>Diabetes</v>
      </c>
    </row>
    <row r="410" spans="1:10" x14ac:dyDescent="0.3">
      <c r="A410" t="s">
        <v>1963</v>
      </c>
      <c r="B410" s="8">
        <v>24.01</v>
      </c>
      <c r="C410">
        <v>4.76</v>
      </c>
      <c r="D410" t="s">
        <v>2379</v>
      </c>
      <c r="E410" t="s">
        <v>2379</v>
      </c>
      <c r="F410" t="s">
        <v>2379</v>
      </c>
      <c r="G410">
        <v>1</v>
      </c>
      <c r="H410" t="s">
        <v>2381</v>
      </c>
      <c r="I410" t="str" cm="1">
        <f t="array" ref="I410">_xlfn.IFS(B410&lt;18.5,"Underweight",AND(B410&gt;=18.5,B410&lt;=24.99),"Normalweight",AND(B410&gt;=25,B410&lt;=29.99),"Overweight",B410&gt;=30,"Obesity")</f>
        <v>Normalweight</v>
      </c>
      <c r="J410" t="str" cm="1">
        <f t="array" ref="J410">_xlfn.IFS(C410&lt;5.7,"Normal",AND(C410&gt;=5.7,C410&lt;=6.49),"Prediabetes",C410&gt;=6.5,"Diabetes")</f>
        <v>Normal</v>
      </c>
    </row>
    <row r="411" spans="1:10" x14ac:dyDescent="0.3">
      <c r="A411" t="s">
        <v>1962</v>
      </c>
      <c r="B411" s="8">
        <v>23.21</v>
      </c>
      <c r="C411">
        <v>6.03</v>
      </c>
      <c r="D411" t="s">
        <v>2379</v>
      </c>
      <c r="E411" t="s">
        <v>2379</v>
      </c>
      <c r="F411" t="s">
        <v>2379</v>
      </c>
      <c r="G411">
        <v>1</v>
      </c>
      <c r="H411" t="s">
        <v>2379</v>
      </c>
      <c r="I411" t="str" cm="1">
        <f t="array" ref="I411">_xlfn.IFS(B411&lt;18.5,"Underweight",AND(B411&gt;=18.5,B411&lt;=24.99),"Normalweight",AND(B411&gt;=25,B411&lt;=29.99),"Overweight",B411&gt;=30,"Obesity")</f>
        <v>Normalweight</v>
      </c>
      <c r="J411" t="str" cm="1">
        <f t="array" ref="J411">_xlfn.IFS(C411&lt;5.7,"Normal",AND(C411&gt;=5.7,C411&lt;=6.49),"Prediabetes",C411&gt;=6.5,"Diabetes")</f>
        <v>Prediabetes</v>
      </c>
    </row>
    <row r="412" spans="1:10" x14ac:dyDescent="0.3">
      <c r="A412" t="s">
        <v>1961</v>
      </c>
      <c r="B412" s="8">
        <v>21.2</v>
      </c>
      <c r="C412">
        <v>4.07</v>
      </c>
      <c r="D412" t="s">
        <v>2381</v>
      </c>
      <c r="E412" t="s">
        <v>2379</v>
      </c>
      <c r="F412" t="s">
        <v>2379</v>
      </c>
      <c r="G412">
        <v>1</v>
      </c>
      <c r="H412" t="s">
        <v>2381</v>
      </c>
      <c r="I412" t="str" cm="1">
        <f t="array" ref="I412">_xlfn.IFS(B412&lt;18.5,"Underweight",AND(B412&gt;=18.5,B412&lt;=24.99),"Normalweight",AND(B412&gt;=25,B412&lt;=29.99),"Overweight",B412&gt;=30,"Obesity")</f>
        <v>Normalweight</v>
      </c>
      <c r="J412" t="str" cm="1">
        <f t="array" ref="J412">_xlfn.IFS(C412&lt;5.7,"Normal",AND(C412&gt;=5.7,C412&lt;=6.49),"Prediabetes",C412&gt;=6.5,"Diabetes")</f>
        <v>Normal</v>
      </c>
    </row>
    <row r="413" spans="1:10" x14ac:dyDescent="0.3">
      <c r="A413" t="s">
        <v>1960</v>
      </c>
      <c r="B413" s="8">
        <v>28.215</v>
      </c>
      <c r="C413">
        <v>8.26</v>
      </c>
      <c r="D413" t="s">
        <v>2381</v>
      </c>
      <c r="E413" t="s">
        <v>2379</v>
      </c>
      <c r="F413" t="s">
        <v>2379</v>
      </c>
      <c r="G413">
        <v>1</v>
      </c>
      <c r="H413" t="s">
        <v>2381</v>
      </c>
      <c r="I413" t="str" cm="1">
        <f t="array" ref="I413">_xlfn.IFS(B413&lt;18.5,"Underweight",AND(B413&gt;=18.5,B413&lt;=24.99),"Normalweight",AND(B413&gt;=25,B413&lt;=29.99),"Overweight",B413&gt;=30,"Obesity")</f>
        <v>Overweight</v>
      </c>
      <c r="J413" t="str" cm="1">
        <f t="array" ref="J413">_xlfn.IFS(C413&lt;5.7,"Normal",AND(C413&gt;=5.7,C413&lt;=6.49),"Prediabetes",C413&gt;=6.5,"Diabetes")</f>
        <v>Diabetes</v>
      </c>
    </row>
    <row r="414" spans="1:10" x14ac:dyDescent="0.3">
      <c r="A414" t="s">
        <v>1959</v>
      </c>
      <c r="B414" s="8">
        <v>38.094999999999999</v>
      </c>
      <c r="C414">
        <v>4.76</v>
      </c>
      <c r="D414" t="s">
        <v>2379</v>
      </c>
      <c r="E414" t="s">
        <v>2379</v>
      </c>
      <c r="F414" t="s">
        <v>2379</v>
      </c>
      <c r="G414">
        <v>1</v>
      </c>
      <c r="H414" t="s">
        <v>2379</v>
      </c>
      <c r="I414" t="str" cm="1">
        <f t="array" ref="I414">_xlfn.IFS(B414&lt;18.5,"Underweight",AND(B414&gt;=18.5,B414&lt;=24.99),"Normalweight",AND(B414&gt;=25,B414&lt;=29.99),"Overweight",B414&gt;=30,"Obesity")</f>
        <v>Obesity</v>
      </c>
      <c r="J414" t="str" cm="1">
        <f t="array" ref="J414">_xlfn.IFS(C414&lt;5.7,"Normal",AND(C414&gt;=5.7,C414&lt;=6.49),"Prediabetes",C414&gt;=6.5,"Diabetes")</f>
        <v>Normal</v>
      </c>
    </row>
    <row r="415" spans="1:10" x14ac:dyDescent="0.3">
      <c r="A415" t="s">
        <v>1958</v>
      </c>
      <c r="B415" s="8">
        <v>22.61</v>
      </c>
      <c r="C415">
        <v>6.13</v>
      </c>
      <c r="D415" t="s">
        <v>2381</v>
      </c>
      <c r="E415" t="s">
        <v>2379</v>
      </c>
      <c r="F415" t="s">
        <v>2381</v>
      </c>
      <c r="G415">
        <v>1</v>
      </c>
      <c r="H415" t="s">
        <v>2381</v>
      </c>
      <c r="I415" t="str" cm="1">
        <f t="array" ref="I415">_xlfn.IFS(B415&lt;18.5,"Underweight",AND(B415&gt;=18.5,B415&lt;=24.99),"Normalweight",AND(B415&gt;=25,B415&lt;=29.99),"Overweight",B415&gt;=30,"Obesity")</f>
        <v>Normalweight</v>
      </c>
      <c r="J415" t="str" cm="1">
        <f t="array" ref="J415">_xlfn.IFS(C415&lt;5.7,"Normal",AND(C415&gt;=5.7,C415&lt;=6.49),"Prediabetes",C415&gt;=6.5,"Diabetes")</f>
        <v>Prediabetes</v>
      </c>
    </row>
    <row r="416" spans="1:10" x14ac:dyDescent="0.3">
      <c r="A416" t="s">
        <v>1957</v>
      </c>
      <c r="B416" s="8">
        <v>24.32</v>
      </c>
      <c r="C416">
        <v>10.47</v>
      </c>
      <c r="D416" t="s">
        <v>2381</v>
      </c>
      <c r="E416" t="s">
        <v>2379</v>
      </c>
      <c r="F416" t="s">
        <v>2379</v>
      </c>
      <c r="G416">
        <v>2</v>
      </c>
      <c r="H416" t="s">
        <v>2381</v>
      </c>
      <c r="I416" t="str" cm="1">
        <f t="array" ref="I416">_xlfn.IFS(B416&lt;18.5,"Underweight",AND(B416&gt;=18.5,B416&lt;=24.99),"Normalweight",AND(B416&gt;=25,B416&lt;=29.99),"Overweight",B416&gt;=30,"Obesity")</f>
        <v>Normalweight</v>
      </c>
      <c r="J416" t="str" cm="1">
        <f t="array" ref="J416">_xlfn.IFS(C416&lt;5.7,"Normal",AND(C416&gt;=5.7,C416&lt;=6.49),"Prediabetes",C416&gt;=6.5,"Diabetes")</f>
        <v>Diabetes</v>
      </c>
    </row>
    <row r="417" spans="1:10" x14ac:dyDescent="0.3">
      <c r="A417" t="s">
        <v>1956</v>
      </c>
      <c r="B417" s="8">
        <v>20.96</v>
      </c>
      <c r="C417">
        <v>4.04</v>
      </c>
      <c r="D417" t="s">
        <v>2381</v>
      </c>
      <c r="E417" t="s">
        <v>2379</v>
      </c>
      <c r="F417" t="s">
        <v>2379</v>
      </c>
      <c r="G417">
        <v>1</v>
      </c>
      <c r="H417" t="s">
        <v>2381</v>
      </c>
      <c r="I417" t="str" cm="1">
        <f t="array" ref="I417">_xlfn.IFS(B417&lt;18.5,"Underweight",AND(B417&gt;=18.5,B417&lt;=24.99),"Normalweight",AND(B417&gt;=25,B417&lt;=29.99),"Overweight",B417&gt;=30,"Obesity")</f>
        <v>Normalweight</v>
      </c>
      <c r="J417" t="str" cm="1">
        <f t="array" ref="J417">_xlfn.IFS(C417&lt;5.7,"Normal",AND(C417&gt;=5.7,C417&lt;=6.49),"Prediabetes",C417&gt;=6.5,"Diabetes")</f>
        <v>Normal</v>
      </c>
    </row>
    <row r="418" spans="1:10" x14ac:dyDescent="0.3">
      <c r="A418" t="s">
        <v>1955</v>
      </c>
      <c r="B418" s="8">
        <v>19.68</v>
      </c>
      <c r="C418">
        <v>5.74</v>
      </c>
      <c r="D418" t="s">
        <v>2379</v>
      </c>
      <c r="E418" t="s">
        <v>2379</v>
      </c>
      <c r="F418" t="s">
        <v>2379</v>
      </c>
      <c r="G418">
        <v>0</v>
      </c>
      <c r="H418" t="s">
        <v>2381</v>
      </c>
      <c r="I418" t="str" cm="1">
        <f t="array" ref="I418">_xlfn.IFS(B418&lt;18.5,"Underweight",AND(B418&gt;=18.5,B418&lt;=24.99),"Normalweight",AND(B418&gt;=25,B418&lt;=29.99),"Overweight",B418&gt;=30,"Obesity")</f>
        <v>Normalweight</v>
      </c>
      <c r="J418" t="str" cm="1">
        <f t="array" ref="J418">_xlfn.IFS(C418&lt;5.7,"Normal",AND(C418&gt;=5.7,C418&lt;=6.49),"Prediabetes",C418&gt;=6.5,"Diabetes")</f>
        <v>Prediabetes</v>
      </c>
    </row>
    <row r="419" spans="1:10" x14ac:dyDescent="0.3">
      <c r="A419" t="s">
        <v>1954</v>
      </c>
      <c r="B419" s="8">
        <v>18.100000000000001</v>
      </c>
      <c r="C419">
        <v>6.33</v>
      </c>
      <c r="D419" t="s">
        <v>2379</v>
      </c>
      <c r="E419" t="s">
        <v>2379</v>
      </c>
      <c r="F419" t="s">
        <v>2379</v>
      </c>
      <c r="G419">
        <v>1</v>
      </c>
      <c r="H419" t="s">
        <v>2381</v>
      </c>
      <c r="I419" t="str" cm="1">
        <f t="array" ref="I419">_xlfn.IFS(B419&lt;18.5,"Underweight",AND(B419&gt;=18.5,B419&lt;=24.99),"Normalweight",AND(B419&gt;=25,B419&lt;=29.99),"Overweight",B419&gt;=30,"Obesity")</f>
        <v>Underweight</v>
      </c>
      <c r="J419" t="str" cm="1">
        <f t="array" ref="J419">_xlfn.IFS(C419&lt;5.7,"Normal",AND(C419&gt;=5.7,C419&lt;=6.49),"Prediabetes",C419&gt;=6.5,"Diabetes")</f>
        <v>Prediabetes</v>
      </c>
    </row>
    <row r="420" spans="1:10" x14ac:dyDescent="0.3">
      <c r="A420" t="s">
        <v>1953</v>
      </c>
      <c r="B420" s="8">
        <v>29.64</v>
      </c>
      <c r="C420">
        <v>4.28</v>
      </c>
      <c r="D420" t="s">
        <v>2381</v>
      </c>
      <c r="E420" t="s">
        <v>2379</v>
      </c>
      <c r="F420" t="s">
        <v>2379</v>
      </c>
      <c r="G420">
        <v>0</v>
      </c>
      <c r="H420" t="s">
        <v>2379</v>
      </c>
      <c r="I420" t="str" cm="1">
        <f t="array" ref="I420">_xlfn.IFS(B420&lt;18.5,"Underweight",AND(B420&gt;=18.5,B420&lt;=24.99),"Normalweight",AND(B420&gt;=25,B420&lt;=29.99),"Overweight",B420&gt;=30,"Obesity")</f>
        <v>Overweight</v>
      </c>
      <c r="J420" t="str" cm="1">
        <f t="array" ref="J420">_xlfn.IFS(C420&lt;5.7,"Normal",AND(C420&gt;=5.7,C420&lt;=6.49),"Prediabetes",C420&gt;=6.5,"Diabetes")</f>
        <v>Normal</v>
      </c>
    </row>
    <row r="421" spans="1:10" x14ac:dyDescent="0.3">
      <c r="A421" t="s">
        <v>1952</v>
      </c>
      <c r="B421" s="8">
        <v>25.3</v>
      </c>
      <c r="C421">
        <v>9.4700000000000006</v>
      </c>
      <c r="D421" t="s">
        <v>2381</v>
      </c>
      <c r="E421" t="s">
        <v>2379</v>
      </c>
      <c r="F421" t="s">
        <v>2379</v>
      </c>
      <c r="G421">
        <v>2</v>
      </c>
      <c r="H421" t="s">
        <v>2381</v>
      </c>
      <c r="I421" t="str" cm="1">
        <f t="array" ref="I421">_xlfn.IFS(B421&lt;18.5,"Underweight",AND(B421&gt;=18.5,B421&lt;=24.99),"Normalweight",AND(B421&gt;=25,B421&lt;=29.99),"Overweight",B421&gt;=30,"Obesity")</f>
        <v>Overweight</v>
      </c>
      <c r="J421" t="str" cm="1">
        <f t="array" ref="J421">_xlfn.IFS(C421&lt;5.7,"Normal",AND(C421&gt;=5.7,C421&lt;=6.49),"Prediabetes",C421&gt;=6.5,"Diabetes")</f>
        <v>Diabetes</v>
      </c>
    </row>
    <row r="422" spans="1:10" x14ac:dyDescent="0.3">
      <c r="A422" t="s">
        <v>1951</v>
      </c>
      <c r="B422" s="8">
        <v>27.6</v>
      </c>
      <c r="C422">
        <v>4.8499999999999996</v>
      </c>
      <c r="D422" t="s">
        <v>2381</v>
      </c>
      <c r="E422" t="s">
        <v>2379</v>
      </c>
      <c r="F422" t="s">
        <v>2379</v>
      </c>
      <c r="G422">
        <v>0</v>
      </c>
      <c r="H422" t="s">
        <v>2379</v>
      </c>
      <c r="I422" t="str" cm="1">
        <f t="array" ref="I422">_xlfn.IFS(B422&lt;18.5,"Underweight",AND(B422&gt;=18.5,B422&lt;=24.99),"Normalweight",AND(B422&gt;=25,B422&lt;=29.99),"Overweight",B422&gt;=30,"Obesity")</f>
        <v>Overweight</v>
      </c>
      <c r="J422" t="str" cm="1">
        <f t="array" ref="J422">_xlfn.IFS(C422&lt;5.7,"Normal",AND(C422&gt;=5.7,C422&lt;=6.49),"Prediabetes",C422&gt;=6.5,"Diabetes")</f>
        <v>Normal</v>
      </c>
    </row>
    <row r="423" spans="1:10" x14ac:dyDescent="0.3">
      <c r="A423" t="s">
        <v>1950</v>
      </c>
      <c r="B423" s="8">
        <v>27.645</v>
      </c>
      <c r="C423">
        <v>11.03</v>
      </c>
      <c r="D423" t="s">
        <v>2381</v>
      </c>
      <c r="E423" t="s">
        <v>2379</v>
      </c>
      <c r="F423" t="s">
        <v>2379</v>
      </c>
      <c r="G423">
        <v>1</v>
      </c>
      <c r="H423" t="s">
        <v>2381</v>
      </c>
      <c r="I423" t="str" cm="1">
        <f t="array" ref="I423">_xlfn.IFS(B423&lt;18.5,"Underweight",AND(B423&gt;=18.5,B423&lt;=24.99),"Normalweight",AND(B423&gt;=25,B423&lt;=29.99),"Overweight",B423&gt;=30,"Obesity")</f>
        <v>Overweight</v>
      </c>
      <c r="J423" t="str" cm="1">
        <f t="array" ref="J423">_xlfn.IFS(C423&lt;5.7,"Normal",AND(C423&gt;=5.7,C423&lt;=6.49),"Prediabetes",C423&gt;=6.5,"Diabetes")</f>
        <v>Diabetes</v>
      </c>
    </row>
    <row r="424" spans="1:10" x14ac:dyDescent="0.3">
      <c r="A424" t="s">
        <v>1949</v>
      </c>
      <c r="B424" s="8">
        <v>27.6</v>
      </c>
      <c r="C424">
        <v>5.22</v>
      </c>
      <c r="D424" t="s">
        <v>2379</v>
      </c>
      <c r="E424" t="s">
        <v>2379</v>
      </c>
      <c r="F424" t="s">
        <v>2379</v>
      </c>
      <c r="G424">
        <v>2</v>
      </c>
      <c r="H424" t="s">
        <v>2381</v>
      </c>
      <c r="I424" t="str" cm="1">
        <f t="array" ref="I424">_xlfn.IFS(B424&lt;18.5,"Underweight",AND(B424&gt;=18.5,B424&lt;=24.99),"Normalweight",AND(B424&gt;=25,B424&lt;=29.99),"Overweight",B424&gt;=30,"Obesity")</f>
        <v>Overweight</v>
      </c>
      <c r="J424" t="str" cm="1">
        <f t="array" ref="J424">_xlfn.IFS(C424&lt;5.7,"Normal",AND(C424&gt;=5.7,C424&lt;=6.49),"Prediabetes",C424&gt;=6.5,"Diabetes")</f>
        <v>Normal</v>
      </c>
    </row>
    <row r="425" spans="1:10" x14ac:dyDescent="0.3">
      <c r="A425" t="s">
        <v>1948</v>
      </c>
      <c r="B425" s="8">
        <v>25.08</v>
      </c>
      <c r="C425">
        <v>9.52</v>
      </c>
      <c r="D425" t="s">
        <v>2381</v>
      </c>
      <c r="E425" t="s">
        <v>2379</v>
      </c>
      <c r="F425" t="s">
        <v>2379</v>
      </c>
      <c r="G425">
        <v>2</v>
      </c>
      <c r="H425" t="s">
        <v>2379</v>
      </c>
      <c r="I425" t="str" cm="1">
        <f t="array" ref="I425">_xlfn.IFS(B425&lt;18.5,"Underweight",AND(B425&gt;=18.5,B425&lt;=24.99),"Normalweight",AND(B425&gt;=25,B425&lt;=29.99),"Overweight",B425&gt;=30,"Obesity")</f>
        <v>Overweight</v>
      </c>
      <c r="J425" t="str" cm="1">
        <f t="array" ref="J425">_xlfn.IFS(C425&lt;5.7,"Normal",AND(C425&gt;=5.7,C425&lt;=6.49),"Prediabetes",C425&gt;=6.5,"Diabetes")</f>
        <v>Diabetes</v>
      </c>
    </row>
    <row r="426" spans="1:10" x14ac:dyDescent="0.3">
      <c r="A426" t="s">
        <v>1947</v>
      </c>
      <c r="B426" s="8">
        <v>30.02</v>
      </c>
      <c r="C426">
        <v>11.09</v>
      </c>
      <c r="D426" t="s">
        <v>2379</v>
      </c>
      <c r="E426" t="s">
        <v>2379</v>
      </c>
      <c r="F426" t="s">
        <v>2379</v>
      </c>
      <c r="G426">
        <v>0</v>
      </c>
      <c r="H426" t="s">
        <v>2379</v>
      </c>
      <c r="I426" t="str" cm="1">
        <f t="array" ref="I426">_xlfn.IFS(B426&lt;18.5,"Underweight",AND(B426&gt;=18.5,B426&lt;=24.99),"Normalweight",AND(B426&gt;=25,B426&lt;=29.99),"Overweight",B426&gt;=30,"Obesity")</f>
        <v>Obesity</v>
      </c>
      <c r="J426" t="str" cm="1">
        <f t="array" ref="J426">_xlfn.IFS(C426&lt;5.7,"Normal",AND(C426&gt;=5.7,C426&lt;=6.49),"Prediabetes",C426&gt;=6.5,"Diabetes")</f>
        <v>Diabetes</v>
      </c>
    </row>
    <row r="427" spans="1:10" x14ac:dyDescent="0.3">
      <c r="A427" t="s">
        <v>1946</v>
      </c>
      <c r="B427" s="8">
        <v>27.36</v>
      </c>
      <c r="C427">
        <v>9.4499999999999993</v>
      </c>
      <c r="D427" t="s">
        <v>2381</v>
      </c>
      <c r="E427" t="s">
        <v>2379</v>
      </c>
      <c r="F427" t="s">
        <v>2379</v>
      </c>
      <c r="G427">
        <v>2</v>
      </c>
      <c r="H427" t="s">
        <v>2381</v>
      </c>
      <c r="I427" t="str" cm="1">
        <f t="array" ref="I427">_xlfn.IFS(B427&lt;18.5,"Underweight",AND(B427&gt;=18.5,B427&lt;=24.99),"Normalweight",AND(B427&gt;=25,B427&lt;=29.99),"Overweight",B427&gt;=30,"Obesity")</f>
        <v>Overweight</v>
      </c>
      <c r="J427" t="str" cm="1">
        <f t="array" ref="J427">_xlfn.IFS(C427&lt;5.7,"Normal",AND(C427&gt;=5.7,C427&lt;=6.49),"Prediabetes",C427&gt;=6.5,"Diabetes")</f>
        <v>Diabetes</v>
      </c>
    </row>
    <row r="428" spans="1:10" x14ac:dyDescent="0.3">
      <c r="A428" t="s">
        <v>1945</v>
      </c>
      <c r="B428" s="8">
        <v>22.2</v>
      </c>
      <c r="C428">
        <v>5.51</v>
      </c>
      <c r="D428" t="s">
        <v>2379</v>
      </c>
      <c r="E428" t="s">
        <v>2379</v>
      </c>
      <c r="F428" t="s">
        <v>2379</v>
      </c>
      <c r="G428">
        <v>0</v>
      </c>
      <c r="H428" t="s">
        <v>2381</v>
      </c>
      <c r="I428" t="str" cm="1">
        <f t="array" ref="I428">_xlfn.IFS(B428&lt;18.5,"Underweight",AND(B428&gt;=18.5,B428&lt;=24.99),"Normalweight",AND(B428&gt;=25,B428&lt;=29.99),"Overweight",B428&gt;=30,"Obesity")</f>
        <v>Normalweight</v>
      </c>
      <c r="J428" t="str" cm="1">
        <f t="array" ref="J428">_xlfn.IFS(C428&lt;5.7,"Normal",AND(C428&gt;=5.7,C428&lt;=6.49),"Prediabetes",C428&gt;=6.5,"Diabetes")</f>
        <v>Normal</v>
      </c>
    </row>
    <row r="429" spans="1:10" x14ac:dyDescent="0.3">
      <c r="A429" t="s">
        <v>1944</v>
      </c>
      <c r="B429" s="8">
        <v>25.71</v>
      </c>
      <c r="C429">
        <v>4.18</v>
      </c>
      <c r="D429" t="s">
        <v>2379</v>
      </c>
      <c r="E429" t="s">
        <v>2380</v>
      </c>
      <c r="F429" t="s">
        <v>2379</v>
      </c>
      <c r="G429">
        <v>1</v>
      </c>
      <c r="H429" t="s">
        <v>2381</v>
      </c>
      <c r="I429" t="str" cm="1">
        <f t="array" ref="I429">_xlfn.IFS(B429&lt;18.5,"Underweight",AND(B429&gt;=18.5,B429&lt;=24.99),"Normalweight",AND(B429&gt;=25,B429&lt;=29.99),"Overweight",B429&gt;=30,"Obesity")</f>
        <v>Overweight</v>
      </c>
      <c r="J429" t="str" cm="1">
        <f t="array" ref="J429">_xlfn.IFS(C429&lt;5.7,"Normal",AND(C429&gt;=5.7,C429&lt;=6.49),"Prediabetes",C429&gt;=6.5,"Diabetes")</f>
        <v>Normal</v>
      </c>
    </row>
    <row r="430" spans="1:10" x14ac:dyDescent="0.3">
      <c r="A430" t="s">
        <v>1943</v>
      </c>
      <c r="B430" s="8">
        <v>41.91</v>
      </c>
      <c r="C430">
        <v>5.98</v>
      </c>
      <c r="D430" t="s">
        <v>2381</v>
      </c>
      <c r="E430" t="s">
        <v>2379</v>
      </c>
      <c r="F430" t="s">
        <v>2379</v>
      </c>
      <c r="G430">
        <v>1</v>
      </c>
      <c r="H430" t="s">
        <v>2379</v>
      </c>
      <c r="I430" t="str" cm="1">
        <f t="array" ref="I430">_xlfn.IFS(B430&lt;18.5,"Underweight",AND(B430&gt;=18.5,B430&lt;=24.99),"Normalweight",AND(B430&gt;=25,B430&lt;=29.99),"Overweight",B430&gt;=30,"Obesity")</f>
        <v>Obesity</v>
      </c>
      <c r="J430" t="str" cm="1">
        <f t="array" ref="J430">_xlfn.IFS(C430&lt;5.7,"Normal",AND(C430&gt;=5.7,C430&lt;=6.49),"Prediabetes",C430&gt;=6.5,"Diabetes")</f>
        <v>Prediabetes</v>
      </c>
    </row>
    <row r="431" spans="1:10" x14ac:dyDescent="0.3">
      <c r="A431" t="s">
        <v>1942</v>
      </c>
      <c r="B431" s="8">
        <v>25.85</v>
      </c>
      <c r="C431">
        <v>10.16</v>
      </c>
      <c r="D431" t="s">
        <v>2379</v>
      </c>
      <c r="E431" t="s">
        <v>2379</v>
      </c>
      <c r="F431" t="s">
        <v>2379</v>
      </c>
      <c r="G431">
        <v>0</v>
      </c>
      <c r="H431" t="s">
        <v>2381</v>
      </c>
      <c r="I431" t="str" cm="1">
        <f t="array" ref="I431">_xlfn.IFS(B431&lt;18.5,"Underweight",AND(B431&gt;=18.5,B431&lt;=24.99),"Normalweight",AND(B431&gt;=25,B431&lt;=29.99),"Overweight",B431&gt;=30,"Obesity")</f>
        <v>Overweight</v>
      </c>
      <c r="J431" t="str" cm="1">
        <f t="array" ref="J431">_xlfn.IFS(C431&lt;5.7,"Normal",AND(C431&gt;=5.7,C431&lt;=6.49),"Prediabetes",C431&gt;=6.5,"Diabetes")</f>
        <v>Diabetes</v>
      </c>
    </row>
    <row r="432" spans="1:10" x14ac:dyDescent="0.3">
      <c r="A432" t="s">
        <v>1941</v>
      </c>
      <c r="B432" s="8">
        <v>23.844999999999999</v>
      </c>
      <c r="C432">
        <v>11.71</v>
      </c>
      <c r="D432" t="s">
        <v>2379</v>
      </c>
      <c r="E432" t="s">
        <v>2379</v>
      </c>
      <c r="F432" t="s">
        <v>2379</v>
      </c>
      <c r="G432">
        <v>2</v>
      </c>
      <c r="H432" t="s">
        <v>2381</v>
      </c>
      <c r="I432" t="str" cm="1">
        <f t="array" ref="I432">_xlfn.IFS(B432&lt;18.5,"Underweight",AND(B432&gt;=18.5,B432&lt;=24.99),"Normalweight",AND(B432&gt;=25,B432&lt;=29.99),"Overweight",B432&gt;=30,"Obesity")</f>
        <v>Normalweight</v>
      </c>
      <c r="J432" t="str" cm="1">
        <f t="array" ref="J432">_xlfn.IFS(C432&lt;5.7,"Normal",AND(C432&gt;=5.7,C432&lt;=6.49),"Prediabetes",C432&gt;=6.5,"Diabetes")</f>
        <v>Diabetes</v>
      </c>
    </row>
    <row r="433" spans="1:10" x14ac:dyDescent="0.3">
      <c r="A433" t="s">
        <v>1940</v>
      </c>
      <c r="B433" s="8">
        <v>30.59</v>
      </c>
      <c r="C433">
        <v>5.23</v>
      </c>
      <c r="D433" t="s">
        <v>2379</v>
      </c>
      <c r="E433" t="s">
        <v>2379</v>
      </c>
      <c r="F433" t="s">
        <v>2381</v>
      </c>
      <c r="G433">
        <v>1</v>
      </c>
      <c r="H433" t="s">
        <v>2379</v>
      </c>
      <c r="I433" t="str" cm="1">
        <f t="array" ref="I433">_xlfn.IFS(B433&lt;18.5,"Underweight",AND(B433&gt;=18.5,B433&lt;=24.99),"Normalweight",AND(B433&gt;=25,B433&lt;=29.99),"Overweight",B433&gt;=30,"Obesity")</f>
        <v>Obesity</v>
      </c>
      <c r="J433" t="str" cm="1">
        <f t="array" ref="J433">_xlfn.IFS(C433&lt;5.7,"Normal",AND(C433&gt;=5.7,C433&lt;=6.49),"Prediabetes",C433&gt;=6.5,"Diabetes")</f>
        <v>Normal</v>
      </c>
    </row>
    <row r="434" spans="1:10" x14ac:dyDescent="0.3">
      <c r="A434" t="s">
        <v>1939</v>
      </c>
      <c r="B434" s="8">
        <v>24.795000000000002</v>
      </c>
      <c r="C434">
        <v>6.85</v>
      </c>
      <c r="D434" t="s">
        <v>2379</v>
      </c>
      <c r="E434" t="s">
        <v>2379</v>
      </c>
      <c r="F434" t="s">
        <v>2379</v>
      </c>
      <c r="G434">
        <v>0</v>
      </c>
      <c r="H434" t="s">
        <v>2381</v>
      </c>
      <c r="I434" t="str" cm="1">
        <f t="array" ref="I434">_xlfn.IFS(B434&lt;18.5,"Underweight",AND(B434&gt;=18.5,B434&lt;=24.99),"Normalweight",AND(B434&gt;=25,B434&lt;=29.99),"Overweight",B434&gt;=30,"Obesity")</f>
        <v>Normalweight</v>
      </c>
      <c r="J434" t="str" cm="1">
        <f t="array" ref="J434">_xlfn.IFS(C434&lt;5.7,"Normal",AND(C434&gt;=5.7,C434&lt;=6.49),"Prediabetes",C434&gt;=6.5,"Diabetes")</f>
        <v>Diabetes</v>
      </c>
    </row>
    <row r="435" spans="1:10" x14ac:dyDescent="0.3">
      <c r="A435" t="s">
        <v>1938</v>
      </c>
      <c r="B435" s="8">
        <v>24.13</v>
      </c>
      <c r="C435">
        <v>7.05</v>
      </c>
      <c r="D435" t="s">
        <v>2381</v>
      </c>
      <c r="E435" t="s">
        <v>2379</v>
      </c>
      <c r="F435" t="s">
        <v>2379</v>
      </c>
      <c r="G435">
        <v>2</v>
      </c>
      <c r="H435" t="s">
        <v>2381</v>
      </c>
      <c r="I435" t="str" cm="1">
        <f t="array" ref="I435">_xlfn.IFS(B435&lt;18.5,"Underweight",AND(B435&gt;=18.5,B435&lt;=24.99),"Normalweight",AND(B435&gt;=25,B435&lt;=29.99),"Overweight",B435&gt;=30,"Obesity")</f>
        <v>Normalweight</v>
      </c>
      <c r="J435" t="str" cm="1">
        <f t="array" ref="J435">_xlfn.IFS(C435&lt;5.7,"Normal",AND(C435&gt;=5.7,C435&lt;=6.49),"Prediabetes",C435&gt;=6.5,"Diabetes")</f>
        <v>Diabetes</v>
      </c>
    </row>
    <row r="436" spans="1:10" x14ac:dyDescent="0.3">
      <c r="A436" t="s">
        <v>1937</v>
      </c>
      <c r="B436" s="8">
        <v>25.84</v>
      </c>
      <c r="C436">
        <v>11.64</v>
      </c>
      <c r="D436" t="s">
        <v>2379</v>
      </c>
      <c r="E436" t="s">
        <v>2379</v>
      </c>
      <c r="F436" t="s">
        <v>2379</v>
      </c>
      <c r="G436">
        <v>2</v>
      </c>
      <c r="H436" t="s">
        <v>2381</v>
      </c>
      <c r="I436" t="str" cm="1">
        <f t="array" ref="I436">_xlfn.IFS(B436&lt;18.5,"Underweight",AND(B436&gt;=18.5,B436&lt;=24.99),"Normalweight",AND(B436&gt;=25,B436&lt;=29.99),"Overweight",B436&gt;=30,"Obesity")</f>
        <v>Overweight</v>
      </c>
      <c r="J436" t="str" cm="1">
        <f t="array" ref="J436">_xlfn.IFS(C436&lt;5.7,"Normal",AND(C436&gt;=5.7,C436&lt;=6.49),"Prediabetes",C436&gt;=6.5,"Diabetes")</f>
        <v>Diabetes</v>
      </c>
    </row>
    <row r="437" spans="1:10" x14ac:dyDescent="0.3">
      <c r="A437" t="s">
        <v>1936</v>
      </c>
      <c r="B437" s="8">
        <v>28</v>
      </c>
      <c r="C437">
        <v>10.52</v>
      </c>
      <c r="D437" t="s">
        <v>2379</v>
      </c>
      <c r="E437" t="s">
        <v>2379</v>
      </c>
      <c r="F437" t="s">
        <v>2379</v>
      </c>
      <c r="G437">
        <v>0</v>
      </c>
      <c r="H437" t="s">
        <v>2381</v>
      </c>
      <c r="I437" t="str" cm="1">
        <f t="array" ref="I437">_xlfn.IFS(B437&lt;18.5,"Underweight",AND(B437&gt;=18.5,B437&lt;=24.99),"Normalweight",AND(B437&gt;=25,B437&lt;=29.99),"Overweight",B437&gt;=30,"Obesity")</f>
        <v>Overweight</v>
      </c>
      <c r="J437" t="str" cm="1">
        <f t="array" ref="J437">_xlfn.IFS(C437&lt;5.7,"Normal",AND(C437&gt;=5.7,C437&lt;=6.49),"Prediabetes",C437&gt;=6.5,"Diabetes")</f>
        <v>Diabetes</v>
      </c>
    </row>
    <row r="438" spans="1:10" x14ac:dyDescent="0.3">
      <c r="A438" t="s">
        <v>1935</v>
      </c>
      <c r="B438" s="8">
        <v>34.1</v>
      </c>
      <c r="C438">
        <v>4.01</v>
      </c>
      <c r="D438" t="s">
        <v>2381</v>
      </c>
      <c r="E438" t="s">
        <v>2379</v>
      </c>
      <c r="F438" t="s">
        <v>2381</v>
      </c>
      <c r="G438">
        <v>1</v>
      </c>
      <c r="H438" t="s">
        <v>2379</v>
      </c>
      <c r="I438" t="str" cm="1">
        <f t="array" ref="I438">_xlfn.IFS(B438&lt;18.5,"Underweight",AND(B438&gt;=18.5,B438&lt;=24.99),"Normalweight",AND(B438&gt;=25,B438&lt;=29.99),"Overweight",B438&gt;=30,"Obesity")</f>
        <v>Obesity</v>
      </c>
      <c r="J438" t="str" cm="1">
        <f t="array" ref="J438">_xlfn.IFS(C438&lt;5.7,"Normal",AND(C438&gt;=5.7,C438&lt;=6.49),"Prediabetes",C438&gt;=6.5,"Diabetes")</f>
        <v>Normal</v>
      </c>
    </row>
    <row r="439" spans="1:10" x14ac:dyDescent="0.3">
      <c r="A439" t="s">
        <v>1934</v>
      </c>
      <c r="B439" s="8">
        <v>26.125</v>
      </c>
      <c r="C439">
        <v>8.56</v>
      </c>
      <c r="D439" t="s">
        <v>2381</v>
      </c>
      <c r="E439" t="s">
        <v>2379</v>
      </c>
      <c r="F439" t="s">
        <v>2379</v>
      </c>
      <c r="G439">
        <v>1</v>
      </c>
      <c r="H439" t="s">
        <v>2381</v>
      </c>
      <c r="I439" t="str" cm="1">
        <f t="array" ref="I439">_xlfn.IFS(B439&lt;18.5,"Underweight",AND(B439&gt;=18.5,B439&lt;=24.99),"Normalweight",AND(B439&gt;=25,B439&lt;=29.99),"Overweight",B439&gt;=30,"Obesity")</f>
        <v>Overweight</v>
      </c>
      <c r="J439" t="str" cm="1">
        <f t="array" ref="J439">_xlfn.IFS(C439&lt;5.7,"Normal",AND(C439&gt;=5.7,C439&lt;=6.49),"Prediabetes",C439&gt;=6.5,"Diabetes")</f>
        <v>Diabetes</v>
      </c>
    </row>
    <row r="440" spans="1:10" x14ac:dyDescent="0.3">
      <c r="A440" t="s">
        <v>1933</v>
      </c>
      <c r="B440" s="8">
        <v>25.6</v>
      </c>
      <c r="C440">
        <v>10.5</v>
      </c>
      <c r="D440" t="s">
        <v>2379</v>
      </c>
      <c r="E440" t="s">
        <v>2379</v>
      </c>
      <c r="F440" t="s">
        <v>2379</v>
      </c>
      <c r="G440">
        <v>2</v>
      </c>
      <c r="H440" t="s">
        <v>2381</v>
      </c>
      <c r="I440" t="str" cm="1">
        <f t="array" ref="I440">_xlfn.IFS(B440&lt;18.5,"Underweight",AND(B440&gt;=18.5,B440&lt;=24.99),"Normalweight",AND(B440&gt;=25,B440&lt;=29.99),"Overweight",B440&gt;=30,"Obesity")</f>
        <v>Overweight</v>
      </c>
      <c r="J440" t="str" cm="1">
        <f t="array" ref="J440">_xlfn.IFS(C440&lt;5.7,"Normal",AND(C440&gt;=5.7,C440&lt;=6.49),"Prediabetes",C440&gt;=6.5,"Diabetes")</f>
        <v>Diabetes</v>
      </c>
    </row>
    <row r="441" spans="1:10" x14ac:dyDescent="0.3">
      <c r="A441" t="s">
        <v>1932</v>
      </c>
      <c r="B441" s="8">
        <v>24.32</v>
      </c>
      <c r="C441">
        <v>6.39</v>
      </c>
      <c r="D441" t="s">
        <v>2379</v>
      </c>
      <c r="E441" t="s">
        <v>2379</v>
      </c>
      <c r="F441" t="s">
        <v>2379</v>
      </c>
      <c r="G441">
        <v>0</v>
      </c>
      <c r="H441" t="s">
        <v>2379</v>
      </c>
      <c r="I441" t="str" cm="1">
        <f t="array" ref="I441">_xlfn.IFS(B441&lt;18.5,"Underweight",AND(B441&gt;=18.5,B441&lt;=24.99),"Normalweight",AND(B441&gt;=25,B441&lt;=29.99),"Overweight",B441&gt;=30,"Obesity")</f>
        <v>Normalweight</v>
      </c>
      <c r="J441" t="str" cm="1">
        <f t="array" ref="J441">_xlfn.IFS(C441&lt;5.7,"Normal",AND(C441&gt;=5.7,C441&lt;=6.49),"Prediabetes",C441&gt;=6.5,"Diabetes")</f>
        <v>Prediabetes</v>
      </c>
    </row>
    <row r="442" spans="1:10" x14ac:dyDescent="0.3">
      <c r="A442" t="s">
        <v>1931</v>
      </c>
      <c r="B442" s="8">
        <v>22.88</v>
      </c>
      <c r="C442">
        <v>5.71</v>
      </c>
      <c r="D442" t="s">
        <v>2381</v>
      </c>
      <c r="E442" t="s">
        <v>2379</v>
      </c>
      <c r="F442" t="s">
        <v>2381</v>
      </c>
      <c r="G442">
        <v>1</v>
      </c>
      <c r="H442" t="s">
        <v>2381</v>
      </c>
      <c r="I442" t="str" cm="1">
        <f t="array" ref="I442">_xlfn.IFS(B442&lt;18.5,"Underweight",AND(B442&gt;=18.5,B442&lt;=24.99),"Normalweight",AND(B442&gt;=25,B442&lt;=29.99),"Overweight",B442&gt;=30,"Obesity")</f>
        <v>Normalweight</v>
      </c>
      <c r="J442" t="str" cm="1">
        <f t="array" ref="J442">_xlfn.IFS(C442&lt;5.7,"Normal",AND(C442&gt;=5.7,C442&lt;=6.49),"Prediabetes",C442&gt;=6.5,"Diabetes")</f>
        <v>Prediabetes</v>
      </c>
    </row>
    <row r="443" spans="1:10" x14ac:dyDescent="0.3">
      <c r="A443" t="s">
        <v>1930</v>
      </c>
      <c r="B443" s="8">
        <v>24.984999999999999</v>
      </c>
      <c r="C443">
        <v>4.43</v>
      </c>
      <c r="D443" t="s">
        <v>2381</v>
      </c>
      <c r="E443" t="s">
        <v>2379</v>
      </c>
      <c r="F443" t="s">
        <v>2381</v>
      </c>
      <c r="G443">
        <v>1</v>
      </c>
      <c r="H443" t="s">
        <v>2379</v>
      </c>
      <c r="I443" t="str" cm="1">
        <f t="array" ref="I443">_xlfn.IFS(B443&lt;18.5,"Underweight",AND(B443&gt;=18.5,B443&lt;=24.99),"Normalweight",AND(B443&gt;=25,B443&lt;=29.99),"Overweight",B443&gt;=30,"Obesity")</f>
        <v>Normalweight</v>
      </c>
      <c r="J443" t="str" cm="1">
        <f t="array" ref="J443">_xlfn.IFS(C443&lt;5.7,"Normal",AND(C443&gt;=5.7,C443&lt;=6.49),"Prediabetes",C443&gt;=6.5,"Diabetes")</f>
        <v>Normal</v>
      </c>
    </row>
    <row r="444" spans="1:10" x14ac:dyDescent="0.3">
      <c r="A444" t="s">
        <v>1929</v>
      </c>
      <c r="B444" s="8">
        <v>33.1</v>
      </c>
      <c r="C444">
        <v>5.52</v>
      </c>
      <c r="D444" t="s">
        <v>2379</v>
      </c>
      <c r="E444" t="s">
        <v>2379</v>
      </c>
      <c r="F444" t="s">
        <v>2381</v>
      </c>
      <c r="G444">
        <v>1</v>
      </c>
      <c r="H444" t="s">
        <v>2379</v>
      </c>
      <c r="I444" t="str" cm="1">
        <f t="array" ref="I444">_xlfn.IFS(B444&lt;18.5,"Underweight",AND(B444&gt;=18.5,B444&lt;=24.99),"Normalweight",AND(B444&gt;=25,B444&lt;=29.99),"Overweight",B444&gt;=30,"Obesity")</f>
        <v>Obesity</v>
      </c>
      <c r="J444" t="str" cm="1">
        <f t="array" ref="J444">_xlfn.IFS(C444&lt;5.7,"Normal",AND(C444&gt;=5.7,C444&lt;=6.49),"Prediabetes",C444&gt;=6.5,"Diabetes")</f>
        <v>Normal</v>
      </c>
    </row>
    <row r="445" spans="1:10" x14ac:dyDescent="0.3">
      <c r="A445" t="s">
        <v>1928</v>
      </c>
      <c r="B445" s="8">
        <v>27.83</v>
      </c>
      <c r="C445">
        <v>9.1999999999999993</v>
      </c>
      <c r="D445" t="s">
        <v>2381</v>
      </c>
      <c r="E445" t="s">
        <v>2379</v>
      </c>
      <c r="F445" t="s">
        <v>2379</v>
      </c>
      <c r="G445">
        <v>1</v>
      </c>
      <c r="H445" t="s">
        <v>2381</v>
      </c>
      <c r="I445" t="str" cm="1">
        <f t="array" ref="I445">_xlfn.IFS(B445&lt;18.5,"Underweight",AND(B445&gt;=18.5,B445&lt;=24.99),"Normalweight",AND(B445&gt;=25,B445&lt;=29.99),"Overweight",B445&gt;=30,"Obesity")</f>
        <v>Overweight</v>
      </c>
      <c r="J445" t="str" cm="1">
        <f t="array" ref="J445">_xlfn.IFS(C445&lt;5.7,"Normal",AND(C445&gt;=5.7,C445&lt;=6.49),"Prediabetes",C445&gt;=6.5,"Diabetes")</f>
        <v>Diabetes</v>
      </c>
    </row>
    <row r="446" spans="1:10" x14ac:dyDescent="0.3">
      <c r="A446" t="s">
        <v>1927</v>
      </c>
      <c r="B446" s="8">
        <v>30.875</v>
      </c>
      <c r="C446">
        <v>10.97</v>
      </c>
      <c r="D446" t="s">
        <v>2381</v>
      </c>
      <c r="E446" t="s">
        <v>2379</v>
      </c>
      <c r="F446" t="s">
        <v>2379</v>
      </c>
      <c r="G446">
        <v>2</v>
      </c>
      <c r="H446" t="s">
        <v>2379</v>
      </c>
      <c r="I446" t="str" cm="1">
        <f t="array" ref="I446">_xlfn.IFS(B446&lt;18.5,"Underweight",AND(B446&gt;=18.5,B446&lt;=24.99),"Normalweight",AND(B446&gt;=25,B446&lt;=29.99),"Overweight",B446&gt;=30,"Obesity")</f>
        <v>Obesity</v>
      </c>
      <c r="J446" t="str" cm="1">
        <f t="array" ref="J446">_xlfn.IFS(C446&lt;5.7,"Normal",AND(C446&gt;=5.7,C446&lt;=6.49),"Prediabetes",C446&gt;=6.5,"Diabetes")</f>
        <v>Diabetes</v>
      </c>
    </row>
    <row r="447" spans="1:10" x14ac:dyDescent="0.3">
      <c r="A447" t="s">
        <v>1926</v>
      </c>
      <c r="B447" s="8">
        <v>27.265000000000001</v>
      </c>
      <c r="C447">
        <v>4.25</v>
      </c>
      <c r="D447" t="s">
        <v>2379</v>
      </c>
      <c r="E447" t="s">
        <v>2379</v>
      </c>
      <c r="F447" t="s">
        <v>2381</v>
      </c>
      <c r="G447">
        <v>1</v>
      </c>
      <c r="H447" t="s">
        <v>2379</v>
      </c>
      <c r="I447" t="str" cm="1">
        <f t="array" ref="I447">_xlfn.IFS(B447&lt;18.5,"Underweight",AND(B447&gt;=18.5,B447&lt;=24.99),"Normalweight",AND(B447&gt;=25,B447&lt;=29.99),"Overweight",B447&gt;=30,"Obesity")</f>
        <v>Overweight</v>
      </c>
      <c r="J447" t="str" cm="1">
        <f t="array" ref="J447">_xlfn.IFS(C447&lt;5.7,"Normal",AND(C447&gt;=5.7,C447&lt;=6.49),"Prediabetes",C447&gt;=6.5,"Diabetes")</f>
        <v>Normal</v>
      </c>
    </row>
    <row r="448" spans="1:10" x14ac:dyDescent="0.3">
      <c r="A448" t="s">
        <v>1925</v>
      </c>
      <c r="B448" s="8">
        <v>26.7</v>
      </c>
      <c r="C448">
        <v>5.23</v>
      </c>
      <c r="D448" t="s">
        <v>2379</v>
      </c>
      <c r="E448" t="s">
        <v>2379</v>
      </c>
      <c r="F448" t="s">
        <v>2381</v>
      </c>
      <c r="G448">
        <v>1</v>
      </c>
      <c r="H448" t="s">
        <v>2381</v>
      </c>
      <c r="I448" t="str" cm="1">
        <f t="array" ref="I448">_xlfn.IFS(B448&lt;18.5,"Underweight",AND(B448&gt;=18.5,B448&lt;=24.99),"Normalweight",AND(B448&gt;=25,B448&lt;=29.99),"Overweight",B448&gt;=30,"Obesity")</f>
        <v>Overweight</v>
      </c>
      <c r="J448" t="str" cm="1">
        <f t="array" ref="J448">_xlfn.IFS(C448&lt;5.7,"Normal",AND(C448&gt;=5.7,C448&lt;=6.49),"Prediabetes",C448&gt;=6.5,"Diabetes")</f>
        <v>Normal</v>
      </c>
    </row>
    <row r="449" spans="1:10" x14ac:dyDescent="0.3">
      <c r="A449" t="s">
        <v>1924</v>
      </c>
      <c r="B449" s="8">
        <v>29.925000000000001</v>
      </c>
      <c r="C449">
        <v>5.96</v>
      </c>
      <c r="D449" t="s">
        <v>2381</v>
      </c>
      <c r="E449" t="s">
        <v>2379</v>
      </c>
      <c r="F449" t="s">
        <v>2381</v>
      </c>
      <c r="G449">
        <v>1</v>
      </c>
      <c r="H449" t="s">
        <v>2381</v>
      </c>
      <c r="I449" t="str" cm="1">
        <f t="array" ref="I449">_xlfn.IFS(B449&lt;18.5,"Underweight",AND(B449&gt;=18.5,B449&lt;=24.99),"Normalweight",AND(B449&gt;=25,B449&lt;=29.99),"Overweight",B449&gt;=30,"Obesity")</f>
        <v>Overweight</v>
      </c>
      <c r="J449" t="str" cm="1">
        <f t="array" ref="J449">_xlfn.IFS(C449&lt;5.7,"Normal",AND(C449&gt;=5.7,C449&lt;=6.49),"Prediabetes",C449&gt;=6.5,"Diabetes")</f>
        <v>Prediabetes</v>
      </c>
    </row>
    <row r="450" spans="1:10" x14ac:dyDescent="0.3">
      <c r="A450" t="s">
        <v>1923</v>
      </c>
      <c r="B450" s="8">
        <v>19.95</v>
      </c>
      <c r="C450">
        <v>4.29</v>
      </c>
      <c r="D450" t="s">
        <v>2381</v>
      </c>
      <c r="E450" t="s">
        <v>2379</v>
      </c>
      <c r="F450" t="s">
        <v>2379</v>
      </c>
      <c r="G450">
        <v>2</v>
      </c>
      <c r="H450" t="s">
        <v>2381</v>
      </c>
      <c r="I450" t="str" cm="1">
        <f t="array" ref="I450">_xlfn.IFS(B450&lt;18.5,"Underweight",AND(B450&gt;=18.5,B450&lt;=24.99),"Normalweight",AND(B450&gt;=25,B450&lt;=29.99),"Overweight",B450&gt;=30,"Obesity")</f>
        <v>Normalweight</v>
      </c>
      <c r="J450" t="str" cm="1">
        <f t="array" ref="J450">_xlfn.IFS(C450&lt;5.7,"Normal",AND(C450&gt;=5.7,C450&lt;=6.49),"Prediabetes",C450&gt;=6.5,"Diabetes")</f>
        <v>Normal</v>
      </c>
    </row>
    <row r="451" spans="1:10" x14ac:dyDescent="0.3">
      <c r="A451" t="s">
        <v>1922</v>
      </c>
      <c r="B451" s="8">
        <v>24.225000000000001</v>
      </c>
      <c r="C451">
        <v>4.09</v>
      </c>
      <c r="D451" t="s">
        <v>2379</v>
      </c>
      <c r="E451" t="s">
        <v>2379</v>
      </c>
      <c r="F451" t="s">
        <v>2379</v>
      </c>
      <c r="G451">
        <v>0</v>
      </c>
      <c r="H451" t="s">
        <v>2379</v>
      </c>
      <c r="I451" t="str" cm="1">
        <f t="array" ref="I451">_xlfn.IFS(B451&lt;18.5,"Underweight",AND(B451&gt;=18.5,B451&lt;=24.99),"Normalweight",AND(B451&gt;=25,B451&lt;=29.99),"Overweight",B451&gt;=30,"Obesity")</f>
        <v>Normalweight</v>
      </c>
      <c r="J451" t="str" cm="1">
        <f t="array" ref="J451">_xlfn.IFS(C451&lt;5.7,"Normal",AND(C451&gt;=5.7,C451&lt;=6.49),"Prediabetes",C451&gt;=6.5,"Diabetes")</f>
        <v>Normal</v>
      </c>
    </row>
    <row r="452" spans="1:10" x14ac:dyDescent="0.3">
      <c r="A452" t="s">
        <v>1921</v>
      </c>
      <c r="B452" s="8">
        <v>28.12</v>
      </c>
      <c r="C452">
        <v>4.88</v>
      </c>
      <c r="D452" t="s">
        <v>2379</v>
      </c>
      <c r="E452" t="s">
        <v>2379</v>
      </c>
      <c r="F452" t="s">
        <v>2379</v>
      </c>
      <c r="G452">
        <v>0</v>
      </c>
      <c r="H452" t="s">
        <v>2381</v>
      </c>
      <c r="I452" t="str" cm="1">
        <f t="array" ref="I452">_xlfn.IFS(B452&lt;18.5,"Underweight",AND(B452&gt;=18.5,B452&lt;=24.99),"Normalweight",AND(B452&gt;=25,B452&lt;=29.99),"Overweight",B452&gt;=30,"Obesity")</f>
        <v>Overweight</v>
      </c>
      <c r="J452" t="str" cm="1">
        <f t="array" ref="J452">_xlfn.IFS(C452&lt;5.7,"Normal",AND(C452&gt;=5.7,C452&lt;=6.49),"Prediabetes",C452&gt;=6.5,"Diabetes")</f>
        <v>Normal</v>
      </c>
    </row>
    <row r="453" spans="1:10" x14ac:dyDescent="0.3">
      <c r="A453" t="s">
        <v>1920</v>
      </c>
      <c r="B453" s="8">
        <v>23.21</v>
      </c>
      <c r="C453">
        <v>6.76</v>
      </c>
      <c r="D453" t="s">
        <v>2379</v>
      </c>
      <c r="E453" t="s">
        <v>2379</v>
      </c>
      <c r="F453" t="s">
        <v>2379</v>
      </c>
      <c r="G453">
        <v>0</v>
      </c>
      <c r="H453" t="s">
        <v>2381</v>
      </c>
      <c r="I453" t="str" cm="1">
        <f t="array" ref="I453">_xlfn.IFS(B453&lt;18.5,"Underweight",AND(B453&gt;=18.5,B453&lt;=24.99),"Normalweight",AND(B453&gt;=25,B453&lt;=29.99),"Overweight",B453&gt;=30,"Obesity")</f>
        <v>Normalweight</v>
      </c>
      <c r="J453" t="str" cm="1">
        <f t="array" ref="J453">_xlfn.IFS(C453&lt;5.7,"Normal",AND(C453&gt;=5.7,C453&lt;=6.49),"Prediabetes",C453&gt;=6.5,"Diabetes")</f>
        <v>Diabetes</v>
      </c>
    </row>
    <row r="454" spans="1:10" x14ac:dyDescent="0.3">
      <c r="A454" t="s">
        <v>1919</v>
      </c>
      <c r="B454" s="8">
        <v>23.98</v>
      </c>
      <c r="C454">
        <v>10.67</v>
      </c>
      <c r="D454" t="s">
        <v>2379</v>
      </c>
      <c r="E454" t="s">
        <v>2379</v>
      </c>
      <c r="F454" t="s">
        <v>2379</v>
      </c>
      <c r="G454">
        <v>0</v>
      </c>
      <c r="H454" t="s">
        <v>2379</v>
      </c>
      <c r="I454" t="str" cm="1">
        <f t="array" ref="I454">_xlfn.IFS(B454&lt;18.5,"Underweight",AND(B454&gt;=18.5,B454&lt;=24.99),"Normalweight",AND(B454&gt;=25,B454&lt;=29.99),"Overweight",B454&gt;=30,"Obesity")</f>
        <v>Normalweight</v>
      </c>
      <c r="J454" t="str" cm="1">
        <f t="array" ref="J454">_xlfn.IFS(C454&lt;5.7,"Normal",AND(C454&gt;=5.7,C454&lt;=6.49),"Prediabetes",C454&gt;=6.5,"Diabetes")</f>
        <v>Diabetes</v>
      </c>
    </row>
    <row r="455" spans="1:10" x14ac:dyDescent="0.3">
      <c r="A455" t="s">
        <v>1918</v>
      </c>
      <c r="B455" s="8">
        <v>30</v>
      </c>
      <c r="C455">
        <v>6.21</v>
      </c>
      <c r="D455" t="s">
        <v>2379</v>
      </c>
      <c r="E455" t="s">
        <v>2379</v>
      </c>
      <c r="F455" t="s">
        <v>2379</v>
      </c>
      <c r="G455">
        <v>0</v>
      </c>
      <c r="H455" t="s">
        <v>2381</v>
      </c>
      <c r="I455" t="str" cm="1">
        <f t="array" ref="I455">_xlfn.IFS(B455&lt;18.5,"Underweight",AND(B455&gt;=18.5,B455&lt;=24.99),"Normalweight",AND(B455&gt;=25,B455&lt;=29.99),"Overweight",B455&gt;=30,"Obesity")</f>
        <v>Obesity</v>
      </c>
      <c r="J455" t="str" cm="1">
        <f t="array" ref="J455">_xlfn.IFS(C455&lt;5.7,"Normal",AND(C455&gt;=5.7,C455&lt;=6.49),"Prediabetes",C455&gt;=6.5,"Diabetes")</f>
        <v>Prediabetes</v>
      </c>
    </row>
    <row r="456" spans="1:10" x14ac:dyDescent="0.3">
      <c r="A456" t="s">
        <v>1917</v>
      </c>
      <c r="B456" s="8">
        <v>17.350000000000001</v>
      </c>
      <c r="C456">
        <v>5.03</v>
      </c>
      <c r="D456" t="s">
        <v>2381</v>
      </c>
      <c r="E456" t="s">
        <v>2379</v>
      </c>
      <c r="F456" t="s">
        <v>2379</v>
      </c>
      <c r="G456">
        <v>0</v>
      </c>
      <c r="H456" t="s">
        <v>2381</v>
      </c>
      <c r="I456" t="str" cm="1">
        <f t="array" ref="I456">_xlfn.IFS(B456&lt;18.5,"Underweight",AND(B456&gt;=18.5,B456&lt;=24.99),"Normalweight",AND(B456&gt;=25,B456&lt;=29.99),"Overweight",B456&gt;=30,"Obesity")</f>
        <v>Underweight</v>
      </c>
      <c r="J456" t="str" cm="1">
        <f t="array" ref="J456">_xlfn.IFS(C456&lt;5.7,"Normal",AND(C456&gt;=5.7,C456&lt;=6.49),"Prediabetes",C456&gt;=6.5,"Diabetes")</f>
        <v>Normal</v>
      </c>
    </row>
    <row r="457" spans="1:10" x14ac:dyDescent="0.3">
      <c r="A457" t="s">
        <v>1916</v>
      </c>
      <c r="B457" s="8">
        <v>22.704999999999998</v>
      </c>
      <c r="C457">
        <v>5.27</v>
      </c>
      <c r="D457" t="s">
        <v>2379</v>
      </c>
      <c r="E457" t="s">
        <v>2379</v>
      </c>
      <c r="F457" t="s">
        <v>2379</v>
      </c>
      <c r="G457">
        <v>0</v>
      </c>
      <c r="H457" t="s">
        <v>2379</v>
      </c>
      <c r="I457" t="str" cm="1">
        <f t="array" ref="I457">_xlfn.IFS(B457&lt;18.5,"Underweight",AND(B457&gt;=18.5,B457&lt;=24.99),"Normalweight",AND(B457&gt;=25,B457&lt;=29.99),"Overweight",B457&gt;=30,"Obesity")</f>
        <v>Normalweight</v>
      </c>
      <c r="J457" t="str" cm="1">
        <f t="array" ref="J457">_xlfn.IFS(C457&lt;5.7,"Normal",AND(C457&gt;=5.7,C457&lt;=6.49),"Prediabetes",C457&gt;=6.5,"Diabetes")</f>
        <v>Normal</v>
      </c>
    </row>
    <row r="458" spans="1:10" x14ac:dyDescent="0.3">
      <c r="A458" t="s">
        <v>1915</v>
      </c>
      <c r="B458" s="8">
        <v>25.41</v>
      </c>
      <c r="C458">
        <v>10.53</v>
      </c>
      <c r="D458" t="s">
        <v>2381</v>
      </c>
      <c r="E458" t="s">
        <v>2379</v>
      </c>
      <c r="F458" t="s">
        <v>2379</v>
      </c>
      <c r="G458">
        <v>1</v>
      </c>
      <c r="H458" t="s">
        <v>2381</v>
      </c>
      <c r="I458" t="str" cm="1">
        <f t="array" ref="I458">_xlfn.IFS(B458&lt;18.5,"Underweight",AND(B458&gt;=18.5,B458&lt;=24.99),"Normalweight",AND(B458&gt;=25,B458&lt;=29.99),"Overweight",B458&gt;=30,"Obesity")</f>
        <v>Overweight</v>
      </c>
      <c r="J458" t="str" cm="1">
        <f t="array" ref="J458">_xlfn.IFS(C458&lt;5.7,"Normal",AND(C458&gt;=5.7,C458&lt;=6.49),"Prediabetes",C458&gt;=6.5,"Diabetes")</f>
        <v>Diabetes</v>
      </c>
    </row>
    <row r="459" spans="1:10" x14ac:dyDescent="0.3">
      <c r="A459" t="s">
        <v>1914</v>
      </c>
      <c r="B459" s="8">
        <v>18.23</v>
      </c>
      <c r="C459">
        <v>5.78</v>
      </c>
      <c r="D459" t="s">
        <v>2379</v>
      </c>
      <c r="E459" t="s">
        <v>2379</v>
      </c>
      <c r="F459" t="s">
        <v>2381</v>
      </c>
      <c r="G459">
        <v>1</v>
      </c>
      <c r="H459" t="s">
        <v>2381</v>
      </c>
      <c r="I459" t="str" cm="1">
        <f t="array" ref="I459">_xlfn.IFS(B459&lt;18.5,"Underweight",AND(B459&gt;=18.5,B459&lt;=24.99),"Normalweight",AND(B459&gt;=25,B459&lt;=29.99),"Overweight",B459&gt;=30,"Obesity")</f>
        <v>Underweight</v>
      </c>
      <c r="J459" t="str" cm="1">
        <f t="array" ref="J459">_xlfn.IFS(C459&lt;5.7,"Normal",AND(C459&gt;=5.7,C459&lt;=6.49),"Prediabetes",C459&gt;=6.5,"Diabetes")</f>
        <v>Prediabetes</v>
      </c>
    </row>
    <row r="460" spans="1:10" x14ac:dyDescent="0.3">
      <c r="A460" t="s">
        <v>1913</v>
      </c>
      <c r="B460" s="8">
        <v>24.7</v>
      </c>
      <c r="C460">
        <v>4.3600000000000003</v>
      </c>
      <c r="D460" t="s">
        <v>2379</v>
      </c>
      <c r="E460" t="s">
        <v>2379</v>
      </c>
      <c r="F460" t="s">
        <v>2381</v>
      </c>
      <c r="G460">
        <v>1</v>
      </c>
      <c r="H460" t="s">
        <v>2381</v>
      </c>
      <c r="I460" t="str" cm="1">
        <f t="array" ref="I460">_xlfn.IFS(B460&lt;18.5,"Underweight",AND(B460&gt;=18.5,B460&lt;=24.99),"Normalweight",AND(B460&gt;=25,B460&lt;=29.99),"Overweight",B460&gt;=30,"Obesity")</f>
        <v>Normalweight</v>
      </c>
      <c r="J460" t="str" cm="1">
        <f t="array" ref="J460">_xlfn.IFS(C460&lt;5.7,"Normal",AND(C460&gt;=5.7,C460&lt;=6.49),"Prediabetes",C460&gt;=6.5,"Diabetes")</f>
        <v>Normal</v>
      </c>
    </row>
    <row r="461" spans="1:10" x14ac:dyDescent="0.3">
      <c r="A461" t="s">
        <v>1912</v>
      </c>
      <c r="B461" s="8">
        <v>37.4</v>
      </c>
      <c r="C461">
        <v>9.7200000000000006</v>
      </c>
      <c r="D461" t="s">
        <v>2381</v>
      </c>
      <c r="E461" t="s">
        <v>2379</v>
      </c>
      <c r="F461" t="s">
        <v>2381</v>
      </c>
      <c r="G461">
        <v>1</v>
      </c>
      <c r="H461" t="s">
        <v>2379</v>
      </c>
      <c r="I461" t="str" cm="1">
        <f t="array" ref="I461">_xlfn.IFS(B461&lt;18.5,"Underweight",AND(B461&gt;=18.5,B461&lt;=24.99),"Normalweight",AND(B461&gt;=25,B461&lt;=29.99),"Overweight",B461&gt;=30,"Obesity")</f>
        <v>Obesity</v>
      </c>
      <c r="J461" t="str" cm="1">
        <f t="array" ref="J461">_xlfn.IFS(C461&lt;5.7,"Normal",AND(C461&gt;=5.7,C461&lt;=6.49),"Prediabetes",C461&gt;=6.5,"Diabetes")</f>
        <v>Diabetes</v>
      </c>
    </row>
    <row r="462" spans="1:10" x14ac:dyDescent="0.3">
      <c r="A462" t="s">
        <v>1911</v>
      </c>
      <c r="B462" s="8">
        <v>26.885000000000002</v>
      </c>
      <c r="C462">
        <v>5.18</v>
      </c>
      <c r="D462" t="s">
        <v>2379</v>
      </c>
      <c r="E462" t="s">
        <v>2379</v>
      </c>
      <c r="F462" t="s">
        <v>2381</v>
      </c>
      <c r="G462">
        <v>1</v>
      </c>
      <c r="H462" t="s">
        <v>2381</v>
      </c>
      <c r="I462" t="str" cm="1">
        <f t="array" ref="I462">_xlfn.IFS(B462&lt;18.5,"Underweight",AND(B462&gt;=18.5,B462&lt;=24.99),"Normalweight",AND(B462&gt;=25,B462&lt;=29.99),"Overweight",B462&gt;=30,"Obesity")</f>
        <v>Overweight</v>
      </c>
      <c r="J462" t="str" cm="1">
        <f t="array" ref="J462">_xlfn.IFS(C462&lt;5.7,"Normal",AND(C462&gt;=5.7,C462&lt;=6.49),"Prediabetes",C462&gt;=6.5,"Diabetes")</f>
        <v>Normal</v>
      </c>
    </row>
    <row r="463" spans="1:10" x14ac:dyDescent="0.3">
      <c r="A463" t="s">
        <v>1910</v>
      </c>
      <c r="B463" s="8">
        <v>25.27</v>
      </c>
      <c r="C463">
        <v>5.29</v>
      </c>
      <c r="D463" t="s">
        <v>2379</v>
      </c>
      <c r="E463" t="s">
        <v>2379</v>
      </c>
      <c r="F463" t="s">
        <v>2381</v>
      </c>
      <c r="G463">
        <v>1</v>
      </c>
      <c r="H463" t="s">
        <v>2381</v>
      </c>
      <c r="I463" t="str" cm="1">
        <f t="array" ref="I463">_xlfn.IFS(B463&lt;18.5,"Underweight",AND(B463&gt;=18.5,B463&lt;=24.99),"Normalweight",AND(B463&gt;=25,B463&lt;=29.99),"Overweight",B463&gt;=30,"Obesity")</f>
        <v>Overweight</v>
      </c>
      <c r="J463" t="str" cm="1">
        <f t="array" ref="J463">_xlfn.IFS(C463&lt;5.7,"Normal",AND(C463&gt;=5.7,C463&lt;=6.49),"Prediabetes",C463&gt;=6.5,"Diabetes")</f>
        <v>Normal</v>
      </c>
    </row>
    <row r="464" spans="1:10" x14ac:dyDescent="0.3">
      <c r="A464" t="s">
        <v>1909</v>
      </c>
      <c r="B464" s="8">
        <v>23.655000000000001</v>
      </c>
      <c r="C464">
        <v>4.8600000000000003</v>
      </c>
      <c r="D464" t="s">
        <v>2381</v>
      </c>
      <c r="E464" t="s">
        <v>2379</v>
      </c>
      <c r="F464" t="s">
        <v>2379</v>
      </c>
      <c r="G464">
        <v>0</v>
      </c>
      <c r="H464" t="s">
        <v>2381</v>
      </c>
      <c r="I464" t="str" cm="1">
        <f t="array" ref="I464">_xlfn.IFS(B464&lt;18.5,"Underweight",AND(B464&gt;=18.5,B464&lt;=24.99),"Normalweight",AND(B464&gt;=25,B464&lt;=29.99),"Overweight",B464&gt;=30,"Obesity")</f>
        <v>Normalweight</v>
      </c>
      <c r="J464" t="str" cm="1">
        <f t="array" ref="J464">_xlfn.IFS(C464&lt;5.7,"Normal",AND(C464&gt;=5.7,C464&lt;=6.49),"Prediabetes",C464&gt;=6.5,"Diabetes")</f>
        <v>Normal</v>
      </c>
    </row>
    <row r="465" spans="1:10" x14ac:dyDescent="0.3">
      <c r="A465" t="s">
        <v>1908</v>
      </c>
      <c r="B465" s="8">
        <v>55.05</v>
      </c>
      <c r="C465">
        <v>7.66</v>
      </c>
      <c r="D465" t="s">
        <v>2379</v>
      </c>
      <c r="E465" t="s">
        <v>2379</v>
      </c>
      <c r="F465" t="s">
        <v>2379</v>
      </c>
      <c r="G465">
        <v>0</v>
      </c>
      <c r="H465" t="s">
        <v>2379</v>
      </c>
      <c r="I465" t="str" cm="1">
        <f t="array" ref="I465">_xlfn.IFS(B465&lt;18.5,"Underweight",AND(B465&gt;=18.5,B465&lt;=24.99),"Normalweight",AND(B465&gt;=25,B465&lt;=29.99),"Overweight",B465&gt;=30,"Obesity")</f>
        <v>Obesity</v>
      </c>
      <c r="J465" t="str" cm="1">
        <f t="array" ref="J465">_xlfn.IFS(C465&lt;5.7,"Normal",AND(C465&gt;=5.7,C465&lt;=6.49),"Prediabetes",C465&gt;=6.5,"Diabetes")</f>
        <v>Diabetes</v>
      </c>
    </row>
    <row r="466" spans="1:10" x14ac:dyDescent="0.3">
      <c r="A466" t="s">
        <v>1907</v>
      </c>
      <c r="B466" s="8">
        <v>24.89</v>
      </c>
      <c r="C466">
        <v>6.1</v>
      </c>
      <c r="D466" t="s">
        <v>2381</v>
      </c>
      <c r="E466" t="s">
        <v>2379</v>
      </c>
      <c r="F466" t="s">
        <v>2381</v>
      </c>
      <c r="G466">
        <v>1</v>
      </c>
      <c r="H466" t="s">
        <v>2381</v>
      </c>
      <c r="I466" t="str" cm="1">
        <f t="array" ref="I466">_xlfn.IFS(B466&lt;18.5,"Underweight",AND(B466&gt;=18.5,B466&lt;=24.99),"Normalweight",AND(B466&gt;=25,B466&lt;=29.99),"Overweight",B466&gt;=30,"Obesity")</f>
        <v>Normalweight</v>
      </c>
      <c r="J466" t="str" cm="1">
        <f t="array" ref="J466">_xlfn.IFS(C466&lt;5.7,"Normal",AND(C466&gt;=5.7,C466&lt;=6.49),"Prediabetes",C466&gt;=6.5,"Diabetes")</f>
        <v>Prediabetes</v>
      </c>
    </row>
    <row r="467" spans="1:10" x14ac:dyDescent="0.3">
      <c r="A467" t="s">
        <v>1906</v>
      </c>
      <c r="B467" s="8">
        <v>18.715</v>
      </c>
      <c r="C467">
        <v>4.4400000000000004</v>
      </c>
      <c r="D467" t="s">
        <v>2379</v>
      </c>
      <c r="E467" t="s">
        <v>2379</v>
      </c>
      <c r="F467" t="s">
        <v>2379</v>
      </c>
      <c r="G467">
        <v>0</v>
      </c>
      <c r="H467" t="s">
        <v>2379</v>
      </c>
      <c r="I467" t="str" cm="1">
        <f t="array" ref="I467">_xlfn.IFS(B467&lt;18.5,"Underweight",AND(B467&gt;=18.5,B467&lt;=24.99),"Normalweight",AND(B467&gt;=25,B467&lt;=29.99),"Overweight",B467&gt;=30,"Obesity")</f>
        <v>Normalweight</v>
      </c>
      <c r="J467" t="str" cm="1">
        <f t="array" ref="J467">_xlfn.IFS(C467&lt;5.7,"Normal",AND(C467&gt;=5.7,C467&lt;=6.49),"Prediabetes",C467&gt;=6.5,"Diabetes")</f>
        <v>Normal</v>
      </c>
    </row>
    <row r="468" spans="1:10" x14ac:dyDescent="0.3">
      <c r="A468" t="s">
        <v>1905</v>
      </c>
      <c r="B468" s="8">
        <v>28.12</v>
      </c>
      <c r="C468">
        <v>6.15</v>
      </c>
      <c r="D468" t="s">
        <v>2379</v>
      </c>
      <c r="E468" t="s">
        <v>2379</v>
      </c>
      <c r="F468" t="s">
        <v>2379</v>
      </c>
      <c r="G468">
        <v>0</v>
      </c>
      <c r="H468" t="s">
        <v>2381</v>
      </c>
      <c r="I468" t="str" cm="1">
        <f t="array" ref="I468">_xlfn.IFS(B468&lt;18.5,"Underweight",AND(B468&gt;=18.5,B468&lt;=24.99),"Normalweight",AND(B468&gt;=25,B468&lt;=29.99),"Overweight",B468&gt;=30,"Obesity")</f>
        <v>Overweight</v>
      </c>
      <c r="J468" t="str" cm="1">
        <f t="array" ref="J468">_xlfn.IFS(C468&lt;5.7,"Normal",AND(C468&gt;=5.7,C468&lt;=6.49),"Prediabetes",C468&gt;=6.5,"Diabetes")</f>
        <v>Prediabetes</v>
      </c>
    </row>
    <row r="469" spans="1:10" x14ac:dyDescent="0.3">
      <c r="A469" t="s">
        <v>1904</v>
      </c>
      <c r="B469" s="8">
        <v>26.6</v>
      </c>
      <c r="C469">
        <v>4.53</v>
      </c>
      <c r="D469" t="s">
        <v>2379</v>
      </c>
      <c r="E469" t="s">
        <v>2379</v>
      </c>
      <c r="F469" t="s">
        <v>2379</v>
      </c>
      <c r="G469">
        <v>0</v>
      </c>
      <c r="H469" t="s">
        <v>2381</v>
      </c>
      <c r="I469" t="str" cm="1">
        <f t="array" ref="I469">_xlfn.IFS(B469&lt;18.5,"Underweight",AND(B469&gt;=18.5,B469&lt;=24.99),"Normalweight",AND(B469&gt;=25,B469&lt;=29.99),"Overweight",B469&gt;=30,"Obesity")</f>
        <v>Overweight</v>
      </c>
      <c r="J469" t="str" cm="1">
        <f t="array" ref="J469">_xlfn.IFS(C469&lt;5.7,"Normal",AND(C469&gt;=5.7,C469&lt;=6.49),"Prediabetes",C469&gt;=6.5,"Diabetes")</f>
        <v>Normal</v>
      </c>
    </row>
    <row r="470" spans="1:10" x14ac:dyDescent="0.3">
      <c r="A470" t="s">
        <v>1903</v>
      </c>
      <c r="B470" s="8">
        <v>30.114999999999998</v>
      </c>
      <c r="C470">
        <v>5.48</v>
      </c>
      <c r="D470" t="s">
        <v>2379</v>
      </c>
      <c r="E470" t="s">
        <v>2380</v>
      </c>
      <c r="F470" t="s">
        <v>2379</v>
      </c>
      <c r="G470">
        <v>1</v>
      </c>
      <c r="H470" t="s">
        <v>2379</v>
      </c>
      <c r="I470" t="str" cm="1">
        <f t="array" ref="I470">_xlfn.IFS(B470&lt;18.5,"Underweight",AND(B470&gt;=18.5,B470&lt;=24.99),"Normalweight",AND(B470&gt;=25,B470&lt;=29.99),"Overweight",B470&gt;=30,"Obesity")</f>
        <v>Obesity</v>
      </c>
      <c r="J470" t="str" cm="1">
        <f t="array" ref="J470">_xlfn.IFS(C470&lt;5.7,"Normal",AND(C470&gt;=5.7,C470&lt;=6.49),"Prediabetes",C470&gt;=6.5,"Diabetes")</f>
        <v>Normal</v>
      </c>
    </row>
    <row r="471" spans="1:10" x14ac:dyDescent="0.3">
      <c r="A471" t="s">
        <v>1902</v>
      </c>
      <c r="B471" s="8">
        <v>24.605</v>
      </c>
      <c r="C471">
        <v>5.48</v>
      </c>
      <c r="D471" t="s">
        <v>2379</v>
      </c>
      <c r="E471" t="s">
        <v>2379</v>
      </c>
      <c r="F471" t="s">
        <v>2379</v>
      </c>
      <c r="G471">
        <v>0</v>
      </c>
      <c r="H471" t="s">
        <v>2381</v>
      </c>
      <c r="I471" t="str" cm="1">
        <f t="array" ref="I471">_xlfn.IFS(B471&lt;18.5,"Underweight",AND(B471&gt;=18.5,B471&lt;=24.99),"Normalweight",AND(B471&gt;=25,B471&lt;=29.99),"Overweight",B471&gt;=30,"Obesity")</f>
        <v>Normalweight</v>
      </c>
      <c r="J471" t="str" cm="1">
        <f t="array" ref="J471">_xlfn.IFS(C471&lt;5.7,"Normal",AND(C471&gt;=5.7,C471&lt;=6.49),"Prediabetes",C471&gt;=6.5,"Diabetes")</f>
        <v>Normal</v>
      </c>
    </row>
    <row r="472" spans="1:10" x14ac:dyDescent="0.3">
      <c r="A472" t="s">
        <v>1901</v>
      </c>
      <c r="B472" s="8">
        <v>29.6</v>
      </c>
      <c r="C472">
        <v>8.1</v>
      </c>
      <c r="D472" t="s">
        <v>2379</v>
      </c>
      <c r="E472" t="s">
        <v>2379</v>
      </c>
      <c r="F472" t="s">
        <v>2379</v>
      </c>
      <c r="G472">
        <v>0</v>
      </c>
      <c r="H472" t="s">
        <v>2379</v>
      </c>
      <c r="I472" t="str" cm="1">
        <f t="array" ref="I472">_xlfn.IFS(B472&lt;18.5,"Underweight",AND(B472&gt;=18.5,B472&lt;=24.99),"Normalweight",AND(B472&gt;=25,B472&lt;=29.99),"Overweight",B472&gt;=30,"Obesity")</f>
        <v>Overweight</v>
      </c>
      <c r="J472" t="str" cm="1">
        <f t="array" ref="J472">_xlfn.IFS(C472&lt;5.7,"Normal",AND(C472&gt;=5.7,C472&lt;=6.49),"Prediabetes",C472&gt;=6.5,"Diabetes")</f>
        <v>Diabetes</v>
      </c>
    </row>
    <row r="473" spans="1:10" x14ac:dyDescent="0.3">
      <c r="A473" t="s">
        <v>1900</v>
      </c>
      <c r="B473" s="8">
        <v>24.42</v>
      </c>
      <c r="C473">
        <v>7.16</v>
      </c>
      <c r="D473" t="s">
        <v>2379</v>
      </c>
      <c r="E473" t="s">
        <v>2379</v>
      </c>
      <c r="F473" t="s">
        <v>2379</v>
      </c>
      <c r="G473">
        <v>0</v>
      </c>
      <c r="H473" t="s">
        <v>2381</v>
      </c>
      <c r="I473" t="str" cm="1">
        <f t="array" ref="I473">_xlfn.IFS(B473&lt;18.5,"Underweight",AND(B473&gt;=18.5,B473&lt;=24.99),"Normalweight",AND(B473&gt;=25,B473&lt;=29.99),"Overweight",B473&gt;=30,"Obesity")</f>
        <v>Normalweight</v>
      </c>
      <c r="J473" t="str" cm="1">
        <f t="array" ref="J473">_xlfn.IFS(C473&lt;5.7,"Normal",AND(C473&gt;=5.7,C473&lt;=6.49),"Prediabetes",C473&gt;=6.5,"Diabetes")</f>
        <v>Diabetes</v>
      </c>
    </row>
    <row r="474" spans="1:10" x14ac:dyDescent="0.3">
      <c r="A474" t="s">
        <v>1899</v>
      </c>
      <c r="B474" s="8">
        <v>20.9</v>
      </c>
      <c r="C474">
        <v>4.55</v>
      </c>
      <c r="D474" t="s">
        <v>2381</v>
      </c>
      <c r="E474" t="s">
        <v>2379</v>
      </c>
      <c r="F474" t="s">
        <v>2381</v>
      </c>
      <c r="G474">
        <v>1</v>
      </c>
      <c r="H474" t="s">
        <v>2381</v>
      </c>
      <c r="I474" t="str" cm="1">
        <f t="array" ref="I474">_xlfn.IFS(B474&lt;18.5,"Underweight",AND(B474&gt;=18.5,B474&lt;=24.99),"Normalweight",AND(B474&gt;=25,B474&lt;=29.99),"Overweight",B474&gt;=30,"Obesity")</f>
        <v>Normalweight</v>
      </c>
      <c r="J474" t="str" cm="1">
        <f t="array" ref="J474">_xlfn.IFS(C474&lt;5.7,"Normal",AND(C474&gt;=5.7,C474&lt;=6.49),"Prediabetes",C474&gt;=6.5,"Diabetes")</f>
        <v>Normal</v>
      </c>
    </row>
    <row r="475" spans="1:10" x14ac:dyDescent="0.3">
      <c r="A475" t="s">
        <v>1898</v>
      </c>
      <c r="B475" s="8">
        <v>22.895</v>
      </c>
      <c r="C475">
        <v>6.03</v>
      </c>
      <c r="D475" t="s">
        <v>2379</v>
      </c>
      <c r="E475" t="s">
        <v>2379</v>
      </c>
      <c r="F475" t="s">
        <v>2379</v>
      </c>
      <c r="G475">
        <v>0</v>
      </c>
      <c r="H475" t="s">
        <v>2381</v>
      </c>
      <c r="I475" t="str" cm="1">
        <f t="array" ref="I475">_xlfn.IFS(B475&lt;18.5,"Underweight",AND(B475&gt;=18.5,B475&lt;=24.99),"Normalweight",AND(B475&gt;=25,B475&lt;=29.99),"Overweight",B475&gt;=30,"Obesity")</f>
        <v>Normalweight</v>
      </c>
      <c r="J475" t="str" cm="1">
        <f t="array" ref="J475">_xlfn.IFS(C475&lt;5.7,"Normal",AND(C475&gt;=5.7,C475&lt;=6.49),"Prediabetes",C475&gt;=6.5,"Diabetes")</f>
        <v>Prediabetes</v>
      </c>
    </row>
    <row r="476" spans="1:10" x14ac:dyDescent="0.3">
      <c r="A476" t="s">
        <v>1897</v>
      </c>
      <c r="B476" s="8">
        <v>28.3</v>
      </c>
      <c r="C476">
        <v>5.47</v>
      </c>
      <c r="D476" t="s">
        <v>2381</v>
      </c>
      <c r="E476" t="s">
        <v>2379</v>
      </c>
      <c r="F476" t="s">
        <v>2381</v>
      </c>
      <c r="G476">
        <v>1</v>
      </c>
      <c r="H476" t="s">
        <v>2381</v>
      </c>
      <c r="I476" t="str" cm="1">
        <f t="array" ref="I476">_xlfn.IFS(B476&lt;18.5,"Underweight",AND(B476&gt;=18.5,B476&lt;=24.99),"Normalweight",AND(B476&gt;=25,B476&lt;=29.99),"Overweight",B476&gt;=30,"Obesity")</f>
        <v>Overweight</v>
      </c>
      <c r="J476" t="str" cm="1">
        <f t="array" ref="J476">_xlfn.IFS(C476&lt;5.7,"Normal",AND(C476&gt;=5.7,C476&lt;=6.49),"Prediabetes",C476&gt;=6.5,"Diabetes")</f>
        <v>Normal</v>
      </c>
    </row>
    <row r="477" spans="1:10" x14ac:dyDescent="0.3">
      <c r="A477" t="s">
        <v>1895</v>
      </c>
      <c r="B477" s="8">
        <v>54.3</v>
      </c>
      <c r="C477">
        <v>4.1500000000000004</v>
      </c>
      <c r="D477" t="s">
        <v>2381</v>
      </c>
      <c r="E477" t="s">
        <v>2379</v>
      </c>
      <c r="F477" t="s">
        <v>2379</v>
      </c>
      <c r="G477">
        <v>1</v>
      </c>
      <c r="H477" t="s">
        <v>2379</v>
      </c>
      <c r="I477" t="str" cm="1">
        <f t="array" ref="I477">_xlfn.IFS(B477&lt;18.5,"Underweight",AND(B477&gt;=18.5,B477&lt;=24.99),"Normalweight",AND(B477&gt;=25,B477&lt;=29.99),"Overweight",B477&gt;=30,"Obesity")</f>
        <v>Obesity</v>
      </c>
      <c r="J477" t="str" cm="1">
        <f t="array" ref="J477">_xlfn.IFS(C477&lt;5.7,"Normal",AND(C477&gt;=5.7,C477&lt;=6.49),"Prediabetes",C477&gt;=6.5,"Diabetes")</f>
        <v>Normal</v>
      </c>
    </row>
    <row r="478" spans="1:10" x14ac:dyDescent="0.3">
      <c r="A478" t="s">
        <v>1894</v>
      </c>
      <c r="B478" s="8">
        <v>33.344999999999999</v>
      </c>
      <c r="C478">
        <v>11.32</v>
      </c>
      <c r="D478" t="s">
        <v>2381</v>
      </c>
      <c r="E478" t="s">
        <v>2379</v>
      </c>
      <c r="F478" t="s">
        <v>2379</v>
      </c>
      <c r="G478">
        <v>1</v>
      </c>
      <c r="H478" t="s">
        <v>2379</v>
      </c>
      <c r="I478" t="str" cm="1">
        <f t="array" ref="I478">_xlfn.IFS(B478&lt;18.5,"Underweight",AND(B478&gt;=18.5,B478&lt;=24.99),"Normalweight",AND(B478&gt;=25,B478&lt;=29.99),"Overweight",B478&gt;=30,"Obesity")</f>
        <v>Obesity</v>
      </c>
      <c r="J478" t="str" cm="1">
        <f t="array" ref="J478">_xlfn.IFS(C478&lt;5.7,"Normal",AND(C478&gt;=5.7,C478&lt;=6.49),"Prediabetes",C478&gt;=6.5,"Diabetes")</f>
        <v>Diabetes</v>
      </c>
    </row>
    <row r="479" spans="1:10" x14ac:dyDescent="0.3">
      <c r="A479" t="s">
        <v>1893</v>
      </c>
      <c r="B479" s="8">
        <v>33</v>
      </c>
      <c r="C479">
        <v>9.51</v>
      </c>
      <c r="D479" t="s">
        <v>2381</v>
      </c>
      <c r="E479" t="s">
        <v>2379</v>
      </c>
      <c r="F479" t="s">
        <v>2379</v>
      </c>
      <c r="G479">
        <v>0</v>
      </c>
      <c r="H479" t="s">
        <v>2379</v>
      </c>
      <c r="I479" t="str" cm="1">
        <f t="array" ref="I479">_xlfn.IFS(B479&lt;18.5,"Underweight",AND(B479&gt;=18.5,B479&lt;=24.99),"Normalweight",AND(B479&gt;=25,B479&lt;=29.99),"Overweight",B479&gt;=30,"Obesity")</f>
        <v>Obesity</v>
      </c>
      <c r="J479" t="str" cm="1">
        <f t="array" ref="J479">_xlfn.IFS(C479&lt;5.7,"Normal",AND(C479&gt;=5.7,C479&lt;=6.49),"Prediabetes",C479&gt;=6.5,"Diabetes")</f>
        <v>Diabetes</v>
      </c>
    </row>
    <row r="480" spans="1:10" x14ac:dyDescent="0.3">
      <c r="A480" t="s">
        <v>1892</v>
      </c>
      <c r="B480" s="8">
        <v>28.024999999999999</v>
      </c>
      <c r="C480">
        <v>7.67</v>
      </c>
      <c r="D480" t="s">
        <v>2381</v>
      </c>
      <c r="E480" t="s">
        <v>2379</v>
      </c>
      <c r="F480" t="s">
        <v>2379</v>
      </c>
      <c r="G480">
        <v>1</v>
      </c>
      <c r="H480" t="s">
        <v>2381</v>
      </c>
      <c r="I480" t="str" cm="1">
        <f t="array" ref="I480">_xlfn.IFS(B480&lt;18.5,"Underweight",AND(B480&gt;=18.5,B480&lt;=24.99),"Normalweight",AND(B480&gt;=25,B480&lt;=29.99),"Overweight",B480&gt;=30,"Obesity")</f>
        <v>Overweight</v>
      </c>
      <c r="J480" t="str" cm="1">
        <f t="array" ref="J480">_xlfn.IFS(C480&lt;5.7,"Normal",AND(C480&gt;=5.7,C480&lt;=6.49),"Prediabetes",C480&gt;=6.5,"Diabetes")</f>
        <v>Diabetes</v>
      </c>
    </row>
    <row r="481" spans="1:10" x14ac:dyDescent="0.3">
      <c r="A481" t="s">
        <v>1891</v>
      </c>
      <c r="B481" s="8">
        <v>28.69</v>
      </c>
      <c r="C481">
        <v>6.23</v>
      </c>
      <c r="D481" t="s">
        <v>2379</v>
      </c>
      <c r="E481" t="s">
        <v>2379</v>
      </c>
      <c r="F481" t="s">
        <v>2379</v>
      </c>
      <c r="G481">
        <v>1</v>
      </c>
      <c r="H481" t="s">
        <v>2381</v>
      </c>
      <c r="I481" t="str" cm="1">
        <f t="array" ref="I481">_xlfn.IFS(B481&lt;18.5,"Underweight",AND(B481&gt;=18.5,B481&lt;=24.99),"Normalweight",AND(B481&gt;=25,B481&lt;=29.99),"Overweight",B481&gt;=30,"Obesity")</f>
        <v>Overweight</v>
      </c>
      <c r="J481" t="str" cm="1">
        <f t="array" ref="J481">_xlfn.IFS(C481&lt;5.7,"Normal",AND(C481&gt;=5.7,C481&lt;=6.49),"Prediabetes",C481&gt;=6.5,"Diabetes")</f>
        <v>Prediabetes</v>
      </c>
    </row>
    <row r="482" spans="1:10" x14ac:dyDescent="0.3">
      <c r="A482" t="s">
        <v>1890</v>
      </c>
      <c r="B482" s="8">
        <v>40.28</v>
      </c>
      <c r="C482">
        <v>8.9</v>
      </c>
      <c r="D482" t="s">
        <v>2379</v>
      </c>
      <c r="E482" t="s">
        <v>2379</v>
      </c>
      <c r="F482" t="s">
        <v>2379</v>
      </c>
      <c r="G482">
        <v>0</v>
      </c>
      <c r="H482" t="s">
        <v>2379</v>
      </c>
      <c r="I482" t="str" cm="1">
        <f t="array" ref="I482">_xlfn.IFS(B482&lt;18.5,"Underweight",AND(B482&gt;=18.5,B482&lt;=24.99),"Normalweight",AND(B482&gt;=25,B482&lt;=29.99),"Overweight",B482&gt;=30,"Obesity")</f>
        <v>Obesity</v>
      </c>
      <c r="J482" t="str" cm="1">
        <f t="array" ref="J482">_xlfn.IFS(C482&lt;5.7,"Normal",AND(C482&gt;=5.7,C482&lt;=6.49),"Prediabetes",C482&gt;=6.5,"Diabetes")</f>
        <v>Diabetes</v>
      </c>
    </row>
    <row r="483" spans="1:10" x14ac:dyDescent="0.3">
      <c r="A483" t="s">
        <v>1889</v>
      </c>
      <c r="B483" s="8">
        <v>37.299999999999997</v>
      </c>
      <c r="C483">
        <v>7.79</v>
      </c>
      <c r="D483" t="s">
        <v>2381</v>
      </c>
      <c r="E483" t="s">
        <v>2379</v>
      </c>
      <c r="F483" t="s">
        <v>2379</v>
      </c>
      <c r="G483">
        <v>0</v>
      </c>
      <c r="H483" t="s">
        <v>2379</v>
      </c>
      <c r="I483" t="str" cm="1">
        <f t="array" ref="I483">_xlfn.IFS(B483&lt;18.5,"Underweight",AND(B483&gt;=18.5,B483&lt;=24.99),"Normalweight",AND(B483&gt;=25,B483&lt;=29.99),"Overweight",B483&gt;=30,"Obesity")</f>
        <v>Obesity</v>
      </c>
      <c r="J483" t="str" cm="1">
        <f t="array" ref="J483">_xlfn.IFS(C483&lt;5.7,"Normal",AND(C483&gt;=5.7,C483&lt;=6.49),"Prediabetes",C483&gt;=6.5,"Diabetes")</f>
        <v>Diabetes</v>
      </c>
    </row>
    <row r="484" spans="1:10" x14ac:dyDescent="0.3">
      <c r="A484" t="s">
        <v>1888</v>
      </c>
      <c r="B484" s="8">
        <v>54.47</v>
      </c>
      <c r="C484">
        <v>4.49</v>
      </c>
      <c r="D484" t="s">
        <v>2381</v>
      </c>
      <c r="E484" t="s">
        <v>2379</v>
      </c>
      <c r="F484" t="s">
        <v>2379</v>
      </c>
      <c r="G484">
        <v>2</v>
      </c>
      <c r="H484" t="s">
        <v>2379</v>
      </c>
      <c r="I484" t="str" cm="1">
        <f t="array" ref="I484">_xlfn.IFS(B484&lt;18.5,"Underweight",AND(B484&gt;=18.5,B484&lt;=24.99),"Normalweight",AND(B484&gt;=25,B484&lt;=29.99),"Overweight",B484&gt;=30,"Obesity")</f>
        <v>Obesity</v>
      </c>
      <c r="J484" t="str" cm="1">
        <f t="array" ref="J484">_xlfn.IFS(C484&lt;5.7,"Normal",AND(C484&gt;=5.7,C484&lt;=6.49),"Prediabetes",C484&gt;=6.5,"Diabetes")</f>
        <v>Normal</v>
      </c>
    </row>
    <row r="485" spans="1:10" x14ac:dyDescent="0.3">
      <c r="A485" t="s">
        <v>1887</v>
      </c>
      <c r="B485" s="8">
        <v>38.06</v>
      </c>
      <c r="C485">
        <v>5.24</v>
      </c>
      <c r="D485" t="s">
        <v>2381</v>
      </c>
      <c r="E485" t="s">
        <v>2379</v>
      </c>
      <c r="F485" t="s">
        <v>2381</v>
      </c>
      <c r="G485">
        <v>1</v>
      </c>
      <c r="H485" t="s">
        <v>2379</v>
      </c>
      <c r="I485" t="str" cm="1">
        <f t="array" ref="I485">_xlfn.IFS(B485&lt;18.5,"Underweight",AND(B485&gt;=18.5,B485&lt;=24.99),"Normalweight",AND(B485&gt;=25,B485&lt;=29.99),"Overweight",B485&gt;=30,"Obesity")</f>
        <v>Obesity</v>
      </c>
      <c r="J485" t="str" cm="1">
        <f t="array" ref="J485">_xlfn.IFS(C485&lt;5.7,"Normal",AND(C485&gt;=5.7,C485&lt;=6.49),"Prediabetes",C485&gt;=6.5,"Diabetes")</f>
        <v>Normal</v>
      </c>
    </row>
    <row r="486" spans="1:10" x14ac:dyDescent="0.3">
      <c r="A486" t="s">
        <v>1886</v>
      </c>
      <c r="B486" s="8">
        <v>51.47</v>
      </c>
      <c r="C486">
        <v>9.6</v>
      </c>
      <c r="D486" t="s">
        <v>2379</v>
      </c>
      <c r="E486" t="s">
        <v>2379</v>
      </c>
      <c r="F486" t="s">
        <v>2379</v>
      </c>
      <c r="G486">
        <v>0</v>
      </c>
      <c r="H486" t="s">
        <v>2379</v>
      </c>
      <c r="I486" t="str" cm="1">
        <f t="array" ref="I486">_xlfn.IFS(B486&lt;18.5,"Underweight",AND(B486&gt;=18.5,B486&lt;=24.99),"Normalweight",AND(B486&gt;=25,B486&lt;=29.99),"Overweight",B486&gt;=30,"Obesity")</f>
        <v>Obesity</v>
      </c>
      <c r="J486" t="str" cm="1">
        <f t="array" ref="J486">_xlfn.IFS(C486&lt;5.7,"Normal",AND(C486&gt;=5.7,C486&lt;=6.49),"Prediabetes",C486&gt;=6.5,"Diabetes")</f>
        <v>Diabetes</v>
      </c>
    </row>
    <row r="487" spans="1:10" x14ac:dyDescent="0.3">
      <c r="A487" t="s">
        <v>1885</v>
      </c>
      <c r="B487" s="8">
        <v>29.8</v>
      </c>
      <c r="C487">
        <v>5.78</v>
      </c>
      <c r="D487" t="s">
        <v>2381</v>
      </c>
      <c r="E487" t="s">
        <v>2379</v>
      </c>
      <c r="F487" t="s">
        <v>2379</v>
      </c>
      <c r="G487">
        <v>0</v>
      </c>
      <c r="H487" t="s">
        <v>2379</v>
      </c>
      <c r="I487" t="str" cm="1">
        <f t="array" ref="I487">_xlfn.IFS(B487&lt;18.5,"Underweight",AND(B487&gt;=18.5,B487&lt;=24.99),"Normalweight",AND(B487&gt;=25,B487&lt;=29.99),"Overweight",B487&gt;=30,"Obesity")</f>
        <v>Overweight</v>
      </c>
      <c r="J487" t="str" cm="1">
        <f t="array" ref="J487">_xlfn.IFS(C487&lt;5.7,"Normal",AND(C487&gt;=5.7,C487&lt;=6.49),"Prediabetes",C487&gt;=6.5,"Diabetes")</f>
        <v>Prediabetes</v>
      </c>
    </row>
    <row r="488" spans="1:10" x14ac:dyDescent="0.3">
      <c r="A488" t="s">
        <v>1884</v>
      </c>
      <c r="B488" s="8">
        <v>49.77</v>
      </c>
      <c r="C488">
        <v>7.02</v>
      </c>
      <c r="D488" t="s">
        <v>2379</v>
      </c>
      <c r="E488" t="s">
        <v>2379</v>
      </c>
      <c r="F488" t="s">
        <v>2379</v>
      </c>
      <c r="G488">
        <v>0</v>
      </c>
      <c r="H488" t="s">
        <v>2379</v>
      </c>
      <c r="I488" t="str" cm="1">
        <f t="array" ref="I488">_xlfn.IFS(B488&lt;18.5,"Underweight",AND(B488&gt;=18.5,B488&lt;=24.99),"Normalweight",AND(B488&gt;=25,B488&lt;=29.99),"Overweight",B488&gt;=30,"Obesity")</f>
        <v>Obesity</v>
      </c>
      <c r="J488" t="str" cm="1">
        <f t="array" ref="J488">_xlfn.IFS(C488&lt;5.7,"Normal",AND(C488&gt;=5.7,C488&lt;=6.49),"Prediabetes",C488&gt;=6.5,"Diabetes")</f>
        <v>Diabetes</v>
      </c>
    </row>
    <row r="489" spans="1:10" x14ac:dyDescent="0.3">
      <c r="A489" t="s">
        <v>1883</v>
      </c>
      <c r="B489" s="8">
        <v>25.555</v>
      </c>
      <c r="C489">
        <v>4.09</v>
      </c>
      <c r="D489" t="s">
        <v>2381</v>
      </c>
      <c r="E489" t="s">
        <v>2379</v>
      </c>
      <c r="F489" t="s">
        <v>2379</v>
      </c>
      <c r="G489">
        <v>0</v>
      </c>
      <c r="H489" t="s">
        <v>2381</v>
      </c>
      <c r="I489" t="str" cm="1">
        <f t="array" ref="I489">_xlfn.IFS(B489&lt;18.5,"Underweight",AND(B489&gt;=18.5,B489&lt;=24.99),"Normalweight",AND(B489&gt;=25,B489&lt;=29.99),"Overweight",B489&gt;=30,"Obesity")</f>
        <v>Overweight</v>
      </c>
      <c r="J489" t="str" cm="1">
        <f t="array" ref="J489">_xlfn.IFS(C489&lt;5.7,"Normal",AND(C489&gt;=5.7,C489&lt;=6.49),"Prediabetes",C489&gt;=6.5,"Diabetes")</f>
        <v>Normal</v>
      </c>
    </row>
    <row r="490" spans="1:10" x14ac:dyDescent="0.3">
      <c r="A490" t="s">
        <v>1882</v>
      </c>
      <c r="B490" s="8">
        <v>29.64</v>
      </c>
      <c r="C490">
        <v>4.93</v>
      </c>
      <c r="D490" t="s">
        <v>2379</v>
      </c>
      <c r="E490" t="s">
        <v>2379</v>
      </c>
      <c r="F490" t="s">
        <v>2381</v>
      </c>
      <c r="G490">
        <v>1</v>
      </c>
      <c r="H490" t="s">
        <v>2379</v>
      </c>
      <c r="I490" t="str" cm="1">
        <f t="array" ref="I490">_xlfn.IFS(B490&lt;18.5,"Underweight",AND(B490&gt;=18.5,B490&lt;=24.99),"Normalweight",AND(B490&gt;=25,B490&lt;=29.99),"Overweight",B490&gt;=30,"Obesity")</f>
        <v>Overweight</v>
      </c>
      <c r="J490" t="str" cm="1">
        <f t="array" ref="J490">_xlfn.IFS(C490&lt;5.7,"Normal",AND(C490&gt;=5.7,C490&lt;=6.49),"Prediabetes",C490&gt;=6.5,"Diabetes")</f>
        <v>Normal</v>
      </c>
    </row>
    <row r="491" spans="1:10" x14ac:dyDescent="0.3">
      <c r="A491" t="s">
        <v>1881</v>
      </c>
      <c r="B491" s="8">
        <v>53.93</v>
      </c>
      <c r="C491">
        <v>5.34</v>
      </c>
      <c r="D491" t="s">
        <v>2381</v>
      </c>
      <c r="E491" t="s">
        <v>2379</v>
      </c>
      <c r="F491" t="s">
        <v>2379</v>
      </c>
      <c r="G491">
        <v>2</v>
      </c>
      <c r="H491" t="s">
        <v>2379</v>
      </c>
      <c r="I491" t="str" cm="1">
        <f t="array" ref="I491">_xlfn.IFS(B491&lt;18.5,"Underweight",AND(B491&gt;=18.5,B491&lt;=24.99),"Normalweight",AND(B491&gt;=25,B491&lt;=29.99),"Overweight",B491&gt;=30,"Obesity")</f>
        <v>Obesity</v>
      </c>
      <c r="J491" t="str" cm="1">
        <f t="array" ref="J491">_xlfn.IFS(C491&lt;5.7,"Normal",AND(C491&gt;=5.7,C491&lt;=6.49),"Prediabetes",C491&gt;=6.5,"Diabetes")</f>
        <v>Normal</v>
      </c>
    </row>
    <row r="492" spans="1:10" x14ac:dyDescent="0.3">
      <c r="A492" t="s">
        <v>1880</v>
      </c>
      <c r="B492" s="8">
        <v>28.024999999999999</v>
      </c>
      <c r="C492">
        <v>5.65</v>
      </c>
      <c r="D492" t="s">
        <v>2379</v>
      </c>
      <c r="E492" t="s">
        <v>2379</v>
      </c>
      <c r="F492" t="s">
        <v>2379</v>
      </c>
      <c r="G492">
        <v>1</v>
      </c>
      <c r="H492" t="s">
        <v>2381</v>
      </c>
      <c r="I492" t="str" cm="1">
        <f t="array" ref="I492">_xlfn.IFS(B492&lt;18.5,"Underweight",AND(B492&gt;=18.5,B492&lt;=24.99),"Normalweight",AND(B492&gt;=25,B492&lt;=29.99),"Overweight",B492&gt;=30,"Obesity")</f>
        <v>Overweight</v>
      </c>
      <c r="J492" t="str" cm="1">
        <f t="array" ref="J492">_xlfn.IFS(C492&lt;5.7,"Normal",AND(C492&gt;=5.7,C492&lt;=6.49),"Prediabetes",C492&gt;=6.5,"Diabetes")</f>
        <v>Normal</v>
      </c>
    </row>
    <row r="493" spans="1:10" x14ac:dyDescent="0.3">
      <c r="A493" t="s">
        <v>1879</v>
      </c>
      <c r="B493" s="8">
        <v>27.5</v>
      </c>
      <c r="C493">
        <v>4.49</v>
      </c>
      <c r="D493" t="s">
        <v>2379</v>
      </c>
      <c r="E493" t="s">
        <v>2379</v>
      </c>
      <c r="F493" t="s">
        <v>2379</v>
      </c>
      <c r="G493">
        <v>0</v>
      </c>
      <c r="H493" t="s">
        <v>2379</v>
      </c>
      <c r="I493" t="str" cm="1">
        <f t="array" ref="I493">_xlfn.IFS(B493&lt;18.5,"Underweight",AND(B493&gt;=18.5,B493&lt;=24.99),"Normalweight",AND(B493&gt;=25,B493&lt;=29.99),"Overweight",B493&gt;=30,"Obesity")</f>
        <v>Overweight</v>
      </c>
      <c r="J493" t="str" cm="1">
        <f t="array" ref="J493">_xlfn.IFS(C493&lt;5.7,"Normal",AND(C493&gt;=5.7,C493&lt;=6.49),"Prediabetes",C493&gt;=6.5,"Diabetes")</f>
        <v>Normal</v>
      </c>
    </row>
    <row r="494" spans="1:10" x14ac:dyDescent="0.3">
      <c r="A494" t="s">
        <v>1878</v>
      </c>
      <c r="B494" s="8">
        <v>21.8</v>
      </c>
      <c r="C494">
        <v>10.55</v>
      </c>
      <c r="D494" t="s">
        <v>2379</v>
      </c>
      <c r="E494" t="s">
        <v>2379</v>
      </c>
      <c r="F494" t="s">
        <v>2379</v>
      </c>
      <c r="G494">
        <v>0</v>
      </c>
      <c r="H494" t="s">
        <v>2381</v>
      </c>
      <c r="I494" t="str" cm="1">
        <f t="array" ref="I494">_xlfn.IFS(B494&lt;18.5,"Underweight",AND(B494&gt;=18.5,B494&lt;=24.99),"Normalweight",AND(B494&gt;=25,B494&lt;=29.99),"Overweight",B494&gt;=30,"Obesity")</f>
        <v>Normalweight</v>
      </c>
      <c r="J494" t="str" cm="1">
        <f t="array" ref="J494">_xlfn.IFS(C494&lt;5.7,"Normal",AND(C494&gt;=5.7,C494&lt;=6.49),"Prediabetes",C494&gt;=6.5,"Diabetes")</f>
        <v>Diabetes</v>
      </c>
    </row>
    <row r="495" spans="1:10" x14ac:dyDescent="0.3">
      <c r="A495" t="s">
        <v>1877</v>
      </c>
      <c r="B495" s="8">
        <v>26.41</v>
      </c>
      <c r="C495">
        <v>4.92</v>
      </c>
      <c r="D495" t="s">
        <v>2381</v>
      </c>
      <c r="E495" t="s">
        <v>2379</v>
      </c>
      <c r="F495" t="s">
        <v>2381</v>
      </c>
      <c r="G495">
        <v>1</v>
      </c>
      <c r="H495" t="s">
        <v>2381</v>
      </c>
      <c r="I495" t="str" cm="1">
        <f t="array" ref="I495">_xlfn.IFS(B495&lt;18.5,"Underweight",AND(B495&gt;=18.5,B495&lt;=24.99),"Normalweight",AND(B495&gt;=25,B495&lt;=29.99),"Overweight",B495&gt;=30,"Obesity")</f>
        <v>Overweight</v>
      </c>
      <c r="J495" t="str" cm="1">
        <f t="array" ref="J495">_xlfn.IFS(C495&lt;5.7,"Normal",AND(C495&gt;=5.7,C495&lt;=6.49),"Prediabetes",C495&gt;=6.5,"Diabetes")</f>
        <v>Normal</v>
      </c>
    </row>
    <row r="496" spans="1:10" x14ac:dyDescent="0.3">
      <c r="A496" t="s">
        <v>1876</v>
      </c>
      <c r="B496" s="8">
        <v>27.835000000000001</v>
      </c>
      <c r="C496">
        <v>5.9</v>
      </c>
      <c r="D496" t="s">
        <v>2381</v>
      </c>
      <c r="E496" t="s">
        <v>2379</v>
      </c>
      <c r="F496" t="s">
        <v>2379</v>
      </c>
      <c r="G496">
        <v>1</v>
      </c>
      <c r="H496" t="s">
        <v>2381</v>
      </c>
      <c r="I496" t="str" cm="1">
        <f t="array" ref="I496">_xlfn.IFS(B496&lt;18.5,"Underweight",AND(B496&gt;=18.5,B496&lt;=24.99),"Normalweight",AND(B496&gt;=25,B496&lt;=29.99),"Overweight",B496&gt;=30,"Obesity")</f>
        <v>Overweight</v>
      </c>
      <c r="J496" t="str" cm="1">
        <f t="array" ref="J496">_xlfn.IFS(C496&lt;5.7,"Normal",AND(C496&gt;=5.7,C496&lt;=6.49),"Prediabetes",C496&gt;=6.5,"Diabetes")</f>
        <v>Prediabetes</v>
      </c>
    </row>
    <row r="497" spans="1:10" x14ac:dyDescent="0.3">
      <c r="A497" t="s">
        <v>1875</v>
      </c>
      <c r="B497" s="8">
        <v>51.74</v>
      </c>
      <c r="C497">
        <v>4.9800000000000004</v>
      </c>
      <c r="D497" t="s">
        <v>2381</v>
      </c>
      <c r="E497" t="s">
        <v>2379</v>
      </c>
      <c r="F497" t="s">
        <v>2379</v>
      </c>
      <c r="G497">
        <v>2</v>
      </c>
      <c r="H497" t="s">
        <v>2379</v>
      </c>
      <c r="I497" t="str" cm="1">
        <f t="array" ref="I497">_xlfn.IFS(B497&lt;18.5,"Underweight",AND(B497&gt;=18.5,B497&lt;=24.99),"Normalweight",AND(B497&gt;=25,B497&lt;=29.99),"Overweight",B497&gt;=30,"Obesity")</f>
        <v>Obesity</v>
      </c>
      <c r="J497" t="str" cm="1">
        <f t="array" ref="J497">_xlfn.IFS(C497&lt;5.7,"Normal",AND(C497&gt;=5.7,C497&lt;=6.49),"Prediabetes",C497&gt;=6.5,"Diabetes")</f>
        <v>Normal</v>
      </c>
    </row>
    <row r="498" spans="1:10" x14ac:dyDescent="0.3">
      <c r="A498" t="s">
        <v>1874</v>
      </c>
      <c r="B498" s="8">
        <v>23.37</v>
      </c>
      <c r="C498">
        <v>5.8</v>
      </c>
      <c r="D498" t="s">
        <v>2379</v>
      </c>
      <c r="E498" t="s">
        <v>2379</v>
      </c>
      <c r="F498" t="s">
        <v>2379</v>
      </c>
      <c r="G498">
        <v>0</v>
      </c>
      <c r="H498" t="s">
        <v>2381</v>
      </c>
      <c r="I498" t="str" cm="1">
        <f t="array" ref="I498">_xlfn.IFS(B498&lt;18.5,"Underweight",AND(B498&gt;=18.5,B498&lt;=24.99),"Normalweight",AND(B498&gt;=25,B498&lt;=29.99),"Overweight",B498&gt;=30,"Obesity")</f>
        <v>Normalweight</v>
      </c>
      <c r="J498" t="str" cm="1">
        <f t="array" ref="J498">_xlfn.IFS(C498&lt;5.7,"Normal",AND(C498&gt;=5.7,C498&lt;=6.49),"Prediabetes",C498&gt;=6.5,"Diabetes")</f>
        <v>Prediabetes</v>
      </c>
    </row>
    <row r="499" spans="1:10" x14ac:dyDescent="0.3">
      <c r="A499" t="s">
        <v>1873</v>
      </c>
      <c r="B499" s="8">
        <v>29.7</v>
      </c>
      <c r="C499">
        <v>6.21</v>
      </c>
      <c r="D499" t="s">
        <v>2381</v>
      </c>
      <c r="E499" t="s">
        <v>2379</v>
      </c>
      <c r="F499" t="s">
        <v>2381</v>
      </c>
      <c r="G499">
        <v>1</v>
      </c>
      <c r="H499" t="s">
        <v>2381</v>
      </c>
      <c r="I499" t="str" cm="1">
        <f t="array" ref="I499">_xlfn.IFS(B499&lt;18.5,"Underweight",AND(B499&gt;=18.5,B499&lt;=24.99),"Normalweight",AND(B499&gt;=25,B499&lt;=29.99),"Overweight",B499&gt;=30,"Obesity")</f>
        <v>Overweight</v>
      </c>
      <c r="J499" t="str" cm="1">
        <f t="array" ref="J499">_xlfn.IFS(C499&lt;5.7,"Normal",AND(C499&gt;=5.7,C499&lt;=6.49),"Prediabetes",C499&gt;=6.5,"Diabetes")</f>
        <v>Prediabetes</v>
      </c>
    </row>
    <row r="500" spans="1:10" x14ac:dyDescent="0.3">
      <c r="A500" t="s">
        <v>1872</v>
      </c>
      <c r="B500" s="8">
        <v>20.045000000000002</v>
      </c>
      <c r="C500">
        <v>6.17</v>
      </c>
      <c r="D500" t="s">
        <v>2379</v>
      </c>
      <c r="E500" t="s">
        <v>2379</v>
      </c>
      <c r="F500" t="s">
        <v>2381</v>
      </c>
      <c r="G500">
        <v>1</v>
      </c>
      <c r="H500" t="s">
        <v>2381</v>
      </c>
      <c r="I500" t="str" cm="1">
        <f t="array" ref="I500">_xlfn.IFS(B500&lt;18.5,"Underweight",AND(B500&gt;=18.5,B500&lt;=24.99),"Normalweight",AND(B500&gt;=25,B500&lt;=29.99),"Overweight",B500&gt;=30,"Obesity")</f>
        <v>Normalweight</v>
      </c>
      <c r="J500" t="str" cm="1">
        <f t="array" ref="J500">_xlfn.IFS(C500&lt;5.7,"Normal",AND(C500&gt;=5.7,C500&lt;=6.49),"Prediabetes",C500&gt;=6.5,"Diabetes")</f>
        <v>Prediabetes</v>
      </c>
    </row>
    <row r="501" spans="1:10" x14ac:dyDescent="0.3">
      <c r="A501" t="s">
        <v>1871</v>
      </c>
      <c r="B501" s="8">
        <v>27.83</v>
      </c>
      <c r="C501">
        <v>5.36</v>
      </c>
      <c r="D501" t="s">
        <v>2379</v>
      </c>
      <c r="E501" t="s">
        <v>2379</v>
      </c>
      <c r="F501" t="s">
        <v>2379</v>
      </c>
      <c r="G501">
        <v>2</v>
      </c>
      <c r="H501" t="s">
        <v>2379</v>
      </c>
      <c r="I501" t="str" cm="1">
        <f t="array" ref="I501">_xlfn.IFS(B501&lt;18.5,"Underweight",AND(B501&gt;=18.5,B501&lt;=24.99),"Normalweight",AND(B501&gt;=25,B501&lt;=29.99),"Overweight",B501&gt;=30,"Obesity")</f>
        <v>Overweight</v>
      </c>
      <c r="J501" t="str" cm="1">
        <f t="array" ref="J501">_xlfn.IFS(C501&lt;5.7,"Normal",AND(C501&gt;=5.7,C501&lt;=6.49),"Prediabetes",C501&gt;=6.5,"Diabetes")</f>
        <v>Normal</v>
      </c>
    </row>
    <row r="502" spans="1:10" x14ac:dyDescent="0.3">
      <c r="A502" t="s">
        <v>1870</v>
      </c>
      <c r="B502" s="8">
        <v>28.93</v>
      </c>
      <c r="C502">
        <v>5.2</v>
      </c>
      <c r="D502" t="s">
        <v>2379</v>
      </c>
      <c r="E502" t="s">
        <v>2379</v>
      </c>
      <c r="F502" t="s">
        <v>2379</v>
      </c>
      <c r="G502">
        <v>0</v>
      </c>
      <c r="H502" t="s">
        <v>2381</v>
      </c>
      <c r="I502" t="str" cm="1">
        <f t="array" ref="I502">_xlfn.IFS(B502&lt;18.5,"Underweight",AND(B502&gt;=18.5,B502&lt;=24.99),"Normalweight",AND(B502&gt;=25,B502&lt;=29.99),"Overweight",B502&gt;=30,"Obesity")</f>
        <v>Overweight</v>
      </c>
      <c r="J502" t="str" cm="1">
        <f t="array" ref="J502">_xlfn.IFS(C502&lt;5.7,"Normal",AND(C502&gt;=5.7,C502&lt;=6.49),"Prediabetes",C502&gt;=6.5,"Diabetes")</f>
        <v>Normal</v>
      </c>
    </row>
    <row r="503" spans="1:10" x14ac:dyDescent="0.3">
      <c r="A503" t="s">
        <v>1869</v>
      </c>
      <c r="B503" s="8">
        <v>33.82</v>
      </c>
      <c r="C503">
        <v>5.42</v>
      </c>
      <c r="D503" t="s">
        <v>2379</v>
      </c>
      <c r="E503" t="s">
        <v>2379</v>
      </c>
      <c r="F503" t="s">
        <v>2379</v>
      </c>
      <c r="G503">
        <v>0</v>
      </c>
      <c r="H503" t="s">
        <v>2379</v>
      </c>
      <c r="I503" t="str" cm="1">
        <f t="array" ref="I503">_xlfn.IFS(B503&lt;18.5,"Underweight",AND(B503&gt;=18.5,B503&lt;=24.99),"Normalweight",AND(B503&gt;=25,B503&lt;=29.99),"Overweight",B503&gt;=30,"Obesity")</f>
        <v>Obesity</v>
      </c>
      <c r="J503" t="str" cm="1">
        <f t="array" ref="J503">_xlfn.IFS(C503&lt;5.7,"Normal",AND(C503&gt;=5.7,C503&lt;=6.49),"Prediabetes",C503&gt;=6.5,"Diabetes")</f>
        <v>Normal</v>
      </c>
    </row>
    <row r="504" spans="1:10" x14ac:dyDescent="0.3">
      <c r="A504" t="s">
        <v>1868</v>
      </c>
      <c r="B504" s="8">
        <v>20.234999999999999</v>
      </c>
      <c r="C504">
        <v>6.84</v>
      </c>
      <c r="D504" t="s">
        <v>2379</v>
      </c>
      <c r="E504" t="s">
        <v>2379</v>
      </c>
      <c r="F504" t="s">
        <v>2379</v>
      </c>
      <c r="G504">
        <v>0</v>
      </c>
      <c r="H504" t="s">
        <v>2381</v>
      </c>
      <c r="I504" t="str" cm="1">
        <f t="array" ref="I504">_xlfn.IFS(B504&lt;18.5,"Underweight",AND(B504&gt;=18.5,B504&lt;=24.99),"Normalweight",AND(B504&gt;=25,B504&lt;=29.99),"Overweight",B504&gt;=30,"Obesity")</f>
        <v>Normalweight</v>
      </c>
      <c r="J504" t="str" cm="1">
        <f t="array" ref="J504">_xlfn.IFS(C504&lt;5.7,"Normal",AND(C504&gt;=5.7,C504&lt;=6.49),"Prediabetes",C504&gt;=6.5,"Diabetes")</f>
        <v>Diabetes</v>
      </c>
    </row>
    <row r="505" spans="1:10" x14ac:dyDescent="0.3">
      <c r="A505" t="s">
        <v>1867</v>
      </c>
      <c r="B505" s="8">
        <v>49.2</v>
      </c>
      <c r="C505">
        <v>10.9</v>
      </c>
      <c r="D505" t="s">
        <v>2381</v>
      </c>
      <c r="E505" t="s">
        <v>2379</v>
      </c>
      <c r="F505" t="s">
        <v>2381</v>
      </c>
      <c r="G505">
        <v>1</v>
      </c>
      <c r="H505" t="s">
        <v>2379</v>
      </c>
      <c r="I505" t="str" cm="1">
        <f t="array" ref="I505">_xlfn.IFS(B505&lt;18.5,"Underweight",AND(B505&gt;=18.5,B505&lt;=24.99),"Normalweight",AND(B505&gt;=25,B505&lt;=29.99),"Overweight",B505&gt;=30,"Obesity")</f>
        <v>Obesity</v>
      </c>
      <c r="J505" t="str" cm="1">
        <f t="array" ref="J505">_xlfn.IFS(C505&lt;5.7,"Normal",AND(C505&gt;=5.7,C505&lt;=6.49),"Prediabetes",C505&gt;=6.5,"Diabetes")</f>
        <v>Diabetes</v>
      </c>
    </row>
    <row r="506" spans="1:10" x14ac:dyDescent="0.3">
      <c r="A506" t="s">
        <v>1866</v>
      </c>
      <c r="B506" s="8">
        <v>26.4</v>
      </c>
      <c r="C506">
        <v>4.87</v>
      </c>
      <c r="D506" t="s">
        <v>2381</v>
      </c>
      <c r="E506" t="s">
        <v>2379</v>
      </c>
      <c r="F506" t="s">
        <v>2379</v>
      </c>
      <c r="G506">
        <v>0</v>
      </c>
      <c r="H506" t="s">
        <v>2381</v>
      </c>
      <c r="I506" t="str" cm="1">
        <f t="array" ref="I506">_xlfn.IFS(B506&lt;18.5,"Underweight",AND(B506&gt;=18.5,B506&lt;=24.99),"Normalweight",AND(B506&gt;=25,B506&lt;=29.99),"Overweight",B506&gt;=30,"Obesity")</f>
        <v>Overweight</v>
      </c>
      <c r="J506" t="str" cm="1">
        <f t="array" ref="J506">_xlfn.IFS(C506&lt;5.7,"Normal",AND(C506&gt;=5.7,C506&lt;=6.49),"Prediabetes",C506&gt;=6.5,"Diabetes")</f>
        <v>Normal</v>
      </c>
    </row>
    <row r="507" spans="1:10" x14ac:dyDescent="0.3">
      <c r="A507" t="s">
        <v>1865</v>
      </c>
      <c r="B507" s="8">
        <v>28.38</v>
      </c>
      <c r="C507">
        <v>6.07</v>
      </c>
      <c r="D507" t="s">
        <v>2379</v>
      </c>
      <c r="E507" t="s">
        <v>2379</v>
      </c>
      <c r="F507" t="s">
        <v>2379</v>
      </c>
      <c r="G507">
        <v>1</v>
      </c>
      <c r="H507" t="s">
        <v>2381</v>
      </c>
      <c r="I507" t="str" cm="1">
        <f t="array" ref="I507">_xlfn.IFS(B507&lt;18.5,"Underweight",AND(B507&gt;=18.5,B507&lt;=24.99),"Normalweight",AND(B507&gt;=25,B507&lt;=29.99),"Overweight",B507&gt;=30,"Obesity")</f>
        <v>Overweight</v>
      </c>
      <c r="J507" t="str" cm="1">
        <f t="array" ref="J507">_xlfn.IFS(C507&lt;5.7,"Normal",AND(C507&gt;=5.7,C507&lt;=6.49),"Prediabetes",C507&gt;=6.5,"Diabetes")</f>
        <v>Prediabetes</v>
      </c>
    </row>
    <row r="508" spans="1:10" x14ac:dyDescent="0.3">
      <c r="A508" t="s">
        <v>1864</v>
      </c>
      <c r="B508" s="8">
        <v>24.64</v>
      </c>
      <c r="C508">
        <v>4.33</v>
      </c>
      <c r="D508" t="s">
        <v>2379</v>
      </c>
      <c r="E508" t="s">
        <v>2379</v>
      </c>
      <c r="F508" t="s">
        <v>2379</v>
      </c>
      <c r="G508">
        <v>0</v>
      </c>
      <c r="H508" t="s">
        <v>2381</v>
      </c>
      <c r="I508" t="str" cm="1">
        <f t="array" ref="I508">_xlfn.IFS(B508&lt;18.5,"Underweight",AND(B508&gt;=18.5,B508&lt;=24.99),"Normalweight",AND(B508&gt;=25,B508&lt;=29.99),"Overweight",B508&gt;=30,"Obesity")</f>
        <v>Normalweight</v>
      </c>
      <c r="J508" t="str" cm="1">
        <f t="array" ref="J508">_xlfn.IFS(C508&lt;5.7,"Normal",AND(C508&gt;=5.7,C508&lt;=6.49),"Prediabetes",C508&gt;=6.5,"Diabetes")</f>
        <v>Normal</v>
      </c>
    </row>
    <row r="509" spans="1:10" x14ac:dyDescent="0.3">
      <c r="A509" t="s">
        <v>1863</v>
      </c>
      <c r="B509" s="8">
        <v>39.71</v>
      </c>
      <c r="C509">
        <v>5.83</v>
      </c>
      <c r="D509" t="s">
        <v>2379</v>
      </c>
      <c r="E509" t="s">
        <v>2379</v>
      </c>
      <c r="F509" t="s">
        <v>2379</v>
      </c>
      <c r="G509">
        <v>1</v>
      </c>
      <c r="H509" t="s">
        <v>2379</v>
      </c>
      <c r="I509" t="str" cm="1">
        <f t="array" ref="I509">_xlfn.IFS(B509&lt;18.5,"Underweight",AND(B509&gt;=18.5,B509&lt;=24.99),"Normalweight",AND(B509&gt;=25,B509&lt;=29.99),"Overweight",B509&gt;=30,"Obesity")</f>
        <v>Obesity</v>
      </c>
      <c r="J509" t="str" cm="1">
        <f t="array" ref="J509">_xlfn.IFS(C509&lt;5.7,"Normal",AND(C509&gt;=5.7,C509&lt;=6.49),"Prediabetes",C509&gt;=6.5,"Diabetes")</f>
        <v>Prediabetes</v>
      </c>
    </row>
    <row r="510" spans="1:10" x14ac:dyDescent="0.3">
      <c r="A510" t="s">
        <v>1862</v>
      </c>
      <c r="B510" s="8">
        <v>22.22</v>
      </c>
      <c r="C510">
        <v>5.5</v>
      </c>
      <c r="D510" t="s">
        <v>2379</v>
      </c>
      <c r="E510" t="s">
        <v>2379</v>
      </c>
      <c r="F510" t="s">
        <v>2379</v>
      </c>
      <c r="G510">
        <v>0</v>
      </c>
      <c r="H510" t="s">
        <v>2381</v>
      </c>
      <c r="I510" t="str" cm="1">
        <f t="array" ref="I510">_xlfn.IFS(B510&lt;18.5,"Underweight",AND(B510&gt;=18.5,B510&lt;=24.99),"Normalweight",AND(B510&gt;=25,B510&lt;=29.99),"Overweight",B510&gt;=30,"Obesity")</f>
        <v>Normalweight</v>
      </c>
      <c r="J510" t="str" cm="1">
        <f t="array" ref="J510">_xlfn.IFS(C510&lt;5.7,"Normal",AND(C510&gt;=5.7,C510&lt;=6.49),"Prediabetes",C510&gt;=6.5,"Diabetes")</f>
        <v>Normal</v>
      </c>
    </row>
    <row r="511" spans="1:10" x14ac:dyDescent="0.3">
      <c r="A511" t="s">
        <v>1861</v>
      </c>
      <c r="B511" s="8">
        <v>33.344999999999999</v>
      </c>
      <c r="C511">
        <v>4.79</v>
      </c>
      <c r="D511" t="s">
        <v>2379</v>
      </c>
      <c r="E511" t="s">
        <v>2379</v>
      </c>
      <c r="F511" t="s">
        <v>2381</v>
      </c>
      <c r="G511">
        <v>1</v>
      </c>
      <c r="H511" t="s">
        <v>2379</v>
      </c>
      <c r="I511" t="str" cm="1">
        <f t="array" ref="I511">_xlfn.IFS(B511&lt;18.5,"Underweight",AND(B511&gt;=18.5,B511&lt;=24.99),"Normalweight",AND(B511&gt;=25,B511&lt;=29.99),"Overweight",B511&gt;=30,"Obesity")</f>
        <v>Obesity</v>
      </c>
      <c r="J511" t="str" cm="1">
        <f t="array" ref="J511">_xlfn.IFS(C511&lt;5.7,"Normal",AND(C511&gt;=5.7,C511&lt;=6.49),"Prediabetes",C511&gt;=6.5,"Diabetes")</f>
        <v>Normal</v>
      </c>
    </row>
    <row r="512" spans="1:10" x14ac:dyDescent="0.3">
      <c r="A512" t="s">
        <v>1860</v>
      </c>
      <c r="B512" s="8">
        <v>24.42</v>
      </c>
      <c r="C512">
        <v>5.81</v>
      </c>
      <c r="D512" t="s">
        <v>2379</v>
      </c>
      <c r="E512" t="s">
        <v>2379</v>
      </c>
      <c r="F512" t="s">
        <v>2379</v>
      </c>
      <c r="G512">
        <v>1</v>
      </c>
      <c r="H512" t="s">
        <v>2381</v>
      </c>
      <c r="I512" t="str" cm="1">
        <f t="array" ref="I512">_xlfn.IFS(B512&lt;18.5,"Underweight",AND(B512&gt;=18.5,B512&lt;=24.99),"Normalweight",AND(B512&gt;=25,B512&lt;=29.99),"Overweight",B512&gt;=30,"Obesity")</f>
        <v>Normalweight</v>
      </c>
      <c r="J512" t="str" cm="1">
        <f t="array" ref="J512">_xlfn.IFS(C512&lt;5.7,"Normal",AND(C512&gt;=5.7,C512&lt;=6.49),"Prediabetes",C512&gt;=6.5,"Diabetes")</f>
        <v>Prediabetes</v>
      </c>
    </row>
    <row r="513" spans="1:10" x14ac:dyDescent="0.3">
      <c r="A513" t="s">
        <v>1859</v>
      </c>
      <c r="B513" s="8">
        <v>29.81</v>
      </c>
      <c r="C513">
        <v>5.58</v>
      </c>
      <c r="D513" t="s">
        <v>2379</v>
      </c>
      <c r="E513" t="s">
        <v>2379</v>
      </c>
      <c r="F513" t="s">
        <v>2379</v>
      </c>
      <c r="G513">
        <v>0</v>
      </c>
      <c r="H513" t="s">
        <v>2381</v>
      </c>
      <c r="I513" t="str" cm="1">
        <f t="array" ref="I513">_xlfn.IFS(B513&lt;18.5,"Underweight",AND(B513&gt;=18.5,B513&lt;=24.99),"Normalweight",AND(B513&gt;=25,B513&lt;=29.99),"Overweight",B513&gt;=30,"Obesity")</f>
        <v>Overweight</v>
      </c>
      <c r="J513" t="str" cm="1">
        <f t="array" ref="J513">_xlfn.IFS(C513&lt;5.7,"Normal",AND(C513&gt;=5.7,C513&lt;=6.49),"Prediabetes",C513&gt;=6.5,"Diabetes")</f>
        <v>Normal</v>
      </c>
    </row>
    <row r="514" spans="1:10" x14ac:dyDescent="0.3">
      <c r="A514" t="s">
        <v>1858</v>
      </c>
      <c r="B514" s="8">
        <v>51.18</v>
      </c>
      <c r="C514">
        <v>4.4000000000000004</v>
      </c>
      <c r="D514" t="s">
        <v>2381</v>
      </c>
      <c r="E514" t="s">
        <v>2379</v>
      </c>
      <c r="F514" t="s">
        <v>2379</v>
      </c>
      <c r="G514">
        <v>2</v>
      </c>
      <c r="H514" t="s">
        <v>2379</v>
      </c>
      <c r="I514" t="str" cm="1">
        <f t="array" ref="I514">_xlfn.IFS(B514&lt;18.5,"Underweight",AND(B514&gt;=18.5,B514&lt;=24.99),"Normalweight",AND(B514&gt;=25,B514&lt;=29.99),"Overweight",B514&gt;=30,"Obesity")</f>
        <v>Obesity</v>
      </c>
      <c r="J514" t="str" cm="1">
        <f t="array" ref="J514">_xlfn.IFS(C514&lt;5.7,"Normal",AND(C514&gt;=5.7,C514&lt;=6.49),"Prediabetes",C514&gt;=6.5,"Diabetes")</f>
        <v>Normal</v>
      </c>
    </row>
    <row r="515" spans="1:10" x14ac:dyDescent="0.3">
      <c r="A515" t="s">
        <v>1857</v>
      </c>
      <c r="B515" s="8">
        <v>51.37</v>
      </c>
      <c r="C515">
        <v>8.18</v>
      </c>
      <c r="D515" t="s">
        <v>2381</v>
      </c>
      <c r="E515" t="s">
        <v>2379</v>
      </c>
      <c r="F515" t="s">
        <v>2379</v>
      </c>
      <c r="G515">
        <v>0</v>
      </c>
      <c r="H515" t="s">
        <v>2379</v>
      </c>
      <c r="I515" t="str" cm="1">
        <f t="array" ref="I515">_xlfn.IFS(B515&lt;18.5,"Underweight",AND(B515&gt;=18.5,B515&lt;=24.99),"Normalweight",AND(B515&gt;=25,B515&lt;=29.99),"Overweight",B515&gt;=30,"Obesity")</f>
        <v>Obesity</v>
      </c>
      <c r="J515" t="str" cm="1">
        <f t="array" ref="J515">_xlfn.IFS(C515&lt;5.7,"Normal",AND(C515&gt;=5.7,C515&lt;=6.49),"Prediabetes",C515&gt;=6.5,"Diabetes")</f>
        <v>Diabetes</v>
      </c>
    </row>
    <row r="516" spans="1:10" x14ac:dyDescent="0.3">
      <c r="A516" t="s">
        <v>1856</v>
      </c>
      <c r="B516" s="8">
        <v>36.19</v>
      </c>
      <c r="C516">
        <v>5.52</v>
      </c>
      <c r="D516" t="s">
        <v>2381</v>
      </c>
      <c r="E516" t="s">
        <v>2379</v>
      </c>
      <c r="F516" t="s">
        <v>2379</v>
      </c>
      <c r="G516">
        <v>0</v>
      </c>
      <c r="H516" t="s">
        <v>2379</v>
      </c>
      <c r="I516" t="str" cm="1">
        <f t="array" ref="I516">_xlfn.IFS(B516&lt;18.5,"Underweight",AND(B516&gt;=18.5,B516&lt;=24.99),"Normalweight",AND(B516&gt;=25,B516&lt;=29.99),"Overweight",B516&gt;=30,"Obesity")</f>
        <v>Obesity</v>
      </c>
      <c r="J516" t="str" cm="1">
        <f t="array" ref="J516">_xlfn.IFS(C516&lt;5.7,"Normal",AND(C516&gt;=5.7,C516&lt;=6.49),"Prediabetes",C516&gt;=6.5,"Diabetes")</f>
        <v>Normal</v>
      </c>
    </row>
    <row r="517" spans="1:10" x14ac:dyDescent="0.3">
      <c r="A517" t="s">
        <v>1855</v>
      </c>
      <c r="B517" s="8">
        <v>25.9</v>
      </c>
      <c r="C517">
        <v>4.84</v>
      </c>
      <c r="D517" t="s">
        <v>2379</v>
      </c>
      <c r="E517" t="s">
        <v>2379</v>
      </c>
      <c r="F517" t="s">
        <v>2379</v>
      </c>
      <c r="G517">
        <v>0</v>
      </c>
      <c r="H517" t="s">
        <v>2381</v>
      </c>
      <c r="I517" t="str" cm="1">
        <f t="array" ref="I517">_xlfn.IFS(B517&lt;18.5,"Underweight",AND(B517&gt;=18.5,B517&lt;=24.99),"Normalweight",AND(B517&gt;=25,B517&lt;=29.99),"Overweight",B517&gt;=30,"Obesity")</f>
        <v>Overweight</v>
      </c>
      <c r="J517" t="str" cm="1">
        <f t="array" ref="J517">_xlfn.IFS(C517&lt;5.7,"Normal",AND(C517&gt;=5.7,C517&lt;=6.49),"Prediabetes",C517&gt;=6.5,"Diabetes")</f>
        <v>Normal</v>
      </c>
    </row>
    <row r="518" spans="1:10" x14ac:dyDescent="0.3">
      <c r="A518" t="s">
        <v>1854</v>
      </c>
      <c r="B518" s="8">
        <v>35.72</v>
      </c>
      <c r="C518">
        <v>4.08</v>
      </c>
      <c r="D518" t="s">
        <v>2379</v>
      </c>
      <c r="E518" t="s">
        <v>2379</v>
      </c>
      <c r="F518" t="s">
        <v>2381</v>
      </c>
      <c r="G518">
        <v>1</v>
      </c>
      <c r="H518" t="s">
        <v>2379</v>
      </c>
      <c r="I518" t="str" cm="1">
        <f t="array" ref="I518">_xlfn.IFS(B518&lt;18.5,"Underweight",AND(B518&gt;=18.5,B518&lt;=24.99),"Normalweight",AND(B518&gt;=25,B518&lt;=29.99),"Overweight",B518&gt;=30,"Obesity")</f>
        <v>Obesity</v>
      </c>
      <c r="J518" t="str" cm="1">
        <f t="array" ref="J518">_xlfn.IFS(C518&lt;5.7,"Normal",AND(C518&gt;=5.7,C518&lt;=6.49),"Prediabetes",C518&gt;=6.5,"Diabetes")</f>
        <v>Normal</v>
      </c>
    </row>
    <row r="519" spans="1:10" x14ac:dyDescent="0.3">
      <c r="A519" t="s">
        <v>1853</v>
      </c>
      <c r="B519" s="8">
        <v>27.94</v>
      </c>
      <c r="C519">
        <v>4.4800000000000004</v>
      </c>
      <c r="D519" t="s">
        <v>2379</v>
      </c>
      <c r="E519" t="s">
        <v>2379</v>
      </c>
      <c r="F519" t="s">
        <v>2381</v>
      </c>
      <c r="G519">
        <v>1</v>
      </c>
      <c r="H519" t="s">
        <v>2381</v>
      </c>
      <c r="I519" t="str" cm="1">
        <f t="array" ref="I519">_xlfn.IFS(B519&lt;18.5,"Underweight",AND(B519&gt;=18.5,B519&lt;=24.99),"Normalweight",AND(B519&gt;=25,B519&lt;=29.99),"Overweight",B519&gt;=30,"Obesity")</f>
        <v>Overweight</v>
      </c>
      <c r="J519" t="str" cm="1">
        <f t="array" ref="J519">_xlfn.IFS(C519&lt;5.7,"Normal",AND(C519&gt;=5.7,C519&lt;=6.49),"Prediabetes",C519&gt;=6.5,"Diabetes")</f>
        <v>Normal</v>
      </c>
    </row>
    <row r="520" spans="1:10" x14ac:dyDescent="0.3">
      <c r="A520" t="s">
        <v>1852</v>
      </c>
      <c r="B520" s="8">
        <v>27.1</v>
      </c>
      <c r="C520">
        <v>5.73</v>
      </c>
      <c r="D520" t="s">
        <v>2379</v>
      </c>
      <c r="E520" t="s">
        <v>2379</v>
      </c>
      <c r="F520" t="s">
        <v>2379</v>
      </c>
      <c r="G520">
        <v>0</v>
      </c>
      <c r="H520" t="s">
        <v>2381</v>
      </c>
      <c r="I520" t="str" cm="1">
        <f t="array" ref="I520">_xlfn.IFS(B520&lt;18.5,"Underweight",AND(B520&gt;=18.5,B520&lt;=24.99),"Normalweight",AND(B520&gt;=25,B520&lt;=29.99),"Overweight",B520&gt;=30,"Obesity")</f>
        <v>Overweight</v>
      </c>
      <c r="J520" t="str" cm="1">
        <f t="array" ref="J520">_xlfn.IFS(C520&lt;5.7,"Normal",AND(C520&gt;=5.7,C520&lt;=6.49),"Prediabetes",C520&gt;=6.5,"Diabetes")</f>
        <v>Prediabetes</v>
      </c>
    </row>
    <row r="521" spans="1:10" x14ac:dyDescent="0.3">
      <c r="A521" t="s">
        <v>1851</v>
      </c>
      <c r="B521" s="8">
        <v>18.3</v>
      </c>
      <c r="C521">
        <v>5.46</v>
      </c>
      <c r="D521" t="s">
        <v>2381</v>
      </c>
      <c r="E521" t="s">
        <v>2379</v>
      </c>
      <c r="F521" t="s">
        <v>2381</v>
      </c>
      <c r="G521">
        <v>1</v>
      </c>
      <c r="H521" t="s">
        <v>2381</v>
      </c>
      <c r="I521" t="str" cm="1">
        <f t="array" ref="I521">_xlfn.IFS(B521&lt;18.5,"Underweight",AND(B521&gt;=18.5,B521&lt;=24.99),"Normalweight",AND(B521&gt;=25,B521&lt;=29.99),"Overweight",B521&gt;=30,"Obesity")</f>
        <v>Underweight</v>
      </c>
      <c r="J521" t="str" cm="1">
        <f t="array" ref="J521">_xlfn.IFS(C521&lt;5.7,"Normal",AND(C521&gt;=5.7,C521&lt;=6.49),"Prediabetes",C521&gt;=6.5,"Diabetes")</f>
        <v>Normal</v>
      </c>
    </row>
    <row r="522" spans="1:10" x14ac:dyDescent="0.3">
      <c r="A522" t="s">
        <v>1850</v>
      </c>
      <c r="B522" s="8">
        <v>25.3</v>
      </c>
      <c r="C522">
        <v>5.0199999999999996</v>
      </c>
      <c r="D522" t="s">
        <v>2381</v>
      </c>
      <c r="E522" t="s">
        <v>2379</v>
      </c>
      <c r="F522" t="s">
        <v>2379</v>
      </c>
      <c r="G522">
        <v>1</v>
      </c>
      <c r="H522" t="s">
        <v>2381</v>
      </c>
      <c r="I522" t="str" cm="1">
        <f t="array" ref="I522">_xlfn.IFS(B522&lt;18.5,"Underweight",AND(B522&gt;=18.5,B522&lt;=24.99),"Normalweight",AND(B522&gt;=25,B522&lt;=29.99),"Overweight",B522&gt;=30,"Obesity")</f>
        <v>Overweight</v>
      </c>
      <c r="J522" t="str" cm="1">
        <f t="array" ref="J522">_xlfn.IFS(C522&lt;5.7,"Normal",AND(C522&gt;=5.7,C522&lt;=6.49),"Prediabetes",C522&gt;=6.5,"Diabetes")</f>
        <v>Normal</v>
      </c>
    </row>
    <row r="523" spans="1:10" x14ac:dyDescent="0.3">
      <c r="A523" t="s">
        <v>1849</v>
      </c>
      <c r="B523" s="8">
        <v>38.83</v>
      </c>
      <c r="C523">
        <v>6.36</v>
      </c>
      <c r="D523" t="s">
        <v>2379</v>
      </c>
      <c r="E523" t="s">
        <v>2379</v>
      </c>
      <c r="F523" t="s">
        <v>2379</v>
      </c>
      <c r="G523">
        <v>1</v>
      </c>
      <c r="H523" t="s">
        <v>2379</v>
      </c>
      <c r="I523" t="str" cm="1">
        <f t="array" ref="I523">_xlfn.IFS(B523&lt;18.5,"Underweight",AND(B523&gt;=18.5,B523&lt;=24.99),"Normalweight",AND(B523&gt;=25,B523&lt;=29.99),"Overweight",B523&gt;=30,"Obesity")</f>
        <v>Obesity</v>
      </c>
      <c r="J523" t="str" cm="1">
        <f t="array" ref="J523">_xlfn.IFS(C523&lt;5.7,"Normal",AND(C523&gt;=5.7,C523&lt;=6.49),"Prediabetes",C523&gt;=6.5,"Diabetes")</f>
        <v>Prediabetes</v>
      </c>
    </row>
    <row r="524" spans="1:10" x14ac:dyDescent="0.3">
      <c r="A524" t="s">
        <v>1848</v>
      </c>
      <c r="B524" s="8">
        <v>27.6</v>
      </c>
      <c r="C524">
        <v>5.36</v>
      </c>
      <c r="D524" t="s">
        <v>2379</v>
      </c>
      <c r="E524" t="s">
        <v>2379</v>
      </c>
      <c r="F524" t="s">
        <v>2379</v>
      </c>
      <c r="G524">
        <v>1</v>
      </c>
      <c r="H524" t="s">
        <v>2379</v>
      </c>
      <c r="I524" t="str" cm="1">
        <f t="array" ref="I524">_xlfn.IFS(B524&lt;18.5,"Underweight",AND(B524&gt;=18.5,B524&lt;=24.99),"Normalweight",AND(B524&gt;=25,B524&lt;=29.99),"Overweight",B524&gt;=30,"Obesity")</f>
        <v>Overweight</v>
      </c>
      <c r="J524" t="str" cm="1">
        <f t="array" ref="J524">_xlfn.IFS(C524&lt;5.7,"Normal",AND(C524&gt;=5.7,C524&lt;=6.49),"Prediabetes",C524&gt;=6.5,"Diabetes")</f>
        <v>Normal</v>
      </c>
    </row>
    <row r="525" spans="1:10" x14ac:dyDescent="0.3">
      <c r="A525" t="s">
        <v>1847</v>
      </c>
      <c r="B525" s="8">
        <v>46.4</v>
      </c>
      <c r="C525">
        <v>8.3699999999999992</v>
      </c>
      <c r="D525" t="s">
        <v>2381</v>
      </c>
      <c r="E525" t="s">
        <v>2379</v>
      </c>
      <c r="F525" t="s">
        <v>2381</v>
      </c>
      <c r="G525">
        <v>1</v>
      </c>
      <c r="H525" t="s">
        <v>2379</v>
      </c>
      <c r="I525" t="str" cm="1">
        <f t="array" ref="I525">_xlfn.IFS(B525&lt;18.5,"Underweight",AND(B525&gt;=18.5,B525&lt;=24.99),"Normalweight",AND(B525&gt;=25,B525&lt;=29.99),"Overweight",B525&gt;=30,"Obesity")</f>
        <v>Obesity</v>
      </c>
      <c r="J525" t="str" cm="1">
        <f t="array" ref="J525">_xlfn.IFS(C525&lt;5.7,"Normal",AND(C525&gt;=5.7,C525&lt;=6.49),"Prediabetes",C525&gt;=6.5,"Diabetes")</f>
        <v>Diabetes</v>
      </c>
    </row>
    <row r="526" spans="1:10" x14ac:dyDescent="0.3">
      <c r="A526" t="s">
        <v>1846</v>
      </c>
      <c r="B526" s="8">
        <v>51.92</v>
      </c>
      <c r="C526">
        <v>5.18</v>
      </c>
      <c r="D526" t="s">
        <v>2381</v>
      </c>
      <c r="E526" t="s">
        <v>2379</v>
      </c>
      <c r="F526" t="s">
        <v>2381</v>
      </c>
      <c r="G526">
        <v>1</v>
      </c>
      <c r="H526" t="s">
        <v>2379</v>
      </c>
      <c r="I526" t="str" cm="1">
        <f t="array" ref="I526">_xlfn.IFS(B526&lt;18.5,"Underweight",AND(B526&gt;=18.5,B526&lt;=24.99),"Normalweight",AND(B526&gt;=25,B526&lt;=29.99),"Overweight",B526&gt;=30,"Obesity")</f>
        <v>Obesity</v>
      </c>
      <c r="J526" t="str" cm="1">
        <f t="array" ref="J526">_xlfn.IFS(C526&lt;5.7,"Normal",AND(C526&gt;=5.7,C526&lt;=6.49),"Prediabetes",C526&gt;=6.5,"Diabetes")</f>
        <v>Normal</v>
      </c>
    </row>
    <row r="527" spans="1:10" x14ac:dyDescent="0.3">
      <c r="A527" t="s">
        <v>1845</v>
      </c>
      <c r="B527" s="8">
        <v>32.395000000000003</v>
      </c>
      <c r="C527">
        <v>5.68</v>
      </c>
      <c r="D527" t="s">
        <v>2381</v>
      </c>
      <c r="E527" t="s">
        <v>2379</v>
      </c>
      <c r="F527" t="s">
        <v>2379</v>
      </c>
      <c r="G527">
        <v>1</v>
      </c>
      <c r="H527" t="s">
        <v>2379</v>
      </c>
      <c r="I527" t="str" cm="1">
        <f t="array" ref="I527">_xlfn.IFS(B527&lt;18.5,"Underweight",AND(B527&gt;=18.5,B527&lt;=24.99),"Normalweight",AND(B527&gt;=25,B527&lt;=29.99),"Overweight",B527&gt;=30,"Obesity")</f>
        <v>Obesity</v>
      </c>
      <c r="J527" t="str" cm="1">
        <f t="array" ref="J527">_xlfn.IFS(C527&lt;5.7,"Normal",AND(C527&gt;=5.7,C527&lt;=6.49),"Prediabetes",C527&gt;=6.5,"Diabetes")</f>
        <v>Normal</v>
      </c>
    </row>
    <row r="528" spans="1:10" x14ac:dyDescent="0.3">
      <c r="A528" t="s">
        <v>1844</v>
      </c>
      <c r="B528" s="8">
        <v>46.19</v>
      </c>
      <c r="C528">
        <v>7.31</v>
      </c>
      <c r="D528" t="s">
        <v>2381</v>
      </c>
      <c r="E528" t="s">
        <v>2379</v>
      </c>
      <c r="F528" t="s">
        <v>2381</v>
      </c>
      <c r="G528">
        <v>1</v>
      </c>
      <c r="H528" t="s">
        <v>2379</v>
      </c>
      <c r="I528" t="str" cm="1">
        <f t="array" ref="I528">_xlfn.IFS(B528&lt;18.5,"Underweight",AND(B528&gt;=18.5,B528&lt;=24.99),"Normalweight",AND(B528&gt;=25,B528&lt;=29.99),"Overweight",B528&gt;=30,"Obesity")</f>
        <v>Obesity</v>
      </c>
      <c r="J528" t="str" cm="1">
        <f t="array" ref="J528">_xlfn.IFS(C528&lt;5.7,"Normal",AND(C528&gt;=5.7,C528&lt;=6.49),"Prediabetes",C528&gt;=6.5,"Diabetes")</f>
        <v>Diabetes</v>
      </c>
    </row>
    <row r="529" spans="1:10" x14ac:dyDescent="0.3">
      <c r="A529" t="s">
        <v>1843</v>
      </c>
      <c r="B529" s="8">
        <v>27.93</v>
      </c>
      <c r="C529">
        <v>4.67</v>
      </c>
      <c r="D529" t="s">
        <v>2379</v>
      </c>
      <c r="E529" t="s">
        <v>2379</v>
      </c>
      <c r="F529" t="s">
        <v>2381</v>
      </c>
      <c r="G529">
        <v>1</v>
      </c>
      <c r="H529" t="s">
        <v>2379</v>
      </c>
      <c r="I529" t="str" cm="1">
        <f t="array" ref="I529">_xlfn.IFS(B529&lt;18.5,"Underweight",AND(B529&gt;=18.5,B529&lt;=24.99),"Normalweight",AND(B529&gt;=25,B529&lt;=29.99),"Overweight",B529&gt;=30,"Obesity")</f>
        <v>Overweight</v>
      </c>
      <c r="J529" t="str" cm="1">
        <f t="array" ref="J529">_xlfn.IFS(C529&lt;5.7,"Normal",AND(C529&gt;=5.7,C529&lt;=6.49),"Prediabetes",C529&gt;=6.5,"Diabetes")</f>
        <v>Normal</v>
      </c>
    </row>
    <row r="530" spans="1:10" x14ac:dyDescent="0.3">
      <c r="A530" t="s">
        <v>1842</v>
      </c>
      <c r="B530" s="8">
        <v>45.62</v>
      </c>
      <c r="C530">
        <v>6.87</v>
      </c>
      <c r="D530" t="s">
        <v>2379</v>
      </c>
      <c r="E530" t="s">
        <v>2379</v>
      </c>
      <c r="F530" t="s">
        <v>2379</v>
      </c>
      <c r="G530">
        <v>0</v>
      </c>
      <c r="H530" t="s">
        <v>2379</v>
      </c>
      <c r="I530" t="str" cm="1">
        <f t="array" ref="I530">_xlfn.IFS(B530&lt;18.5,"Underweight",AND(B530&gt;=18.5,B530&lt;=24.99),"Normalweight",AND(B530&gt;=25,B530&lt;=29.99),"Overweight",B530&gt;=30,"Obesity")</f>
        <v>Obesity</v>
      </c>
      <c r="J530" t="str" cm="1">
        <f t="array" ref="J530">_xlfn.IFS(C530&lt;5.7,"Normal",AND(C530&gt;=5.7,C530&lt;=6.49),"Prediabetes",C530&gt;=6.5,"Diabetes")</f>
        <v>Diabetes</v>
      </c>
    </row>
    <row r="531" spans="1:10" x14ac:dyDescent="0.3">
      <c r="A531" t="s">
        <v>1841</v>
      </c>
      <c r="B531" s="8">
        <v>35.31</v>
      </c>
      <c r="C531">
        <v>5.87</v>
      </c>
      <c r="D531" t="s">
        <v>2379</v>
      </c>
      <c r="E531" t="s">
        <v>2379</v>
      </c>
      <c r="F531" t="s">
        <v>2381</v>
      </c>
      <c r="G531">
        <v>1</v>
      </c>
      <c r="H531" t="s">
        <v>2379</v>
      </c>
      <c r="I531" t="str" cm="1">
        <f t="array" ref="I531">_xlfn.IFS(B531&lt;18.5,"Underweight",AND(B531&gt;=18.5,B531&lt;=24.99),"Normalweight",AND(B531&gt;=25,B531&lt;=29.99),"Overweight",B531&gt;=30,"Obesity")</f>
        <v>Obesity</v>
      </c>
      <c r="J531" t="str" cm="1">
        <f t="array" ref="J531">_xlfn.IFS(C531&lt;5.7,"Normal",AND(C531&gt;=5.7,C531&lt;=6.49),"Prediabetes",C531&gt;=6.5,"Diabetes")</f>
        <v>Prediabetes</v>
      </c>
    </row>
    <row r="532" spans="1:10" x14ac:dyDescent="0.3">
      <c r="A532" t="s">
        <v>1840</v>
      </c>
      <c r="B532" s="8">
        <v>30.4</v>
      </c>
      <c r="C532">
        <v>4.07</v>
      </c>
      <c r="D532" t="s">
        <v>2381</v>
      </c>
      <c r="E532" t="s">
        <v>2379</v>
      </c>
      <c r="F532" t="s">
        <v>2379</v>
      </c>
      <c r="G532">
        <v>1</v>
      </c>
      <c r="H532" t="s">
        <v>2379</v>
      </c>
      <c r="I532" t="str" cm="1">
        <f t="array" ref="I532">_xlfn.IFS(B532&lt;18.5,"Underweight",AND(B532&gt;=18.5,B532&lt;=24.99),"Normalweight",AND(B532&gt;=25,B532&lt;=29.99),"Overweight",B532&gt;=30,"Obesity")</f>
        <v>Obesity</v>
      </c>
      <c r="J532" t="str" cm="1">
        <f t="array" ref="J532">_xlfn.IFS(C532&lt;5.7,"Normal",AND(C532&gt;=5.7,C532&lt;=6.49),"Prediabetes",C532&gt;=6.5,"Diabetes")</f>
        <v>Normal</v>
      </c>
    </row>
    <row r="533" spans="1:10" x14ac:dyDescent="0.3">
      <c r="A533" t="s">
        <v>1839</v>
      </c>
      <c r="B533" s="8">
        <v>20.13</v>
      </c>
      <c r="C533">
        <v>6.47</v>
      </c>
      <c r="D533" t="s">
        <v>2379</v>
      </c>
      <c r="E533" t="s">
        <v>2379</v>
      </c>
      <c r="F533" t="s">
        <v>2381</v>
      </c>
      <c r="G533">
        <v>1</v>
      </c>
      <c r="H533" t="s">
        <v>2381</v>
      </c>
      <c r="I533" t="str" cm="1">
        <f t="array" ref="I533">_xlfn.IFS(B533&lt;18.5,"Underweight",AND(B533&gt;=18.5,B533&lt;=24.99),"Normalweight",AND(B533&gt;=25,B533&lt;=29.99),"Overweight",B533&gt;=30,"Obesity")</f>
        <v>Normalweight</v>
      </c>
      <c r="J533" t="str" cm="1">
        <f t="array" ref="J533">_xlfn.IFS(C533&lt;5.7,"Normal",AND(C533&gt;=5.7,C533&lt;=6.49),"Prediabetes",C533&gt;=6.5,"Diabetes")</f>
        <v>Prediabetes</v>
      </c>
    </row>
    <row r="534" spans="1:10" x14ac:dyDescent="0.3">
      <c r="A534" t="s">
        <v>1838</v>
      </c>
      <c r="B534" s="8">
        <v>23.655000000000001</v>
      </c>
      <c r="C534">
        <v>5.14</v>
      </c>
      <c r="D534" t="s">
        <v>2379</v>
      </c>
      <c r="E534" t="s">
        <v>2379</v>
      </c>
      <c r="F534" t="s">
        <v>2379</v>
      </c>
      <c r="G534">
        <v>1</v>
      </c>
      <c r="H534" t="s">
        <v>2381</v>
      </c>
      <c r="I534" t="str" cm="1">
        <f t="array" ref="I534">_xlfn.IFS(B534&lt;18.5,"Underweight",AND(B534&gt;=18.5,B534&lt;=24.99),"Normalweight",AND(B534&gt;=25,B534&lt;=29.99),"Overweight",B534&gt;=30,"Obesity")</f>
        <v>Normalweight</v>
      </c>
      <c r="J534" t="str" cm="1">
        <f t="array" ref="J534">_xlfn.IFS(C534&lt;5.7,"Normal",AND(C534&gt;=5.7,C534&lt;=6.49),"Prediabetes",C534&gt;=6.5,"Diabetes")</f>
        <v>Normal</v>
      </c>
    </row>
    <row r="535" spans="1:10" x14ac:dyDescent="0.3">
      <c r="A535" t="s">
        <v>1837</v>
      </c>
      <c r="B535" s="8">
        <v>49.05</v>
      </c>
      <c r="C535">
        <v>9.77</v>
      </c>
      <c r="D535" t="s">
        <v>2381</v>
      </c>
      <c r="E535" t="s">
        <v>2379</v>
      </c>
      <c r="F535" t="s">
        <v>2379</v>
      </c>
      <c r="G535">
        <v>0</v>
      </c>
      <c r="H535" t="s">
        <v>2379</v>
      </c>
      <c r="I535" t="str" cm="1">
        <f t="array" ref="I535">_xlfn.IFS(B535&lt;18.5,"Underweight",AND(B535&gt;=18.5,B535&lt;=24.99),"Normalweight",AND(B535&gt;=25,B535&lt;=29.99),"Overweight",B535&gt;=30,"Obesity")</f>
        <v>Obesity</v>
      </c>
      <c r="J535" t="str" cm="1">
        <f t="array" ref="J535">_xlfn.IFS(C535&lt;5.7,"Normal",AND(C535&gt;=5.7,C535&lt;=6.49),"Prediabetes",C535&gt;=6.5,"Diabetes")</f>
        <v>Diabetes</v>
      </c>
    </row>
    <row r="536" spans="1:10" x14ac:dyDescent="0.3">
      <c r="A536" t="s">
        <v>1836</v>
      </c>
      <c r="B536" s="8">
        <v>51.94</v>
      </c>
      <c r="C536">
        <v>8.8000000000000007</v>
      </c>
      <c r="D536" t="s">
        <v>2381</v>
      </c>
      <c r="E536" t="s">
        <v>2379</v>
      </c>
      <c r="F536" t="s">
        <v>2379</v>
      </c>
      <c r="G536">
        <v>2</v>
      </c>
      <c r="H536" t="s">
        <v>2379</v>
      </c>
      <c r="I536" t="str" cm="1">
        <f t="array" ref="I536">_xlfn.IFS(B536&lt;18.5,"Underweight",AND(B536&gt;=18.5,B536&lt;=24.99),"Normalweight",AND(B536&gt;=25,B536&lt;=29.99),"Overweight",B536&gt;=30,"Obesity")</f>
        <v>Obesity</v>
      </c>
      <c r="J536" t="str" cm="1">
        <f t="array" ref="J536">_xlfn.IFS(C536&lt;5.7,"Normal",AND(C536&gt;=5.7,C536&lt;=6.49),"Prediabetes",C536&gt;=6.5,"Diabetes")</f>
        <v>Diabetes</v>
      </c>
    </row>
    <row r="537" spans="1:10" x14ac:dyDescent="0.3">
      <c r="A537" t="s">
        <v>1835</v>
      </c>
      <c r="B537" s="8">
        <v>29.83</v>
      </c>
      <c r="C537">
        <v>5.84</v>
      </c>
      <c r="D537" t="s">
        <v>2379</v>
      </c>
      <c r="E537" t="s">
        <v>2379</v>
      </c>
      <c r="F537" t="s">
        <v>2379</v>
      </c>
      <c r="G537">
        <v>1</v>
      </c>
      <c r="H537" t="s">
        <v>2381</v>
      </c>
      <c r="I537" t="str" cm="1">
        <f t="array" ref="I537">_xlfn.IFS(B537&lt;18.5,"Underweight",AND(B537&gt;=18.5,B537&lt;=24.99),"Normalweight",AND(B537&gt;=25,B537&lt;=29.99),"Overweight",B537&gt;=30,"Obesity")</f>
        <v>Overweight</v>
      </c>
      <c r="J537" t="str" cm="1">
        <f t="array" ref="J537">_xlfn.IFS(C537&lt;5.7,"Normal",AND(C537&gt;=5.7,C537&lt;=6.49),"Prediabetes",C537&gt;=6.5,"Diabetes")</f>
        <v>Prediabetes</v>
      </c>
    </row>
    <row r="538" spans="1:10" x14ac:dyDescent="0.3">
      <c r="A538" t="s">
        <v>1834</v>
      </c>
      <c r="B538" s="8">
        <v>22.6</v>
      </c>
      <c r="C538">
        <v>10.43</v>
      </c>
      <c r="D538" t="s">
        <v>2381</v>
      </c>
      <c r="E538" t="s">
        <v>2379</v>
      </c>
      <c r="F538" t="s">
        <v>2379</v>
      </c>
      <c r="G538">
        <v>1</v>
      </c>
      <c r="H538" t="s">
        <v>2381</v>
      </c>
      <c r="I538" t="str" cm="1">
        <f t="array" ref="I538">_xlfn.IFS(B538&lt;18.5,"Underweight",AND(B538&gt;=18.5,B538&lt;=24.99),"Normalweight",AND(B538&gt;=25,B538&lt;=29.99),"Overweight",B538&gt;=30,"Obesity")</f>
        <v>Normalweight</v>
      </c>
      <c r="J538" t="str" cm="1">
        <f t="array" ref="J538">_xlfn.IFS(C538&lt;5.7,"Normal",AND(C538&gt;=5.7,C538&lt;=6.49),"Prediabetes",C538&gt;=6.5,"Diabetes")</f>
        <v>Diabetes</v>
      </c>
    </row>
    <row r="539" spans="1:10" x14ac:dyDescent="0.3">
      <c r="A539" t="s">
        <v>1833</v>
      </c>
      <c r="B539" s="8">
        <v>46.69</v>
      </c>
      <c r="C539">
        <v>4.25</v>
      </c>
      <c r="D539" t="s">
        <v>2381</v>
      </c>
      <c r="E539" t="s">
        <v>2379</v>
      </c>
      <c r="F539" t="s">
        <v>2379</v>
      </c>
      <c r="G539">
        <v>1</v>
      </c>
      <c r="H539" t="s">
        <v>2379</v>
      </c>
      <c r="I539" t="str" cm="1">
        <f t="array" ref="I539">_xlfn.IFS(B539&lt;18.5,"Underweight",AND(B539&gt;=18.5,B539&lt;=24.99),"Normalweight",AND(B539&gt;=25,B539&lt;=29.99),"Overweight",B539&gt;=30,"Obesity")</f>
        <v>Obesity</v>
      </c>
      <c r="J539" t="str" cm="1">
        <f t="array" ref="J539">_xlfn.IFS(C539&lt;5.7,"Normal",AND(C539&gt;=5.7,C539&lt;=6.49),"Prediabetes",C539&gt;=6.5,"Diabetes")</f>
        <v>Normal</v>
      </c>
    </row>
    <row r="540" spans="1:10" x14ac:dyDescent="0.3">
      <c r="A540" t="s">
        <v>1832</v>
      </c>
      <c r="B540" s="8">
        <v>28.49</v>
      </c>
      <c r="C540">
        <v>4.8899999999999997</v>
      </c>
      <c r="D540" t="s">
        <v>2379</v>
      </c>
      <c r="E540" t="s">
        <v>2379</v>
      </c>
      <c r="F540" t="s">
        <v>2379</v>
      </c>
      <c r="G540">
        <v>0</v>
      </c>
      <c r="H540" t="s">
        <v>2381</v>
      </c>
      <c r="I540" t="str" cm="1">
        <f t="array" ref="I540">_xlfn.IFS(B540&lt;18.5,"Underweight",AND(B540&gt;=18.5,B540&lt;=24.99),"Normalweight",AND(B540&gt;=25,B540&lt;=29.99),"Overweight",B540&gt;=30,"Obesity")</f>
        <v>Overweight</v>
      </c>
      <c r="J540" t="str" cm="1">
        <f t="array" ref="J540">_xlfn.IFS(C540&lt;5.7,"Normal",AND(C540&gt;=5.7,C540&lt;=6.49),"Prediabetes",C540&gt;=6.5,"Diabetes")</f>
        <v>Normal</v>
      </c>
    </row>
    <row r="541" spans="1:10" x14ac:dyDescent="0.3">
      <c r="A541" t="s">
        <v>1831</v>
      </c>
      <c r="B541" s="8">
        <v>28.5</v>
      </c>
      <c r="C541">
        <v>5.55</v>
      </c>
      <c r="D541" t="s">
        <v>2381</v>
      </c>
      <c r="E541" t="s">
        <v>2379</v>
      </c>
      <c r="F541" t="s">
        <v>2379</v>
      </c>
      <c r="G541">
        <v>1</v>
      </c>
      <c r="H541" t="s">
        <v>2381</v>
      </c>
      <c r="I541" t="str" cm="1">
        <f t="array" ref="I541">_xlfn.IFS(B541&lt;18.5,"Underweight",AND(B541&gt;=18.5,B541&lt;=24.99),"Normalweight",AND(B541&gt;=25,B541&lt;=29.99),"Overweight",B541&gt;=30,"Obesity")</f>
        <v>Overweight</v>
      </c>
      <c r="J541" t="str" cm="1">
        <f t="array" ref="J541">_xlfn.IFS(C541&lt;5.7,"Normal",AND(C541&gt;=5.7,C541&lt;=6.49),"Prediabetes",C541&gt;=6.5,"Diabetes")</f>
        <v>Normal</v>
      </c>
    </row>
    <row r="542" spans="1:10" x14ac:dyDescent="0.3">
      <c r="A542" t="s">
        <v>1830</v>
      </c>
      <c r="B542" s="8">
        <v>24.4</v>
      </c>
      <c r="C542">
        <v>4.5199999999999996</v>
      </c>
      <c r="D542" t="s">
        <v>2379</v>
      </c>
      <c r="E542" t="s">
        <v>2379</v>
      </c>
      <c r="F542" t="s">
        <v>2379</v>
      </c>
      <c r="G542">
        <v>1</v>
      </c>
      <c r="H542" t="s">
        <v>2381</v>
      </c>
      <c r="I542" t="str" cm="1">
        <f t="array" ref="I542">_xlfn.IFS(B542&lt;18.5,"Underweight",AND(B542&gt;=18.5,B542&lt;=24.99),"Normalweight",AND(B542&gt;=25,B542&lt;=29.99),"Overweight",B542&gt;=30,"Obesity")</f>
        <v>Normalweight</v>
      </c>
      <c r="J542" t="str" cm="1">
        <f t="array" ref="J542">_xlfn.IFS(C542&lt;5.7,"Normal",AND(C542&gt;=5.7,C542&lt;=6.49),"Prediabetes",C542&gt;=6.5,"Diabetes")</f>
        <v>Normal</v>
      </c>
    </row>
    <row r="543" spans="1:10" x14ac:dyDescent="0.3">
      <c r="A543" t="s">
        <v>1829</v>
      </c>
      <c r="B543" s="8">
        <v>29.15</v>
      </c>
      <c r="C543">
        <v>4.45</v>
      </c>
      <c r="D543" t="s">
        <v>2381</v>
      </c>
      <c r="E543" t="s">
        <v>2379</v>
      </c>
      <c r="F543" t="s">
        <v>2379</v>
      </c>
      <c r="G543">
        <v>1</v>
      </c>
      <c r="H543" t="s">
        <v>2381</v>
      </c>
      <c r="I543" t="str" cm="1">
        <f t="array" ref="I543">_xlfn.IFS(B543&lt;18.5,"Underweight",AND(B543&gt;=18.5,B543&lt;=24.99),"Normalweight",AND(B543&gt;=25,B543&lt;=29.99),"Overweight",B543&gt;=30,"Obesity")</f>
        <v>Overweight</v>
      </c>
      <c r="J543" t="str" cm="1">
        <f t="array" ref="J543">_xlfn.IFS(C543&lt;5.7,"Normal",AND(C543&gt;=5.7,C543&lt;=6.49),"Prediabetes",C543&gt;=6.5,"Diabetes")</f>
        <v>Normal</v>
      </c>
    </row>
    <row r="544" spans="1:10" x14ac:dyDescent="0.3">
      <c r="A544" t="s">
        <v>1828</v>
      </c>
      <c r="B544" s="8">
        <v>27.28</v>
      </c>
      <c r="C544">
        <v>4.72</v>
      </c>
      <c r="D544" t="s">
        <v>2379</v>
      </c>
      <c r="E544" t="s">
        <v>2380</v>
      </c>
      <c r="F544" t="s">
        <v>2379</v>
      </c>
      <c r="G544">
        <v>1</v>
      </c>
      <c r="H544" t="s">
        <v>2381</v>
      </c>
      <c r="I544" t="str" cm="1">
        <f t="array" ref="I544">_xlfn.IFS(B544&lt;18.5,"Underweight",AND(B544&gt;=18.5,B544&lt;=24.99),"Normalweight",AND(B544&gt;=25,B544&lt;=29.99),"Overweight",B544&gt;=30,"Obesity")</f>
        <v>Overweight</v>
      </c>
      <c r="J544" t="str" cm="1">
        <f t="array" ref="J544">_xlfn.IFS(C544&lt;5.7,"Normal",AND(C544&gt;=5.7,C544&lt;=6.49),"Prediabetes",C544&gt;=6.5,"Diabetes")</f>
        <v>Normal</v>
      </c>
    </row>
    <row r="545" spans="1:10" x14ac:dyDescent="0.3">
      <c r="A545" t="s">
        <v>1827</v>
      </c>
      <c r="B545" s="8">
        <v>32.229999999999997</v>
      </c>
      <c r="C545">
        <v>4.6500000000000004</v>
      </c>
      <c r="D545" t="s">
        <v>2381</v>
      </c>
      <c r="E545" t="s">
        <v>2379</v>
      </c>
      <c r="F545" t="s">
        <v>2381</v>
      </c>
      <c r="G545">
        <v>1</v>
      </c>
      <c r="H545" t="s">
        <v>2379</v>
      </c>
      <c r="I545" t="str" cm="1">
        <f t="array" ref="I545">_xlfn.IFS(B545&lt;18.5,"Underweight",AND(B545&gt;=18.5,B545&lt;=24.99),"Normalweight",AND(B545&gt;=25,B545&lt;=29.99),"Overweight",B545&gt;=30,"Obesity")</f>
        <v>Obesity</v>
      </c>
      <c r="J545" t="str" cm="1">
        <f t="array" ref="J545">_xlfn.IFS(C545&lt;5.7,"Normal",AND(C545&gt;=5.7,C545&lt;=6.49),"Prediabetes",C545&gt;=6.5,"Diabetes")</f>
        <v>Normal</v>
      </c>
    </row>
    <row r="546" spans="1:10" x14ac:dyDescent="0.3">
      <c r="A546" t="s">
        <v>1826</v>
      </c>
      <c r="B546" s="8">
        <v>44.2</v>
      </c>
      <c r="C546">
        <v>11.34</v>
      </c>
      <c r="D546" t="s">
        <v>2381</v>
      </c>
      <c r="E546" t="s">
        <v>2379</v>
      </c>
      <c r="F546" t="s">
        <v>2381</v>
      </c>
      <c r="G546">
        <v>1</v>
      </c>
      <c r="H546" t="s">
        <v>2379</v>
      </c>
      <c r="I546" t="str" cm="1">
        <f t="array" ref="I546">_xlfn.IFS(B546&lt;18.5,"Underweight",AND(B546&gt;=18.5,B546&lt;=24.99),"Normalweight",AND(B546&gt;=25,B546&lt;=29.99),"Overweight",B546&gt;=30,"Obesity")</f>
        <v>Obesity</v>
      </c>
      <c r="J546" t="str" cm="1">
        <f t="array" ref="J546">_xlfn.IFS(C546&lt;5.7,"Normal",AND(C546&gt;=5.7,C546&lt;=6.49),"Prediabetes",C546&gt;=6.5,"Diabetes")</f>
        <v>Diabetes</v>
      </c>
    </row>
    <row r="547" spans="1:10" x14ac:dyDescent="0.3">
      <c r="A547" t="s">
        <v>1825</v>
      </c>
      <c r="B547" s="8">
        <v>29.734999999999999</v>
      </c>
      <c r="C547">
        <v>4.53</v>
      </c>
      <c r="D547" t="s">
        <v>2379</v>
      </c>
      <c r="E547" t="s">
        <v>2379</v>
      </c>
      <c r="F547" t="s">
        <v>2381</v>
      </c>
      <c r="G547">
        <v>1</v>
      </c>
      <c r="H547" t="s">
        <v>2379</v>
      </c>
      <c r="I547" t="str" cm="1">
        <f t="array" ref="I547">_xlfn.IFS(B547&lt;18.5,"Underweight",AND(B547&gt;=18.5,B547&lt;=24.99),"Normalweight",AND(B547&gt;=25,B547&lt;=29.99),"Overweight",B547&gt;=30,"Obesity")</f>
        <v>Overweight</v>
      </c>
      <c r="J547" t="str" cm="1">
        <f t="array" ref="J547">_xlfn.IFS(C547&lt;5.7,"Normal",AND(C547&gt;=5.7,C547&lt;=6.49),"Prediabetes",C547&gt;=6.5,"Diabetes")</f>
        <v>Normal</v>
      </c>
    </row>
    <row r="548" spans="1:10" x14ac:dyDescent="0.3">
      <c r="A548" t="s">
        <v>1824</v>
      </c>
      <c r="B548" s="8">
        <v>28.31</v>
      </c>
      <c r="C548">
        <v>6.35</v>
      </c>
      <c r="D548" t="s">
        <v>2379</v>
      </c>
      <c r="E548" t="s">
        <v>2379</v>
      </c>
      <c r="F548" t="s">
        <v>2379</v>
      </c>
      <c r="G548">
        <v>0</v>
      </c>
      <c r="H548" t="s">
        <v>2381</v>
      </c>
      <c r="I548" t="str" cm="1">
        <f t="array" ref="I548">_xlfn.IFS(B548&lt;18.5,"Underweight",AND(B548&gt;=18.5,B548&lt;=24.99),"Normalweight",AND(B548&gt;=25,B548&lt;=29.99),"Overweight",B548&gt;=30,"Obesity")</f>
        <v>Overweight</v>
      </c>
      <c r="J548" t="str" cm="1">
        <f t="array" ref="J548">_xlfn.IFS(C548&lt;5.7,"Normal",AND(C548&gt;=5.7,C548&lt;=6.49),"Prediabetes",C548&gt;=6.5,"Diabetes")</f>
        <v>Prediabetes</v>
      </c>
    </row>
    <row r="549" spans="1:10" x14ac:dyDescent="0.3">
      <c r="A549" t="s">
        <v>1823</v>
      </c>
      <c r="B549" s="8">
        <v>46.62</v>
      </c>
      <c r="C549">
        <v>8.51</v>
      </c>
      <c r="D549" t="s">
        <v>2379</v>
      </c>
      <c r="E549" t="s">
        <v>2379</v>
      </c>
      <c r="F549" t="s">
        <v>2379</v>
      </c>
      <c r="G549">
        <v>0</v>
      </c>
      <c r="H549" t="s">
        <v>2379</v>
      </c>
      <c r="I549" t="str" cm="1">
        <f t="array" ref="I549">_xlfn.IFS(B549&lt;18.5,"Underweight",AND(B549&gt;=18.5,B549&lt;=24.99),"Normalweight",AND(B549&gt;=25,B549&lt;=29.99),"Overweight",B549&gt;=30,"Obesity")</f>
        <v>Obesity</v>
      </c>
      <c r="J549" t="str" cm="1">
        <f t="array" ref="J549">_xlfn.IFS(C549&lt;5.7,"Normal",AND(C549&gt;=5.7,C549&lt;=6.49),"Prediabetes",C549&gt;=6.5,"Diabetes")</f>
        <v>Diabetes</v>
      </c>
    </row>
    <row r="550" spans="1:10" x14ac:dyDescent="0.3">
      <c r="A550" t="s">
        <v>1822</v>
      </c>
      <c r="B550" s="8">
        <v>51.75</v>
      </c>
      <c r="C550">
        <v>8.59</v>
      </c>
      <c r="D550" t="s">
        <v>2381</v>
      </c>
      <c r="E550" t="s">
        <v>2379</v>
      </c>
      <c r="F550" t="s">
        <v>2379</v>
      </c>
      <c r="G550">
        <v>1</v>
      </c>
      <c r="H550" t="s">
        <v>2379</v>
      </c>
      <c r="I550" t="str" cm="1">
        <f t="array" ref="I550">_xlfn.IFS(B550&lt;18.5,"Underweight",AND(B550&gt;=18.5,B550&lt;=24.99),"Normalweight",AND(B550&gt;=25,B550&lt;=29.99),"Overweight",B550&gt;=30,"Obesity")</f>
        <v>Obesity</v>
      </c>
      <c r="J550" t="str" cm="1">
        <f t="array" ref="J550">_xlfn.IFS(C550&lt;5.7,"Normal",AND(C550&gt;=5.7,C550&lt;=6.49),"Prediabetes",C550&gt;=6.5,"Diabetes")</f>
        <v>Diabetes</v>
      </c>
    </row>
    <row r="551" spans="1:10" x14ac:dyDescent="0.3">
      <c r="A551" t="s">
        <v>1821</v>
      </c>
      <c r="B551" s="8">
        <v>25.7</v>
      </c>
      <c r="C551">
        <v>4.13</v>
      </c>
      <c r="D551" t="s">
        <v>2381</v>
      </c>
      <c r="E551" t="s">
        <v>2379</v>
      </c>
      <c r="F551" t="s">
        <v>2379</v>
      </c>
      <c r="G551">
        <v>0</v>
      </c>
      <c r="H551" t="s">
        <v>2381</v>
      </c>
      <c r="I551" t="str" cm="1">
        <f t="array" ref="I551">_xlfn.IFS(B551&lt;18.5,"Underweight",AND(B551&gt;=18.5,B551&lt;=24.99),"Normalweight",AND(B551&gt;=25,B551&lt;=29.99),"Overweight",B551&gt;=30,"Obesity")</f>
        <v>Overweight</v>
      </c>
      <c r="J551" t="str" cm="1">
        <f t="array" ref="J551">_xlfn.IFS(C551&lt;5.7,"Normal",AND(C551&gt;=5.7,C551&lt;=6.49),"Prediabetes",C551&gt;=6.5,"Diabetes")</f>
        <v>Normal</v>
      </c>
    </row>
    <row r="552" spans="1:10" x14ac:dyDescent="0.3">
      <c r="A552" t="s">
        <v>1820</v>
      </c>
      <c r="B552" s="8">
        <v>31.79</v>
      </c>
      <c r="C552">
        <v>4.55</v>
      </c>
      <c r="D552" t="s">
        <v>2379</v>
      </c>
      <c r="E552" t="s">
        <v>2379</v>
      </c>
      <c r="F552" t="s">
        <v>2379</v>
      </c>
      <c r="G552">
        <v>0</v>
      </c>
      <c r="H552" t="s">
        <v>2379</v>
      </c>
      <c r="I552" t="str" cm="1">
        <f t="array" ref="I552">_xlfn.IFS(B552&lt;18.5,"Underweight",AND(B552&gt;=18.5,B552&lt;=24.99),"Normalweight",AND(B552&gt;=25,B552&lt;=29.99),"Overweight",B552&gt;=30,"Obesity")</f>
        <v>Obesity</v>
      </c>
      <c r="J552" t="str" cm="1">
        <f t="array" ref="J552">_xlfn.IFS(C552&lt;5.7,"Normal",AND(C552&gt;=5.7,C552&lt;=6.49),"Prediabetes",C552&gt;=6.5,"Diabetes")</f>
        <v>Normal</v>
      </c>
    </row>
    <row r="553" spans="1:10" x14ac:dyDescent="0.3">
      <c r="A553" t="s">
        <v>1819</v>
      </c>
      <c r="B553" s="8">
        <v>24.795000000000002</v>
      </c>
      <c r="C553">
        <v>4.5199999999999996</v>
      </c>
      <c r="D553" t="s">
        <v>2379</v>
      </c>
      <c r="E553" t="s">
        <v>2379</v>
      </c>
      <c r="F553" t="s">
        <v>2379</v>
      </c>
      <c r="G553">
        <v>0</v>
      </c>
      <c r="H553" t="s">
        <v>2381</v>
      </c>
      <c r="I553" t="str" cm="1">
        <f t="array" ref="I553">_xlfn.IFS(B553&lt;18.5,"Underweight",AND(B553&gt;=18.5,B553&lt;=24.99),"Normalweight",AND(B553&gt;=25,B553&lt;=29.99),"Overweight",B553&gt;=30,"Obesity")</f>
        <v>Normalweight</v>
      </c>
      <c r="J553" t="str" cm="1">
        <f t="array" ref="J553">_xlfn.IFS(C553&lt;5.7,"Normal",AND(C553&gt;=5.7,C553&lt;=6.49),"Prediabetes",C553&gt;=6.5,"Diabetes")</f>
        <v>Normal</v>
      </c>
    </row>
    <row r="554" spans="1:10" x14ac:dyDescent="0.3">
      <c r="A554" t="s">
        <v>1818</v>
      </c>
      <c r="B554" s="8">
        <v>53.98</v>
      </c>
      <c r="C554">
        <v>5.07</v>
      </c>
      <c r="D554" t="s">
        <v>2379</v>
      </c>
      <c r="E554" t="s">
        <v>2379</v>
      </c>
      <c r="F554" t="s">
        <v>2381</v>
      </c>
      <c r="G554">
        <v>1</v>
      </c>
      <c r="H554" t="s">
        <v>2379</v>
      </c>
      <c r="I554" t="str" cm="1">
        <f t="array" ref="I554">_xlfn.IFS(B554&lt;18.5,"Underweight",AND(B554&gt;=18.5,B554&lt;=24.99),"Normalweight",AND(B554&gt;=25,B554&lt;=29.99),"Overweight",B554&gt;=30,"Obesity")</f>
        <v>Obesity</v>
      </c>
      <c r="J554" t="str" cm="1">
        <f t="array" ref="J554">_xlfn.IFS(C554&lt;5.7,"Normal",AND(C554&gt;=5.7,C554&lt;=6.49),"Prediabetes",C554&gt;=6.5,"Diabetes")</f>
        <v>Normal</v>
      </c>
    </row>
    <row r="555" spans="1:10" x14ac:dyDescent="0.3">
      <c r="A555" t="s">
        <v>1817</v>
      </c>
      <c r="B555" s="8">
        <v>41.325000000000003</v>
      </c>
      <c r="C555">
        <v>4.04</v>
      </c>
      <c r="D555" t="s">
        <v>2381</v>
      </c>
      <c r="E555" t="s">
        <v>2379</v>
      </c>
      <c r="F555" t="s">
        <v>2381</v>
      </c>
      <c r="G555">
        <v>1</v>
      </c>
      <c r="H555" t="s">
        <v>2379</v>
      </c>
      <c r="I555" t="str" cm="1">
        <f t="array" ref="I555">_xlfn.IFS(B555&lt;18.5,"Underweight",AND(B555&gt;=18.5,B555&lt;=24.99),"Normalweight",AND(B555&gt;=25,B555&lt;=29.99),"Overweight",B555&gt;=30,"Obesity")</f>
        <v>Obesity</v>
      </c>
      <c r="J555" t="str" cm="1">
        <f t="array" ref="J555">_xlfn.IFS(C555&lt;5.7,"Normal",AND(C555&gt;=5.7,C555&lt;=6.49),"Prediabetes",C555&gt;=6.5,"Diabetes")</f>
        <v>Normal</v>
      </c>
    </row>
    <row r="556" spans="1:10" x14ac:dyDescent="0.3">
      <c r="A556" t="s">
        <v>1816</v>
      </c>
      <c r="B556" s="8">
        <v>51.65</v>
      </c>
      <c r="C556">
        <v>5.3</v>
      </c>
      <c r="D556" t="s">
        <v>2381</v>
      </c>
      <c r="E556" t="s">
        <v>2379</v>
      </c>
      <c r="F556" t="s">
        <v>2379</v>
      </c>
      <c r="G556">
        <v>0</v>
      </c>
      <c r="H556" t="s">
        <v>2379</v>
      </c>
      <c r="I556" t="str" cm="1">
        <f t="array" ref="I556">_xlfn.IFS(B556&lt;18.5,"Underweight",AND(B556&gt;=18.5,B556&lt;=24.99),"Normalweight",AND(B556&gt;=25,B556&lt;=29.99),"Overweight",B556&gt;=30,"Obesity")</f>
        <v>Obesity</v>
      </c>
      <c r="J556" t="str" cm="1">
        <f t="array" ref="J556">_xlfn.IFS(C556&lt;5.7,"Normal",AND(C556&gt;=5.7,C556&lt;=6.49),"Prediabetes",C556&gt;=6.5,"Diabetes")</f>
        <v>Normal</v>
      </c>
    </row>
    <row r="557" spans="1:10" x14ac:dyDescent="0.3">
      <c r="A557" t="s">
        <v>1815</v>
      </c>
      <c r="B557" s="8">
        <v>44.52</v>
      </c>
      <c r="C557">
        <v>8.64</v>
      </c>
      <c r="D557" t="s">
        <v>2381</v>
      </c>
      <c r="E557" t="s">
        <v>2379</v>
      </c>
      <c r="F557" t="s">
        <v>2381</v>
      </c>
      <c r="G557">
        <v>1</v>
      </c>
      <c r="H557" t="s">
        <v>2379</v>
      </c>
      <c r="I557" t="str" cm="1">
        <f t="array" ref="I557">_xlfn.IFS(B557&lt;18.5,"Underweight",AND(B557&gt;=18.5,B557&lt;=24.99),"Normalweight",AND(B557&gt;=25,B557&lt;=29.99),"Overweight",B557&gt;=30,"Obesity")</f>
        <v>Obesity</v>
      </c>
      <c r="J557" t="str" cm="1">
        <f t="array" ref="J557">_xlfn.IFS(C557&lt;5.7,"Normal",AND(C557&gt;=5.7,C557&lt;=6.49),"Prediabetes",C557&gt;=6.5,"Diabetes")</f>
        <v>Diabetes</v>
      </c>
    </row>
    <row r="558" spans="1:10" x14ac:dyDescent="0.3">
      <c r="A558" t="s">
        <v>1814</v>
      </c>
      <c r="B558" s="8">
        <v>53.29</v>
      </c>
      <c r="C558">
        <v>4.03</v>
      </c>
      <c r="D558" t="s">
        <v>2379</v>
      </c>
      <c r="E558" t="s">
        <v>2379</v>
      </c>
      <c r="F558" t="s">
        <v>2381</v>
      </c>
      <c r="G558">
        <v>1</v>
      </c>
      <c r="H558" t="s">
        <v>2379</v>
      </c>
      <c r="I558" t="str" cm="1">
        <f t="array" ref="I558">_xlfn.IFS(B558&lt;18.5,"Underweight",AND(B558&gt;=18.5,B558&lt;=24.99),"Normalweight",AND(B558&gt;=25,B558&lt;=29.99),"Overweight",B558&gt;=30,"Obesity")</f>
        <v>Obesity</v>
      </c>
      <c r="J558" t="str" cm="1">
        <f t="array" ref="J558">_xlfn.IFS(C558&lt;5.7,"Normal",AND(C558&gt;=5.7,C558&lt;=6.49),"Prediabetes",C558&gt;=6.5,"Diabetes")</f>
        <v>Normal</v>
      </c>
    </row>
    <row r="559" spans="1:10" x14ac:dyDescent="0.3">
      <c r="A559" t="s">
        <v>1813</v>
      </c>
      <c r="B559" s="8">
        <v>46.63</v>
      </c>
      <c r="C559">
        <v>4.26</v>
      </c>
      <c r="D559" t="s">
        <v>2381</v>
      </c>
      <c r="E559" t="s">
        <v>2379</v>
      </c>
      <c r="F559" t="s">
        <v>2379</v>
      </c>
      <c r="G559">
        <v>2</v>
      </c>
      <c r="H559" t="s">
        <v>2379</v>
      </c>
      <c r="I559" t="str" cm="1">
        <f t="array" ref="I559">_xlfn.IFS(B559&lt;18.5,"Underweight",AND(B559&gt;=18.5,B559&lt;=24.99),"Normalweight",AND(B559&gt;=25,B559&lt;=29.99),"Overweight",B559&gt;=30,"Obesity")</f>
        <v>Obesity</v>
      </c>
      <c r="J559" t="str" cm="1">
        <f t="array" ref="J559">_xlfn.IFS(C559&lt;5.7,"Normal",AND(C559&gt;=5.7,C559&lt;=6.49),"Prediabetes",C559&gt;=6.5,"Diabetes")</f>
        <v>Normal</v>
      </c>
    </row>
    <row r="560" spans="1:10" x14ac:dyDescent="0.3">
      <c r="A560" t="s">
        <v>1812</v>
      </c>
      <c r="B560" s="8">
        <v>28.88</v>
      </c>
      <c r="C560">
        <v>5.35</v>
      </c>
      <c r="D560" t="s">
        <v>2379</v>
      </c>
      <c r="E560" t="s">
        <v>2379</v>
      </c>
      <c r="F560" t="s">
        <v>2381</v>
      </c>
      <c r="G560">
        <v>1</v>
      </c>
      <c r="H560" t="s">
        <v>2381</v>
      </c>
      <c r="I560" t="str" cm="1">
        <f t="array" ref="I560">_xlfn.IFS(B560&lt;18.5,"Underweight",AND(B560&gt;=18.5,B560&lt;=24.99),"Normalweight",AND(B560&gt;=25,B560&lt;=29.99),"Overweight",B560&gt;=30,"Obesity")</f>
        <v>Overweight</v>
      </c>
      <c r="J560" t="str" cm="1">
        <f t="array" ref="J560">_xlfn.IFS(C560&lt;5.7,"Normal",AND(C560&gt;=5.7,C560&lt;=6.49),"Prediabetes",C560&gt;=6.5,"Diabetes")</f>
        <v>Normal</v>
      </c>
    </row>
    <row r="561" spans="1:10" x14ac:dyDescent="0.3">
      <c r="A561" t="s">
        <v>1811</v>
      </c>
      <c r="B561" s="8">
        <v>23.98</v>
      </c>
      <c r="C561">
        <v>4.9000000000000004</v>
      </c>
      <c r="D561" t="s">
        <v>2379</v>
      </c>
      <c r="E561" t="s">
        <v>2379</v>
      </c>
      <c r="F561" t="s">
        <v>2379</v>
      </c>
      <c r="G561">
        <v>0</v>
      </c>
      <c r="H561" t="s">
        <v>2379</v>
      </c>
      <c r="I561" t="str" cm="1">
        <f t="array" ref="I561">_xlfn.IFS(B561&lt;18.5,"Underweight",AND(B561&gt;=18.5,B561&lt;=24.99),"Normalweight",AND(B561&gt;=25,B561&lt;=29.99),"Overweight",B561&gt;=30,"Obesity")</f>
        <v>Normalweight</v>
      </c>
      <c r="J561" t="str" cm="1">
        <f t="array" ref="J561">_xlfn.IFS(C561&lt;5.7,"Normal",AND(C561&gt;=5.7,C561&lt;=6.49),"Prediabetes",C561&gt;=6.5,"Diabetes")</f>
        <v>Normal</v>
      </c>
    </row>
    <row r="562" spans="1:10" x14ac:dyDescent="0.3">
      <c r="A562" t="s">
        <v>1810</v>
      </c>
      <c r="B562" s="8">
        <v>23.65</v>
      </c>
      <c r="C562">
        <v>4.5</v>
      </c>
      <c r="D562" t="s">
        <v>2379</v>
      </c>
      <c r="E562" t="s">
        <v>2379</v>
      </c>
      <c r="F562" t="s">
        <v>2379</v>
      </c>
      <c r="G562">
        <v>0</v>
      </c>
      <c r="H562" t="s">
        <v>2379</v>
      </c>
      <c r="I562" t="str" cm="1">
        <f t="array" ref="I562">_xlfn.IFS(B562&lt;18.5,"Underweight",AND(B562&gt;=18.5,B562&lt;=24.99),"Normalweight",AND(B562&gt;=25,B562&lt;=29.99),"Overweight",B562&gt;=30,"Obesity")</f>
        <v>Normalweight</v>
      </c>
      <c r="J562" t="str" cm="1">
        <f t="array" ref="J562">_xlfn.IFS(C562&lt;5.7,"Normal",AND(C562&gt;=5.7,C562&lt;=6.49),"Prediabetes",C562&gt;=6.5,"Diabetes")</f>
        <v>Normal</v>
      </c>
    </row>
    <row r="563" spans="1:10" x14ac:dyDescent="0.3">
      <c r="A563" t="s">
        <v>1809</v>
      </c>
      <c r="B563" s="8">
        <v>49.09</v>
      </c>
      <c r="C563">
        <v>8.3800000000000008</v>
      </c>
      <c r="D563" t="s">
        <v>2381</v>
      </c>
      <c r="E563" t="s">
        <v>2379</v>
      </c>
      <c r="F563" t="s">
        <v>2379</v>
      </c>
      <c r="G563">
        <v>2</v>
      </c>
      <c r="H563" t="s">
        <v>2379</v>
      </c>
      <c r="I563" t="str" cm="1">
        <f t="array" ref="I563">_xlfn.IFS(B563&lt;18.5,"Underweight",AND(B563&gt;=18.5,B563&lt;=24.99),"Normalweight",AND(B563&gt;=25,B563&lt;=29.99),"Overweight",B563&gt;=30,"Obesity")</f>
        <v>Obesity</v>
      </c>
      <c r="J563" t="str" cm="1">
        <f t="array" ref="J563">_xlfn.IFS(C563&lt;5.7,"Normal",AND(C563&gt;=5.7,C563&lt;=6.49),"Prediabetes",C563&gt;=6.5,"Diabetes")</f>
        <v>Diabetes</v>
      </c>
    </row>
    <row r="564" spans="1:10" x14ac:dyDescent="0.3">
      <c r="A564" t="s">
        <v>1808</v>
      </c>
      <c r="B564" s="8">
        <v>28.024999999999999</v>
      </c>
      <c r="C564">
        <v>7.03</v>
      </c>
      <c r="D564" t="s">
        <v>2379</v>
      </c>
      <c r="E564" t="s">
        <v>2379</v>
      </c>
      <c r="F564" t="s">
        <v>2379</v>
      </c>
      <c r="G564">
        <v>0</v>
      </c>
      <c r="H564" t="s">
        <v>2381</v>
      </c>
      <c r="I564" t="str" cm="1">
        <f t="array" ref="I564">_xlfn.IFS(B564&lt;18.5,"Underweight",AND(B564&gt;=18.5,B564&lt;=24.99),"Normalweight",AND(B564&gt;=25,B564&lt;=29.99),"Overweight",B564&gt;=30,"Obesity")</f>
        <v>Overweight</v>
      </c>
      <c r="J564" t="str" cm="1">
        <f t="array" ref="J564">_xlfn.IFS(C564&lt;5.7,"Normal",AND(C564&gt;=5.7,C564&lt;=6.49),"Prediabetes",C564&gt;=6.5,"Diabetes")</f>
        <v>Diabetes</v>
      </c>
    </row>
    <row r="565" spans="1:10" x14ac:dyDescent="0.3">
      <c r="A565" t="s">
        <v>1807</v>
      </c>
      <c r="B565" s="8">
        <v>43.32</v>
      </c>
      <c r="C565">
        <v>8.75</v>
      </c>
      <c r="D565" t="s">
        <v>2381</v>
      </c>
      <c r="E565" t="s">
        <v>2379</v>
      </c>
      <c r="F565" t="s">
        <v>2381</v>
      </c>
      <c r="G565">
        <v>1</v>
      </c>
      <c r="H565" t="s">
        <v>2379</v>
      </c>
      <c r="I565" t="str" cm="1">
        <f t="array" ref="I565">_xlfn.IFS(B565&lt;18.5,"Underweight",AND(B565&gt;=18.5,B565&lt;=24.99),"Normalweight",AND(B565&gt;=25,B565&lt;=29.99),"Overweight",B565&gt;=30,"Obesity")</f>
        <v>Obesity</v>
      </c>
      <c r="J565" t="str" cm="1">
        <f t="array" ref="J565">_xlfn.IFS(C565&lt;5.7,"Normal",AND(C565&gt;=5.7,C565&lt;=6.49),"Prediabetes",C565&gt;=6.5,"Diabetes")</f>
        <v>Diabetes</v>
      </c>
    </row>
    <row r="566" spans="1:10" x14ac:dyDescent="0.3">
      <c r="A566" t="s">
        <v>1806</v>
      </c>
      <c r="B566" s="8">
        <v>45.92</v>
      </c>
      <c r="C566">
        <v>9.51</v>
      </c>
      <c r="D566" t="s">
        <v>2379</v>
      </c>
      <c r="E566" t="s">
        <v>2379</v>
      </c>
      <c r="F566" t="s">
        <v>2379</v>
      </c>
      <c r="G566">
        <v>0</v>
      </c>
      <c r="H566" t="s">
        <v>2379</v>
      </c>
      <c r="I566" t="str" cm="1">
        <f t="array" ref="I566">_xlfn.IFS(B566&lt;18.5,"Underweight",AND(B566&gt;=18.5,B566&lt;=24.99),"Normalweight",AND(B566&gt;=25,B566&lt;=29.99),"Overweight",B566&gt;=30,"Obesity")</f>
        <v>Obesity</v>
      </c>
      <c r="J566" t="str" cm="1">
        <f t="array" ref="J566">_xlfn.IFS(C566&lt;5.7,"Normal",AND(C566&gt;=5.7,C566&lt;=6.49),"Prediabetes",C566&gt;=6.5,"Diabetes")</f>
        <v>Diabetes</v>
      </c>
    </row>
    <row r="567" spans="1:10" x14ac:dyDescent="0.3">
      <c r="A567" t="s">
        <v>1805</v>
      </c>
      <c r="B567" s="8">
        <v>44.03</v>
      </c>
      <c r="C567">
        <v>9.36</v>
      </c>
      <c r="D567" t="s">
        <v>2379</v>
      </c>
      <c r="E567" t="s">
        <v>2379</v>
      </c>
      <c r="F567" t="s">
        <v>2379</v>
      </c>
      <c r="G567">
        <v>0</v>
      </c>
      <c r="H567" t="s">
        <v>2379</v>
      </c>
      <c r="I567" t="str" cm="1">
        <f t="array" ref="I567">_xlfn.IFS(B567&lt;18.5,"Underweight",AND(B567&gt;=18.5,B567&lt;=24.99),"Normalweight",AND(B567&gt;=25,B567&lt;=29.99),"Overweight",B567&gt;=30,"Obesity")</f>
        <v>Obesity</v>
      </c>
      <c r="J567" t="str" cm="1">
        <f t="array" ref="J567">_xlfn.IFS(C567&lt;5.7,"Normal",AND(C567&gt;=5.7,C567&lt;=6.49),"Prediabetes",C567&gt;=6.5,"Diabetes")</f>
        <v>Diabetes</v>
      </c>
    </row>
    <row r="568" spans="1:10" x14ac:dyDescent="0.3">
      <c r="A568" t="s">
        <v>1804</v>
      </c>
      <c r="B568" s="8">
        <v>24.6</v>
      </c>
      <c r="C568">
        <v>4.8099999999999996</v>
      </c>
      <c r="D568" t="s">
        <v>2379</v>
      </c>
      <c r="E568" t="s">
        <v>2379</v>
      </c>
      <c r="F568" t="s">
        <v>2379</v>
      </c>
      <c r="G568">
        <v>0</v>
      </c>
      <c r="H568" t="s">
        <v>2381</v>
      </c>
      <c r="I568" t="str" cm="1">
        <f t="array" ref="I568">_xlfn.IFS(B568&lt;18.5,"Underweight",AND(B568&gt;=18.5,B568&lt;=24.99),"Normalweight",AND(B568&gt;=25,B568&lt;=29.99),"Overweight",B568&gt;=30,"Obesity")</f>
        <v>Normalweight</v>
      </c>
      <c r="J568" t="str" cm="1">
        <f t="array" ref="J568">_xlfn.IFS(C568&lt;5.7,"Normal",AND(C568&gt;=5.7,C568&lt;=6.49),"Prediabetes",C568&gt;=6.5,"Diabetes")</f>
        <v>Normal</v>
      </c>
    </row>
    <row r="569" spans="1:10" x14ac:dyDescent="0.3">
      <c r="A569" t="s">
        <v>1803</v>
      </c>
      <c r="B569" s="8">
        <v>49.15</v>
      </c>
      <c r="C569">
        <v>8.08</v>
      </c>
      <c r="D569" t="s">
        <v>2379</v>
      </c>
      <c r="E569" t="s">
        <v>2379</v>
      </c>
      <c r="F569" t="s">
        <v>2379</v>
      </c>
      <c r="G569">
        <v>0</v>
      </c>
      <c r="H569" t="s">
        <v>2379</v>
      </c>
      <c r="I569" t="str" cm="1">
        <f t="array" ref="I569">_xlfn.IFS(B569&lt;18.5,"Underweight",AND(B569&gt;=18.5,B569&lt;=24.99),"Normalweight",AND(B569&gt;=25,B569&lt;=29.99),"Overweight",B569&gt;=30,"Obesity")</f>
        <v>Obesity</v>
      </c>
      <c r="J569" t="str" cm="1">
        <f t="array" ref="J569">_xlfn.IFS(C569&lt;5.7,"Normal",AND(C569&gt;=5.7,C569&lt;=6.49),"Prediabetes",C569&gt;=6.5,"Diabetes")</f>
        <v>Diabetes</v>
      </c>
    </row>
    <row r="570" spans="1:10" x14ac:dyDescent="0.3">
      <c r="A570" t="s">
        <v>1802</v>
      </c>
      <c r="B570" s="8">
        <v>28.31</v>
      </c>
      <c r="C570">
        <v>6.29</v>
      </c>
      <c r="D570" t="s">
        <v>2379</v>
      </c>
      <c r="E570" t="s">
        <v>2379</v>
      </c>
      <c r="F570" t="s">
        <v>2381</v>
      </c>
      <c r="G570">
        <v>1</v>
      </c>
      <c r="H570" t="s">
        <v>2381</v>
      </c>
      <c r="I570" t="str" cm="1">
        <f t="array" ref="I570">_xlfn.IFS(B570&lt;18.5,"Underweight",AND(B570&gt;=18.5,B570&lt;=24.99),"Normalweight",AND(B570&gt;=25,B570&lt;=29.99),"Overweight",B570&gt;=30,"Obesity")</f>
        <v>Overweight</v>
      </c>
      <c r="J570" t="str" cm="1">
        <f t="array" ref="J570">_xlfn.IFS(C570&lt;5.7,"Normal",AND(C570&gt;=5.7,C570&lt;=6.49),"Prediabetes",C570&gt;=6.5,"Diabetes")</f>
        <v>Prediabetes</v>
      </c>
    </row>
    <row r="571" spans="1:10" x14ac:dyDescent="0.3">
      <c r="A571" t="s">
        <v>1801</v>
      </c>
      <c r="B571" s="8">
        <v>22.99</v>
      </c>
      <c r="C571">
        <v>6.29</v>
      </c>
      <c r="D571" t="s">
        <v>2379</v>
      </c>
      <c r="E571" t="s">
        <v>2379</v>
      </c>
      <c r="F571" t="s">
        <v>2379</v>
      </c>
      <c r="G571">
        <v>1</v>
      </c>
      <c r="H571" t="s">
        <v>2381</v>
      </c>
      <c r="I571" t="str" cm="1">
        <f t="array" ref="I571">_xlfn.IFS(B571&lt;18.5,"Underweight",AND(B571&gt;=18.5,B571&lt;=24.99),"Normalweight",AND(B571&gt;=25,B571&lt;=29.99),"Overweight",B571&gt;=30,"Obesity")</f>
        <v>Normalweight</v>
      </c>
      <c r="J571" t="str" cm="1">
        <f t="array" ref="J571">_xlfn.IFS(C571&lt;5.7,"Normal",AND(C571&gt;=5.7,C571&lt;=6.49),"Prediabetes",C571&gt;=6.5,"Diabetes")</f>
        <v>Prediabetes</v>
      </c>
    </row>
    <row r="572" spans="1:10" x14ac:dyDescent="0.3">
      <c r="A572" t="s">
        <v>1800</v>
      </c>
      <c r="B572" s="8">
        <v>29.07</v>
      </c>
      <c r="C572">
        <v>5.12</v>
      </c>
      <c r="D572" t="s">
        <v>2379</v>
      </c>
      <c r="E572" t="s">
        <v>2379</v>
      </c>
      <c r="F572" t="s">
        <v>2381</v>
      </c>
      <c r="G572">
        <v>1</v>
      </c>
      <c r="H572" t="s">
        <v>2381</v>
      </c>
      <c r="I572" t="str" cm="1">
        <f t="array" ref="I572">_xlfn.IFS(B572&lt;18.5,"Underweight",AND(B572&gt;=18.5,B572&lt;=24.99),"Normalweight",AND(B572&gt;=25,B572&lt;=29.99),"Overweight",B572&gt;=30,"Obesity")</f>
        <v>Overweight</v>
      </c>
      <c r="J572" t="str" cm="1">
        <f t="array" ref="J572">_xlfn.IFS(C572&lt;5.7,"Normal",AND(C572&gt;=5.7,C572&lt;=6.49),"Prediabetes",C572&gt;=6.5,"Diabetes")</f>
        <v>Normal</v>
      </c>
    </row>
    <row r="573" spans="1:10" x14ac:dyDescent="0.3">
      <c r="A573" t="s">
        <v>1799</v>
      </c>
      <c r="B573" s="8">
        <v>42.02</v>
      </c>
      <c r="C573">
        <v>9.9499999999999993</v>
      </c>
      <c r="D573" t="s">
        <v>2381</v>
      </c>
      <c r="E573" t="s">
        <v>2379</v>
      </c>
      <c r="F573" t="s">
        <v>2381</v>
      </c>
      <c r="G573">
        <v>1</v>
      </c>
      <c r="H573" t="s">
        <v>2379</v>
      </c>
      <c r="I573" t="str" cm="1">
        <f t="array" ref="I573">_xlfn.IFS(B573&lt;18.5,"Underweight",AND(B573&gt;=18.5,B573&lt;=24.99),"Normalweight",AND(B573&gt;=25,B573&lt;=29.99),"Overweight",B573&gt;=30,"Obesity")</f>
        <v>Obesity</v>
      </c>
      <c r="J573" t="str" cm="1">
        <f t="array" ref="J573">_xlfn.IFS(C573&lt;5.7,"Normal",AND(C573&gt;=5.7,C573&lt;=6.49),"Prediabetes",C573&gt;=6.5,"Diabetes")</f>
        <v>Diabetes</v>
      </c>
    </row>
    <row r="574" spans="1:10" x14ac:dyDescent="0.3">
      <c r="A574" t="s">
        <v>1798</v>
      </c>
      <c r="B574" s="8">
        <v>49.07</v>
      </c>
      <c r="C574">
        <v>9.08</v>
      </c>
      <c r="D574" t="s">
        <v>2381</v>
      </c>
      <c r="E574" t="s">
        <v>2379</v>
      </c>
      <c r="F574" t="s">
        <v>2379</v>
      </c>
      <c r="G574">
        <v>1</v>
      </c>
      <c r="H574" t="s">
        <v>2379</v>
      </c>
      <c r="I574" t="str" cm="1">
        <f t="array" ref="I574">_xlfn.IFS(B574&lt;18.5,"Underweight",AND(B574&gt;=18.5,B574&lt;=24.99),"Normalweight",AND(B574&gt;=25,B574&lt;=29.99),"Overweight",B574&gt;=30,"Obesity")</f>
        <v>Obesity</v>
      </c>
      <c r="J574" t="str" cm="1">
        <f t="array" ref="J574">_xlfn.IFS(C574&lt;5.7,"Normal",AND(C574&gt;=5.7,C574&lt;=6.49),"Prediabetes",C574&gt;=6.5,"Diabetes")</f>
        <v>Diabetes</v>
      </c>
    </row>
    <row r="575" spans="1:10" x14ac:dyDescent="0.3">
      <c r="A575" t="s">
        <v>1797</v>
      </c>
      <c r="B575" s="8">
        <v>19.8</v>
      </c>
      <c r="C575">
        <v>4.82</v>
      </c>
      <c r="D575" t="s">
        <v>2379</v>
      </c>
      <c r="E575" t="s">
        <v>2379</v>
      </c>
      <c r="F575" t="s">
        <v>2379</v>
      </c>
      <c r="G575">
        <v>0</v>
      </c>
      <c r="H575" t="s">
        <v>2381</v>
      </c>
      <c r="I575" t="str" cm="1">
        <f t="array" ref="I575">_xlfn.IFS(B575&lt;18.5,"Underweight",AND(B575&gt;=18.5,B575&lt;=24.99),"Normalweight",AND(B575&gt;=25,B575&lt;=29.99),"Overweight",B575&gt;=30,"Obesity")</f>
        <v>Normalweight</v>
      </c>
      <c r="J575" t="str" cm="1">
        <f t="array" ref="J575">_xlfn.IFS(C575&lt;5.7,"Normal",AND(C575&gt;=5.7,C575&lt;=6.49),"Prediabetes",C575&gt;=6.5,"Diabetes")</f>
        <v>Normal</v>
      </c>
    </row>
    <row r="576" spans="1:10" x14ac:dyDescent="0.3">
      <c r="A576" t="s">
        <v>1796</v>
      </c>
      <c r="B576" s="8">
        <v>27.36</v>
      </c>
      <c r="C576">
        <v>4.6500000000000004</v>
      </c>
      <c r="D576" t="s">
        <v>2379</v>
      </c>
      <c r="E576" t="s">
        <v>2380</v>
      </c>
      <c r="F576" t="s">
        <v>2379</v>
      </c>
      <c r="G576">
        <v>1</v>
      </c>
      <c r="H576" t="s">
        <v>2381</v>
      </c>
      <c r="I576" t="str" cm="1">
        <f t="array" ref="I576">_xlfn.IFS(B576&lt;18.5,"Underweight",AND(B576&gt;=18.5,B576&lt;=24.99),"Normalweight",AND(B576&gt;=25,B576&lt;=29.99),"Overweight",B576&gt;=30,"Obesity")</f>
        <v>Overweight</v>
      </c>
      <c r="J576" t="str" cm="1">
        <f t="array" ref="J576">_xlfn.IFS(C576&lt;5.7,"Normal",AND(C576&gt;=5.7,C576&lt;=6.49),"Prediabetes",C576&gt;=6.5,"Diabetes")</f>
        <v>Normal</v>
      </c>
    </row>
    <row r="577" spans="1:10" x14ac:dyDescent="0.3">
      <c r="A577" t="s">
        <v>1795</v>
      </c>
      <c r="B577" s="8">
        <v>42.95</v>
      </c>
      <c r="C577">
        <v>5.16</v>
      </c>
      <c r="D577" t="s">
        <v>2381</v>
      </c>
      <c r="E577" t="s">
        <v>2379</v>
      </c>
      <c r="F577" t="s">
        <v>2379</v>
      </c>
      <c r="G577">
        <v>1</v>
      </c>
      <c r="H577" t="s">
        <v>2379</v>
      </c>
      <c r="I577" t="str" cm="1">
        <f t="array" ref="I577">_xlfn.IFS(B577&lt;18.5,"Underweight",AND(B577&gt;=18.5,B577&lt;=24.99),"Normalweight",AND(B577&gt;=25,B577&lt;=29.99),"Overweight",B577&gt;=30,"Obesity")</f>
        <v>Obesity</v>
      </c>
      <c r="J577" t="str" cm="1">
        <f t="array" ref="J577">_xlfn.IFS(C577&lt;5.7,"Normal",AND(C577&gt;=5.7,C577&lt;=6.49),"Prediabetes",C577&gt;=6.5,"Diabetes")</f>
        <v>Normal</v>
      </c>
    </row>
    <row r="578" spans="1:10" x14ac:dyDescent="0.3">
      <c r="A578" t="s">
        <v>1794</v>
      </c>
      <c r="B578" s="8">
        <v>42.66</v>
      </c>
      <c r="C578">
        <v>10.44</v>
      </c>
      <c r="D578" t="s">
        <v>2379</v>
      </c>
      <c r="E578" t="s">
        <v>2379</v>
      </c>
      <c r="F578" t="s">
        <v>2379</v>
      </c>
      <c r="G578">
        <v>0</v>
      </c>
      <c r="H578" t="s">
        <v>2379</v>
      </c>
      <c r="I578" t="str" cm="1">
        <f t="array" ref="I578">_xlfn.IFS(B578&lt;18.5,"Underweight",AND(B578&gt;=18.5,B578&lt;=24.99),"Normalweight",AND(B578&gt;=25,B578&lt;=29.99),"Overweight",B578&gt;=30,"Obesity")</f>
        <v>Obesity</v>
      </c>
      <c r="J578" t="str" cm="1">
        <f t="array" ref="J578">_xlfn.IFS(C578&lt;5.7,"Normal",AND(C578&gt;=5.7,C578&lt;=6.49),"Prediabetes",C578&gt;=6.5,"Diabetes")</f>
        <v>Diabetes</v>
      </c>
    </row>
    <row r="579" spans="1:10" x14ac:dyDescent="0.3">
      <c r="A579" t="s">
        <v>1793</v>
      </c>
      <c r="B579" s="8">
        <v>33.630000000000003</v>
      </c>
      <c r="C579">
        <v>5.69</v>
      </c>
      <c r="D579" t="s">
        <v>2379</v>
      </c>
      <c r="E579" t="s">
        <v>2379</v>
      </c>
      <c r="F579" t="s">
        <v>2379</v>
      </c>
      <c r="G579">
        <v>1</v>
      </c>
      <c r="H579" t="s">
        <v>2379</v>
      </c>
      <c r="I579" t="str" cm="1">
        <f t="array" ref="I579">_xlfn.IFS(B579&lt;18.5,"Underweight",AND(B579&gt;=18.5,B579&lt;=24.99),"Normalweight",AND(B579&gt;=25,B579&lt;=29.99),"Overweight",B579&gt;=30,"Obesity")</f>
        <v>Obesity</v>
      </c>
      <c r="J579" t="str" cm="1">
        <f t="array" ref="J579">_xlfn.IFS(C579&lt;5.7,"Normal",AND(C579&gt;=5.7,C579&lt;=6.49),"Prediabetes",C579&gt;=6.5,"Diabetes")</f>
        <v>Normal</v>
      </c>
    </row>
    <row r="580" spans="1:10" x14ac:dyDescent="0.3">
      <c r="A580" t="s">
        <v>1792</v>
      </c>
      <c r="B580" s="8">
        <v>26.84</v>
      </c>
      <c r="C580">
        <v>6.5</v>
      </c>
      <c r="D580" t="s">
        <v>2379</v>
      </c>
      <c r="E580" t="s">
        <v>2379</v>
      </c>
      <c r="F580" t="s">
        <v>2379</v>
      </c>
      <c r="G580">
        <v>0</v>
      </c>
      <c r="H580" t="s">
        <v>2381</v>
      </c>
      <c r="I580" t="str" cm="1">
        <f t="array" ref="I580">_xlfn.IFS(B580&lt;18.5,"Underweight",AND(B580&gt;=18.5,B580&lt;=24.99),"Normalweight",AND(B580&gt;=25,B580&lt;=29.99),"Overweight",B580&gt;=30,"Obesity")</f>
        <v>Overweight</v>
      </c>
      <c r="J580" t="str" cm="1">
        <f t="array" ref="J580">_xlfn.IFS(C580&lt;5.7,"Normal",AND(C580&gt;=5.7,C580&lt;=6.49),"Prediabetes",C580&gt;=6.5,"Diabetes")</f>
        <v>Diabetes</v>
      </c>
    </row>
    <row r="581" spans="1:10" x14ac:dyDescent="0.3">
      <c r="A581" t="s">
        <v>1791</v>
      </c>
      <c r="B581" s="8">
        <v>28.3</v>
      </c>
      <c r="C581">
        <v>5.73</v>
      </c>
      <c r="D581" t="s">
        <v>2379</v>
      </c>
      <c r="E581" t="s">
        <v>2379</v>
      </c>
      <c r="F581" t="s">
        <v>2381</v>
      </c>
      <c r="G581">
        <v>1</v>
      </c>
      <c r="H581" t="s">
        <v>2381</v>
      </c>
      <c r="I581" t="str" cm="1">
        <f t="array" ref="I581">_xlfn.IFS(B581&lt;18.5,"Underweight",AND(B581&gt;=18.5,B581&lt;=24.99),"Normalweight",AND(B581&gt;=25,B581&lt;=29.99),"Overweight",B581&gt;=30,"Obesity")</f>
        <v>Overweight</v>
      </c>
      <c r="J581" t="str" cm="1">
        <f t="array" ref="J581">_xlfn.IFS(C581&lt;5.7,"Normal",AND(C581&gt;=5.7,C581&lt;=6.49),"Prediabetes",C581&gt;=6.5,"Diabetes")</f>
        <v>Prediabetes</v>
      </c>
    </row>
    <row r="582" spans="1:10" x14ac:dyDescent="0.3">
      <c r="A582" t="s">
        <v>1790</v>
      </c>
      <c r="B582" s="8">
        <v>27.06</v>
      </c>
      <c r="C582">
        <v>5.74</v>
      </c>
      <c r="D582" t="s">
        <v>2381</v>
      </c>
      <c r="E582" t="s">
        <v>2379</v>
      </c>
      <c r="F582" t="s">
        <v>2379</v>
      </c>
      <c r="G582">
        <v>0</v>
      </c>
      <c r="H582" t="s">
        <v>2381</v>
      </c>
      <c r="I582" t="str" cm="1">
        <f t="array" ref="I582">_xlfn.IFS(B582&lt;18.5,"Underweight",AND(B582&gt;=18.5,B582&lt;=24.99),"Normalweight",AND(B582&gt;=25,B582&lt;=29.99),"Overweight",B582&gt;=30,"Obesity")</f>
        <v>Overweight</v>
      </c>
      <c r="J582" t="str" cm="1">
        <f t="array" ref="J582">_xlfn.IFS(C582&lt;5.7,"Normal",AND(C582&gt;=5.7,C582&lt;=6.49),"Prediabetes",C582&gt;=6.5,"Diabetes")</f>
        <v>Prediabetes</v>
      </c>
    </row>
    <row r="583" spans="1:10" x14ac:dyDescent="0.3">
      <c r="A583" t="s">
        <v>1789</v>
      </c>
      <c r="B583" s="8">
        <v>47.13</v>
      </c>
      <c r="C583">
        <v>8.6999999999999993</v>
      </c>
      <c r="D583" t="s">
        <v>2379</v>
      </c>
      <c r="E583" t="s">
        <v>2379</v>
      </c>
      <c r="F583" t="s">
        <v>2379</v>
      </c>
      <c r="G583">
        <v>0</v>
      </c>
      <c r="H583" t="s">
        <v>2379</v>
      </c>
      <c r="I583" t="str" cm="1">
        <f t="array" ref="I583">_xlfn.IFS(B583&lt;18.5,"Underweight",AND(B583&gt;=18.5,B583&lt;=24.99),"Normalweight",AND(B583&gt;=25,B583&lt;=29.99),"Overweight",B583&gt;=30,"Obesity")</f>
        <v>Obesity</v>
      </c>
      <c r="J583" t="str" cm="1">
        <f t="array" ref="J583">_xlfn.IFS(C583&lt;5.7,"Normal",AND(C583&gt;=5.7,C583&lt;=6.49),"Prediabetes",C583&gt;=6.5,"Diabetes")</f>
        <v>Diabetes</v>
      </c>
    </row>
    <row r="584" spans="1:10" x14ac:dyDescent="0.3">
      <c r="A584" t="s">
        <v>1788</v>
      </c>
      <c r="B584" s="8">
        <v>51.72</v>
      </c>
      <c r="C584">
        <v>5.09</v>
      </c>
      <c r="D584" t="s">
        <v>2379</v>
      </c>
      <c r="E584" t="s">
        <v>2379</v>
      </c>
      <c r="F584" t="s">
        <v>2379</v>
      </c>
      <c r="G584">
        <v>0</v>
      </c>
      <c r="H584" t="s">
        <v>2379</v>
      </c>
      <c r="I584" t="str" cm="1">
        <f t="array" ref="I584">_xlfn.IFS(B584&lt;18.5,"Underweight",AND(B584&gt;=18.5,B584&lt;=24.99),"Normalweight",AND(B584&gt;=25,B584&lt;=29.99),"Overweight",B584&gt;=30,"Obesity")</f>
        <v>Obesity</v>
      </c>
      <c r="J584" t="str" cm="1">
        <f t="array" ref="J584">_xlfn.IFS(C584&lt;5.7,"Normal",AND(C584&gt;=5.7,C584&lt;=6.49),"Prediabetes",C584&gt;=6.5,"Diabetes")</f>
        <v>Normal</v>
      </c>
    </row>
    <row r="585" spans="1:10" x14ac:dyDescent="0.3">
      <c r="A585" t="s">
        <v>1787</v>
      </c>
      <c r="B585" s="8">
        <v>48.59</v>
      </c>
      <c r="C585">
        <v>5.57</v>
      </c>
      <c r="D585" t="s">
        <v>2379</v>
      </c>
      <c r="E585" t="s">
        <v>2379</v>
      </c>
      <c r="F585" t="s">
        <v>2379</v>
      </c>
      <c r="G585">
        <v>0</v>
      </c>
      <c r="H585" t="s">
        <v>2379</v>
      </c>
      <c r="I585" t="str" cm="1">
        <f t="array" ref="I585">_xlfn.IFS(B585&lt;18.5,"Underweight",AND(B585&gt;=18.5,B585&lt;=24.99),"Normalweight",AND(B585&gt;=25,B585&lt;=29.99),"Overweight",B585&gt;=30,"Obesity")</f>
        <v>Obesity</v>
      </c>
      <c r="J585" t="str" cm="1">
        <f t="array" ref="J585">_xlfn.IFS(C585&lt;5.7,"Normal",AND(C585&gt;=5.7,C585&lt;=6.49),"Prediabetes",C585&gt;=6.5,"Diabetes")</f>
        <v>Normal</v>
      </c>
    </row>
    <row r="586" spans="1:10" x14ac:dyDescent="0.3">
      <c r="A586" t="s">
        <v>1786</v>
      </c>
      <c r="B586" s="8">
        <v>45.18</v>
      </c>
      <c r="C586">
        <v>10.87</v>
      </c>
      <c r="D586" t="s">
        <v>2379</v>
      </c>
      <c r="E586" t="s">
        <v>2379</v>
      </c>
      <c r="F586" t="s">
        <v>2379</v>
      </c>
      <c r="G586">
        <v>0</v>
      </c>
      <c r="H586" t="s">
        <v>2379</v>
      </c>
      <c r="I586" t="str" cm="1">
        <f t="array" ref="I586">_xlfn.IFS(B586&lt;18.5,"Underweight",AND(B586&gt;=18.5,B586&lt;=24.99),"Normalweight",AND(B586&gt;=25,B586&lt;=29.99),"Overweight",B586&gt;=30,"Obesity")</f>
        <v>Obesity</v>
      </c>
      <c r="J586" t="str" cm="1">
        <f t="array" ref="J586">_xlfn.IFS(C586&lt;5.7,"Normal",AND(C586&gt;=5.7,C586&lt;=6.49),"Prediabetes",C586&gt;=6.5,"Diabetes")</f>
        <v>Diabetes</v>
      </c>
    </row>
    <row r="587" spans="1:10" x14ac:dyDescent="0.3">
      <c r="A587" t="s">
        <v>1785</v>
      </c>
      <c r="B587" s="8">
        <v>27.9</v>
      </c>
      <c r="C587">
        <v>6.02</v>
      </c>
      <c r="D587" t="s">
        <v>2379</v>
      </c>
      <c r="E587" t="s">
        <v>2379</v>
      </c>
      <c r="F587" t="s">
        <v>2381</v>
      </c>
      <c r="G587">
        <v>1</v>
      </c>
      <c r="H587" t="s">
        <v>2381</v>
      </c>
      <c r="I587" t="str" cm="1">
        <f t="array" ref="I587">_xlfn.IFS(B587&lt;18.5,"Underweight",AND(B587&gt;=18.5,B587&lt;=24.99),"Normalweight",AND(B587&gt;=25,B587&lt;=29.99),"Overweight",B587&gt;=30,"Obesity")</f>
        <v>Overweight</v>
      </c>
      <c r="J587" t="str" cm="1">
        <f t="array" ref="J587">_xlfn.IFS(C587&lt;5.7,"Normal",AND(C587&gt;=5.7,C587&lt;=6.49),"Prediabetes",C587&gt;=6.5,"Diabetes")</f>
        <v>Prediabetes</v>
      </c>
    </row>
    <row r="588" spans="1:10" x14ac:dyDescent="0.3">
      <c r="A588" t="s">
        <v>1784</v>
      </c>
      <c r="B588" s="8">
        <v>51.33</v>
      </c>
      <c r="C588">
        <v>7</v>
      </c>
      <c r="D588" t="s">
        <v>2379</v>
      </c>
      <c r="E588" t="s">
        <v>2379</v>
      </c>
      <c r="F588" t="s">
        <v>2379</v>
      </c>
      <c r="G588">
        <v>0</v>
      </c>
      <c r="H588" t="s">
        <v>2379</v>
      </c>
      <c r="I588" t="str" cm="1">
        <f t="array" ref="I588">_xlfn.IFS(B588&lt;18.5,"Underweight",AND(B588&gt;=18.5,B588&lt;=24.99),"Normalweight",AND(B588&gt;=25,B588&lt;=29.99),"Overweight",B588&gt;=30,"Obesity")</f>
        <v>Obesity</v>
      </c>
      <c r="J588" t="str" cm="1">
        <f t="array" ref="J588">_xlfn.IFS(C588&lt;5.7,"Normal",AND(C588&gt;=5.7,C588&lt;=6.49),"Prediabetes",C588&gt;=6.5,"Diabetes")</f>
        <v>Diabetes</v>
      </c>
    </row>
    <row r="589" spans="1:10" x14ac:dyDescent="0.3">
      <c r="A589" t="s">
        <v>1783</v>
      </c>
      <c r="B589" s="8">
        <v>30.59</v>
      </c>
      <c r="C589">
        <v>5.56</v>
      </c>
      <c r="D589" t="s">
        <v>2381</v>
      </c>
      <c r="E589" t="s">
        <v>2379</v>
      </c>
      <c r="F589" t="s">
        <v>2379</v>
      </c>
      <c r="G589">
        <v>1</v>
      </c>
      <c r="H589" t="s">
        <v>2379</v>
      </c>
      <c r="I589" t="str" cm="1">
        <f t="array" ref="I589">_xlfn.IFS(B589&lt;18.5,"Underweight",AND(B589&gt;=18.5,B589&lt;=24.99),"Normalweight",AND(B589&gt;=25,B589&lt;=29.99),"Overweight",B589&gt;=30,"Obesity")</f>
        <v>Obesity</v>
      </c>
      <c r="J589" t="str" cm="1">
        <f t="array" ref="J589">_xlfn.IFS(C589&lt;5.7,"Normal",AND(C589&gt;=5.7,C589&lt;=6.49),"Prediabetes",C589&gt;=6.5,"Diabetes")</f>
        <v>Normal</v>
      </c>
    </row>
    <row r="590" spans="1:10" x14ac:dyDescent="0.3">
      <c r="A590" t="s">
        <v>1782</v>
      </c>
      <c r="B590" s="8">
        <v>39.229999999999997</v>
      </c>
      <c r="C590">
        <v>8.4499999999999993</v>
      </c>
      <c r="D590" t="s">
        <v>2379</v>
      </c>
      <c r="E590" t="s">
        <v>2379</v>
      </c>
      <c r="F590" t="s">
        <v>2379</v>
      </c>
      <c r="G590">
        <v>0</v>
      </c>
      <c r="H590" t="s">
        <v>2379</v>
      </c>
      <c r="I590" t="str" cm="1">
        <f t="array" ref="I590">_xlfn.IFS(B590&lt;18.5,"Underweight",AND(B590&gt;=18.5,B590&lt;=24.99),"Normalweight",AND(B590&gt;=25,B590&lt;=29.99),"Overweight",B590&gt;=30,"Obesity")</f>
        <v>Obesity</v>
      </c>
      <c r="J590" t="str" cm="1">
        <f t="array" ref="J590">_xlfn.IFS(C590&lt;5.7,"Normal",AND(C590&gt;=5.7,C590&lt;=6.49),"Prediabetes",C590&gt;=6.5,"Diabetes")</f>
        <v>Diabetes</v>
      </c>
    </row>
    <row r="591" spans="1:10" x14ac:dyDescent="0.3">
      <c r="A591" t="s">
        <v>1781</v>
      </c>
      <c r="B591" s="8">
        <v>19.094999999999999</v>
      </c>
      <c r="C591">
        <v>6.19</v>
      </c>
      <c r="D591" t="s">
        <v>2379</v>
      </c>
      <c r="E591" t="s">
        <v>2379</v>
      </c>
      <c r="F591" t="s">
        <v>2379</v>
      </c>
      <c r="G591">
        <v>0</v>
      </c>
      <c r="H591" t="s">
        <v>2381</v>
      </c>
      <c r="I591" t="str" cm="1">
        <f t="array" ref="I591">_xlfn.IFS(B591&lt;18.5,"Underweight",AND(B591&gt;=18.5,B591&lt;=24.99),"Normalweight",AND(B591&gt;=25,B591&lt;=29.99),"Overweight",B591&gt;=30,"Obesity")</f>
        <v>Normalweight</v>
      </c>
      <c r="J591" t="str" cm="1">
        <f t="array" ref="J591">_xlfn.IFS(C591&lt;5.7,"Normal",AND(C591&gt;=5.7,C591&lt;=6.49),"Prediabetes",C591&gt;=6.5,"Diabetes")</f>
        <v>Prediabetes</v>
      </c>
    </row>
    <row r="592" spans="1:10" x14ac:dyDescent="0.3">
      <c r="A592" t="s">
        <v>1780</v>
      </c>
      <c r="B592" s="8">
        <v>49.72</v>
      </c>
      <c r="C592">
        <v>7.71</v>
      </c>
      <c r="D592" t="s">
        <v>2379</v>
      </c>
      <c r="E592" t="s">
        <v>2379</v>
      </c>
      <c r="F592" t="s">
        <v>2379</v>
      </c>
      <c r="G592">
        <v>0</v>
      </c>
      <c r="H592" t="s">
        <v>2379</v>
      </c>
      <c r="I592" t="str" cm="1">
        <f t="array" ref="I592">_xlfn.IFS(B592&lt;18.5,"Underweight",AND(B592&gt;=18.5,B592&lt;=24.99),"Normalweight",AND(B592&gt;=25,B592&lt;=29.99),"Overweight",B592&gt;=30,"Obesity")</f>
        <v>Obesity</v>
      </c>
      <c r="J592" t="str" cm="1">
        <f t="array" ref="J592">_xlfn.IFS(C592&lt;5.7,"Normal",AND(C592&gt;=5.7,C592&lt;=6.49),"Prediabetes",C592&gt;=6.5,"Diabetes")</f>
        <v>Diabetes</v>
      </c>
    </row>
    <row r="593" spans="1:10" x14ac:dyDescent="0.3">
      <c r="A593" t="s">
        <v>1779</v>
      </c>
      <c r="B593" s="8">
        <v>21.754999999999999</v>
      </c>
      <c r="C593">
        <v>4.63</v>
      </c>
      <c r="D593" t="s">
        <v>2379</v>
      </c>
      <c r="E593" t="s">
        <v>2379</v>
      </c>
      <c r="F593" t="s">
        <v>2381</v>
      </c>
      <c r="G593">
        <v>1</v>
      </c>
      <c r="H593" t="s">
        <v>2381</v>
      </c>
      <c r="I593" t="str" cm="1">
        <f t="array" ref="I593">_xlfn.IFS(B593&lt;18.5,"Underweight",AND(B593&gt;=18.5,B593&lt;=24.99),"Normalweight",AND(B593&gt;=25,B593&lt;=29.99),"Overweight",B593&gt;=30,"Obesity")</f>
        <v>Normalweight</v>
      </c>
      <c r="J593" t="str" cm="1">
        <f t="array" ref="J593">_xlfn.IFS(C593&lt;5.7,"Normal",AND(C593&gt;=5.7,C593&lt;=6.49),"Prediabetes",C593&gt;=6.5,"Diabetes")</f>
        <v>Normal</v>
      </c>
    </row>
    <row r="594" spans="1:10" x14ac:dyDescent="0.3">
      <c r="A594" t="s">
        <v>1778</v>
      </c>
      <c r="B594" s="8">
        <v>48.39</v>
      </c>
      <c r="C594">
        <v>4.6100000000000003</v>
      </c>
      <c r="D594" t="s">
        <v>2379</v>
      </c>
      <c r="E594" t="s">
        <v>2379</v>
      </c>
      <c r="F594" t="s">
        <v>2379</v>
      </c>
      <c r="G594">
        <v>0</v>
      </c>
      <c r="H594" t="s">
        <v>2379</v>
      </c>
      <c r="I594" t="str" cm="1">
        <f t="array" ref="I594">_xlfn.IFS(B594&lt;18.5,"Underweight",AND(B594&gt;=18.5,B594&lt;=24.99),"Normalweight",AND(B594&gt;=25,B594&lt;=29.99),"Overweight",B594&gt;=30,"Obesity")</f>
        <v>Obesity</v>
      </c>
      <c r="J594" t="str" cm="1">
        <f t="array" ref="J594">_xlfn.IFS(C594&lt;5.7,"Normal",AND(C594&gt;=5.7,C594&lt;=6.49),"Prediabetes",C594&gt;=6.5,"Diabetes")</f>
        <v>Normal</v>
      </c>
    </row>
    <row r="595" spans="1:10" x14ac:dyDescent="0.3">
      <c r="A595" t="s">
        <v>1777</v>
      </c>
      <c r="B595" s="8">
        <v>47.15</v>
      </c>
      <c r="C595">
        <v>9.5299999999999994</v>
      </c>
      <c r="D595" t="s">
        <v>2381</v>
      </c>
      <c r="E595" t="s">
        <v>2379</v>
      </c>
      <c r="F595" t="s">
        <v>2379</v>
      </c>
      <c r="G595">
        <v>1</v>
      </c>
      <c r="H595" t="s">
        <v>2379</v>
      </c>
      <c r="I595" t="str" cm="1">
        <f t="array" ref="I595">_xlfn.IFS(B595&lt;18.5,"Underweight",AND(B595&gt;=18.5,B595&lt;=24.99),"Normalweight",AND(B595&gt;=25,B595&lt;=29.99),"Overweight",B595&gt;=30,"Obesity")</f>
        <v>Obesity</v>
      </c>
      <c r="J595" t="str" cm="1">
        <f t="array" ref="J595">_xlfn.IFS(C595&lt;5.7,"Normal",AND(C595&gt;=5.7,C595&lt;=6.49),"Prediabetes",C595&gt;=6.5,"Diabetes")</f>
        <v>Diabetes</v>
      </c>
    </row>
    <row r="596" spans="1:10" x14ac:dyDescent="0.3">
      <c r="A596" t="s">
        <v>1776</v>
      </c>
      <c r="B596" s="8">
        <v>47.59</v>
      </c>
      <c r="C596">
        <v>11.43</v>
      </c>
      <c r="D596" t="s">
        <v>2381</v>
      </c>
      <c r="E596" t="s">
        <v>2379</v>
      </c>
      <c r="F596" t="s">
        <v>2379</v>
      </c>
      <c r="G596">
        <v>2</v>
      </c>
      <c r="H596" t="s">
        <v>2379</v>
      </c>
      <c r="I596" t="str" cm="1">
        <f t="array" ref="I596">_xlfn.IFS(B596&lt;18.5,"Underweight",AND(B596&gt;=18.5,B596&lt;=24.99),"Normalweight",AND(B596&gt;=25,B596&lt;=29.99),"Overweight",B596&gt;=30,"Obesity")</f>
        <v>Obesity</v>
      </c>
      <c r="J596" t="str" cm="1">
        <f t="array" ref="J596">_xlfn.IFS(C596&lt;5.7,"Normal",AND(C596&gt;=5.7,C596&lt;=6.49),"Prediabetes",C596&gt;=6.5,"Diabetes")</f>
        <v>Diabetes</v>
      </c>
    </row>
    <row r="597" spans="1:10" x14ac:dyDescent="0.3">
      <c r="A597" t="s">
        <v>1775</v>
      </c>
      <c r="B597" s="8">
        <v>39.81</v>
      </c>
      <c r="C597">
        <v>7.65</v>
      </c>
      <c r="D597" t="s">
        <v>2381</v>
      </c>
      <c r="E597" t="s">
        <v>2379</v>
      </c>
      <c r="F597" t="s">
        <v>2381</v>
      </c>
      <c r="G597">
        <v>1</v>
      </c>
      <c r="H597" t="s">
        <v>2379</v>
      </c>
      <c r="I597" t="str" cm="1">
        <f t="array" ref="I597">_xlfn.IFS(B597&lt;18.5,"Underweight",AND(B597&gt;=18.5,B597&lt;=24.99),"Normalweight",AND(B597&gt;=25,B597&lt;=29.99),"Overweight",B597&gt;=30,"Obesity")</f>
        <v>Obesity</v>
      </c>
      <c r="J597" t="str" cm="1">
        <f t="array" ref="J597">_xlfn.IFS(C597&lt;5.7,"Normal",AND(C597&gt;=5.7,C597&lt;=6.49),"Prediabetes",C597&gt;=6.5,"Diabetes")</f>
        <v>Diabetes</v>
      </c>
    </row>
    <row r="598" spans="1:10" x14ac:dyDescent="0.3">
      <c r="A598" t="s">
        <v>1774</v>
      </c>
      <c r="B598" s="8">
        <v>31.02</v>
      </c>
      <c r="C598">
        <v>5.87</v>
      </c>
      <c r="D598" t="s">
        <v>2381</v>
      </c>
      <c r="E598" t="s">
        <v>2379</v>
      </c>
      <c r="F598" t="s">
        <v>2379</v>
      </c>
      <c r="G598">
        <v>0</v>
      </c>
      <c r="H598" t="s">
        <v>2379</v>
      </c>
      <c r="I598" t="str" cm="1">
        <f t="array" ref="I598">_xlfn.IFS(B598&lt;18.5,"Underweight",AND(B598&gt;=18.5,B598&lt;=24.99),"Normalweight",AND(B598&gt;=25,B598&lt;=29.99),"Overweight",B598&gt;=30,"Obesity")</f>
        <v>Obesity</v>
      </c>
      <c r="J598" t="str" cm="1">
        <f t="array" ref="J598">_xlfn.IFS(C598&lt;5.7,"Normal",AND(C598&gt;=5.7,C598&lt;=6.49),"Prediabetes",C598&gt;=6.5,"Diabetes")</f>
        <v>Prediabetes</v>
      </c>
    </row>
    <row r="599" spans="1:10" x14ac:dyDescent="0.3">
      <c r="A599" t="s">
        <v>1773</v>
      </c>
      <c r="B599" s="8">
        <v>24.75</v>
      </c>
      <c r="C599">
        <v>4.3600000000000003</v>
      </c>
      <c r="D599" t="s">
        <v>2381</v>
      </c>
      <c r="E599" t="s">
        <v>2379</v>
      </c>
      <c r="F599" t="s">
        <v>2379</v>
      </c>
      <c r="G599">
        <v>1</v>
      </c>
      <c r="H599" t="s">
        <v>2381</v>
      </c>
      <c r="I599" t="str" cm="1">
        <f t="array" ref="I599">_xlfn.IFS(B599&lt;18.5,"Underweight",AND(B599&gt;=18.5,B599&lt;=24.99),"Normalweight",AND(B599&gt;=25,B599&lt;=29.99),"Overweight",B599&gt;=30,"Obesity")</f>
        <v>Normalweight</v>
      </c>
      <c r="J599" t="str" cm="1">
        <f t="array" ref="J599">_xlfn.IFS(C599&lt;5.7,"Normal",AND(C599&gt;=5.7,C599&lt;=6.49),"Prediabetes",C599&gt;=6.5,"Diabetes")</f>
        <v>Normal</v>
      </c>
    </row>
    <row r="600" spans="1:10" x14ac:dyDescent="0.3">
      <c r="A600" t="s">
        <v>1772</v>
      </c>
      <c r="B600" s="8">
        <v>30.114999999999998</v>
      </c>
      <c r="C600">
        <v>10.119999999999999</v>
      </c>
      <c r="D600" t="s">
        <v>2379</v>
      </c>
      <c r="E600" t="s">
        <v>2379</v>
      </c>
      <c r="F600" t="s">
        <v>2379</v>
      </c>
      <c r="G600">
        <v>3</v>
      </c>
      <c r="H600" t="s">
        <v>2379</v>
      </c>
      <c r="I600" t="str" cm="1">
        <f t="array" ref="I600">_xlfn.IFS(B600&lt;18.5,"Underweight",AND(B600&gt;=18.5,B600&lt;=24.99),"Normalweight",AND(B600&gt;=25,B600&lt;=29.99),"Overweight",B600&gt;=30,"Obesity")</f>
        <v>Obesity</v>
      </c>
      <c r="J600" t="str" cm="1">
        <f t="array" ref="J600">_xlfn.IFS(C600&lt;5.7,"Normal",AND(C600&gt;=5.7,C600&lt;=6.49),"Prediabetes",C600&gt;=6.5,"Diabetes")</f>
        <v>Diabetes</v>
      </c>
    </row>
    <row r="601" spans="1:10" x14ac:dyDescent="0.3">
      <c r="A601" t="s">
        <v>1771</v>
      </c>
      <c r="B601" s="8">
        <v>26.03</v>
      </c>
      <c r="C601">
        <v>4.01</v>
      </c>
      <c r="D601" t="s">
        <v>2379</v>
      </c>
      <c r="E601" t="s">
        <v>2379</v>
      </c>
      <c r="F601" t="s">
        <v>2381</v>
      </c>
      <c r="G601">
        <v>1</v>
      </c>
      <c r="H601" t="s">
        <v>2381</v>
      </c>
      <c r="I601" t="str" cm="1">
        <f t="array" ref="I601">_xlfn.IFS(B601&lt;18.5,"Underweight",AND(B601&gt;=18.5,B601&lt;=24.99),"Normalweight",AND(B601&gt;=25,B601&lt;=29.99),"Overweight",B601&gt;=30,"Obesity")</f>
        <v>Overweight</v>
      </c>
      <c r="J601" t="str" cm="1">
        <f t="array" ref="J601">_xlfn.IFS(C601&lt;5.7,"Normal",AND(C601&gt;=5.7,C601&lt;=6.49),"Prediabetes",C601&gt;=6.5,"Diabetes")</f>
        <v>Normal</v>
      </c>
    </row>
    <row r="602" spans="1:10" x14ac:dyDescent="0.3">
      <c r="A602" t="s">
        <v>1770</v>
      </c>
      <c r="B602" s="8">
        <v>20.045000000000002</v>
      </c>
      <c r="C602">
        <v>4.7699999999999996</v>
      </c>
      <c r="D602" t="s">
        <v>2381</v>
      </c>
      <c r="E602" t="s">
        <v>2379</v>
      </c>
      <c r="F602" t="s">
        <v>2379</v>
      </c>
      <c r="G602">
        <v>1</v>
      </c>
      <c r="H602" t="s">
        <v>2381</v>
      </c>
      <c r="I602" t="str" cm="1">
        <f t="array" ref="I602">_xlfn.IFS(B602&lt;18.5,"Underweight",AND(B602&gt;=18.5,B602&lt;=24.99),"Normalweight",AND(B602&gt;=25,B602&lt;=29.99),"Overweight",B602&gt;=30,"Obesity")</f>
        <v>Normalweight</v>
      </c>
      <c r="J602" t="str" cm="1">
        <f t="array" ref="J602">_xlfn.IFS(C602&lt;5.7,"Normal",AND(C602&gt;=5.7,C602&lt;=6.49),"Prediabetes",C602&gt;=6.5,"Diabetes")</f>
        <v>Normal</v>
      </c>
    </row>
    <row r="603" spans="1:10" x14ac:dyDescent="0.3">
      <c r="A603" t="s">
        <v>1769</v>
      </c>
      <c r="B603" s="8">
        <v>40.24</v>
      </c>
      <c r="C603">
        <v>6.83</v>
      </c>
      <c r="D603" t="s">
        <v>2379</v>
      </c>
      <c r="E603" t="s">
        <v>2379</v>
      </c>
      <c r="F603" t="s">
        <v>2379</v>
      </c>
      <c r="G603">
        <v>0</v>
      </c>
      <c r="H603" t="s">
        <v>2379</v>
      </c>
      <c r="I603" t="str" cm="1">
        <f t="array" ref="I603">_xlfn.IFS(B603&lt;18.5,"Underweight",AND(B603&gt;=18.5,B603&lt;=24.99),"Normalweight",AND(B603&gt;=25,B603&lt;=29.99),"Overweight",B603&gt;=30,"Obesity")</f>
        <v>Obesity</v>
      </c>
      <c r="J603" t="str" cm="1">
        <f t="array" ref="J603">_xlfn.IFS(C603&lt;5.7,"Normal",AND(C603&gt;=5.7,C603&lt;=6.49),"Prediabetes",C603&gt;=6.5,"Diabetes")</f>
        <v>Diabetes</v>
      </c>
    </row>
    <row r="604" spans="1:10" x14ac:dyDescent="0.3">
      <c r="A604" t="s">
        <v>1768</v>
      </c>
      <c r="B604" s="8">
        <v>43.15</v>
      </c>
      <c r="C604">
        <v>6.14</v>
      </c>
      <c r="D604" t="s">
        <v>2381</v>
      </c>
      <c r="E604" t="s">
        <v>2379</v>
      </c>
      <c r="F604" t="s">
        <v>2381</v>
      </c>
      <c r="G604">
        <v>1</v>
      </c>
      <c r="H604" t="s">
        <v>2379</v>
      </c>
      <c r="I604" t="str" cm="1">
        <f t="array" ref="I604">_xlfn.IFS(B604&lt;18.5,"Underweight",AND(B604&gt;=18.5,B604&lt;=24.99),"Normalweight",AND(B604&gt;=25,B604&lt;=29.99),"Overweight",B604&gt;=30,"Obesity")</f>
        <v>Obesity</v>
      </c>
      <c r="J604" t="str" cm="1">
        <f t="array" ref="J604">_xlfn.IFS(C604&lt;5.7,"Normal",AND(C604&gt;=5.7,C604&lt;=6.49),"Prediabetes",C604&gt;=6.5,"Diabetes")</f>
        <v>Prediabetes</v>
      </c>
    </row>
    <row r="605" spans="1:10" x14ac:dyDescent="0.3">
      <c r="A605" t="s">
        <v>1767</v>
      </c>
      <c r="B605" s="8">
        <v>27.7</v>
      </c>
      <c r="C605">
        <v>5.6</v>
      </c>
      <c r="D605" t="s">
        <v>2379</v>
      </c>
      <c r="E605" t="s">
        <v>2379</v>
      </c>
      <c r="F605" t="s">
        <v>2381</v>
      </c>
      <c r="G605">
        <v>1</v>
      </c>
      <c r="H605" t="s">
        <v>2381</v>
      </c>
      <c r="I605" t="str" cm="1">
        <f t="array" ref="I605">_xlfn.IFS(B605&lt;18.5,"Underweight",AND(B605&gt;=18.5,B605&lt;=24.99),"Normalweight",AND(B605&gt;=25,B605&lt;=29.99),"Overweight",B605&gt;=30,"Obesity")</f>
        <v>Overweight</v>
      </c>
      <c r="J605" t="str" cm="1">
        <f t="array" ref="J605">_xlfn.IFS(C605&lt;5.7,"Normal",AND(C605&gt;=5.7,C605&lt;=6.49),"Prediabetes",C605&gt;=6.5,"Diabetes")</f>
        <v>Normal</v>
      </c>
    </row>
    <row r="606" spans="1:10" x14ac:dyDescent="0.3">
      <c r="A606" t="s">
        <v>1766</v>
      </c>
      <c r="B606" s="8">
        <v>45.68</v>
      </c>
      <c r="C606">
        <v>4.8</v>
      </c>
      <c r="D606" t="s">
        <v>2379</v>
      </c>
      <c r="E606" t="s">
        <v>2379</v>
      </c>
      <c r="F606" t="s">
        <v>2379</v>
      </c>
      <c r="G606">
        <v>2</v>
      </c>
      <c r="H606" t="s">
        <v>2379</v>
      </c>
      <c r="I606" t="str" cm="1">
        <f t="array" ref="I606">_xlfn.IFS(B606&lt;18.5,"Underweight",AND(B606&gt;=18.5,B606&lt;=24.99),"Normalweight",AND(B606&gt;=25,B606&lt;=29.99),"Overweight",B606&gt;=30,"Obesity")</f>
        <v>Obesity</v>
      </c>
      <c r="J606" t="str" cm="1">
        <f t="array" ref="J606">_xlfn.IFS(C606&lt;5.7,"Normal",AND(C606&gt;=5.7,C606&lt;=6.49),"Prediabetes",C606&gt;=6.5,"Diabetes")</f>
        <v>Normal</v>
      </c>
    </row>
    <row r="607" spans="1:10" x14ac:dyDescent="0.3">
      <c r="A607" t="s">
        <v>1765</v>
      </c>
      <c r="B607" s="8">
        <v>27.3</v>
      </c>
      <c r="C607">
        <v>11.89</v>
      </c>
      <c r="D607" t="s">
        <v>2379</v>
      </c>
      <c r="E607" t="s">
        <v>2379</v>
      </c>
      <c r="F607" t="s">
        <v>2379</v>
      </c>
      <c r="G607">
        <v>0</v>
      </c>
      <c r="H607" t="s">
        <v>2381</v>
      </c>
      <c r="I607" t="str" cm="1">
        <f t="array" ref="I607">_xlfn.IFS(B607&lt;18.5,"Underweight",AND(B607&gt;=18.5,B607&lt;=24.99),"Normalweight",AND(B607&gt;=25,B607&lt;=29.99),"Overweight",B607&gt;=30,"Obesity")</f>
        <v>Overweight</v>
      </c>
      <c r="J607" t="str" cm="1">
        <f t="array" ref="J607">_xlfn.IFS(C607&lt;5.7,"Normal",AND(C607&gt;=5.7,C607&lt;=6.49),"Prediabetes",C607&gt;=6.5,"Diabetes")</f>
        <v>Diabetes</v>
      </c>
    </row>
    <row r="608" spans="1:10" x14ac:dyDescent="0.3">
      <c r="A608" t="s">
        <v>1764</v>
      </c>
      <c r="B608" s="8">
        <v>54.45</v>
      </c>
      <c r="C608">
        <v>4.7300000000000004</v>
      </c>
      <c r="D608" t="s">
        <v>2381</v>
      </c>
      <c r="E608" t="s">
        <v>2379</v>
      </c>
      <c r="F608" t="s">
        <v>2379</v>
      </c>
      <c r="G608">
        <v>1</v>
      </c>
      <c r="H608" t="s">
        <v>2379</v>
      </c>
      <c r="I608" t="str" cm="1">
        <f t="array" ref="I608">_xlfn.IFS(B608&lt;18.5,"Underweight",AND(B608&gt;=18.5,B608&lt;=24.99),"Normalweight",AND(B608&gt;=25,B608&lt;=29.99),"Overweight",B608&gt;=30,"Obesity")</f>
        <v>Obesity</v>
      </c>
      <c r="J608" t="str" cm="1">
        <f t="array" ref="J608">_xlfn.IFS(C608&lt;5.7,"Normal",AND(C608&gt;=5.7,C608&lt;=6.49),"Prediabetes",C608&gt;=6.5,"Diabetes")</f>
        <v>Normal</v>
      </c>
    </row>
    <row r="609" spans="1:10" x14ac:dyDescent="0.3">
      <c r="A609" t="s">
        <v>1763</v>
      </c>
      <c r="B609" s="8">
        <v>54.43</v>
      </c>
      <c r="C609">
        <v>4.6100000000000003</v>
      </c>
      <c r="D609" t="s">
        <v>2381</v>
      </c>
      <c r="E609" t="s">
        <v>2379</v>
      </c>
      <c r="F609" t="s">
        <v>2379</v>
      </c>
      <c r="G609">
        <v>1</v>
      </c>
      <c r="H609" t="s">
        <v>2379</v>
      </c>
      <c r="I609" t="str" cm="1">
        <f t="array" ref="I609">_xlfn.IFS(B609&lt;18.5,"Underweight",AND(B609&gt;=18.5,B609&lt;=24.99),"Normalweight",AND(B609&gt;=25,B609&lt;=29.99),"Overweight",B609&gt;=30,"Obesity")</f>
        <v>Obesity</v>
      </c>
      <c r="J609" t="str" cm="1">
        <f t="array" ref="J609">_xlfn.IFS(C609&lt;5.7,"Normal",AND(C609&gt;=5.7,C609&lt;=6.49),"Prediabetes",C609&gt;=6.5,"Diabetes")</f>
        <v>Normal</v>
      </c>
    </row>
    <row r="610" spans="1:10" x14ac:dyDescent="0.3">
      <c r="A610" t="s">
        <v>1762</v>
      </c>
      <c r="B610" s="8">
        <v>48.01</v>
      </c>
      <c r="C610">
        <v>7.3</v>
      </c>
      <c r="D610" t="s">
        <v>2379</v>
      </c>
      <c r="E610" t="s">
        <v>2379</v>
      </c>
      <c r="F610" t="s">
        <v>2379</v>
      </c>
      <c r="G610">
        <v>0</v>
      </c>
      <c r="H610" t="s">
        <v>2379</v>
      </c>
      <c r="I610" t="str" cm="1">
        <f t="array" ref="I610">_xlfn.IFS(B610&lt;18.5,"Underweight",AND(B610&gt;=18.5,B610&lt;=24.99),"Normalweight",AND(B610&gt;=25,B610&lt;=29.99),"Overweight",B610&gt;=30,"Obesity")</f>
        <v>Obesity</v>
      </c>
      <c r="J610" t="str" cm="1">
        <f t="array" ref="J610">_xlfn.IFS(C610&lt;5.7,"Normal",AND(C610&gt;=5.7,C610&lt;=6.49),"Prediabetes",C610&gt;=6.5,"Diabetes")</f>
        <v>Diabetes</v>
      </c>
    </row>
    <row r="611" spans="1:10" x14ac:dyDescent="0.3">
      <c r="A611" t="s">
        <v>1761</v>
      </c>
      <c r="B611" s="8">
        <v>48.32</v>
      </c>
      <c r="C611">
        <v>5.88</v>
      </c>
      <c r="D611" t="s">
        <v>2379</v>
      </c>
      <c r="E611" t="s">
        <v>2379</v>
      </c>
      <c r="F611" t="s">
        <v>2379</v>
      </c>
      <c r="G611">
        <v>0</v>
      </c>
      <c r="H611" t="s">
        <v>2379</v>
      </c>
      <c r="I611" t="str" cm="1">
        <f t="array" ref="I611">_xlfn.IFS(B611&lt;18.5,"Underweight",AND(B611&gt;=18.5,B611&lt;=24.99),"Normalweight",AND(B611&gt;=25,B611&lt;=29.99),"Overweight",B611&gt;=30,"Obesity")</f>
        <v>Obesity</v>
      </c>
      <c r="J611" t="str" cm="1">
        <f t="array" ref="J611">_xlfn.IFS(C611&lt;5.7,"Normal",AND(C611&gt;=5.7,C611&lt;=6.49),"Prediabetes",C611&gt;=6.5,"Diabetes")</f>
        <v>Prediabetes</v>
      </c>
    </row>
    <row r="612" spans="1:10" x14ac:dyDescent="0.3">
      <c r="A612" t="s">
        <v>1760</v>
      </c>
      <c r="B612" s="8">
        <v>22.895</v>
      </c>
      <c r="C612">
        <v>4.0599999999999996</v>
      </c>
      <c r="D612" t="s">
        <v>2379</v>
      </c>
      <c r="E612" t="s">
        <v>2379</v>
      </c>
      <c r="F612" t="s">
        <v>2381</v>
      </c>
      <c r="G612">
        <v>1</v>
      </c>
      <c r="H612" t="s">
        <v>2381</v>
      </c>
      <c r="I612" t="str" cm="1">
        <f t="array" ref="I612">_xlfn.IFS(B612&lt;18.5,"Underweight",AND(B612&gt;=18.5,B612&lt;=24.99),"Normalweight",AND(B612&gt;=25,B612&lt;=29.99),"Overweight",B612&gt;=30,"Obesity")</f>
        <v>Normalweight</v>
      </c>
      <c r="J612" t="str" cm="1">
        <f t="array" ref="J612">_xlfn.IFS(C612&lt;5.7,"Normal",AND(C612&gt;=5.7,C612&lt;=6.49),"Prediabetes",C612&gt;=6.5,"Diabetes")</f>
        <v>Normal</v>
      </c>
    </row>
    <row r="613" spans="1:10" x14ac:dyDescent="0.3">
      <c r="A613" t="s">
        <v>1759</v>
      </c>
      <c r="B613" s="8">
        <v>54.85</v>
      </c>
      <c r="C613">
        <v>4.9000000000000004</v>
      </c>
      <c r="D613" t="s">
        <v>2379</v>
      </c>
      <c r="E613" t="s">
        <v>2379</v>
      </c>
      <c r="F613" t="s">
        <v>2379</v>
      </c>
      <c r="G613">
        <v>1</v>
      </c>
      <c r="H613" t="s">
        <v>2379</v>
      </c>
      <c r="I613" t="str" cm="1">
        <f t="array" ref="I613">_xlfn.IFS(B613&lt;18.5,"Underweight",AND(B613&gt;=18.5,B613&lt;=24.99),"Normalweight",AND(B613&gt;=25,B613&lt;=29.99),"Overweight",B613&gt;=30,"Obesity")</f>
        <v>Obesity</v>
      </c>
      <c r="J613" t="str" cm="1">
        <f t="array" ref="J613">_xlfn.IFS(C613&lt;5.7,"Normal",AND(C613&gt;=5.7,C613&lt;=6.49),"Prediabetes",C613&gt;=6.5,"Diabetes")</f>
        <v>Normal</v>
      </c>
    </row>
    <row r="614" spans="1:10" x14ac:dyDescent="0.3">
      <c r="A614" t="s">
        <v>1758</v>
      </c>
      <c r="B614" s="8">
        <v>21.85</v>
      </c>
      <c r="C614">
        <v>5.52</v>
      </c>
      <c r="D614" t="s">
        <v>2379</v>
      </c>
      <c r="E614" t="s">
        <v>2379</v>
      </c>
      <c r="F614" t="s">
        <v>2381</v>
      </c>
      <c r="G614">
        <v>1</v>
      </c>
      <c r="H614" t="s">
        <v>2381</v>
      </c>
      <c r="I614" t="str" cm="1">
        <f t="array" ref="I614">_xlfn.IFS(B614&lt;18.5,"Underweight",AND(B614&gt;=18.5,B614&lt;=24.99),"Normalweight",AND(B614&gt;=25,B614&lt;=29.99),"Overweight",B614&gt;=30,"Obesity")</f>
        <v>Normalweight</v>
      </c>
      <c r="J614" t="str" cm="1">
        <f t="array" ref="J614">_xlfn.IFS(C614&lt;5.7,"Normal",AND(C614&gt;=5.7,C614&lt;=6.49),"Prediabetes",C614&gt;=6.5,"Diabetes")</f>
        <v>Normal</v>
      </c>
    </row>
    <row r="615" spans="1:10" x14ac:dyDescent="0.3">
      <c r="A615" t="s">
        <v>1757</v>
      </c>
      <c r="B615" s="8">
        <v>51.86</v>
      </c>
      <c r="C615">
        <v>5.2</v>
      </c>
      <c r="D615" t="s">
        <v>2381</v>
      </c>
      <c r="E615" t="s">
        <v>2379</v>
      </c>
      <c r="F615" t="s">
        <v>2379</v>
      </c>
      <c r="G615">
        <v>0</v>
      </c>
      <c r="H615" t="s">
        <v>2379</v>
      </c>
      <c r="I615" t="str" cm="1">
        <f t="array" ref="I615">_xlfn.IFS(B615&lt;18.5,"Underweight",AND(B615&gt;=18.5,B615&lt;=24.99),"Normalweight",AND(B615&gt;=25,B615&lt;=29.99),"Overweight",B615&gt;=30,"Obesity")</f>
        <v>Obesity</v>
      </c>
      <c r="J615" t="str" cm="1">
        <f t="array" ref="J615">_xlfn.IFS(C615&lt;5.7,"Normal",AND(C615&gt;=5.7,C615&lt;=6.49),"Prediabetes",C615&gt;=6.5,"Diabetes")</f>
        <v>Normal</v>
      </c>
    </row>
    <row r="616" spans="1:10" x14ac:dyDescent="0.3">
      <c r="A616" t="s">
        <v>1756</v>
      </c>
      <c r="B616" s="8">
        <v>39.049999999999997</v>
      </c>
      <c r="C616">
        <v>7.59</v>
      </c>
      <c r="D616" t="s">
        <v>2379</v>
      </c>
      <c r="E616" t="s">
        <v>2379</v>
      </c>
      <c r="F616" t="s">
        <v>2379</v>
      </c>
      <c r="G616">
        <v>3</v>
      </c>
      <c r="H616" t="s">
        <v>2379</v>
      </c>
      <c r="I616" t="str" cm="1">
        <f t="array" ref="I616">_xlfn.IFS(B616&lt;18.5,"Underweight",AND(B616&gt;=18.5,B616&lt;=24.99),"Normalweight",AND(B616&gt;=25,B616&lt;=29.99),"Overweight",B616&gt;=30,"Obesity")</f>
        <v>Obesity</v>
      </c>
      <c r="J616" t="str" cm="1">
        <f t="array" ref="J616">_xlfn.IFS(C616&lt;5.7,"Normal",AND(C616&gt;=5.7,C616&lt;=6.49),"Prediabetes",C616&gt;=6.5,"Diabetes")</f>
        <v>Diabetes</v>
      </c>
    </row>
    <row r="617" spans="1:10" x14ac:dyDescent="0.3">
      <c r="A617" t="s">
        <v>1755</v>
      </c>
      <c r="B617" s="8">
        <v>31.824999999999999</v>
      </c>
      <c r="C617">
        <v>8.2799999999999994</v>
      </c>
      <c r="D617" t="s">
        <v>2379</v>
      </c>
      <c r="E617" t="s">
        <v>2379</v>
      </c>
      <c r="F617" t="s">
        <v>2379</v>
      </c>
      <c r="G617">
        <v>3</v>
      </c>
      <c r="H617" t="s">
        <v>2379</v>
      </c>
      <c r="I617" t="str" cm="1">
        <f t="array" ref="I617">_xlfn.IFS(B617&lt;18.5,"Underweight",AND(B617&gt;=18.5,B617&lt;=24.99),"Normalweight",AND(B617&gt;=25,B617&lt;=29.99),"Overweight",B617&gt;=30,"Obesity")</f>
        <v>Obesity</v>
      </c>
      <c r="J617" t="str" cm="1">
        <f t="array" ref="J617">_xlfn.IFS(C617&lt;5.7,"Normal",AND(C617&gt;=5.7,C617&lt;=6.49),"Prediabetes",C617&gt;=6.5,"Diabetes")</f>
        <v>Diabetes</v>
      </c>
    </row>
    <row r="618" spans="1:10" x14ac:dyDescent="0.3">
      <c r="A618" t="s">
        <v>1754</v>
      </c>
      <c r="B618" s="8">
        <v>46.43</v>
      </c>
      <c r="C618">
        <v>6.72</v>
      </c>
      <c r="D618" t="s">
        <v>2379</v>
      </c>
      <c r="E618" t="s">
        <v>2379</v>
      </c>
      <c r="F618" t="s">
        <v>2379</v>
      </c>
      <c r="G618">
        <v>0</v>
      </c>
      <c r="H618" t="s">
        <v>2379</v>
      </c>
      <c r="I618" t="str" cm="1">
        <f t="array" ref="I618">_xlfn.IFS(B618&lt;18.5,"Underweight",AND(B618&gt;=18.5,B618&lt;=24.99),"Normalweight",AND(B618&gt;=25,B618&lt;=29.99),"Overweight",B618&gt;=30,"Obesity")</f>
        <v>Obesity</v>
      </c>
      <c r="J618" t="str" cm="1">
        <f t="array" ref="J618">_xlfn.IFS(C618&lt;5.7,"Normal",AND(C618&gt;=5.7,C618&lt;=6.49),"Prediabetes",C618&gt;=6.5,"Diabetes")</f>
        <v>Diabetes</v>
      </c>
    </row>
    <row r="619" spans="1:10" x14ac:dyDescent="0.3">
      <c r="A619" t="s">
        <v>1753</v>
      </c>
      <c r="B619" s="8">
        <v>53.63</v>
      </c>
      <c r="C619">
        <v>5.47</v>
      </c>
      <c r="D619" t="s">
        <v>2381</v>
      </c>
      <c r="E619" t="s">
        <v>2379</v>
      </c>
      <c r="F619" t="s">
        <v>2379</v>
      </c>
      <c r="G619">
        <v>1</v>
      </c>
      <c r="H619" t="s">
        <v>2379</v>
      </c>
      <c r="I619" t="str" cm="1">
        <f t="array" ref="I619">_xlfn.IFS(B619&lt;18.5,"Underweight",AND(B619&gt;=18.5,B619&lt;=24.99),"Normalweight",AND(B619&gt;=25,B619&lt;=29.99),"Overweight",B619&gt;=30,"Obesity")</f>
        <v>Obesity</v>
      </c>
      <c r="J619" t="str" cm="1">
        <f t="array" ref="J619">_xlfn.IFS(C619&lt;5.7,"Normal",AND(C619&gt;=5.7,C619&lt;=6.49),"Prediabetes",C619&gt;=6.5,"Diabetes")</f>
        <v>Normal</v>
      </c>
    </row>
    <row r="620" spans="1:10" x14ac:dyDescent="0.3">
      <c r="A620" t="s">
        <v>1752</v>
      </c>
      <c r="B620" s="8">
        <v>48.7</v>
      </c>
      <c r="C620">
        <v>4.71</v>
      </c>
      <c r="D620" t="s">
        <v>2379</v>
      </c>
      <c r="E620" t="s">
        <v>2379</v>
      </c>
      <c r="F620" t="s">
        <v>2379</v>
      </c>
      <c r="G620">
        <v>0</v>
      </c>
      <c r="H620" t="s">
        <v>2379</v>
      </c>
      <c r="I620" t="str" cm="1">
        <f t="array" ref="I620">_xlfn.IFS(B620&lt;18.5,"Underweight",AND(B620&gt;=18.5,B620&lt;=24.99),"Normalweight",AND(B620&gt;=25,B620&lt;=29.99),"Overweight",B620&gt;=30,"Obesity")</f>
        <v>Obesity</v>
      </c>
      <c r="J620" t="str" cm="1">
        <f t="array" ref="J620">_xlfn.IFS(C620&lt;5.7,"Normal",AND(C620&gt;=5.7,C620&lt;=6.49),"Prediabetes",C620&gt;=6.5,"Diabetes")</f>
        <v>Normal</v>
      </c>
    </row>
    <row r="621" spans="1:10" x14ac:dyDescent="0.3">
      <c r="A621" t="s">
        <v>1751</v>
      </c>
      <c r="B621" s="8">
        <v>48.81</v>
      </c>
      <c r="C621">
        <v>5.49</v>
      </c>
      <c r="D621" t="s">
        <v>2379</v>
      </c>
      <c r="E621" t="s">
        <v>2379</v>
      </c>
      <c r="F621" t="s">
        <v>2379</v>
      </c>
      <c r="G621">
        <v>0</v>
      </c>
      <c r="H621" t="s">
        <v>2379</v>
      </c>
      <c r="I621" t="str" cm="1">
        <f t="array" ref="I621">_xlfn.IFS(B621&lt;18.5,"Underweight",AND(B621&gt;=18.5,B621&lt;=24.99),"Normalweight",AND(B621&gt;=25,B621&lt;=29.99),"Overweight",B621&gt;=30,"Obesity")</f>
        <v>Obesity</v>
      </c>
      <c r="J621" t="str" cm="1">
        <f t="array" ref="J621">_xlfn.IFS(C621&lt;5.7,"Normal",AND(C621&gt;=5.7,C621&lt;=6.49),"Prediabetes",C621&gt;=6.5,"Diabetes")</f>
        <v>Normal</v>
      </c>
    </row>
    <row r="622" spans="1:10" x14ac:dyDescent="0.3">
      <c r="A622" t="s">
        <v>1750</v>
      </c>
      <c r="B622" s="8">
        <v>47.53</v>
      </c>
      <c r="C622">
        <v>4.72</v>
      </c>
      <c r="D622" t="s">
        <v>2379</v>
      </c>
      <c r="E622" t="s">
        <v>2379</v>
      </c>
      <c r="F622" t="s">
        <v>2379</v>
      </c>
      <c r="G622">
        <v>0</v>
      </c>
      <c r="H622" t="s">
        <v>2379</v>
      </c>
      <c r="I622" t="str" cm="1">
        <f t="array" ref="I622">_xlfn.IFS(B622&lt;18.5,"Underweight",AND(B622&gt;=18.5,B622&lt;=24.99),"Normalweight",AND(B622&gt;=25,B622&lt;=29.99),"Overweight",B622&gt;=30,"Obesity")</f>
        <v>Obesity</v>
      </c>
      <c r="J622" t="str" cm="1">
        <f t="array" ref="J622">_xlfn.IFS(C622&lt;5.7,"Normal",AND(C622&gt;=5.7,C622&lt;=6.49),"Prediabetes",C622&gt;=6.5,"Diabetes")</f>
        <v>Normal</v>
      </c>
    </row>
    <row r="623" spans="1:10" x14ac:dyDescent="0.3">
      <c r="A623" t="s">
        <v>1749</v>
      </c>
      <c r="B623" s="8">
        <v>36.85</v>
      </c>
      <c r="C623">
        <v>6.7</v>
      </c>
      <c r="D623" t="s">
        <v>2379</v>
      </c>
      <c r="E623" t="s">
        <v>2379</v>
      </c>
      <c r="F623" t="s">
        <v>2379</v>
      </c>
      <c r="G623">
        <v>0</v>
      </c>
      <c r="H623" t="s">
        <v>2379</v>
      </c>
      <c r="I623" t="str" cm="1">
        <f t="array" ref="I623">_xlfn.IFS(B623&lt;18.5,"Underweight",AND(B623&gt;=18.5,B623&lt;=24.99),"Normalweight",AND(B623&gt;=25,B623&lt;=29.99),"Overweight",B623&gt;=30,"Obesity")</f>
        <v>Obesity</v>
      </c>
      <c r="J623" t="str" cm="1">
        <f t="array" ref="J623">_xlfn.IFS(C623&lt;5.7,"Normal",AND(C623&gt;=5.7,C623&lt;=6.49),"Prediabetes",C623&gt;=6.5,"Diabetes")</f>
        <v>Diabetes</v>
      </c>
    </row>
    <row r="624" spans="1:10" x14ac:dyDescent="0.3">
      <c r="A624" t="s">
        <v>1748</v>
      </c>
      <c r="B624" s="8">
        <v>29.3</v>
      </c>
      <c r="C624">
        <v>5.5</v>
      </c>
      <c r="D624" t="s">
        <v>2379</v>
      </c>
      <c r="E624" t="s">
        <v>2379</v>
      </c>
      <c r="F624" t="s">
        <v>2379</v>
      </c>
      <c r="G624">
        <v>0</v>
      </c>
      <c r="H624" t="s">
        <v>2379</v>
      </c>
      <c r="I624" t="str" cm="1">
        <f t="array" ref="I624">_xlfn.IFS(B624&lt;18.5,"Underweight",AND(B624&gt;=18.5,B624&lt;=24.99),"Normalweight",AND(B624&gt;=25,B624&lt;=29.99),"Overweight",B624&gt;=30,"Obesity")</f>
        <v>Overweight</v>
      </c>
      <c r="J624" t="str" cm="1">
        <f t="array" ref="J624">_xlfn.IFS(C624&lt;5.7,"Normal",AND(C624&gt;=5.7,C624&lt;=6.49),"Prediabetes",C624&gt;=6.5,"Diabetes")</f>
        <v>Normal</v>
      </c>
    </row>
    <row r="625" spans="1:10" x14ac:dyDescent="0.3">
      <c r="A625" t="s">
        <v>1747</v>
      </c>
      <c r="B625" s="8">
        <v>19.3</v>
      </c>
      <c r="C625">
        <v>4.46</v>
      </c>
      <c r="D625" t="s">
        <v>2379</v>
      </c>
      <c r="E625" t="s">
        <v>2379</v>
      </c>
      <c r="F625" t="s">
        <v>2379</v>
      </c>
      <c r="G625">
        <v>1</v>
      </c>
      <c r="H625" t="s">
        <v>2381</v>
      </c>
      <c r="I625" t="str" cm="1">
        <f t="array" ref="I625">_xlfn.IFS(B625&lt;18.5,"Underweight",AND(B625&gt;=18.5,B625&lt;=24.99),"Normalweight",AND(B625&gt;=25,B625&lt;=29.99),"Overweight",B625&gt;=30,"Obesity")</f>
        <v>Normalweight</v>
      </c>
      <c r="J625" t="str" cm="1">
        <f t="array" ref="J625">_xlfn.IFS(C625&lt;5.7,"Normal",AND(C625&gt;=5.7,C625&lt;=6.49),"Prediabetes",C625&gt;=6.5,"Diabetes")</f>
        <v>Normal</v>
      </c>
    </row>
    <row r="626" spans="1:10" x14ac:dyDescent="0.3">
      <c r="A626" t="s">
        <v>1746</v>
      </c>
      <c r="B626" s="8">
        <v>24.13</v>
      </c>
      <c r="C626">
        <v>5.29</v>
      </c>
      <c r="D626" t="s">
        <v>2381</v>
      </c>
      <c r="E626" t="s">
        <v>2379</v>
      </c>
      <c r="F626" t="s">
        <v>2381</v>
      </c>
      <c r="G626">
        <v>1</v>
      </c>
      <c r="H626" t="s">
        <v>2381</v>
      </c>
      <c r="I626" t="str" cm="1">
        <f t="array" ref="I626">_xlfn.IFS(B626&lt;18.5,"Underweight",AND(B626&gt;=18.5,B626&lt;=24.99),"Normalweight",AND(B626&gt;=25,B626&lt;=29.99),"Overweight",B626&gt;=30,"Obesity")</f>
        <v>Normalweight</v>
      </c>
      <c r="J626" t="str" cm="1">
        <f t="array" ref="J626">_xlfn.IFS(C626&lt;5.7,"Normal",AND(C626&gt;=5.7,C626&lt;=6.49),"Prediabetes",C626&gt;=6.5,"Diabetes")</f>
        <v>Normal</v>
      </c>
    </row>
    <row r="627" spans="1:10" x14ac:dyDescent="0.3">
      <c r="A627" t="s">
        <v>1745</v>
      </c>
      <c r="B627" s="8">
        <v>46.7</v>
      </c>
      <c r="C627">
        <v>10.99</v>
      </c>
      <c r="D627" t="s">
        <v>2379</v>
      </c>
      <c r="E627" t="s">
        <v>2379</v>
      </c>
      <c r="F627" t="s">
        <v>2379</v>
      </c>
      <c r="G627">
        <v>0</v>
      </c>
      <c r="H627" t="s">
        <v>2379</v>
      </c>
      <c r="I627" t="str" cm="1">
        <f t="array" ref="I627">_xlfn.IFS(B627&lt;18.5,"Underweight",AND(B627&gt;=18.5,B627&lt;=24.99),"Normalweight",AND(B627&gt;=25,B627&lt;=29.99),"Overweight",B627&gt;=30,"Obesity")</f>
        <v>Obesity</v>
      </c>
      <c r="J627" t="str" cm="1">
        <f t="array" ref="J627">_xlfn.IFS(C627&lt;5.7,"Normal",AND(C627&gt;=5.7,C627&lt;=6.49),"Prediabetes",C627&gt;=6.5,"Diabetes")</f>
        <v>Diabetes</v>
      </c>
    </row>
    <row r="628" spans="1:10" x14ac:dyDescent="0.3">
      <c r="A628" t="s">
        <v>1744</v>
      </c>
      <c r="B628" s="8">
        <v>45.27</v>
      </c>
      <c r="C628">
        <v>5.2</v>
      </c>
      <c r="D628" t="s">
        <v>2381</v>
      </c>
      <c r="E628" t="s">
        <v>2379</v>
      </c>
      <c r="F628" t="s">
        <v>2379</v>
      </c>
      <c r="G628">
        <v>0</v>
      </c>
      <c r="H628" t="s">
        <v>2379</v>
      </c>
      <c r="I628" t="str" cm="1">
        <f t="array" ref="I628">_xlfn.IFS(B628&lt;18.5,"Underweight",AND(B628&gt;=18.5,B628&lt;=24.99),"Normalweight",AND(B628&gt;=25,B628&lt;=29.99),"Overweight",B628&gt;=30,"Obesity")</f>
        <v>Obesity</v>
      </c>
      <c r="J628" t="str" cm="1">
        <f t="array" ref="J628">_xlfn.IFS(C628&lt;5.7,"Normal",AND(C628&gt;=5.7,C628&lt;=6.49),"Prediabetes",C628&gt;=6.5,"Diabetes")</f>
        <v>Normal</v>
      </c>
    </row>
    <row r="629" spans="1:10" x14ac:dyDescent="0.3">
      <c r="A629" t="s">
        <v>1743</v>
      </c>
      <c r="B629" s="8">
        <v>44.29</v>
      </c>
      <c r="C629">
        <v>9.66</v>
      </c>
      <c r="D629" t="s">
        <v>2379</v>
      </c>
      <c r="E629" t="s">
        <v>2379</v>
      </c>
      <c r="F629" t="s">
        <v>2379</v>
      </c>
      <c r="G629">
        <v>2</v>
      </c>
      <c r="H629" t="s">
        <v>2379</v>
      </c>
      <c r="I629" t="str" cm="1">
        <f t="array" ref="I629">_xlfn.IFS(B629&lt;18.5,"Underweight",AND(B629&gt;=18.5,B629&lt;=24.99),"Normalweight",AND(B629&gt;=25,B629&lt;=29.99),"Overweight",B629&gt;=30,"Obesity")</f>
        <v>Obesity</v>
      </c>
      <c r="J629" t="str" cm="1">
        <f t="array" ref="J629">_xlfn.IFS(C629&lt;5.7,"Normal",AND(C629&gt;=5.7,C629&lt;=6.49),"Prediabetes",C629&gt;=6.5,"Diabetes")</f>
        <v>Diabetes</v>
      </c>
    </row>
    <row r="630" spans="1:10" x14ac:dyDescent="0.3">
      <c r="A630" t="s">
        <v>1742</v>
      </c>
      <c r="B630" s="8">
        <v>54.59</v>
      </c>
      <c r="C630">
        <v>4.22</v>
      </c>
      <c r="D630" t="s">
        <v>2381</v>
      </c>
      <c r="E630" t="s">
        <v>2379</v>
      </c>
      <c r="F630" t="s">
        <v>2379</v>
      </c>
      <c r="G630">
        <v>1</v>
      </c>
      <c r="H630" t="s">
        <v>2379</v>
      </c>
      <c r="I630" t="str" cm="1">
        <f t="array" ref="I630">_xlfn.IFS(B630&lt;18.5,"Underweight",AND(B630&gt;=18.5,B630&lt;=24.99),"Normalweight",AND(B630&gt;=25,B630&lt;=29.99),"Overweight",B630&gt;=30,"Obesity")</f>
        <v>Obesity</v>
      </c>
      <c r="J630" t="str" cm="1">
        <f t="array" ref="J630">_xlfn.IFS(C630&lt;5.7,"Normal",AND(C630&gt;=5.7,C630&lt;=6.49),"Prediabetes",C630&gt;=6.5,"Diabetes")</f>
        <v>Normal</v>
      </c>
    </row>
    <row r="631" spans="1:10" x14ac:dyDescent="0.3">
      <c r="A631" t="s">
        <v>1741</v>
      </c>
      <c r="B631" s="8">
        <v>32.965000000000003</v>
      </c>
      <c r="C631">
        <v>11.78</v>
      </c>
      <c r="D631" t="s">
        <v>2379</v>
      </c>
      <c r="E631" t="s">
        <v>2379</v>
      </c>
      <c r="F631" t="s">
        <v>2379</v>
      </c>
      <c r="G631">
        <v>0</v>
      </c>
      <c r="H631" t="s">
        <v>2379</v>
      </c>
      <c r="I631" t="str" cm="1">
        <f t="array" ref="I631">_xlfn.IFS(B631&lt;18.5,"Underweight",AND(B631&gt;=18.5,B631&lt;=24.99),"Normalweight",AND(B631&gt;=25,B631&lt;=29.99),"Overweight",B631&gt;=30,"Obesity")</f>
        <v>Obesity</v>
      </c>
      <c r="J631" t="str" cm="1">
        <f t="array" ref="J631">_xlfn.IFS(C631&lt;5.7,"Normal",AND(C631&gt;=5.7,C631&lt;=6.49),"Prediabetes",C631&gt;=6.5,"Diabetes")</f>
        <v>Diabetes</v>
      </c>
    </row>
    <row r="632" spans="1:10" x14ac:dyDescent="0.3">
      <c r="A632" t="s">
        <v>1740</v>
      </c>
      <c r="B632" s="8">
        <v>38.049999999999997</v>
      </c>
      <c r="C632">
        <v>9.6199999999999992</v>
      </c>
      <c r="D632" t="s">
        <v>2379</v>
      </c>
      <c r="E632" t="s">
        <v>2379</v>
      </c>
      <c r="F632" t="s">
        <v>2379</v>
      </c>
      <c r="G632">
        <v>0</v>
      </c>
      <c r="H632" t="s">
        <v>2379</v>
      </c>
      <c r="I632" t="str" cm="1">
        <f t="array" ref="I632">_xlfn.IFS(B632&lt;18.5,"Underweight",AND(B632&gt;=18.5,B632&lt;=24.99),"Normalweight",AND(B632&gt;=25,B632&lt;=29.99),"Overweight",B632&gt;=30,"Obesity")</f>
        <v>Obesity</v>
      </c>
      <c r="J632" t="str" cm="1">
        <f t="array" ref="J632">_xlfn.IFS(C632&lt;5.7,"Normal",AND(C632&gt;=5.7,C632&lt;=6.49),"Prediabetes",C632&gt;=6.5,"Diabetes")</f>
        <v>Diabetes</v>
      </c>
    </row>
    <row r="633" spans="1:10" x14ac:dyDescent="0.3">
      <c r="A633" t="s">
        <v>1739</v>
      </c>
      <c r="B633" s="8">
        <v>46.14</v>
      </c>
      <c r="C633">
        <v>10.78</v>
      </c>
      <c r="D633" t="s">
        <v>2379</v>
      </c>
      <c r="E633" t="s">
        <v>2379</v>
      </c>
      <c r="F633" t="s">
        <v>2379</v>
      </c>
      <c r="G633">
        <v>0</v>
      </c>
      <c r="H633" t="s">
        <v>2379</v>
      </c>
      <c r="I633" t="str" cm="1">
        <f t="array" ref="I633">_xlfn.IFS(B633&lt;18.5,"Underweight",AND(B633&gt;=18.5,B633&lt;=24.99),"Normalweight",AND(B633&gt;=25,B633&lt;=29.99),"Overweight",B633&gt;=30,"Obesity")</f>
        <v>Obesity</v>
      </c>
      <c r="J633" t="str" cm="1">
        <f t="array" ref="J633">_xlfn.IFS(C633&lt;5.7,"Normal",AND(C633&gt;=5.7,C633&lt;=6.49),"Prediabetes",C633&gt;=6.5,"Diabetes")</f>
        <v>Diabetes</v>
      </c>
    </row>
    <row r="634" spans="1:10" x14ac:dyDescent="0.3">
      <c r="A634" t="s">
        <v>1738</v>
      </c>
      <c r="B634" s="8">
        <v>41.325000000000003</v>
      </c>
      <c r="C634">
        <v>5.1100000000000003</v>
      </c>
      <c r="D634" t="s">
        <v>2381</v>
      </c>
      <c r="E634" t="s">
        <v>2379</v>
      </c>
      <c r="F634" t="s">
        <v>2379</v>
      </c>
      <c r="G634">
        <v>2</v>
      </c>
      <c r="H634" t="s">
        <v>2379</v>
      </c>
      <c r="I634" t="str" cm="1">
        <f t="array" ref="I634">_xlfn.IFS(B634&lt;18.5,"Underweight",AND(B634&gt;=18.5,B634&lt;=24.99),"Normalweight",AND(B634&gt;=25,B634&lt;=29.99),"Overweight",B634&gt;=30,"Obesity")</f>
        <v>Obesity</v>
      </c>
      <c r="J634" t="str" cm="1">
        <f t="array" ref="J634">_xlfn.IFS(C634&lt;5.7,"Normal",AND(C634&gt;=5.7,C634&lt;=6.49),"Prediabetes",C634&gt;=6.5,"Diabetes")</f>
        <v>Normal</v>
      </c>
    </row>
    <row r="635" spans="1:10" x14ac:dyDescent="0.3">
      <c r="A635" t="s">
        <v>1737</v>
      </c>
      <c r="B635" s="8">
        <v>44.64</v>
      </c>
      <c r="C635">
        <v>7.18</v>
      </c>
      <c r="D635" t="s">
        <v>2379</v>
      </c>
      <c r="E635" t="s">
        <v>2379</v>
      </c>
      <c r="F635" t="s">
        <v>2379</v>
      </c>
      <c r="G635">
        <v>0</v>
      </c>
      <c r="H635" t="s">
        <v>2379</v>
      </c>
      <c r="I635" t="str" cm="1">
        <f t="array" ref="I635">_xlfn.IFS(B635&lt;18.5,"Underweight",AND(B635&gt;=18.5,B635&lt;=24.99),"Normalweight",AND(B635&gt;=25,B635&lt;=29.99),"Overweight",B635&gt;=30,"Obesity")</f>
        <v>Obesity</v>
      </c>
      <c r="J635" t="str" cm="1">
        <f t="array" ref="J635">_xlfn.IFS(C635&lt;5.7,"Normal",AND(C635&gt;=5.7,C635&lt;=6.49),"Prediabetes",C635&gt;=6.5,"Diabetes")</f>
        <v>Diabetes</v>
      </c>
    </row>
    <row r="636" spans="1:10" x14ac:dyDescent="0.3">
      <c r="A636" t="s">
        <v>1736</v>
      </c>
      <c r="B636" s="8">
        <v>25.175000000000001</v>
      </c>
      <c r="C636">
        <v>4.96</v>
      </c>
      <c r="D636" t="s">
        <v>2379</v>
      </c>
      <c r="E636" t="s">
        <v>2380</v>
      </c>
      <c r="F636" t="s">
        <v>2379</v>
      </c>
      <c r="G636">
        <v>1</v>
      </c>
      <c r="H636" t="s">
        <v>2379</v>
      </c>
      <c r="I636" t="str" cm="1">
        <f t="array" ref="I636">_xlfn.IFS(B636&lt;18.5,"Underweight",AND(B636&gt;=18.5,B636&lt;=24.99),"Normalweight",AND(B636&gt;=25,B636&lt;=29.99),"Overweight",B636&gt;=30,"Obesity")</f>
        <v>Overweight</v>
      </c>
      <c r="J636" t="str" cm="1">
        <f t="array" ref="J636">_xlfn.IFS(C636&lt;5.7,"Normal",AND(C636&gt;=5.7,C636&lt;=6.49),"Prediabetes",C636&gt;=6.5,"Diabetes")</f>
        <v>Normal</v>
      </c>
    </row>
    <row r="637" spans="1:10" x14ac:dyDescent="0.3">
      <c r="A637" t="s">
        <v>1735</v>
      </c>
      <c r="B637" s="8">
        <v>43.11</v>
      </c>
      <c r="C637">
        <v>4.67</v>
      </c>
      <c r="D637" t="s">
        <v>2381</v>
      </c>
      <c r="E637" t="s">
        <v>2379</v>
      </c>
      <c r="F637" t="s">
        <v>2379</v>
      </c>
      <c r="G637">
        <v>0</v>
      </c>
      <c r="H637" t="s">
        <v>2379</v>
      </c>
      <c r="I637" t="str" cm="1">
        <f t="array" ref="I637">_xlfn.IFS(B637&lt;18.5,"Underweight",AND(B637&gt;=18.5,B637&lt;=24.99),"Normalweight",AND(B637&gt;=25,B637&lt;=29.99),"Overweight",B637&gt;=30,"Obesity")</f>
        <v>Obesity</v>
      </c>
      <c r="J637" t="str" cm="1">
        <f t="array" ref="J637">_xlfn.IFS(C637&lt;5.7,"Normal",AND(C637&gt;=5.7,C637&lt;=6.49),"Prediabetes",C637&gt;=6.5,"Diabetes")</f>
        <v>Normal</v>
      </c>
    </row>
    <row r="638" spans="1:10" x14ac:dyDescent="0.3">
      <c r="A638" t="s">
        <v>1734</v>
      </c>
      <c r="B638" s="8">
        <v>53.32</v>
      </c>
      <c r="C638">
        <v>5.0599999999999996</v>
      </c>
      <c r="D638" t="s">
        <v>2379</v>
      </c>
      <c r="E638" t="s">
        <v>2379</v>
      </c>
      <c r="F638" t="s">
        <v>2379</v>
      </c>
      <c r="G638">
        <v>0</v>
      </c>
      <c r="H638" t="s">
        <v>2379</v>
      </c>
      <c r="I638" t="str" cm="1">
        <f t="array" ref="I638">_xlfn.IFS(B638&lt;18.5,"Underweight",AND(B638&gt;=18.5,B638&lt;=24.99),"Normalweight",AND(B638&gt;=25,B638&lt;=29.99),"Overweight",B638&gt;=30,"Obesity")</f>
        <v>Obesity</v>
      </c>
      <c r="J638" t="str" cm="1">
        <f t="array" ref="J638">_xlfn.IFS(C638&lt;5.7,"Normal",AND(C638&gt;=5.7,C638&lt;=6.49),"Prediabetes",C638&gt;=6.5,"Diabetes")</f>
        <v>Normal</v>
      </c>
    </row>
    <row r="639" spans="1:10" x14ac:dyDescent="0.3">
      <c r="A639" t="s">
        <v>1733</v>
      </c>
      <c r="B639" s="8">
        <v>38.04</v>
      </c>
      <c r="C639">
        <v>5.0199999999999996</v>
      </c>
      <c r="D639" t="s">
        <v>2381</v>
      </c>
      <c r="E639" t="s">
        <v>2379</v>
      </c>
      <c r="F639" t="s">
        <v>2379</v>
      </c>
      <c r="G639">
        <v>1</v>
      </c>
      <c r="H639" t="s">
        <v>2379</v>
      </c>
      <c r="I639" t="str" cm="1">
        <f t="array" ref="I639">_xlfn.IFS(B639&lt;18.5,"Underweight",AND(B639&gt;=18.5,B639&lt;=24.99),"Normalweight",AND(B639&gt;=25,B639&lt;=29.99),"Overweight",B639&gt;=30,"Obesity")</f>
        <v>Obesity</v>
      </c>
      <c r="J639" t="str" cm="1">
        <f t="array" ref="J639">_xlfn.IFS(C639&lt;5.7,"Normal",AND(C639&gt;=5.7,C639&lt;=6.49),"Prediabetes",C639&gt;=6.5,"Diabetes")</f>
        <v>Normal</v>
      </c>
    </row>
    <row r="640" spans="1:10" x14ac:dyDescent="0.3">
      <c r="A640" t="s">
        <v>1732</v>
      </c>
      <c r="B640" s="8">
        <v>37.9</v>
      </c>
      <c r="C640">
        <v>7.76</v>
      </c>
      <c r="D640" t="s">
        <v>2379</v>
      </c>
      <c r="E640" t="s">
        <v>2379</v>
      </c>
      <c r="F640" t="s">
        <v>2379</v>
      </c>
      <c r="G640">
        <v>0</v>
      </c>
      <c r="H640" t="s">
        <v>2379</v>
      </c>
      <c r="I640" t="str" cm="1">
        <f t="array" ref="I640">_xlfn.IFS(B640&lt;18.5,"Underweight",AND(B640&gt;=18.5,B640&lt;=24.99),"Normalweight",AND(B640&gt;=25,B640&lt;=29.99),"Overweight",B640&gt;=30,"Obesity")</f>
        <v>Obesity</v>
      </c>
      <c r="J640" t="str" cm="1">
        <f t="array" ref="J640">_xlfn.IFS(C640&lt;5.7,"Normal",AND(C640&gt;=5.7,C640&lt;=6.49),"Prediabetes",C640&gt;=6.5,"Diabetes")</f>
        <v>Diabetes</v>
      </c>
    </row>
    <row r="641" spans="1:10" x14ac:dyDescent="0.3">
      <c r="A641" t="s">
        <v>1731</v>
      </c>
      <c r="B641" s="8">
        <v>39.6</v>
      </c>
      <c r="C641">
        <v>9.32</v>
      </c>
      <c r="D641" t="s">
        <v>2379</v>
      </c>
      <c r="E641" t="s">
        <v>2379</v>
      </c>
      <c r="F641" t="s">
        <v>2379</v>
      </c>
      <c r="G641">
        <v>0</v>
      </c>
      <c r="H641" t="s">
        <v>2379</v>
      </c>
      <c r="I641" t="str" cm="1">
        <f t="array" ref="I641">_xlfn.IFS(B641&lt;18.5,"Underweight",AND(B641&gt;=18.5,B641&lt;=24.99),"Normalweight",AND(B641&gt;=25,B641&lt;=29.99),"Overweight",B641&gt;=30,"Obesity")</f>
        <v>Obesity</v>
      </c>
      <c r="J641" t="str" cm="1">
        <f t="array" ref="J641">_xlfn.IFS(C641&lt;5.7,"Normal",AND(C641&gt;=5.7,C641&lt;=6.49),"Prediabetes",C641&gt;=6.5,"Diabetes")</f>
        <v>Diabetes</v>
      </c>
    </row>
    <row r="642" spans="1:10" x14ac:dyDescent="0.3">
      <c r="A642" t="s">
        <v>1730</v>
      </c>
      <c r="B642" s="8">
        <v>50.92</v>
      </c>
      <c r="C642">
        <v>5.31</v>
      </c>
      <c r="D642" t="s">
        <v>2381</v>
      </c>
      <c r="E642" t="s">
        <v>2379</v>
      </c>
      <c r="F642" t="s">
        <v>2379</v>
      </c>
      <c r="G642">
        <v>1</v>
      </c>
      <c r="H642" t="s">
        <v>2379</v>
      </c>
      <c r="I642" t="str" cm="1">
        <f t="array" ref="I642">_xlfn.IFS(B642&lt;18.5,"Underweight",AND(B642&gt;=18.5,B642&lt;=24.99),"Normalweight",AND(B642&gt;=25,B642&lt;=29.99),"Overweight",B642&gt;=30,"Obesity")</f>
        <v>Obesity</v>
      </c>
      <c r="J642" t="str" cm="1">
        <f t="array" ref="J642">_xlfn.IFS(C642&lt;5.7,"Normal",AND(C642&gt;=5.7,C642&lt;=6.49),"Prediabetes",C642&gt;=6.5,"Diabetes")</f>
        <v>Normal</v>
      </c>
    </row>
    <row r="643" spans="1:10" x14ac:dyDescent="0.3">
      <c r="A643" t="s">
        <v>1729</v>
      </c>
      <c r="B643" s="8">
        <v>21.85</v>
      </c>
      <c r="C643">
        <v>5.56</v>
      </c>
      <c r="D643" t="s">
        <v>2381</v>
      </c>
      <c r="E643" t="s">
        <v>2379</v>
      </c>
      <c r="F643" t="s">
        <v>2379</v>
      </c>
      <c r="G643">
        <v>0</v>
      </c>
      <c r="H643" t="s">
        <v>2381</v>
      </c>
      <c r="I643" t="str" cm="1">
        <f t="array" ref="I643">_xlfn.IFS(B643&lt;18.5,"Underweight",AND(B643&gt;=18.5,B643&lt;=24.99),"Normalweight",AND(B643&gt;=25,B643&lt;=29.99),"Overweight",B643&gt;=30,"Obesity")</f>
        <v>Normalweight</v>
      </c>
      <c r="J643" t="str" cm="1">
        <f t="array" ref="J643">_xlfn.IFS(C643&lt;5.7,"Normal",AND(C643&gt;=5.7,C643&lt;=6.49),"Prediabetes",C643&gt;=6.5,"Diabetes")</f>
        <v>Normal</v>
      </c>
    </row>
    <row r="644" spans="1:10" x14ac:dyDescent="0.3">
      <c r="A644" t="s">
        <v>1728</v>
      </c>
      <c r="B644" s="8">
        <v>36.08</v>
      </c>
      <c r="C644">
        <v>7.11</v>
      </c>
      <c r="D644" t="s">
        <v>2381</v>
      </c>
      <c r="E644" t="s">
        <v>2379</v>
      </c>
      <c r="F644" t="s">
        <v>2381</v>
      </c>
      <c r="G644">
        <v>1</v>
      </c>
      <c r="H644" t="s">
        <v>2379</v>
      </c>
      <c r="I644" t="str" cm="1">
        <f t="array" ref="I644">_xlfn.IFS(B644&lt;18.5,"Underweight",AND(B644&gt;=18.5,B644&lt;=24.99),"Normalweight",AND(B644&gt;=25,B644&lt;=29.99),"Overweight",B644&gt;=30,"Obesity")</f>
        <v>Obesity</v>
      </c>
      <c r="J644" t="str" cm="1">
        <f t="array" ref="J644">_xlfn.IFS(C644&lt;5.7,"Normal",AND(C644&gt;=5.7,C644&lt;=6.49),"Prediabetes",C644&gt;=6.5,"Diabetes")</f>
        <v>Diabetes</v>
      </c>
    </row>
    <row r="645" spans="1:10" x14ac:dyDescent="0.3">
      <c r="A645" t="s">
        <v>1727</v>
      </c>
      <c r="B645" s="8">
        <v>40.44</v>
      </c>
      <c r="C645">
        <v>5.13</v>
      </c>
      <c r="D645" t="s">
        <v>2381</v>
      </c>
      <c r="E645" t="s">
        <v>2379</v>
      </c>
      <c r="F645" t="s">
        <v>2381</v>
      </c>
      <c r="G645">
        <v>1</v>
      </c>
      <c r="H645" t="s">
        <v>2379</v>
      </c>
      <c r="I645" t="str" cm="1">
        <f t="array" ref="I645">_xlfn.IFS(B645&lt;18.5,"Underweight",AND(B645&gt;=18.5,B645&lt;=24.99),"Normalweight",AND(B645&gt;=25,B645&lt;=29.99),"Overweight",B645&gt;=30,"Obesity")</f>
        <v>Obesity</v>
      </c>
      <c r="J645" t="str" cm="1">
        <f t="array" ref="J645">_xlfn.IFS(C645&lt;5.7,"Normal",AND(C645&gt;=5.7,C645&lt;=6.49),"Prediabetes",C645&gt;=6.5,"Diabetes")</f>
        <v>Normal</v>
      </c>
    </row>
    <row r="646" spans="1:10" x14ac:dyDescent="0.3">
      <c r="A646" t="s">
        <v>1726</v>
      </c>
      <c r="B646" s="8">
        <v>38.094999999999999</v>
      </c>
      <c r="C646">
        <v>10.199999999999999</v>
      </c>
      <c r="D646" t="s">
        <v>2379</v>
      </c>
      <c r="E646" t="s">
        <v>2379</v>
      </c>
      <c r="F646" t="s">
        <v>2379</v>
      </c>
      <c r="G646">
        <v>0</v>
      </c>
      <c r="H646" t="s">
        <v>2379</v>
      </c>
      <c r="I646" t="str" cm="1">
        <f t="array" ref="I646">_xlfn.IFS(B646&lt;18.5,"Underweight",AND(B646&gt;=18.5,B646&lt;=24.99),"Normalweight",AND(B646&gt;=25,B646&lt;=29.99),"Overweight",B646&gt;=30,"Obesity")</f>
        <v>Obesity</v>
      </c>
      <c r="J646" t="str" cm="1">
        <f t="array" ref="J646">_xlfn.IFS(C646&lt;5.7,"Normal",AND(C646&gt;=5.7,C646&lt;=6.49),"Prediabetes",C646&gt;=6.5,"Diabetes")</f>
        <v>Diabetes</v>
      </c>
    </row>
    <row r="647" spans="1:10" x14ac:dyDescent="0.3">
      <c r="A647" t="s">
        <v>1725</v>
      </c>
      <c r="B647" s="8">
        <v>44.95</v>
      </c>
      <c r="C647">
        <v>10.4</v>
      </c>
      <c r="D647" t="s">
        <v>2379</v>
      </c>
      <c r="E647" t="s">
        <v>2379</v>
      </c>
      <c r="F647" t="s">
        <v>2379</v>
      </c>
      <c r="G647">
        <v>0</v>
      </c>
      <c r="H647" t="s">
        <v>2379</v>
      </c>
      <c r="I647" t="str" cm="1">
        <f t="array" ref="I647">_xlfn.IFS(B647&lt;18.5,"Underweight",AND(B647&gt;=18.5,B647&lt;=24.99),"Normalweight",AND(B647&gt;=25,B647&lt;=29.99),"Overweight",B647&gt;=30,"Obesity")</f>
        <v>Obesity</v>
      </c>
      <c r="J647" t="str" cm="1">
        <f t="array" ref="J647">_xlfn.IFS(C647&lt;5.7,"Normal",AND(C647&gt;=5.7,C647&lt;=6.49),"Prediabetes",C647&gt;=6.5,"Diabetes")</f>
        <v>Diabetes</v>
      </c>
    </row>
    <row r="648" spans="1:10" x14ac:dyDescent="0.3">
      <c r="A648" t="s">
        <v>1724</v>
      </c>
      <c r="B648" s="8">
        <v>35.54</v>
      </c>
      <c r="C648">
        <v>10.67</v>
      </c>
      <c r="D648" t="s">
        <v>2379</v>
      </c>
      <c r="E648" t="s">
        <v>2379</v>
      </c>
      <c r="F648" t="s">
        <v>2379</v>
      </c>
      <c r="G648">
        <v>0</v>
      </c>
      <c r="H648" t="s">
        <v>2379</v>
      </c>
      <c r="I648" t="str" cm="1">
        <f t="array" ref="I648">_xlfn.IFS(B648&lt;18.5,"Underweight",AND(B648&gt;=18.5,B648&lt;=24.99),"Normalweight",AND(B648&gt;=25,B648&lt;=29.99),"Overweight",B648&gt;=30,"Obesity")</f>
        <v>Obesity</v>
      </c>
      <c r="J648" t="str" cm="1">
        <f t="array" ref="J648">_xlfn.IFS(C648&lt;5.7,"Normal",AND(C648&gt;=5.7,C648&lt;=6.49),"Prediabetes",C648&gt;=6.5,"Diabetes")</f>
        <v>Diabetes</v>
      </c>
    </row>
    <row r="649" spans="1:10" x14ac:dyDescent="0.3">
      <c r="A649" t="s">
        <v>1723</v>
      </c>
      <c r="B649" s="8">
        <v>39.799999999999997</v>
      </c>
      <c r="C649">
        <v>4.6500000000000004</v>
      </c>
      <c r="D649" t="s">
        <v>2381</v>
      </c>
      <c r="E649" t="s">
        <v>2379</v>
      </c>
      <c r="F649" t="s">
        <v>2379</v>
      </c>
      <c r="G649">
        <v>2</v>
      </c>
      <c r="H649" t="s">
        <v>2379</v>
      </c>
      <c r="I649" t="str" cm="1">
        <f t="array" ref="I649">_xlfn.IFS(B649&lt;18.5,"Underweight",AND(B649&gt;=18.5,B649&lt;=24.99),"Normalweight",AND(B649&gt;=25,B649&lt;=29.99),"Overweight",B649&gt;=30,"Obesity")</f>
        <v>Obesity</v>
      </c>
      <c r="J649" t="str" cm="1">
        <f t="array" ref="J649">_xlfn.IFS(C649&lt;5.7,"Normal",AND(C649&gt;=5.7,C649&lt;=6.49),"Prediabetes",C649&gt;=6.5,"Diabetes")</f>
        <v>Normal</v>
      </c>
    </row>
    <row r="650" spans="1:10" x14ac:dyDescent="0.3">
      <c r="A650" t="s">
        <v>1722</v>
      </c>
      <c r="B650" s="8">
        <v>33.659999999999997</v>
      </c>
      <c r="C650">
        <v>5.65</v>
      </c>
      <c r="D650" t="s">
        <v>2381</v>
      </c>
      <c r="E650" t="s">
        <v>2379</v>
      </c>
      <c r="F650" t="s">
        <v>2379</v>
      </c>
      <c r="G650">
        <v>2</v>
      </c>
      <c r="H650" t="s">
        <v>2379</v>
      </c>
      <c r="I650" t="str" cm="1">
        <f t="array" ref="I650">_xlfn.IFS(B650&lt;18.5,"Underweight",AND(B650&gt;=18.5,B650&lt;=24.99),"Normalweight",AND(B650&gt;=25,B650&lt;=29.99),"Overweight",B650&gt;=30,"Obesity")</f>
        <v>Obesity</v>
      </c>
      <c r="J650" t="str" cm="1">
        <f t="array" ref="J650">_xlfn.IFS(C650&lt;5.7,"Normal",AND(C650&gt;=5.7,C650&lt;=6.49),"Prediabetes",C650&gt;=6.5,"Diabetes")</f>
        <v>Normal</v>
      </c>
    </row>
    <row r="651" spans="1:10" x14ac:dyDescent="0.3">
      <c r="A651" t="s">
        <v>1721</v>
      </c>
      <c r="B651" s="8">
        <v>35.5</v>
      </c>
      <c r="C651">
        <v>11.97</v>
      </c>
      <c r="D651" t="s">
        <v>2379</v>
      </c>
      <c r="E651" t="s">
        <v>2379</v>
      </c>
      <c r="F651" t="s">
        <v>2379</v>
      </c>
      <c r="G651">
        <v>0</v>
      </c>
      <c r="H651" t="s">
        <v>2379</v>
      </c>
      <c r="I651" t="str" cm="1">
        <f t="array" ref="I651">_xlfn.IFS(B651&lt;18.5,"Underweight",AND(B651&gt;=18.5,B651&lt;=24.99),"Normalweight",AND(B651&gt;=25,B651&lt;=29.99),"Overweight",B651&gt;=30,"Obesity")</f>
        <v>Obesity</v>
      </c>
      <c r="J651" t="str" cm="1">
        <f t="array" ref="J651">_xlfn.IFS(C651&lt;5.7,"Normal",AND(C651&gt;=5.7,C651&lt;=6.49),"Prediabetes",C651&gt;=6.5,"Diabetes")</f>
        <v>Diabetes</v>
      </c>
    </row>
    <row r="652" spans="1:10" x14ac:dyDescent="0.3">
      <c r="A652" t="s">
        <v>1720</v>
      </c>
      <c r="B652" s="8">
        <v>41.63</v>
      </c>
      <c r="C652">
        <v>6.71</v>
      </c>
      <c r="D652" t="s">
        <v>2379</v>
      </c>
      <c r="E652" t="s">
        <v>2379</v>
      </c>
      <c r="F652" t="s">
        <v>2379</v>
      </c>
      <c r="G652">
        <v>0</v>
      </c>
      <c r="H652" t="s">
        <v>2379</v>
      </c>
      <c r="I652" t="str" cm="1">
        <f t="array" ref="I652">_xlfn.IFS(B652&lt;18.5,"Underweight",AND(B652&gt;=18.5,B652&lt;=24.99),"Normalweight",AND(B652&gt;=25,B652&lt;=29.99),"Overweight",B652&gt;=30,"Obesity")</f>
        <v>Obesity</v>
      </c>
      <c r="J652" t="str" cm="1">
        <f t="array" ref="J652">_xlfn.IFS(C652&lt;5.7,"Normal",AND(C652&gt;=5.7,C652&lt;=6.49),"Prediabetes",C652&gt;=6.5,"Diabetes")</f>
        <v>Diabetes</v>
      </c>
    </row>
    <row r="653" spans="1:10" x14ac:dyDescent="0.3">
      <c r="A653" t="s">
        <v>1719</v>
      </c>
      <c r="B653" s="8">
        <v>46.49</v>
      </c>
      <c r="C653">
        <v>11.92</v>
      </c>
      <c r="D653" t="s">
        <v>2379</v>
      </c>
      <c r="E653" t="s">
        <v>2379</v>
      </c>
      <c r="F653" t="s">
        <v>2379</v>
      </c>
      <c r="G653">
        <v>0</v>
      </c>
      <c r="H653" t="s">
        <v>2379</v>
      </c>
      <c r="I653" t="str" cm="1">
        <f t="array" ref="I653">_xlfn.IFS(B653&lt;18.5,"Underweight",AND(B653&gt;=18.5,B653&lt;=24.99),"Normalweight",AND(B653&gt;=25,B653&lt;=29.99),"Overweight",B653&gt;=30,"Obesity")</f>
        <v>Obesity</v>
      </c>
      <c r="J653" t="str" cm="1">
        <f t="array" ref="J653">_xlfn.IFS(C653&lt;5.7,"Normal",AND(C653&gt;=5.7,C653&lt;=6.49),"Prediabetes",C653&gt;=6.5,"Diabetes")</f>
        <v>Diabetes</v>
      </c>
    </row>
    <row r="654" spans="1:10" x14ac:dyDescent="0.3">
      <c r="A654" t="s">
        <v>1718</v>
      </c>
      <c r="B654" s="8">
        <v>43.29</v>
      </c>
      <c r="C654">
        <v>5.35</v>
      </c>
      <c r="D654" t="s">
        <v>2379</v>
      </c>
      <c r="E654" t="s">
        <v>2379</v>
      </c>
      <c r="F654" t="s">
        <v>2379</v>
      </c>
      <c r="G654">
        <v>2</v>
      </c>
      <c r="H654" t="s">
        <v>2379</v>
      </c>
      <c r="I654" t="str" cm="1">
        <f t="array" ref="I654">_xlfn.IFS(B654&lt;18.5,"Underweight",AND(B654&gt;=18.5,B654&lt;=24.99),"Normalweight",AND(B654&gt;=25,B654&lt;=29.99),"Overweight",B654&gt;=30,"Obesity")</f>
        <v>Obesity</v>
      </c>
      <c r="J654" t="str" cm="1">
        <f t="array" ref="J654">_xlfn.IFS(C654&lt;5.7,"Normal",AND(C654&gt;=5.7,C654&lt;=6.49),"Prediabetes",C654&gt;=6.5,"Diabetes")</f>
        <v>Normal</v>
      </c>
    </row>
    <row r="655" spans="1:10" x14ac:dyDescent="0.3">
      <c r="A655" t="s">
        <v>1717</v>
      </c>
      <c r="B655" s="8">
        <v>43.08</v>
      </c>
      <c r="C655">
        <v>8.9600000000000009</v>
      </c>
      <c r="D655" t="s">
        <v>2381</v>
      </c>
      <c r="E655" t="s">
        <v>2379</v>
      </c>
      <c r="F655" t="s">
        <v>2379</v>
      </c>
      <c r="G655">
        <v>1</v>
      </c>
      <c r="H655" t="s">
        <v>2379</v>
      </c>
      <c r="I655" t="str" cm="1">
        <f t="array" ref="I655">_xlfn.IFS(B655&lt;18.5,"Underweight",AND(B655&gt;=18.5,B655&lt;=24.99),"Normalweight",AND(B655&gt;=25,B655&lt;=29.99),"Overweight",B655&gt;=30,"Obesity")</f>
        <v>Obesity</v>
      </c>
      <c r="J655" t="str" cm="1">
        <f t="array" ref="J655">_xlfn.IFS(C655&lt;5.7,"Normal",AND(C655&gt;=5.7,C655&lt;=6.49),"Prediabetes",C655&gt;=6.5,"Diabetes")</f>
        <v>Diabetes</v>
      </c>
    </row>
    <row r="656" spans="1:10" x14ac:dyDescent="0.3">
      <c r="A656" t="s">
        <v>1716</v>
      </c>
      <c r="B656" s="8">
        <v>39.07</v>
      </c>
      <c r="C656">
        <v>11.93</v>
      </c>
      <c r="D656" t="s">
        <v>2379</v>
      </c>
      <c r="E656" t="s">
        <v>2379</v>
      </c>
      <c r="F656" t="s">
        <v>2379</v>
      </c>
      <c r="G656">
        <v>0</v>
      </c>
      <c r="H656" t="s">
        <v>2379</v>
      </c>
      <c r="I656" t="str" cm="1">
        <f t="array" ref="I656">_xlfn.IFS(B656&lt;18.5,"Underweight",AND(B656&gt;=18.5,B656&lt;=24.99),"Normalweight",AND(B656&gt;=25,B656&lt;=29.99),"Overweight",B656&gt;=30,"Obesity")</f>
        <v>Obesity</v>
      </c>
      <c r="J656" t="str" cm="1">
        <f t="array" ref="J656">_xlfn.IFS(C656&lt;5.7,"Normal",AND(C656&gt;=5.7,C656&lt;=6.49),"Prediabetes",C656&gt;=6.5,"Diabetes")</f>
        <v>Diabetes</v>
      </c>
    </row>
    <row r="657" spans="1:10" x14ac:dyDescent="0.3">
      <c r="A657" t="s">
        <v>1715</v>
      </c>
      <c r="B657" s="8">
        <v>41.3</v>
      </c>
      <c r="C657">
        <v>9.59</v>
      </c>
      <c r="D657" t="s">
        <v>2379</v>
      </c>
      <c r="E657" t="s">
        <v>2379</v>
      </c>
      <c r="F657" t="s">
        <v>2379</v>
      </c>
      <c r="G657">
        <v>0</v>
      </c>
      <c r="H657" t="s">
        <v>2379</v>
      </c>
      <c r="I657" t="str" cm="1">
        <f t="array" ref="I657">_xlfn.IFS(B657&lt;18.5,"Underweight",AND(B657&gt;=18.5,B657&lt;=24.99),"Normalweight",AND(B657&gt;=25,B657&lt;=29.99),"Overweight",B657&gt;=30,"Obesity")</f>
        <v>Obesity</v>
      </c>
      <c r="J657" t="str" cm="1">
        <f t="array" ref="J657">_xlfn.IFS(C657&lt;5.7,"Normal",AND(C657&gt;=5.7,C657&lt;=6.49),"Prediabetes",C657&gt;=6.5,"Diabetes")</f>
        <v>Diabetes</v>
      </c>
    </row>
    <row r="658" spans="1:10" x14ac:dyDescent="0.3">
      <c r="A658" t="s">
        <v>1714</v>
      </c>
      <c r="B658" s="8">
        <v>42.95</v>
      </c>
      <c r="C658">
        <v>11.88</v>
      </c>
      <c r="D658" t="s">
        <v>2381</v>
      </c>
      <c r="E658" t="s">
        <v>2379</v>
      </c>
      <c r="F658" t="s">
        <v>2379</v>
      </c>
      <c r="G658">
        <v>2</v>
      </c>
      <c r="H658" t="s">
        <v>2379</v>
      </c>
      <c r="I658" t="str" cm="1">
        <f t="array" ref="I658">_xlfn.IFS(B658&lt;18.5,"Underweight",AND(B658&gt;=18.5,B658&lt;=24.99),"Normalweight",AND(B658&gt;=25,B658&lt;=29.99),"Overweight",B658&gt;=30,"Obesity")</f>
        <v>Obesity</v>
      </c>
      <c r="J658" t="str" cm="1">
        <f t="array" ref="J658">_xlfn.IFS(C658&lt;5.7,"Normal",AND(C658&gt;=5.7,C658&lt;=6.49),"Prediabetes",C658&gt;=6.5,"Diabetes")</f>
        <v>Diabetes</v>
      </c>
    </row>
    <row r="659" spans="1:10" x14ac:dyDescent="0.3">
      <c r="A659" t="s">
        <v>1713</v>
      </c>
      <c r="B659" s="8">
        <v>46.96</v>
      </c>
      <c r="C659">
        <v>4.6399999999999997</v>
      </c>
      <c r="D659" t="s">
        <v>2379</v>
      </c>
      <c r="E659" t="s">
        <v>2379</v>
      </c>
      <c r="F659" t="s">
        <v>2381</v>
      </c>
      <c r="G659">
        <v>1</v>
      </c>
      <c r="H659" t="s">
        <v>2379</v>
      </c>
      <c r="I659" t="str" cm="1">
        <f t="array" ref="I659">_xlfn.IFS(B659&lt;18.5,"Underweight",AND(B659&gt;=18.5,B659&lt;=24.99),"Normalweight",AND(B659&gt;=25,B659&lt;=29.99),"Overweight",B659&gt;=30,"Obesity")</f>
        <v>Obesity</v>
      </c>
      <c r="J659" t="str" cm="1">
        <f t="array" ref="J659">_xlfn.IFS(C659&lt;5.7,"Normal",AND(C659&gt;=5.7,C659&lt;=6.49),"Prediabetes",C659&gt;=6.5,"Diabetes")</f>
        <v>Normal</v>
      </c>
    </row>
    <row r="660" spans="1:10" x14ac:dyDescent="0.3">
      <c r="A660" t="s">
        <v>1712</v>
      </c>
      <c r="B660" s="8">
        <v>30.495000000000001</v>
      </c>
      <c r="C660">
        <v>9.5299999999999994</v>
      </c>
      <c r="D660" t="s">
        <v>2379</v>
      </c>
      <c r="E660" t="s">
        <v>2379</v>
      </c>
      <c r="F660" t="s">
        <v>2379</v>
      </c>
      <c r="G660">
        <v>0</v>
      </c>
      <c r="H660" t="s">
        <v>2379</v>
      </c>
      <c r="I660" t="str" cm="1">
        <f t="array" ref="I660">_xlfn.IFS(B660&lt;18.5,"Underweight",AND(B660&gt;=18.5,B660&lt;=24.99),"Normalweight",AND(B660&gt;=25,B660&lt;=29.99),"Overweight",B660&gt;=30,"Obesity")</f>
        <v>Obesity</v>
      </c>
      <c r="J660" t="str" cm="1">
        <f t="array" ref="J660">_xlfn.IFS(C660&lt;5.7,"Normal",AND(C660&gt;=5.7,C660&lt;=6.49),"Prediabetes",C660&gt;=6.5,"Diabetes")</f>
        <v>Diabetes</v>
      </c>
    </row>
    <row r="661" spans="1:10" x14ac:dyDescent="0.3">
      <c r="A661" t="s">
        <v>1711</v>
      </c>
      <c r="B661" s="8">
        <v>17.954999999999998</v>
      </c>
      <c r="C661">
        <v>5.29</v>
      </c>
      <c r="D661" t="s">
        <v>2381</v>
      </c>
      <c r="E661" t="s">
        <v>2379</v>
      </c>
      <c r="F661" t="s">
        <v>2379</v>
      </c>
      <c r="G661">
        <v>1</v>
      </c>
      <c r="H661" t="s">
        <v>2381</v>
      </c>
      <c r="I661" t="str" cm="1">
        <f t="array" ref="I661">_xlfn.IFS(B661&lt;18.5,"Underweight",AND(B661&gt;=18.5,B661&lt;=24.99),"Normalweight",AND(B661&gt;=25,B661&lt;=29.99),"Overweight",B661&gt;=30,"Obesity")</f>
        <v>Underweight</v>
      </c>
      <c r="J661" t="str" cm="1">
        <f t="array" ref="J661">_xlfn.IFS(C661&lt;5.7,"Normal",AND(C661&gt;=5.7,C661&lt;=6.49),"Prediabetes",C661&gt;=6.5,"Diabetes")</f>
        <v>Normal</v>
      </c>
    </row>
    <row r="662" spans="1:10" x14ac:dyDescent="0.3">
      <c r="A662" t="s">
        <v>1710</v>
      </c>
      <c r="B662" s="8">
        <v>25.6</v>
      </c>
      <c r="C662">
        <v>10.95</v>
      </c>
      <c r="D662" t="s">
        <v>2379</v>
      </c>
      <c r="E662" t="s">
        <v>2379</v>
      </c>
      <c r="F662" t="s">
        <v>2379</v>
      </c>
      <c r="G662">
        <v>3</v>
      </c>
      <c r="H662" t="s">
        <v>2379</v>
      </c>
      <c r="I662" t="str" cm="1">
        <f t="array" ref="I662">_xlfn.IFS(B662&lt;18.5,"Underweight",AND(B662&gt;=18.5,B662&lt;=24.99),"Normalweight",AND(B662&gt;=25,B662&lt;=29.99),"Overweight",B662&gt;=30,"Obesity")</f>
        <v>Overweight</v>
      </c>
      <c r="J662" t="str" cm="1">
        <f t="array" ref="J662">_xlfn.IFS(C662&lt;5.7,"Normal",AND(C662&gt;=5.7,C662&lt;=6.49),"Prediabetes",C662&gt;=6.5,"Diabetes")</f>
        <v>Diabetes</v>
      </c>
    </row>
    <row r="663" spans="1:10" x14ac:dyDescent="0.3">
      <c r="A663" t="s">
        <v>1709</v>
      </c>
      <c r="B663" s="8">
        <v>34.21</v>
      </c>
      <c r="C663">
        <v>9.17</v>
      </c>
      <c r="D663" t="s">
        <v>2379</v>
      </c>
      <c r="E663" t="s">
        <v>2379</v>
      </c>
      <c r="F663" t="s">
        <v>2379</v>
      </c>
      <c r="G663">
        <v>0</v>
      </c>
      <c r="H663" t="s">
        <v>2379</v>
      </c>
      <c r="I663" t="str" cm="1">
        <f t="array" ref="I663">_xlfn.IFS(B663&lt;18.5,"Underweight",AND(B663&gt;=18.5,B663&lt;=24.99),"Normalweight",AND(B663&gt;=25,B663&lt;=29.99),"Overweight",B663&gt;=30,"Obesity")</f>
        <v>Obesity</v>
      </c>
      <c r="J663" t="str" cm="1">
        <f t="array" ref="J663">_xlfn.IFS(C663&lt;5.7,"Normal",AND(C663&gt;=5.7,C663&lt;=6.49),"Prediabetes",C663&gt;=6.5,"Diabetes")</f>
        <v>Diabetes</v>
      </c>
    </row>
    <row r="664" spans="1:10" x14ac:dyDescent="0.3">
      <c r="A664" t="s">
        <v>1708</v>
      </c>
      <c r="B664" s="8">
        <v>39.74</v>
      </c>
      <c r="C664">
        <v>7.39</v>
      </c>
      <c r="D664" t="s">
        <v>2379</v>
      </c>
      <c r="E664" t="s">
        <v>2379</v>
      </c>
      <c r="F664" t="s">
        <v>2379</v>
      </c>
      <c r="G664">
        <v>0</v>
      </c>
      <c r="H664" t="s">
        <v>2379</v>
      </c>
      <c r="I664" t="str" cm="1">
        <f t="array" ref="I664">_xlfn.IFS(B664&lt;18.5,"Underweight",AND(B664&gt;=18.5,B664&lt;=24.99),"Normalweight",AND(B664&gt;=25,B664&lt;=29.99),"Overweight",B664&gt;=30,"Obesity")</f>
        <v>Obesity</v>
      </c>
      <c r="J664" t="str" cm="1">
        <f t="array" ref="J664">_xlfn.IFS(C664&lt;5.7,"Normal",AND(C664&gt;=5.7,C664&lt;=6.49),"Prediabetes",C664&gt;=6.5,"Diabetes")</f>
        <v>Diabetes</v>
      </c>
    </row>
    <row r="665" spans="1:10" x14ac:dyDescent="0.3">
      <c r="A665" t="s">
        <v>1707</v>
      </c>
      <c r="B665" s="8">
        <v>49.53</v>
      </c>
      <c r="C665">
        <v>9.1300000000000008</v>
      </c>
      <c r="D665" t="s">
        <v>2381</v>
      </c>
      <c r="E665" t="s">
        <v>2379</v>
      </c>
      <c r="F665" t="s">
        <v>2379</v>
      </c>
      <c r="G665">
        <v>0</v>
      </c>
      <c r="H665" t="s">
        <v>2379</v>
      </c>
      <c r="I665" t="str" cm="1">
        <f t="array" ref="I665">_xlfn.IFS(B665&lt;18.5,"Underweight",AND(B665&gt;=18.5,B665&lt;=24.99),"Normalweight",AND(B665&gt;=25,B665&lt;=29.99),"Overweight",B665&gt;=30,"Obesity")</f>
        <v>Obesity</v>
      </c>
      <c r="J665" t="str" cm="1">
        <f t="array" ref="J665">_xlfn.IFS(C665&lt;5.7,"Normal",AND(C665&gt;=5.7,C665&lt;=6.49),"Prediabetes",C665&gt;=6.5,"Diabetes")</f>
        <v>Diabetes</v>
      </c>
    </row>
    <row r="666" spans="1:10" x14ac:dyDescent="0.3">
      <c r="A666" t="s">
        <v>1706</v>
      </c>
      <c r="B666" s="8">
        <v>39.33</v>
      </c>
      <c r="C666">
        <v>10.4</v>
      </c>
      <c r="D666" t="s">
        <v>2379</v>
      </c>
      <c r="E666" t="s">
        <v>2379</v>
      </c>
      <c r="F666" t="s">
        <v>2379</v>
      </c>
      <c r="G666">
        <v>3</v>
      </c>
      <c r="H666" t="s">
        <v>2379</v>
      </c>
      <c r="I666" t="str" cm="1">
        <f t="array" ref="I666">_xlfn.IFS(B666&lt;18.5,"Underweight",AND(B666&gt;=18.5,B666&lt;=24.99),"Normalweight",AND(B666&gt;=25,B666&lt;=29.99),"Overweight",B666&gt;=30,"Obesity")</f>
        <v>Obesity</v>
      </c>
      <c r="J666" t="str" cm="1">
        <f t="array" ref="J666">_xlfn.IFS(C666&lt;5.7,"Normal",AND(C666&gt;=5.7,C666&lt;=6.49),"Prediabetes",C666&gt;=6.5,"Diabetes")</f>
        <v>Diabetes</v>
      </c>
    </row>
    <row r="667" spans="1:10" x14ac:dyDescent="0.3">
      <c r="A667" t="s">
        <v>1705</v>
      </c>
      <c r="B667" s="8">
        <v>39.979999999999997</v>
      </c>
      <c r="C667">
        <v>9.4600000000000009</v>
      </c>
      <c r="D667" t="s">
        <v>2381</v>
      </c>
      <c r="E667" t="s">
        <v>2379</v>
      </c>
      <c r="F667" t="s">
        <v>2379</v>
      </c>
      <c r="G667">
        <v>2</v>
      </c>
      <c r="H667" t="s">
        <v>2379</v>
      </c>
      <c r="I667" t="str" cm="1">
        <f t="array" ref="I667">_xlfn.IFS(B667&lt;18.5,"Underweight",AND(B667&gt;=18.5,B667&lt;=24.99),"Normalweight",AND(B667&gt;=25,B667&lt;=29.99),"Overweight",B667&gt;=30,"Obesity")</f>
        <v>Obesity</v>
      </c>
      <c r="J667" t="str" cm="1">
        <f t="array" ref="J667">_xlfn.IFS(C667&lt;5.7,"Normal",AND(C667&gt;=5.7,C667&lt;=6.49),"Prediabetes",C667&gt;=6.5,"Diabetes")</f>
        <v>Diabetes</v>
      </c>
    </row>
    <row r="668" spans="1:10" x14ac:dyDescent="0.3">
      <c r="A668" t="s">
        <v>1704</v>
      </c>
      <c r="B668" s="8">
        <v>46.51</v>
      </c>
      <c r="C668">
        <v>8.69</v>
      </c>
      <c r="D668" t="s">
        <v>2381</v>
      </c>
      <c r="E668" t="s">
        <v>2379</v>
      </c>
      <c r="F668" t="s">
        <v>2379</v>
      </c>
      <c r="G668">
        <v>0</v>
      </c>
      <c r="H668" t="s">
        <v>2379</v>
      </c>
      <c r="I668" t="str" cm="1">
        <f t="array" ref="I668">_xlfn.IFS(B668&lt;18.5,"Underweight",AND(B668&gt;=18.5,B668&lt;=24.99),"Normalweight",AND(B668&gt;=25,B668&lt;=29.99),"Overweight",B668&gt;=30,"Obesity")</f>
        <v>Obesity</v>
      </c>
      <c r="J668" t="str" cm="1">
        <f t="array" ref="J668">_xlfn.IFS(C668&lt;5.7,"Normal",AND(C668&gt;=5.7,C668&lt;=6.49),"Prediabetes",C668&gt;=6.5,"Diabetes")</f>
        <v>Diabetes</v>
      </c>
    </row>
    <row r="669" spans="1:10" x14ac:dyDescent="0.3">
      <c r="A669" t="s">
        <v>1703</v>
      </c>
      <c r="B669" s="8">
        <v>43.58</v>
      </c>
      <c r="C669">
        <v>4.2300000000000004</v>
      </c>
      <c r="D669" t="s">
        <v>2379</v>
      </c>
      <c r="E669" t="s">
        <v>2379</v>
      </c>
      <c r="F669" t="s">
        <v>2381</v>
      </c>
      <c r="G669">
        <v>1</v>
      </c>
      <c r="H669" t="s">
        <v>2379</v>
      </c>
      <c r="I669" t="str" cm="1">
        <f t="array" ref="I669">_xlfn.IFS(B669&lt;18.5,"Underweight",AND(B669&gt;=18.5,B669&lt;=24.99),"Normalweight",AND(B669&gt;=25,B669&lt;=29.99),"Overweight",B669&gt;=30,"Obesity")</f>
        <v>Obesity</v>
      </c>
      <c r="J669" t="str" cm="1">
        <f t="array" ref="J669">_xlfn.IFS(C669&lt;5.7,"Normal",AND(C669&gt;=5.7,C669&lt;=6.49),"Prediabetes",C669&gt;=6.5,"Diabetes")</f>
        <v>Normal</v>
      </c>
    </row>
    <row r="670" spans="1:10" x14ac:dyDescent="0.3">
      <c r="A670" t="s">
        <v>1702</v>
      </c>
      <c r="B670" s="8">
        <v>42.28</v>
      </c>
      <c r="C670">
        <v>9.16</v>
      </c>
      <c r="D670" t="s">
        <v>2381</v>
      </c>
      <c r="E670" t="s">
        <v>2379</v>
      </c>
      <c r="F670" t="s">
        <v>2379</v>
      </c>
      <c r="G670">
        <v>1</v>
      </c>
      <c r="H670" t="s">
        <v>2379</v>
      </c>
      <c r="I670" t="str" cm="1">
        <f t="array" ref="I670">_xlfn.IFS(B670&lt;18.5,"Underweight",AND(B670&gt;=18.5,B670&lt;=24.99),"Normalweight",AND(B670&gt;=25,B670&lt;=29.99),"Overweight",B670&gt;=30,"Obesity")</f>
        <v>Obesity</v>
      </c>
      <c r="J670" t="str" cm="1">
        <f t="array" ref="J670">_xlfn.IFS(C670&lt;5.7,"Normal",AND(C670&gt;=5.7,C670&lt;=6.49),"Prediabetes",C670&gt;=6.5,"Diabetes")</f>
        <v>Diabetes</v>
      </c>
    </row>
    <row r="671" spans="1:10" x14ac:dyDescent="0.3">
      <c r="A671" t="s">
        <v>1701</v>
      </c>
      <c r="B671" s="8">
        <v>35.520000000000003</v>
      </c>
      <c r="C671">
        <v>8.26</v>
      </c>
      <c r="D671" t="s">
        <v>2379</v>
      </c>
      <c r="E671" t="s">
        <v>2379</v>
      </c>
      <c r="F671" t="s">
        <v>2379</v>
      </c>
      <c r="G671">
        <v>0</v>
      </c>
      <c r="H671" t="s">
        <v>2379</v>
      </c>
      <c r="I671" t="str" cm="1">
        <f t="array" ref="I671">_xlfn.IFS(B671&lt;18.5,"Underweight",AND(B671&gt;=18.5,B671&lt;=24.99),"Normalweight",AND(B671&gt;=25,B671&lt;=29.99),"Overweight",B671&gt;=30,"Obesity")</f>
        <v>Obesity</v>
      </c>
      <c r="J671" t="str" cm="1">
        <f t="array" ref="J671">_xlfn.IFS(C671&lt;5.7,"Normal",AND(C671&gt;=5.7,C671&lt;=6.49),"Prediabetes",C671&gt;=6.5,"Diabetes")</f>
        <v>Diabetes</v>
      </c>
    </row>
    <row r="672" spans="1:10" x14ac:dyDescent="0.3">
      <c r="A672" t="s">
        <v>1700</v>
      </c>
      <c r="B672" s="8">
        <v>33.6</v>
      </c>
      <c r="C672">
        <v>11.25</v>
      </c>
      <c r="D672" t="s">
        <v>2379</v>
      </c>
      <c r="E672" t="s">
        <v>2379</v>
      </c>
      <c r="F672" t="s">
        <v>2379</v>
      </c>
      <c r="G672">
        <v>0</v>
      </c>
      <c r="H672" t="s">
        <v>2379</v>
      </c>
      <c r="I672" t="str" cm="1">
        <f t="array" ref="I672">_xlfn.IFS(B672&lt;18.5,"Underweight",AND(B672&gt;=18.5,B672&lt;=24.99),"Normalweight",AND(B672&gt;=25,B672&lt;=29.99),"Overweight",B672&gt;=30,"Obesity")</f>
        <v>Obesity</v>
      </c>
      <c r="J672" t="str" cm="1">
        <f t="array" ref="J672">_xlfn.IFS(C672&lt;5.7,"Normal",AND(C672&gt;=5.7,C672&lt;=6.49),"Prediabetes",C672&gt;=6.5,"Diabetes")</f>
        <v>Diabetes</v>
      </c>
    </row>
    <row r="673" spans="1:10" x14ac:dyDescent="0.3">
      <c r="A673" t="s">
        <v>1699</v>
      </c>
      <c r="B673" s="8">
        <v>22.42</v>
      </c>
      <c r="C673">
        <v>6.74</v>
      </c>
      <c r="D673" t="s">
        <v>2379</v>
      </c>
      <c r="E673" t="s">
        <v>2379</v>
      </c>
      <c r="F673" t="s">
        <v>2379</v>
      </c>
      <c r="G673">
        <v>0</v>
      </c>
      <c r="H673" t="s">
        <v>2381</v>
      </c>
      <c r="I673" t="str" cm="1">
        <f t="array" ref="I673">_xlfn.IFS(B673&lt;18.5,"Underweight",AND(B673&gt;=18.5,B673&lt;=24.99),"Normalweight",AND(B673&gt;=25,B673&lt;=29.99),"Overweight",B673&gt;=30,"Obesity")</f>
        <v>Normalweight</v>
      </c>
      <c r="J673" t="str" cm="1">
        <f t="array" ref="J673">_xlfn.IFS(C673&lt;5.7,"Normal",AND(C673&gt;=5.7,C673&lt;=6.49),"Prediabetes",C673&gt;=6.5,"Diabetes")</f>
        <v>Diabetes</v>
      </c>
    </row>
    <row r="674" spans="1:10" x14ac:dyDescent="0.3">
      <c r="A674" t="s">
        <v>1698</v>
      </c>
      <c r="B674" s="8">
        <v>46.86</v>
      </c>
      <c r="C674">
        <v>4.87</v>
      </c>
      <c r="D674" t="s">
        <v>2379</v>
      </c>
      <c r="E674" t="s">
        <v>2379</v>
      </c>
      <c r="F674" t="s">
        <v>2379</v>
      </c>
      <c r="G674">
        <v>0</v>
      </c>
      <c r="H674" t="s">
        <v>2379</v>
      </c>
      <c r="I674" t="str" cm="1">
        <f t="array" ref="I674">_xlfn.IFS(B674&lt;18.5,"Underweight",AND(B674&gt;=18.5,B674&lt;=24.99),"Normalweight",AND(B674&gt;=25,B674&lt;=29.99),"Overweight",B674&gt;=30,"Obesity")</f>
        <v>Obesity</v>
      </c>
      <c r="J674" t="str" cm="1">
        <f t="array" ref="J674">_xlfn.IFS(C674&lt;5.7,"Normal",AND(C674&gt;=5.7,C674&lt;=6.49),"Prediabetes",C674&gt;=6.5,"Diabetes")</f>
        <v>Normal</v>
      </c>
    </row>
    <row r="675" spans="1:10" x14ac:dyDescent="0.3">
      <c r="A675" t="s">
        <v>1697</v>
      </c>
      <c r="B675" s="8">
        <v>32.965000000000003</v>
      </c>
      <c r="C675">
        <v>6.68</v>
      </c>
      <c r="D675" t="s">
        <v>2379</v>
      </c>
      <c r="E675" t="s">
        <v>2379</v>
      </c>
      <c r="F675" t="s">
        <v>2379</v>
      </c>
      <c r="G675">
        <v>3</v>
      </c>
      <c r="H675" t="s">
        <v>2379</v>
      </c>
      <c r="I675" t="str" cm="1">
        <f t="array" ref="I675">_xlfn.IFS(B675&lt;18.5,"Underweight",AND(B675&gt;=18.5,B675&lt;=24.99),"Normalweight",AND(B675&gt;=25,B675&lt;=29.99),"Overweight",B675&gt;=30,"Obesity")</f>
        <v>Obesity</v>
      </c>
      <c r="J675" t="str" cm="1">
        <f t="array" ref="J675">_xlfn.IFS(C675&lt;5.7,"Normal",AND(C675&gt;=5.7,C675&lt;=6.49),"Prediabetes",C675&gt;=6.5,"Diabetes")</f>
        <v>Diabetes</v>
      </c>
    </row>
    <row r="676" spans="1:10" x14ac:dyDescent="0.3">
      <c r="A676" t="s">
        <v>1696</v>
      </c>
      <c r="B676" s="8">
        <v>39.340000000000003</v>
      </c>
      <c r="C676">
        <v>5.0199999999999996</v>
      </c>
      <c r="D676" t="s">
        <v>2381</v>
      </c>
      <c r="E676" t="s">
        <v>2379</v>
      </c>
      <c r="F676" t="s">
        <v>2381</v>
      </c>
      <c r="G676">
        <v>1</v>
      </c>
      <c r="H676" t="s">
        <v>2379</v>
      </c>
      <c r="I676" t="str" cm="1">
        <f t="array" ref="I676">_xlfn.IFS(B676&lt;18.5,"Underweight",AND(B676&gt;=18.5,B676&lt;=24.99),"Normalweight",AND(B676&gt;=25,B676&lt;=29.99),"Overweight",B676&gt;=30,"Obesity")</f>
        <v>Obesity</v>
      </c>
      <c r="J676" t="str" cm="1">
        <f t="array" ref="J676">_xlfn.IFS(C676&lt;5.7,"Normal",AND(C676&gt;=5.7,C676&lt;=6.49),"Prediabetes",C676&gt;=6.5,"Diabetes")</f>
        <v>Normal</v>
      </c>
    </row>
    <row r="677" spans="1:10" x14ac:dyDescent="0.3">
      <c r="A677" t="s">
        <v>1695</v>
      </c>
      <c r="B677" s="8">
        <v>47</v>
      </c>
      <c r="C677">
        <v>10.64</v>
      </c>
      <c r="D677" t="s">
        <v>2381</v>
      </c>
      <c r="E677" t="s">
        <v>2379</v>
      </c>
      <c r="F677" t="s">
        <v>2379</v>
      </c>
      <c r="G677">
        <v>0</v>
      </c>
      <c r="H677" t="s">
        <v>2379</v>
      </c>
      <c r="I677" t="str" cm="1">
        <f t="array" ref="I677">_xlfn.IFS(B677&lt;18.5,"Underweight",AND(B677&gt;=18.5,B677&lt;=24.99),"Normalweight",AND(B677&gt;=25,B677&lt;=29.99),"Overweight",B677&gt;=30,"Obesity")</f>
        <v>Obesity</v>
      </c>
      <c r="J677" t="str" cm="1">
        <f t="array" ref="J677">_xlfn.IFS(C677&lt;5.7,"Normal",AND(C677&gt;=5.7,C677&lt;=6.49),"Prediabetes",C677&gt;=6.5,"Diabetes")</f>
        <v>Diabetes</v>
      </c>
    </row>
    <row r="678" spans="1:10" x14ac:dyDescent="0.3">
      <c r="A678" t="s">
        <v>1694</v>
      </c>
      <c r="B678" s="8">
        <v>36.71</v>
      </c>
      <c r="C678">
        <v>8.74</v>
      </c>
      <c r="D678" t="s">
        <v>2381</v>
      </c>
      <c r="E678" t="s">
        <v>2379</v>
      </c>
      <c r="F678" t="s">
        <v>2379</v>
      </c>
      <c r="G678">
        <v>0</v>
      </c>
      <c r="H678" t="s">
        <v>2379</v>
      </c>
      <c r="I678" t="str" cm="1">
        <f t="array" ref="I678">_xlfn.IFS(B678&lt;18.5,"Underweight",AND(B678&gt;=18.5,B678&lt;=24.99),"Normalweight",AND(B678&gt;=25,B678&lt;=29.99),"Overweight",B678&gt;=30,"Obesity")</f>
        <v>Obesity</v>
      </c>
      <c r="J678" t="str" cm="1">
        <f t="array" ref="J678">_xlfn.IFS(C678&lt;5.7,"Normal",AND(C678&gt;=5.7,C678&lt;=6.49),"Prediabetes",C678&gt;=6.5,"Diabetes")</f>
        <v>Diabetes</v>
      </c>
    </row>
    <row r="679" spans="1:10" x14ac:dyDescent="0.3">
      <c r="A679" t="s">
        <v>1693</v>
      </c>
      <c r="B679" s="8">
        <v>53.48</v>
      </c>
      <c r="C679">
        <v>5.64</v>
      </c>
      <c r="D679" t="s">
        <v>2379</v>
      </c>
      <c r="E679" t="s">
        <v>2379</v>
      </c>
      <c r="F679" t="s">
        <v>2379</v>
      </c>
      <c r="G679">
        <v>0</v>
      </c>
      <c r="H679" t="s">
        <v>2379</v>
      </c>
      <c r="I679" t="str" cm="1">
        <f t="array" ref="I679">_xlfn.IFS(B679&lt;18.5,"Underweight",AND(B679&gt;=18.5,B679&lt;=24.99),"Normalweight",AND(B679&gt;=25,B679&lt;=29.99),"Overweight",B679&gt;=30,"Obesity")</f>
        <v>Obesity</v>
      </c>
      <c r="J679" t="str" cm="1">
        <f t="array" ref="J679">_xlfn.IFS(C679&lt;5.7,"Normal",AND(C679&gt;=5.7,C679&lt;=6.49),"Prediabetes",C679&gt;=6.5,"Diabetes")</f>
        <v>Normal</v>
      </c>
    </row>
    <row r="680" spans="1:10" x14ac:dyDescent="0.3">
      <c r="A680" t="s">
        <v>1692</v>
      </c>
      <c r="B680" s="8">
        <v>35.5</v>
      </c>
      <c r="C680">
        <v>10.37</v>
      </c>
      <c r="D680" t="s">
        <v>2379</v>
      </c>
      <c r="E680" t="s">
        <v>2379</v>
      </c>
      <c r="F680" t="s">
        <v>2379</v>
      </c>
      <c r="G680">
        <v>0</v>
      </c>
      <c r="H680" t="s">
        <v>2379</v>
      </c>
      <c r="I680" t="str" cm="1">
        <f t="array" ref="I680">_xlfn.IFS(B680&lt;18.5,"Underweight",AND(B680&gt;=18.5,B680&lt;=24.99),"Normalweight",AND(B680&gt;=25,B680&lt;=29.99),"Overweight",B680&gt;=30,"Obesity")</f>
        <v>Obesity</v>
      </c>
      <c r="J680" t="str" cm="1">
        <f t="array" ref="J680">_xlfn.IFS(C680&lt;5.7,"Normal",AND(C680&gt;=5.7,C680&lt;=6.49),"Prediabetes",C680&gt;=6.5,"Diabetes")</f>
        <v>Diabetes</v>
      </c>
    </row>
    <row r="681" spans="1:10" x14ac:dyDescent="0.3">
      <c r="A681" t="s">
        <v>1691</v>
      </c>
      <c r="B681" s="8">
        <v>36.979999999999997</v>
      </c>
      <c r="C681">
        <v>9.56</v>
      </c>
      <c r="D681" t="s">
        <v>2381</v>
      </c>
      <c r="E681" t="s">
        <v>2379</v>
      </c>
      <c r="F681" t="s">
        <v>2379</v>
      </c>
      <c r="G681">
        <v>0</v>
      </c>
      <c r="H681" t="s">
        <v>2379</v>
      </c>
      <c r="I681" t="str" cm="1">
        <f t="array" ref="I681">_xlfn.IFS(B681&lt;18.5,"Underweight",AND(B681&gt;=18.5,B681&lt;=24.99),"Normalweight",AND(B681&gt;=25,B681&lt;=29.99),"Overweight",B681&gt;=30,"Obesity")</f>
        <v>Obesity</v>
      </c>
      <c r="J681" t="str" cm="1">
        <f t="array" ref="J681">_xlfn.IFS(C681&lt;5.7,"Normal",AND(C681&gt;=5.7,C681&lt;=6.49),"Prediabetes",C681&gt;=6.5,"Diabetes")</f>
        <v>Diabetes</v>
      </c>
    </row>
    <row r="682" spans="1:10" x14ac:dyDescent="0.3">
      <c r="A682" t="s">
        <v>1690</v>
      </c>
      <c r="B682" s="8">
        <v>32.395000000000003</v>
      </c>
      <c r="C682">
        <v>8.23</v>
      </c>
      <c r="D682" t="s">
        <v>2381</v>
      </c>
      <c r="E682" t="s">
        <v>2379</v>
      </c>
      <c r="F682" t="s">
        <v>2381</v>
      </c>
      <c r="G682">
        <v>1</v>
      </c>
      <c r="H682" t="s">
        <v>2379</v>
      </c>
      <c r="I682" t="str" cm="1">
        <f t="array" ref="I682">_xlfn.IFS(B682&lt;18.5,"Underweight",AND(B682&gt;=18.5,B682&lt;=24.99),"Normalweight",AND(B682&gt;=25,B682&lt;=29.99),"Overweight",B682&gt;=30,"Obesity")</f>
        <v>Obesity</v>
      </c>
      <c r="J682" t="str" cm="1">
        <f t="array" ref="J682">_xlfn.IFS(C682&lt;5.7,"Normal",AND(C682&gt;=5.7,C682&lt;=6.49),"Prediabetes",C682&gt;=6.5,"Diabetes")</f>
        <v>Diabetes</v>
      </c>
    </row>
    <row r="683" spans="1:10" x14ac:dyDescent="0.3">
      <c r="A683" t="s">
        <v>1689</v>
      </c>
      <c r="B683" s="8">
        <v>32.729999999999997</v>
      </c>
      <c r="C683">
        <v>7.03</v>
      </c>
      <c r="D683" t="s">
        <v>2379</v>
      </c>
      <c r="E683" t="s">
        <v>2379</v>
      </c>
      <c r="F683" t="s">
        <v>2379</v>
      </c>
      <c r="G683">
        <v>0</v>
      </c>
      <c r="H683" t="s">
        <v>2379</v>
      </c>
      <c r="I683" t="str" cm="1">
        <f t="array" ref="I683">_xlfn.IFS(B683&lt;18.5,"Underweight",AND(B683&gt;=18.5,B683&lt;=24.99),"Normalweight",AND(B683&gt;=25,B683&lt;=29.99),"Overweight",B683&gt;=30,"Obesity")</f>
        <v>Obesity</v>
      </c>
      <c r="J683" t="str" cm="1">
        <f t="array" ref="J683">_xlfn.IFS(C683&lt;5.7,"Normal",AND(C683&gt;=5.7,C683&lt;=6.49),"Prediabetes",C683&gt;=6.5,"Diabetes")</f>
        <v>Diabetes</v>
      </c>
    </row>
    <row r="684" spans="1:10" x14ac:dyDescent="0.3">
      <c r="A684" t="s">
        <v>1688</v>
      </c>
      <c r="B684" s="8">
        <v>20.52</v>
      </c>
      <c r="C684">
        <v>5.45</v>
      </c>
      <c r="D684" t="s">
        <v>2379</v>
      </c>
      <c r="E684" t="s">
        <v>2379</v>
      </c>
      <c r="F684" t="s">
        <v>2379</v>
      </c>
      <c r="G684">
        <v>1</v>
      </c>
      <c r="H684" t="s">
        <v>2381</v>
      </c>
      <c r="I684" t="str" cm="1">
        <f t="array" ref="I684">_xlfn.IFS(B684&lt;18.5,"Underweight",AND(B684&gt;=18.5,B684&lt;=24.99),"Normalweight",AND(B684&gt;=25,B684&lt;=29.99),"Overweight",B684&gt;=30,"Obesity")</f>
        <v>Normalweight</v>
      </c>
      <c r="J684" t="str" cm="1">
        <f t="array" ref="J684">_xlfn.IFS(C684&lt;5.7,"Normal",AND(C684&gt;=5.7,C684&lt;=6.49),"Prediabetes",C684&gt;=6.5,"Diabetes")</f>
        <v>Normal</v>
      </c>
    </row>
    <row r="685" spans="1:10" x14ac:dyDescent="0.3">
      <c r="A685" t="s">
        <v>1687</v>
      </c>
      <c r="B685" s="8">
        <v>51.72</v>
      </c>
      <c r="C685">
        <v>5.76</v>
      </c>
      <c r="D685" t="s">
        <v>2379</v>
      </c>
      <c r="E685" t="s">
        <v>2379</v>
      </c>
      <c r="F685" t="s">
        <v>2379</v>
      </c>
      <c r="G685">
        <v>0</v>
      </c>
      <c r="H685" t="s">
        <v>2379</v>
      </c>
      <c r="I685" t="str" cm="1">
        <f t="array" ref="I685">_xlfn.IFS(B685&lt;18.5,"Underweight",AND(B685&gt;=18.5,B685&lt;=24.99),"Normalweight",AND(B685&gt;=25,B685&lt;=29.99),"Overweight",B685&gt;=30,"Obesity")</f>
        <v>Obesity</v>
      </c>
      <c r="J685" t="str" cm="1">
        <f t="array" ref="J685">_xlfn.IFS(C685&lt;5.7,"Normal",AND(C685&gt;=5.7,C685&lt;=6.49),"Prediabetes",C685&gt;=6.5,"Diabetes")</f>
        <v>Prediabetes</v>
      </c>
    </row>
    <row r="686" spans="1:10" x14ac:dyDescent="0.3">
      <c r="A686" t="s">
        <v>1686</v>
      </c>
      <c r="B686" s="8">
        <v>50.2</v>
      </c>
      <c r="C686">
        <v>5.4</v>
      </c>
      <c r="D686" t="s">
        <v>2379</v>
      </c>
      <c r="E686" t="s">
        <v>2379</v>
      </c>
      <c r="F686" t="s">
        <v>2379</v>
      </c>
      <c r="G686">
        <v>0</v>
      </c>
      <c r="H686" t="s">
        <v>2379</v>
      </c>
      <c r="I686" t="str" cm="1">
        <f t="array" ref="I686">_xlfn.IFS(B686&lt;18.5,"Underweight",AND(B686&gt;=18.5,B686&lt;=24.99),"Normalweight",AND(B686&gt;=25,B686&lt;=29.99),"Overweight",B686&gt;=30,"Obesity")</f>
        <v>Obesity</v>
      </c>
      <c r="J686" t="str" cm="1">
        <f t="array" ref="J686">_xlfn.IFS(C686&lt;5.7,"Normal",AND(C686&gt;=5.7,C686&lt;=6.49),"Prediabetes",C686&gt;=6.5,"Diabetes")</f>
        <v>Normal</v>
      </c>
    </row>
    <row r="687" spans="1:10" x14ac:dyDescent="0.3">
      <c r="A687" t="s">
        <v>1685</v>
      </c>
      <c r="B687" s="8">
        <v>25.52</v>
      </c>
      <c r="C687">
        <v>6.35</v>
      </c>
      <c r="D687" t="s">
        <v>2379</v>
      </c>
      <c r="E687" t="s">
        <v>2379</v>
      </c>
      <c r="F687" t="s">
        <v>2381</v>
      </c>
      <c r="G687">
        <v>1</v>
      </c>
      <c r="H687" t="s">
        <v>2379</v>
      </c>
      <c r="I687" t="str" cm="1">
        <f t="array" ref="I687">_xlfn.IFS(B687&lt;18.5,"Underweight",AND(B687&gt;=18.5,B687&lt;=24.99),"Normalweight",AND(B687&gt;=25,B687&lt;=29.99),"Overweight",B687&gt;=30,"Obesity")</f>
        <v>Overweight</v>
      </c>
      <c r="J687" t="str" cm="1">
        <f t="array" ref="J687">_xlfn.IFS(C687&lt;5.7,"Normal",AND(C687&gt;=5.7,C687&lt;=6.49),"Prediabetes",C687&gt;=6.5,"Diabetes")</f>
        <v>Prediabetes</v>
      </c>
    </row>
    <row r="688" spans="1:10" x14ac:dyDescent="0.3">
      <c r="A688" t="s">
        <v>1684</v>
      </c>
      <c r="B688" s="8">
        <v>35.200000000000003</v>
      </c>
      <c r="C688">
        <v>6.26</v>
      </c>
      <c r="D688" t="s">
        <v>2381</v>
      </c>
      <c r="E688" t="s">
        <v>2379</v>
      </c>
      <c r="F688" t="s">
        <v>2379</v>
      </c>
      <c r="G688">
        <v>2</v>
      </c>
      <c r="H688" t="s">
        <v>2379</v>
      </c>
      <c r="I688" t="str" cm="1">
        <f t="array" ref="I688">_xlfn.IFS(B688&lt;18.5,"Underweight",AND(B688&gt;=18.5,B688&lt;=24.99),"Normalweight",AND(B688&gt;=25,B688&lt;=29.99),"Overweight",B688&gt;=30,"Obesity")</f>
        <v>Obesity</v>
      </c>
      <c r="J688" t="str" cm="1">
        <f t="array" ref="J688">_xlfn.IFS(C688&lt;5.7,"Normal",AND(C688&gt;=5.7,C688&lt;=6.49),"Prediabetes",C688&gt;=6.5,"Diabetes")</f>
        <v>Prediabetes</v>
      </c>
    </row>
    <row r="689" spans="1:10" x14ac:dyDescent="0.3">
      <c r="A689" t="s">
        <v>1683</v>
      </c>
      <c r="B689" s="8">
        <v>41.26</v>
      </c>
      <c r="C689">
        <v>5.97</v>
      </c>
      <c r="D689" t="s">
        <v>2381</v>
      </c>
      <c r="E689" t="s">
        <v>2379</v>
      </c>
      <c r="F689" t="s">
        <v>2379</v>
      </c>
      <c r="G689">
        <v>0</v>
      </c>
      <c r="H689" t="s">
        <v>2379</v>
      </c>
      <c r="I689" t="str" cm="1">
        <f t="array" ref="I689">_xlfn.IFS(B689&lt;18.5,"Underweight",AND(B689&gt;=18.5,B689&lt;=24.99),"Normalweight",AND(B689&gt;=25,B689&lt;=29.99),"Overweight",B689&gt;=30,"Obesity")</f>
        <v>Obesity</v>
      </c>
      <c r="J689" t="str" cm="1">
        <f t="array" ref="J689">_xlfn.IFS(C689&lt;5.7,"Normal",AND(C689&gt;=5.7,C689&lt;=6.49),"Prediabetes",C689&gt;=6.5,"Diabetes")</f>
        <v>Prediabetes</v>
      </c>
    </row>
    <row r="690" spans="1:10" x14ac:dyDescent="0.3">
      <c r="A690" t="s">
        <v>1682</v>
      </c>
      <c r="B690" s="8">
        <v>17.195</v>
      </c>
      <c r="C690">
        <v>5.29</v>
      </c>
      <c r="D690" t="s">
        <v>2381</v>
      </c>
      <c r="E690" t="s">
        <v>2379</v>
      </c>
      <c r="F690" t="s">
        <v>2379</v>
      </c>
      <c r="G690">
        <v>0</v>
      </c>
      <c r="H690" t="s">
        <v>2381</v>
      </c>
      <c r="I690" t="str" cm="1">
        <f t="array" ref="I690">_xlfn.IFS(B690&lt;18.5,"Underweight",AND(B690&gt;=18.5,B690&lt;=24.99),"Normalweight",AND(B690&gt;=25,B690&lt;=29.99),"Overweight",B690&gt;=30,"Obesity")</f>
        <v>Underweight</v>
      </c>
      <c r="J690" t="str" cm="1">
        <f t="array" ref="J690">_xlfn.IFS(C690&lt;5.7,"Normal",AND(C690&gt;=5.7,C690&lt;=6.49),"Prediabetes",C690&gt;=6.5,"Diabetes")</f>
        <v>Normal</v>
      </c>
    </row>
    <row r="691" spans="1:10" x14ac:dyDescent="0.3">
      <c r="A691" t="s">
        <v>1681</v>
      </c>
      <c r="B691" s="8">
        <v>23.085000000000001</v>
      </c>
      <c r="C691">
        <v>4.2699999999999996</v>
      </c>
      <c r="D691" t="s">
        <v>2381</v>
      </c>
      <c r="E691" t="s">
        <v>2379</v>
      </c>
      <c r="F691" t="s">
        <v>2379</v>
      </c>
      <c r="G691">
        <v>2</v>
      </c>
      <c r="H691" t="s">
        <v>2379</v>
      </c>
      <c r="I691" t="str" cm="1">
        <f t="array" ref="I691">_xlfn.IFS(B691&lt;18.5,"Underweight",AND(B691&gt;=18.5,B691&lt;=24.99),"Normalweight",AND(B691&gt;=25,B691&lt;=29.99),"Overweight",B691&gt;=30,"Obesity")</f>
        <v>Normalweight</v>
      </c>
      <c r="J691" t="str" cm="1">
        <f t="array" ref="J691">_xlfn.IFS(C691&lt;5.7,"Normal",AND(C691&gt;=5.7,C691&lt;=6.49),"Prediabetes",C691&gt;=6.5,"Diabetes")</f>
        <v>Normal</v>
      </c>
    </row>
    <row r="692" spans="1:10" x14ac:dyDescent="0.3">
      <c r="A692" t="s">
        <v>1680</v>
      </c>
      <c r="B692" s="8">
        <v>21.66</v>
      </c>
      <c r="C692">
        <v>5.2</v>
      </c>
      <c r="D692" t="s">
        <v>2381</v>
      </c>
      <c r="E692" t="s">
        <v>2379</v>
      </c>
      <c r="F692" t="s">
        <v>2379</v>
      </c>
      <c r="G692">
        <v>2</v>
      </c>
      <c r="H692" t="s">
        <v>2379</v>
      </c>
      <c r="I692" t="str" cm="1">
        <f t="array" ref="I692">_xlfn.IFS(B692&lt;18.5,"Underweight",AND(B692&gt;=18.5,B692&lt;=24.99),"Normalweight",AND(B692&gt;=25,B692&lt;=29.99),"Overweight",B692&gt;=30,"Obesity")</f>
        <v>Normalweight</v>
      </c>
      <c r="J692" t="str" cm="1">
        <f t="array" ref="J692">_xlfn.IFS(C692&lt;5.7,"Normal",AND(C692&gt;=5.7,C692&lt;=6.49),"Prediabetes",C692&gt;=6.5,"Diabetes")</f>
        <v>Normal</v>
      </c>
    </row>
    <row r="693" spans="1:10" x14ac:dyDescent="0.3">
      <c r="A693" t="s">
        <v>1679</v>
      </c>
      <c r="B693" s="8">
        <v>36.47</v>
      </c>
      <c r="C693">
        <v>8.23</v>
      </c>
      <c r="D693" t="s">
        <v>2381</v>
      </c>
      <c r="E693" t="s">
        <v>2379</v>
      </c>
      <c r="F693" t="s">
        <v>2379</v>
      </c>
      <c r="G693">
        <v>0</v>
      </c>
      <c r="H693" t="s">
        <v>2379</v>
      </c>
      <c r="I693" t="str" cm="1">
        <f t="array" ref="I693">_xlfn.IFS(B693&lt;18.5,"Underweight",AND(B693&gt;=18.5,B693&lt;=24.99),"Normalweight",AND(B693&gt;=25,B693&lt;=29.99),"Overweight",B693&gt;=30,"Obesity")</f>
        <v>Obesity</v>
      </c>
      <c r="J693" t="str" cm="1">
        <f t="array" ref="J693">_xlfn.IFS(C693&lt;5.7,"Normal",AND(C693&gt;=5.7,C693&lt;=6.49),"Prediabetes",C693&gt;=6.5,"Diabetes")</f>
        <v>Diabetes</v>
      </c>
    </row>
    <row r="694" spans="1:10" x14ac:dyDescent="0.3">
      <c r="A694" t="s">
        <v>1678</v>
      </c>
      <c r="B694" s="8">
        <v>36.08</v>
      </c>
      <c r="C694">
        <v>10.33</v>
      </c>
      <c r="D694" t="s">
        <v>2381</v>
      </c>
      <c r="E694" t="s">
        <v>2379</v>
      </c>
      <c r="F694" t="s">
        <v>2379</v>
      </c>
      <c r="G694">
        <v>0</v>
      </c>
      <c r="H694" t="s">
        <v>2379</v>
      </c>
      <c r="I694" t="str" cm="1">
        <f t="array" ref="I694">_xlfn.IFS(B694&lt;18.5,"Underweight",AND(B694&gt;=18.5,B694&lt;=24.99),"Normalweight",AND(B694&gt;=25,B694&lt;=29.99),"Overweight",B694&gt;=30,"Obesity")</f>
        <v>Obesity</v>
      </c>
      <c r="J694" t="str" cm="1">
        <f t="array" ref="J694">_xlfn.IFS(C694&lt;5.7,"Normal",AND(C694&gt;=5.7,C694&lt;=6.49),"Prediabetes",C694&gt;=6.5,"Diabetes")</f>
        <v>Diabetes</v>
      </c>
    </row>
    <row r="695" spans="1:10" x14ac:dyDescent="0.3">
      <c r="A695" t="s">
        <v>1677</v>
      </c>
      <c r="B695" s="8">
        <v>23.18</v>
      </c>
      <c r="C695">
        <v>6.13</v>
      </c>
      <c r="D695" t="s">
        <v>2379</v>
      </c>
      <c r="E695" t="s">
        <v>2379</v>
      </c>
      <c r="F695" t="s">
        <v>2379</v>
      </c>
      <c r="G695">
        <v>0</v>
      </c>
      <c r="H695" t="s">
        <v>2379</v>
      </c>
      <c r="I695" t="str" cm="1">
        <f t="array" ref="I695">_xlfn.IFS(B695&lt;18.5,"Underweight",AND(B695&gt;=18.5,B695&lt;=24.99),"Normalweight",AND(B695&gt;=25,B695&lt;=29.99),"Overweight",B695&gt;=30,"Obesity")</f>
        <v>Normalweight</v>
      </c>
      <c r="J695" t="str" cm="1">
        <f t="array" ref="J695">_xlfn.IFS(C695&lt;5.7,"Normal",AND(C695&gt;=5.7,C695&lt;=6.49),"Prediabetes",C695&gt;=6.5,"Diabetes")</f>
        <v>Prediabetes</v>
      </c>
    </row>
    <row r="696" spans="1:10" x14ac:dyDescent="0.3">
      <c r="A696" t="s">
        <v>1676</v>
      </c>
      <c r="B696" s="8">
        <v>39.159999999999997</v>
      </c>
      <c r="C696">
        <v>8.08</v>
      </c>
      <c r="D696" t="s">
        <v>2379</v>
      </c>
      <c r="E696" t="s">
        <v>2379</v>
      </c>
      <c r="F696" t="s">
        <v>2379</v>
      </c>
      <c r="G696">
        <v>3</v>
      </c>
      <c r="H696" t="s">
        <v>2379</v>
      </c>
      <c r="I696" t="str" cm="1">
        <f t="array" ref="I696">_xlfn.IFS(B696&lt;18.5,"Underweight",AND(B696&gt;=18.5,B696&lt;=24.99),"Normalweight",AND(B696&gt;=25,B696&lt;=29.99),"Overweight",B696&gt;=30,"Obesity")</f>
        <v>Obesity</v>
      </c>
      <c r="J696" t="str" cm="1">
        <f t="array" ref="J696">_xlfn.IFS(C696&lt;5.7,"Normal",AND(C696&gt;=5.7,C696&lt;=6.49),"Prediabetes",C696&gt;=6.5,"Diabetes")</f>
        <v>Diabetes</v>
      </c>
    </row>
    <row r="697" spans="1:10" x14ac:dyDescent="0.3">
      <c r="A697" t="s">
        <v>1675</v>
      </c>
      <c r="B697" s="8">
        <v>38.19</v>
      </c>
      <c r="C697">
        <v>10.49</v>
      </c>
      <c r="D697" t="s">
        <v>2379</v>
      </c>
      <c r="E697" t="s">
        <v>2379</v>
      </c>
      <c r="F697" t="s">
        <v>2379</v>
      </c>
      <c r="G697">
        <v>3</v>
      </c>
      <c r="H697" t="s">
        <v>2379</v>
      </c>
      <c r="I697" t="str" cm="1">
        <f t="array" ref="I697">_xlfn.IFS(B697&lt;18.5,"Underweight",AND(B697&gt;=18.5,B697&lt;=24.99),"Normalweight",AND(B697&gt;=25,B697&lt;=29.99),"Overweight",B697&gt;=30,"Obesity")</f>
        <v>Obesity</v>
      </c>
      <c r="J697" t="str" cm="1">
        <f t="array" ref="J697">_xlfn.IFS(C697&lt;5.7,"Normal",AND(C697&gt;=5.7,C697&lt;=6.49),"Prediabetes",C697&gt;=6.5,"Diabetes")</f>
        <v>Diabetes</v>
      </c>
    </row>
    <row r="698" spans="1:10" x14ac:dyDescent="0.3">
      <c r="A698" t="s">
        <v>1674</v>
      </c>
      <c r="B698" s="8">
        <v>26.41</v>
      </c>
      <c r="C698">
        <v>8.11</v>
      </c>
      <c r="D698" t="s">
        <v>2379</v>
      </c>
      <c r="E698" t="s">
        <v>2379</v>
      </c>
      <c r="F698" t="s">
        <v>2379</v>
      </c>
      <c r="G698">
        <v>3</v>
      </c>
      <c r="H698" t="s">
        <v>2379</v>
      </c>
      <c r="I698" t="str" cm="1">
        <f t="array" ref="I698">_xlfn.IFS(B698&lt;18.5,"Underweight",AND(B698&gt;=18.5,B698&lt;=24.99),"Normalweight",AND(B698&gt;=25,B698&lt;=29.99),"Overweight",B698&gt;=30,"Obesity")</f>
        <v>Overweight</v>
      </c>
      <c r="J698" t="str" cm="1">
        <f t="array" ref="J698">_xlfn.IFS(C698&lt;5.7,"Normal",AND(C698&gt;=5.7,C698&lt;=6.49),"Prediabetes",C698&gt;=6.5,"Diabetes")</f>
        <v>Diabetes</v>
      </c>
    </row>
    <row r="699" spans="1:10" x14ac:dyDescent="0.3">
      <c r="A699" t="s">
        <v>1673</v>
      </c>
      <c r="B699" s="8">
        <v>28.785</v>
      </c>
      <c r="C699">
        <v>6.6</v>
      </c>
      <c r="D699" t="s">
        <v>2379</v>
      </c>
      <c r="E699" t="s">
        <v>2379</v>
      </c>
      <c r="F699" t="s">
        <v>2379</v>
      </c>
      <c r="G699">
        <v>0</v>
      </c>
      <c r="H699" t="s">
        <v>2379</v>
      </c>
      <c r="I699" t="str" cm="1">
        <f t="array" ref="I699">_xlfn.IFS(B699&lt;18.5,"Underweight",AND(B699&gt;=18.5,B699&lt;=24.99),"Normalweight",AND(B699&gt;=25,B699&lt;=29.99),"Overweight",B699&gt;=30,"Obesity")</f>
        <v>Overweight</v>
      </c>
      <c r="J699" t="str" cm="1">
        <f t="array" ref="J699">_xlfn.IFS(C699&lt;5.7,"Normal",AND(C699&gt;=5.7,C699&lt;=6.49),"Prediabetes",C699&gt;=6.5,"Diabetes")</f>
        <v>Diabetes</v>
      </c>
    </row>
    <row r="700" spans="1:10" x14ac:dyDescent="0.3">
      <c r="A700" t="s">
        <v>1672</v>
      </c>
      <c r="B700" s="8">
        <v>26.695</v>
      </c>
      <c r="C700">
        <v>10.14</v>
      </c>
      <c r="D700" t="s">
        <v>2381</v>
      </c>
      <c r="E700" t="s">
        <v>2379</v>
      </c>
      <c r="F700" t="s">
        <v>2381</v>
      </c>
      <c r="G700">
        <v>1</v>
      </c>
      <c r="H700" t="s">
        <v>2379</v>
      </c>
      <c r="I700" t="str" cm="1">
        <f t="array" ref="I700">_xlfn.IFS(B700&lt;18.5,"Underweight",AND(B700&gt;=18.5,B700&lt;=24.99),"Normalweight",AND(B700&gt;=25,B700&lt;=29.99),"Overweight",B700&gt;=30,"Obesity")</f>
        <v>Overweight</v>
      </c>
      <c r="J700" t="str" cm="1">
        <f t="array" ref="J700">_xlfn.IFS(C700&lt;5.7,"Normal",AND(C700&gt;=5.7,C700&lt;=6.49),"Prediabetes",C700&gt;=6.5,"Diabetes")</f>
        <v>Diabetes</v>
      </c>
    </row>
    <row r="701" spans="1:10" x14ac:dyDescent="0.3">
      <c r="A701" t="s">
        <v>1671</v>
      </c>
      <c r="B701" s="8">
        <v>32.799999999999997</v>
      </c>
      <c r="C701">
        <v>6.06</v>
      </c>
      <c r="D701" t="s">
        <v>2381</v>
      </c>
      <c r="E701" t="s">
        <v>2379</v>
      </c>
      <c r="F701" t="s">
        <v>2379</v>
      </c>
      <c r="G701">
        <v>1</v>
      </c>
      <c r="H701" t="s">
        <v>2379</v>
      </c>
      <c r="I701" t="str" cm="1">
        <f t="array" ref="I701">_xlfn.IFS(B701&lt;18.5,"Underweight",AND(B701&gt;=18.5,B701&lt;=24.99),"Normalweight",AND(B701&gt;=25,B701&lt;=29.99),"Overweight",B701&gt;=30,"Obesity")</f>
        <v>Obesity</v>
      </c>
      <c r="J701" t="str" cm="1">
        <f t="array" ref="J701">_xlfn.IFS(C701&lt;5.7,"Normal",AND(C701&gt;=5.7,C701&lt;=6.49),"Prediabetes",C701&gt;=6.5,"Diabetes")</f>
        <v>Prediabetes</v>
      </c>
    </row>
    <row r="702" spans="1:10" x14ac:dyDescent="0.3">
      <c r="A702" t="s">
        <v>1670</v>
      </c>
      <c r="B702" s="8">
        <v>35.869999999999997</v>
      </c>
      <c r="C702">
        <v>9.91</v>
      </c>
      <c r="D702" t="s">
        <v>2381</v>
      </c>
      <c r="E702" t="s">
        <v>2379</v>
      </c>
      <c r="F702" t="s">
        <v>2379</v>
      </c>
      <c r="G702">
        <v>0</v>
      </c>
      <c r="H702" t="s">
        <v>2379</v>
      </c>
      <c r="I702" t="str" cm="1">
        <f t="array" ref="I702">_xlfn.IFS(B702&lt;18.5,"Underweight",AND(B702&gt;=18.5,B702&lt;=24.99),"Normalweight",AND(B702&gt;=25,B702&lt;=29.99),"Overweight",B702&gt;=30,"Obesity")</f>
        <v>Obesity</v>
      </c>
      <c r="J702" t="str" cm="1">
        <f t="array" ref="J702">_xlfn.IFS(C702&lt;5.7,"Normal",AND(C702&gt;=5.7,C702&lt;=6.49),"Prediabetes",C702&gt;=6.5,"Diabetes")</f>
        <v>Diabetes</v>
      </c>
    </row>
    <row r="703" spans="1:10" x14ac:dyDescent="0.3">
      <c r="A703" t="s">
        <v>1669</v>
      </c>
      <c r="B703" s="8">
        <v>21.66</v>
      </c>
      <c r="C703">
        <v>4.1399999999999997</v>
      </c>
      <c r="D703" t="s">
        <v>2381</v>
      </c>
      <c r="E703" t="s">
        <v>2379</v>
      </c>
      <c r="F703" t="s">
        <v>2379</v>
      </c>
      <c r="G703">
        <v>2</v>
      </c>
      <c r="H703" t="s">
        <v>2379</v>
      </c>
      <c r="I703" t="str" cm="1">
        <f t="array" ref="I703">_xlfn.IFS(B703&lt;18.5,"Underweight",AND(B703&gt;=18.5,B703&lt;=24.99),"Normalweight",AND(B703&gt;=25,B703&lt;=29.99),"Overweight",B703&gt;=30,"Obesity")</f>
        <v>Normalweight</v>
      </c>
      <c r="J703" t="str" cm="1">
        <f t="array" ref="J703">_xlfn.IFS(C703&lt;5.7,"Normal",AND(C703&gt;=5.7,C703&lt;=6.49),"Prediabetes",C703&gt;=6.5,"Diabetes")</f>
        <v>Normal</v>
      </c>
    </row>
    <row r="704" spans="1:10" x14ac:dyDescent="0.3">
      <c r="A704" t="s">
        <v>1668</v>
      </c>
      <c r="B704" s="8">
        <v>37.72</v>
      </c>
      <c r="C704">
        <v>4.38</v>
      </c>
      <c r="D704" t="s">
        <v>2381</v>
      </c>
      <c r="E704" t="s">
        <v>2379</v>
      </c>
      <c r="F704" t="s">
        <v>2381</v>
      </c>
      <c r="G704">
        <v>1</v>
      </c>
      <c r="H704" t="s">
        <v>2379</v>
      </c>
      <c r="I704" t="str" cm="1">
        <f t="array" ref="I704">_xlfn.IFS(B704&lt;18.5,"Underweight",AND(B704&gt;=18.5,B704&lt;=24.99),"Normalweight",AND(B704&gt;=25,B704&lt;=29.99),"Overweight",B704&gt;=30,"Obesity")</f>
        <v>Obesity</v>
      </c>
      <c r="J704" t="str" cm="1">
        <f t="array" ref="J704">_xlfn.IFS(C704&lt;5.7,"Normal",AND(C704&gt;=5.7,C704&lt;=6.49),"Prediabetes",C704&gt;=6.5,"Diabetes")</f>
        <v>Normal</v>
      </c>
    </row>
    <row r="705" spans="1:10" x14ac:dyDescent="0.3">
      <c r="A705" t="s">
        <v>1667</v>
      </c>
      <c r="B705" s="8">
        <v>39.700000000000003</v>
      </c>
      <c r="C705">
        <v>9.83</v>
      </c>
      <c r="D705" t="s">
        <v>2379</v>
      </c>
      <c r="E705" t="s">
        <v>2379</v>
      </c>
      <c r="F705" t="s">
        <v>2379</v>
      </c>
      <c r="G705">
        <v>3</v>
      </c>
      <c r="H705" t="s">
        <v>2379</v>
      </c>
      <c r="I705" t="str" cm="1">
        <f t="array" ref="I705">_xlfn.IFS(B705&lt;18.5,"Underweight",AND(B705&gt;=18.5,B705&lt;=24.99),"Normalweight",AND(B705&gt;=25,B705&lt;=29.99),"Overweight",B705&gt;=30,"Obesity")</f>
        <v>Obesity</v>
      </c>
      <c r="J705" t="str" cm="1">
        <f t="array" ref="J705">_xlfn.IFS(C705&lt;5.7,"Normal",AND(C705&gt;=5.7,C705&lt;=6.49),"Prediabetes",C705&gt;=6.5,"Diabetes")</f>
        <v>Diabetes</v>
      </c>
    </row>
    <row r="706" spans="1:10" x14ac:dyDescent="0.3">
      <c r="A706" t="s">
        <v>1666</v>
      </c>
      <c r="B706" s="8">
        <v>35.97</v>
      </c>
      <c r="C706">
        <v>11.08</v>
      </c>
      <c r="D706" t="s">
        <v>2379</v>
      </c>
      <c r="E706" t="s">
        <v>2379</v>
      </c>
      <c r="F706" t="s">
        <v>2379</v>
      </c>
      <c r="G706">
        <v>3</v>
      </c>
      <c r="H706" t="s">
        <v>2379</v>
      </c>
      <c r="I706" t="str" cm="1">
        <f t="array" ref="I706">_xlfn.IFS(B706&lt;18.5,"Underweight",AND(B706&gt;=18.5,B706&lt;=24.99),"Normalweight",AND(B706&gt;=25,B706&lt;=29.99),"Overweight",B706&gt;=30,"Obesity")</f>
        <v>Obesity</v>
      </c>
      <c r="J706" t="str" cm="1">
        <f t="array" ref="J706">_xlfn.IFS(C706&lt;5.7,"Normal",AND(C706&gt;=5.7,C706&lt;=6.49),"Prediabetes",C706&gt;=6.5,"Diabetes")</f>
        <v>Diabetes</v>
      </c>
    </row>
    <row r="707" spans="1:10" x14ac:dyDescent="0.3">
      <c r="A707" t="s">
        <v>1665</v>
      </c>
      <c r="B707" s="8">
        <v>37.85</v>
      </c>
      <c r="C707">
        <v>11.01</v>
      </c>
      <c r="D707" t="s">
        <v>2379</v>
      </c>
      <c r="E707" t="s">
        <v>2379</v>
      </c>
      <c r="F707" t="s">
        <v>2379</v>
      </c>
      <c r="G707">
        <v>0</v>
      </c>
      <c r="H707" t="s">
        <v>2379</v>
      </c>
      <c r="I707" t="str" cm="1">
        <f t="array" ref="I707">_xlfn.IFS(B707&lt;18.5,"Underweight",AND(B707&gt;=18.5,B707&lt;=24.99),"Normalweight",AND(B707&gt;=25,B707&lt;=29.99),"Overweight",B707&gt;=30,"Obesity")</f>
        <v>Obesity</v>
      </c>
      <c r="J707" t="str" cm="1">
        <f t="array" ref="J707">_xlfn.IFS(C707&lt;5.7,"Normal",AND(C707&gt;=5.7,C707&lt;=6.49),"Prediabetes",C707&gt;=6.5,"Diabetes")</f>
        <v>Diabetes</v>
      </c>
    </row>
    <row r="708" spans="1:10" x14ac:dyDescent="0.3">
      <c r="A708" t="s">
        <v>1664</v>
      </c>
      <c r="B708" s="8">
        <v>21.66</v>
      </c>
      <c r="C708">
        <v>4.37</v>
      </c>
      <c r="D708" t="s">
        <v>2379</v>
      </c>
      <c r="E708" t="s">
        <v>2380</v>
      </c>
      <c r="F708" t="s">
        <v>2379</v>
      </c>
      <c r="G708">
        <v>1</v>
      </c>
      <c r="H708" t="s">
        <v>2381</v>
      </c>
      <c r="I708" t="str" cm="1">
        <f t="array" ref="I708">_xlfn.IFS(B708&lt;18.5,"Underweight",AND(B708&gt;=18.5,B708&lt;=24.99),"Normalweight",AND(B708&gt;=25,B708&lt;=29.99),"Overweight",B708&gt;=30,"Obesity")</f>
        <v>Normalweight</v>
      </c>
      <c r="J708" t="str" cm="1">
        <f t="array" ref="J708">_xlfn.IFS(C708&lt;5.7,"Normal",AND(C708&gt;=5.7,C708&lt;=6.49),"Prediabetes",C708&gt;=6.5,"Diabetes")</f>
        <v>Normal</v>
      </c>
    </row>
    <row r="709" spans="1:10" x14ac:dyDescent="0.3">
      <c r="A709" t="s">
        <v>1663</v>
      </c>
      <c r="B709" s="8">
        <v>39.369999999999997</v>
      </c>
      <c r="C709">
        <v>5.91</v>
      </c>
      <c r="D709" t="s">
        <v>2379</v>
      </c>
      <c r="E709" t="s">
        <v>2379</v>
      </c>
      <c r="F709" t="s">
        <v>2379</v>
      </c>
      <c r="G709">
        <v>2</v>
      </c>
      <c r="H709" t="s">
        <v>2379</v>
      </c>
      <c r="I709" t="str" cm="1">
        <f t="array" ref="I709">_xlfn.IFS(B709&lt;18.5,"Underweight",AND(B709&gt;=18.5,B709&lt;=24.99),"Normalweight",AND(B709&gt;=25,B709&lt;=29.99),"Overweight",B709&gt;=30,"Obesity")</f>
        <v>Obesity</v>
      </c>
      <c r="J709" t="str" cm="1">
        <f t="array" ref="J709">_xlfn.IFS(C709&lt;5.7,"Normal",AND(C709&gt;=5.7,C709&lt;=6.49),"Prediabetes",C709&gt;=6.5,"Diabetes")</f>
        <v>Prediabetes</v>
      </c>
    </row>
    <row r="710" spans="1:10" x14ac:dyDescent="0.3">
      <c r="A710" t="s">
        <v>1662</v>
      </c>
      <c r="B710" s="8">
        <v>40.880000000000003</v>
      </c>
      <c r="C710">
        <v>7.65</v>
      </c>
      <c r="D710" t="s">
        <v>2379</v>
      </c>
      <c r="E710" t="s">
        <v>2379</v>
      </c>
      <c r="F710" t="s">
        <v>2379</v>
      </c>
      <c r="G710">
        <v>0</v>
      </c>
      <c r="H710" t="s">
        <v>2379</v>
      </c>
      <c r="I710" t="str" cm="1">
        <f t="array" ref="I710">_xlfn.IFS(B710&lt;18.5,"Underweight",AND(B710&gt;=18.5,B710&lt;=24.99),"Normalweight",AND(B710&gt;=25,B710&lt;=29.99),"Overweight",B710&gt;=30,"Obesity")</f>
        <v>Obesity</v>
      </c>
      <c r="J710" t="str" cm="1">
        <f t="array" ref="J710">_xlfn.IFS(C710&lt;5.7,"Normal",AND(C710&gt;=5.7,C710&lt;=6.49),"Prediabetes",C710&gt;=6.5,"Diabetes")</f>
        <v>Diabetes</v>
      </c>
    </row>
    <row r="711" spans="1:10" x14ac:dyDescent="0.3">
      <c r="A711" t="s">
        <v>1661</v>
      </c>
      <c r="B711" s="8">
        <v>26.22</v>
      </c>
      <c r="C711">
        <v>5.37</v>
      </c>
      <c r="D711" t="s">
        <v>2381</v>
      </c>
      <c r="E711" t="s">
        <v>2379</v>
      </c>
      <c r="F711" t="s">
        <v>2379</v>
      </c>
      <c r="G711">
        <v>2</v>
      </c>
      <c r="H711" t="s">
        <v>2379</v>
      </c>
      <c r="I711" t="str" cm="1">
        <f t="array" ref="I711">_xlfn.IFS(B711&lt;18.5,"Underweight",AND(B711&gt;=18.5,B711&lt;=24.99),"Normalweight",AND(B711&gt;=25,B711&lt;=29.99),"Overweight",B711&gt;=30,"Obesity")</f>
        <v>Overweight</v>
      </c>
      <c r="J711" t="str" cm="1">
        <f t="array" ref="J711">_xlfn.IFS(C711&lt;5.7,"Normal",AND(C711&gt;=5.7,C711&lt;=6.49),"Prediabetes",C711&gt;=6.5,"Diabetes")</f>
        <v>Normal</v>
      </c>
    </row>
    <row r="712" spans="1:10" x14ac:dyDescent="0.3">
      <c r="A712" t="s">
        <v>1660</v>
      </c>
      <c r="B712" s="8">
        <v>25.08</v>
      </c>
      <c r="C712">
        <v>5.75</v>
      </c>
      <c r="D712" t="s">
        <v>2381</v>
      </c>
      <c r="E712" t="s">
        <v>2379</v>
      </c>
      <c r="F712" t="s">
        <v>2379</v>
      </c>
      <c r="G712">
        <v>2</v>
      </c>
      <c r="H712" t="s">
        <v>2379</v>
      </c>
      <c r="I712" t="str" cm="1">
        <f t="array" ref="I712">_xlfn.IFS(B712&lt;18.5,"Underweight",AND(B712&gt;=18.5,B712&lt;=24.99),"Normalweight",AND(B712&gt;=25,B712&lt;=29.99),"Overweight",B712&gt;=30,"Obesity")</f>
        <v>Overweight</v>
      </c>
      <c r="J712" t="str" cm="1">
        <f t="array" ref="J712">_xlfn.IFS(C712&lt;5.7,"Normal",AND(C712&gt;=5.7,C712&lt;=6.49),"Prediabetes",C712&gt;=6.5,"Diabetes")</f>
        <v>Prediabetes</v>
      </c>
    </row>
    <row r="713" spans="1:10" x14ac:dyDescent="0.3">
      <c r="A713" t="s">
        <v>1659</v>
      </c>
      <c r="B713" s="8">
        <v>39.1</v>
      </c>
      <c r="C713">
        <v>6.79</v>
      </c>
      <c r="D713" t="s">
        <v>2381</v>
      </c>
      <c r="E713" t="s">
        <v>2379</v>
      </c>
      <c r="F713" t="s">
        <v>2379</v>
      </c>
      <c r="G713">
        <v>2</v>
      </c>
      <c r="H713" t="s">
        <v>2379</v>
      </c>
      <c r="I713" t="str" cm="1">
        <f t="array" ref="I713">_xlfn.IFS(B713&lt;18.5,"Underweight",AND(B713&gt;=18.5,B713&lt;=24.99),"Normalweight",AND(B713&gt;=25,B713&lt;=29.99),"Overweight",B713&gt;=30,"Obesity")</f>
        <v>Obesity</v>
      </c>
      <c r="J713" t="str" cm="1">
        <f t="array" ref="J713">_xlfn.IFS(C713&lt;5.7,"Normal",AND(C713&gt;=5.7,C713&lt;=6.49),"Prediabetes",C713&gt;=6.5,"Diabetes")</f>
        <v>Diabetes</v>
      </c>
    </row>
    <row r="714" spans="1:10" x14ac:dyDescent="0.3">
      <c r="A714" t="s">
        <v>1658</v>
      </c>
      <c r="B714" s="8">
        <v>37.905000000000001</v>
      </c>
      <c r="C714">
        <v>7.03</v>
      </c>
      <c r="D714" t="s">
        <v>2379</v>
      </c>
      <c r="E714" t="s">
        <v>2379</v>
      </c>
      <c r="F714" t="s">
        <v>2379</v>
      </c>
      <c r="G714">
        <v>3</v>
      </c>
      <c r="H714" t="s">
        <v>2379</v>
      </c>
      <c r="I714" t="str" cm="1">
        <f t="array" ref="I714">_xlfn.IFS(B714&lt;18.5,"Underweight",AND(B714&gt;=18.5,B714&lt;=24.99),"Normalweight",AND(B714&gt;=25,B714&lt;=29.99),"Overweight",B714&gt;=30,"Obesity")</f>
        <v>Obesity</v>
      </c>
      <c r="J714" t="str" cm="1">
        <f t="array" ref="J714">_xlfn.IFS(C714&lt;5.7,"Normal",AND(C714&gt;=5.7,C714&lt;=6.49),"Prediabetes",C714&gt;=6.5,"Diabetes")</f>
        <v>Diabetes</v>
      </c>
    </row>
    <row r="715" spans="1:10" x14ac:dyDescent="0.3">
      <c r="A715" t="s">
        <v>1657</v>
      </c>
      <c r="B715" s="8">
        <v>43.35</v>
      </c>
      <c r="C715">
        <v>5.41</v>
      </c>
      <c r="D715" t="s">
        <v>2381</v>
      </c>
      <c r="E715" t="s">
        <v>2379</v>
      </c>
      <c r="F715" t="s">
        <v>2381</v>
      </c>
      <c r="G715">
        <v>1</v>
      </c>
      <c r="H715" t="s">
        <v>2379</v>
      </c>
      <c r="I715" t="str" cm="1">
        <f t="array" ref="I715">_xlfn.IFS(B715&lt;18.5,"Underweight",AND(B715&gt;=18.5,B715&lt;=24.99),"Normalweight",AND(B715&gt;=25,B715&lt;=29.99),"Overweight",B715&gt;=30,"Obesity")</f>
        <v>Obesity</v>
      </c>
      <c r="J715" t="str" cm="1">
        <f t="array" ref="J715">_xlfn.IFS(C715&lt;5.7,"Normal",AND(C715&gt;=5.7,C715&lt;=6.49),"Prediabetes",C715&gt;=6.5,"Diabetes")</f>
        <v>Normal</v>
      </c>
    </row>
    <row r="716" spans="1:10" x14ac:dyDescent="0.3">
      <c r="A716" t="s">
        <v>1656</v>
      </c>
      <c r="B716" s="8">
        <v>36.15</v>
      </c>
      <c r="C716">
        <v>8.0500000000000007</v>
      </c>
      <c r="D716" t="s">
        <v>2379</v>
      </c>
      <c r="E716" t="s">
        <v>2379</v>
      </c>
      <c r="F716" t="s">
        <v>2379</v>
      </c>
      <c r="G716">
        <v>0</v>
      </c>
      <c r="H716" t="s">
        <v>2379</v>
      </c>
      <c r="I716" t="str" cm="1">
        <f t="array" ref="I716">_xlfn.IFS(B716&lt;18.5,"Underweight",AND(B716&gt;=18.5,B716&lt;=24.99),"Normalweight",AND(B716&gt;=25,B716&lt;=29.99),"Overweight",B716&gt;=30,"Obesity")</f>
        <v>Obesity</v>
      </c>
      <c r="J716" t="str" cm="1">
        <f t="array" ref="J716">_xlfn.IFS(C716&lt;5.7,"Normal",AND(C716&gt;=5.7,C716&lt;=6.49),"Prediabetes",C716&gt;=6.5,"Diabetes")</f>
        <v>Diabetes</v>
      </c>
    </row>
    <row r="717" spans="1:10" x14ac:dyDescent="0.3">
      <c r="A717" t="s">
        <v>1655</v>
      </c>
      <c r="B717" s="8">
        <v>44.98</v>
      </c>
      <c r="C717">
        <v>5.94</v>
      </c>
      <c r="D717" t="s">
        <v>2379</v>
      </c>
      <c r="E717" t="s">
        <v>2379</v>
      </c>
      <c r="F717" t="s">
        <v>2379</v>
      </c>
      <c r="G717">
        <v>1</v>
      </c>
      <c r="H717" t="s">
        <v>2379</v>
      </c>
      <c r="I717" t="str" cm="1">
        <f t="array" ref="I717">_xlfn.IFS(B717&lt;18.5,"Underweight",AND(B717&gt;=18.5,B717&lt;=24.99),"Normalweight",AND(B717&gt;=25,B717&lt;=29.99),"Overweight",B717&gt;=30,"Obesity")</f>
        <v>Obesity</v>
      </c>
      <c r="J717" t="str" cm="1">
        <f t="array" ref="J717">_xlfn.IFS(C717&lt;5.7,"Normal",AND(C717&gt;=5.7,C717&lt;=6.49),"Prediabetes",C717&gt;=6.5,"Diabetes")</f>
        <v>Prediabetes</v>
      </c>
    </row>
    <row r="718" spans="1:10" x14ac:dyDescent="0.3">
      <c r="A718" t="s">
        <v>1654</v>
      </c>
      <c r="B718" s="8">
        <v>38.28</v>
      </c>
      <c r="C718">
        <v>5.51</v>
      </c>
      <c r="D718" t="s">
        <v>2379</v>
      </c>
      <c r="E718" t="s">
        <v>2380</v>
      </c>
      <c r="F718" t="s">
        <v>2379</v>
      </c>
      <c r="G718">
        <v>1</v>
      </c>
      <c r="H718" t="s">
        <v>2379</v>
      </c>
      <c r="I718" t="str" cm="1">
        <f t="array" ref="I718">_xlfn.IFS(B718&lt;18.5,"Underweight",AND(B718&gt;=18.5,B718&lt;=24.99),"Normalweight",AND(B718&gt;=25,B718&lt;=29.99),"Overweight",B718&gt;=30,"Obesity")</f>
        <v>Obesity</v>
      </c>
      <c r="J718" t="str" cm="1">
        <f t="array" ref="J718">_xlfn.IFS(C718&lt;5.7,"Normal",AND(C718&gt;=5.7,C718&lt;=6.49),"Prediabetes",C718&gt;=6.5,"Diabetes")</f>
        <v>Normal</v>
      </c>
    </row>
    <row r="719" spans="1:10" x14ac:dyDescent="0.3">
      <c r="A719" t="s">
        <v>1653</v>
      </c>
      <c r="B719" s="8">
        <v>32.299999999999997</v>
      </c>
      <c r="C719">
        <v>6.55</v>
      </c>
      <c r="D719" t="s">
        <v>2381</v>
      </c>
      <c r="E719" t="s">
        <v>2379</v>
      </c>
      <c r="F719" t="s">
        <v>2379</v>
      </c>
      <c r="G719">
        <v>2</v>
      </c>
      <c r="H719" t="s">
        <v>2379</v>
      </c>
      <c r="I719" t="str" cm="1">
        <f t="array" ref="I719">_xlfn.IFS(B719&lt;18.5,"Underweight",AND(B719&gt;=18.5,B719&lt;=24.99),"Normalweight",AND(B719&gt;=25,B719&lt;=29.99),"Overweight",B719&gt;=30,"Obesity")</f>
        <v>Obesity</v>
      </c>
      <c r="J719" t="str" cm="1">
        <f t="array" ref="J719">_xlfn.IFS(C719&lt;5.7,"Normal",AND(C719&gt;=5.7,C719&lt;=6.49),"Prediabetes",C719&gt;=6.5,"Diabetes")</f>
        <v>Diabetes</v>
      </c>
    </row>
    <row r="720" spans="1:10" x14ac:dyDescent="0.3">
      <c r="A720" t="s">
        <v>1652</v>
      </c>
      <c r="B720" s="8">
        <v>39.51</v>
      </c>
      <c r="C720">
        <v>5.79</v>
      </c>
      <c r="D720" t="s">
        <v>2381</v>
      </c>
      <c r="E720" t="s">
        <v>2379</v>
      </c>
      <c r="F720" t="s">
        <v>2379</v>
      </c>
      <c r="G720">
        <v>0</v>
      </c>
      <c r="H720" t="s">
        <v>2379</v>
      </c>
      <c r="I720" t="str" cm="1">
        <f t="array" ref="I720">_xlfn.IFS(B720&lt;18.5,"Underweight",AND(B720&gt;=18.5,B720&lt;=24.99),"Normalweight",AND(B720&gt;=25,B720&lt;=29.99),"Overweight",B720&gt;=30,"Obesity")</f>
        <v>Obesity</v>
      </c>
      <c r="J720" t="str" cm="1">
        <f t="array" ref="J720">_xlfn.IFS(C720&lt;5.7,"Normal",AND(C720&gt;=5.7,C720&lt;=6.49),"Prediabetes",C720&gt;=6.5,"Diabetes")</f>
        <v>Prediabetes</v>
      </c>
    </row>
    <row r="721" spans="1:10" x14ac:dyDescent="0.3">
      <c r="A721" t="s">
        <v>1651</v>
      </c>
      <c r="B721" s="8">
        <v>50.46</v>
      </c>
      <c r="C721">
        <v>4.5599999999999996</v>
      </c>
      <c r="D721" t="s">
        <v>2379</v>
      </c>
      <c r="E721" t="s">
        <v>2379</v>
      </c>
      <c r="F721" t="s">
        <v>2379</v>
      </c>
      <c r="G721">
        <v>0</v>
      </c>
      <c r="H721" t="s">
        <v>2379</v>
      </c>
      <c r="I721" t="str" cm="1">
        <f t="array" ref="I721">_xlfn.IFS(B721&lt;18.5,"Underweight",AND(B721&gt;=18.5,B721&lt;=24.99),"Normalweight",AND(B721&gt;=25,B721&lt;=29.99),"Overweight",B721&gt;=30,"Obesity")</f>
        <v>Obesity</v>
      </c>
      <c r="J721" t="str" cm="1">
        <f t="array" ref="J721">_xlfn.IFS(C721&lt;5.7,"Normal",AND(C721&gt;=5.7,C721&lt;=6.49),"Prediabetes",C721&gt;=6.5,"Diabetes")</f>
        <v>Normal</v>
      </c>
    </row>
    <row r="722" spans="1:10" x14ac:dyDescent="0.3">
      <c r="A722" t="s">
        <v>1650</v>
      </c>
      <c r="B722" s="8">
        <v>31.73</v>
      </c>
      <c r="C722">
        <v>7</v>
      </c>
      <c r="D722" t="s">
        <v>2379</v>
      </c>
      <c r="E722" t="s">
        <v>2379</v>
      </c>
      <c r="F722" t="s">
        <v>2379</v>
      </c>
      <c r="G722">
        <v>0</v>
      </c>
      <c r="H722" t="s">
        <v>2379</v>
      </c>
      <c r="I722" t="str" cm="1">
        <f t="array" ref="I722">_xlfn.IFS(B722&lt;18.5,"Underweight",AND(B722&gt;=18.5,B722&lt;=24.99),"Normalweight",AND(B722&gt;=25,B722&lt;=29.99),"Overweight",B722&gt;=30,"Obesity")</f>
        <v>Obesity</v>
      </c>
      <c r="J722" t="str" cm="1">
        <f t="array" ref="J722">_xlfn.IFS(C722&lt;5.7,"Normal",AND(C722&gt;=5.7,C722&lt;=6.49),"Prediabetes",C722&gt;=6.5,"Diabetes")</f>
        <v>Diabetes</v>
      </c>
    </row>
    <row r="723" spans="1:10" x14ac:dyDescent="0.3">
      <c r="A723" t="s">
        <v>1649</v>
      </c>
      <c r="B723" s="8">
        <v>32.1</v>
      </c>
      <c r="C723">
        <v>6.57</v>
      </c>
      <c r="D723" t="s">
        <v>2381</v>
      </c>
      <c r="E723" t="s">
        <v>2379</v>
      </c>
      <c r="F723" t="s">
        <v>2381</v>
      </c>
      <c r="G723">
        <v>1</v>
      </c>
      <c r="H723" t="s">
        <v>2379</v>
      </c>
      <c r="I723" t="str" cm="1">
        <f t="array" ref="I723">_xlfn.IFS(B723&lt;18.5,"Underweight",AND(B723&gt;=18.5,B723&lt;=24.99),"Normalweight",AND(B723&gt;=25,B723&lt;=29.99),"Overweight",B723&gt;=30,"Obesity")</f>
        <v>Obesity</v>
      </c>
      <c r="J723" t="str" cm="1">
        <f t="array" ref="J723">_xlfn.IFS(C723&lt;5.7,"Normal",AND(C723&gt;=5.7,C723&lt;=6.49),"Prediabetes",C723&gt;=6.5,"Diabetes")</f>
        <v>Diabetes</v>
      </c>
    </row>
    <row r="724" spans="1:10" x14ac:dyDescent="0.3">
      <c r="A724" t="s">
        <v>1648</v>
      </c>
      <c r="B724" s="8">
        <v>27.83</v>
      </c>
      <c r="C724">
        <v>11.61</v>
      </c>
      <c r="D724" t="s">
        <v>2381</v>
      </c>
      <c r="E724" t="s">
        <v>2379</v>
      </c>
      <c r="F724" t="s">
        <v>2381</v>
      </c>
      <c r="G724">
        <v>1</v>
      </c>
      <c r="H724" t="s">
        <v>2379</v>
      </c>
      <c r="I724" t="str" cm="1">
        <f t="array" ref="I724">_xlfn.IFS(B724&lt;18.5,"Underweight",AND(B724&gt;=18.5,B724&lt;=24.99),"Normalweight",AND(B724&gt;=25,B724&lt;=29.99),"Overweight",B724&gt;=30,"Obesity")</f>
        <v>Overweight</v>
      </c>
      <c r="J724" t="str" cm="1">
        <f t="array" ref="J724">_xlfn.IFS(C724&lt;5.7,"Normal",AND(C724&gt;=5.7,C724&lt;=6.49),"Prediabetes",C724&gt;=6.5,"Diabetes")</f>
        <v>Diabetes</v>
      </c>
    </row>
    <row r="725" spans="1:10" x14ac:dyDescent="0.3">
      <c r="A725" t="s">
        <v>1647</v>
      </c>
      <c r="B725" s="8">
        <v>27.72</v>
      </c>
      <c r="C725">
        <v>8.16</v>
      </c>
      <c r="D725" t="s">
        <v>2381</v>
      </c>
      <c r="E725" t="s">
        <v>2379</v>
      </c>
      <c r="F725" t="s">
        <v>2381</v>
      </c>
      <c r="G725">
        <v>1</v>
      </c>
      <c r="H725" t="s">
        <v>2379</v>
      </c>
      <c r="I725" t="str" cm="1">
        <f t="array" ref="I725">_xlfn.IFS(B725&lt;18.5,"Underweight",AND(B725&gt;=18.5,B725&lt;=24.99),"Normalweight",AND(B725&gt;=25,B725&lt;=29.99),"Overweight",B725&gt;=30,"Obesity")</f>
        <v>Overweight</v>
      </c>
      <c r="J725" t="str" cm="1">
        <f t="array" ref="J725">_xlfn.IFS(C725&lt;5.7,"Normal",AND(C725&gt;=5.7,C725&lt;=6.49),"Prediabetes",C725&gt;=6.5,"Diabetes")</f>
        <v>Diabetes</v>
      </c>
    </row>
    <row r="726" spans="1:10" x14ac:dyDescent="0.3">
      <c r="A726" t="s">
        <v>1646</v>
      </c>
      <c r="B726" s="8">
        <v>36.765000000000001</v>
      </c>
      <c r="C726">
        <v>4.4800000000000004</v>
      </c>
      <c r="D726" t="s">
        <v>2381</v>
      </c>
      <c r="E726" t="s">
        <v>2379</v>
      </c>
      <c r="F726" t="s">
        <v>2379</v>
      </c>
      <c r="G726">
        <v>2</v>
      </c>
      <c r="H726" t="s">
        <v>2379</v>
      </c>
      <c r="I726" t="str" cm="1">
        <f t="array" ref="I726">_xlfn.IFS(B726&lt;18.5,"Underweight",AND(B726&gt;=18.5,B726&lt;=24.99),"Normalweight",AND(B726&gt;=25,B726&lt;=29.99),"Overweight",B726&gt;=30,"Obesity")</f>
        <v>Obesity</v>
      </c>
      <c r="J726" t="str" cm="1">
        <f t="array" ref="J726">_xlfn.IFS(C726&lt;5.7,"Normal",AND(C726&gt;=5.7,C726&lt;=6.49),"Prediabetes",C726&gt;=6.5,"Diabetes")</f>
        <v>Normal</v>
      </c>
    </row>
    <row r="727" spans="1:10" x14ac:dyDescent="0.3">
      <c r="A727" t="s">
        <v>1645</v>
      </c>
      <c r="B727" s="8">
        <v>48.36</v>
      </c>
      <c r="C727">
        <v>4.08</v>
      </c>
      <c r="D727" t="s">
        <v>2379</v>
      </c>
      <c r="E727" t="s">
        <v>2379</v>
      </c>
      <c r="F727" t="s">
        <v>2379</v>
      </c>
      <c r="G727">
        <v>0</v>
      </c>
      <c r="H727" t="s">
        <v>2379</v>
      </c>
      <c r="I727" t="str" cm="1">
        <f t="array" ref="I727">_xlfn.IFS(B727&lt;18.5,"Underweight",AND(B727&gt;=18.5,B727&lt;=24.99),"Normalweight",AND(B727&gt;=25,B727&lt;=29.99),"Overweight",B727&gt;=30,"Obesity")</f>
        <v>Obesity</v>
      </c>
      <c r="J727" t="str" cm="1">
        <f t="array" ref="J727">_xlfn.IFS(C727&lt;5.7,"Normal",AND(C727&gt;=5.7,C727&lt;=6.49),"Prediabetes",C727&gt;=6.5,"Diabetes")</f>
        <v>Normal</v>
      </c>
    </row>
    <row r="728" spans="1:10" x14ac:dyDescent="0.3">
      <c r="A728" t="s">
        <v>1644</v>
      </c>
      <c r="B728" s="8">
        <v>31.445</v>
      </c>
      <c r="C728">
        <v>4.4000000000000004</v>
      </c>
      <c r="D728" t="s">
        <v>2381</v>
      </c>
      <c r="E728" t="s">
        <v>2379</v>
      </c>
      <c r="F728" t="s">
        <v>2379</v>
      </c>
      <c r="G728">
        <v>2</v>
      </c>
      <c r="H728" t="s">
        <v>2379</v>
      </c>
      <c r="I728" t="str" cm="1">
        <f t="array" ref="I728">_xlfn.IFS(B728&lt;18.5,"Underweight",AND(B728&gt;=18.5,B728&lt;=24.99),"Normalweight",AND(B728&gt;=25,B728&lt;=29.99),"Overweight",B728&gt;=30,"Obesity")</f>
        <v>Obesity</v>
      </c>
      <c r="J728" t="str" cm="1">
        <f t="array" ref="J728">_xlfn.IFS(C728&lt;5.7,"Normal",AND(C728&gt;=5.7,C728&lt;=6.49),"Prediabetes",C728&gt;=6.5,"Diabetes")</f>
        <v>Normal</v>
      </c>
    </row>
    <row r="729" spans="1:10" x14ac:dyDescent="0.3">
      <c r="A729" t="s">
        <v>1643</v>
      </c>
      <c r="B729" s="8">
        <v>27.55</v>
      </c>
      <c r="C729">
        <v>9.02</v>
      </c>
      <c r="D729" t="s">
        <v>2379</v>
      </c>
      <c r="E729" t="s">
        <v>2379</v>
      </c>
      <c r="F729" t="s">
        <v>2379</v>
      </c>
      <c r="G729">
        <v>0</v>
      </c>
      <c r="H729" t="s">
        <v>2379</v>
      </c>
      <c r="I729" t="str" cm="1">
        <f t="array" ref="I729">_xlfn.IFS(B729&lt;18.5,"Underweight",AND(B729&gt;=18.5,B729&lt;=24.99),"Normalweight",AND(B729&gt;=25,B729&lt;=29.99),"Overweight",B729&gt;=30,"Obesity")</f>
        <v>Overweight</v>
      </c>
      <c r="J729" t="str" cm="1">
        <f t="array" ref="J729">_xlfn.IFS(C729&lt;5.7,"Normal",AND(C729&gt;=5.7,C729&lt;=6.49),"Prediabetes",C729&gt;=6.5,"Diabetes")</f>
        <v>Diabetes</v>
      </c>
    </row>
    <row r="730" spans="1:10" x14ac:dyDescent="0.3">
      <c r="A730" t="s">
        <v>1642</v>
      </c>
      <c r="B730" s="8">
        <v>33.11</v>
      </c>
      <c r="C730">
        <v>8.06</v>
      </c>
      <c r="D730" t="s">
        <v>2379</v>
      </c>
      <c r="E730" t="s">
        <v>2379</v>
      </c>
      <c r="F730" t="s">
        <v>2379</v>
      </c>
      <c r="G730">
        <v>0</v>
      </c>
      <c r="H730" t="s">
        <v>2379</v>
      </c>
      <c r="I730" t="str" cm="1">
        <f t="array" ref="I730">_xlfn.IFS(B730&lt;18.5,"Underweight",AND(B730&gt;=18.5,B730&lt;=24.99),"Normalweight",AND(B730&gt;=25,B730&lt;=29.99),"Overweight",B730&gt;=30,"Obesity")</f>
        <v>Obesity</v>
      </c>
      <c r="J730" t="str" cm="1">
        <f t="array" ref="J730">_xlfn.IFS(C730&lt;5.7,"Normal",AND(C730&gt;=5.7,C730&lt;=6.49),"Prediabetes",C730&gt;=6.5,"Diabetes")</f>
        <v>Diabetes</v>
      </c>
    </row>
    <row r="731" spans="1:10" x14ac:dyDescent="0.3">
      <c r="A731" t="s">
        <v>1641</v>
      </c>
      <c r="B731" s="8">
        <v>36.85</v>
      </c>
      <c r="C731">
        <v>6.21</v>
      </c>
      <c r="D731" t="s">
        <v>2381</v>
      </c>
      <c r="E731" t="s">
        <v>2379</v>
      </c>
      <c r="F731" t="s">
        <v>2379</v>
      </c>
      <c r="G731">
        <v>2</v>
      </c>
      <c r="H731" t="s">
        <v>2379</v>
      </c>
      <c r="I731" t="str" cm="1">
        <f t="array" ref="I731">_xlfn.IFS(B731&lt;18.5,"Underweight",AND(B731&gt;=18.5,B731&lt;=24.99),"Normalweight",AND(B731&gt;=25,B731&lt;=29.99),"Overweight",B731&gt;=30,"Obesity")</f>
        <v>Obesity</v>
      </c>
      <c r="J731" t="str" cm="1">
        <f t="array" ref="J731">_xlfn.IFS(C731&lt;5.7,"Normal",AND(C731&gt;=5.7,C731&lt;=6.49),"Prediabetes",C731&gt;=6.5,"Diabetes")</f>
        <v>Prediabetes</v>
      </c>
    </row>
    <row r="732" spans="1:10" x14ac:dyDescent="0.3">
      <c r="A732" t="s">
        <v>1640</v>
      </c>
      <c r="B732" s="8">
        <v>36.299999999999997</v>
      </c>
      <c r="C732">
        <v>5.79</v>
      </c>
      <c r="D732" t="s">
        <v>2381</v>
      </c>
      <c r="E732" t="s">
        <v>2379</v>
      </c>
      <c r="F732" t="s">
        <v>2379</v>
      </c>
      <c r="G732">
        <v>2</v>
      </c>
      <c r="H732" t="s">
        <v>2379</v>
      </c>
      <c r="I732" t="str" cm="1">
        <f t="array" ref="I732">_xlfn.IFS(B732&lt;18.5,"Underweight",AND(B732&gt;=18.5,B732&lt;=24.99),"Normalweight",AND(B732&gt;=25,B732&lt;=29.99),"Overweight",B732&gt;=30,"Obesity")</f>
        <v>Obesity</v>
      </c>
      <c r="J732" t="str" cm="1">
        <f t="array" ref="J732">_xlfn.IFS(C732&lt;5.7,"Normal",AND(C732&gt;=5.7,C732&lt;=6.49),"Prediabetes",C732&gt;=6.5,"Diabetes")</f>
        <v>Prediabetes</v>
      </c>
    </row>
    <row r="733" spans="1:10" x14ac:dyDescent="0.3">
      <c r="A733" t="s">
        <v>1639</v>
      </c>
      <c r="B733" s="8">
        <v>45.34</v>
      </c>
      <c r="C733">
        <v>5.69</v>
      </c>
      <c r="D733" t="s">
        <v>2381</v>
      </c>
      <c r="E733" t="s">
        <v>2379</v>
      </c>
      <c r="F733" t="s">
        <v>2379</v>
      </c>
      <c r="G733">
        <v>0</v>
      </c>
      <c r="H733" t="s">
        <v>2379</v>
      </c>
      <c r="I733" t="str" cm="1">
        <f t="array" ref="I733">_xlfn.IFS(B733&lt;18.5,"Underweight",AND(B733&gt;=18.5,B733&lt;=24.99),"Normalweight",AND(B733&gt;=25,B733&lt;=29.99),"Overweight",B733&gt;=30,"Obesity")</f>
        <v>Obesity</v>
      </c>
      <c r="J733" t="str" cm="1">
        <f t="array" ref="J733">_xlfn.IFS(C733&lt;5.7,"Normal",AND(C733&gt;=5.7,C733&lt;=6.49),"Prediabetes",C733&gt;=6.5,"Diabetes")</f>
        <v>Normal</v>
      </c>
    </row>
    <row r="734" spans="1:10" x14ac:dyDescent="0.3">
      <c r="A734" t="s">
        <v>1638</v>
      </c>
      <c r="B734" s="8">
        <v>31.8</v>
      </c>
      <c r="C734">
        <v>5.36</v>
      </c>
      <c r="D734" t="s">
        <v>2381</v>
      </c>
      <c r="E734" t="s">
        <v>2379</v>
      </c>
      <c r="F734" t="s">
        <v>2379</v>
      </c>
      <c r="G734">
        <v>2</v>
      </c>
      <c r="H734" t="s">
        <v>2379</v>
      </c>
      <c r="I734" t="str" cm="1">
        <f t="array" ref="I734">_xlfn.IFS(B734&lt;18.5,"Underweight",AND(B734&gt;=18.5,B734&lt;=24.99),"Normalweight",AND(B734&gt;=25,B734&lt;=29.99),"Overweight",B734&gt;=30,"Obesity")</f>
        <v>Obesity</v>
      </c>
      <c r="J734" t="str" cm="1">
        <f t="array" ref="J734">_xlfn.IFS(C734&lt;5.7,"Normal",AND(C734&gt;=5.7,C734&lt;=6.49),"Prediabetes",C734&gt;=6.5,"Diabetes")</f>
        <v>Normal</v>
      </c>
    </row>
    <row r="735" spans="1:10" x14ac:dyDescent="0.3">
      <c r="A735" t="s">
        <v>1637</v>
      </c>
      <c r="B735" s="8">
        <v>41.02</v>
      </c>
      <c r="C735">
        <v>11.37</v>
      </c>
      <c r="D735" t="s">
        <v>2379</v>
      </c>
      <c r="E735" t="s">
        <v>2379</v>
      </c>
      <c r="F735" t="s">
        <v>2379</v>
      </c>
      <c r="G735">
        <v>0</v>
      </c>
      <c r="H735" t="s">
        <v>2379</v>
      </c>
      <c r="I735" t="str" cm="1">
        <f t="array" ref="I735">_xlfn.IFS(B735&lt;18.5,"Underweight",AND(B735&gt;=18.5,B735&lt;=24.99),"Normalweight",AND(B735&gt;=25,B735&lt;=29.99),"Overweight",B735&gt;=30,"Obesity")</f>
        <v>Obesity</v>
      </c>
      <c r="J735" t="str" cm="1">
        <f t="array" ref="J735">_xlfn.IFS(C735&lt;5.7,"Normal",AND(C735&gt;=5.7,C735&lt;=6.49),"Prediabetes",C735&gt;=6.5,"Diabetes")</f>
        <v>Diabetes</v>
      </c>
    </row>
    <row r="736" spans="1:10" x14ac:dyDescent="0.3">
      <c r="A736" t="s">
        <v>1636</v>
      </c>
      <c r="B736" s="8">
        <v>32.68</v>
      </c>
      <c r="C736">
        <v>11.87</v>
      </c>
      <c r="D736" t="s">
        <v>2379</v>
      </c>
      <c r="E736" t="s">
        <v>2379</v>
      </c>
      <c r="F736" t="s">
        <v>2379</v>
      </c>
      <c r="G736">
        <v>0</v>
      </c>
      <c r="H736" t="s">
        <v>2379</v>
      </c>
      <c r="I736" t="str" cm="1">
        <f t="array" ref="I736">_xlfn.IFS(B736&lt;18.5,"Underweight",AND(B736&gt;=18.5,B736&lt;=24.99),"Normalweight",AND(B736&gt;=25,B736&lt;=29.99),"Overweight",B736&gt;=30,"Obesity")</f>
        <v>Obesity</v>
      </c>
      <c r="J736" t="str" cm="1">
        <f t="array" ref="J736">_xlfn.IFS(C736&lt;5.7,"Normal",AND(C736&gt;=5.7,C736&lt;=6.49),"Prediabetes",C736&gt;=6.5,"Diabetes")</f>
        <v>Diabetes</v>
      </c>
    </row>
    <row r="737" spans="1:10" x14ac:dyDescent="0.3">
      <c r="A737" t="s">
        <v>1635</v>
      </c>
      <c r="B737" s="8">
        <v>21.7</v>
      </c>
      <c r="C737">
        <v>4.9000000000000004</v>
      </c>
      <c r="D737" t="s">
        <v>2379</v>
      </c>
      <c r="E737" t="s">
        <v>2379</v>
      </c>
      <c r="F737" t="s">
        <v>2381</v>
      </c>
      <c r="G737">
        <v>1</v>
      </c>
      <c r="H737" t="s">
        <v>2381</v>
      </c>
      <c r="I737" t="str" cm="1">
        <f t="array" ref="I737">_xlfn.IFS(B737&lt;18.5,"Underweight",AND(B737&gt;=18.5,B737&lt;=24.99),"Normalweight",AND(B737&gt;=25,B737&lt;=29.99),"Overweight",B737&gt;=30,"Obesity")</f>
        <v>Normalweight</v>
      </c>
      <c r="J737" t="str" cm="1">
        <f t="array" ref="J737">_xlfn.IFS(C737&lt;5.7,"Normal",AND(C737&gt;=5.7,C737&lt;=6.49),"Prediabetes",C737&gt;=6.5,"Diabetes")</f>
        <v>Normal</v>
      </c>
    </row>
    <row r="738" spans="1:10" x14ac:dyDescent="0.3">
      <c r="A738" t="s">
        <v>1634</v>
      </c>
      <c r="B738" s="8">
        <v>40.479999999999997</v>
      </c>
      <c r="C738">
        <v>6.7</v>
      </c>
      <c r="D738" t="s">
        <v>2379</v>
      </c>
      <c r="E738" t="s">
        <v>2379</v>
      </c>
      <c r="F738" t="s">
        <v>2379</v>
      </c>
      <c r="G738">
        <v>3</v>
      </c>
      <c r="H738" t="s">
        <v>2379</v>
      </c>
      <c r="I738" t="str" cm="1">
        <f t="array" ref="I738">_xlfn.IFS(B738&lt;18.5,"Underweight",AND(B738&gt;=18.5,B738&lt;=24.99),"Normalweight",AND(B738&gt;=25,B738&lt;=29.99),"Overweight",B738&gt;=30,"Obesity")</f>
        <v>Obesity</v>
      </c>
      <c r="J738" t="str" cm="1">
        <f t="array" ref="J738">_xlfn.IFS(C738&lt;5.7,"Normal",AND(C738&gt;=5.7,C738&lt;=6.49),"Prediabetes",C738&gt;=6.5,"Diabetes")</f>
        <v>Diabetes</v>
      </c>
    </row>
    <row r="739" spans="1:10" x14ac:dyDescent="0.3">
      <c r="A739" t="s">
        <v>1633</v>
      </c>
      <c r="B739" s="8">
        <v>34.5</v>
      </c>
      <c r="C739">
        <v>10.3</v>
      </c>
      <c r="D739" t="s">
        <v>2379</v>
      </c>
      <c r="E739" t="s">
        <v>2379</v>
      </c>
      <c r="F739" t="s">
        <v>2379</v>
      </c>
      <c r="G739">
        <v>3</v>
      </c>
      <c r="H739" t="s">
        <v>2379</v>
      </c>
      <c r="I739" t="str" cm="1">
        <f t="array" ref="I739">_xlfn.IFS(B739&lt;18.5,"Underweight",AND(B739&gt;=18.5,B739&lt;=24.99),"Normalweight",AND(B739&gt;=25,B739&lt;=29.99),"Overweight",B739&gt;=30,"Obesity")</f>
        <v>Obesity</v>
      </c>
      <c r="J739" t="str" cm="1">
        <f t="array" ref="J739">_xlfn.IFS(C739&lt;5.7,"Normal",AND(C739&gt;=5.7,C739&lt;=6.49),"Prediabetes",C739&gt;=6.5,"Diabetes")</f>
        <v>Diabetes</v>
      </c>
    </row>
    <row r="740" spans="1:10" x14ac:dyDescent="0.3">
      <c r="A740" t="s">
        <v>1632</v>
      </c>
      <c r="B740" s="8">
        <v>45.9</v>
      </c>
      <c r="C740">
        <v>11.14</v>
      </c>
      <c r="D740" t="s">
        <v>2381</v>
      </c>
      <c r="E740" t="s">
        <v>2379</v>
      </c>
      <c r="F740" t="s">
        <v>2379</v>
      </c>
      <c r="G740">
        <v>1</v>
      </c>
      <c r="H740" t="s">
        <v>2379</v>
      </c>
      <c r="I740" t="str" cm="1">
        <f t="array" ref="I740">_xlfn.IFS(B740&lt;18.5,"Underweight",AND(B740&gt;=18.5,B740&lt;=24.99),"Normalweight",AND(B740&gt;=25,B740&lt;=29.99),"Overweight",B740&gt;=30,"Obesity")</f>
        <v>Obesity</v>
      </c>
      <c r="J740" t="str" cm="1">
        <f t="array" ref="J740">_xlfn.IFS(C740&lt;5.7,"Normal",AND(C740&gt;=5.7,C740&lt;=6.49),"Prediabetes",C740&gt;=6.5,"Diabetes")</f>
        <v>Diabetes</v>
      </c>
    </row>
    <row r="741" spans="1:10" x14ac:dyDescent="0.3">
      <c r="A741" t="s">
        <v>1631</v>
      </c>
      <c r="B741" s="8">
        <v>33.479999999999997</v>
      </c>
      <c r="C741">
        <v>4.74</v>
      </c>
      <c r="D741" t="s">
        <v>2381</v>
      </c>
      <c r="E741" t="s">
        <v>2379</v>
      </c>
      <c r="F741" t="s">
        <v>2379</v>
      </c>
      <c r="G741">
        <v>2</v>
      </c>
      <c r="H741" t="s">
        <v>2379</v>
      </c>
      <c r="I741" t="str" cm="1">
        <f t="array" ref="I741">_xlfn.IFS(B741&lt;18.5,"Underweight",AND(B741&gt;=18.5,B741&lt;=24.99),"Normalweight",AND(B741&gt;=25,B741&lt;=29.99),"Overweight",B741&gt;=30,"Obesity")</f>
        <v>Obesity</v>
      </c>
      <c r="J741" t="str" cm="1">
        <f t="array" ref="J741">_xlfn.IFS(C741&lt;5.7,"Normal",AND(C741&gt;=5.7,C741&lt;=6.49),"Prediabetes",C741&gt;=6.5,"Diabetes")</f>
        <v>Normal</v>
      </c>
    </row>
    <row r="742" spans="1:10" x14ac:dyDescent="0.3">
      <c r="A742" t="s">
        <v>1630</v>
      </c>
      <c r="B742" s="8">
        <v>28.31</v>
      </c>
      <c r="C742">
        <v>5.96</v>
      </c>
      <c r="D742" t="s">
        <v>2381</v>
      </c>
      <c r="E742" t="s">
        <v>2379</v>
      </c>
      <c r="F742" t="s">
        <v>2379</v>
      </c>
      <c r="G742">
        <v>2</v>
      </c>
      <c r="H742" t="s">
        <v>2379</v>
      </c>
      <c r="I742" t="str" cm="1">
        <f t="array" ref="I742">_xlfn.IFS(B742&lt;18.5,"Underweight",AND(B742&gt;=18.5,B742&lt;=24.99),"Normalweight",AND(B742&gt;=25,B742&lt;=29.99),"Overweight",B742&gt;=30,"Obesity")</f>
        <v>Overweight</v>
      </c>
      <c r="J742" t="str" cm="1">
        <f t="array" ref="J742">_xlfn.IFS(C742&lt;5.7,"Normal",AND(C742&gt;=5.7,C742&lt;=6.49),"Prediabetes",C742&gt;=6.5,"Diabetes")</f>
        <v>Prediabetes</v>
      </c>
    </row>
    <row r="743" spans="1:10" x14ac:dyDescent="0.3">
      <c r="A743" t="s">
        <v>1629</v>
      </c>
      <c r="B743" s="8">
        <v>21.565000000000001</v>
      </c>
      <c r="C743">
        <v>4.95</v>
      </c>
      <c r="D743" t="s">
        <v>2379</v>
      </c>
      <c r="E743" t="s">
        <v>2380</v>
      </c>
      <c r="F743" t="s">
        <v>2379</v>
      </c>
      <c r="G743">
        <v>1</v>
      </c>
      <c r="H743" t="s">
        <v>2381</v>
      </c>
      <c r="I743" t="str" cm="1">
        <f t="array" ref="I743">_xlfn.IFS(B743&lt;18.5,"Underweight",AND(B743&gt;=18.5,B743&lt;=24.99),"Normalweight",AND(B743&gt;=25,B743&lt;=29.99),"Overweight",B743&gt;=30,"Obesity")</f>
        <v>Normalweight</v>
      </c>
      <c r="J743" t="str" cm="1">
        <f t="array" ref="J743">_xlfn.IFS(C743&lt;5.7,"Normal",AND(C743&gt;=5.7,C743&lt;=6.49),"Prediabetes",C743&gt;=6.5,"Diabetes")</f>
        <v>Normal</v>
      </c>
    </row>
    <row r="744" spans="1:10" x14ac:dyDescent="0.3">
      <c r="A744" t="s">
        <v>1628</v>
      </c>
      <c r="B744" s="8">
        <v>35.590000000000003</v>
      </c>
      <c r="C744">
        <v>5.21</v>
      </c>
      <c r="D744" t="s">
        <v>2381</v>
      </c>
      <c r="E744" t="s">
        <v>2379</v>
      </c>
      <c r="F744" t="s">
        <v>2381</v>
      </c>
      <c r="G744">
        <v>1</v>
      </c>
      <c r="H744" t="s">
        <v>2379</v>
      </c>
      <c r="I744" t="str" cm="1">
        <f t="array" ref="I744">_xlfn.IFS(B744&lt;18.5,"Underweight",AND(B744&gt;=18.5,B744&lt;=24.99),"Normalweight",AND(B744&gt;=25,B744&lt;=29.99),"Overweight",B744&gt;=30,"Obesity")</f>
        <v>Obesity</v>
      </c>
      <c r="J744" t="str" cm="1">
        <f t="array" ref="J744">_xlfn.IFS(C744&lt;5.7,"Normal",AND(C744&gt;=5.7,C744&lt;=6.49),"Prediabetes",C744&gt;=6.5,"Diabetes")</f>
        <v>Normal</v>
      </c>
    </row>
    <row r="745" spans="1:10" x14ac:dyDescent="0.3">
      <c r="A745" t="s">
        <v>1627</v>
      </c>
      <c r="B745" s="8">
        <v>43.44</v>
      </c>
      <c r="C745">
        <v>4.8600000000000003</v>
      </c>
      <c r="D745" t="s">
        <v>2381</v>
      </c>
      <c r="E745" t="s">
        <v>2379</v>
      </c>
      <c r="F745" t="s">
        <v>2379</v>
      </c>
      <c r="G745">
        <v>0</v>
      </c>
      <c r="H745" t="s">
        <v>2379</v>
      </c>
      <c r="I745" t="str" cm="1">
        <f t="array" ref="I745">_xlfn.IFS(B745&lt;18.5,"Underweight",AND(B745&gt;=18.5,B745&lt;=24.99),"Normalweight",AND(B745&gt;=25,B745&lt;=29.99),"Overweight",B745&gt;=30,"Obesity")</f>
        <v>Obesity</v>
      </c>
      <c r="J745" t="str" cm="1">
        <f t="array" ref="J745">_xlfn.IFS(C745&lt;5.7,"Normal",AND(C745&gt;=5.7,C745&lt;=6.49),"Prediabetes",C745&gt;=6.5,"Diabetes")</f>
        <v>Normal</v>
      </c>
    </row>
    <row r="746" spans="1:10" x14ac:dyDescent="0.3">
      <c r="A746" t="s">
        <v>1626</v>
      </c>
      <c r="B746" s="8">
        <v>21.754999999999999</v>
      </c>
      <c r="C746">
        <v>7.79</v>
      </c>
      <c r="D746" t="s">
        <v>2381</v>
      </c>
      <c r="E746" t="s">
        <v>2379</v>
      </c>
      <c r="F746" t="s">
        <v>2379</v>
      </c>
      <c r="G746">
        <v>0</v>
      </c>
      <c r="H746" t="s">
        <v>2379</v>
      </c>
      <c r="I746" t="str" cm="1">
        <f t="array" ref="I746">_xlfn.IFS(B746&lt;18.5,"Underweight",AND(B746&gt;=18.5,B746&lt;=24.99),"Normalweight",AND(B746&gt;=25,B746&lt;=29.99),"Overweight",B746&gt;=30,"Obesity")</f>
        <v>Normalweight</v>
      </c>
      <c r="J746" t="str" cm="1">
        <f t="array" ref="J746">_xlfn.IFS(C746&lt;5.7,"Normal",AND(C746&gt;=5.7,C746&lt;=6.49),"Prediabetes",C746&gt;=6.5,"Diabetes")</f>
        <v>Diabetes</v>
      </c>
    </row>
    <row r="747" spans="1:10" x14ac:dyDescent="0.3">
      <c r="A747" t="s">
        <v>1625</v>
      </c>
      <c r="B747" s="8">
        <v>44.55</v>
      </c>
      <c r="C747">
        <v>7.12</v>
      </c>
      <c r="D747" t="s">
        <v>2381</v>
      </c>
      <c r="E747" t="s">
        <v>2379</v>
      </c>
      <c r="F747" t="s">
        <v>2379</v>
      </c>
      <c r="G747">
        <v>1</v>
      </c>
      <c r="H747" t="s">
        <v>2379</v>
      </c>
      <c r="I747" t="str" cm="1">
        <f t="array" ref="I747">_xlfn.IFS(B747&lt;18.5,"Underweight",AND(B747&gt;=18.5,B747&lt;=24.99),"Normalweight",AND(B747&gt;=25,B747&lt;=29.99),"Overweight",B747&gt;=30,"Obesity")</f>
        <v>Obesity</v>
      </c>
      <c r="J747" t="str" cm="1">
        <f t="array" ref="J747">_xlfn.IFS(C747&lt;5.7,"Normal",AND(C747&gt;=5.7,C747&lt;=6.49),"Prediabetes",C747&gt;=6.5,"Diabetes")</f>
        <v>Diabetes</v>
      </c>
    </row>
    <row r="748" spans="1:10" x14ac:dyDescent="0.3">
      <c r="A748" t="s">
        <v>1624</v>
      </c>
      <c r="B748" s="8">
        <v>43.32</v>
      </c>
      <c r="C748">
        <v>4.67</v>
      </c>
      <c r="D748" t="s">
        <v>2381</v>
      </c>
      <c r="E748" t="s">
        <v>2379</v>
      </c>
      <c r="F748" t="s">
        <v>2379</v>
      </c>
      <c r="G748">
        <v>0</v>
      </c>
      <c r="H748" t="s">
        <v>2379</v>
      </c>
      <c r="I748" t="str" cm="1">
        <f t="array" ref="I748">_xlfn.IFS(B748&lt;18.5,"Underweight",AND(B748&gt;=18.5,B748&lt;=24.99),"Normalweight",AND(B748&gt;=25,B748&lt;=29.99),"Overweight",B748&gt;=30,"Obesity")</f>
        <v>Obesity</v>
      </c>
      <c r="J748" t="str" cm="1">
        <f t="array" ref="J748">_xlfn.IFS(C748&lt;5.7,"Normal",AND(C748&gt;=5.7,C748&lt;=6.49),"Prediabetes",C748&gt;=6.5,"Diabetes")</f>
        <v>Normal</v>
      </c>
    </row>
    <row r="749" spans="1:10" x14ac:dyDescent="0.3">
      <c r="A749" t="s">
        <v>1623</v>
      </c>
      <c r="B749" s="8">
        <v>31.23</v>
      </c>
      <c r="C749">
        <v>9.1199999999999992</v>
      </c>
      <c r="D749" t="s">
        <v>2381</v>
      </c>
      <c r="E749" t="s">
        <v>2379</v>
      </c>
      <c r="F749" t="s">
        <v>2381</v>
      </c>
      <c r="G749">
        <v>1</v>
      </c>
      <c r="H749" t="s">
        <v>2379</v>
      </c>
      <c r="I749" t="str" cm="1">
        <f t="array" ref="I749">_xlfn.IFS(B749&lt;18.5,"Underweight",AND(B749&gt;=18.5,B749&lt;=24.99),"Normalweight",AND(B749&gt;=25,B749&lt;=29.99),"Overweight",B749&gt;=30,"Obesity")</f>
        <v>Obesity</v>
      </c>
      <c r="J749" t="str" cm="1">
        <f t="array" ref="J749">_xlfn.IFS(C749&lt;5.7,"Normal",AND(C749&gt;=5.7,C749&lt;=6.49),"Prediabetes",C749&gt;=6.5,"Diabetes")</f>
        <v>Diabetes</v>
      </c>
    </row>
    <row r="750" spans="1:10" x14ac:dyDescent="0.3">
      <c r="A750" t="s">
        <v>1622</v>
      </c>
      <c r="B750" s="8">
        <v>42.81</v>
      </c>
      <c r="C750">
        <v>4.1500000000000004</v>
      </c>
      <c r="D750" t="s">
        <v>2379</v>
      </c>
      <c r="E750" t="s">
        <v>2379</v>
      </c>
      <c r="F750" t="s">
        <v>2379</v>
      </c>
      <c r="G750">
        <v>1</v>
      </c>
      <c r="H750" t="s">
        <v>2379</v>
      </c>
      <c r="I750" t="str" cm="1">
        <f t="array" ref="I750">_xlfn.IFS(B750&lt;18.5,"Underweight",AND(B750&gt;=18.5,B750&lt;=24.99),"Normalweight",AND(B750&gt;=25,B750&lt;=29.99),"Overweight",B750&gt;=30,"Obesity")</f>
        <v>Obesity</v>
      </c>
      <c r="J750" t="str" cm="1">
        <f t="array" ref="J750">_xlfn.IFS(C750&lt;5.7,"Normal",AND(C750&gt;=5.7,C750&lt;=6.49),"Prediabetes",C750&gt;=6.5,"Diabetes")</f>
        <v>Normal</v>
      </c>
    </row>
    <row r="751" spans="1:10" x14ac:dyDescent="0.3">
      <c r="A751" t="s">
        <v>1621</v>
      </c>
      <c r="B751" s="8">
        <v>35.909999999999997</v>
      </c>
      <c r="C751">
        <v>6.72</v>
      </c>
      <c r="D751" t="s">
        <v>2381</v>
      </c>
      <c r="E751" t="s">
        <v>2379</v>
      </c>
      <c r="F751" t="s">
        <v>2379</v>
      </c>
      <c r="G751">
        <v>2</v>
      </c>
      <c r="H751" t="s">
        <v>2379</v>
      </c>
      <c r="I751" t="str" cm="1">
        <f t="array" ref="I751">_xlfn.IFS(B751&lt;18.5,"Underweight",AND(B751&gt;=18.5,B751&lt;=24.99),"Normalweight",AND(B751&gt;=25,B751&lt;=29.99),"Overweight",B751&gt;=30,"Obesity")</f>
        <v>Obesity</v>
      </c>
      <c r="J751" t="str" cm="1">
        <f t="array" ref="J751">_xlfn.IFS(C751&lt;5.7,"Normal",AND(C751&gt;=5.7,C751&lt;=6.49),"Prediabetes",C751&gt;=6.5,"Diabetes")</f>
        <v>Diabetes</v>
      </c>
    </row>
    <row r="752" spans="1:10" x14ac:dyDescent="0.3">
      <c r="A752" t="s">
        <v>1620</v>
      </c>
      <c r="B752" s="8">
        <v>36.65</v>
      </c>
      <c r="C752">
        <v>5.01</v>
      </c>
      <c r="D752" t="s">
        <v>2381</v>
      </c>
      <c r="E752" t="s">
        <v>2379</v>
      </c>
      <c r="F752" t="s">
        <v>2381</v>
      </c>
      <c r="G752">
        <v>1</v>
      </c>
      <c r="H752" t="s">
        <v>2379</v>
      </c>
      <c r="I752" t="str" cm="1">
        <f t="array" ref="I752">_xlfn.IFS(B752&lt;18.5,"Underweight",AND(B752&gt;=18.5,B752&lt;=24.99),"Normalweight",AND(B752&gt;=25,B752&lt;=29.99),"Overweight",B752&gt;=30,"Obesity")</f>
        <v>Obesity</v>
      </c>
      <c r="J752" t="str" cm="1">
        <f t="array" ref="J752">_xlfn.IFS(C752&lt;5.7,"Normal",AND(C752&gt;=5.7,C752&lt;=6.49),"Prediabetes",C752&gt;=6.5,"Diabetes")</f>
        <v>Normal</v>
      </c>
    </row>
    <row r="753" spans="1:10" x14ac:dyDescent="0.3">
      <c r="A753" t="s">
        <v>1619</v>
      </c>
      <c r="B753" s="8">
        <v>22.04</v>
      </c>
      <c r="C753">
        <v>10.9</v>
      </c>
      <c r="D753" t="s">
        <v>2381</v>
      </c>
      <c r="E753" t="s">
        <v>2379</v>
      </c>
      <c r="F753" t="s">
        <v>2379</v>
      </c>
      <c r="G753">
        <v>2</v>
      </c>
      <c r="H753" t="s">
        <v>2379</v>
      </c>
      <c r="I753" t="str" cm="1">
        <f t="array" ref="I753">_xlfn.IFS(B753&lt;18.5,"Underweight",AND(B753&gt;=18.5,B753&lt;=24.99),"Normalweight",AND(B753&gt;=25,B753&lt;=29.99),"Overweight",B753&gt;=30,"Obesity")</f>
        <v>Normalweight</v>
      </c>
      <c r="J753" t="str" cm="1">
        <f t="array" ref="J753">_xlfn.IFS(C753&lt;5.7,"Normal",AND(C753&gt;=5.7,C753&lt;=6.49),"Prediabetes",C753&gt;=6.5,"Diabetes")</f>
        <v>Diabetes</v>
      </c>
    </row>
    <row r="754" spans="1:10" x14ac:dyDescent="0.3">
      <c r="A754" t="s">
        <v>1618</v>
      </c>
      <c r="B754" s="8">
        <v>31.824999999999999</v>
      </c>
      <c r="C754">
        <v>5.52</v>
      </c>
      <c r="D754" t="s">
        <v>2381</v>
      </c>
      <c r="E754" t="s">
        <v>2379</v>
      </c>
      <c r="F754" t="s">
        <v>2379</v>
      </c>
      <c r="G754">
        <v>1</v>
      </c>
      <c r="H754" t="s">
        <v>2379</v>
      </c>
      <c r="I754" t="str" cm="1">
        <f t="array" ref="I754">_xlfn.IFS(B754&lt;18.5,"Underweight",AND(B754&gt;=18.5,B754&lt;=24.99),"Normalweight",AND(B754&gt;=25,B754&lt;=29.99),"Overweight",B754&gt;=30,"Obesity")</f>
        <v>Obesity</v>
      </c>
      <c r="J754" t="str" cm="1">
        <f t="array" ref="J754">_xlfn.IFS(C754&lt;5.7,"Normal",AND(C754&gt;=5.7,C754&lt;=6.49),"Prediabetes",C754&gt;=6.5,"Diabetes")</f>
        <v>Normal</v>
      </c>
    </row>
    <row r="755" spans="1:10" x14ac:dyDescent="0.3">
      <c r="A755" t="s">
        <v>1617</v>
      </c>
      <c r="B755" s="8">
        <v>53.58</v>
      </c>
      <c r="C755">
        <v>4.55</v>
      </c>
      <c r="D755" t="s">
        <v>2379</v>
      </c>
      <c r="E755" t="s">
        <v>2379</v>
      </c>
      <c r="F755" t="s">
        <v>2379</v>
      </c>
      <c r="G755">
        <v>1</v>
      </c>
      <c r="H755" t="s">
        <v>2379</v>
      </c>
      <c r="I755" t="str" cm="1">
        <f t="array" ref="I755">_xlfn.IFS(B755&lt;18.5,"Underweight",AND(B755&gt;=18.5,B755&lt;=24.99),"Normalweight",AND(B755&gt;=25,B755&lt;=29.99),"Overweight",B755&gt;=30,"Obesity")</f>
        <v>Obesity</v>
      </c>
      <c r="J755" t="str" cm="1">
        <f t="array" ref="J755">_xlfn.IFS(C755&lt;5.7,"Normal",AND(C755&gt;=5.7,C755&lt;=6.49),"Prediabetes",C755&gt;=6.5,"Diabetes")</f>
        <v>Normal</v>
      </c>
    </row>
    <row r="756" spans="1:10" x14ac:dyDescent="0.3">
      <c r="A756" t="s">
        <v>1616</v>
      </c>
      <c r="B756" s="8">
        <v>34.299999999999997</v>
      </c>
      <c r="C756">
        <v>11.76</v>
      </c>
      <c r="D756" t="s">
        <v>2379</v>
      </c>
      <c r="E756" t="s">
        <v>2379</v>
      </c>
      <c r="F756" t="s">
        <v>2379</v>
      </c>
      <c r="G756">
        <v>0</v>
      </c>
      <c r="H756" t="s">
        <v>2379</v>
      </c>
      <c r="I756" t="str" cm="1">
        <f t="array" ref="I756">_xlfn.IFS(B756&lt;18.5,"Underweight",AND(B756&gt;=18.5,B756&lt;=24.99),"Normalweight",AND(B756&gt;=25,B756&lt;=29.99),"Overweight",B756&gt;=30,"Obesity")</f>
        <v>Obesity</v>
      </c>
      <c r="J756" t="str" cm="1">
        <f t="array" ref="J756">_xlfn.IFS(C756&lt;5.7,"Normal",AND(C756&gt;=5.7,C756&lt;=6.49),"Prediabetes",C756&gt;=6.5,"Diabetes")</f>
        <v>Diabetes</v>
      </c>
    </row>
    <row r="757" spans="1:10" x14ac:dyDescent="0.3">
      <c r="A757" t="s">
        <v>1615</v>
      </c>
      <c r="B757" s="8">
        <v>32.11</v>
      </c>
      <c r="C757">
        <v>7.06</v>
      </c>
      <c r="D757" t="s">
        <v>2379</v>
      </c>
      <c r="E757" t="s">
        <v>2379</v>
      </c>
      <c r="F757" t="s">
        <v>2379</v>
      </c>
      <c r="G757">
        <v>0</v>
      </c>
      <c r="H757" t="s">
        <v>2379</v>
      </c>
      <c r="I757" t="str" cm="1">
        <f t="array" ref="I757">_xlfn.IFS(B757&lt;18.5,"Underweight",AND(B757&gt;=18.5,B757&lt;=24.99),"Normalweight",AND(B757&gt;=25,B757&lt;=29.99),"Overweight",B757&gt;=30,"Obesity")</f>
        <v>Obesity</v>
      </c>
      <c r="J757" t="str" cm="1">
        <f t="array" ref="J757">_xlfn.IFS(C757&lt;5.7,"Normal",AND(C757&gt;=5.7,C757&lt;=6.49),"Prediabetes",C757&gt;=6.5,"Diabetes")</f>
        <v>Diabetes</v>
      </c>
    </row>
    <row r="758" spans="1:10" x14ac:dyDescent="0.3">
      <c r="A758" t="s">
        <v>1614</v>
      </c>
      <c r="B758" s="8">
        <v>31.78</v>
      </c>
      <c r="C758">
        <v>11.35</v>
      </c>
      <c r="D758" t="s">
        <v>2381</v>
      </c>
      <c r="E758" t="s">
        <v>2379</v>
      </c>
      <c r="F758" t="s">
        <v>2381</v>
      </c>
      <c r="G758">
        <v>1</v>
      </c>
      <c r="H758" t="s">
        <v>2379</v>
      </c>
      <c r="I758" t="str" cm="1">
        <f t="array" ref="I758">_xlfn.IFS(B758&lt;18.5,"Underweight",AND(B758&gt;=18.5,B758&lt;=24.99),"Normalweight",AND(B758&gt;=25,B758&lt;=29.99),"Overweight",B758&gt;=30,"Obesity")</f>
        <v>Obesity</v>
      </c>
      <c r="J758" t="str" cm="1">
        <f t="array" ref="J758">_xlfn.IFS(C758&lt;5.7,"Normal",AND(C758&gt;=5.7,C758&lt;=6.49),"Prediabetes",C758&gt;=6.5,"Diabetes")</f>
        <v>Diabetes</v>
      </c>
    </row>
    <row r="759" spans="1:10" x14ac:dyDescent="0.3">
      <c r="A759" t="s">
        <v>1613</v>
      </c>
      <c r="B759" s="8">
        <v>46.89</v>
      </c>
      <c r="C759">
        <v>5.52</v>
      </c>
      <c r="D759" t="s">
        <v>2379</v>
      </c>
      <c r="E759" t="s">
        <v>2379</v>
      </c>
      <c r="F759" t="s">
        <v>2379</v>
      </c>
      <c r="G759">
        <v>0</v>
      </c>
      <c r="H759" t="s">
        <v>2379</v>
      </c>
      <c r="I759" t="str" cm="1">
        <f t="array" ref="I759">_xlfn.IFS(B759&lt;18.5,"Underweight",AND(B759&gt;=18.5,B759&lt;=24.99),"Normalweight",AND(B759&gt;=25,B759&lt;=29.99),"Overweight",B759&gt;=30,"Obesity")</f>
        <v>Obesity</v>
      </c>
      <c r="J759" t="str" cm="1">
        <f t="array" ref="J759">_xlfn.IFS(C759&lt;5.7,"Normal",AND(C759&gt;=5.7,C759&lt;=6.49),"Prediabetes",C759&gt;=6.5,"Diabetes")</f>
        <v>Normal</v>
      </c>
    </row>
    <row r="760" spans="1:10" x14ac:dyDescent="0.3">
      <c r="A760" t="s">
        <v>1612</v>
      </c>
      <c r="B760" s="8">
        <v>39.35</v>
      </c>
      <c r="C760">
        <v>7.86</v>
      </c>
      <c r="D760" t="s">
        <v>2381</v>
      </c>
      <c r="E760" t="s">
        <v>2379</v>
      </c>
      <c r="F760" t="s">
        <v>2379</v>
      </c>
      <c r="G760">
        <v>1</v>
      </c>
      <c r="H760" t="s">
        <v>2379</v>
      </c>
      <c r="I760" t="str" cm="1">
        <f t="array" ref="I760">_xlfn.IFS(B760&lt;18.5,"Underweight",AND(B760&gt;=18.5,B760&lt;=24.99),"Normalweight",AND(B760&gt;=25,B760&lt;=29.99),"Overweight",B760&gt;=30,"Obesity")</f>
        <v>Obesity</v>
      </c>
      <c r="J760" t="str" cm="1">
        <f t="array" ref="J760">_xlfn.IFS(C760&lt;5.7,"Normal",AND(C760&gt;=5.7,C760&lt;=6.49),"Prediabetes",C760&gt;=6.5,"Diabetes")</f>
        <v>Diabetes</v>
      </c>
    </row>
    <row r="761" spans="1:10" x14ac:dyDescent="0.3">
      <c r="A761" t="s">
        <v>1611</v>
      </c>
      <c r="B761" s="8">
        <v>39.200000000000003</v>
      </c>
      <c r="C761">
        <v>11.38</v>
      </c>
      <c r="D761" t="s">
        <v>2379</v>
      </c>
      <c r="E761" t="s">
        <v>2379</v>
      </c>
      <c r="F761" t="s">
        <v>2379</v>
      </c>
      <c r="G761">
        <v>0</v>
      </c>
      <c r="H761" t="s">
        <v>2379</v>
      </c>
      <c r="I761" t="str" cm="1">
        <f t="array" ref="I761">_xlfn.IFS(B761&lt;18.5,"Underweight",AND(B761&gt;=18.5,B761&lt;=24.99),"Normalweight",AND(B761&gt;=25,B761&lt;=29.99),"Overweight",B761&gt;=30,"Obesity")</f>
        <v>Obesity</v>
      </c>
      <c r="J761" t="str" cm="1">
        <f t="array" ref="J761">_xlfn.IFS(C761&lt;5.7,"Normal",AND(C761&gt;=5.7,C761&lt;=6.49),"Prediabetes",C761&gt;=6.5,"Diabetes")</f>
        <v>Diabetes</v>
      </c>
    </row>
    <row r="762" spans="1:10" x14ac:dyDescent="0.3">
      <c r="A762" t="s">
        <v>1610</v>
      </c>
      <c r="B762" s="8">
        <v>39.159999999999997</v>
      </c>
      <c r="C762">
        <v>10.48</v>
      </c>
      <c r="D762" t="s">
        <v>2379</v>
      </c>
      <c r="E762" t="s">
        <v>2379</v>
      </c>
      <c r="F762" t="s">
        <v>2379</v>
      </c>
      <c r="G762">
        <v>0</v>
      </c>
      <c r="H762" t="s">
        <v>2379</v>
      </c>
      <c r="I762" t="str" cm="1">
        <f t="array" ref="I762">_xlfn.IFS(B762&lt;18.5,"Underweight",AND(B762&gt;=18.5,B762&lt;=24.99),"Normalweight",AND(B762&gt;=25,B762&lt;=29.99),"Overweight",B762&gt;=30,"Obesity")</f>
        <v>Obesity</v>
      </c>
      <c r="J762" t="str" cm="1">
        <f t="array" ref="J762">_xlfn.IFS(C762&lt;5.7,"Normal",AND(C762&gt;=5.7,C762&lt;=6.49),"Prediabetes",C762&gt;=6.5,"Diabetes")</f>
        <v>Diabetes</v>
      </c>
    </row>
    <row r="763" spans="1:10" x14ac:dyDescent="0.3">
      <c r="A763" t="s">
        <v>1609</v>
      </c>
      <c r="B763" s="8">
        <v>44.1</v>
      </c>
      <c r="C763">
        <v>5.04</v>
      </c>
      <c r="D763" t="s">
        <v>2381</v>
      </c>
      <c r="E763" t="s">
        <v>2379</v>
      </c>
      <c r="F763" t="s">
        <v>2379</v>
      </c>
      <c r="G763">
        <v>0</v>
      </c>
      <c r="H763" t="s">
        <v>2379</v>
      </c>
      <c r="I763" t="str" cm="1">
        <f t="array" ref="I763">_xlfn.IFS(B763&lt;18.5,"Underweight",AND(B763&gt;=18.5,B763&lt;=24.99),"Normalweight",AND(B763&gt;=25,B763&lt;=29.99),"Overweight",B763&gt;=30,"Obesity")</f>
        <v>Obesity</v>
      </c>
      <c r="J763" t="str" cm="1">
        <f t="array" ref="J763">_xlfn.IFS(C763&lt;5.7,"Normal",AND(C763&gt;=5.7,C763&lt;=6.49),"Prediabetes",C763&gt;=6.5,"Diabetes")</f>
        <v>Normal</v>
      </c>
    </row>
    <row r="764" spans="1:10" x14ac:dyDescent="0.3">
      <c r="A764" t="s">
        <v>1608</v>
      </c>
      <c r="B764" s="8">
        <v>33.200000000000003</v>
      </c>
      <c r="C764">
        <v>9.06</v>
      </c>
      <c r="D764" t="s">
        <v>2379</v>
      </c>
      <c r="E764" t="s">
        <v>2379</v>
      </c>
      <c r="F764" t="s">
        <v>2379</v>
      </c>
      <c r="G764">
        <v>0</v>
      </c>
      <c r="H764" t="s">
        <v>2379</v>
      </c>
      <c r="I764" t="str" cm="1">
        <f t="array" ref="I764">_xlfn.IFS(B764&lt;18.5,"Underweight",AND(B764&gt;=18.5,B764&lt;=24.99),"Normalweight",AND(B764&gt;=25,B764&lt;=29.99),"Overweight",B764&gt;=30,"Obesity")</f>
        <v>Obesity</v>
      </c>
      <c r="J764" t="str" cm="1">
        <f t="array" ref="J764">_xlfn.IFS(C764&lt;5.7,"Normal",AND(C764&gt;=5.7,C764&lt;=6.49),"Prediabetes",C764&gt;=6.5,"Diabetes")</f>
        <v>Diabetes</v>
      </c>
    </row>
    <row r="765" spans="1:10" x14ac:dyDescent="0.3">
      <c r="A765" t="s">
        <v>1607</v>
      </c>
      <c r="B765" s="8">
        <v>29.92</v>
      </c>
      <c r="C765">
        <v>11.07</v>
      </c>
      <c r="D765" t="s">
        <v>2379</v>
      </c>
      <c r="E765" t="s">
        <v>2379</v>
      </c>
      <c r="F765" t="s">
        <v>2379</v>
      </c>
      <c r="G765">
        <v>0</v>
      </c>
      <c r="H765" t="s">
        <v>2379</v>
      </c>
      <c r="I765" t="str" cm="1">
        <f t="array" ref="I765">_xlfn.IFS(B765&lt;18.5,"Underweight",AND(B765&gt;=18.5,B765&lt;=24.99),"Normalweight",AND(B765&gt;=25,B765&lt;=29.99),"Overweight",B765&gt;=30,"Obesity")</f>
        <v>Overweight</v>
      </c>
      <c r="J765" t="str" cm="1">
        <f t="array" ref="J765">_xlfn.IFS(C765&lt;5.7,"Normal",AND(C765&gt;=5.7,C765&lt;=6.49),"Prediabetes",C765&gt;=6.5,"Diabetes")</f>
        <v>Diabetes</v>
      </c>
    </row>
    <row r="766" spans="1:10" x14ac:dyDescent="0.3">
      <c r="A766" t="s">
        <v>1606</v>
      </c>
      <c r="B766" s="8">
        <v>25</v>
      </c>
      <c r="C766">
        <v>10.45</v>
      </c>
      <c r="D766" t="s">
        <v>2379</v>
      </c>
      <c r="E766" t="s">
        <v>2379</v>
      </c>
      <c r="F766" t="s">
        <v>2379</v>
      </c>
      <c r="G766">
        <v>0</v>
      </c>
      <c r="H766" t="s">
        <v>2379</v>
      </c>
      <c r="I766" t="str" cm="1">
        <f t="array" ref="I766">_xlfn.IFS(B766&lt;18.5,"Underweight",AND(B766&gt;=18.5,B766&lt;=24.99),"Normalweight",AND(B766&gt;=25,B766&lt;=29.99),"Overweight",B766&gt;=30,"Obesity")</f>
        <v>Overweight</v>
      </c>
      <c r="J766" t="str" cm="1">
        <f t="array" ref="J766">_xlfn.IFS(C766&lt;5.7,"Normal",AND(C766&gt;=5.7,C766&lt;=6.49),"Prediabetes",C766&gt;=6.5,"Diabetes")</f>
        <v>Diabetes</v>
      </c>
    </row>
    <row r="767" spans="1:10" x14ac:dyDescent="0.3">
      <c r="A767" t="s">
        <v>1605</v>
      </c>
      <c r="B767" s="8">
        <v>38.869999999999997</v>
      </c>
      <c r="C767">
        <v>8.6300000000000008</v>
      </c>
      <c r="D767" t="s">
        <v>2381</v>
      </c>
      <c r="E767" t="s">
        <v>2379</v>
      </c>
      <c r="F767" t="s">
        <v>2379</v>
      </c>
      <c r="G767">
        <v>1</v>
      </c>
      <c r="H767" t="s">
        <v>2379</v>
      </c>
      <c r="I767" t="str" cm="1">
        <f t="array" ref="I767">_xlfn.IFS(B767&lt;18.5,"Underweight",AND(B767&gt;=18.5,B767&lt;=24.99),"Normalweight",AND(B767&gt;=25,B767&lt;=29.99),"Overweight",B767&gt;=30,"Obesity")</f>
        <v>Obesity</v>
      </c>
      <c r="J767" t="str" cm="1">
        <f t="array" ref="J767">_xlfn.IFS(C767&lt;5.7,"Normal",AND(C767&gt;=5.7,C767&lt;=6.49),"Prediabetes",C767&gt;=6.5,"Diabetes")</f>
        <v>Diabetes</v>
      </c>
    </row>
    <row r="768" spans="1:10" x14ac:dyDescent="0.3">
      <c r="A768" t="s">
        <v>1604</v>
      </c>
      <c r="B768" s="8">
        <v>32.299999999999997</v>
      </c>
      <c r="C768">
        <v>5.28</v>
      </c>
      <c r="D768" t="s">
        <v>2381</v>
      </c>
      <c r="E768" t="s">
        <v>2379</v>
      </c>
      <c r="F768" t="s">
        <v>2379</v>
      </c>
      <c r="G768">
        <v>2</v>
      </c>
      <c r="H768" t="s">
        <v>2379</v>
      </c>
      <c r="I768" t="str" cm="1">
        <f t="array" ref="I768">_xlfn.IFS(B768&lt;18.5,"Underweight",AND(B768&gt;=18.5,B768&lt;=24.99),"Normalweight",AND(B768&gt;=25,B768&lt;=29.99),"Overweight",B768&gt;=30,"Obesity")</f>
        <v>Obesity</v>
      </c>
      <c r="J768" t="str" cm="1">
        <f t="array" ref="J768">_xlfn.IFS(C768&lt;5.7,"Normal",AND(C768&gt;=5.7,C768&lt;=6.49),"Prediabetes",C768&gt;=6.5,"Diabetes")</f>
        <v>Normal</v>
      </c>
    </row>
    <row r="769" spans="1:10" x14ac:dyDescent="0.3">
      <c r="A769" t="s">
        <v>1603</v>
      </c>
      <c r="B769" s="8">
        <v>31.16</v>
      </c>
      <c r="C769">
        <v>7.49</v>
      </c>
      <c r="D769" t="s">
        <v>2381</v>
      </c>
      <c r="E769" t="s">
        <v>2379</v>
      </c>
      <c r="F769" t="s">
        <v>2379</v>
      </c>
      <c r="G769">
        <v>2</v>
      </c>
      <c r="H769" t="s">
        <v>2379</v>
      </c>
      <c r="I769" t="str" cm="1">
        <f t="array" ref="I769">_xlfn.IFS(B769&lt;18.5,"Underweight",AND(B769&gt;=18.5,B769&lt;=24.99),"Normalweight",AND(B769&gt;=25,B769&lt;=29.99),"Overweight",B769&gt;=30,"Obesity")</f>
        <v>Obesity</v>
      </c>
      <c r="J769" t="str" cm="1">
        <f t="array" ref="J769">_xlfn.IFS(C769&lt;5.7,"Normal",AND(C769&gt;=5.7,C769&lt;=6.49),"Prediabetes",C769&gt;=6.5,"Diabetes")</f>
        <v>Diabetes</v>
      </c>
    </row>
    <row r="770" spans="1:10" x14ac:dyDescent="0.3">
      <c r="A770" t="s">
        <v>1602</v>
      </c>
      <c r="B770" s="8">
        <v>54.59</v>
      </c>
      <c r="C770">
        <v>4.2699999999999996</v>
      </c>
      <c r="D770" t="s">
        <v>2379</v>
      </c>
      <c r="E770" t="s">
        <v>2379</v>
      </c>
      <c r="F770" t="s">
        <v>2379</v>
      </c>
      <c r="G770">
        <v>0</v>
      </c>
      <c r="H770" t="s">
        <v>2379</v>
      </c>
      <c r="I770" t="str" cm="1">
        <f t="array" ref="I770">_xlfn.IFS(B770&lt;18.5,"Underweight",AND(B770&gt;=18.5,B770&lt;=24.99),"Normalweight",AND(B770&gt;=25,B770&lt;=29.99),"Overweight",B770&gt;=30,"Obesity")</f>
        <v>Obesity</v>
      </c>
      <c r="J770" t="str" cm="1">
        <f t="array" ref="J770">_xlfn.IFS(C770&lt;5.7,"Normal",AND(C770&gt;=5.7,C770&lt;=6.49),"Prediabetes",C770&gt;=6.5,"Diabetes")</f>
        <v>Normal</v>
      </c>
    </row>
    <row r="771" spans="1:10" x14ac:dyDescent="0.3">
      <c r="A771" t="s">
        <v>1601</v>
      </c>
      <c r="B771" s="8">
        <v>21.09</v>
      </c>
      <c r="C771">
        <v>9.2200000000000006</v>
      </c>
      <c r="D771" t="s">
        <v>2381</v>
      </c>
      <c r="E771" t="s">
        <v>2379</v>
      </c>
      <c r="F771" t="s">
        <v>2379</v>
      </c>
      <c r="G771">
        <v>2</v>
      </c>
      <c r="H771" t="s">
        <v>2379</v>
      </c>
      <c r="I771" t="str" cm="1">
        <f t="array" ref="I771">_xlfn.IFS(B771&lt;18.5,"Underweight",AND(B771&gt;=18.5,B771&lt;=24.99),"Normalweight",AND(B771&gt;=25,B771&lt;=29.99),"Overweight",B771&gt;=30,"Obesity")</f>
        <v>Normalweight</v>
      </c>
      <c r="J771" t="str" cm="1">
        <f t="array" ref="J771">_xlfn.IFS(C771&lt;5.7,"Normal",AND(C771&gt;=5.7,C771&lt;=6.49),"Prediabetes",C771&gt;=6.5,"Diabetes")</f>
        <v>Diabetes</v>
      </c>
    </row>
    <row r="772" spans="1:10" x14ac:dyDescent="0.3">
      <c r="A772" t="s">
        <v>1600</v>
      </c>
      <c r="B772" s="8">
        <v>52.41</v>
      </c>
      <c r="C772">
        <v>5.99</v>
      </c>
      <c r="D772" t="s">
        <v>2379</v>
      </c>
      <c r="E772" t="s">
        <v>2379</v>
      </c>
      <c r="F772" t="s">
        <v>2379</v>
      </c>
      <c r="G772">
        <v>1</v>
      </c>
      <c r="H772" t="s">
        <v>2379</v>
      </c>
      <c r="I772" t="str" cm="1">
        <f t="array" ref="I772">_xlfn.IFS(B772&lt;18.5,"Underweight",AND(B772&gt;=18.5,B772&lt;=24.99),"Normalweight",AND(B772&gt;=25,B772&lt;=29.99),"Overweight",B772&gt;=30,"Obesity")</f>
        <v>Obesity</v>
      </c>
      <c r="J772" t="str" cm="1">
        <f t="array" ref="J772">_xlfn.IFS(C772&lt;5.7,"Normal",AND(C772&gt;=5.7,C772&lt;=6.49),"Prediabetes",C772&gt;=6.5,"Diabetes")</f>
        <v>Prediabetes</v>
      </c>
    </row>
    <row r="773" spans="1:10" x14ac:dyDescent="0.3">
      <c r="A773" t="s">
        <v>1599</v>
      </c>
      <c r="B773" s="8">
        <v>41.47</v>
      </c>
      <c r="C773">
        <v>5.86</v>
      </c>
      <c r="D773" t="s">
        <v>2381</v>
      </c>
      <c r="E773" t="s">
        <v>2379</v>
      </c>
      <c r="F773" t="s">
        <v>2379</v>
      </c>
      <c r="G773">
        <v>2</v>
      </c>
      <c r="H773" t="s">
        <v>2379</v>
      </c>
      <c r="I773" t="str" cm="1">
        <f t="array" ref="I773">_xlfn.IFS(B773&lt;18.5,"Underweight",AND(B773&gt;=18.5,B773&lt;=24.99),"Normalweight",AND(B773&gt;=25,B773&lt;=29.99),"Overweight",B773&gt;=30,"Obesity")</f>
        <v>Obesity</v>
      </c>
      <c r="J773" t="str" cm="1">
        <f t="array" ref="J773">_xlfn.IFS(C773&lt;5.7,"Normal",AND(C773&gt;=5.7,C773&lt;=6.49),"Prediabetes",C773&gt;=6.5,"Diabetes")</f>
        <v>Prediabetes</v>
      </c>
    </row>
    <row r="774" spans="1:10" x14ac:dyDescent="0.3">
      <c r="A774" t="s">
        <v>1598</v>
      </c>
      <c r="B774" s="8">
        <v>33.1</v>
      </c>
      <c r="C774">
        <v>5.19</v>
      </c>
      <c r="D774" t="s">
        <v>2381</v>
      </c>
      <c r="E774" t="s">
        <v>2379</v>
      </c>
      <c r="F774" t="s">
        <v>2379</v>
      </c>
      <c r="G774">
        <v>2</v>
      </c>
      <c r="H774" t="s">
        <v>2379</v>
      </c>
      <c r="I774" t="str" cm="1">
        <f t="array" ref="I774">_xlfn.IFS(B774&lt;18.5,"Underweight",AND(B774&gt;=18.5,B774&lt;=24.99),"Normalweight",AND(B774&gt;=25,B774&lt;=29.99),"Overweight",B774&gt;=30,"Obesity")</f>
        <v>Obesity</v>
      </c>
      <c r="J774" t="str" cm="1">
        <f t="array" ref="J774">_xlfn.IFS(C774&lt;5.7,"Normal",AND(C774&gt;=5.7,C774&lt;=6.49),"Prediabetes",C774&gt;=6.5,"Diabetes")</f>
        <v>Normal</v>
      </c>
    </row>
    <row r="775" spans="1:10" x14ac:dyDescent="0.3">
      <c r="A775" t="s">
        <v>1597</v>
      </c>
      <c r="B775" s="8">
        <v>30.8</v>
      </c>
      <c r="C775">
        <v>4.37</v>
      </c>
      <c r="D775" t="s">
        <v>2381</v>
      </c>
      <c r="E775" t="s">
        <v>2379</v>
      </c>
      <c r="F775" t="s">
        <v>2379</v>
      </c>
      <c r="G775">
        <v>2</v>
      </c>
      <c r="H775" t="s">
        <v>2379</v>
      </c>
      <c r="I775" t="str" cm="1">
        <f t="array" ref="I775">_xlfn.IFS(B775&lt;18.5,"Underweight",AND(B775&gt;=18.5,B775&lt;=24.99),"Normalweight",AND(B775&gt;=25,B775&lt;=29.99),"Overweight",B775&gt;=30,"Obesity")</f>
        <v>Obesity</v>
      </c>
      <c r="J775" t="str" cm="1">
        <f t="array" ref="J775">_xlfn.IFS(C775&lt;5.7,"Normal",AND(C775&gt;=5.7,C775&lt;=6.49),"Prediabetes",C775&gt;=6.5,"Diabetes")</f>
        <v>Normal</v>
      </c>
    </row>
    <row r="776" spans="1:10" x14ac:dyDescent="0.3">
      <c r="A776" t="s">
        <v>1596</v>
      </c>
      <c r="B776" s="8">
        <v>42.06</v>
      </c>
      <c r="C776">
        <v>5.32</v>
      </c>
      <c r="D776" t="s">
        <v>2379</v>
      </c>
      <c r="E776" t="s">
        <v>2379</v>
      </c>
      <c r="F776" t="s">
        <v>2379</v>
      </c>
      <c r="G776">
        <v>1</v>
      </c>
      <c r="H776" t="s">
        <v>2379</v>
      </c>
      <c r="I776" t="str" cm="1">
        <f t="array" ref="I776">_xlfn.IFS(B776&lt;18.5,"Underweight",AND(B776&gt;=18.5,B776&lt;=24.99),"Normalweight",AND(B776&gt;=25,B776&lt;=29.99),"Overweight",B776&gt;=30,"Obesity")</f>
        <v>Obesity</v>
      </c>
      <c r="J776" t="str" cm="1">
        <f t="array" ref="J776">_xlfn.IFS(C776&lt;5.7,"Normal",AND(C776&gt;=5.7,C776&lt;=6.49),"Prediabetes",C776&gt;=6.5,"Diabetes")</f>
        <v>Normal</v>
      </c>
    </row>
    <row r="777" spans="1:10" x14ac:dyDescent="0.3">
      <c r="A777" t="s">
        <v>1595</v>
      </c>
      <c r="B777" s="8">
        <v>39.270000000000003</v>
      </c>
      <c r="C777">
        <v>5.64</v>
      </c>
      <c r="D777" t="s">
        <v>2379</v>
      </c>
      <c r="E777" t="s">
        <v>2379</v>
      </c>
      <c r="F777" t="s">
        <v>2381</v>
      </c>
      <c r="G777">
        <v>1</v>
      </c>
      <c r="H777" t="s">
        <v>2379</v>
      </c>
      <c r="I777" t="str" cm="1">
        <f t="array" ref="I777">_xlfn.IFS(B777&lt;18.5,"Underweight",AND(B777&gt;=18.5,B777&lt;=24.99),"Normalweight",AND(B777&gt;=25,B777&lt;=29.99),"Overweight",B777&gt;=30,"Obesity")</f>
        <v>Obesity</v>
      </c>
      <c r="J777" t="str" cm="1">
        <f t="array" ref="J777">_xlfn.IFS(C777&lt;5.7,"Normal",AND(C777&gt;=5.7,C777&lt;=6.49),"Prediabetes",C777&gt;=6.5,"Diabetes")</f>
        <v>Normal</v>
      </c>
    </row>
    <row r="778" spans="1:10" x14ac:dyDescent="0.3">
      <c r="A778" t="s">
        <v>1594</v>
      </c>
      <c r="B778" s="8">
        <v>30.71</v>
      </c>
      <c r="C778">
        <v>5.59</v>
      </c>
      <c r="D778" t="s">
        <v>2381</v>
      </c>
      <c r="E778" t="s">
        <v>2379</v>
      </c>
      <c r="F778" t="s">
        <v>2379</v>
      </c>
      <c r="G778">
        <v>1</v>
      </c>
      <c r="H778" t="s">
        <v>2379</v>
      </c>
      <c r="I778" t="str" cm="1">
        <f t="array" ref="I778">_xlfn.IFS(B778&lt;18.5,"Underweight",AND(B778&gt;=18.5,B778&lt;=24.99),"Normalweight",AND(B778&gt;=25,B778&lt;=29.99),"Overweight",B778&gt;=30,"Obesity")</f>
        <v>Obesity</v>
      </c>
      <c r="J778" t="str" cm="1">
        <f t="array" ref="J778">_xlfn.IFS(C778&lt;5.7,"Normal",AND(C778&gt;=5.7,C778&lt;=6.49),"Prediabetes",C778&gt;=6.5,"Diabetes")</f>
        <v>Normal</v>
      </c>
    </row>
    <row r="779" spans="1:10" x14ac:dyDescent="0.3">
      <c r="A779" t="s">
        <v>1593</v>
      </c>
      <c r="B779" s="8">
        <v>47.19</v>
      </c>
      <c r="C779">
        <v>5.29</v>
      </c>
      <c r="D779" t="s">
        <v>2379</v>
      </c>
      <c r="E779" t="s">
        <v>2379</v>
      </c>
      <c r="F779" t="s">
        <v>2379</v>
      </c>
      <c r="G779">
        <v>0</v>
      </c>
      <c r="H779" t="s">
        <v>2379</v>
      </c>
      <c r="I779" t="str" cm="1">
        <f t="array" ref="I779">_xlfn.IFS(B779&lt;18.5,"Underweight",AND(B779&gt;=18.5,B779&lt;=24.99),"Normalweight",AND(B779&gt;=25,B779&lt;=29.99),"Overweight",B779&gt;=30,"Obesity")</f>
        <v>Obesity</v>
      </c>
      <c r="J779" t="str" cm="1">
        <f t="array" ref="J779">_xlfn.IFS(C779&lt;5.7,"Normal",AND(C779&gt;=5.7,C779&lt;=6.49),"Prediabetes",C779&gt;=6.5,"Diabetes")</f>
        <v>Normal</v>
      </c>
    </row>
    <row r="780" spans="1:10" x14ac:dyDescent="0.3">
      <c r="A780" t="s">
        <v>1592</v>
      </c>
      <c r="B780" s="8">
        <v>30.02</v>
      </c>
      <c r="C780">
        <v>6.65</v>
      </c>
      <c r="D780" t="s">
        <v>2379</v>
      </c>
      <c r="E780" t="s">
        <v>2379</v>
      </c>
      <c r="F780" t="s">
        <v>2379</v>
      </c>
      <c r="G780">
        <v>0</v>
      </c>
      <c r="H780" t="s">
        <v>2379</v>
      </c>
      <c r="I780" t="str" cm="1">
        <f t="array" ref="I780">_xlfn.IFS(B780&lt;18.5,"Underweight",AND(B780&gt;=18.5,B780&lt;=24.99),"Normalweight",AND(B780&gt;=25,B780&lt;=29.99),"Overweight",B780&gt;=30,"Obesity")</f>
        <v>Obesity</v>
      </c>
      <c r="J780" t="str" cm="1">
        <f t="array" ref="J780">_xlfn.IFS(C780&lt;5.7,"Normal",AND(C780&gt;=5.7,C780&lt;=6.49),"Prediabetes",C780&gt;=6.5,"Diabetes")</f>
        <v>Diabetes</v>
      </c>
    </row>
    <row r="781" spans="1:10" x14ac:dyDescent="0.3">
      <c r="A781" t="s">
        <v>1591</v>
      </c>
      <c r="B781" s="8">
        <v>37.909999999999997</v>
      </c>
      <c r="C781">
        <v>5.68</v>
      </c>
      <c r="D781" t="s">
        <v>2381</v>
      </c>
      <c r="E781" t="s">
        <v>2379</v>
      </c>
      <c r="F781" t="s">
        <v>2379</v>
      </c>
      <c r="G781">
        <v>0</v>
      </c>
      <c r="H781" t="s">
        <v>2379</v>
      </c>
      <c r="I781" t="str" cm="1">
        <f t="array" ref="I781">_xlfn.IFS(B781&lt;18.5,"Underweight",AND(B781&gt;=18.5,B781&lt;=24.99),"Normalweight",AND(B781&gt;=25,B781&lt;=29.99),"Overweight",B781&gt;=30,"Obesity")</f>
        <v>Obesity</v>
      </c>
      <c r="J781" t="str" cm="1">
        <f t="array" ref="J781">_xlfn.IFS(C781&lt;5.7,"Normal",AND(C781&gt;=5.7,C781&lt;=6.49),"Prediabetes",C781&gt;=6.5,"Diabetes")</f>
        <v>Normal</v>
      </c>
    </row>
    <row r="782" spans="1:10" x14ac:dyDescent="0.3">
      <c r="A782" t="s">
        <v>1590</v>
      </c>
      <c r="B782" s="8">
        <v>54.61</v>
      </c>
      <c r="C782">
        <v>4.49</v>
      </c>
      <c r="D782" t="s">
        <v>2379</v>
      </c>
      <c r="E782" t="s">
        <v>2379</v>
      </c>
      <c r="F782" t="s">
        <v>2379</v>
      </c>
      <c r="G782">
        <v>0</v>
      </c>
      <c r="H782" t="s">
        <v>2379</v>
      </c>
      <c r="I782" t="str" cm="1">
        <f t="array" ref="I782">_xlfn.IFS(B782&lt;18.5,"Underweight",AND(B782&gt;=18.5,B782&lt;=24.99),"Normalweight",AND(B782&gt;=25,B782&lt;=29.99),"Overweight",B782&gt;=30,"Obesity")</f>
        <v>Obesity</v>
      </c>
      <c r="J782" t="str" cm="1">
        <f t="array" ref="J782">_xlfn.IFS(C782&lt;5.7,"Normal",AND(C782&gt;=5.7,C782&lt;=6.49),"Prediabetes",C782&gt;=6.5,"Diabetes")</f>
        <v>Normal</v>
      </c>
    </row>
    <row r="783" spans="1:10" x14ac:dyDescent="0.3">
      <c r="A783" t="s">
        <v>1589</v>
      </c>
      <c r="B783" s="8">
        <v>36.005000000000003</v>
      </c>
      <c r="C783">
        <v>6.9</v>
      </c>
      <c r="D783" t="s">
        <v>2379</v>
      </c>
      <c r="E783" t="s">
        <v>2379</v>
      </c>
      <c r="F783" t="s">
        <v>2379</v>
      </c>
      <c r="G783">
        <v>0</v>
      </c>
      <c r="H783" t="s">
        <v>2379</v>
      </c>
      <c r="I783" t="str" cm="1">
        <f t="array" ref="I783">_xlfn.IFS(B783&lt;18.5,"Underweight",AND(B783&gt;=18.5,B783&lt;=24.99),"Normalweight",AND(B783&gt;=25,B783&lt;=29.99),"Overweight",B783&gt;=30,"Obesity")</f>
        <v>Obesity</v>
      </c>
      <c r="J783" t="str" cm="1">
        <f t="array" ref="J783">_xlfn.IFS(C783&lt;5.7,"Normal",AND(C783&gt;=5.7,C783&lt;=6.49),"Prediabetes",C783&gt;=6.5,"Diabetes")</f>
        <v>Diabetes</v>
      </c>
    </row>
    <row r="784" spans="1:10" x14ac:dyDescent="0.3">
      <c r="A784" t="s">
        <v>1588</v>
      </c>
      <c r="B784" s="8">
        <v>28.7</v>
      </c>
      <c r="C784">
        <v>11.52</v>
      </c>
      <c r="D784" t="s">
        <v>2379</v>
      </c>
      <c r="E784" t="s">
        <v>2379</v>
      </c>
      <c r="F784" t="s">
        <v>2379</v>
      </c>
      <c r="G784">
        <v>0</v>
      </c>
      <c r="H784" t="s">
        <v>2379</v>
      </c>
      <c r="I784" t="str" cm="1">
        <f t="array" ref="I784">_xlfn.IFS(B784&lt;18.5,"Underweight",AND(B784&gt;=18.5,B784&lt;=24.99),"Normalweight",AND(B784&gt;=25,B784&lt;=29.99),"Overweight",B784&gt;=30,"Obesity")</f>
        <v>Overweight</v>
      </c>
      <c r="J784" t="str" cm="1">
        <f t="array" ref="J784">_xlfn.IFS(C784&lt;5.7,"Normal",AND(C784&gt;=5.7,C784&lt;=6.49),"Prediabetes",C784&gt;=6.5,"Diabetes")</f>
        <v>Diabetes</v>
      </c>
    </row>
    <row r="785" spans="1:10" x14ac:dyDescent="0.3">
      <c r="A785" t="s">
        <v>1587</v>
      </c>
      <c r="B785" s="8">
        <v>34.295000000000002</v>
      </c>
      <c r="C785">
        <v>11.24</v>
      </c>
      <c r="D785" t="s">
        <v>2379</v>
      </c>
      <c r="E785" t="s">
        <v>2379</v>
      </c>
      <c r="F785" t="s">
        <v>2379</v>
      </c>
      <c r="G785">
        <v>0</v>
      </c>
      <c r="H785" t="s">
        <v>2379</v>
      </c>
      <c r="I785" t="str" cm="1">
        <f t="array" ref="I785">_xlfn.IFS(B785&lt;18.5,"Underweight",AND(B785&gt;=18.5,B785&lt;=24.99),"Normalweight",AND(B785&gt;=25,B785&lt;=29.99),"Overweight",B785&gt;=30,"Obesity")</f>
        <v>Obesity</v>
      </c>
      <c r="J785" t="str" cm="1">
        <f t="array" ref="J785">_xlfn.IFS(C785&lt;5.7,"Normal",AND(C785&gt;=5.7,C785&lt;=6.49),"Prediabetes",C785&gt;=6.5,"Diabetes")</f>
        <v>Diabetes</v>
      </c>
    </row>
    <row r="786" spans="1:10" x14ac:dyDescent="0.3">
      <c r="A786" t="s">
        <v>1586</v>
      </c>
      <c r="B786" s="8">
        <v>27.55</v>
      </c>
      <c r="C786">
        <v>10.98</v>
      </c>
      <c r="D786" t="s">
        <v>2379</v>
      </c>
      <c r="E786" t="s">
        <v>2379</v>
      </c>
      <c r="F786" t="s">
        <v>2379</v>
      </c>
      <c r="G786">
        <v>0</v>
      </c>
      <c r="H786" t="s">
        <v>2379</v>
      </c>
      <c r="I786" t="str" cm="1">
        <f t="array" ref="I786">_xlfn.IFS(B786&lt;18.5,"Underweight",AND(B786&gt;=18.5,B786&lt;=24.99),"Normalweight",AND(B786&gt;=25,B786&lt;=29.99),"Overweight",B786&gt;=30,"Obesity")</f>
        <v>Overweight</v>
      </c>
      <c r="J786" t="str" cm="1">
        <f t="array" ref="J786">_xlfn.IFS(C786&lt;5.7,"Normal",AND(C786&gt;=5.7,C786&lt;=6.49),"Prediabetes",C786&gt;=6.5,"Diabetes")</f>
        <v>Diabetes</v>
      </c>
    </row>
    <row r="787" spans="1:10" x14ac:dyDescent="0.3">
      <c r="A787" t="s">
        <v>1585</v>
      </c>
      <c r="B787" s="8">
        <v>40.700000000000003</v>
      </c>
      <c r="C787">
        <v>5.42</v>
      </c>
      <c r="D787" t="s">
        <v>2379</v>
      </c>
      <c r="E787" t="s">
        <v>2379</v>
      </c>
      <c r="F787" t="s">
        <v>2379</v>
      </c>
      <c r="G787">
        <v>0</v>
      </c>
      <c r="H787" t="s">
        <v>2379</v>
      </c>
      <c r="I787" t="str" cm="1">
        <f t="array" ref="I787">_xlfn.IFS(B787&lt;18.5,"Underweight",AND(B787&gt;=18.5,B787&lt;=24.99),"Normalweight",AND(B787&gt;=25,B787&lt;=29.99),"Overweight",B787&gt;=30,"Obesity")</f>
        <v>Obesity</v>
      </c>
      <c r="J787" t="str" cm="1">
        <f t="array" ref="J787">_xlfn.IFS(C787&lt;5.7,"Normal",AND(C787&gt;=5.7,C787&lt;=6.49),"Prediabetes",C787&gt;=6.5,"Diabetes")</f>
        <v>Normal</v>
      </c>
    </row>
    <row r="788" spans="1:10" x14ac:dyDescent="0.3">
      <c r="A788" t="s">
        <v>1584</v>
      </c>
      <c r="B788" s="8">
        <v>18.335000000000001</v>
      </c>
      <c r="C788">
        <v>10.97</v>
      </c>
      <c r="D788" t="s">
        <v>2379</v>
      </c>
      <c r="E788" t="s">
        <v>2379</v>
      </c>
      <c r="F788" t="s">
        <v>2379</v>
      </c>
      <c r="G788">
        <v>0</v>
      </c>
      <c r="H788" t="s">
        <v>2379</v>
      </c>
      <c r="I788" t="str" cm="1">
        <f t="array" ref="I788">_xlfn.IFS(B788&lt;18.5,"Underweight",AND(B788&gt;=18.5,B788&lt;=24.99),"Normalweight",AND(B788&gt;=25,B788&lt;=29.99),"Overweight",B788&gt;=30,"Obesity")</f>
        <v>Underweight</v>
      </c>
      <c r="J788" t="str" cm="1">
        <f t="array" ref="J788">_xlfn.IFS(C788&lt;5.7,"Normal",AND(C788&gt;=5.7,C788&lt;=6.49),"Prediabetes",C788&gt;=6.5,"Diabetes")</f>
        <v>Diabetes</v>
      </c>
    </row>
    <row r="789" spans="1:10" x14ac:dyDescent="0.3">
      <c r="A789" t="s">
        <v>1583</v>
      </c>
      <c r="B789" s="8">
        <v>33.914999999999999</v>
      </c>
      <c r="C789">
        <v>9.56</v>
      </c>
      <c r="D789" t="s">
        <v>2381</v>
      </c>
      <c r="E789" t="s">
        <v>2379</v>
      </c>
      <c r="F789" t="s">
        <v>2379</v>
      </c>
      <c r="G789">
        <v>2</v>
      </c>
      <c r="H789" t="s">
        <v>2379</v>
      </c>
      <c r="I789" t="str" cm="1">
        <f t="array" ref="I789">_xlfn.IFS(B789&lt;18.5,"Underweight",AND(B789&gt;=18.5,B789&lt;=24.99),"Normalweight",AND(B789&gt;=25,B789&lt;=29.99),"Overweight",B789&gt;=30,"Obesity")</f>
        <v>Obesity</v>
      </c>
      <c r="J789" t="str" cm="1">
        <f t="array" ref="J789">_xlfn.IFS(C789&lt;5.7,"Normal",AND(C789&gt;=5.7,C789&lt;=6.49),"Prediabetes",C789&gt;=6.5,"Diabetes")</f>
        <v>Diabetes</v>
      </c>
    </row>
    <row r="790" spans="1:10" x14ac:dyDescent="0.3">
      <c r="A790" t="s">
        <v>1582</v>
      </c>
      <c r="B790" s="8">
        <v>33.534999999999997</v>
      </c>
      <c r="C790">
        <v>9.4</v>
      </c>
      <c r="D790" t="s">
        <v>2381</v>
      </c>
      <c r="E790" t="s">
        <v>2379</v>
      </c>
      <c r="F790" t="s">
        <v>2379</v>
      </c>
      <c r="G790">
        <v>2</v>
      </c>
      <c r="H790" t="s">
        <v>2379</v>
      </c>
      <c r="I790" t="str" cm="1">
        <f t="array" ref="I790">_xlfn.IFS(B790&lt;18.5,"Underweight",AND(B790&gt;=18.5,B790&lt;=24.99),"Normalweight",AND(B790&gt;=25,B790&lt;=29.99),"Overweight",B790&gt;=30,"Obesity")</f>
        <v>Obesity</v>
      </c>
      <c r="J790" t="str" cm="1">
        <f t="array" ref="J790">_xlfn.IFS(C790&lt;5.7,"Normal",AND(C790&gt;=5.7,C790&lt;=6.49),"Prediabetes",C790&gt;=6.5,"Diabetes")</f>
        <v>Diabetes</v>
      </c>
    </row>
    <row r="791" spans="1:10" x14ac:dyDescent="0.3">
      <c r="A791" t="s">
        <v>1581</v>
      </c>
      <c r="B791" s="8">
        <v>23.655000000000001</v>
      </c>
      <c r="C791">
        <v>8.48</v>
      </c>
      <c r="D791" t="s">
        <v>2381</v>
      </c>
      <c r="E791" t="s">
        <v>2379</v>
      </c>
      <c r="F791" t="s">
        <v>2379</v>
      </c>
      <c r="G791">
        <v>2</v>
      </c>
      <c r="H791" t="s">
        <v>2379</v>
      </c>
      <c r="I791" t="str" cm="1">
        <f t="array" ref="I791">_xlfn.IFS(B791&lt;18.5,"Underweight",AND(B791&gt;=18.5,B791&lt;=24.99),"Normalweight",AND(B791&gt;=25,B791&lt;=29.99),"Overweight",B791&gt;=30,"Obesity")</f>
        <v>Normalweight</v>
      </c>
      <c r="J791" t="str" cm="1">
        <f t="array" ref="J791">_xlfn.IFS(C791&lt;5.7,"Normal",AND(C791&gt;=5.7,C791&lt;=6.49),"Prediabetes",C791&gt;=6.5,"Diabetes")</f>
        <v>Diabetes</v>
      </c>
    </row>
    <row r="792" spans="1:10" x14ac:dyDescent="0.3">
      <c r="A792" t="s">
        <v>1580</v>
      </c>
      <c r="B792" s="8">
        <v>28</v>
      </c>
      <c r="C792">
        <v>5.57</v>
      </c>
      <c r="D792" t="s">
        <v>2379</v>
      </c>
      <c r="E792" t="s">
        <v>2379</v>
      </c>
      <c r="F792" t="s">
        <v>2379</v>
      </c>
      <c r="G792">
        <v>0</v>
      </c>
      <c r="H792" t="s">
        <v>2379</v>
      </c>
      <c r="I792" t="str" cm="1">
        <f t="array" ref="I792">_xlfn.IFS(B792&lt;18.5,"Underweight",AND(B792&gt;=18.5,B792&lt;=24.99),"Normalweight",AND(B792&gt;=25,B792&lt;=29.99),"Overweight",B792&gt;=30,"Obesity")</f>
        <v>Overweight</v>
      </c>
      <c r="J792" t="str" cm="1">
        <f t="array" ref="J792">_xlfn.IFS(C792&lt;5.7,"Normal",AND(C792&gt;=5.7,C792&lt;=6.49),"Prediabetes",C792&gt;=6.5,"Diabetes")</f>
        <v>Normal</v>
      </c>
    </row>
    <row r="793" spans="1:10" x14ac:dyDescent="0.3">
      <c r="A793" t="s">
        <v>1579</v>
      </c>
      <c r="B793" s="8">
        <v>30.23</v>
      </c>
      <c r="C793">
        <v>6.94</v>
      </c>
      <c r="D793" t="s">
        <v>2381</v>
      </c>
      <c r="E793" t="s">
        <v>2379</v>
      </c>
      <c r="F793" t="s">
        <v>2381</v>
      </c>
      <c r="G793">
        <v>1</v>
      </c>
      <c r="H793" t="s">
        <v>2379</v>
      </c>
      <c r="I793" t="str" cm="1">
        <f t="array" ref="I793">_xlfn.IFS(B793&lt;18.5,"Underweight",AND(B793&gt;=18.5,B793&lt;=24.99),"Normalweight",AND(B793&gt;=25,B793&lt;=29.99),"Overweight",B793&gt;=30,"Obesity")</f>
        <v>Obesity</v>
      </c>
      <c r="J793" t="str" cm="1">
        <f t="array" ref="J793">_xlfn.IFS(C793&lt;5.7,"Normal",AND(C793&gt;=5.7,C793&lt;=6.49),"Prediabetes",C793&gt;=6.5,"Diabetes")</f>
        <v>Diabetes</v>
      </c>
    </row>
    <row r="794" spans="1:10" x14ac:dyDescent="0.3">
      <c r="A794" t="s">
        <v>1578</v>
      </c>
      <c r="B794" s="8">
        <v>51.14</v>
      </c>
      <c r="C794">
        <v>4.05</v>
      </c>
      <c r="D794" t="s">
        <v>2379</v>
      </c>
      <c r="E794" t="s">
        <v>2379</v>
      </c>
      <c r="F794" t="s">
        <v>2379</v>
      </c>
      <c r="G794">
        <v>1</v>
      </c>
      <c r="H794" t="s">
        <v>2379</v>
      </c>
      <c r="I794" t="str" cm="1">
        <f t="array" ref="I794">_xlfn.IFS(B794&lt;18.5,"Underweight",AND(B794&gt;=18.5,B794&lt;=24.99),"Normalweight",AND(B794&gt;=25,B794&lt;=29.99),"Overweight",B794&gt;=30,"Obesity")</f>
        <v>Obesity</v>
      </c>
      <c r="J794" t="str" cm="1">
        <f t="array" ref="J794">_xlfn.IFS(C794&lt;5.7,"Normal",AND(C794&gt;=5.7,C794&lt;=6.49),"Prediabetes",C794&gt;=6.5,"Diabetes")</f>
        <v>Normal</v>
      </c>
    </row>
    <row r="795" spans="1:10" x14ac:dyDescent="0.3">
      <c r="A795" t="s">
        <v>1577</v>
      </c>
      <c r="B795" s="8">
        <v>24.32</v>
      </c>
      <c r="C795">
        <v>10.220000000000001</v>
      </c>
      <c r="D795" t="s">
        <v>2379</v>
      </c>
      <c r="E795" t="s">
        <v>2379</v>
      </c>
      <c r="F795" t="s">
        <v>2379</v>
      </c>
      <c r="G795">
        <v>0</v>
      </c>
      <c r="H795" t="s">
        <v>2379</v>
      </c>
      <c r="I795" t="str" cm="1">
        <f t="array" ref="I795">_xlfn.IFS(B795&lt;18.5,"Underweight",AND(B795&gt;=18.5,B795&lt;=24.99),"Normalweight",AND(B795&gt;=25,B795&lt;=29.99),"Overweight",B795&gt;=30,"Obesity")</f>
        <v>Normalweight</v>
      </c>
      <c r="J795" t="str" cm="1">
        <f t="array" ref="J795">_xlfn.IFS(C795&lt;5.7,"Normal",AND(C795&gt;=5.7,C795&lt;=6.49),"Prediabetes",C795&gt;=6.5,"Diabetes")</f>
        <v>Diabetes</v>
      </c>
    </row>
    <row r="796" spans="1:10" x14ac:dyDescent="0.3">
      <c r="A796" t="s">
        <v>1576</v>
      </c>
      <c r="B796" s="8">
        <v>38.06</v>
      </c>
      <c r="C796">
        <v>9.24</v>
      </c>
      <c r="D796" t="s">
        <v>2379</v>
      </c>
      <c r="E796" t="s">
        <v>2379</v>
      </c>
      <c r="F796" t="s">
        <v>2379</v>
      </c>
      <c r="G796">
        <v>0</v>
      </c>
      <c r="H796" t="s">
        <v>2379</v>
      </c>
      <c r="I796" t="str" cm="1">
        <f t="array" ref="I796">_xlfn.IFS(B796&lt;18.5,"Underweight",AND(B796&gt;=18.5,B796&lt;=24.99),"Normalweight",AND(B796&gt;=25,B796&lt;=29.99),"Overweight",B796&gt;=30,"Obesity")</f>
        <v>Obesity</v>
      </c>
      <c r="J796" t="str" cm="1">
        <f t="array" ref="J796">_xlfn.IFS(C796&lt;5.7,"Normal",AND(C796&gt;=5.7,C796&lt;=6.49),"Prediabetes",C796&gt;=6.5,"Diabetes")</f>
        <v>Diabetes</v>
      </c>
    </row>
    <row r="797" spans="1:10" x14ac:dyDescent="0.3">
      <c r="A797" t="s">
        <v>1575</v>
      </c>
      <c r="B797" s="8">
        <v>37.700000000000003</v>
      </c>
      <c r="C797">
        <v>8.6</v>
      </c>
      <c r="D797" t="s">
        <v>2379</v>
      </c>
      <c r="E797" t="s">
        <v>2379</v>
      </c>
      <c r="F797" t="s">
        <v>2379</v>
      </c>
      <c r="G797">
        <v>0</v>
      </c>
      <c r="H797" t="s">
        <v>2379</v>
      </c>
      <c r="I797" t="str" cm="1">
        <f t="array" ref="I797">_xlfn.IFS(B797&lt;18.5,"Underweight",AND(B797&gt;=18.5,B797&lt;=24.99),"Normalweight",AND(B797&gt;=25,B797&lt;=29.99),"Overweight",B797&gt;=30,"Obesity")</f>
        <v>Obesity</v>
      </c>
      <c r="J797" t="str" cm="1">
        <f t="array" ref="J797">_xlfn.IFS(C797&lt;5.7,"Normal",AND(C797&gt;=5.7,C797&lt;=6.49),"Prediabetes",C797&gt;=6.5,"Diabetes")</f>
        <v>Diabetes</v>
      </c>
    </row>
    <row r="798" spans="1:10" x14ac:dyDescent="0.3">
      <c r="A798" t="s">
        <v>1574</v>
      </c>
      <c r="B798" s="8">
        <v>44</v>
      </c>
      <c r="C798">
        <v>9.32</v>
      </c>
      <c r="D798" t="s">
        <v>2381</v>
      </c>
      <c r="E798" t="s">
        <v>2379</v>
      </c>
      <c r="F798" t="s">
        <v>2379</v>
      </c>
      <c r="G798">
        <v>2</v>
      </c>
      <c r="H798" t="s">
        <v>2379</v>
      </c>
      <c r="I798" t="str" cm="1">
        <f t="array" ref="I798">_xlfn.IFS(B798&lt;18.5,"Underweight",AND(B798&gt;=18.5,B798&lt;=24.99),"Normalweight",AND(B798&gt;=25,B798&lt;=29.99),"Overweight",B798&gt;=30,"Obesity")</f>
        <v>Obesity</v>
      </c>
      <c r="J798" t="str" cm="1">
        <f t="array" ref="J798">_xlfn.IFS(C798&lt;5.7,"Normal",AND(C798&gt;=5.7,C798&lt;=6.49),"Prediabetes",C798&gt;=6.5,"Diabetes")</f>
        <v>Diabetes</v>
      </c>
    </row>
    <row r="799" spans="1:10" x14ac:dyDescent="0.3">
      <c r="A799" t="s">
        <v>1573</v>
      </c>
      <c r="B799" s="8">
        <v>41.45</v>
      </c>
      <c r="C799">
        <v>6.12</v>
      </c>
      <c r="D799" t="s">
        <v>2381</v>
      </c>
      <c r="E799" t="s">
        <v>2379</v>
      </c>
      <c r="F799" t="s">
        <v>2379</v>
      </c>
      <c r="G799">
        <v>0</v>
      </c>
      <c r="H799" t="s">
        <v>2379</v>
      </c>
      <c r="I799" t="str" cm="1">
        <f t="array" ref="I799">_xlfn.IFS(B799&lt;18.5,"Underweight",AND(B799&gt;=18.5,B799&lt;=24.99),"Normalweight",AND(B799&gt;=25,B799&lt;=29.99),"Overweight",B799&gt;=30,"Obesity")</f>
        <v>Obesity</v>
      </c>
      <c r="J799" t="str" cm="1">
        <f t="array" ref="J799">_xlfn.IFS(C799&lt;5.7,"Normal",AND(C799&gt;=5.7,C799&lt;=6.49),"Prediabetes",C799&gt;=6.5,"Diabetes")</f>
        <v>Prediabetes</v>
      </c>
    </row>
    <row r="800" spans="1:10" x14ac:dyDescent="0.3">
      <c r="A800" t="s">
        <v>1572</v>
      </c>
      <c r="B800" s="8">
        <v>25.364999999999998</v>
      </c>
      <c r="C800">
        <v>9.19</v>
      </c>
      <c r="D800" t="s">
        <v>2381</v>
      </c>
      <c r="E800" t="s">
        <v>2379</v>
      </c>
      <c r="F800" t="s">
        <v>2379</v>
      </c>
      <c r="G800">
        <v>0</v>
      </c>
      <c r="H800" t="s">
        <v>2379</v>
      </c>
      <c r="I800" t="str" cm="1">
        <f t="array" ref="I800">_xlfn.IFS(B800&lt;18.5,"Underweight",AND(B800&gt;=18.5,B800&lt;=24.99),"Normalweight",AND(B800&gt;=25,B800&lt;=29.99),"Overweight",B800&gt;=30,"Obesity")</f>
        <v>Overweight</v>
      </c>
      <c r="J800" t="str" cm="1">
        <f t="array" ref="J800">_xlfn.IFS(C800&lt;5.7,"Normal",AND(C800&gt;=5.7,C800&lt;=6.49),"Prediabetes",C800&gt;=6.5,"Diabetes")</f>
        <v>Diabetes</v>
      </c>
    </row>
    <row r="801" spans="1:10" x14ac:dyDescent="0.3">
      <c r="A801" t="s">
        <v>1571</v>
      </c>
      <c r="B801" s="8">
        <v>34.56</v>
      </c>
      <c r="C801">
        <v>5.84</v>
      </c>
      <c r="D801" t="s">
        <v>2381</v>
      </c>
      <c r="E801" t="s">
        <v>2379</v>
      </c>
      <c r="F801" t="s">
        <v>2381</v>
      </c>
      <c r="G801">
        <v>1</v>
      </c>
      <c r="H801" t="s">
        <v>2379</v>
      </c>
      <c r="I801" t="str" cm="1">
        <f t="array" ref="I801">_xlfn.IFS(B801&lt;18.5,"Underweight",AND(B801&gt;=18.5,B801&lt;=24.99),"Normalweight",AND(B801&gt;=25,B801&lt;=29.99),"Overweight",B801&gt;=30,"Obesity")</f>
        <v>Obesity</v>
      </c>
      <c r="J801" t="str" cm="1">
        <f t="array" ref="J801">_xlfn.IFS(C801&lt;5.7,"Normal",AND(C801&gt;=5.7,C801&lt;=6.49),"Prediabetes",C801&gt;=6.5,"Diabetes")</f>
        <v>Prediabetes</v>
      </c>
    </row>
    <row r="802" spans="1:10" x14ac:dyDescent="0.3">
      <c r="A802" t="s">
        <v>1570</v>
      </c>
      <c r="B802" s="8">
        <v>28.2</v>
      </c>
      <c r="C802">
        <v>7.19</v>
      </c>
      <c r="D802" t="s">
        <v>2381</v>
      </c>
      <c r="E802" t="s">
        <v>2379</v>
      </c>
      <c r="F802" t="s">
        <v>2379</v>
      </c>
      <c r="G802">
        <v>2</v>
      </c>
      <c r="H802" t="s">
        <v>2379</v>
      </c>
      <c r="I802" t="str" cm="1">
        <f t="array" ref="I802">_xlfn.IFS(B802&lt;18.5,"Underweight",AND(B802&gt;=18.5,B802&lt;=24.99),"Normalweight",AND(B802&gt;=25,B802&lt;=29.99),"Overweight",B802&gt;=30,"Obesity")</f>
        <v>Overweight</v>
      </c>
      <c r="J802" t="str" cm="1">
        <f t="array" ref="J802">_xlfn.IFS(C802&lt;5.7,"Normal",AND(C802&gt;=5.7,C802&lt;=6.49),"Prediabetes",C802&gt;=6.5,"Diabetes")</f>
        <v>Diabetes</v>
      </c>
    </row>
    <row r="803" spans="1:10" x14ac:dyDescent="0.3">
      <c r="A803" t="s">
        <v>1569</v>
      </c>
      <c r="B803" s="8">
        <v>30.43</v>
      </c>
      <c r="C803">
        <v>9.39</v>
      </c>
      <c r="D803" t="s">
        <v>2379</v>
      </c>
      <c r="E803" t="s">
        <v>2379</v>
      </c>
      <c r="F803" t="s">
        <v>2379</v>
      </c>
      <c r="G803">
        <v>0</v>
      </c>
      <c r="H803" t="s">
        <v>2379</v>
      </c>
      <c r="I803" t="str" cm="1">
        <f t="array" ref="I803">_xlfn.IFS(B803&lt;18.5,"Underweight",AND(B803&gt;=18.5,B803&lt;=24.99),"Normalweight",AND(B803&gt;=25,B803&lt;=29.99),"Overweight",B803&gt;=30,"Obesity")</f>
        <v>Obesity</v>
      </c>
      <c r="J803" t="str" cm="1">
        <f t="array" ref="J803">_xlfn.IFS(C803&lt;5.7,"Normal",AND(C803&gt;=5.7,C803&lt;=6.49),"Prediabetes",C803&gt;=6.5,"Diabetes")</f>
        <v>Diabetes</v>
      </c>
    </row>
    <row r="804" spans="1:10" x14ac:dyDescent="0.3">
      <c r="A804" t="s">
        <v>1568</v>
      </c>
      <c r="B804" s="8">
        <v>32.395000000000003</v>
      </c>
      <c r="C804">
        <v>4.2699999999999996</v>
      </c>
      <c r="D804" t="s">
        <v>2381</v>
      </c>
      <c r="E804" t="s">
        <v>2379</v>
      </c>
      <c r="F804" t="s">
        <v>2379</v>
      </c>
      <c r="G804">
        <v>1</v>
      </c>
      <c r="H804" t="s">
        <v>2379</v>
      </c>
      <c r="I804" t="str" cm="1">
        <f t="array" ref="I804">_xlfn.IFS(B804&lt;18.5,"Underweight",AND(B804&gt;=18.5,B804&lt;=24.99),"Normalweight",AND(B804&gt;=25,B804&lt;=29.99),"Overweight",B804&gt;=30,"Obesity")</f>
        <v>Obesity</v>
      </c>
      <c r="J804" t="str" cm="1">
        <f t="array" ref="J804">_xlfn.IFS(C804&lt;5.7,"Normal",AND(C804&gt;=5.7,C804&lt;=6.49),"Prediabetes",C804&gt;=6.5,"Diabetes")</f>
        <v>Normal</v>
      </c>
    </row>
    <row r="805" spans="1:10" x14ac:dyDescent="0.3">
      <c r="A805" t="s">
        <v>1567</v>
      </c>
      <c r="B805" s="8">
        <v>24.035</v>
      </c>
      <c r="C805">
        <v>11.71</v>
      </c>
      <c r="D805" t="s">
        <v>2379</v>
      </c>
      <c r="E805" t="s">
        <v>2379</v>
      </c>
      <c r="F805" t="s">
        <v>2379</v>
      </c>
      <c r="G805">
        <v>0</v>
      </c>
      <c r="H805" t="s">
        <v>2379</v>
      </c>
      <c r="I805" t="str" cm="1">
        <f t="array" ref="I805">_xlfn.IFS(B805&lt;18.5,"Underweight",AND(B805&gt;=18.5,B805&lt;=24.99),"Normalweight",AND(B805&gt;=25,B805&lt;=29.99),"Overweight",B805&gt;=30,"Obesity")</f>
        <v>Normalweight</v>
      </c>
      <c r="J805" t="str" cm="1">
        <f t="array" ref="J805">_xlfn.IFS(C805&lt;5.7,"Normal",AND(C805&gt;=5.7,C805&lt;=6.49),"Prediabetes",C805&gt;=6.5,"Diabetes")</f>
        <v>Diabetes</v>
      </c>
    </row>
    <row r="806" spans="1:10" x14ac:dyDescent="0.3">
      <c r="A806" t="s">
        <v>1566</v>
      </c>
      <c r="B806" s="8">
        <v>37.119999999999997</v>
      </c>
      <c r="C806">
        <v>5.29</v>
      </c>
      <c r="D806" t="s">
        <v>2379</v>
      </c>
      <c r="E806" t="s">
        <v>2379</v>
      </c>
      <c r="F806" t="s">
        <v>2379</v>
      </c>
      <c r="G806">
        <v>2</v>
      </c>
      <c r="H806" t="s">
        <v>2379</v>
      </c>
      <c r="I806" t="str" cm="1">
        <f t="array" ref="I806">_xlfn.IFS(B806&lt;18.5,"Underweight",AND(B806&gt;=18.5,B806&lt;=24.99),"Normalweight",AND(B806&gt;=25,B806&lt;=29.99),"Overweight",B806&gt;=30,"Obesity")</f>
        <v>Obesity</v>
      </c>
      <c r="J806" t="str" cm="1">
        <f t="array" ref="J806">_xlfn.IFS(C806&lt;5.7,"Normal",AND(C806&gt;=5.7,C806&lt;=6.49),"Prediabetes",C806&gt;=6.5,"Diabetes")</f>
        <v>Normal</v>
      </c>
    </row>
    <row r="807" spans="1:10" x14ac:dyDescent="0.3">
      <c r="A807" t="s">
        <v>1565</v>
      </c>
      <c r="B807" s="8">
        <v>34.840000000000003</v>
      </c>
      <c r="C807">
        <v>6</v>
      </c>
      <c r="D807" t="s">
        <v>2381</v>
      </c>
      <c r="E807" t="s">
        <v>2379</v>
      </c>
      <c r="F807" t="s">
        <v>2381</v>
      </c>
      <c r="G807">
        <v>1</v>
      </c>
      <c r="H807" t="s">
        <v>2379</v>
      </c>
      <c r="I807" t="str" cm="1">
        <f t="array" ref="I807">_xlfn.IFS(B807&lt;18.5,"Underweight",AND(B807&gt;=18.5,B807&lt;=24.99),"Normalweight",AND(B807&gt;=25,B807&lt;=29.99),"Overweight",B807&gt;=30,"Obesity")</f>
        <v>Obesity</v>
      </c>
      <c r="J807" t="str" cm="1">
        <f t="array" ref="J807">_xlfn.IFS(C807&lt;5.7,"Normal",AND(C807&gt;=5.7,C807&lt;=6.49),"Prediabetes",C807&gt;=6.5,"Diabetes")</f>
        <v>Prediabetes</v>
      </c>
    </row>
    <row r="808" spans="1:10" x14ac:dyDescent="0.3">
      <c r="A808" t="s">
        <v>1564</v>
      </c>
      <c r="B808" s="8">
        <v>29.53</v>
      </c>
      <c r="C808">
        <v>10.64</v>
      </c>
      <c r="D808" t="s">
        <v>2379</v>
      </c>
      <c r="E808" t="s">
        <v>2379</v>
      </c>
      <c r="F808" t="s">
        <v>2379</v>
      </c>
      <c r="G808">
        <v>0</v>
      </c>
      <c r="H808" t="s">
        <v>2379</v>
      </c>
      <c r="I808" t="str" cm="1">
        <f t="array" ref="I808">_xlfn.IFS(B808&lt;18.5,"Underweight",AND(B808&gt;=18.5,B808&lt;=24.99),"Normalweight",AND(B808&gt;=25,B808&lt;=29.99),"Overweight",B808&gt;=30,"Obesity")</f>
        <v>Overweight</v>
      </c>
      <c r="J808" t="str" cm="1">
        <f t="array" ref="J808">_xlfn.IFS(C808&lt;5.7,"Normal",AND(C808&gt;=5.7,C808&lt;=6.49),"Prediabetes",C808&gt;=6.5,"Diabetes")</f>
        <v>Diabetes</v>
      </c>
    </row>
    <row r="809" spans="1:10" x14ac:dyDescent="0.3">
      <c r="A809" t="s">
        <v>1563</v>
      </c>
      <c r="B809" s="8">
        <v>42.51</v>
      </c>
      <c r="C809">
        <v>8.2100000000000009</v>
      </c>
      <c r="D809" t="s">
        <v>2381</v>
      </c>
      <c r="E809" t="s">
        <v>2379</v>
      </c>
      <c r="F809" t="s">
        <v>2379</v>
      </c>
      <c r="G809">
        <v>0</v>
      </c>
      <c r="H809" t="s">
        <v>2379</v>
      </c>
      <c r="I809" t="str" cm="1">
        <f t="array" ref="I809">_xlfn.IFS(B809&lt;18.5,"Underweight",AND(B809&gt;=18.5,B809&lt;=24.99),"Normalweight",AND(B809&gt;=25,B809&lt;=29.99),"Overweight",B809&gt;=30,"Obesity")</f>
        <v>Obesity</v>
      </c>
      <c r="J809" t="str" cm="1">
        <f t="array" ref="J809">_xlfn.IFS(C809&lt;5.7,"Normal",AND(C809&gt;=5.7,C809&lt;=6.49),"Prediabetes",C809&gt;=6.5,"Diabetes")</f>
        <v>Diabetes</v>
      </c>
    </row>
    <row r="810" spans="1:10" x14ac:dyDescent="0.3">
      <c r="A810" t="s">
        <v>1562</v>
      </c>
      <c r="B810" s="8">
        <v>38.14</v>
      </c>
      <c r="C810">
        <v>5.58</v>
      </c>
      <c r="D810" t="s">
        <v>2379</v>
      </c>
      <c r="E810" t="s">
        <v>2379</v>
      </c>
      <c r="F810" t="s">
        <v>2381</v>
      </c>
      <c r="G810">
        <v>1</v>
      </c>
      <c r="H810" t="s">
        <v>2379</v>
      </c>
      <c r="I810" t="str" cm="1">
        <f t="array" ref="I810">_xlfn.IFS(B810&lt;18.5,"Underweight",AND(B810&gt;=18.5,B810&lt;=24.99),"Normalweight",AND(B810&gt;=25,B810&lt;=29.99),"Overweight",B810&gt;=30,"Obesity")</f>
        <v>Obesity</v>
      </c>
      <c r="J810" t="str" cm="1">
        <f t="array" ref="J810">_xlfn.IFS(C810&lt;5.7,"Normal",AND(C810&gt;=5.7,C810&lt;=6.49),"Prediabetes",C810&gt;=6.5,"Diabetes")</f>
        <v>Normal</v>
      </c>
    </row>
    <row r="811" spans="1:10" x14ac:dyDescent="0.3">
      <c r="A811" t="s">
        <v>1561</v>
      </c>
      <c r="B811" s="8">
        <v>39.93</v>
      </c>
      <c r="C811">
        <v>8.75</v>
      </c>
      <c r="D811" t="s">
        <v>2379</v>
      </c>
      <c r="E811" t="s">
        <v>2379</v>
      </c>
      <c r="F811" t="s">
        <v>2379</v>
      </c>
      <c r="G811">
        <v>0</v>
      </c>
      <c r="H811" t="s">
        <v>2379</v>
      </c>
      <c r="I811" t="str" cm="1">
        <f t="array" ref="I811">_xlfn.IFS(B811&lt;18.5,"Underweight",AND(B811&gt;=18.5,B811&lt;=24.99),"Normalweight",AND(B811&gt;=25,B811&lt;=29.99),"Overweight",B811&gt;=30,"Obesity")</f>
        <v>Obesity</v>
      </c>
      <c r="J811" t="str" cm="1">
        <f t="array" ref="J811">_xlfn.IFS(C811&lt;5.7,"Normal",AND(C811&gt;=5.7,C811&lt;=6.49),"Prediabetes",C811&gt;=6.5,"Diabetes")</f>
        <v>Diabetes</v>
      </c>
    </row>
    <row r="812" spans="1:10" x14ac:dyDescent="0.3">
      <c r="A812" t="s">
        <v>1560</v>
      </c>
      <c r="B812" s="8">
        <v>38.83</v>
      </c>
      <c r="C812">
        <v>11.86</v>
      </c>
      <c r="D812" t="s">
        <v>2379</v>
      </c>
      <c r="E812" t="s">
        <v>2379</v>
      </c>
      <c r="F812" t="s">
        <v>2379</v>
      </c>
      <c r="G812">
        <v>0</v>
      </c>
      <c r="H812" t="s">
        <v>2379</v>
      </c>
      <c r="I812" t="str" cm="1">
        <f t="array" ref="I812">_xlfn.IFS(B812&lt;18.5,"Underweight",AND(B812&gt;=18.5,B812&lt;=24.99),"Normalweight",AND(B812&gt;=25,B812&lt;=29.99),"Overweight",B812&gt;=30,"Obesity")</f>
        <v>Obesity</v>
      </c>
      <c r="J812" t="str" cm="1">
        <f t="array" ref="J812">_xlfn.IFS(C812&lt;5.7,"Normal",AND(C812&gt;=5.7,C812&lt;=6.49),"Prediabetes",C812&gt;=6.5,"Diabetes")</f>
        <v>Diabetes</v>
      </c>
    </row>
    <row r="813" spans="1:10" x14ac:dyDescent="0.3">
      <c r="A813" t="s">
        <v>1559</v>
      </c>
      <c r="B813" s="8">
        <v>37.4</v>
      </c>
      <c r="C813">
        <v>11.46</v>
      </c>
      <c r="D813" t="s">
        <v>2379</v>
      </c>
      <c r="E813" t="s">
        <v>2379</v>
      </c>
      <c r="F813" t="s">
        <v>2379</v>
      </c>
      <c r="G813">
        <v>0</v>
      </c>
      <c r="H813" t="s">
        <v>2379</v>
      </c>
      <c r="I813" t="str" cm="1">
        <f t="array" ref="I813">_xlfn.IFS(B813&lt;18.5,"Underweight",AND(B813&gt;=18.5,B813&lt;=24.99),"Normalweight",AND(B813&gt;=25,B813&lt;=29.99),"Overweight",B813&gt;=30,"Obesity")</f>
        <v>Obesity</v>
      </c>
      <c r="J813" t="str" cm="1">
        <f t="array" ref="J813">_xlfn.IFS(C813&lt;5.7,"Normal",AND(C813&gt;=5.7,C813&lt;=6.49),"Prediabetes",C813&gt;=6.5,"Diabetes")</f>
        <v>Diabetes</v>
      </c>
    </row>
    <row r="814" spans="1:10" x14ac:dyDescent="0.3">
      <c r="A814" t="s">
        <v>1558</v>
      </c>
      <c r="B814" s="8">
        <v>21.4</v>
      </c>
      <c r="C814">
        <v>9.0299999999999994</v>
      </c>
      <c r="D814" t="s">
        <v>2379</v>
      </c>
      <c r="E814" t="s">
        <v>2379</v>
      </c>
      <c r="F814" t="s">
        <v>2379</v>
      </c>
      <c r="G814">
        <v>0</v>
      </c>
      <c r="H814" t="s">
        <v>2379</v>
      </c>
      <c r="I814" t="str" cm="1">
        <f t="array" ref="I814">_xlfn.IFS(B814&lt;18.5,"Underweight",AND(B814&gt;=18.5,B814&lt;=24.99),"Normalweight",AND(B814&gt;=25,B814&lt;=29.99),"Overweight",B814&gt;=30,"Obesity")</f>
        <v>Normalweight</v>
      </c>
      <c r="J814" t="str" cm="1">
        <f t="array" ref="J814">_xlfn.IFS(C814&lt;5.7,"Normal",AND(C814&gt;=5.7,C814&lt;=6.49),"Prediabetes",C814&gt;=6.5,"Diabetes")</f>
        <v>Diabetes</v>
      </c>
    </row>
    <row r="815" spans="1:10" x14ac:dyDescent="0.3">
      <c r="A815" t="s">
        <v>1557</v>
      </c>
      <c r="B815" s="8">
        <v>38.380000000000003</v>
      </c>
      <c r="C815">
        <v>8.26</v>
      </c>
      <c r="D815" t="s">
        <v>2381</v>
      </c>
      <c r="E815" t="s">
        <v>2379</v>
      </c>
      <c r="F815" t="s">
        <v>2379</v>
      </c>
      <c r="G815">
        <v>2</v>
      </c>
      <c r="H815" t="s">
        <v>2379</v>
      </c>
      <c r="I815" t="str" cm="1">
        <f t="array" ref="I815">_xlfn.IFS(B815&lt;18.5,"Underweight",AND(B815&gt;=18.5,B815&lt;=24.99),"Normalweight",AND(B815&gt;=25,B815&lt;=29.99),"Overweight",B815&gt;=30,"Obesity")</f>
        <v>Obesity</v>
      </c>
      <c r="J815" t="str" cm="1">
        <f t="array" ref="J815">_xlfn.IFS(C815&lt;5.7,"Normal",AND(C815&gt;=5.7,C815&lt;=6.49),"Prediabetes",C815&gt;=6.5,"Diabetes")</f>
        <v>Diabetes</v>
      </c>
    </row>
    <row r="816" spans="1:10" x14ac:dyDescent="0.3">
      <c r="A816" t="s">
        <v>1556</v>
      </c>
      <c r="B816" s="8">
        <v>33.659999999999997</v>
      </c>
      <c r="C816">
        <v>5.42</v>
      </c>
      <c r="D816" t="s">
        <v>2381</v>
      </c>
      <c r="E816" t="s">
        <v>2379</v>
      </c>
      <c r="F816" t="s">
        <v>2379</v>
      </c>
      <c r="G816">
        <v>2</v>
      </c>
      <c r="H816" t="s">
        <v>2379</v>
      </c>
      <c r="I816" t="str" cm="1">
        <f t="array" ref="I816">_xlfn.IFS(B816&lt;18.5,"Underweight",AND(B816&gt;=18.5,B816&lt;=24.99),"Normalweight",AND(B816&gt;=25,B816&lt;=29.99),"Overweight",B816&gt;=30,"Obesity")</f>
        <v>Obesity</v>
      </c>
      <c r="J816" t="str" cm="1">
        <f t="array" ref="J816">_xlfn.IFS(C816&lt;5.7,"Normal",AND(C816&gt;=5.7,C816&lt;=6.49),"Prediabetes",C816&gt;=6.5,"Diabetes")</f>
        <v>Normal</v>
      </c>
    </row>
    <row r="817" spans="1:10" x14ac:dyDescent="0.3">
      <c r="A817" t="s">
        <v>1555</v>
      </c>
      <c r="B817" s="8">
        <v>31.79</v>
      </c>
      <c r="C817">
        <v>11.33</v>
      </c>
      <c r="D817" t="s">
        <v>2381</v>
      </c>
      <c r="E817" t="s">
        <v>2379</v>
      </c>
      <c r="F817" t="s">
        <v>2381</v>
      </c>
      <c r="G817">
        <v>1</v>
      </c>
      <c r="H817" t="s">
        <v>2379</v>
      </c>
      <c r="I817" t="str" cm="1">
        <f t="array" ref="I817">_xlfn.IFS(B817&lt;18.5,"Underweight",AND(B817&gt;=18.5,B817&lt;=24.99),"Normalweight",AND(B817&gt;=25,B817&lt;=29.99),"Overweight",B817&gt;=30,"Obesity")</f>
        <v>Obesity</v>
      </c>
      <c r="J817" t="str" cm="1">
        <f t="array" ref="J817">_xlfn.IFS(C817&lt;5.7,"Normal",AND(C817&gt;=5.7,C817&lt;=6.49),"Prediabetes",C817&gt;=6.5,"Diabetes")</f>
        <v>Diabetes</v>
      </c>
    </row>
    <row r="818" spans="1:10" x14ac:dyDescent="0.3">
      <c r="A818" t="s">
        <v>1554</v>
      </c>
      <c r="B818" s="8">
        <v>29.7</v>
      </c>
      <c r="C818">
        <v>7.69</v>
      </c>
      <c r="D818" t="s">
        <v>2381</v>
      </c>
      <c r="E818" t="s">
        <v>2379</v>
      </c>
      <c r="F818" t="s">
        <v>2381</v>
      </c>
      <c r="G818">
        <v>1</v>
      </c>
      <c r="H818" t="s">
        <v>2379</v>
      </c>
      <c r="I818" t="str" cm="1">
        <f t="array" ref="I818">_xlfn.IFS(B818&lt;18.5,"Underweight",AND(B818&gt;=18.5,B818&lt;=24.99),"Normalweight",AND(B818&gt;=25,B818&lt;=29.99),"Overweight",B818&gt;=30,"Obesity")</f>
        <v>Overweight</v>
      </c>
      <c r="J818" t="str" cm="1">
        <f t="array" ref="J818">_xlfn.IFS(C818&lt;5.7,"Normal",AND(C818&gt;=5.7,C818&lt;=6.49),"Prediabetes",C818&gt;=6.5,"Diabetes")</f>
        <v>Diabetes</v>
      </c>
    </row>
    <row r="819" spans="1:10" x14ac:dyDescent="0.3">
      <c r="A819" t="s">
        <v>1553</v>
      </c>
      <c r="B819" s="8">
        <v>25.46</v>
      </c>
      <c r="C819">
        <v>8.77</v>
      </c>
      <c r="D819" t="s">
        <v>2381</v>
      </c>
      <c r="E819" t="s">
        <v>2379</v>
      </c>
      <c r="F819" t="s">
        <v>2381</v>
      </c>
      <c r="G819">
        <v>1</v>
      </c>
      <c r="H819" t="s">
        <v>2379</v>
      </c>
      <c r="I819" t="str" cm="1">
        <f t="array" ref="I819">_xlfn.IFS(B819&lt;18.5,"Underweight",AND(B819&gt;=18.5,B819&lt;=24.99),"Normalweight",AND(B819&gt;=25,B819&lt;=29.99),"Overweight",B819&gt;=30,"Obesity")</f>
        <v>Overweight</v>
      </c>
      <c r="J819" t="str" cm="1">
        <f t="array" ref="J819">_xlfn.IFS(C819&lt;5.7,"Normal",AND(C819&gt;=5.7,C819&lt;=6.49),"Prediabetes",C819&gt;=6.5,"Diabetes")</f>
        <v>Diabetes</v>
      </c>
    </row>
    <row r="820" spans="1:10" x14ac:dyDescent="0.3">
      <c r="A820" t="s">
        <v>1552</v>
      </c>
      <c r="B820" s="8">
        <v>39.14</v>
      </c>
      <c r="C820">
        <v>4.91</v>
      </c>
      <c r="D820" t="s">
        <v>2379</v>
      </c>
      <c r="E820" t="s">
        <v>2380</v>
      </c>
      <c r="F820" t="s">
        <v>2379</v>
      </c>
      <c r="G820">
        <v>1</v>
      </c>
      <c r="H820" t="s">
        <v>2379</v>
      </c>
      <c r="I820" t="str" cm="1">
        <f t="array" ref="I820">_xlfn.IFS(B820&lt;18.5,"Underweight",AND(B820&gt;=18.5,B820&lt;=24.99),"Normalweight",AND(B820&gt;=25,B820&lt;=29.99),"Overweight",B820&gt;=30,"Obesity")</f>
        <v>Obesity</v>
      </c>
      <c r="J820" t="str" cm="1">
        <f t="array" ref="J820">_xlfn.IFS(C820&lt;5.7,"Normal",AND(C820&gt;=5.7,C820&lt;=6.49),"Prediabetes",C820&gt;=6.5,"Diabetes")</f>
        <v>Normal</v>
      </c>
    </row>
    <row r="821" spans="1:10" x14ac:dyDescent="0.3">
      <c r="A821" t="s">
        <v>1551</v>
      </c>
      <c r="B821" s="8">
        <v>41.2</v>
      </c>
      <c r="C821">
        <v>4.95</v>
      </c>
      <c r="D821" t="s">
        <v>2379</v>
      </c>
      <c r="E821" t="s">
        <v>2379</v>
      </c>
      <c r="F821" t="s">
        <v>2379</v>
      </c>
      <c r="G821">
        <v>1</v>
      </c>
      <c r="H821" t="s">
        <v>2379</v>
      </c>
      <c r="I821" t="str" cm="1">
        <f t="array" ref="I821">_xlfn.IFS(B821&lt;18.5,"Underweight",AND(B821&gt;=18.5,B821&lt;=24.99),"Normalweight",AND(B821&gt;=25,B821&lt;=29.99),"Overweight",B821&gt;=30,"Obesity")</f>
        <v>Obesity</v>
      </c>
      <c r="J821" t="str" cm="1">
        <f t="array" ref="J821">_xlfn.IFS(C821&lt;5.7,"Normal",AND(C821&gt;=5.7,C821&lt;=6.49),"Prediabetes",C821&gt;=6.5,"Diabetes")</f>
        <v>Normal</v>
      </c>
    </row>
    <row r="822" spans="1:10" x14ac:dyDescent="0.3">
      <c r="A822" t="s">
        <v>1550</v>
      </c>
      <c r="B822" s="8">
        <v>28.81</v>
      </c>
      <c r="C822">
        <v>10.8</v>
      </c>
      <c r="D822" t="s">
        <v>2381</v>
      </c>
      <c r="E822" t="s">
        <v>2379</v>
      </c>
      <c r="F822" t="s">
        <v>2381</v>
      </c>
      <c r="G822">
        <v>1</v>
      </c>
      <c r="H822" t="s">
        <v>2379</v>
      </c>
      <c r="I822" t="str" cm="1">
        <f t="array" ref="I822">_xlfn.IFS(B822&lt;18.5,"Underweight",AND(B822&gt;=18.5,B822&lt;=24.99),"Normalweight",AND(B822&gt;=25,B822&lt;=29.99),"Overweight",B822&gt;=30,"Obesity")</f>
        <v>Overweight</v>
      </c>
      <c r="J822" t="str" cm="1">
        <f t="array" ref="J822">_xlfn.IFS(C822&lt;5.7,"Normal",AND(C822&gt;=5.7,C822&lt;=6.49),"Prediabetes",C822&gt;=6.5,"Diabetes")</f>
        <v>Diabetes</v>
      </c>
    </row>
    <row r="823" spans="1:10" x14ac:dyDescent="0.3">
      <c r="A823" t="s">
        <v>1549</v>
      </c>
      <c r="B823" s="8">
        <v>37.409999999999997</v>
      </c>
      <c r="C823">
        <v>7.21</v>
      </c>
      <c r="D823" t="s">
        <v>2379</v>
      </c>
      <c r="E823" t="s">
        <v>2379</v>
      </c>
      <c r="F823" t="s">
        <v>2379</v>
      </c>
      <c r="G823">
        <v>2</v>
      </c>
      <c r="H823" t="s">
        <v>2379</v>
      </c>
      <c r="I823" t="str" cm="1">
        <f t="array" ref="I823">_xlfn.IFS(B823&lt;18.5,"Underweight",AND(B823&gt;=18.5,B823&lt;=24.99),"Normalweight",AND(B823&gt;=25,B823&lt;=29.99),"Overweight",B823&gt;=30,"Obesity")</f>
        <v>Obesity</v>
      </c>
      <c r="J823" t="str" cm="1">
        <f t="array" ref="J823">_xlfn.IFS(C823&lt;5.7,"Normal",AND(C823&gt;=5.7,C823&lt;=6.49),"Prediabetes",C823&gt;=6.5,"Diabetes")</f>
        <v>Diabetes</v>
      </c>
    </row>
    <row r="824" spans="1:10" x14ac:dyDescent="0.3">
      <c r="A824" t="s">
        <v>1548</v>
      </c>
      <c r="B824" s="8">
        <v>52.54</v>
      </c>
      <c r="C824">
        <v>5.12</v>
      </c>
      <c r="D824" t="s">
        <v>2379</v>
      </c>
      <c r="E824" t="s">
        <v>2379</v>
      </c>
      <c r="F824" t="s">
        <v>2381</v>
      </c>
      <c r="G824">
        <v>1</v>
      </c>
      <c r="H824" t="s">
        <v>2379</v>
      </c>
      <c r="I824" t="str" cm="1">
        <f t="array" ref="I824">_xlfn.IFS(B824&lt;18.5,"Underweight",AND(B824&gt;=18.5,B824&lt;=24.99),"Normalweight",AND(B824&gt;=25,B824&lt;=29.99),"Overweight",B824&gt;=30,"Obesity")</f>
        <v>Obesity</v>
      </c>
      <c r="J824" t="str" cm="1">
        <f t="array" ref="J824">_xlfn.IFS(C824&lt;5.7,"Normal",AND(C824&gt;=5.7,C824&lt;=6.49),"Prediabetes",C824&gt;=6.5,"Diabetes")</f>
        <v>Normal</v>
      </c>
    </row>
    <row r="825" spans="1:10" x14ac:dyDescent="0.3">
      <c r="A825" t="s">
        <v>1547</v>
      </c>
      <c r="B825" s="8">
        <v>17.29</v>
      </c>
      <c r="C825">
        <v>4.62</v>
      </c>
      <c r="D825" t="s">
        <v>2379</v>
      </c>
      <c r="E825" t="s">
        <v>2380</v>
      </c>
      <c r="F825" t="s">
        <v>2379</v>
      </c>
      <c r="G825">
        <v>1</v>
      </c>
      <c r="H825" t="s">
        <v>2381</v>
      </c>
      <c r="I825" t="str" cm="1">
        <f t="array" ref="I825">_xlfn.IFS(B825&lt;18.5,"Underweight",AND(B825&gt;=18.5,B825&lt;=24.99),"Normalweight",AND(B825&gt;=25,B825&lt;=29.99),"Overweight",B825&gt;=30,"Obesity")</f>
        <v>Underweight</v>
      </c>
      <c r="J825" t="str" cm="1">
        <f t="array" ref="J825">_xlfn.IFS(C825&lt;5.7,"Normal",AND(C825&gt;=5.7,C825&lt;=6.49),"Prediabetes",C825&gt;=6.5,"Diabetes")</f>
        <v>Normal</v>
      </c>
    </row>
    <row r="826" spans="1:10" x14ac:dyDescent="0.3">
      <c r="A826" t="s">
        <v>1546</v>
      </c>
      <c r="B826" s="8">
        <v>31.74</v>
      </c>
      <c r="C826">
        <v>7.68</v>
      </c>
      <c r="D826" t="s">
        <v>2381</v>
      </c>
      <c r="E826" t="s">
        <v>2379</v>
      </c>
      <c r="F826" t="s">
        <v>2379</v>
      </c>
      <c r="G826">
        <v>0</v>
      </c>
      <c r="H826" t="s">
        <v>2379</v>
      </c>
      <c r="I826" t="str" cm="1">
        <f t="array" ref="I826">_xlfn.IFS(B826&lt;18.5,"Underweight",AND(B826&gt;=18.5,B826&lt;=24.99),"Normalweight",AND(B826&gt;=25,B826&lt;=29.99),"Overweight",B826&gt;=30,"Obesity")</f>
        <v>Obesity</v>
      </c>
      <c r="J826" t="str" cm="1">
        <f t="array" ref="J826">_xlfn.IFS(C826&lt;5.7,"Normal",AND(C826&gt;=5.7,C826&lt;=6.49),"Prediabetes",C826&gt;=6.5,"Diabetes")</f>
        <v>Diabetes</v>
      </c>
    </row>
    <row r="827" spans="1:10" x14ac:dyDescent="0.3">
      <c r="A827" t="s">
        <v>1545</v>
      </c>
      <c r="B827" s="8">
        <v>26.504999999999999</v>
      </c>
      <c r="C827">
        <v>6.79</v>
      </c>
      <c r="D827" t="s">
        <v>2381</v>
      </c>
      <c r="E827" t="s">
        <v>2379</v>
      </c>
      <c r="F827" t="s">
        <v>2381</v>
      </c>
      <c r="G827">
        <v>1</v>
      </c>
      <c r="H827" t="s">
        <v>2379</v>
      </c>
      <c r="I827" t="str" cm="1">
        <f t="array" ref="I827">_xlfn.IFS(B827&lt;18.5,"Underweight",AND(B827&gt;=18.5,B827&lt;=24.99),"Normalweight",AND(B827&gt;=25,B827&lt;=29.99),"Overweight",B827&gt;=30,"Obesity")</f>
        <v>Overweight</v>
      </c>
      <c r="J827" t="str" cm="1">
        <f t="array" ref="J827">_xlfn.IFS(C827&lt;5.7,"Normal",AND(C827&gt;=5.7,C827&lt;=6.49),"Prediabetes",C827&gt;=6.5,"Diabetes")</f>
        <v>Diabetes</v>
      </c>
    </row>
    <row r="828" spans="1:10" x14ac:dyDescent="0.3">
      <c r="A828" t="s">
        <v>1544</v>
      </c>
      <c r="B828" s="8">
        <v>36.479999999999997</v>
      </c>
      <c r="C828">
        <v>11.09</v>
      </c>
      <c r="D828" t="s">
        <v>2379</v>
      </c>
      <c r="E828" t="s">
        <v>2379</v>
      </c>
      <c r="F828" t="s">
        <v>2379</v>
      </c>
      <c r="G828">
        <v>0</v>
      </c>
      <c r="H828" t="s">
        <v>2379</v>
      </c>
      <c r="I828" t="str" cm="1">
        <f t="array" ref="I828">_xlfn.IFS(B828&lt;18.5,"Underweight",AND(B828&gt;=18.5,B828&lt;=24.99),"Normalweight",AND(B828&gt;=25,B828&lt;=29.99),"Overweight",B828&gt;=30,"Obesity")</f>
        <v>Obesity</v>
      </c>
      <c r="J828" t="str" cm="1">
        <f t="array" ref="J828">_xlfn.IFS(C828&lt;5.7,"Normal",AND(C828&gt;=5.7,C828&lt;=6.49),"Prediabetes",C828&gt;=6.5,"Diabetes")</f>
        <v>Diabetes</v>
      </c>
    </row>
    <row r="829" spans="1:10" x14ac:dyDescent="0.3">
      <c r="A829" t="s">
        <v>1543</v>
      </c>
      <c r="B829" s="8">
        <v>39.159999999999997</v>
      </c>
      <c r="C829">
        <v>5.24</v>
      </c>
      <c r="D829" t="s">
        <v>2381</v>
      </c>
      <c r="E829" t="s">
        <v>2379</v>
      </c>
      <c r="F829" t="s">
        <v>2381</v>
      </c>
      <c r="G829">
        <v>1</v>
      </c>
      <c r="H829" t="s">
        <v>2379</v>
      </c>
      <c r="I829" t="str" cm="1">
        <f t="array" ref="I829">_xlfn.IFS(B829&lt;18.5,"Underweight",AND(B829&gt;=18.5,B829&lt;=24.99),"Normalweight",AND(B829&gt;=25,B829&lt;=29.99),"Overweight",B829&gt;=30,"Obesity")</f>
        <v>Obesity</v>
      </c>
      <c r="J829" t="str" cm="1">
        <f t="array" ref="J829">_xlfn.IFS(C829&lt;5.7,"Normal",AND(C829&gt;=5.7,C829&lt;=6.49),"Prediabetes",C829&gt;=6.5,"Diabetes")</f>
        <v>Normal</v>
      </c>
    </row>
    <row r="830" spans="1:10" x14ac:dyDescent="0.3">
      <c r="A830" t="s">
        <v>1542</v>
      </c>
      <c r="B830" s="8">
        <v>28.22</v>
      </c>
      <c r="C830">
        <v>7.51</v>
      </c>
      <c r="D830" t="s">
        <v>2381</v>
      </c>
      <c r="E830" t="s">
        <v>2379</v>
      </c>
      <c r="F830" t="s">
        <v>2381</v>
      </c>
      <c r="G830">
        <v>1</v>
      </c>
      <c r="H830" t="s">
        <v>2379</v>
      </c>
      <c r="I830" t="str" cm="1">
        <f t="array" ref="I830">_xlfn.IFS(B830&lt;18.5,"Underweight",AND(B830&gt;=18.5,B830&lt;=24.99),"Normalweight",AND(B830&gt;=25,B830&lt;=29.99),"Overweight",B830&gt;=30,"Obesity")</f>
        <v>Overweight</v>
      </c>
      <c r="J830" t="str" cm="1">
        <f t="array" ref="J830">_xlfn.IFS(C830&lt;5.7,"Normal",AND(C830&gt;=5.7,C830&lt;=6.49),"Prediabetes",C830&gt;=6.5,"Diabetes")</f>
        <v>Diabetes</v>
      </c>
    </row>
    <row r="831" spans="1:10" x14ac:dyDescent="0.3">
      <c r="A831" t="s">
        <v>1541</v>
      </c>
      <c r="B831" s="8">
        <v>35</v>
      </c>
      <c r="C831">
        <v>4.13</v>
      </c>
      <c r="D831" t="s">
        <v>2379</v>
      </c>
      <c r="E831" t="s">
        <v>2379</v>
      </c>
      <c r="F831" t="s">
        <v>2379</v>
      </c>
      <c r="G831">
        <v>2</v>
      </c>
      <c r="H831" t="s">
        <v>2379</v>
      </c>
      <c r="I831" t="str" cm="1">
        <f t="array" ref="I831">_xlfn.IFS(B831&lt;18.5,"Underweight",AND(B831&gt;=18.5,B831&lt;=24.99),"Normalweight",AND(B831&gt;=25,B831&lt;=29.99),"Overweight",B831&gt;=30,"Obesity")</f>
        <v>Obesity</v>
      </c>
      <c r="J831" t="str" cm="1">
        <f t="array" ref="J831">_xlfn.IFS(C831&lt;5.7,"Normal",AND(C831&gt;=5.7,C831&lt;=6.49),"Prediabetes",C831&gt;=6.5,"Diabetes")</f>
        <v>Normal</v>
      </c>
    </row>
    <row r="832" spans="1:10" x14ac:dyDescent="0.3">
      <c r="A832" t="s">
        <v>1540</v>
      </c>
      <c r="B832" s="8">
        <v>36.24</v>
      </c>
      <c r="C832">
        <v>8.3800000000000008</v>
      </c>
      <c r="D832" t="s">
        <v>2381</v>
      </c>
      <c r="E832" t="s">
        <v>2379</v>
      </c>
      <c r="F832" t="s">
        <v>2379</v>
      </c>
      <c r="G832">
        <v>1</v>
      </c>
      <c r="H832" t="s">
        <v>2379</v>
      </c>
      <c r="I832" t="str" cm="1">
        <f t="array" ref="I832">_xlfn.IFS(B832&lt;18.5,"Underweight",AND(B832&gt;=18.5,B832&lt;=24.99),"Normalweight",AND(B832&gt;=25,B832&lt;=29.99),"Overweight",B832&gt;=30,"Obesity")</f>
        <v>Obesity</v>
      </c>
      <c r="J832" t="str" cm="1">
        <f t="array" ref="J832">_xlfn.IFS(C832&lt;5.7,"Normal",AND(C832&gt;=5.7,C832&lt;=6.49),"Prediabetes",C832&gt;=6.5,"Diabetes")</f>
        <v>Diabetes</v>
      </c>
    </row>
    <row r="833" spans="1:10" x14ac:dyDescent="0.3">
      <c r="A833" t="s">
        <v>1539</v>
      </c>
      <c r="B833" s="8">
        <v>36.954999999999998</v>
      </c>
      <c r="C833">
        <v>8.07</v>
      </c>
      <c r="D833" t="s">
        <v>2379</v>
      </c>
      <c r="E833" t="s">
        <v>2379</v>
      </c>
      <c r="F833" t="s">
        <v>2379</v>
      </c>
      <c r="G833">
        <v>0</v>
      </c>
      <c r="H833" t="s">
        <v>2379</v>
      </c>
      <c r="I833" t="str" cm="1">
        <f t="array" ref="I833">_xlfn.IFS(B833&lt;18.5,"Underweight",AND(B833&gt;=18.5,B833&lt;=24.99),"Normalweight",AND(B833&gt;=25,B833&lt;=29.99),"Overweight",B833&gt;=30,"Obesity")</f>
        <v>Obesity</v>
      </c>
      <c r="J833" t="str" cm="1">
        <f t="array" ref="J833">_xlfn.IFS(C833&lt;5.7,"Normal",AND(C833&gt;=5.7,C833&lt;=6.49),"Prediabetes",C833&gt;=6.5,"Diabetes")</f>
        <v>Diabetes</v>
      </c>
    </row>
    <row r="834" spans="1:10" x14ac:dyDescent="0.3">
      <c r="A834" t="s">
        <v>1538</v>
      </c>
      <c r="B834" s="8">
        <v>29.64</v>
      </c>
      <c r="C834">
        <v>8.9499999999999993</v>
      </c>
      <c r="D834" t="s">
        <v>2379</v>
      </c>
      <c r="E834" t="s">
        <v>2379</v>
      </c>
      <c r="F834" t="s">
        <v>2379</v>
      </c>
      <c r="G834">
        <v>0</v>
      </c>
      <c r="H834" t="s">
        <v>2379</v>
      </c>
      <c r="I834" t="str" cm="1">
        <f t="array" ref="I834">_xlfn.IFS(B834&lt;18.5,"Underweight",AND(B834&gt;=18.5,B834&lt;=24.99),"Normalweight",AND(B834&gt;=25,B834&lt;=29.99),"Overweight",B834&gt;=30,"Obesity")</f>
        <v>Overweight</v>
      </c>
      <c r="J834" t="str" cm="1">
        <f t="array" ref="J834">_xlfn.IFS(C834&lt;5.7,"Normal",AND(C834&gt;=5.7,C834&lt;=6.49),"Prediabetes",C834&gt;=6.5,"Diabetes")</f>
        <v>Diabetes</v>
      </c>
    </row>
    <row r="835" spans="1:10" x14ac:dyDescent="0.3">
      <c r="A835" t="s">
        <v>1537</v>
      </c>
      <c r="B835" s="8">
        <v>42.74</v>
      </c>
      <c r="C835">
        <v>6.31</v>
      </c>
      <c r="D835" t="s">
        <v>2381</v>
      </c>
      <c r="E835" t="s">
        <v>2379</v>
      </c>
      <c r="F835" t="s">
        <v>2379</v>
      </c>
      <c r="G835">
        <v>1</v>
      </c>
      <c r="H835" t="s">
        <v>2379</v>
      </c>
      <c r="I835" t="str" cm="1">
        <f t="array" ref="I835">_xlfn.IFS(B835&lt;18.5,"Underweight",AND(B835&gt;=18.5,B835&lt;=24.99),"Normalweight",AND(B835&gt;=25,B835&lt;=29.99),"Overweight",B835&gt;=30,"Obesity")</f>
        <v>Obesity</v>
      </c>
      <c r="J835" t="str" cm="1">
        <f t="array" ref="J835">_xlfn.IFS(C835&lt;5.7,"Normal",AND(C835&gt;=5.7,C835&lt;=6.49),"Prediabetes",C835&gt;=6.5,"Diabetes")</f>
        <v>Prediabetes</v>
      </c>
    </row>
    <row r="836" spans="1:10" x14ac:dyDescent="0.3">
      <c r="A836" t="s">
        <v>1536</v>
      </c>
      <c r="B836" s="8">
        <v>36.130000000000003</v>
      </c>
      <c r="C836">
        <v>7.19</v>
      </c>
      <c r="D836" t="s">
        <v>2381</v>
      </c>
      <c r="E836" t="s">
        <v>2379</v>
      </c>
      <c r="F836" t="s">
        <v>2379</v>
      </c>
      <c r="G836">
        <v>2</v>
      </c>
      <c r="H836" t="s">
        <v>2379</v>
      </c>
      <c r="I836" t="str" cm="1">
        <f t="array" ref="I836">_xlfn.IFS(B836&lt;18.5,"Underweight",AND(B836&gt;=18.5,B836&lt;=24.99),"Normalweight",AND(B836&gt;=25,B836&lt;=29.99),"Overweight",B836&gt;=30,"Obesity")</f>
        <v>Obesity</v>
      </c>
      <c r="J836" t="str" cm="1">
        <f t="array" ref="J836">_xlfn.IFS(C836&lt;5.7,"Normal",AND(C836&gt;=5.7,C836&lt;=6.49),"Prediabetes",C836&gt;=6.5,"Diabetes")</f>
        <v>Diabetes</v>
      </c>
    </row>
    <row r="837" spans="1:10" x14ac:dyDescent="0.3">
      <c r="A837" t="s">
        <v>1535</v>
      </c>
      <c r="B837" s="8">
        <v>31.55</v>
      </c>
      <c r="C837">
        <v>6.11</v>
      </c>
      <c r="D837" t="s">
        <v>2381</v>
      </c>
      <c r="E837" t="s">
        <v>2379</v>
      </c>
      <c r="F837" t="s">
        <v>2379</v>
      </c>
      <c r="G837">
        <v>1</v>
      </c>
      <c r="H837" t="s">
        <v>2379</v>
      </c>
      <c r="I837" t="str" cm="1">
        <f t="array" ref="I837">_xlfn.IFS(B837&lt;18.5,"Underweight",AND(B837&gt;=18.5,B837&lt;=24.99),"Normalweight",AND(B837&gt;=25,B837&lt;=29.99),"Overweight",B837&gt;=30,"Obesity")</f>
        <v>Obesity</v>
      </c>
      <c r="J837" t="str" cm="1">
        <f t="array" ref="J837">_xlfn.IFS(C837&lt;5.7,"Normal",AND(C837&gt;=5.7,C837&lt;=6.49),"Prediabetes",C837&gt;=6.5,"Diabetes")</f>
        <v>Prediabetes</v>
      </c>
    </row>
    <row r="838" spans="1:10" x14ac:dyDescent="0.3">
      <c r="A838" t="s">
        <v>1534</v>
      </c>
      <c r="B838" s="8">
        <v>52.75</v>
      </c>
      <c r="C838">
        <v>6.02</v>
      </c>
      <c r="D838" t="s">
        <v>2379</v>
      </c>
      <c r="E838" t="s">
        <v>2379</v>
      </c>
      <c r="F838" t="s">
        <v>2379</v>
      </c>
      <c r="G838">
        <v>1</v>
      </c>
      <c r="H838" t="s">
        <v>2379</v>
      </c>
      <c r="I838" t="str" cm="1">
        <f t="array" ref="I838">_xlfn.IFS(B838&lt;18.5,"Underweight",AND(B838&gt;=18.5,B838&lt;=24.99),"Normalweight",AND(B838&gt;=25,B838&lt;=29.99),"Overweight",B838&gt;=30,"Obesity")</f>
        <v>Obesity</v>
      </c>
      <c r="J838" t="str" cm="1">
        <f t="array" ref="J838">_xlfn.IFS(C838&lt;5.7,"Normal",AND(C838&gt;=5.7,C838&lt;=6.49),"Prediabetes",C838&gt;=6.5,"Diabetes")</f>
        <v>Prediabetes</v>
      </c>
    </row>
    <row r="839" spans="1:10" x14ac:dyDescent="0.3">
      <c r="A839" t="s">
        <v>1533</v>
      </c>
      <c r="B839" s="8">
        <v>36.67</v>
      </c>
      <c r="C839">
        <v>11.86</v>
      </c>
      <c r="D839" t="s">
        <v>2379</v>
      </c>
      <c r="E839" t="s">
        <v>2379</v>
      </c>
      <c r="F839" t="s">
        <v>2379</v>
      </c>
      <c r="G839">
        <v>0</v>
      </c>
      <c r="H839" t="s">
        <v>2379</v>
      </c>
      <c r="I839" t="str" cm="1">
        <f t="array" ref="I839">_xlfn.IFS(B839&lt;18.5,"Underweight",AND(B839&gt;=18.5,B839&lt;=24.99),"Normalweight",AND(B839&gt;=25,B839&lt;=29.99),"Overweight",B839&gt;=30,"Obesity")</f>
        <v>Obesity</v>
      </c>
      <c r="J839" t="str" cm="1">
        <f t="array" ref="J839">_xlfn.IFS(C839&lt;5.7,"Normal",AND(C839&gt;=5.7,C839&lt;=6.49),"Prediabetes",C839&gt;=6.5,"Diabetes")</f>
        <v>Diabetes</v>
      </c>
    </row>
    <row r="840" spans="1:10" x14ac:dyDescent="0.3">
      <c r="A840" t="s">
        <v>1532</v>
      </c>
      <c r="B840" s="8">
        <v>38.06</v>
      </c>
      <c r="C840">
        <v>8.25</v>
      </c>
      <c r="D840" t="s">
        <v>2379</v>
      </c>
      <c r="E840" t="s">
        <v>2379</v>
      </c>
      <c r="F840" t="s">
        <v>2379</v>
      </c>
      <c r="G840">
        <v>0</v>
      </c>
      <c r="H840" t="s">
        <v>2379</v>
      </c>
      <c r="I840" t="str" cm="1">
        <f t="array" ref="I840">_xlfn.IFS(B840&lt;18.5,"Underweight",AND(B840&gt;=18.5,B840&lt;=24.99),"Normalweight",AND(B840&gt;=25,B840&lt;=29.99),"Overweight",B840&gt;=30,"Obesity")</f>
        <v>Obesity</v>
      </c>
      <c r="J840" t="str" cm="1">
        <f t="array" ref="J840">_xlfn.IFS(C840&lt;5.7,"Normal",AND(C840&gt;=5.7,C840&lt;=6.49),"Prediabetes",C840&gt;=6.5,"Diabetes")</f>
        <v>Diabetes</v>
      </c>
    </row>
    <row r="841" spans="1:10" x14ac:dyDescent="0.3">
      <c r="A841" t="s">
        <v>1531</v>
      </c>
      <c r="B841" s="8">
        <v>38</v>
      </c>
      <c r="C841">
        <v>8.1300000000000008</v>
      </c>
      <c r="D841" t="s">
        <v>2379</v>
      </c>
      <c r="E841" t="s">
        <v>2379</v>
      </c>
      <c r="F841" t="s">
        <v>2379</v>
      </c>
      <c r="G841">
        <v>0</v>
      </c>
      <c r="H841" t="s">
        <v>2379</v>
      </c>
      <c r="I841" t="str" cm="1">
        <f t="array" ref="I841">_xlfn.IFS(B841&lt;18.5,"Underweight",AND(B841&gt;=18.5,B841&lt;=24.99),"Normalweight",AND(B841&gt;=25,B841&lt;=29.99),"Overweight",B841&gt;=30,"Obesity")</f>
        <v>Obesity</v>
      </c>
      <c r="J841" t="str" cm="1">
        <f t="array" ref="J841">_xlfn.IFS(C841&lt;5.7,"Normal",AND(C841&gt;=5.7,C841&lt;=6.49),"Prediabetes",C841&gt;=6.5,"Diabetes")</f>
        <v>Diabetes</v>
      </c>
    </row>
    <row r="842" spans="1:10" x14ac:dyDescent="0.3">
      <c r="A842" t="s">
        <v>1530</v>
      </c>
      <c r="B842" s="8">
        <v>35.1</v>
      </c>
      <c r="C842">
        <v>10.1</v>
      </c>
      <c r="D842" t="s">
        <v>2379</v>
      </c>
      <c r="E842" t="s">
        <v>2379</v>
      </c>
      <c r="F842" t="s">
        <v>2379</v>
      </c>
      <c r="G842">
        <v>0</v>
      </c>
      <c r="H842" t="s">
        <v>2379</v>
      </c>
      <c r="I842" t="str" cm="1">
        <f t="array" ref="I842">_xlfn.IFS(B842&lt;18.5,"Underweight",AND(B842&gt;=18.5,B842&lt;=24.99),"Normalweight",AND(B842&gt;=25,B842&lt;=29.99),"Overweight",B842&gt;=30,"Obesity")</f>
        <v>Obesity</v>
      </c>
      <c r="J842" t="str" cm="1">
        <f t="array" ref="J842">_xlfn.IFS(C842&lt;5.7,"Normal",AND(C842&gt;=5.7,C842&lt;=6.49),"Prediabetes",C842&gt;=6.5,"Diabetes")</f>
        <v>Diabetes</v>
      </c>
    </row>
    <row r="843" spans="1:10" x14ac:dyDescent="0.3">
      <c r="A843" t="s">
        <v>1529</v>
      </c>
      <c r="B843" s="8">
        <v>33.82</v>
      </c>
      <c r="C843">
        <v>5.89</v>
      </c>
      <c r="D843" t="s">
        <v>2381</v>
      </c>
      <c r="E843" t="s">
        <v>2379</v>
      </c>
      <c r="F843" t="s">
        <v>2379</v>
      </c>
      <c r="G843">
        <v>2</v>
      </c>
      <c r="H843" t="s">
        <v>2379</v>
      </c>
      <c r="I843" t="str" cm="1">
        <f t="array" ref="I843">_xlfn.IFS(B843&lt;18.5,"Underweight",AND(B843&gt;=18.5,B843&lt;=24.99),"Normalweight",AND(B843&gt;=25,B843&lt;=29.99),"Overweight",B843&gt;=30,"Obesity")</f>
        <v>Obesity</v>
      </c>
      <c r="J843" t="str" cm="1">
        <f t="array" ref="J843">_xlfn.IFS(C843&lt;5.7,"Normal",AND(C843&gt;=5.7,C843&lt;=6.49),"Prediabetes",C843&gt;=6.5,"Diabetes")</f>
        <v>Prediabetes</v>
      </c>
    </row>
    <row r="844" spans="1:10" x14ac:dyDescent="0.3">
      <c r="A844" t="s">
        <v>1528</v>
      </c>
      <c r="B844" s="8">
        <v>37.43</v>
      </c>
      <c r="C844">
        <v>4.97</v>
      </c>
      <c r="D844" t="s">
        <v>2379</v>
      </c>
      <c r="E844" t="s">
        <v>2379</v>
      </c>
      <c r="F844" t="s">
        <v>2379</v>
      </c>
      <c r="G844">
        <v>2</v>
      </c>
      <c r="H844" t="s">
        <v>2379</v>
      </c>
      <c r="I844" t="str" cm="1">
        <f t="array" ref="I844">_xlfn.IFS(B844&lt;18.5,"Underweight",AND(B844&gt;=18.5,B844&lt;=24.99),"Normalweight",AND(B844&gt;=25,B844&lt;=29.99),"Overweight",B844&gt;=30,"Obesity")</f>
        <v>Obesity</v>
      </c>
      <c r="J844" t="str" cm="1">
        <f t="array" ref="J844">_xlfn.IFS(C844&lt;5.7,"Normal",AND(C844&gt;=5.7,C844&lt;=6.49),"Prediabetes",C844&gt;=6.5,"Diabetes")</f>
        <v>Normal</v>
      </c>
    </row>
    <row r="845" spans="1:10" x14ac:dyDescent="0.3">
      <c r="A845" t="s">
        <v>1527</v>
      </c>
      <c r="B845" s="8">
        <v>30.5</v>
      </c>
      <c r="C845">
        <v>9.9</v>
      </c>
      <c r="D845" t="s">
        <v>2379</v>
      </c>
      <c r="E845" t="s">
        <v>2379</v>
      </c>
      <c r="F845" t="s">
        <v>2379</v>
      </c>
      <c r="G845">
        <v>0</v>
      </c>
      <c r="H845" t="s">
        <v>2379</v>
      </c>
      <c r="I845" t="str" cm="1">
        <f t="array" ref="I845">_xlfn.IFS(B845&lt;18.5,"Underweight",AND(B845&gt;=18.5,B845&lt;=24.99),"Normalweight",AND(B845&gt;=25,B845&lt;=29.99),"Overweight",B845&gt;=30,"Obesity")</f>
        <v>Obesity</v>
      </c>
      <c r="J845" t="str" cm="1">
        <f t="array" ref="J845">_xlfn.IFS(C845&lt;5.7,"Normal",AND(C845&gt;=5.7,C845&lt;=6.49),"Prediabetes",C845&gt;=6.5,"Diabetes")</f>
        <v>Diabetes</v>
      </c>
    </row>
    <row r="846" spans="1:10" x14ac:dyDescent="0.3">
      <c r="A846" t="s">
        <v>1526</v>
      </c>
      <c r="B846" s="8">
        <v>24.53</v>
      </c>
      <c r="C846">
        <v>9.0500000000000007</v>
      </c>
      <c r="D846" t="s">
        <v>2379</v>
      </c>
      <c r="E846" t="s">
        <v>2379</v>
      </c>
      <c r="F846" t="s">
        <v>2379</v>
      </c>
      <c r="G846">
        <v>0</v>
      </c>
      <c r="H846" t="s">
        <v>2379</v>
      </c>
      <c r="I846" t="str" cm="1">
        <f t="array" ref="I846">_xlfn.IFS(B846&lt;18.5,"Underweight",AND(B846&gt;=18.5,B846&lt;=24.99),"Normalweight",AND(B846&gt;=25,B846&lt;=29.99),"Overweight",B846&gt;=30,"Obesity")</f>
        <v>Normalweight</v>
      </c>
      <c r="J846" t="str" cm="1">
        <f t="array" ref="J846">_xlfn.IFS(C846&lt;5.7,"Normal",AND(C846&gt;=5.7,C846&lt;=6.49),"Prediabetes",C846&gt;=6.5,"Diabetes")</f>
        <v>Diabetes</v>
      </c>
    </row>
    <row r="847" spans="1:10" x14ac:dyDescent="0.3">
      <c r="A847" t="s">
        <v>1525</v>
      </c>
      <c r="B847" s="8">
        <v>25.74</v>
      </c>
      <c r="C847">
        <v>10.93</v>
      </c>
      <c r="D847" t="s">
        <v>2379</v>
      </c>
      <c r="E847" t="s">
        <v>2379</v>
      </c>
      <c r="F847" t="s">
        <v>2379</v>
      </c>
      <c r="G847">
        <v>0</v>
      </c>
      <c r="H847" t="s">
        <v>2379</v>
      </c>
      <c r="I847" t="str" cm="1">
        <f t="array" ref="I847">_xlfn.IFS(B847&lt;18.5,"Underweight",AND(B847&gt;=18.5,B847&lt;=24.99),"Normalweight",AND(B847&gt;=25,B847&lt;=29.99),"Overweight",B847&gt;=30,"Obesity")</f>
        <v>Overweight</v>
      </c>
      <c r="J847" t="str" cm="1">
        <f t="array" ref="J847">_xlfn.IFS(C847&lt;5.7,"Normal",AND(C847&gt;=5.7,C847&lt;=6.49),"Prediabetes",C847&gt;=6.5,"Diabetes")</f>
        <v>Diabetes</v>
      </c>
    </row>
    <row r="848" spans="1:10" x14ac:dyDescent="0.3">
      <c r="A848" t="s">
        <v>1524</v>
      </c>
      <c r="B848" s="8">
        <v>34.08</v>
      </c>
      <c r="C848">
        <v>7.58</v>
      </c>
      <c r="D848" t="s">
        <v>2381</v>
      </c>
      <c r="E848" t="s">
        <v>2379</v>
      </c>
      <c r="F848" t="s">
        <v>2379</v>
      </c>
      <c r="G848">
        <v>2</v>
      </c>
      <c r="H848" t="s">
        <v>2379</v>
      </c>
      <c r="I848" t="str" cm="1">
        <f t="array" ref="I848">_xlfn.IFS(B848&lt;18.5,"Underweight",AND(B848&gt;=18.5,B848&lt;=24.99),"Normalweight",AND(B848&gt;=25,B848&lt;=29.99),"Overweight",B848&gt;=30,"Obesity")</f>
        <v>Obesity</v>
      </c>
      <c r="J848" t="str" cm="1">
        <f t="array" ref="J848">_xlfn.IFS(C848&lt;5.7,"Normal",AND(C848&gt;=5.7,C848&lt;=6.49),"Prediabetes",C848&gt;=6.5,"Diabetes")</f>
        <v>Diabetes</v>
      </c>
    </row>
    <row r="849" spans="1:10" x14ac:dyDescent="0.3">
      <c r="A849" t="s">
        <v>1523</v>
      </c>
      <c r="B849" s="8">
        <v>31.35</v>
      </c>
      <c r="C849">
        <v>11</v>
      </c>
      <c r="D849" t="s">
        <v>2381</v>
      </c>
      <c r="E849" t="s">
        <v>2379</v>
      </c>
      <c r="F849" t="s">
        <v>2381</v>
      </c>
      <c r="G849">
        <v>1</v>
      </c>
      <c r="H849" t="s">
        <v>2379</v>
      </c>
      <c r="I849" t="str" cm="1">
        <f t="array" ref="I849">_xlfn.IFS(B849&lt;18.5,"Underweight",AND(B849&gt;=18.5,B849&lt;=24.99),"Normalweight",AND(B849&gt;=25,B849&lt;=29.99),"Overweight",B849&gt;=30,"Obesity")</f>
        <v>Obesity</v>
      </c>
      <c r="J849" t="str" cm="1">
        <f t="array" ref="J849">_xlfn.IFS(C849&lt;5.7,"Normal",AND(C849&gt;=5.7,C849&lt;=6.49),"Prediabetes",C849&gt;=6.5,"Diabetes")</f>
        <v>Diabetes</v>
      </c>
    </row>
    <row r="850" spans="1:10" x14ac:dyDescent="0.3">
      <c r="A850" t="s">
        <v>1522</v>
      </c>
      <c r="B850" s="8">
        <v>26.79</v>
      </c>
      <c r="C850">
        <v>5.0599999999999996</v>
      </c>
      <c r="D850" t="s">
        <v>2379</v>
      </c>
      <c r="E850" t="s">
        <v>2379</v>
      </c>
      <c r="F850" t="s">
        <v>2379</v>
      </c>
      <c r="G850">
        <v>1</v>
      </c>
      <c r="H850" t="s">
        <v>2379</v>
      </c>
      <c r="I850" t="str" cm="1">
        <f t="array" ref="I850">_xlfn.IFS(B850&lt;18.5,"Underweight",AND(B850&gt;=18.5,B850&lt;=24.99),"Normalweight",AND(B850&gt;=25,B850&lt;=29.99),"Overweight",B850&gt;=30,"Obesity")</f>
        <v>Overweight</v>
      </c>
      <c r="J850" t="str" cm="1">
        <f t="array" ref="J850">_xlfn.IFS(C850&lt;5.7,"Normal",AND(C850&gt;=5.7,C850&lt;=6.49),"Prediabetes",C850&gt;=6.5,"Diabetes")</f>
        <v>Normal</v>
      </c>
    </row>
    <row r="851" spans="1:10" x14ac:dyDescent="0.3">
      <c r="A851" t="s">
        <v>1521</v>
      </c>
      <c r="B851" s="8">
        <v>42.78</v>
      </c>
      <c r="C851">
        <v>6.11</v>
      </c>
      <c r="D851" t="s">
        <v>2381</v>
      </c>
      <c r="E851" t="s">
        <v>2379</v>
      </c>
      <c r="F851" t="s">
        <v>2379</v>
      </c>
      <c r="G851">
        <v>1</v>
      </c>
      <c r="H851" t="s">
        <v>2379</v>
      </c>
      <c r="I851" t="str" cm="1">
        <f t="array" ref="I851">_xlfn.IFS(B851&lt;18.5,"Underweight",AND(B851&gt;=18.5,B851&lt;=24.99),"Normalweight",AND(B851&gt;=25,B851&lt;=29.99),"Overweight",B851&gt;=30,"Obesity")</f>
        <v>Obesity</v>
      </c>
      <c r="J851" t="str" cm="1">
        <f t="array" ref="J851">_xlfn.IFS(C851&lt;5.7,"Normal",AND(C851&gt;=5.7,C851&lt;=6.49),"Prediabetes",C851&gt;=6.5,"Diabetes")</f>
        <v>Prediabetes</v>
      </c>
    </row>
    <row r="852" spans="1:10" x14ac:dyDescent="0.3">
      <c r="A852" t="s">
        <v>1520</v>
      </c>
      <c r="B852" s="8">
        <v>46.75</v>
      </c>
      <c r="C852">
        <v>6.66</v>
      </c>
      <c r="D852" t="s">
        <v>2381</v>
      </c>
      <c r="E852" t="s">
        <v>2379</v>
      </c>
      <c r="F852" t="s">
        <v>2379</v>
      </c>
      <c r="G852">
        <v>2</v>
      </c>
      <c r="H852" t="s">
        <v>2379</v>
      </c>
      <c r="I852" t="str" cm="1">
        <f t="array" ref="I852">_xlfn.IFS(B852&lt;18.5,"Underweight",AND(B852&gt;=18.5,B852&lt;=24.99),"Normalweight",AND(B852&gt;=25,B852&lt;=29.99),"Overweight",B852&gt;=30,"Obesity")</f>
        <v>Obesity</v>
      </c>
      <c r="J852" t="str" cm="1">
        <f t="array" ref="J852">_xlfn.IFS(C852&lt;5.7,"Normal",AND(C852&gt;=5.7,C852&lt;=6.49),"Prediabetes",C852&gt;=6.5,"Diabetes")</f>
        <v>Diabetes</v>
      </c>
    </row>
    <row r="853" spans="1:10" x14ac:dyDescent="0.3">
      <c r="A853" t="s">
        <v>1519</v>
      </c>
      <c r="B853" s="8">
        <v>32.15</v>
      </c>
      <c r="C853">
        <v>4.0199999999999996</v>
      </c>
      <c r="D853" t="s">
        <v>2381</v>
      </c>
      <c r="E853" t="s">
        <v>2379</v>
      </c>
      <c r="F853" t="s">
        <v>2381</v>
      </c>
      <c r="G853">
        <v>1</v>
      </c>
      <c r="H853" t="s">
        <v>2379</v>
      </c>
      <c r="I853" t="str" cm="1">
        <f t="array" ref="I853">_xlfn.IFS(B853&lt;18.5,"Underweight",AND(B853&gt;=18.5,B853&lt;=24.99),"Normalweight",AND(B853&gt;=25,B853&lt;=29.99),"Overweight",B853&gt;=30,"Obesity")</f>
        <v>Obesity</v>
      </c>
      <c r="J853" t="str" cm="1">
        <f t="array" ref="J853">_xlfn.IFS(C853&lt;5.7,"Normal",AND(C853&gt;=5.7,C853&lt;=6.49),"Prediabetes",C853&gt;=6.5,"Diabetes")</f>
        <v>Normal</v>
      </c>
    </row>
    <row r="854" spans="1:10" x14ac:dyDescent="0.3">
      <c r="A854" t="s">
        <v>1518</v>
      </c>
      <c r="B854" s="8">
        <v>43.4</v>
      </c>
      <c r="C854">
        <v>8.81</v>
      </c>
      <c r="D854" t="s">
        <v>2381</v>
      </c>
      <c r="E854" t="s">
        <v>2379</v>
      </c>
      <c r="F854" t="s">
        <v>2379</v>
      </c>
      <c r="G854">
        <v>2</v>
      </c>
      <c r="H854" t="s">
        <v>2379</v>
      </c>
      <c r="I854" t="str" cm="1">
        <f t="array" ref="I854">_xlfn.IFS(B854&lt;18.5,"Underweight",AND(B854&gt;=18.5,B854&lt;=24.99),"Normalweight",AND(B854&gt;=25,B854&lt;=29.99),"Overweight",B854&gt;=30,"Obesity")</f>
        <v>Obesity</v>
      </c>
      <c r="J854" t="str" cm="1">
        <f t="array" ref="J854">_xlfn.IFS(C854&lt;5.7,"Normal",AND(C854&gt;=5.7,C854&lt;=6.49),"Prediabetes",C854&gt;=6.5,"Diabetes")</f>
        <v>Diabetes</v>
      </c>
    </row>
    <row r="855" spans="1:10" x14ac:dyDescent="0.3">
      <c r="A855" t="s">
        <v>1517</v>
      </c>
      <c r="B855" s="8">
        <v>31.57</v>
      </c>
      <c r="C855">
        <v>7.92</v>
      </c>
      <c r="D855" t="s">
        <v>2381</v>
      </c>
      <c r="E855" t="s">
        <v>2379</v>
      </c>
      <c r="F855" t="s">
        <v>2379</v>
      </c>
      <c r="G855">
        <v>2</v>
      </c>
      <c r="H855" t="s">
        <v>2379</v>
      </c>
      <c r="I855" t="str" cm="1">
        <f t="array" ref="I855">_xlfn.IFS(B855&lt;18.5,"Underweight",AND(B855&gt;=18.5,B855&lt;=24.99),"Normalweight",AND(B855&gt;=25,B855&lt;=29.99),"Overweight",B855&gt;=30,"Obesity")</f>
        <v>Obesity</v>
      </c>
      <c r="J855" t="str" cm="1">
        <f t="array" ref="J855">_xlfn.IFS(C855&lt;5.7,"Normal",AND(C855&gt;=5.7,C855&lt;=6.49),"Prediabetes",C855&gt;=6.5,"Diabetes")</f>
        <v>Diabetes</v>
      </c>
    </row>
    <row r="856" spans="1:10" x14ac:dyDescent="0.3">
      <c r="A856" t="s">
        <v>1516</v>
      </c>
      <c r="B856" s="8">
        <v>24.32</v>
      </c>
      <c r="C856">
        <v>7.48</v>
      </c>
      <c r="D856" t="s">
        <v>2379</v>
      </c>
      <c r="E856" t="s">
        <v>2379</v>
      </c>
      <c r="F856" t="s">
        <v>2379</v>
      </c>
      <c r="G856">
        <v>0</v>
      </c>
      <c r="H856" t="s">
        <v>2379</v>
      </c>
      <c r="I856" t="str" cm="1">
        <f t="array" ref="I856">_xlfn.IFS(B856&lt;18.5,"Underweight",AND(B856&gt;=18.5,B856&lt;=24.99),"Normalweight",AND(B856&gt;=25,B856&lt;=29.99),"Overweight",B856&gt;=30,"Obesity")</f>
        <v>Normalweight</v>
      </c>
      <c r="J856" t="str" cm="1">
        <f t="array" ref="J856">_xlfn.IFS(C856&lt;5.7,"Normal",AND(C856&gt;=5.7,C856&lt;=6.49),"Prediabetes",C856&gt;=6.5,"Diabetes")</f>
        <v>Diabetes</v>
      </c>
    </row>
    <row r="857" spans="1:10" x14ac:dyDescent="0.3">
      <c r="A857" t="s">
        <v>1515</v>
      </c>
      <c r="B857" s="8">
        <v>31.07</v>
      </c>
      <c r="C857">
        <v>4.62</v>
      </c>
      <c r="D857" t="s">
        <v>2381</v>
      </c>
      <c r="E857" t="s">
        <v>2379</v>
      </c>
      <c r="F857" t="s">
        <v>2379</v>
      </c>
      <c r="G857">
        <v>2</v>
      </c>
      <c r="H857" t="s">
        <v>2379</v>
      </c>
      <c r="I857" t="str" cm="1">
        <f t="array" ref="I857">_xlfn.IFS(B857&lt;18.5,"Underweight",AND(B857&gt;=18.5,B857&lt;=24.99),"Normalweight",AND(B857&gt;=25,B857&lt;=29.99),"Overweight",B857&gt;=30,"Obesity")</f>
        <v>Obesity</v>
      </c>
      <c r="J857" t="str" cm="1">
        <f t="array" ref="J857">_xlfn.IFS(C857&lt;5.7,"Normal",AND(C857&gt;=5.7,C857&lt;=6.49),"Prediabetes",C857&gt;=6.5,"Diabetes")</f>
        <v>Normal</v>
      </c>
    </row>
    <row r="858" spans="1:10" x14ac:dyDescent="0.3">
      <c r="A858" t="s">
        <v>1514</v>
      </c>
      <c r="B858" s="8">
        <v>35.814999999999998</v>
      </c>
      <c r="C858">
        <v>8.4700000000000006</v>
      </c>
      <c r="D858" t="s">
        <v>2379</v>
      </c>
      <c r="E858" t="s">
        <v>2379</v>
      </c>
      <c r="F858" t="s">
        <v>2379</v>
      </c>
      <c r="G858">
        <v>0</v>
      </c>
      <c r="H858" t="s">
        <v>2379</v>
      </c>
      <c r="I858" t="str" cm="1">
        <f t="array" ref="I858">_xlfn.IFS(B858&lt;18.5,"Underweight",AND(B858&gt;=18.5,B858&lt;=24.99),"Normalweight",AND(B858&gt;=25,B858&lt;=29.99),"Overweight",B858&gt;=30,"Obesity")</f>
        <v>Obesity</v>
      </c>
      <c r="J858" t="str" cm="1">
        <f t="array" ref="J858">_xlfn.IFS(C858&lt;5.7,"Normal",AND(C858&gt;=5.7,C858&lt;=6.49),"Prediabetes",C858&gt;=6.5,"Diabetes")</f>
        <v>Diabetes</v>
      </c>
    </row>
    <row r="859" spans="1:10" x14ac:dyDescent="0.3">
      <c r="A859" t="s">
        <v>1513</v>
      </c>
      <c r="B859" s="8">
        <v>40.81</v>
      </c>
      <c r="C859">
        <v>10.58</v>
      </c>
      <c r="D859" t="s">
        <v>2381</v>
      </c>
      <c r="E859" t="s">
        <v>2379</v>
      </c>
      <c r="F859" t="s">
        <v>2379</v>
      </c>
      <c r="G859">
        <v>0</v>
      </c>
      <c r="H859" t="s">
        <v>2379</v>
      </c>
      <c r="I859" t="str" cm="1">
        <f t="array" ref="I859">_xlfn.IFS(B859&lt;18.5,"Underweight",AND(B859&gt;=18.5,B859&lt;=24.99),"Normalweight",AND(B859&gt;=25,B859&lt;=29.99),"Overweight",B859&gt;=30,"Obesity")</f>
        <v>Obesity</v>
      </c>
      <c r="J859" t="str" cm="1">
        <f t="array" ref="J859">_xlfn.IFS(C859&lt;5.7,"Normal",AND(C859&gt;=5.7,C859&lt;=6.49),"Prediabetes",C859&gt;=6.5,"Diabetes")</f>
        <v>Diabetes</v>
      </c>
    </row>
    <row r="860" spans="1:10" x14ac:dyDescent="0.3">
      <c r="A860" t="s">
        <v>1512</v>
      </c>
      <c r="B860" s="8">
        <v>24.605</v>
      </c>
      <c r="C860">
        <v>7.48</v>
      </c>
      <c r="D860" t="s">
        <v>2379</v>
      </c>
      <c r="E860" t="s">
        <v>2379</v>
      </c>
      <c r="F860" t="s">
        <v>2379</v>
      </c>
      <c r="G860">
        <v>0</v>
      </c>
      <c r="H860" t="s">
        <v>2379</v>
      </c>
      <c r="I860" t="str" cm="1">
        <f t="array" ref="I860">_xlfn.IFS(B860&lt;18.5,"Underweight",AND(B860&gt;=18.5,B860&lt;=24.99),"Normalweight",AND(B860&gt;=25,B860&lt;=29.99),"Overweight",B860&gt;=30,"Obesity")</f>
        <v>Normalweight</v>
      </c>
      <c r="J860" t="str" cm="1">
        <f t="array" ref="J860">_xlfn.IFS(C860&lt;5.7,"Normal",AND(C860&gt;=5.7,C860&lt;=6.49),"Prediabetes",C860&gt;=6.5,"Diabetes")</f>
        <v>Diabetes</v>
      </c>
    </row>
    <row r="861" spans="1:10" x14ac:dyDescent="0.3">
      <c r="A861" t="s">
        <v>1511</v>
      </c>
      <c r="B861" s="8">
        <v>21.47</v>
      </c>
      <c r="C861">
        <v>7.82</v>
      </c>
      <c r="D861" t="s">
        <v>2379</v>
      </c>
      <c r="E861" t="s">
        <v>2379</v>
      </c>
      <c r="F861" t="s">
        <v>2379</v>
      </c>
      <c r="G861">
        <v>0</v>
      </c>
      <c r="H861" t="s">
        <v>2379</v>
      </c>
      <c r="I861" t="str" cm="1">
        <f t="array" ref="I861">_xlfn.IFS(B861&lt;18.5,"Underweight",AND(B861&gt;=18.5,B861&lt;=24.99),"Normalweight",AND(B861&gt;=25,B861&lt;=29.99),"Overweight",B861&gt;=30,"Obesity")</f>
        <v>Normalweight</v>
      </c>
      <c r="J861" t="str" cm="1">
        <f t="array" ref="J861">_xlfn.IFS(C861&lt;5.7,"Normal",AND(C861&gt;=5.7,C861&lt;=6.49),"Prediabetes",C861&gt;=6.5,"Diabetes")</f>
        <v>Diabetes</v>
      </c>
    </row>
    <row r="862" spans="1:10" x14ac:dyDescent="0.3">
      <c r="A862" t="s">
        <v>1510</v>
      </c>
      <c r="B862" s="8">
        <v>52.89</v>
      </c>
      <c r="C862">
        <v>4.96</v>
      </c>
      <c r="D862" t="s">
        <v>2381</v>
      </c>
      <c r="E862" t="s">
        <v>2379</v>
      </c>
      <c r="F862" t="s">
        <v>2379</v>
      </c>
      <c r="G862">
        <v>1</v>
      </c>
      <c r="H862" t="s">
        <v>2379</v>
      </c>
      <c r="I862" t="str" cm="1">
        <f t="array" ref="I862">_xlfn.IFS(B862&lt;18.5,"Underweight",AND(B862&gt;=18.5,B862&lt;=24.99),"Normalweight",AND(B862&gt;=25,B862&lt;=29.99),"Overweight",B862&gt;=30,"Obesity")</f>
        <v>Obesity</v>
      </c>
      <c r="J862" t="str" cm="1">
        <f t="array" ref="J862">_xlfn.IFS(C862&lt;5.7,"Normal",AND(C862&gt;=5.7,C862&lt;=6.49),"Prediabetes",C862&gt;=6.5,"Diabetes")</f>
        <v>Normal</v>
      </c>
    </row>
    <row r="863" spans="1:10" x14ac:dyDescent="0.3">
      <c r="A863" t="s">
        <v>1509</v>
      </c>
      <c r="B863" s="8">
        <v>32.965000000000003</v>
      </c>
      <c r="C863">
        <v>6.15</v>
      </c>
      <c r="D863" t="s">
        <v>2381</v>
      </c>
      <c r="E863" t="s">
        <v>2379</v>
      </c>
      <c r="F863" t="s">
        <v>2379</v>
      </c>
      <c r="G863">
        <v>1</v>
      </c>
      <c r="H863" t="s">
        <v>2379</v>
      </c>
      <c r="I863" t="str" cm="1">
        <f t="array" ref="I863">_xlfn.IFS(B863&lt;18.5,"Underweight",AND(B863&gt;=18.5,B863&lt;=24.99),"Normalweight",AND(B863&gt;=25,B863&lt;=29.99),"Overweight",B863&gt;=30,"Obesity")</f>
        <v>Obesity</v>
      </c>
      <c r="J863" t="str" cm="1">
        <f t="array" ref="J863">_xlfn.IFS(C863&lt;5.7,"Normal",AND(C863&gt;=5.7,C863&lt;=6.49),"Prediabetes",C863&gt;=6.5,"Diabetes")</f>
        <v>Prediabetes</v>
      </c>
    </row>
    <row r="864" spans="1:10" x14ac:dyDescent="0.3">
      <c r="A864" t="s">
        <v>1508</v>
      </c>
      <c r="B864" s="8">
        <v>36.799999999999997</v>
      </c>
      <c r="C864">
        <v>4.62</v>
      </c>
      <c r="D864" t="s">
        <v>2379</v>
      </c>
      <c r="E864" t="s">
        <v>2379</v>
      </c>
      <c r="F864" t="s">
        <v>2381</v>
      </c>
      <c r="G864">
        <v>1</v>
      </c>
      <c r="H864" t="s">
        <v>2379</v>
      </c>
      <c r="I864" t="str" cm="1">
        <f t="array" ref="I864">_xlfn.IFS(B864&lt;18.5,"Underweight",AND(B864&gt;=18.5,B864&lt;=24.99),"Normalweight",AND(B864&gt;=25,B864&lt;=29.99),"Overweight",B864&gt;=30,"Obesity")</f>
        <v>Obesity</v>
      </c>
      <c r="J864" t="str" cm="1">
        <f t="array" ref="J864">_xlfn.IFS(C864&lt;5.7,"Normal",AND(C864&gt;=5.7,C864&lt;=6.49),"Prediabetes",C864&gt;=6.5,"Diabetes")</f>
        <v>Normal</v>
      </c>
    </row>
    <row r="865" spans="1:10" x14ac:dyDescent="0.3">
      <c r="A865" t="s">
        <v>1507</v>
      </c>
      <c r="B865" s="8">
        <v>34.299999999999997</v>
      </c>
      <c r="C865">
        <v>4.87</v>
      </c>
      <c r="D865" t="s">
        <v>2379</v>
      </c>
      <c r="E865" t="s">
        <v>2379</v>
      </c>
      <c r="F865" t="s">
        <v>2379</v>
      </c>
      <c r="G865">
        <v>2</v>
      </c>
      <c r="H865" t="s">
        <v>2379</v>
      </c>
      <c r="I865" t="str" cm="1">
        <f t="array" ref="I865">_xlfn.IFS(B865&lt;18.5,"Underweight",AND(B865&gt;=18.5,B865&lt;=24.99),"Normalweight",AND(B865&gt;=25,B865&lt;=29.99),"Overweight",B865&gt;=30,"Obesity")</f>
        <v>Obesity</v>
      </c>
      <c r="J865" t="str" cm="1">
        <f t="array" ref="J865">_xlfn.IFS(C865&lt;5.7,"Normal",AND(C865&gt;=5.7,C865&lt;=6.49),"Prediabetes",C865&gt;=6.5,"Diabetes")</f>
        <v>Normal</v>
      </c>
    </row>
    <row r="866" spans="1:10" x14ac:dyDescent="0.3">
      <c r="A866" t="s">
        <v>1506</v>
      </c>
      <c r="B866" s="8">
        <v>35.244999999999997</v>
      </c>
      <c r="C866">
        <v>4.63</v>
      </c>
      <c r="D866" t="s">
        <v>2379</v>
      </c>
      <c r="E866" t="s">
        <v>2379</v>
      </c>
      <c r="F866" t="s">
        <v>2379</v>
      </c>
      <c r="G866">
        <v>0</v>
      </c>
      <c r="H866" t="s">
        <v>2379</v>
      </c>
      <c r="I866" t="str" cm="1">
        <f t="array" ref="I866">_xlfn.IFS(B866&lt;18.5,"Underweight",AND(B866&gt;=18.5,B866&lt;=24.99),"Normalweight",AND(B866&gt;=25,B866&lt;=29.99),"Overweight",B866&gt;=30,"Obesity")</f>
        <v>Obesity</v>
      </c>
      <c r="J866" t="str" cm="1">
        <f t="array" ref="J866">_xlfn.IFS(C866&lt;5.7,"Normal",AND(C866&gt;=5.7,C866&lt;=6.49),"Prediabetes",C866&gt;=6.5,"Diabetes")</f>
        <v>Normal</v>
      </c>
    </row>
    <row r="867" spans="1:10" x14ac:dyDescent="0.3">
      <c r="A867" t="s">
        <v>1505</v>
      </c>
      <c r="B867" s="8">
        <v>26.23</v>
      </c>
      <c r="C867">
        <v>11.93</v>
      </c>
      <c r="D867" t="s">
        <v>2379</v>
      </c>
      <c r="E867" t="s">
        <v>2379</v>
      </c>
      <c r="F867" t="s">
        <v>2379</v>
      </c>
      <c r="G867">
        <v>0</v>
      </c>
      <c r="H867" t="s">
        <v>2379</v>
      </c>
      <c r="I867" t="str" cm="1">
        <f t="array" ref="I867">_xlfn.IFS(B867&lt;18.5,"Underweight",AND(B867&gt;=18.5,B867&lt;=24.99),"Normalweight",AND(B867&gt;=25,B867&lt;=29.99),"Overweight",B867&gt;=30,"Obesity")</f>
        <v>Overweight</v>
      </c>
      <c r="J867" t="str" cm="1">
        <f t="array" ref="J867">_xlfn.IFS(C867&lt;5.7,"Normal",AND(C867&gt;=5.7,C867&lt;=6.49),"Prediabetes",C867&gt;=6.5,"Diabetes")</f>
        <v>Diabetes</v>
      </c>
    </row>
    <row r="868" spans="1:10" x14ac:dyDescent="0.3">
      <c r="A868" t="s">
        <v>1504</v>
      </c>
      <c r="B868" s="8">
        <v>36.1</v>
      </c>
      <c r="C868">
        <v>5.65</v>
      </c>
      <c r="D868" t="s">
        <v>2381</v>
      </c>
      <c r="E868" t="s">
        <v>2379</v>
      </c>
      <c r="F868" t="s">
        <v>2379</v>
      </c>
      <c r="G868">
        <v>2</v>
      </c>
      <c r="H868" t="s">
        <v>2379</v>
      </c>
      <c r="I868" t="str" cm="1">
        <f t="array" ref="I868">_xlfn.IFS(B868&lt;18.5,"Underweight",AND(B868&gt;=18.5,B868&lt;=24.99),"Normalweight",AND(B868&gt;=25,B868&lt;=29.99),"Overweight",B868&gt;=30,"Obesity")</f>
        <v>Obesity</v>
      </c>
      <c r="J868" t="str" cm="1">
        <f t="array" ref="J868">_xlfn.IFS(C868&lt;5.7,"Normal",AND(C868&gt;=5.7,C868&lt;=6.49),"Prediabetes",C868&gt;=6.5,"Diabetes")</f>
        <v>Normal</v>
      </c>
    </row>
    <row r="869" spans="1:10" x14ac:dyDescent="0.3">
      <c r="A869" t="s">
        <v>1503</v>
      </c>
      <c r="B869" s="8">
        <v>37.1</v>
      </c>
      <c r="C869">
        <v>11.21</v>
      </c>
      <c r="D869" t="s">
        <v>2381</v>
      </c>
      <c r="E869" t="s">
        <v>2379</v>
      </c>
      <c r="F869" t="s">
        <v>2381</v>
      </c>
      <c r="G869">
        <v>1</v>
      </c>
      <c r="H869" t="s">
        <v>2379</v>
      </c>
      <c r="I869" t="str" cm="1">
        <f t="array" ref="I869">_xlfn.IFS(B869&lt;18.5,"Underweight",AND(B869&gt;=18.5,B869&lt;=24.99),"Normalweight",AND(B869&gt;=25,B869&lt;=29.99),"Overweight",B869&gt;=30,"Obesity")</f>
        <v>Obesity</v>
      </c>
      <c r="J869" t="str" cm="1">
        <f t="array" ref="J869">_xlfn.IFS(C869&lt;5.7,"Normal",AND(C869&gt;=5.7,C869&lt;=6.49),"Prediabetes",C869&gt;=6.5,"Diabetes")</f>
        <v>Diabetes</v>
      </c>
    </row>
    <row r="870" spans="1:10" x14ac:dyDescent="0.3">
      <c r="A870" t="s">
        <v>1502</v>
      </c>
      <c r="B870" s="8">
        <v>27.5</v>
      </c>
      <c r="C870">
        <v>10.62</v>
      </c>
      <c r="D870" t="s">
        <v>2381</v>
      </c>
      <c r="E870" t="s">
        <v>2379</v>
      </c>
      <c r="F870" t="s">
        <v>2381</v>
      </c>
      <c r="G870">
        <v>1</v>
      </c>
      <c r="H870" t="s">
        <v>2379</v>
      </c>
      <c r="I870" t="str" cm="1">
        <f t="array" ref="I870">_xlfn.IFS(B870&lt;18.5,"Underweight",AND(B870&gt;=18.5,B870&lt;=24.99),"Normalweight",AND(B870&gt;=25,B870&lt;=29.99),"Overweight",B870&gt;=30,"Obesity")</f>
        <v>Overweight</v>
      </c>
      <c r="J870" t="str" cm="1">
        <f t="array" ref="J870">_xlfn.IFS(C870&lt;5.7,"Normal",AND(C870&gt;=5.7,C870&lt;=6.49),"Prediabetes",C870&gt;=6.5,"Diabetes")</f>
        <v>Diabetes</v>
      </c>
    </row>
    <row r="871" spans="1:10" x14ac:dyDescent="0.3">
      <c r="A871" t="s">
        <v>1501</v>
      </c>
      <c r="B871" s="8">
        <v>24.7</v>
      </c>
      <c r="C871">
        <v>10.7</v>
      </c>
      <c r="D871" t="s">
        <v>2381</v>
      </c>
      <c r="E871" t="s">
        <v>2379</v>
      </c>
      <c r="F871" t="s">
        <v>2381</v>
      </c>
      <c r="G871">
        <v>1</v>
      </c>
      <c r="H871" t="s">
        <v>2379</v>
      </c>
      <c r="I871" t="str" cm="1">
        <f t="array" ref="I871">_xlfn.IFS(B871&lt;18.5,"Underweight",AND(B871&gt;=18.5,B871&lt;=24.99),"Normalweight",AND(B871&gt;=25,B871&lt;=29.99),"Overweight",B871&gt;=30,"Obesity")</f>
        <v>Normalweight</v>
      </c>
      <c r="J871" t="str" cm="1">
        <f t="array" ref="J871">_xlfn.IFS(C871&lt;5.7,"Normal",AND(C871&gt;=5.7,C871&lt;=6.49),"Prediabetes",C871&gt;=6.5,"Diabetes")</f>
        <v>Diabetes</v>
      </c>
    </row>
    <row r="872" spans="1:10" x14ac:dyDescent="0.3">
      <c r="A872" t="s">
        <v>1500</v>
      </c>
      <c r="B872" s="8">
        <v>26.78</v>
      </c>
      <c r="C872">
        <v>10.02</v>
      </c>
      <c r="D872" t="s">
        <v>2381</v>
      </c>
      <c r="E872" t="s">
        <v>2379</v>
      </c>
      <c r="F872" t="s">
        <v>2381</v>
      </c>
      <c r="G872">
        <v>1</v>
      </c>
      <c r="H872" t="s">
        <v>2379</v>
      </c>
      <c r="I872" t="str" cm="1">
        <f t="array" ref="I872">_xlfn.IFS(B872&lt;18.5,"Underweight",AND(B872&gt;=18.5,B872&lt;=24.99),"Normalweight",AND(B872&gt;=25,B872&lt;=29.99),"Overweight",B872&gt;=30,"Obesity")</f>
        <v>Overweight</v>
      </c>
      <c r="J872" t="str" cm="1">
        <f t="array" ref="J872">_xlfn.IFS(C872&lt;5.7,"Normal",AND(C872&gt;=5.7,C872&lt;=6.49),"Prediabetes",C872&gt;=6.5,"Diabetes")</f>
        <v>Diabetes</v>
      </c>
    </row>
    <row r="873" spans="1:10" x14ac:dyDescent="0.3">
      <c r="A873" t="s">
        <v>1499</v>
      </c>
      <c r="B873" s="8">
        <v>45.8</v>
      </c>
      <c r="C873">
        <v>4.8499999999999996</v>
      </c>
      <c r="D873" t="s">
        <v>2379</v>
      </c>
      <c r="E873" t="s">
        <v>2379</v>
      </c>
      <c r="F873" t="s">
        <v>2379</v>
      </c>
      <c r="G873">
        <v>0</v>
      </c>
      <c r="H873" t="s">
        <v>2379</v>
      </c>
      <c r="I873" t="str" cm="1">
        <f t="array" ref="I873">_xlfn.IFS(B873&lt;18.5,"Underweight",AND(B873&gt;=18.5,B873&lt;=24.99),"Normalweight",AND(B873&gt;=25,B873&lt;=29.99),"Overweight",B873&gt;=30,"Obesity")</f>
        <v>Obesity</v>
      </c>
      <c r="J873" t="str" cm="1">
        <f t="array" ref="J873">_xlfn.IFS(C873&lt;5.7,"Normal",AND(C873&gt;=5.7,C873&lt;=6.49),"Prediabetes",C873&gt;=6.5,"Diabetes")</f>
        <v>Normal</v>
      </c>
    </row>
    <row r="874" spans="1:10" x14ac:dyDescent="0.3">
      <c r="A874" t="s">
        <v>1498</v>
      </c>
      <c r="B874" s="8">
        <v>29</v>
      </c>
      <c r="C874">
        <v>4.3899999999999997</v>
      </c>
      <c r="D874" t="s">
        <v>2381</v>
      </c>
      <c r="E874" t="s">
        <v>2379</v>
      </c>
      <c r="F874" t="s">
        <v>2379</v>
      </c>
      <c r="G874">
        <v>2</v>
      </c>
      <c r="H874" t="s">
        <v>2379</v>
      </c>
      <c r="I874" t="str" cm="1">
        <f t="array" ref="I874">_xlfn.IFS(B874&lt;18.5,"Underweight",AND(B874&gt;=18.5,B874&lt;=24.99),"Normalweight",AND(B874&gt;=25,B874&lt;=29.99),"Overweight",B874&gt;=30,"Obesity")</f>
        <v>Overweight</v>
      </c>
      <c r="J874" t="str" cm="1">
        <f t="array" ref="J874">_xlfn.IFS(C874&lt;5.7,"Normal",AND(C874&gt;=5.7,C874&lt;=6.49),"Prediabetes",C874&gt;=6.5,"Diabetes")</f>
        <v>Normal</v>
      </c>
    </row>
    <row r="875" spans="1:10" x14ac:dyDescent="0.3">
      <c r="A875" t="s">
        <v>1497</v>
      </c>
      <c r="B875" s="8">
        <v>33.534999999999997</v>
      </c>
      <c r="C875">
        <v>8.24</v>
      </c>
      <c r="D875" t="s">
        <v>2381</v>
      </c>
      <c r="E875" t="s">
        <v>2379</v>
      </c>
      <c r="F875" t="s">
        <v>2379</v>
      </c>
      <c r="G875">
        <v>0</v>
      </c>
      <c r="H875" t="s">
        <v>2379</v>
      </c>
      <c r="I875" t="str" cm="1">
        <f t="array" ref="I875">_xlfn.IFS(B875&lt;18.5,"Underweight",AND(B875&gt;=18.5,B875&lt;=24.99),"Normalweight",AND(B875&gt;=25,B875&lt;=29.99),"Overweight",B875&gt;=30,"Obesity")</f>
        <v>Obesity</v>
      </c>
      <c r="J875" t="str" cm="1">
        <f t="array" ref="J875">_xlfn.IFS(C875&lt;5.7,"Normal",AND(C875&gt;=5.7,C875&lt;=6.49),"Prediabetes",C875&gt;=6.5,"Diabetes")</f>
        <v>Diabetes</v>
      </c>
    </row>
    <row r="876" spans="1:10" x14ac:dyDescent="0.3">
      <c r="A876" t="s">
        <v>1496</v>
      </c>
      <c r="B876" s="8">
        <v>32.774999999999999</v>
      </c>
      <c r="C876">
        <v>9.77</v>
      </c>
      <c r="D876" t="s">
        <v>2381</v>
      </c>
      <c r="E876" t="s">
        <v>2379</v>
      </c>
      <c r="F876" t="s">
        <v>2379</v>
      </c>
      <c r="G876">
        <v>0</v>
      </c>
      <c r="H876" t="s">
        <v>2379</v>
      </c>
      <c r="I876" t="str" cm="1">
        <f t="array" ref="I876">_xlfn.IFS(B876&lt;18.5,"Underweight",AND(B876&gt;=18.5,B876&lt;=24.99),"Normalweight",AND(B876&gt;=25,B876&lt;=29.99),"Overweight",B876&gt;=30,"Obesity")</f>
        <v>Obesity</v>
      </c>
      <c r="J876" t="str" cm="1">
        <f t="array" ref="J876">_xlfn.IFS(C876&lt;5.7,"Normal",AND(C876&gt;=5.7,C876&lt;=6.49),"Prediabetes",C876&gt;=6.5,"Diabetes")</f>
        <v>Diabetes</v>
      </c>
    </row>
    <row r="877" spans="1:10" x14ac:dyDescent="0.3">
      <c r="A877" t="s">
        <v>1495</v>
      </c>
      <c r="B877" s="8">
        <v>37.51</v>
      </c>
      <c r="C877">
        <v>5.5</v>
      </c>
      <c r="D877" t="s">
        <v>2381</v>
      </c>
      <c r="E877" t="s">
        <v>2379</v>
      </c>
      <c r="F877" t="s">
        <v>2379</v>
      </c>
      <c r="G877">
        <v>2</v>
      </c>
      <c r="H877" t="s">
        <v>2379</v>
      </c>
      <c r="I877" t="str" cm="1">
        <f t="array" ref="I877">_xlfn.IFS(B877&lt;18.5,"Underweight",AND(B877&gt;=18.5,B877&lt;=24.99),"Normalweight",AND(B877&gt;=25,B877&lt;=29.99),"Overweight",B877&gt;=30,"Obesity")</f>
        <v>Obesity</v>
      </c>
      <c r="J877" t="str" cm="1">
        <f t="array" ref="J877">_xlfn.IFS(C877&lt;5.7,"Normal",AND(C877&gt;=5.7,C877&lt;=6.49),"Prediabetes",C877&gt;=6.5,"Diabetes")</f>
        <v>Normal</v>
      </c>
    </row>
    <row r="878" spans="1:10" x14ac:dyDescent="0.3">
      <c r="A878" t="s">
        <v>1494</v>
      </c>
      <c r="B878" s="8">
        <v>39.86</v>
      </c>
      <c r="C878">
        <v>11.84</v>
      </c>
      <c r="D878" t="s">
        <v>2381</v>
      </c>
      <c r="E878" t="s">
        <v>2379</v>
      </c>
      <c r="F878" t="s">
        <v>2379</v>
      </c>
      <c r="G878">
        <v>1</v>
      </c>
      <c r="H878" t="s">
        <v>2379</v>
      </c>
      <c r="I878" t="str" cm="1">
        <f t="array" ref="I878">_xlfn.IFS(B878&lt;18.5,"Underweight",AND(B878&gt;=18.5,B878&lt;=24.99),"Normalweight",AND(B878&gt;=25,B878&lt;=29.99),"Overweight",B878&gt;=30,"Obesity")</f>
        <v>Obesity</v>
      </c>
      <c r="J878" t="str" cm="1">
        <f t="array" ref="J878">_xlfn.IFS(C878&lt;5.7,"Normal",AND(C878&gt;=5.7,C878&lt;=6.49),"Prediabetes",C878&gt;=6.5,"Diabetes")</f>
        <v>Diabetes</v>
      </c>
    </row>
    <row r="879" spans="1:10" x14ac:dyDescent="0.3">
      <c r="A879" t="s">
        <v>1493</v>
      </c>
      <c r="B879" s="8">
        <v>42.13</v>
      </c>
      <c r="C879">
        <v>4.66</v>
      </c>
      <c r="D879" t="s">
        <v>2379</v>
      </c>
      <c r="E879" t="s">
        <v>2379</v>
      </c>
      <c r="F879" t="s">
        <v>2379</v>
      </c>
      <c r="G879">
        <v>0</v>
      </c>
      <c r="H879" t="s">
        <v>2379</v>
      </c>
      <c r="I879" t="str" cm="1">
        <f t="array" ref="I879">_xlfn.IFS(B879&lt;18.5,"Underweight",AND(B879&gt;=18.5,B879&lt;=24.99),"Normalweight",AND(B879&gt;=25,B879&lt;=29.99),"Overweight",B879&gt;=30,"Obesity")</f>
        <v>Obesity</v>
      </c>
      <c r="J879" t="str" cm="1">
        <f t="array" ref="J879">_xlfn.IFS(C879&lt;5.7,"Normal",AND(C879&gt;=5.7,C879&lt;=6.49),"Prediabetes",C879&gt;=6.5,"Diabetes")</f>
        <v>Normal</v>
      </c>
    </row>
    <row r="880" spans="1:10" x14ac:dyDescent="0.3">
      <c r="A880" t="s">
        <v>1492</v>
      </c>
      <c r="B880" s="8">
        <v>35.99</v>
      </c>
      <c r="C880">
        <v>11.11</v>
      </c>
      <c r="D880" t="s">
        <v>2379</v>
      </c>
      <c r="E880" t="s">
        <v>2379</v>
      </c>
      <c r="F880" t="s">
        <v>2379</v>
      </c>
      <c r="G880">
        <v>0</v>
      </c>
      <c r="H880" t="s">
        <v>2379</v>
      </c>
      <c r="I880" t="str" cm="1">
        <f t="array" ref="I880">_xlfn.IFS(B880&lt;18.5,"Underweight",AND(B880&gt;=18.5,B880&lt;=24.99),"Normalweight",AND(B880&gt;=25,B880&lt;=29.99),"Overweight",B880&gt;=30,"Obesity")</f>
        <v>Obesity</v>
      </c>
      <c r="J880" t="str" cm="1">
        <f t="array" ref="J880">_xlfn.IFS(C880&lt;5.7,"Normal",AND(C880&gt;=5.7,C880&lt;=6.49),"Prediabetes",C880&gt;=6.5,"Diabetes")</f>
        <v>Diabetes</v>
      </c>
    </row>
    <row r="881" spans="1:10" x14ac:dyDescent="0.3">
      <c r="A881" t="s">
        <v>1491</v>
      </c>
      <c r="B881" s="8">
        <v>35.200000000000003</v>
      </c>
      <c r="C881">
        <v>7.72</v>
      </c>
      <c r="D881" t="s">
        <v>2381</v>
      </c>
      <c r="E881" t="s">
        <v>2379</v>
      </c>
      <c r="F881" t="s">
        <v>2381</v>
      </c>
      <c r="G881">
        <v>1</v>
      </c>
      <c r="H881" t="s">
        <v>2379</v>
      </c>
      <c r="I881" t="str" cm="1">
        <f t="array" ref="I881">_xlfn.IFS(B881&lt;18.5,"Underweight",AND(B881&gt;=18.5,B881&lt;=24.99),"Normalweight",AND(B881&gt;=25,B881&lt;=29.99),"Overweight",B881&gt;=30,"Obesity")</f>
        <v>Obesity</v>
      </c>
      <c r="J881" t="str" cm="1">
        <f t="array" ref="J881">_xlfn.IFS(C881&lt;5.7,"Normal",AND(C881&gt;=5.7,C881&lt;=6.49),"Prediabetes",C881&gt;=6.5,"Diabetes")</f>
        <v>Diabetes</v>
      </c>
    </row>
    <row r="882" spans="1:10" x14ac:dyDescent="0.3">
      <c r="A882" t="s">
        <v>1490</v>
      </c>
      <c r="B882" s="8">
        <v>29.91</v>
      </c>
      <c r="C882">
        <v>5.55</v>
      </c>
      <c r="D882" t="s">
        <v>2381</v>
      </c>
      <c r="E882" t="s">
        <v>2379</v>
      </c>
      <c r="F882" t="s">
        <v>2379</v>
      </c>
      <c r="G882">
        <v>2</v>
      </c>
      <c r="H882" t="s">
        <v>2379</v>
      </c>
      <c r="I882" t="str" cm="1">
        <f t="array" ref="I882">_xlfn.IFS(B882&lt;18.5,"Underweight",AND(B882&gt;=18.5,B882&lt;=24.99),"Normalweight",AND(B882&gt;=25,B882&lt;=29.99),"Overweight",B882&gt;=30,"Obesity")</f>
        <v>Overweight</v>
      </c>
      <c r="J882" t="str" cm="1">
        <f t="array" ref="J882">_xlfn.IFS(C882&lt;5.7,"Normal",AND(C882&gt;=5.7,C882&lt;=6.49),"Prediabetes",C882&gt;=6.5,"Diabetes")</f>
        <v>Normal</v>
      </c>
    </row>
    <row r="883" spans="1:10" x14ac:dyDescent="0.3">
      <c r="A883" t="s">
        <v>1489</v>
      </c>
      <c r="B883" s="8">
        <v>36.479999999999997</v>
      </c>
      <c r="C883">
        <v>5.05</v>
      </c>
      <c r="D883" t="s">
        <v>2381</v>
      </c>
      <c r="E883" t="s">
        <v>2379</v>
      </c>
      <c r="F883" t="s">
        <v>2379</v>
      </c>
      <c r="G883">
        <v>1</v>
      </c>
      <c r="H883" t="s">
        <v>2379</v>
      </c>
      <c r="I883" t="str" cm="1">
        <f t="array" ref="I883">_xlfn.IFS(B883&lt;18.5,"Underweight",AND(B883&gt;=18.5,B883&lt;=24.99),"Normalweight",AND(B883&gt;=25,B883&lt;=29.99),"Overweight",B883&gt;=30,"Obesity")</f>
        <v>Obesity</v>
      </c>
      <c r="J883" t="str" cm="1">
        <f t="array" ref="J883">_xlfn.IFS(C883&lt;5.7,"Normal",AND(C883&gt;=5.7,C883&lt;=6.49),"Prediabetes",C883&gt;=6.5,"Diabetes")</f>
        <v>Normal</v>
      </c>
    </row>
    <row r="884" spans="1:10" x14ac:dyDescent="0.3">
      <c r="A884" t="s">
        <v>1488</v>
      </c>
      <c r="B884" s="8">
        <v>27.5</v>
      </c>
      <c r="C884">
        <v>8.69</v>
      </c>
      <c r="D884" t="s">
        <v>2381</v>
      </c>
      <c r="E884" t="s">
        <v>2379</v>
      </c>
      <c r="F884" t="s">
        <v>2381</v>
      </c>
      <c r="G884">
        <v>1</v>
      </c>
      <c r="H884" t="s">
        <v>2379</v>
      </c>
      <c r="I884" t="str" cm="1">
        <f t="array" ref="I884">_xlfn.IFS(B884&lt;18.5,"Underweight",AND(B884&gt;=18.5,B884&lt;=24.99),"Normalweight",AND(B884&gt;=25,B884&lt;=29.99),"Overweight",B884&gt;=30,"Obesity")</f>
        <v>Overweight</v>
      </c>
      <c r="J884" t="str" cm="1">
        <f t="array" ref="J884">_xlfn.IFS(C884&lt;5.7,"Normal",AND(C884&gt;=5.7,C884&lt;=6.49),"Prediabetes",C884&gt;=6.5,"Diabetes")</f>
        <v>Diabetes</v>
      </c>
    </row>
    <row r="885" spans="1:10" x14ac:dyDescent="0.3">
      <c r="A885" t="s">
        <v>1487</v>
      </c>
      <c r="B885" s="8">
        <v>33.44</v>
      </c>
      <c r="C885">
        <v>5.9</v>
      </c>
      <c r="D885" t="s">
        <v>2381</v>
      </c>
      <c r="E885" t="s">
        <v>2379</v>
      </c>
      <c r="F885" t="s">
        <v>2379</v>
      </c>
      <c r="G885">
        <v>1</v>
      </c>
      <c r="H885" t="s">
        <v>2379</v>
      </c>
      <c r="I885" t="str" cm="1">
        <f t="array" ref="I885">_xlfn.IFS(B885&lt;18.5,"Underweight",AND(B885&gt;=18.5,B885&lt;=24.99),"Normalweight",AND(B885&gt;=25,B885&lt;=29.99),"Overweight",B885&gt;=30,"Obesity")</f>
        <v>Obesity</v>
      </c>
      <c r="J885" t="str" cm="1">
        <f t="array" ref="J885">_xlfn.IFS(C885&lt;5.7,"Normal",AND(C885&gt;=5.7,C885&lt;=6.49),"Prediabetes",C885&gt;=6.5,"Diabetes")</f>
        <v>Prediabetes</v>
      </c>
    </row>
    <row r="886" spans="1:10" x14ac:dyDescent="0.3">
      <c r="A886" t="s">
        <v>1486</v>
      </c>
      <c r="B886" s="8">
        <v>28.215</v>
      </c>
      <c r="C886">
        <v>6.29</v>
      </c>
      <c r="D886" t="s">
        <v>2381</v>
      </c>
      <c r="E886" t="s">
        <v>2379</v>
      </c>
      <c r="F886" t="s">
        <v>2379</v>
      </c>
      <c r="G886">
        <v>1</v>
      </c>
      <c r="H886" t="s">
        <v>2379</v>
      </c>
      <c r="I886" t="str" cm="1">
        <f t="array" ref="I886">_xlfn.IFS(B886&lt;18.5,"Underweight",AND(B886&gt;=18.5,B886&lt;=24.99),"Normalweight",AND(B886&gt;=25,B886&lt;=29.99),"Overweight",B886&gt;=30,"Obesity")</f>
        <v>Overweight</v>
      </c>
      <c r="J886" t="str" cm="1">
        <f t="array" ref="J886">_xlfn.IFS(C886&lt;5.7,"Normal",AND(C886&gt;=5.7,C886&lt;=6.49),"Prediabetes",C886&gt;=6.5,"Diabetes")</f>
        <v>Prediabetes</v>
      </c>
    </row>
    <row r="887" spans="1:10" x14ac:dyDescent="0.3">
      <c r="A887" t="s">
        <v>1485</v>
      </c>
      <c r="B887" s="8">
        <v>27.17</v>
      </c>
      <c r="C887">
        <v>5.84</v>
      </c>
      <c r="D887" t="s">
        <v>2381</v>
      </c>
      <c r="E887" t="s">
        <v>2379</v>
      </c>
      <c r="F887" t="s">
        <v>2379</v>
      </c>
      <c r="G887">
        <v>1</v>
      </c>
      <c r="H887" t="s">
        <v>2379</v>
      </c>
      <c r="I887" t="str" cm="1">
        <f t="array" ref="I887">_xlfn.IFS(B887&lt;18.5,"Underweight",AND(B887&gt;=18.5,B887&lt;=24.99),"Normalweight",AND(B887&gt;=25,B887&lt;=29.99),"Overweight",B887&gt;=30,"Obesity")</f>
        <v>Overweight</v>
      </c>
      <c r="J887" t="str" cm="1">
        <f t="array" ref="J887">_xlfn.IFS(C887&lt;5.7,"Normal",AND(C887&gt;=5.7,C887&lt;=6.49),"Prediabetes",C887&gt;=6.5,"Diabetes")</f>
        <v>Prediabetes</v>
      </c>
    </row>
    <row r="888" spans="1:10" x14ac:dyDescent="0.3">
      <c r="A888" t="s">
        <v>1484</v>
      </c>
      <c r="B888" s="8">
        <v>35.380000000000003</v>
      </c>
      <c r="C888">
        <v>6.12</v>
      </c>
      <c r="D888" t="s">
        <v>2379</v>
      </c>
      <c r="E888" t="s">
        <v>2379</v>
      </c>
      <c r="F888" t="s">
        <v>2379</v>
      </c>
      <c r="G888">
        <v>0</v>
      </c>
      <c r="H888" t="s">
        <v>2379</v>
      </c>
      <c r="I888" t="str" cm="1">
        <f t="array" ref="I888">_xlfn.IFS(B888&lt;18.5,"Underweight",AND(B888&gt;=18.5,B888&lt;=24.99),"Normalweight",AND(B888&gt;=25,B888&lt;=29.99),"Overweight",B888&gt;=30,"Obesity")</f>
        <v>Obesity</v>
      </c>
      <c r="J888" t="str" cm="1">
        <f t="array" ref="J888">_xlfn.IFS(C888&lt;5.7,"Normal",AND(C888&gt;=5.7,C888&lt;=6.49),"Prediabetes",C888&gt;=6.5,"Diabetes")</f>
        <v>Prediabetes</v>
      </c>
    </row>
    <row r="889" spans="1:10" x14ac:dyDescent="0.3">
      <c r="A889" t="s">
        <v>1483</v>
      </c>
      <c r="B889" s="8">
        <v>43.48</v>
      </c>
      <c r="C889">
        <v>6.24</v>
      </c>
      <c r="D889" t="s">
        <v>2379</v>
      </c>
      <c r="E889" t="s">
        <v>2379</v>
      </c>
      <c r="F889" t="s">
        <v>2379</v>
      </c>
      <c r="G889">
        <v>0</v>
      </c>
      <c r="H889" t="s">
        <v>2379</v>
      </c>
      <c r="I889" t="str" cm="1">
        <f t="array" ref="I889">_xlfn.IFS(B889&lt;18.5,"Underweight",AND(B889&gt;=18.5,B889&lt;=24.99),"Normalweight",AND(B889&gt;=25,B889&lt;=29.99),"Overweight",B889&gt;=30,"Obesity")</f>
        <v>Obesity</v>
      </c>
      <c r="J889" t="str" cm="1">
        <f t="array" ref="J889">_xlfn.IFS(C889&lt;5.7,"Normal",AND(C889&gt;=5.7,C889&lt;=6.49),"Prediabetes",C889&gt;=6.5,"Diabetes")</f>
        <v>Prediabetes</v>
      </c>
    </row>
    <row r="890" spans="1:10" x14ac:dyDescent="0.3">
      <c r="A890" t="s">
        <v>1482</v>
      </c>
      <c r="B890" s="8">
        <v>41.73</v>
      </c>
      <c r="C890">
        <v>6.25</v>
      </c>
      <c r="D890" t="s">
        <v>2379</v>
      </c>
      <c r="E890" t="s">
        <v>2379</v>
      </c>
      <c r="F890" t="s">
        <v>2379</v>
      </c>
      <c r="G890">
        <v>1</v>
      </c>
      <c r="H890" t="s">
        <v>2379</v>
      </c>
      <c r="I890" t="str" cm="1">
        <f t="array" ref="I890">_xlfn.IFS(B890&lt;18.5,"Underweight",AND(B890&gt;=18.5,B890&lt;=24.99),"Normalweight",AND(B890&gt;=25,B890&lt;=29.99),"Overweight",B890&gt;=30,"Obesity")</f>
        <v>Obesity</v>
      </c>
      <c r="J890" t="str" cm="1">
        <f t="array" ref="J890">_xlfn.IFS(C890&lt;5.7,"Normal",AND(C890&gt;=5.7,C890&lt;=6.49),"Prediabetes",C890&gt;=6.5,"Diabetes")</f>
        <v>Prediabetes</v>
      </c>
    </row>
    <row r="891" spans="1:10" x14ac:dyDescent="0.3">
      <c r="A891" t="s">
        <v>1481</v>
      </c>
      <c r="B891" s="8">
        <v>28.9</v>
      </c>
      <c r="C891">
        <v>11.96</v>
      </c>
      <c r="D891" t="s">
        <v>2379</v>
      </c>
      <c r="E891" t="s">
        <v>2379</v>
      </c>
      <c r="F891" t="s">
        <v>2379</v>
      </c>
      <c r="G891">
        <v>0</v>
      </c>
      <c r="H891" t="s">
        <v>2379</v>
      </c>
      <c r="I891" t="str" cm="1">
        <f t="array" ref="I891">_xlfn.IFS(B891&lt;18.5,"Underweight",AND(B891&gt;=18.5,B891&lt;=24.99),"Normalweight",AND(B891&gt;=25,B891&lt;=29.99),"Overweight",B891&gt;=30,"Obesity")</f>
        <v>Overweight</v>
      </c>
      <c r="J891" t="str" cm="1">
        <f t="array" ref="J891">_xlfn.IFS(C891&lt;5.7,"Normal",AND(C891&gt;=5.7,C891&lt;=6.49),"Prediabetes",C891&gt;=6.5,"Diabetes")</f>
        <v>Diabetes</v>
      </c>
    </row>
    <row r="892" spans="1:10" x14ac:dyDescent="0.3">
      <c r="A892" t="s">
        <v>1480</v>
      </c>
      <c r="B892" s="8">
        <v>25.74</v>
      </c>
      <c r="C892">
        <v>7.69</v>
      </c>
      <c r="D892" t="s">
        <v>2379</v>
      </c>
      <c r="E892" t="s">
        <v>2379</v>
      </c>
      <c r="F892" t="s">
        <v>2379</v>
      </c>
      <c r="G892">
        <v>0</v>
      </c>
      <c r="H892" t="s">
        <v>2379</v>
      </c>
      <c r="I892" t="str" cm="1">
        <f t="array" ref="I892">_xlfn.IFS(B892&lt;18.5,"Underweight",AND(B892&gt;=18.5,B892&lt;=24.99),"Normalweight",AND(B892&gt;=25,B892&lt;=29.99),"Overweight",B892&gt;=30,"Obesity")</f>
        <v>Overweight</v>
      </c>
      <c r="J892" t="str" cm="1">
        <f t="array" ref="J892">_xlfn.IFS(C892&lt;5.7,"Normal",AND(C892&gt;=5.7,C892&lt;=6.49),"Prediabetes",C892&gt;=6.5,"Diabetes")</f>
        <v>Diabetes</v>
      </c>
    </row>
    <row r="893" spans="1:10" x14ac:dyDescent="0.3">
      <c r="A893" t="s">
        <v>1479</v>
      </c>
      <c r="B893" s="8">
        <v>36.06</v>
      </c>
      <c r="C893">
        <v>8.83</v>
      </c>
      <c r="D893" t="s">
        <v>2379</v>
      </c>
      <c r="E893" t="s">
        <v>2379</v>
      </c>
      <c r="F893" t="s">
        <v>2379</v>
      </c>
      <c r="G893">
        <v>0</v>
      </c>
      <c r="H893" t="s">
        <v>2379</v>
      </c>
      <c r="I893" t="str" cm="1">
        <f t="array" ref="I893">_xlfn.IFS(B893&lt;18.5,"Underweight",AND(B893&gt;=18.5,B893&lt;=24.99),"Normalweight",AND(B893&gt;=25,B893&lt;=29.99),"Overweight",B893&gt;=30,"Obesity")</f>
        <v>Obesity</v>
      </c>
      <c r="J893" t="str" cm="1">
        <f t="array" ref="J893">_xlfn.IFS(C893&lt;5.7,"Normal",AND(C893&gt;=5.7,C893&lt;=6.49),"Prediabetes",C893&gt;=6.5,"Diabetes")</f>
        <v>Diabetes</v>
      </c>
    </row>
    <row r="894" spans="1:10" x14ac:dyDescent="0.3">
      <c r="A894" t="s">
        <v>1478</v>
      </c>
      <c r="B894" s="8">
        <v>43.28</v>
      </c>
      <c r="C894">
        <v>4.41</v>
      </c>
      <c r="D894" t="s">
        <v>2379</v>
      </c>
      <c r="E894" t="s">
        <v>2379</v>
      </c>
      <c r="F894" t="s">
        <v>2379</v>
      </c>
      <c r="G894">
        <v>0</v>
      </c>
      <c r="H894" t="s">
        <v>2379</v>
      </c>
      <c r="I894" t="str" cm="1">
        <f t="array" ref="I894">_xlfn.IFS(B894&lt;18.5,"Underweight",AND(B894&gt;=18.5,B894&lt;=24.99),"Normalweight",AND(B894&gt;=25,B894&lt;=29.99),"Overweight",B894&gt;=30,"Obesity")</f>
        <v>Obesity</v>
      </c>
      <c r="J894" t="str" cm="1">
        <f t="array" ref="J894">_xlfn.IFS(C894&lt;5.7,"Normal",AND(C894&gt;=5.7,C894&lt;=6.49),"Prediabetes",C894&gt;=6.5,"Diabetes")</f>
        <v>Normal</v>
      </c>
    </row>
    <row r="895" spans="1:10" x14ac:dyDescent="0.3">
      <c r="A895" t="s">
        <v>1477</v>
      </c>
      <c r="B895" s="8">
        <v>28.785</v>
      </c>
      <c r="C895">
        <v>9.1</v>
      </c>
      <c r="D895" t="s">
        <v>2381</v>
      </c>
      <c r="E895" t="s">
        <v>2379</v>
      </c>
      <c r="F895" t="s">
        <v>2381</v>
      </c>
      <c r="G895">
        <v>1</v>
      </c>
      <c r="H895" t="s">
        <v>2379</v>
      </c>
      <c r="I895" t="str" cm="1">
        <f t="array" ref="I895">_xlfn.IFS(B895&lt;18.5,"Underweight",AND(B895&gt;=18.5,B895&lt;=24.99),"Normalweight",AND(B895&gt;=25,B895&lt;=29.99),"Overweight",B895&gt;=30,"Obesity")</f>
        <v>Overweight</v>
      </c>
      <c r="J895" t="str" cm="1">
        <f t="array" ref="J895">_xlfn.IFS(C895&lt;5.7,"Normal",AND(C895&gt;=5.7,C895&lt;=6.49),"Prediabetes",C895&gt;=6.5,"Diabetes")</f>
        <v>Diabetes</v>
      </c>
    </row>
    <row r="896" spans="1:10" x14ac:dyDescent="0.3">
      <c r="A896" t="s">
        <v>1476</v>
      </c>
      <c r="B896" s="8">
        <v>25.46</v>
      </c>
      <c r="C896">
        <v>11.52</v>
      </c>
      <c r="D896" t="s">
        <v>2381</v>
      </c>
      <c r="E896" t="s">
        <v>2379</v>
      </c>
      <c r="F896" t="s">
        <v>2381</v>
      </c>
      <c r="G896">
        <v>1</v>
      </c>
      <c r="H896" t="s">
        <v>2379</v>
      </c>
      <c r="I896" t="str" cm="1">
        <f t="array" ref="I896">_xlfn.IFS(B896&lt;18.5,"Underweight",AND(B896&gt;=18.5,B896&lt;=24.99),"Normalweight",AND(B896&gt;=25,B896&lt;=29.99),"Overweight",B896&gt;=30,"Obesity")</f>
        <v>Overweight</v>
      </c>
      <c r="J896" t="str" cm="1">
        <f t="array" ref="J896">_xlfn.IFS(C896&lt;5.7,"Normal",AND(C896&gt;=5.7,C896&lt;=6.49),"Prediabetes",C896&gt;=6.5,"Diabetes")</f>
        <v>Diabetes</v>
      </c>
    </row>
    <row r="897" spans="1:10" x14ac:dyDescent="0.3">
      <c r="A897" t="s">
        <v>1475</v>
      </c>
      <c r="B897" s="8">
        <v>30.8</v>
      </c>
      <c r="C897">
        <v>10.95</v>
      </c>
      <c r="D897" t="s">
        <v>2379</v>
      </c>
      <c r="E897" t="s">
        <v>2379</v>
      </c>
      <c r="F897" t="s">
        <v>2379</v>
      </c>
      <c r="G897">
        <v>0</v>
      </c>
      <c r="H897" t="s">
        <v>2379</v>
      </c>
      <c r="I897" t="str" cm="1">
        <f t="array" ref="I897">_xlfn.IFS(B897&lt;18.5,"Underweight",AND(B897&gt;=18.5,B897&lt;=24.99),"Normalweight",AND(B897&gt;=25,B897&lt;=29.99),"Overweight",B897&gt;=30,"Obesity")</f>
        <v>Obesity</v>
      </c>
      <c r="J897" t="str" cm="1">
        <f t="array" ref="J897">_xlfn.IFS(C897&lt;5.7,"Normal",AND(C897&gt;=5.7,C897&lt;=6.49),"Prediabetes",C897&gt;=6.5,"Diabetes")</f>
        <v>Diabetes</v>
      </c>
    </row>
    <row r="898" spans="1:10" x14ac:dyDescent="0.3">
      <c r="A898" t="s">
        <v>1474</v>
      </c>
      <c r="B898" s="8">
        <v>28.88</v>
      </c>
      <c r="C898">
        <v>11.5</v>
      </c>
      <c r="D898" t="s">
        <v>2379</v>
      </c>
      <c r="E898" t="s">
        <v>2379</v>
      </c>
      <c r="F898" t="s">
        <v>2379</v>
      </c>
      <c r="G898">
        <v>0</v>
      </c>
      <c r="H898" t="s">
        <v>2379</v>
      </c>
      <c r="I898" t="str" cm="1">
        <f t="array" ref="I898">_xlfn.IFS(B898&lt;18.5,"Underweight",AND(B898&gt;=18.5,B898&lt;=24.99),"Normalweight",AND(B898&gt;=25,B898&lt;=29.99),"Overweight",B898&gt;=30,"Obesity")</f>
        <v>Overweight</v>
      </c>
      <c r="J898" t="str" cm="1">
        <f t="array" ref="J898">_xlfn.IFS(C898&lt;5.7,"Normal",AND(C898&gt;=5.7,C898&lt;=6.49),"Prediabetes",C898&gt;=6.5,"Diabetes")</f>
        <v>Diabetes</v>
      </c>
    </row>
    <row r="899" spans="1:10" x14ac:dyDescent="0.3">
      <c r="A899" t="s">
        <v>1473</v>
      </c>
      <c r="B899" s="8">
        <v>23</v>
      </c>
      <c r="C899">
        <v>9.8800000000000008</v>
      </c>
      <c r="D899" t="s">
        <v>2379</v>
      </c>
      <c r="E899" t="s">
        <v>2379</v>
      </c>
      <c r="F899" t="s">
        <v>2379</v>
      </c>
      <c r="G899">
        <v>0</v>
      </c>
      <c r="H899" t="s">
        <v>2379</v>
      </c>
      <c r="I899" t="str" cm="1">
        <f t="array" ref="I899">_xlfn.IFS(B899&lt;18.5,"Underweight",AND(B899&gt;=18.5,B899&lt;=24.99),"Normalweight",AND(B899&gt;=25,B899&lt;=29.99),"Overweight",B899&gt;=30,"Obesity")</f>
        <v>Normalweight</v>
      </c>
      <c r="J899" t="str" cm="1">
        <f t="array" ref="J899">_xlfn.IFS(C899&lt;5.7,"Normal",AND(C899&gt;=5.7,C899&lt;=6.49),"Prediabetes",C899&gt;=6.5,"Diabetes")</f>
        <v>Diabetes</v>
      </c>
    </row>
    <row r="900" spans="1:10" x14ac:dyDescent="0.3">
      <c r="A900" t="s">
        <v>1472</v>
      </c>
      <c r="B900" s="8">
        <v>38.25</v>
      </c>
      <c r="C900">
        <v>6.2</v>
      </c>
      <c r="D900" t="s">
        <v>2379</v>
      </c>
      <c r="E900" t="s">
        <v>2379</v>
      </c>
      <c r="F900" t="s">
        <v>2379</v>
      </c>
      <c r="G900">
        <v>1</v>
      </c>
      <c r="H900" t="s">
        <v>2379</v>
      </c>
      <c r="I900" t="str" cm="1">
        <f t="array" ref="I900">_xlfn.IFS(B900&lt;18.5,"Underweight",AND(B900&gt;=18.5,B900&lt;=24.99),"Normalweight",AND(B900&gt;=25,B900&lt;=29.99),"Overweight",B900&gt;=30,"Obesity")</f>
        <v>Obesity</v>
      </c>
      <c r="J900" t="str" cm="1">
        <f t="array" ref="J900">_xlfn.IFS(C900&lt;5.7,"Normal",AND(C900&gt;=5.7,C900&lt;=6.49),"Prediabetes",C900&gt;=6.5,"Diabetes")</f>
        <v>Prediabetes</v>
      </c>
    </row>
    <row r="901" spans="1:10" x14ac:dyDescent="0.3">
      <c r="A901" t="s">
        <v>1471</v>
      </c>
      <c r="B901" s="8">
        <v>39.25</v>
      </c>
      <c r="C901">
        <v>8.41</v>
      </c>
      <c r="D901" t="s">
        <v>2381</v>
      </c>
      <c r="E901" t="s">
        <v>2379</v>
      </c>
      <c r="F901" t="s">
        <v>2379</v>
      </c>
      <c r="G901">
        <v>1</v>
      </c>
      <c r="H901" t="s">
        <v>2379</v>
      </c>
      <c r="I901" t="str" cm="1">
        <f t="array" ref="I901">_xlfn.IFS(B901&lt;18.5,"Underweight",AND(B901&gt;=18.5,B901&lt;=24.99),"Normalweight",AND(B901&gt;=25,B901&lt;=29.99),"Overweight",B901&gt;=30,"Obesity")</f>
        <v>Obesity</v>
      </c>
      <c r="J901" t="str" cm="1">
        <f t="array" ref="J901">_xlfn.IFS(C901&lt;5.7,"Normal",AND(C901&gt;=5.7,C901&lt;=6.49),"Prediabetes",C901&gt;=6.5,"Diabetes")</f>
        <v>Diabetes</v>
      </c>
    </row>
    <row r="902" spans="1:10" x14ac:dyDescent="0.3">
      <c r="A902" t="s">
        <v>1470</v>
      </c>
      <c r="B902" s="8">
        <v>26.6</v>
      </c>
      <c r="C902">
        <v>5.07</v>
      </c>
      <c r="D902" t="s">
        <v>2381</v>
      </c>
      <c r="E902" t="s">
        <v>2379</v>
      </c>
      <c r="F902" t="s">
        <v>2379</v>
      </c>
      <c r="G902">
        <v>2</v>
      </c>
      <c r="H902" t="s">
        <v>2379</v>
      </c>
      <c r="I902" t="str" cm="1">
        <f t="array" ref="I902">_xlfn.IFS(B902&lt;18.5,"Underweight",AND(B902&gt;=18.5,B902&lt;=24.99),"Normalweight",AND(B902&gt;=25,B902&lt;=29.99),"Overweight",B902&gt;=30,"Obesity")</f>
        <v>Overweight</v>
      </c>
      <c r="J902" t="str" cm="1">
        <f t="array" ref="J902">_xlfn.IFS(C902&lt;5.7,"Normal",AND(C902&gt;=5.7,C902&lt;=6.49),"Prediabetes",C902&gt;=6.5,"Diabetes")</f>
        <v>Normal</v>
      </c>
    </row>
    <row r="903" spans="1:10" x14ac:dyDescent="0.3">
      <c r="A903" t="s">
        <v>1469</v>
      </c>
      <c r="B903" s="8">
        <v>35.700000000000003</v>
      </c>
      <c r="C903">
        <v>4.0599999999999996</v>
      </c>
      <c r="D903" t="s">
        <v>2379</v>
      </c>
      <c r="E903" t="s">
        <v>2379</v>
      </c>
      <c r="F903" t="s">
        <v>2381</v>
      </c>
      <c r="G903">
        <v>1</v>
      </c>
      <c r="H903" t="s">
        <v>2379</v>
      </c>
      <c r="I903" t="str" cm="1">
        <f t="array" ref="I903">_xlfn.IFS(B903&lt;18.5,"Underweight",AND(B903&gt;=18.5,B903&lt;=24.99),"Normalweight",AND(B903&gt;=25,B903&lt;=29.99),"Overweight",B903&gt;=30,"Obesity")</f>
        <v>Obesity</v>
      </c>
      <c r="J903" t="str" cm="1">
        <f t="array" ref="J903">_xlfn.IFS(C903&lt;5.7,"Normal",AND(C903&gt;=5.7,C903&lt;=6.49),"Prediabetes",C903&gt;=6.5,"Diabetes")</f>
        <v>Normal</v>
      </c>
    </row>
    <row r="904" spans="1:10" x14ac:dyDescent="0.3">
      <c r="A904" t="s">
        <v>1468</v>
      </c>
      <c r="B904" s="8">
        <v>20.100000000000001</v>
      </c>
      <c r="C904">
        <v>10.52</v>
      </c>
      <c r="D904" t="s">
        <v>2379</v>
      </c>
      <c r="E904" t="s">
        <v>2379</v>
      </c>
      <c r="F904" t="s">
        <v>2379</v>
      </c>
      <c r="G904">
        <v>0</v>
      </c>
      <c r="H904" t="s">
        <v>2379</v>
      </c>
      <c r="I904" t="str" cm="1">
        <f t="array" ref="I904">_xlfn.IFS(B904&lt;18.5,"Underweight",AND(B904&gt;=18.5,B904&lt;=24.99),"Normalweight",AND(B904&gt;=25,B904&lt;=29.99),"Overweight",B904&gt;=30,"Obesity")</f>
        <v>Normalweight</v>
      </c>
      <c r="J904" t="str" cm="1">
        <f t="array" ref="J904">_xlfn.IFS(C904&lt;5.7,"Normal",AND(C904&gt;=5.7,C904&lt;=6.49),"Prediabetes",C904&gt;=6.5,"Diabetes")</f>
        <v>Diabetes</v>
      </c>
    </row>
    <row r="905" spans="1:10" x14ac:dyDescent="0.3">
      <c r="A905" t="s">
        <v>1467</v>
      </c>
      <c r="B905" s="8">
        <v>22.23</v>
      </c>
      <c r="C905">
        <v>9.65</v>
      </c>
      <c r="D905" t="s">
        <v>2379</v>
      </c>
      <c r="E905" t="s">
        <v>2379</v>
      </c>
      <c r="F905" t="s">
        <v>2379</v>
      </c>
      <c r="G905">
        <v>0</v>
      </c>
      <c r="H905" t="s">
        <v>2379</v>
      </c>
      <c r="I905" t="str" cm="1">
        <f t="array" ref="I905">_xlfn.IFS(B905&lt;18.5,"Underweight",AND(B905&gt;=18.5,B905&lt;=24.99),"Normalweight",AND(B905&gt;=25,B905&lt;=29.99),"Overweight",B905&gt;=30,"Obesity")</f>
        <v>Normalweight</v>
      </c>
      <c r="J905" t="str" cm="1">
        <f t="array" ref="J905">_xlfn.IFS(C905&lt;5.7,"Normal",AND(C905&gt;=5.7,C905&lt;=6.49),"Prediabetes",C905&gt;=6.5,"Diabetes")</f>
        <v>Diabetes</v>
      </c>
    </row>
    <row r="906" spans="1:10" x14ac:dyDescent="0.3">
      <c r="A906" t="s">
        <v>1466</v>
      </c>
      <c r="B906" s="8">
        <v>36.47</v>
      </c>
      <c r="C906">
        <v>6.21</v>
      </c>
      <c r="D906" t="s">
        <v>2379</v>
      </c>
      <c r="E906" t="s">
        <v>2379</v>
      </c>
      <c r="F906" t="s">
        <v>2379</v>
      </c>
      <c r="G906">
        <v>0</v>
      </c>
      <c r="H906" t="s">
        <v>2379</v>
      </c>
      <c r="I906" t="str" cm="1">
        <f t="array" ref="I906">_xlfn.IFS(B906&lt;18.5,"Underweight",AND(B906&gt;=18.5,B906&lt;=24.99),"Normalweight",AND(B906&gt;=25,B906&lt;=29.99),"Overweight",B906&gt;=30,"Obesity")</f>
        <v>Obesity</v>
      </c>
      <c r="J906" t="str" cm="1">
        <f t="array" ref="J906">_xlfn.IFS(C906&lt;5.7,"Normal",AND(C906&gt;=5.7,C906&lt;=6.49),"Prediabetes",C906&gt;=6.5,"Diabetes")</f>
        <v>Prediabetes</v>
      </c>
    </row>
    <row r="907" spans="1:10" x14ac:dyDescent="0.3">
      <c r="A907" t="s">
        <v>1465</v>
      </c>
      <c r="B907" s="8">
        <v>49.64</v>
      </c>
      <c r="C907">
        <v>4.76</v>
      </c>
      <c r="D907" t="s">
        <v>2379</v>
      </c>
      <c r="E907" t="s">
        <v>2379</v>
      </c>
      <c r="F907" t="s">
        <v>2381</v>
      </c>
      <c r="G907">
        <v>1</v>
      </c>
      <c r="H907" t="s">
        <v>2379</v>
      </c>
      <c r="I907" t="str" cm="1">
        <f t="array" ref="I907">_xlfn.IFS(B907&lt;18.5,"Underweight",AND(B907&gt;=18.5,B907&lt;=24.99),"Normalweight",AND(B907&gt;=25,B907&lt;=29.99),"Overweight",B907&gt;=30,"Obesity")</f>
        <v>Obesity</v>
      </c>
      <c r="J907" t="str" cm="1">
        <f t="array" ref="J907">_xlfn.IFS(C907&lt;5.7,"Normal",AND(C907&gt;=5.7,C907&lt;=6.49),"Prediabetes",C907&gt;=6.5,"Diabetes")</f>
        <v>Normal</v>
      </c>
    </row>
    <row r="908" spans="1:10" x14ac:dyDescent="0.3">
      <c r="A908" t="s">
        <v>1464</v>
      </c>
      <c r="B908" s="8">
        <v>36.799999999999997</v>
      </c>
      <c r="C908">
        <v>5.73</v>
      </c>
      <c r="D908" t="s">
        <v>2381</v>
      </c>
      <c r="E908" t="s">
        <v>2379</v>
      </c>
      <c r="F908" t="s">
        <v>2381</v>
      </c>
      <c r="G908">
        <v>1</v>
      </c>
      <c r="H908" t="s">
        <v>2379</v>
      </c>
      <c r="I908" t="str" cm="1">
        <f t="array" ref="I908">_xlfn.IFS(B908&lt;18.5,"Underweight",AND(B908&gt;=18.5,B908&lt;=24.99),"Normalweight",AND(B908&gt;=25,B908&lt;=29.99),"Overweight",B908&gt;=30,"Obesity")</f>
        <v>Obesity</v>
      </c>
      <c r="J908" t="str" cm="1">
        <f t="array" ref="J908">_xlfn.IFS(C908&lt;5.7,"Normal",AND(C908&gt;=5.7,C908&lt;=6.49),"Prediabetes",C908&gt;=6.5,"Diabetes")</f>
        <v>Prediabetes</v>
      </c>
    </row>
    <row r="909" spans="1:10" x14ac:dyDescent="0.3">
      <c r="A909" t="s">
        <v>1463</v>
      </c>
      <c r="B909" s="8">
        <v>33.880000000000003</v>
      </c>
      <c r="C909">
        <v>10.78</v>
      </c>
      <c r="D909" t="s">
        <v>2381</v>
      </c>
      <c r="E909" t="s">
        <v>2379</v>
      </c>
      <c r="F909" t="s">
        <v>2379</v>
      </c>
      <c r="G909">
        <v>0</v>
      </c>
      <c r="H909" t="s">
        <v>2379</v>
      </c>
      <c r="I909" t="str" cm="1">
        <f t="array" ref="I909">_xlfn.IFS(B909&lt;18.5,"Underweight",AND(B909&gt;=18.5,B909&lt;=24.99),"Normalweight",AND(B909&gt;=25,B909&lt;=29.99),"Overweight",B909&gt;=30,"Obesity")</f>
        <v>Obesity</v>
      </c>
      <c r="J909" t="str" cm="1">
        <f t="array" ref="J909">_xlfn.IFS(C909&lt;5.7,"Normal",AND(C909&gt;=5.7,C909&lt;=6.49),"Prediabetes",C909&gt;=6.5,"Diabetes")</f>
        <v>Diabetes</v>
      </c>
    </row>
    <row r="910" spans="1:10" x14ac:dyDescent="0.3">
      <c r="A910" t="s">
        <v>1462</v>
      </c>
      <c r="B910" s="8">
        <v>32.01</v>
      </c>
      <c r="C910">
        <v>5.08</v>
      </c>
      <c r="D910" t="s">
        <v>2381</v>
      </c>
      <c r="E910" t="s">
        <v>2379</v>
      </c>
      <c r="F910" t="s">
        <v>2379</v>
      </c>
      <c r="G910">
        <v>1</v>
      </c>
      <c r="H910" t="s">
        <v>2379</v>
      </c>
      <c r="I910" t="str" cm="1">
        <f t="array" ref="I910">_xlfn.IFS(B910&lt;18.5,"Underweight",AND(B910&gt;=18.5,B910&lt;=24.99),"Normalweight",AND(B910&gt;=25,B910&lt;=29.99),"Overweight",B910&gt;=30,"Obesity")</f>
        <v>Obesity</v>
      </c>
      <c r="J910" t="str" cm="1">
        <f t="array" ref="J910">_xlfn.IFS(C910&lt;5.7,"Normal",AND(C910&gt;=5.7,C910&lt;=6.49),"Prediabetes",C910&gt;=6.5,"Diabetes")</f>
        <v>Normal</v>
      </c>
    </row>
    <row r="911" spans="1:10" x14ac:dyDescent="0.3">
      <c r="A911" t="s">
        <v>1461</v>
      </c>
      <c r="B911" s="8">
        <v>33.630000000000003</v>
      </c>
      <c r="C911">
        <v>11.39</v>
      </c>
      <c r="D911" t="s">
        <v>2379</v>
      </c>
      <c r="E911" t="s">
        <v>2379</v>
      </c>
      <c r="F911" t="s">
        <v>2379</v>
      </c>
      <c r="G911">
        <v>0</v>
      </c>
      <c r="H911" t="s">
        <v>2379</v>
      </c>
      <c r="I911" t="str" cm="1">
        <f t="array" ref="I911">_xlfn.IFS(B911&lt;18.5,"Underweight",AND(B911&gt;=18.5,B911&lt;=24.99),"Normalweight",AND(B911&gt;=25,B911&lt;=29.99),"Overweight",B911&gt;=30,"Obesity")</f>
        <v>Obesity</v>
      </c>
      <c r="J911" t="str" cm="1">
        <f t="array" ref="J911">_xlfn.IFS(C911&lt;5.7,"Normal",AND(C911&gt;=5.7,C911&lt;=6.49),"Prediabetes",C911&gt;=6.5,"Diabetes")</f>
        <v>Diabetes</v>
      </c>
    </row>
    <row r="912" spans="1:10" x14ac:dyDescent="0.3">
      <c r="A912" t="s">
        <v>1460</v>
      </c>
      <c r="B912" s="8">
        <v>34.865000000000002</v>
      </c>
      <c r="C912">
        <v>5.35</v>
      </c>
      <c r="D912" t="s">
        <v>2381</v>
      </c>
      <c r="E912" t="s">
        <v>2379</v>
      </c>
      <c r="F912" t="s">
        <v>2379</v>
      </c>
      <c r="G912">
        <v>1</v>
      </c>
      <c r="H912" t="s">
        <v>2379</v>
      </c>
      <c r="I912" t="str" cm="1">
        <f t="array" ref="I912">_xlfn.IFS(B912&lt;18.5,"Underweight",AND(B912&gt;=18.5,B912&lt;=24.99),"Normalweight",AND(B912&gt;=25,B912&lt;=29.99),"Overweight",B912&gt;=30,"Obesity")</f>
        <v>Obesity</v>
      </c>
      <c r="J912" t="str" cm="1">
        <f t="array" ref="J912">_xlfn.IFS(C912&lt;5.7,"Normal",AND(C912&gt;=5.7,C912&lt;=6.49),"Prediabetes",C912&gt;=6.5,"Diabetes")</f>
        <v>Normal</v>
      </c>
    </row>
    <row r="913" spans="1:10" x14ac:dyDescent="0.3">
      <c r="A913" t="s">
        <v>1459</v>
      </c>
      <c r="B913" s="8">
        <v>43.11</v>
      </c>
      <c r="C913">
        <v>5.6</v>
      </c>
      <c r="D913" t="s">
        <v>2379</v>
      </c>
      <c r="E913" t="s">
        <v>2379</v>
      </c>
      <c r="F913" t="s">
        <v>2379</v>
      </c>
      <c r="G913">
        <v>0</v>
      </c>
      <c r="H913" t="s">
        <v>2379</v>
      </c>
      <c r="I913" t="str" cm="1">
        <f t="array" ref="I913">_xlfn.IFS(B913&lt;18.5,"Underweight",AND(B913&gt;=18.5,B913&lt;=24.99),"Normalweight",AND(B913&gt;=25,B913&lt;=29.99),"Overweight",B913&gt;=30,"Obesity")</f>
        <v>Obesity</v>
      </c>
      <c r="J913" t="str" cm="1">
        <f t="array" ref="J913">_xlfn.IFS(C913&lt;5.7,"Normal",AND(C913&gt;=5.7,C913&lt;=6.49),"Prediabetes",C913&gt;=6.5,"Diabetes")</f>
        <v>Normal</v>
      </c>
    </row>
    <row r="914" spans="1:10" x14ac:dyDescent="0.3">
      <c r="A914" t="s">
        <v>1458</v>
      </c>
      <c r="B914" s="8">
        <v>30.305</v>
      </c>
      <c r="C914">
        <v>4.2699999999999996</v>
      </c>
      <c r="D914" t="s">
        <v>2381</v>
      </c>
      <c r="E914" t="s">
        <v>2379</v>
      </c>
      <c r="F914" t="s">
        <v>2379</v>
      </c>
      <c r="G914">
        <v>1</v>
      </c>
      <c r="H914" t="s">
        <v>2379</v>
      </c>
      <c r="I914" t="str" cm="1">
        <f t="array" ref="I914">_xlfn.IFS(B914&lt;18.5,"Underweight",AND(B914&gt;=18.5,B914&lt;=24.99),"Normalweight",AND(B914&gt;=25,B914&lt;=29.99),"Overweight",B914&gt;=30,"Obesity")</f>
        <v>Obesity</v>
      </c>
      <c r="J914" t="str" cm="1">
        <f t="array" ref="J914">_xlfn.IFS(C914&lt;5.7,"Normal",AND(C914&gt;=5.7,C914&lt;=6.49),"Prediabetes",C914&gt;=6.5,"Diabetes")</f>
        <v>Normal</v>
      </c>
    </row>
    <row r="915" spans="1:10" x14ac:dyDescent="0.3">
      <c r="A915" t="s">
        <v>1457</v>
      </c>
      <c r="B915" s="8">
        <v>25.175000000000001</v>
      </c>
      <c r="C915">
        <v>5.57</v>
      </c>
      <c r="D915" t="s">
        <v>2381</v>
      </c>
      <c r="E915" t="s">
        <v>2379</v>
      </c>
      <c r="F915" t="s">
        <v>2379</v>
      </c>
      <c r="G915">
        <v>1</v>
      </c>
      <c r="H915" t="s">
        <v>2379</v>
      </c>
      <c r="I915" t="str" cm="1">
        <f t="array" ref="I915">_xlfn.IFS(B915&lt;18.5,"Underweight",AND(B915&gt;=18.5,B915&lt;=24.99),"Normalweight",AND(B915&gt;=25,B915&lt;=29.99),"Overweight",B915&gt;=30,"Obesity")</f>
        <v>Overweight</v>
      </c>
      <c r="J915" t="str" cm="1">
        <f t="array" ref="J915">_xlfn.IFS(C915&lt;5.7,"Normal",AND(C915&gt;=5.7,C915&lt;=6.49),"Prediabetes",C915&gt;=6.5,"Diabetes")</f>
        <v>Normal</v>
      </c>
    </row>
    <row r="916" spans="1:10" x14ac:dyDescent="0.3">
      <c r="A916" t="s">
        <v>1456</v>
      </c>
      <c r="B916" s="8">
        <v>26.8</v>
      </c>
      <c r="C916">
        <v>5.68</v>
      </c>
      <c r="D916" t="s">
        <v>2381</v>
      </c>
      <c r="E916" t="s">
        <v>2379</v>
      </c>
      <c r="F916" t="s">
        <v>2379</v>
      </c>
      <c r="G916">
        <v>1</v>
      </c>
      <c r="H916" t="s">
        <v>2379</v>
      </c>
      <c r="I916" t="str" cm="1">
        <f t="array" ref="I916">_xlfn.IFS(B916&lt;18.5,"Underweight",AND(B916&gt;=18.5,B916&lt;=24.99),"Normalweight",AND(B916&gt;=25,B916&lt;=29.99),"Overweight",B916&gt;=30,"Obesity")</f>
        <v>Overweight</v>
      </c>
      <c r="J916" t="str" cm="1">
        <f t="array" ref="J916">_xlfn.IFS(C916&lt;5.7,"Normal",AND(C916&gt;=5.7,C916&lt;=6.49),"Prediabetes",C916&gt;=6.5,"Diabetes")</f>
        <v>Normal</v>
      </c>
    </row>
    <row r="917" spans="1:10" x14ac:dyDescent="0.3">
      <c r="A917" t="s">
        <v>1455</v>
      </c>
      <c r="B917" s="8">
        <v>21.78</v>
      </c>
      <c r="C917">
        <v>5.3</v>
      </c>
      <c r="D917" t="s">
        <v>2379</v>
      </c>
      <c r="E917" t="s">
        <v>2380</v>
      </c>
      <c r="F917" t="s">
        <v>2379</v>
      </c>
      <c r="G917">
        <v>1</v>
      </c>
      <c r="H917" t="s">
        <v>2379</v>
      </c>
      <c r="I917" t="str" cm="1">
        <f t="array" ref="I917">_xlfn.IFS(B917&lt;18.5,"Underweight",AND(B917&gt;=18.5,B917&lt;=24.99),"Normalweight",AND(B917&gt;=25,B917&lt;=29.99),"Overweight",B917&gt;=30,"Obesity")</f>
        <v>Normalweight</v>
      </c>
      <c r="J917" t="str" cm="1">
        <f t="array" ref="J917">_xlfn.IFS(C917&lt;5.7,"Normal",AND(C917&gt;=5.7,C917&lt;=6.49),"Prediabetes",C917&gt;=6.5,"Diabetes")</f>
        <v>Normal</v>
      </c>
    </row>
    <row r="918" spans="1:10" x14ac:dyDescent="0.3">
      <c r="A918" t="s">
        <v>1454</v>
      </c>
      <c r="B918" s="8">
        <v>30.14</v>
      </c>
      <c r="C918">
        <v>9.4499999999999993</v>
      </c>
      <c r="D918" t="s">
        <v>2381</v>
      </c>
      <c r="E918" t="s">
        <v>2379</v>
      </c>
      <c r="F918" t="s">
        <v>2379</v>
      </c>
      <c r="G918">
        <v>0</v>
      </c>
      <c r="H918" t="s">
        <v>2379</v>
      </c>
      <c r="I918" t="str" cm="1">
        <f t="array" ref="I918">_xlfn.IFS(B918&lt;18.5,"Underweight",AND(B918&gt;=18.5,B918&lt;=24.99),"Normalweight",AND(B918&gt;=25,B918&lt;=29.99),"Overweight",B918&gt;=30,"Obesity")</f>
        <v>Obesity</v>
      </c>
      <c r="J918" t="str" cm="1">
        <f t="array" ref="J918">_xlfn.IFS(C918&lt;5.7,"Normal",AND(C918&gt;=5.7,C918&lt;=6.49),"Prediabetes",C918&gt;=6.5,"Diabetes")</f>
        <v>Diabetes</v>
      </c>
    </row>
    <row r="919" spans="1:10" x14ac:dyDescent="0.3">
      <c r="A919" t="s">
        <v>1453</v>
      </c>
      <c r="B919" s="8">
        <v>29.7</v>
      </c>
      <c r="C919">
        <v>6.79</v>
      </c>
      <c r="D919" t="s">
        <v>2381</v>
      </c>
      <c r="E919" t="s">
        <v>2379</v>
      </c>
      <c r="F919" t="s">
        <v>2379</v>
      </c>
      <c r="G919">
        <v>0</v>
      </c>
      <c r="H919" t="s">
        <v>2379</v>
      </c>
      <c r="I919" t="str" cm="1">
        <f t="array" ref="I919">_xlfn.IFS(B919&lt;18.5,"Underweight",AND(B919&gt;=18.5,B919&lt;=24.99),"Normalweight",AND(B919&gt;=25,B919&lt;=29.99),"Overweight",B919&gt;=30,"Obesity")</f>
        <v>Overweight</v>
      </c>
      <c r="J919" t="str" cm="1">
        <f t="array" ref="J919">_xlfn.IFS(C919&lt;5.7,"Normal",AND(C919&gt;=5.7,C919&lt;=6.49),"Prediabetes",C919&gt;=6.5,"Diabetes")</f>
        <v>Diabetes</v>
      </c>
    </row>
    <row r="920" spans="1:10" x14ac:dyDescent="0.3">
      <c r="A920" t="s">
        <v>1452</v>
      </c>
      <c r="B920" s="8">
        <v>32.395000000000003</v>
      </c>
      <c r="C920">
        <v>11.1</v>
      </c>
      <c r="D920" t="s">
        <v>2381</v>
      </c>
      <c r="E920" t="s">
        <v>2379</v>
      </c>
      <c r="F920" t="s">
        <v>2379</v>
      </c>
      <c r="G920">
        <v>0</v>
      </c>
      <c r="H920" t="s">
        <v>2379</v>
      </c>
      <c r="I920" t="str" cm="1">
        <f t="array" ref="I920">_xlfn.IFS(B920&lt;18.5,"Underweight",AND(B920&gt;=18.5,B920&lt;=24.99),"Normalweight",AND(B920&gt;=25,B920&lt;=29.99),"Overweight",B920&gt;=30,"Obesity")</f>
        <v>Obesity</v>
      </c>
      <c r="J920" t="str" cm="1">
        <f t="array" ref="J920">_xlfn.IFS(C920&lt;5.7,"Normal",AND(C920&gt;=5.7,C920&lt;=6.49),"Prediabetes",C920&gt;=6.5,"Diabetes")</f>
        <v>Diabetes</v>
      </c>
    </row>
    <row r="921" spans="1:10" x14ac:dyDescent="0.3">
      <c r="A921" t="s">
        <v>1451</v>
      </c>
      <c r="B921" s="8">
        <v>36.64</v>
      </c>
      <c r="C921">
        <v>7.26</v>
      </c>
      <c r="D921" t="s">
        <v>2379</v>
      </c>
      <c r="E921" t="s">
        <v>2379</v>
      </c>
      <c r="F921" t="s">
        <v>2379</v>
      </c>
      <c r="G921">
        <v>0</v>
      </c>
      <c r="H921" t="s">
        <v>2379</v>
      </c>
      <c r="I921" t="str" cm="1">
        <f t="array" ref="I921">_xlfn.IFS(B921&lt;18.5,"Underweight",AND(B921&gt;=18.5,B921&lt;=24.99),"Normalweight",AND(B921&gt;=25,B921&lt;=29.99),"Overweight",B921&gt;=30,"Obesity")</f>
        <v>Obesity</v>
      </c>
      <c r="J921" t="str" cm="1">
        <f t="array" ref="J921">_xlfn.IFS(C921&lt;5.7,"Normal",AND(C921&gt;=5.7,C921&lt;=6.49),"Prediabetes",C921&gt;=6.5,"Diabetes")</f>
        <v>Diabetes</v>
      </c>
    </row>
    <row r="922" spans="1:10" x14ac:dyDescent="0.3">
      <c r="A922" t="s">
        <v>1450</v>
      </c>
      <c r="B922" s="8">
        <v>39.049999999999997</v>
      </c>
      <c r="C922">
        <v>5.27</v>
      </c>
      <c r="D922" t="s">
        <v>2381</v>
      </c>
      <c r="E922" t="s">
        <v>2379</v>
      </c>
      <c r="F922" t="s">
        <v>2379</v>
      </c>
      <c r="G922">
        <v>1</v>
      </c>
      <c r="H922" t="s">
        <v>2379</v>
      </c>
      <c r="I922" t="str" cm="1">
        <f t="array" ref="I922">_xlfn.IFS(B922&lt;18.5,"Underweight",AND(B922&gt;=18.5,B922&lt;=24.99),"Normalweight",AND(B922&gt;=25,B922&lt;=29.99),"Overweight",B922&gt;=30,"Obesity")</f>
        <v>Obesity</v>
      </c>
      <c r="J922" t="str" cm="1">
        <f t="array" ref="J922">_xlfn.IFS(C922&lt;5.7,"Normal",AND(C922&gt;=5.7,C922&lt;=6.49),"Prediabetes",C922&gt;=6.5,"Diabetes")</f>
        <v>Normal</v>
      </c>
    </row>
    <row r="923" spans="1:10" x14ac:dyDescent="0.3">
      <c r="A923" t="s">
        <v>1449</v>
      </c>
      <c r="B923" s="8">
        <v>33.1</v>
      </c>
      <c r="C923">
        <v>5.46</v>
      </c>
      <c r="D923" t="s">
        <v>2381</v>
      </c>
      <c r="E923" t="s">
        <v>2379</v>
      </c>
      <c r="F923" t="s">
        <v>2379</v>
      </c>
      <c r="G923">
        <v>1</v>
      </c>
      <c r="H923" t="s">
        <v>2379</v>
      </c>
      <c r="I923" t="str" cm="1">
        <f t="array" ref="I923">_xlfn.IFS(B923&lt;18.5,"Underweight",AND(B923&gt;=18.5,B923&lt;=24.99),"Normalweight",AND(B923&gt;=25,B923&lt;=29.99),"Overweight",B923&gt;=30,"Obesity")</f>
        <v>Obesity</v>
      </c>
      <c r="J923" t="str" cm="1">
        <f t="array" ref="J923">_xlfn.IFS(C923&lt;5.7,"Normal",AND(C923&gt;=5.7,C923&lt;=6.49),"Prediabetes",C923&gt;=6.5,"Diabetes")</f>
        <v>Normal</v>
      </c>
    </row>
    <row r="924" spans="1:10" x14ac:dyDescent="0.3">
      <c r="A924" t="s">
        <v>1448</v>
      </c>
      <c r="B924" s="8">
        <v>31.824999999999999</v>
      </c>
      <c r="C924">
        <v>8.1300000000000008</v>
      </c>
      <c r="D924" t="s">
        <v>2379</v>
      </c>
      <c r="E924" t="s">
        <v>2379</v>
      </c>
      <c r="F924" t="s">
        <v>2379</v>
      </c>
      <c r="G924">
        <v>0</v>
      </c>
      <c r="H924" t="s">
        <v>2379</v>
      </c>
      <c r="I924" t="str" cm="1">
        <f t="array" ref="I924">_xlfn.IFS(B924&lt;18.5,"Underweight",AND(B924&gt;=18.5,B924&lt;=24.99),"Normalweight",AND(B924&gt;=25,B924&lt;=29.99),"Overweight",B924&gt;=30,"Obesity")</f>
        <v>Obesity</v>
      </c>
      <c r="J924" t="str" cm="1">
        <f t="array" ref="J924">_xlfn.IFS(C924&lt;5.7,"Normal",AND(C924&gt;=5.7,C924&lt;=6.49),"Prediabetes",C924&gt;=6.5,"Diabetes")</f>
        <v>Diabetes</v>
      </c>
    </row>
    <row r="925" spans="1:10" x14ac:dyDescent="0.3">
      <c r="A925" t="s">
        <v>1447</v>
      </c>
      <c r="B925" s="8">
        <v>29</v>
      </c>
      <c r="C925">
        <v>4.25</v>
      </c>
      <c r="D925" t="s">
        <v>2381</v>
      </c>
      <c r="E925" t="s">
        <v>2379</v>
      </c>
      <c r="F925" t="s">
        <v>2379</v>
      </c>
      <c r="G925">
        <v>1</v>
      </c>
      <c r="H925" t="s">
        <v>2379</v>
      </c>
      <c r="I925" t="str" cm="1">
        <f t="array" ref="I925">_xlfn.IFS(B925&lt;18.5,"Underweight",AND(B925&gt;=18.5,B925&lt;=24.99),"Normalweight",AND(B925&gt;=25,B925&lt;=29.99),"Overweight",B925&gt;=30,"Obesity")</f>
        <v>Overweight</v>
      </c>
      <c r="J925" t="str" cm="1">
        <f t="array" ref="J925">_xlfn.IFS(C925&lt;5.7,"Normal",AND(C925&gt;=5.7,C925&lt;=6.49),"Prediabetes",C925&gt;=6.5,"Diabetes")</f>
        <v>Normal</v>
      </c>
    </row>
    <row r="926" spans="1:10" x14ac:dyDescent="0.3">
      <c r="A926" t="s">
        <v>1446</v>
      </c>
      <c r="B926" s="8">
        <v>30.495000000000001</v>
      </c>
      <c r="C926">
        <v>8.68</v>
      </c>
      <c r="D926" t="s">
        <v>2379</v>
      </c>
      <c r="E926" t="s">
        <v>2379</v>
      </c>
      <c r="F926" t="s">
        <v>2379</v>
      </c>
      <c r="G926">
        <v>0</v>
      </c>
      <c r="H926" t="s">
        <v>2379</v>
      </c>
      <c r="I926" t="str" cm="1">
        <f t="array" ref="I926">_xlfn.IFS(B926&lt;18.5,"Underweight",AND(B926&gt;=18.5,B926&lt;=24.99),"Normalweight",AND(B926&gt;=25,B926&lt;=29.99),"Overweight",B926&gt;=30,"Obesity")</f>
        <v>Obesity</v>
      </c>
      <c r="J926" t="str" cm="1">
        <f t="array" ref="J926">_xlfn.IFS(C926&lt;5.7,"Normal",AND(C926&gt;=5.7,C926&lt;=6.49),"Prediabetes",C926&gt;=6.5,"Diabetes")</f>
        <v>Diabetes</v>
      </c>
    </row>
    <row r="927" spans="1:10" x14ac:dyDescent="0.3">
      <c r="A927" t="s">
        <v>1445</v>
      </c>
      <c r="B927" s="8">
        <v>25.2</v>
      </c>
      <c r="C927">
        <v>6.25</v>
      </c>
      <c r="D927" t="s">
        <v>2381</v>
      </c>
      <c r="E927" t="s">
        <v>2379</v>
      </c>
      <c r="F927" t="s">
        <v>2379</v>
      </c>
      <c r="G927">
        <v>1</v>
      </c>
      <c r="H927" t="s">
        <v>2379</v>
      </c>
      <c r="I927" t="str" cm="1">
        <f t="array" ref="I927">_xlfn.IFS(B927&lt;18.5,"Underweight",AND(B927&gt;=18.5,B927&lt;=24.99),"Normalweight",AND(B927&gt;=25,B927&lt;=29.99),"Overweight",B927&gt;=30,"Obesity")</f>
        <v>Overweight</v>
      </c>
      <c r="J927" t="str" cm="1">
        <f t="array" ref="J927">_xlfn.IFS(C927&lt;5.7,"Normal",AND(C927&gt;=5.7,C927&lt;=6.49),"Prediabetes",C927&gt;=6.5,"Diabetes")</f>
        <v>Prediabetes</v>
      </c>
    </row>
    <row r="928" spans="1:10" x14ac:dyDescent="0.3">
      <c r="A928" t="s">
        <v>1444</v>
      </c>
      <c r="B928" s="8">
        <v>22.77</v>
      </c>
      <c r="C928">
        <v>4.47</v>
      </c>
      <c r="D928" t="s">
        <v>2381</v>
      </c>
      <c r="E928" t="s">
        <v>2379</v>
      </c>
      <c r="F928" t="s">
        <v>2379</v>
      </c>
      <c r="G928">
        <v>1</v>
      </c>
      <c r="H928" t="s">
        <v>2379</v>
      </c>
      <c r="I928" t="str" cm="1">
        <f t="array" ref="I928">_xlfn.IFS(B928&lt;18.5,"Underweight",AND(B928&gt;=18.5,B928&lt;=24.99),"Normalweight",AND(B928&gt;=25,B928&lt;=29.99),"Overweight",B928&gt;=30,"Obesity")</f>
        <v>Normalweight</v>
      </c>
      <c r="J928" t="str" cm="1">
        <f t="array" ref="J928">_xlfn.IFS(C928&lt;5.7,"Normal",AND(C928&gt;=5.7,C928&lt;=6.49),"Prediabetes",C928&gt;=6.5,"Diabetes")</f>
        <v>Normal</v>
      </c>
    </row>
    <row r="929" spans="1:10" x14ac:dyDescent="0.3">
      <c r="A929" t="s">
        <v>1443</v>
      </c>
      <c r="B929" s="8">
        <v>23.18</v>
      </c>
      <c r="C929">
        <v>8.31</v>
      </c>
      <c r="D929" t="s">
        <v>2379</v>
      </c>
      <c r="E929" t="s">
        <v>2379</v>
      </c>
      <c r="F929" t="s">
        <v>2379</v>
      </c>
      <c r="G929">
        <v>0</v>
      </c>
      <c r="H929" t="s">
        <v>2379</v>
      </c>
      <c r="I929" t="str" cm="1">
        <f t="array" ref="I929">_xlfn.IFS(B929&lt;18.5,"Underweight",AND(B929&gt;=18.5,B929&lt;=24.99),"Normalweight",AND(B929&gt;=25,B929&lt;=29.99),"Overweight",B929&gt;=30,"Obesity")</f>
        <v>Normalweight</v>
      </c>
      <c r="J929" t="str" cm="1">
        <f t="array" ref="J929">_xlfn.IFS(C929&lt;5.7,"Normal",AND(C929&gt;=5.7,C929&lt;=6.49),"Prediabetes",C929&gt;=6.5,"Diabetes")</f>
        <v>Diabetes</v>
      </c>
    </row>
    <row r="930" spans="1:10" x14ac:dyDescent="0.3">
      <c r="A930" t="s">
        <v>1442</v>
      </c>
      <c r="B930" s="8">
        <v>35.409999999999997</v>
      </c>
      <c r="C930">
        <v>5.68</v>
      </c>
      <c r="D930" t="s">
        <v>2379</v>
      </c>
      <c r="E930" t="s">
        <v>2379</v>
      </c>
      <c r="F930" t="s">
        <v>2379</v>
      </c>
      <c r="G930">
        <v>0</v>
      </c>
      <c r="H930" t="s">
        <v>2379</v>
      </c>
      <c r="I930" t="str" cm="1">
        <f t="array" ref="I930">_xlfn.IFS(B930&lt;18.5,"Underweight",AND(B930&gt;=18.5,B930&lt;=24.99),"Normalweight",AND(B930&gt;=25,B930&lt;=29.99),"Overweight",B930&gt;=30,"Obesity")</f>
        <v>Obesity</v>
      </c>
      <c r="J930" t="str" cm="1">
        <f t="array" ref="J930">_xlfn.IFS(C930&lt;5.7,"Normal",AND(C930&gt;=5.7,C930&lt;=6.49),"Prediabetes",C930&gt;=6.5,"Diabetes")</f>
        <v>Normal</v>
      </c>
    </row>
    <row r="931" spans="1:10" x14ac:dyDescent="0.3">
      <c r="A931" t="s">
        <v>1441</v>
      </c>
      <c r="B931" s="8">
        <v>32.11</v>
      </c>
      <c r="C931">
        <v>4.75</v>
      </c>
      <c r="D931" t="s">
        <v>2381</v>
      </c>
      <c r="E931" t="s">
        <v>2379</v>
      </c>
      <c r="F931" t="s">
        <v>2379</v>
      </c>
      <c r="G931">
        <v>2</v>
      </c>
      <c r="H931" t="s">
        <v>2379</v>
      </c>
      <c r="I931" t="str" cm="1">
        <f t="array" ref="I931">_xlfn.IFS(B931&lt;18.5,"Underweight",AND(B931&gt;=18.5,B931&lt;=24.99),"Normalweight",AND(B931&gt;=25,B931&lt;=29.99),"Overweight",B931&gt;=30,"Obesity")</f>
        <v>Obesity</v>
      </c>
      <c r="J931" t="str" cm="1">
        <f t="array" ref="J931">_xlfn.IFS(C931&lt;5.7,"Normal",AND(C931&gt;=5.7,C931&lt;=6.49),"Prediabetes",C931&gt;=6.5,"Diabetes")</f>
        <v>Normal</v>
      </c>
    </row>
    <row r="932" spans="1:10" x14ac:dyDescent="0.3">
      <c r="A932" t="s">
        <v>1440</v>
      </c>
      <c r="B932" s="8">
        <v>34.479999999999997</v>
      </c>
      <c r="C932">
        <v>6.31</v>
      </c>
      <c r="D932" t="s">
        <v>2379</v>
      </c>
      <c r="E932" t="s">
        <v>2379</v>
      </c>
      <c r="F932" t="s">
        <v>2381</v>
      </c>
      <c r="G932">
        <v>1</v>
      </c>
      <c r="H932" t="s">
        <v>2379</v>
      </c>
      <c r="I932" t="str" cm="1">
        <f t="array" ref="I932">_xlfn.IFS(B932&lt;18.5,"Underweight",AND(B932&gt;=18.5,B932&lt;=24.99),"Normalweight",AND(B932&gt;=25,B932&lt;=29.99),"Overweight",B932&gt;=30,"Obesity")</f>
        <v>Obesity</v>
      </c>
      <c r="J932" t="str" cm="1">
        <f t="array" ref="J932">_xlfn.IFS(C932&lt;5.7,"Normal",AND(C932&gt;=5.7,C932&lt;=6.49),"Prediabetes",C932&gt;=6.5,"Diabetes")</f>
        <v>Prediabetes</v>
      </c>
    </row>
    <row r="933" spans="1:10" x14ac:dyDescent="0.3">
      <c r="A933" t="s">
        <v>1439</v>
      </c>
      <c r="B933" s="8">
        <v>34.39</v>
      </c>
      <c r="C933">
        <v>6.28</v>
      </c>
      <c r="D933" t="s">
        <v>2381</v>
      </c>
      <c r="E933" t="s">
        <v>2379</v>
      </c>
      <c r="F933" t="s">
        <v>2379</v>
      </c>
      <c r="G933">
        <v>1</v>
      </c>
      <c r="H933" t="s">
        <v>2379</v>
      </c>
      <c r="I933" t="str" cm="1">
        <f t="array" ref="I933">_xlfn.IFS(B933&lt;18.5,"Underweight",AND(B933&gt;=18.5,B933&lt;=24.99),"Normalweight",AND(B933&gt;=25,B933&lt;=29.99),"Overweight",B933&gt;=30,"Obesity")</f>
        <v>Obesity</v>
      </c>
      <c r="J933" t="str" cm="1">
        <f t="array" ref="J933">_xlfn.IFS(C933&lt;5.7,"Normal",AND(C933&gt;=5.7,C933&lt;=6.49),"Prediabetes",C933&gt;=6.5,"Diabetes")</f>
        <v>Prediabetes</v>
      </c>
    </row>
    <row r="934" spans="1:10" x14ac:dyDescent="0.3">
      <c r="A934" t="s">
        <v>1438</v>
      </c>
      <c r="B934" s="8">
        <v>26.4</v>
      </c>
      <c r="C934">
        <v>9.2899999999999991</v>
      </c>
      <c r="D934" t="s">
        <v>2381</v>
      </c>
      <c r="E934" t="s">
        <v>2379</v>
      </c>
      <c r="F934" t="s">
        <v>2381</v>
      </c>
      <c r="G934">
        <v>1</v>
      </c>
      <c r="H934" t="s">
        <v>2379</v>
      </c>
      <c r="I934" t="str" cm="1">
        <f t="array" ref="I934">_xlfn.IFS(B934&lt;18.5,"Underweight",AND(B934&gt;=18.5,B934&lt;=24.99),"Normalweight",AND(B934&gt;=25,B934&lt;=29.99),"Overweight",B934&gt;=30,"Obesity")</f>
        <v>Overweight</v>
      </c>
      <c r="J934" t="str" cm="1">
        <f t="array" ref="J934">_xlfn.IFS(C934&lt;5.7,"Normal",AND(C934&gt;=5.7,C934&lt;=6.49),"Prediabetes",C934&gt;=6.5,"Diabetes")</f>
        <v>Diabetes</v>
      </c>
    </row>
    <row r="935" spans="1:10" x14ac:dyDescent="0.3">
      <c r="A935" t="s">
        <v>1437</v>
      </c>
      <c r="B935" s="8">
        <v>28.1</v>
      </c>
      <c r="C935">
        <v>5.79</v>
      </c>
      <c r="D935" t="s">
        <v>2381</v>
      </c>
      <c r="E935" t="s">
        <v>2379</v>
      </c>
      <c r="F935" t="s">
        <v>2381</v>
      </c>
      <c r="G935">
        <v>1</v>
      </c>
      <c r="H935" t="s">
        <v>2379</v>
      </c>
      <c r="I935" t="str" cm="1">
        <f t="array" ref="I935">_xlfn.IFS(B935&lt;18.5,"Underweight",AND(B935&gt;=18.5,B935&lt;=24.99),"Normalweight",AND(B935&gt;=25,B935&lt;=29.99),"Overweight",B935&gt;=30,"Obesity")</f>
        <v>Overweight</v>
      </c>
      <c r="J935" t="str" cm="1">
        <f t="array" ref="J935">_xlfn.IFS(C935&lt;5.7,"Normal",AND(C935&gt;=5.7,C935&lt;=6.49),"Prediabetes",C935&gt;=6.5,"Diabetes")</f>
        <v>Prediabetes</v>
      </c>
    </row>
    <row r="936" spans="1:10" x14ac:dyDescent="0.3">
      <c r="A936" t="s">
        <v>1436</v>
      </c>
      <c r="B936" s="8">
        <v>27</v>
      </c>
      <c r="C936">
        <v>4.54</v>
      </c>
      <c r="D936" t="s">
        <v>2381</v>
      </c>
      <c r="E936" t="s">
        <v>2379</v>
      </c>
      <c r="F936" t="s">
        <v>2379</v>
      </c>
      <c r="G936">
        <v>1</v>
      </c>
      <c r="H936" t="s">
        <v>2379</v>
      </c>
      <c r="I936" t="str" cm="1">
        <f t="array" ref="I936">_xlfn.IFS(B936&lt;18.5,"Underweight",AND(B936&gt;=18.5,B936&lt;=24.99),"Normalweight",AND(B936&gt;=25,B936&lt;=29.99),"Overweight",B936&gt;=30,"Obesity")</f>
        <v>Overweight</v>
      </c>
      <c r="J936" t="str" cm="1">
        <f t="array" ref="J936">_xlfn.IFS(C936&lt;5.7,"Normal",AND(C936&gt;=5.7,C936&lt;=6.49),"Prediabetes",C936&gt;=6.5,"Diabetes")</f>
        <v>Normal</v>
      </c>
    </row>
    <row r="937" spans="1:10" x14ac:dyDescent="0.3">
      <c r="A937" t="s">
        <v>1435</v>
      </c>
      <c r="B937" s="8">
        <v>28.594999999999999</v>
      </c>
      <c r="C937">
        <v>4.68</v>
      </c>
      <c r="D937" t="s">
        <v>2381</v>
      </c>
      <c r="E937" t="s">
        <v>2379</v>
      </c>
      <c r="F937" t="s">
        <v>2379</v>
      </c>
      <c r="G937">
        <v>1</v>
      </c>
      <c r="H937" t="s">
        <v>2379</v>
      </c>
      <c r="I937" t="str" cm="1">
        <f t="array" ref="I937">_xlfn.IFS(B937&lt;18.5,"Underweight",AND(B937&gt;=18.5,B937&lt;=24.99),"Normalweight",AND(B937&gt;=25,B937&lt;=29.99),"Overweight",B937&gt;=30,"Obesity")</f>
        <v>Overweight</v>
      </c>
      <c r="J937" t="str" cm="1">
        <f t="array" ref="J937">_xlfn.IFS(C937&lt;5.7,"Normal",AND(C937&gt;=5.7,C937&lt;=6.49),"Prediabetes",C937&gt;=6.5,"Diabetes")</f>
        <v>Normal</v>
      </c>
    </row>
    <row r="938" spans="1:10" x14ac:dyDescent="0.3">
      <c r="A938" t="s">
        <v>1434</v>
      </c>
      <c r="B938" s="8">
        <v>36.799999999999997</v>
      </c>
      <c r="C938">
        <v>5.88</v>
      </c>
      <c r="D938" t="s">
        <v>2379</v>
      </c>
      <c r="E938" t="s">
        <v>2379</v>
      </c>
      <c r="F938" t="s">
        <v>2379</v>
      </c>
      <c r="G938">
        <v>1</v>
      </c>
      <c r="H938" t="s">
        <v>2379</v>
      </c>
      <c r="I938" t="str" cm="1">
        <f t="array" ref="I938">_xlfn.IFS(B938&lt;18.5,"Underweight",AND(B938&gt;=18.5,B938&lt;=24.99),"Normalweight",AND(B938&gt;=25,B938&lt;=29.99),"Overweight",B938&gt;=30,"Obesity")</f>
        <v>Obesity</v>
      </c>
      <c r="J938" t="str" cm="1">
        <f t="array" ref="J938">_xlfn.IFS(C938&lt;5.7,"Normal",AND(C938&gt;=5.7,C938&lt;=6.49),"Prediabetes",C938&gt;=6.5,"Diabetes")</f>
        <v>Prediabetes</v>
      </c>
    </row>
    <row r="939" spans="1:10" x14ac:dyDescent="0.3">
      <c r="A939" t="s">
        <v>1433</v>
      </c>
      <c r="B939" s="8">
        <v>23.75</v>
      </c>
      <c r="C939">
        <v>5.42</v>
      </c>
      <c r="D939" t="s">
        <v>2381</v>
      </c>
      <c r="E939" t="s">
        <v>2379</v>
      </c>
      <c r="F939" t="s">
        <v>2381</v>
      </c>
      <c r="G939">
        <v>1</v>
      </c>
      <c r="H939" t="s">
        <v>2379</v>
      </c>
      <c r="I939" t="str" cm="1">
        <f t="array" ref="I939">_xlfn.IFS(B939&lt;18.5,"Underweight",AND(B939&gt;=18.5,B939&lt;=24.99),"Normalweight",AND(B939&gt;=25,B939&lt;=29.99),"Overweight",B939&gt;=30,"Obesity")</f>
        <v>Normalweight</v>
      </c>
      <c r="J939" t="str" cm="1">
        <f t="array" ref="J939">_xlfn.IFS(C939&lt;5.7,"Normal",AND(C939&gt;=5.7,C939&lt;=6.49),"Prediabetes",C939&gt;=6.5,"Diabetes")</f>
        <v>Normal</v>
      </c>
    </row>
    <row r="940" spans="1:10" x14ac:dyDescent="0.3">
      <c r="A940" t="s">
        <v>1432</v>
      </c>
      <c r="B940" s="8">
        <v>35.619999999999997</v>
      </c>
      <c r="C940">
        <v>4.16</v>
      </c>
      <c r="D940" t="s">
        <v>2379</v>
      </c>
      <c r="E940" t="s">
        <v>2379</v>
      </c>
      <c r="F940" t="s">
        <v>2379</v>
      </c>
      <c r="G940">
        <v>0</v>
      </c>
      <c r="H940" t="s">
        <v>2379</v>
      </c>
      <c r="I940" t="str" cm="1">
        <f t="array" ref="I940">_xlfn.IFS(B940&lt;18.5,"Underweight",AND(B940&gt;=18.5,B940&lt;=24.99),"Normalweight",AND(B940&gt;=25,B940&lt;=29.99),"Overweight",B940&gt;=30,"Obesity")</f>
        <v>Obesity</v>
      </c>
      <c r="J940" t="str" cm="1">
        <f t="array" ref="J940">_xlfn.IFS(C940&lt;5.7,"Normal",AND(C940&gt;=5.7,C940&lt;=6.49),"Prediabetes",C940&gt;=6.5,"Diabetes")</f>
        <v>Normal</v>
      </c>
    </row>
    <row r="941" spans="1:10" x14ac:dyDescent="0.3">
      <c r="A941" t="s">
        <v>1431</v>
      </c>
      <c r="B941" s="8">
        <v>30.69</v>
      </c>
      <c r="C941">
        <v>7.05</v>
      </c>
      <c r="D941" t="s">
        <v>2381</v>
      </c>
      <c r="E941" t="s">
        <v>2379</v>
      </c>
      <c r="F941" t="s">
        <v>2379</v>
      </c>
      <c r="G941">
        <v>2</v>
      </c>
      <c r="H941" t="s">
        <v>2379</v>
      </c>
      <c r="I941" t="str" cm="1">
        <f t="array" ref="I941">_xlfn.IFS(B941&lt;18.5,"Underweight",AND(B941&gt;=18.5,B941&lt;=24.99),"Normalweight",AND(B941&gt;=25,B941&lt;=29.99),"Overweight",B941&gt;=30,"Obesity")</f>
        <v>Obesity</v>
      </c>
      <c r="J941" t="str" cm="1">
        <f t="array" ref="J941">_xlfn.IFS(C941&lt;5.7,"Normal",AND(C941&gt;=5.7,C941&lt;=6.49),"Prediabetes",C941&gt;=6.5,"Diabetes")</f>
        <v>Diabetes</v>
      </c>
    </row>
    <row r="942" spans="1:10" x14ac:dyDescent="0.3">
      <c r="A942" t="s">
        <v>1430</v>
      </c>
      <c r="B942" s="8">
        <v>35.799999999999997</v>
      </c>
      <c r="C942">
        <v>5.63</v>
      </c>
      <c r="D942" t="s">
        <v>2381</v>
      </c>
      <c r="E942" t="s">
        <v>2379</v>
      </c>
      <c r="F942" t="s">
        <v>2379</v>
      </c>
      <c r="G942">
        <v>2</v>
      </c>
      <c r="H942" t="s">
        <v>2379</v>
      </c>
      <c r="I942" t="str" cm="1">
        <f t="array" ref="I942">_xlfn.IFS(B942&lt;18.5,"Underweight",AND(B942&gt;=18.5,B942&lt;=24.99),"Normalweight",AND(B942&gt;=25,B942&lt;=29.99),"Overweight",B942&gt;=30,"Obesity")</f>
        <v>Obesity</v>
      </c>
      <c r="J942" t="str" cm="1">
        <f t="array" ref="J942">_xlfn.IFS(C942&lt;5.7,"Normal",AND(C942&gt;=5.7,C942&lt;=6.49),"Prediabetes",C942&gt;=6.5,"Diabetes")</f>
        <v>Normal</v>
      </c>
    </row>
    <row r="943" spans="1:10" x14ac:dyDescent="0.3">
      <c r="A943" t="s">
        <v>1429</v>
      </c>
      <c r="B943" s="8">
        <v>28.785</v>
      </c>
      <c r="C943">
        <v>4.24</v>
      </c>
      <c r="D943" t="s">
        <v>2381</v>
      </c>
      <c r="E943" t="s">
        <v>2379</v>
      </c>
      <c r="F943" t="s">
        <v>2379</v>
      </c>
      <c r="G943">
        <v>2</v>
      </c>
      <c r="H943" t="s">
        <v>2379</v>
      </c>
      <c r="I943" t="str" cm="1">
        <f t="array" ref="I943">_xlfn.IFS(B943&lt;18.5,"Underweight",AND(B943&gt;=18.5,B943&lt;=24.99),"Normalweight",AND(B943&gt;=25,B943&lt;=29.99),"Overweight",B943&gt;=30,"Obesity")</f>
        <v>Overweight</v>
      </c>
      <c r="J943" t="str" cm="1">
        <f t="array" ref="J943">_xlfn.IFS(C943&lt;5.7,"Normal",AND(C943&gt;=5.7,C943&lt;=6.49),"Prediabetes",C943&gt;=6.5,"Diabetes")</f>
        <v>Normal</v>
      </c>
    </row>
    <row r="944" spans="1:10" x14ac:dyDescent="0.3">
      <c r="A944" t="s">
        <v>1428</v>
      </c>
      <c r="B944" s="8">
        <v>28.594999999999999</v>
      </c>
      <c r="C944">
        <v>4.96</v>
      </c>
      <c r="D944" t="s">
        <v>2381</v>
      </c>
      <c r="E944" t="s">
        <v>2379</v>
      </c>
      <c r="F944" t="s">
        <v>2379</v>
      </c>
      <c r="G944">
        <v>2</v>
      </c>
      <c r="H944" t="s">
        <v>2379</v>
      </c>
      <c r="I944" t="str" cm="1">
        <f t="array" ref="I944">_xlfn.IFS(B944&lt;18.5,"Underweight",AND(B944&gt;=18.5,B944&lt;=24.99),"Normalweight",AND(B944&gt;=25,B944&lt;=29.99),"Overweight",B944&gt;=30,"Obesity")</f>
        <v>Overweight</v>
      </c>
      <c r="J944" t="str" cm="1">
        <f t="array" ref="J944">_xlfn.IFS(C944&lt;5.7,"Normal",AND(C944&gt;=5.7,C944&lt;=6.49),"Prediabetes",C944&gt;=6.5,"Diabetes")</f>
        <v>Normal</v>
      </c>
    </row>
    <row r="945" spans="1:10" x14ac:dyDescent="0.3">
      <c r="A945" t="s">
        <v>1427</v>
      </c>
      <c r="B945" s="8">
        <v>48.75</v>
      </c>
      <c r="C945">
        <v>4.34</v>
      </c>
      <c r="D945" t="s">
        <v>2379</v>
      </c>
      <c r="E945" t="s">
        <v>2379</v>
      </c>
      <c r="F945" t="s">
        <v>2379</v>
      </c>
      <c r="G945">
        <v>0</v>
      </c>
      <c r="H945" t="s">
        <v>2379</v>
      </c>
      <c r="I945" t="str" cm="1">
        <f t="array" ref="I945">_xlfn.IFS(B945&lt;18.5,"Underweight",AND(B945&gt;=18.5,B945&lt;=24.99),"Normalweight",AND(B945&gt;=25,B945&lt;=29.99),"Overweight",B945&gt;=30,"Obesity")</f>
        <v>Obesity</v>
      </c>
      <c r="J945" t="str" cm="1">
        <f t="array" ref="J945">_xlfn.IFS(C945&lt;5.7,"Normal",AND(C945&gt;=5.7,C945&lt;=6.49),"Prediabetes",C945&gt;=6.5,"Diabetes")</f>
        <v>Normal</v>
      </c>
    </row>
    <row r="946" spans="1:10" x14ac:dyDescent="0.3">
      <c r="A946" t="s">
        <v>1426</v>
      </c>
      <c r="B946" s="8">
        <v>28.31</v>
      </c>
      <c r="C946">
        <v>5.43</v>
      </c>
      <c r="D946" t="s">
        <v>2381</v>
      </c>
      <c r="E946" t="s">
        <v>2379</v>
      </c>
      <c r="F946" t="s">
        <v>2379</v>
      </c>
      <c r="G946">
        <v>2</v>
      </c>
      <c r="H946" t="s">
        <v>2379</v>
      </c>
      <c r="I946" t="str" cm="1">
        <f t="array" ref="I946">_xlfn.IFS(B946&lt;18.5,"Underweight",AND(B946&gt;=18.5,B946&lt;=24.99),"Normalweight",AND(B946&gt;=25,B946&lt;=29.99),"Overweight",B946&gt;=30,"Obesity")</f>
        <v>Overweight</v>
      </c>
      <c r="J946" t="str" cm="1">
        <f t="array" ref="J946">_xlfn.IFS(C946&lt;5.7,"Normal",AND(C946&gt;=5.7,C946&lt;=6.49),"Prediabetes",C946&gt;=6.5,"Diabetes")</f>
        <v>Normal</v>
      </c>
    </row>
    <row r="947" spans="1:10" x14ac:dyDescent="0.3">
      <c r="A947" t="s">
        <v>1425</v>
      </c>
      <c r="B947" s="8">
        <v>38.39</v>
      </c>
      <c r="C947">
        <v>8.33</v>
      </c>
      <c r="D947" t="s">
        <v>2381</v>
      </c>
      <c r="E947" t="s">
        <v>2379</v>
      </c>
      <c r="F947" t="s">
        <v>2379</v>
      </c>
      <c r="G947">
        <v>1</v>
      </c>
      <c r="H947" t="s">
        <v>2379</v>
      </c>
      <c r="I947" t="str" cm="1">
        <f t="array" ref="I947">_xlfn.IFS(B947&lt;18.5,"Underweight",AND(B947&gt;=18.5,B947&lt;=24.99),"Normalweight",AND(B947&gt;=25,B947&lt;=29.99),"Overweight",B947&gt;=30,"Obesity")</f>
        <v>Obesity</v>
      </c>
      <c r="J947" t="str" cm="1">
        <f t="array" ref="J947">_xlfn.IFS(C947&lt;5.7,"Normal",AND(C947&gt;=5.7,C947&lt;=6.49),"Prediabetes",C947&gt;=6.5,"Diabetes")</f>
        <v>Diabetes</v>
      </c>
    </row>
    <row r="948" spans="1:10" x14ac:dyDescent="0.3">
      <c r="A948" t="s">
        <v>1424</v>
      </c>
      <c r="B948" s="8">
        <v>25.87</v>
      </c>
      <c r="C948">
        <v>5.63</v>
      </c>
      <c r="D948" t="s">
        <v>2381</v>
      </c>
      <c r="E948" t="s">
        <v>2379</v>
      </c>
      <c r="F948" t="s">
        <v>2379</v>
      </c>
      <c r="G948">
        <v>1</v>
      </c>
      <c r="H948" t="s">
        <v>2379</v>
      </c>
      <c r="I948" t="str" cm="1">
        <f t="array" ref="I948">_xlfn.IFS(B948&lt;18.5,"Underweight",AND(B948&gt;=18.5,B948&lt;=24.99),"Normalweight",AND(B948&gt;=25,B948&lt;=29.99),"Overweight",B948&gt;=30,"Obesity")</f>
        <v>Overweight</v>
      </c>
      <c r="J948" t="str" cm="1">
        <f t="array" ref="J948">_xlfn.IFS(C948&lt;5.7,"Normal",AND(C948&gt;=5.7,C948&lt;=6.49),"Prediabetes",C948&gt;=6.5,"Diabetes")</f>
        <v>Normal</v>
      </c>
    </row>
    <row r="949" spans="1:10" x14ac:dyDescent="0.3">
      <c r="A949" t="s">
        <v>1423</v>
      </c>
      <c r="B949" s="8">
        <v>43.7</v>
      </c>
      <c r="C949">
        <v>7.23</v>
      </c>
      <c r="D949" t="s">
        <v>2379</v>
      </c>
      <c r="E949" t="s">
        <v>2379</v>
      </c>
      <c r="F949" t="s">
        <v>2379</v>
      </c>
      <c r="G949">
        <v>0</v>
      </c>
      <c r="H949" t="s">
        <v>2379</v>
      </c>
      <c r="I949" t="str" cm="1">
        <f t="array" ref="I949">_xlfn.IFS(B949&lt;18.5,"Underweight",AND(B949&gt;=18.5,B949&lt;=24.99),"Normalweight",AND(B949&gt;=25,B949&lt;=29.99),"Overweight",B949&gt;=30,"Obesity")</f>
        <v>Obesity</v>
      </c>
      <c r="J949" t="str" cm="1">
        <f t="array" ref="J949">_xlfn.IFS(C949&lt;5.7,"Normal",AND(C949&gt;=5.7,C949&lt;=6.49),"Prediabetes",C949&gt;=6.5,"Diabetes")</f>
        <v>Diabetes</v>
      </c>
    </row>
    <row r="950" spans="1:10" x14ac:dyDescent="0.3">
      <c r="A950" t="s">
        <v>1422</v>
      </c>
      <c r="B950" s="8">
        <v>40.945</v>
      </c>
      <c r="C950">
        <v>10.57</v>
      </c>
      <c r="D950" t="s">
        <v>2379</v>
      </c>
      <c r="E950" t="s">
        <v>2379</v>
      </c>
      <c r="F950" t="s">
        <v>2379</v>
      </c>
      <c r="G950">
        <v>0</v>
      </c>
      <c r="H950" t="s">
        <v>2379</v>
      </c>
      <c r="I950" t="str" cm="1">
        <f t="array" ref="I950">_xlfn.IFS(B950&lt;18.5,"Underweight",AND(B950&gt;=18.5,B950&lt;=24.99),"Normalweight",AND(B950&gt;=25,B950&lt;=29.99),"Overweight",B950&gt;=30,"Obesity")</f>
        <v>Obesity</v>
      </c>
      <c r="J950" t="str" cm="1">
        <f t="array" ref="J950">_xlfn.IFS(C950&lt;5.7,"Normal",AND(C950&gt;=5.7,C950&lt;=6.49),"Prediabetes",C950&gt;=6.5,"Diabetes")</f>
        <v>Diabetes</v>
      </c>
    </row>
    <row r="951" spans="1:10" x14ac:dyDescent="0.3">
      <c r="A951" t="s">
        <v>1421</v>
      </c>
      <c r="B951" s="8">
        <v>27.94</v>
      </c>
      <c r="C951">
        <v>7.92</v>
      </c>
      <c r="D951" t="s">
        <v>2379</v>
      </c>
      <c r="E951" t="s">
        <v>2379</v>
      </c>
      <c r="F951" t="s">
        <v>2379</v>
      </c>
      <c r="G951">
        <v>0</v>
      </c>
      <c r="H951" t="s">
        <v>2379</v>
      </c>
      <c r="I951" t="str" cm="1">
        <f t="array" ref="I951">_xlfn.IFS(B951&lt;18.5,"Underweight",AND(B951&gt;=18.5,B951&lt;=24.99),"Normalweight",AND(B951&gt;=25,B951&lt;=29.99),"Overweight",B951&gt;=30,"Obesity")</f>
        <v>Overweight</v>
      </c>
      <c r="J951" t="str" cm="1">
        <f t="array" ref="J951">_xlfn.IFS(C951&lt;5.7,"Normal",AND(C951&gt;=5.7,C951&lt;=6.49),"Prediabetes",C951&gt;=6.5,"Diabetes")</f>
        <v>Diabetes</v>
      </c>
    </row>
    <row r="952" spans="1:10" x14ac:dyDescent="0.3">
      <c r="A952" t="s">
        <v>1420</v>
      </c>
      <c r="B952" s="8">
        <v>31.9</v>
      </c>
      <c r="C952">
        <v>10.119999999999999</v>
      </c>
      <c r="D952" t="s">
        <v>2379</v>
      </c>
      <c r="E952" t="s">
        <v>2379</v>
      </c>
      <c r="F952" t="s">
        <v>2379</v>
      </c>
      <c r="G952">
        <v>2</v>
      </c>
      <c r="H952" t="s">
        <v>2379</v>
      </c>
      <c r="I952" t="str" cm="1">
        <f t="array" ref="I952">_xlfn.IFS(B952&lt;18.5,"Underweight",AND(B952&gt;=18.5,B952&lt;=24.99),"Normalweight",AND(B952&gt;=25,B952&lt;=29.99),"Overweight",B952&gt;=30,"Obesity")</f>
        <v>Obesity</v>
      </c>
      <c r="J952" t="str" cm="1">
        <f t="array" ref="J952">_xlfn.IFS(C952&lt;5.7,"Normal",AND(C952&gt;=5.7,C952&lt;=6.49),"Prediabetes",C952&gt;=6.5,"Diabetes")</f>
        <v>Diabetes</v>
      </c>
    </row>
    <row r="953" spans="1:10" x14ac:dyDescent="0.3">
      <c r="A953" t="s">
        <v>1419</v>
      </c>
      <c r="B953" s="8">
        <v>31.64</v>
      </c>
      <c r="C953">
        <v>7.91</v>
      </c>
      <c r="D953" t="s">
        <v>2379</v>
      </c>
      <c r="E953" t="s">
        <v>2379</v>
      </c>
      <c r="F953" t="s">
        <v>2379</v>
      </c>
      <c r="G953">
        <v>0</v>
      </c>
      <c r="H953" t="s">
        <v>2379</v>
      </c>
      <c r="I953" t="str" cm="1">
        <f t="array" ref="I953">_xlfn.IFS(B953&lt;18.5,"Underweight",AND(B953&gt;=18.5,B953&lt;=24.99),"Normalweight",AND(B953&gt;=25,B953&lt;=29.99),"Overweight",B953&gt;=30,"Obesity")</f>
        <v>Obesity</v>
      </c>
      <c r="J953" t="str" cm="1">
        <f t="array" ref="J953">_xlfn.IFS(C953&lt;5.7,"Normal",AND(C953&gt;=5.7,C953&lt;=6.49),"Prediabetes",C953&gt;=6.5,"Diabetes")</f>
        <v>Diabetes</v>
      </c>
    </row>
    <row r="954" spans="1:10" x14ac:dyDescent="0.3">
      <c r="A954" t="s">
        <v>1418</v>
      </c>
      <c r="B954" s="8">
        <v>46.7</v>
      </c>
      <c r="C954">
        <v>10.9</v>
      </c>
      <c r="D954" t="s">
        <v>2379</v>
      </c>
      <c r="E954" t="s">
        <v>2379</v>
      </c>
      <c r="F954" t="s">
        <v>2379</v>
      </c>
      <c r="G954">
        <v>0</v>
      </c>
      <c r="H954" t="s">
        <v>2379</v>
      </c>
      <c r="I954" t="str" cm="1">
        <f t="array" ref="I954">_xlfn.IFS(B954&lt;18.5,"Underweight",AND(B954&gt;=18.5,B954&lt;=24.99),"Normalweight",AND(B954&gt;=25,B954&lt;=29.99),"Overweight",B954&gt;=30,"Obesity")</f>
        <v>Obesity</v>
      </c>
      <c r="J954" t="str" cm="1">
        <f t="array" ref="J954">_xlfn.IFS(C954&lt;5.7,"Normal",AND(C954&gt;=5.7,C954&lt;=6.49),"Prediabetes",C954&gt;=6.5,"Diabetes")</f>
        <v>Diabetes</v>
      </c>
    </row>
    <row r="955" spans="1:10" x14ac:dyDescent="0.3">
      <c r="A955" t="s">
        <v>1417</v>
      </c>
      <c r="B955" s="8">
        <v>18.335000000000001</v>
      </c>
      <c r="C955">
        <v>11.83</v>
      </c>
      <c r="D955" t="s">
        <v>2379</v>
      </c>
      <c r="E955" t="s">
        <v>2379</v>
      </c>
      <c r="F955" t="s">
        <v>2379</v>
      </c>
      <c r="G955">
        <v>0</v>
      </c>
      <c r="H955" t="s">
        <v>2379</v>
      </c>
      <c r="I955" t="str" cm="1">
        <f t="array" ref="I955">_xlfn.IFS(B955&lt;18.5,"Underweight",AND(B955&gt;=18.5,B955&lt;=24.99),"Normalweight",AND(B955&gt;=25,B955&lt;=29.99),"Overweight",B955&gt;=30,"Obesity")</f>
        <v>Underweight</v>
      </c>
      <c r="J955" t="str" cm="1">
        <f t="array" ref="J955">_xlfn.IFS(C955&lt;5.7,"Normal",AND(C955&gt;=5.7,C955&lt;=6.49),"Prediabetes",C955&gt;=6.5,"Diabetes")</f>
        <v>Diabetes</v>
      </c>
    </row>
    <row r="956" spans="1:10" x14ac:dyDescent="0.3">
      <c r="A956" t="s">
        <v>1416</v>
      </c>
      <c r="B956" s="8">
        <v>31.24</v>
      </c>
      <c r="C956">
        <v>7.42</v>
      </c>
      <c r="D956" t="s">
        <v>2381</v>
      </c>
      <c r="E956" t="s">
        <v>2379</v>
      </c>
      <c r="F956" t="s">
        <v>2379</v>
      </c>
      <c r="G956">
        <v>2</v>
      </c>
      <c r="H956" t="s">
        <v>2379</v>
      </c>
      <c r="I956" t="str" cm="1">
        <f t="array" ref="I956">_xlfn.IFS(B956&lt;18.5,"Underweight",AND(B956&gt;=18.5,B956&lt;=24.99),"Normalweight",AND(B956&gt;=25,B956&lt;=29.99),"Overweight",B956&gt;=30,"Obesity")</f>
        <v>Obesity</v>
      </c>
      <c r="J956" t="str" cm="1">
        <f t="array" ref="J956">_xlfn.IFS(C956&lt;5.7,"Normal",AND(C956&gt;=5.7,C956&lt;=6.49),"Prediabetes",C956&gt;=6.5,"Diabetes")</f>
        <v>Diabetes</v>
      </c>
    </row>
    <row r="957" spans="1:10" x14ac:dyDescent="0.3">
      <c r="A957" t="s">
        <v>1415</v>
      </c>
      <c r="B957" s="8">
        <v>39.22</v>
      </c>
      <c r="C957">
        <v>5.62</v>
      </c>
      <c r="D957" t="s">
        <v>2381</v>
      </c>
      <c r="E957" t="s">
        <v>2379</v>
      </c>
      <c r="F957" t="s">
        <v>2379</v>
      </c>
      <c r="G957">
        <v>1</v>
      </c>
      <c r="H957" t="s">
        <v>2379</v>
      </c>
      <c r="I957" t="str" cm="1">
        <f t="array" ref="I957">_xlfn.IFS(B957&lt;18.5,"Underweight",AND(B957&gt;=18.5,B957&lt;=24.99),"Normalweight",AND(B957&gt;=25,B957&lt;=29.99),"Overweight",B957&gt;=30,"Obesity")</f>
        <v>Obesity</v>
      </c>
      <c r="J957" t="str" cm="1">
        <f t="array" ref="J957">_xlfn.IFS(C957&lt;5.7,"Normal",AND(C957&gt;=5.7,C957&lt;=6.49),"Prediabetes",C957&gt;=6.5,"Diabetes")</f>
        <v>Normal</v>
      </c>
    </row>
    <row r="958" spans="1:10" x14ac:dyDescent="0.3">
      <c r="A958" t="s">
        <v>1414</v>
      </c>
      <c r="B958" s="8">
        <v>24.414999999999999</v>
      </c>
      <c r="C958">
        <v>7.16</v>
      </c>
      <c r="D958" t="s">
        <v>2379</v>
      </c>
      <c r="E958" t="s">
        <v>2379</v>
      </c>
      <c r="F958" t="s">
        <v>2379</v>
      </c>
      <c r="G958">
        <v>0</v>
      </c>
      <c r="H958" t="s">
        <v>2379</v>
      </c>
      <c r="I958" t="str" cm="1">
        <f t="array" ref="I958">_xlfn.IFS(B958&lt;18.5,"Underweight",AND(B958&gt;=18.5,B958&lt;=24.99),"Normalweight",AND(B958&gt;=25,B958&lt;=29.99),"Overweight",B958&gt;=30,"Obesity")</f>
        <v>Normalweight</v>
      </c>
      <c r="J958" t="str" cm="1">
        <f t="array" ref="J958">_xlfn.IFS(C958&lt;5.7,"Normal",AND(C958&gt;=5.7,C958&lt;=6.49),"Prediabetes",C958&gt;=6.5,"Diabetes")</f>
        <v>Diabetes</v>
      </c>
    </row>
    <row r="959" spans="1:10" x14ac:dyDescent="0.3">
      <c r="A959" t="s">
        <v>1413</v>
      </c>
      <c r="B959" s="8">
        <v>32.299999999999997</v>
      </c>
      <c r="C959">
        <v>9.89</v>
      </c>
      <c r="D959" t="s">
        <v>2379</v>
      </c>
      <c r="E959" t="s">
        <v>2379</v>
      </c>
      <c r="F959" t="s">
        <v>2379</v>
      </c>
      <c r="G959">
        <v>0</v>
      </c>
      <c r="H959" t="s">
        <v>2379</v>
      </c>
      <c r="I959" t="str" cm="1">
        <f t="array" ref="I959">_xlfn.IFS(B959&lt;18.5,"Underweight",AND(B959&gt;=18.5,B959&lt;=24.99),"Normalweight",AND(B959&gt;=25,B959&lt;=29.99),"Overweight",B959&gt;=30,"Obesity")</f>
        <v>Obesity</v>
      </c>
      <c r="J959" t="str" cm="1">
        <f t="array" ref="J959">_xlfn.IFS(C959&lt;5.7,"Normal",AND(C959&gt;=5.7,C959&lt;=6.49),"Prediabetes",C959&gt;=6.5,"Diabetes")</f>
        <v>Diabetes</v>
      </c>
    </row>
    <row r="960" spans="1:10" x14ac:dyDescent="0.3">
      <c r="A960" t="s">
        <v>1412</v>
      </c>
      <c r="B960" s="8">
        <v>39.94</v>
      </c>
      <c r="C960">
        <v>5.14</v>
      </c>
      <c r="D960" t="s">
        <v>2379</v>
      </c>
      <c r="E960" t="s">
        <v>2379</v>
      </c>
      <c r="F960" t="s">
        <v>2379</v>
      </c>
      <c r="G960">
        <v>0</v>
      </c>
      <c r="H960" t="s">
        <v>2379</v>
      </c>
      <c r="I960" t="str" cm="1">
        <f t="array" ref="I960">_xlfn.IFS(B960&lt;18.5,"Underweight",AND(B960&gt;=18.5,B960&lt;=24.99),"Normalweight",AND(B960&gt;=25,B960&lt;=29.99),"Overweight",B960&gt;=30,"Obesity")</f>
        <v>Obesity</v>
      </c>
      <c r="J960" t="str" cm="1">
        <f t="array" ref="J960">_xlfn.IFS(C960&lt;5.7,"Normal",AND(C960&gt;=5.7,C960&lt;=6.49),"Prediabetes",C960&gt;=6.5,"Diabetes")</f>
        <v>Normal</v>
      </c>
    </row>
    <row r="961" spans="1:10" x14ac:dyDescent="0.3">
      <c r="A961" t="s">
        <v>1411</v>
      </c>
      <c r="B961" s="8">
        <v>30</v>
      </c>
      <c r="C961">
        <v>5.61</v>
      </c>
      <c r="D961" t="s">
        <v>2381</v>
      </c>
      <c r="E961" t="s">
        <v>2379</v>
      </c>
      <c r="F961" t="s">
        <v>2381</v>
      </c>
      <c r="G961">
        <v>1</v>
      </c>
      <c r="H961" t="s">
        <v>2379</v>
      </c>
      <c r="I961" t="str" cm="1">
        <f t="array" ref="I961">_xlfn.IFS(B961&lt;18.5,"Underweight",AND(B961&gt;=18.5,B961&lt;=24.99),"Normalweight",AND(B961&gt;=25,B961&lt;=29.99),"Overweight",B961&gt;=30,"Obesity")</f>
        <v>Obesity</v>
      </c>
      <c r="J961" t="str" cm="1">
        <f t="array" ref="J961">_xlfn.IFS(C961&lt;5.7,"Normal",AND(C961&gt;=5.7,C961&lt;=6.49),"Prediabetes",C961&gt;=6.5,"Diabetes")</f>
        <v>Normal</v>
      </c>
    </row>
    <row r="962" spans="1:10" x14ac:dyDescent="0.3">
      <c r="A962" t="s">
        <v>1410</v>
      </c>
      <c r="B962" s="8">
        <v>35.340000000000003</v>
      </c>
      <c r="C962">
        <v>5.51</v>
      </c>
      <c r="D962" t="s">
        <v>2381</v>
      </c>
      <c r="E962" t="s">
        <v>2379</v>
      </c>
      <c r="F962" t="s">
        <v>2381</v>
      </c>
      <c r="G962">
        <v>1</v>
      </c>
      <c r="H962" t="s">
        <v>2379</v>
      </c>
      <c r="I962" t="str" cm="1">
        <f t="array" ref="I962">_xlfn.IFS(B962&lt;18.5,"Underweight",AND(B962&gt;=18.5,B962&lt;=24.99),"Normalweight",AND(B962&gt;=25,B962&lt;=29.99),"Overweight",B962&gt;=30,"Obesity")</f>
        <v>Obesity</v>
      </c>
      <c r="J962" t="str" cm="1">
        <f t="array" ref="J962">_xlfn.IFS(C962&lt;5.7,"Normal",AND(C962&gt;=5.7,C962&lt;=6.49),"Prediabetes",C962&gt;=6.5,"Diabetes")</f>
        <v>Normal</v>
      </c>
    </row>
    <row r="963" spans="1:10" x14ac:dyDescent="0.3">
      <c r="A963" t="s">
        <v>1409</v>
      </c>
      <c r="B963" s="8">
        <v>32.204999999999998</v>
      </c>
      <c r="C963">
        <v>8.3800000000000008</v>
      </c>
      <c r="D963" t="s">
        <v>2381</v>
      </c>
      <c r="E963" t="s">
        <v>2379</v>
      </c>
      <c r="F963" t="s">
        <v>2379</v>
      </c>
      <c r="G963">
        <v>2</v>
      </c>
      <c r="H963" t="s">
        <v>2379</v>
      </c>
      <c r="I963" t="str" cm="1">
        <f t="array" ref="I963">_xlfn.IFS(B963&lt;18.5,"Underweight",AND(B963&gt;=18.5,B963&lt;=24.99),"Normalweight",AND(B963&gt;=25,B963&lt;=29.99),"Overweight",B963&gt;=30,"Obesity")</f>
        <v>Obesity</v>
      </c>
      <c r="J963" t="str" cm="1">
        <f t="array" ref="J963">_xlfn.IFS(C963&lt;5.7,"Normal",AND(C963&gt;=5.7,C963&lt;=6.49),"Prediabetes",C963&gt;=6.5,"Diabetes")</f>
        <v>Diabetes</v>
      </c>
    </row>
    <row r="964" spans="1:10" x14ac:dyDescent="0.3">
      <c r="A964" t="s">
        <v>1408</v>
      </c>
      <c r="B964" s="8">
        <v>33.880000000000003</v>
      </c>
      <c r="C964">
        <v>4.68</v>
      </c>
      <c r="D964" t="s">
        <v>2379</v>
      </c>
      <c r="E964" t="s">
        <v>2380</v>
      </c>
      <c r="F964" t="s">
        <v>2379</v>
      </c>
      <c r="G964">
        <v>1</v>
      </c>
      <c r="H964" t="s">
        <v>2379</v>
      </c>
      <c r="I964" t="str" cm="1">
        <f t="array" ref="I964">_xlfn.IFS(B964&lt;18.5,"Underweight",AND(B964&gt;=18.5,B964&lt;=24.99),"Normalweight",AND(B964&gt;=25,B964&lt;=29.99),"Overweight",B964&gt;=30,"Obesity")</f>
        <v>Obesity</v>
      </c>
      <c r="J964" t="str" cm="1">
        <f t="array" ref="J964">_xlfn.IFS(C964&lt;5.7,"Normal",AND(C964&gt;=5.7,C964&lt;=6.49),"Prediabetes",C964&gt;=6.5,"Diabetes")</f>
        <v>Normal</v>
      </c>
    </row>
    <row r="965" spans="1:10" x14ac:dyDescent="0.3">
      <c r="A965" t="s">
        <v>1407</v>
      </c>
      <c r="B965" s="8">
        <v>26.63</v>
      </c>
      <c r="C965">
        <v>4.3600000000000003</v>
      </c>
      <c r="D965" t="s">
        <v>2381</v>
      </c>
      <c r="E965" t="s">
        <v>2379</v>
      </c>
      <c r="F965" t="s">
        <v>2379</v>
      </c>
      <c r="G965">
        <v>2</v>
      </c>
      <c r="H965" t="s">
        <v>2379</v>
      </c>
      <c r="I965" t="str" cm="1">
        <f t="array" ref="I965">_xlfn.IFS(B965&lt;18.5,"Underweight",AND(B965&gt;=18.5,B965&lt;=24.99),"Normalweight",AND(B965&gt;=25,B965&lt;=29.99),"Overweight",B965&gt;=30,"Obesity")</f>
        <v>Overweight</v>
      </c>
      <c r="J965" t="str" cm="1">
        <f t="array" ref="J965">_xlfn.IFS(C965&lt;5.7,"Normal",AND(C965&gt;=5.7,C965&lt;=6.49),"Prediabetes",C965&gt;=6.5,"Diabetes")</f>
        <v>Normal</v>
      </c>
    </row>
    <row r="966" spans="1:10" x14ac:dyDescent="0.3">
      <c r="A966" t="s">
        <v>1406</v>
      </c>
      <c r="B966" s="8">
        <v>28.7</v>
      </c>
      <c r="C966">
        <v>7.74</v>
      </c>
      <c r="D966" t="s">
        <v>2379</v>
      </c>
      <c r="E966" t="s">
        <v>2379</v>
      </c>
      <c r="F966" t="s">
        <v>2379</v>
      </c>
      <c r="G966">
        <v>0</v>
      </c>
      <c r="H966" t="s">
        <v>2379</v>
      </c>
      <c r="I966" t="str" cm="1">
        <f t="array" ref="I966">_xlfn.IFS(B966&lt;18.5,"Underweight",AND(B966&gt;=18.5,B966&lt;=24.99),"Normalweight",AND(B966&gt;=25,B966&lt;=29.99),"Overweight",B966&gt;=30,"Obesity")</f>
        <v>Overweight</v>
      </c>
      <c r="J966" t="str" cm="1">
        <f t="array" ref="J966">_xlfn.IFS(C966&lt;5.7,"Normal",AND(C966&gt;=5.7,C966&lt;=6.49),"Prediabetes",C966&gt;=6.5,"Diabetes")</f>
        <v>Diabetes</v>
      </c>
    </row>
    <row r="967" spans="1:10" x14ac:dyDescent="0.3">
      <c r="A967" t="s">
        <v>1405</v>
      </c>
      <c r="B967" s="8">
        <v>25.65</v>
      </c>
      <c r="C967">
        <v>4.05</v>
      </c>
      <c r="D967" t="s">
        <v>2381</v>
      </c>
      <c r="E967" t="s">
        <v>2379</v>
      </c>
      <c r="F967" t="s">
        <v>2379</v>
      </c>
      <c r="G967">
        <v>2</v>
      </c>
      <c r="H967" t="s">
        <v>2379</v>
      </c>
      <c r="I967" t="str" cm="1">
        <f t="array" ref="I967">_xlfn.IFS(B967&lt;18.5,"Underweight",AND(B967&gt;=18.5,B967&lt;=24.99),"Normalweight",AND(B967&gt;=25,B967&lt;=29.99),"Overweight",B967&gt;=30,"Obesity")</f>
        <v>Overweight</v>
      </c>
      <c r="J967" t="str" cm="1">
        <f t="array" ref="J967">_xlfn.IFS(C967&lt;5.7,"Normal",AND(C967&gt;=5.7,C967&lt;=6.49),"Prediabetes",C967&gt;=6.5,"Diabetes")</f>
        <v>Normal</v>
      </c>
    </row>
    <row r="968" spans="1:10" x14ac:dyDescent="0.3">
      <c r="A968" t="s">
        <v>1404</v>
      </c>
      <c r="B968" s="8">
        <v>36.384999999999998</v>
      </c>
      <c r="C968">
        <v>11.49</v>
      </c>
      <c r="D968" t="s">
        <v>2379</v>
      </c>
      <c r="E968" t="s">
        <v>2379</v>
      </c>
      <c r="F968" t="s">
        <v>2379</v>
      </c>
      <c r="G968">
        <v>0</v>
      </c>
      <c r="H968" t="s">
        <v>2379</v>
      </c>
      <c r="I968" t="str" cm="1">
        <f t="array" ref="I968">_xlfn.IFS(B968&lt;18.5,"Underweight",AND(B968&gt;=18.5,B968&lt;=24.99),"Normalweight",AND(B968&gt;=25,B968&lt;=29.99),"Overweight",B968&gt;=30,"Obesity")</f>
        <v>Obesity</v>
      </c>
      <c r="J968" t="str" cm="1">
        <f t="array" ref="J968">_xlfn.IFS(C968&lt;5.7,"Normal",AND(C968&gt;=5.7,C968&lt;=6.49),"Prediabetes",C968&gt;=6.5,"Diabetes")</f>
        <v>Diabetes</v>
      </c>
    </row>
    <row r="969" spans="1:10" x14ac:dyDescent="0.3">
      <c r="A969" t="s">
        <v>1403</v>
      </c>
      <c r="B969" s="8">
        <v>34.69</v>
      </c>
      <c r="C969">
        <v>5.65</v>
      </c>
      <c r="D969" t="s">
        <v>2379</v>
      </c>
      <c r="E969" t="s">
        <v>2379</v>
      </c>
      <c r="F969" t="s">
        <v>2379</v>
      </c>
      <c r="G969">
        <v>0</v>
      </c>
      <c r="H969" t="s">
        <v>2379</v>
      </c>
      <c r="I969" t="str" cm="1">
        <f t="array" ref="I969">_xlfn.IFS(B969&lt;18.5,"Underweight",AND(B969&gt;=18.5,B969&lt;=24.99),"Normalweight",AND(B969&gt;=25,B969&lt;=29.99),"Overweight",B969&gt;=30,"Obesity")</f>
        <v>Obesity</v>
      </c>
      <c r="J969" t="str" cm="1">
        <f t="array" ref="J969">_xlfn.IFS(C969&lt;5.7,"Normal",AND(C969&gt;=5.7,C969&lt;=6.49),"Prediabetes",C969&gt;=6.5,"Diabetes")</f>
        <v>Normal</v>
      </c>
    </row>
    <row r="970" spans="1:10" x14ac:dyDescent="0.3">
      <c r="A970" t="s">
        <v>1402</v>
      </c>
      <c r="B970" s="8">
        <v>37.68</v>
      </c>
      <c r="C970">
        <v>4.29</v>
      </c>
      <c r="D970" t="s">
        <v>2381</v>
      </c>
      <c r="E970" t="s">
        <v>2379</v>
      </c>
      <c r="F970" t="s">
        <v>2379</v>
      </c>
      <c r="G970">
        <v>0</v>
      </c>
      <c r="H970" t="s">
        <v>2379</v>
      </c>
      <c r="I970" t="str" cm="1">
        <f t="array" ref="I970">_xlfn.IFS(B970&lt;18.5,"Underweight",AND(B970&gt;=18.5,B970&lt;=24.99),"Normalweight",AND(B970&gt;=25,B970&lt;=29.99),"Overweight",B970&gt;=30,"Obesity")</f>
        <v>Obesity</v>
      </c>
      <c r="J970" t="str" cm="1">
        <f t="array" ref="J970">_xlfn.IFS(C970&lt;5.7,"Normal",AND(C970&gt;=5.7,C970&lt;=6.49),"Prediabetes",C970&gt;=6.5,"Diabetes")</f>
        <v>Normal</v>
      </c>
    </row>
    <row r="971" spans="1:10" x14ac:dyDescent="0.3">
      <c r="A971" t="s">
        <v>1401</v>
      </c>
      <c r="B971" s="8">
        <v>35.49</v>
      </c>
      <c r="C971">
        <v>4.74</v>
      </c>
      <c r="D971" t="s">
        <v>2381</v>
      </c>
      <c r="E971" t="s">
        <v>2379</v>
      </c>
      <c r="F971" t="s">
        <v>2381</v>
      </c>
      <c r="G971">
        <v>1</v>
      </c>
      <c r="H971" t="s">
        <v>2379</v>
      </c>
      <c r="I971" t="str" cm="1">
        <f t="array" ref="I971">_xlfn.IFS(B971&lt;18.5,"Underweight",AND(B971&gt;=18.5,B971&lt;=24.99),"Normalweight",AND(B971&gt;=25,B971&lt;=29.99),"Overweight",B971&gt;=30,"Obesity")</f>
        <v>Obesity</v>
      </c>
      <c r="J971" t="str" cm="1">
        <f t="array" ref="J971">_xlfn.IFS(C971&lt;5.7,"Normal",AND(C971&gt;=5.7,C971&lt;=6.49),"Prediabetes",C971&gt;=6.5,"Diabetes")</f>
        <v>Normal</v>
      </c>
    </row>
    <row r="972" spans="1:10" x14ac:dyDescent="0.3">
      <c r="A972" t="s">
        <v>1400</v>
      </c>
      <c r="B972" s="8">
        <v>44.7</v>
      </c>
      <c r="C972">
        <v>7.6</v>
      </c>
      <c r="D972" t="s">
        <v>2381</v>
      </c>
      <c r="E972" t="s">
        <v>2379</v>
      </c>
      <c r="F972" t="s">
        <v>2379</v>
      </c>
      <c r="G972">
        <v>2</v>
      </c>
      <c r="H972" t="s">
        <v>2379</v>
      </c>
      <c r="I972" t="str" cm="1">
        <f t="array" ref="I972">_xlfn.IFS(B972&lt;18.5,"Underweight",AND(B972&gt;=18.5,B972&lt;=24.99),"Normalweight",AND(B972&gt;=25,B972&lt;=29.99),"Overweight",B972&gt;=30,"Obesity")</f>
        <v>Obesity</v>
      </c>
      <c r="J972" t="str" cm="1">
        <f t="array" ref="J972">_xlfn.IFS(C972&lt;5.7,"Normal",AND(C972&gt;=5.7,C972&lt;=6.49),"Prediabetes",C972&gt;=6.5,"Diabetes")</f>
        <v>Diabetes</v>
      </c>
    </row>
    <row r="973" spans="1:10" x14ac:dyDescent="0.3">
      <c r="A973" t="s">
        <v>1399</v>
      </c>
      <c r="B973" s="8">
        <v>38.380000000000003</v>
      </c>
      <c r="C973">
        <v>8.5</v>
      </c>
      <c r="D973" t="s">
        <v>2381</v>
      </c>
      <c r="E973" t="s">
        <v>2379</v>
      </c>
      <c r="F973" t="s">
        <v>2379</v>
      </c>
      <c r="G973">
        <v>2</v>
      </c>
      <c r="H973" t="s">
        <v>2379</v>
      </c>
      <c r="I973" t="str" cm="1">
        <f t="array" ref="I973">_xlfn.IFS(B973&lt;18.5,"Underweight",AND(B973&gt;=18.5,B973&lt;=24.99),"Normalweight",AND(B973&gt;=25,B973&lt;=29.99),"Overweight",B973&gt;=30,"Obesity")</f>
        <v>Obesity</v>
      </c>
      <c r="J973" t="str" cm="1">
        <f t="array" ref="J973">_xlfn.IFS(C973&lt;5.7,"Normal",AND(C973&gt;=5.7,C973&lt;=6.49),"Prediabetes",C973&gt;=6.5,"Diabetes")</f>
        <v>Diabetes</v>
      </c>
    </row>
    <row r="974" spans="1:10" x14ac:dyDescent="0.3">
      <c r="A974" t="s">
        <v>1398</v>
      </c>
      <c r="B974" s="8">
        <v>35.244999999999997</v>
      </c>
      <c r="C974">
        <v>11.22</v>
      </c>
      <c r="D974" t="s">
        <v>2381</v>
      </c>
      <c r="E974" t="s">
        <v>2379</v>
      </c>
      <c r="F974" t="s">
        <v>2379</v>
      </c>
      <c r="G974">
        <v>0</v>
      </c>
      <c r="H974" t="s">
        <v>2379</v>
      </c>
      <c r="I974" t="str" cm="1">
        <f t="array" ref="I974">_xlfn.IFS(B974&lt;18.5,"Underweight",AND(B974&gt;=18.5,B974&lt;=24.99),"Normalweight",AND(B974&gt;=25,B974&lt;=29.99),"Overweight",B974&gt;=30,"Obesity")</f>
        <v>Obesity</v>
      </c>
      <c r="J974" t="str" cm="1">
        <f t="array" ref="J974">_xlfn.IFS(C974&lt;5.7,"Normal",AND(C974&gt;=5.7,C974&lt;=6.49),"Prediabetes",C974&gt;=6.5,"Diabetes")</f>
        <v>Diabetes</v>
      </c>
    </row>
    <row r="975" spans="1:10" x14ac:dyDescent="0.3">
      <c r="A975" t="s">
        <v>1397</v>
      </c>
      <c r="B975" s="8">
        <v>49.84</v>
      </c>
      <c r="C975">
        <v>5.0999999999999996</v>
      </c>
      <c r="D975" t="s">
        <v>2381</v>
      </c>
      <c r="E975" t="s">
        <v>2379</v>
      </c>
      <c r="F975" t="s">
        <v>2381</v>
      </c>
      <c r="G975">
        <v>1</v>
      </c>
      <c r="H975" t="s">
        <v>2379</v>
      </c>
      <c r="I975" t="str" cm="1">
        <f t="array" ref="I975">_xlfn.IFS(B975&lt;18.5,"Underweight",AND(B975&gt;=18.5,B975&lt;=24.99),"Normalweight",AND(B975&gt;=25,B975&lt;=29.99),"Overweight",B975&gt;=30,"Obesity")</f>
        <v>Obesity</v>
      </c>
      <c r="J975" t="str" cm="1">
        <f t="array" ref="J975">_xlfn.IFS(C975&lt;5.7,"Normal",AND(C975&gt;=5.7,C975&lt;=6.49),"Prediabetes",C975&gt;=6.5,"Diabetes")</f>
        <v>Normal</v>
      </c>
    </row>
    <row r="976" spans="1:10" x14ac:dyDescent="0.3">
      <c r="A976" t="s">
        <v>1396</v>
      </c>
      <c r="B976" s="8">
        <v>49.06</v>
      </c>
      <c r="C976">
        <v>5.43</v>
      </c>
      <c r="D976" t="s">
        <v>2381</v>
      </c>
      <c r="E976" t="s">
        <v>2379</v>
      </c>
      <c r="F976" t="s">
        <v>2379</v>
      </c>
      <c r="G976">
        <v>1</v>
      </c>
      <c r="H976" t="s">
        <v>2379</v>
      </c>
      <c r="I976" t="str" cm="1">
        <f t="array" ref="I976">_xlfn.IFS(B976&lt;18.5,"Underweight",AND(B976&gt;=18.5,B976&lt;=24.99),"Normalweight",AND(B976&gt;=25,B976&lt;=29.99),"Overweight",B976&gt;=30,"Obesity")</f>
        <v>Obesity</v>
      </c>
      <c r="J976" t="str" cm="1">
        <f t="array" ref="J976">_xlfn.IFS(C976&lt;5.7,"Normal",AND(C976&gt;=5.7,C976&lt;=6.49),"Prediabetes",C976&gt;=6.5,"Diabetes")</f>
        <v>Normal</v>
      </c>
    </row>
    <row r="977" spans="1:10" x14ac:dyDescent="0.3">
      <c r="A977" t="s">
        <v>1395</v>
      </c>
      <c r="B977" s="8">
        <v>30.88</v>
      </c>
      <c r="C977">
        <v>5.82</v>
      </c>
      <c r="D977" t="s">
        <v>2379</v>
      </c>
      <c r="E977" t="s">
        <v>2379</v>
      </c>
      <c r="F977" t="s">
        <v>2379</v>
      </c>
      <c r="G977">
        <v>2</v>
      </c>
      <c r="H977" t="s">
        <v>2379</v>
      </c>
      <c r="I977" t="str" cm="1">
        <f t="array" ref="I977">_xlfn.IFS(B977&lt;18.5,"Underweight",AND(B977&gt;=18.5,B977&lt;=24.99),"Normalweight",AND(B977&gt;=25,B977&lt;=29.99),"Overweight",B977&gt;=30,"Obesity")</f>
        <v>Obesity</v>
      </c>
      <c r="J977" t="str" cm="1">
        <f t="array" ref="J977">_xlfn.IFS(C977&lt;5.7,"Normal",AND(C977&gt;=5.7,C977&lt;=6.49),"Prediabetes",C977&gt;=6.5,"Diabetes")</f>
        <v>Prediabetes</v>
      </c>
    </row>
    <row r="978" spans="1:10" x14ac:dyDescent="0.3">
      <c r="A978" t="s">
        <v>1394</v>
      </c>
      <c r="B978" s="8">
        <v>33.35</v>
      </c>
      <c r="C978">
        <v>6.05</v>
      </c>
      <c r="D978" t="s">
        <v>2379</v>
      </c>
      <c r="E978" t="s">
        <v>2379</v>
      </c>
      <c r="F978" t="s">
        <v>2381</v>
      </c>
      <c r="G978">
        <v>1</v>
      </c>
      <c r="H978" t="s">
        <v>2379</v>
      </c>
      <c r="I978" t="str" cm="1">
        <f t="array" ref="I978">_xlfn.IFS(B978&lt;18.5,"Underweight",AND(B978&gt;=18.5,B978&lt;=24.99),"Normalweight",AND(B978&gt;=25,B978&lt;=29.99),"Overweight",B978&gt;=30,"Obesity")</f>
        <v>Obesity</v>
      </c>
      <c r="J978" t="str" cm="1">
        <f t="array" ref="J978">_xlfn.IFS(C978&lt;5.7,"Normal",AND(C978&gt;=5.7,C978&lt;=6.49),"Prediabetes",C978&gt;=6.5,"Diabetes")</f>
        <v>Prediabetes</v>
      </c>
    </row>
    <row r="979" spans="1:10" x14ac:dyDescent="0.3">
      <c r="A979" t="s">
        <v>1393</v>
      </c>
      <c r="B979" s="8">
        <v>38</v>
      </c>
      <c r="C979">
        <v>6.38</v>
      </c>
      <c r="D979" t="s">
        <v>2381</v>
      </c>
      <c r="E979" t="s">
        <v>2379</v>
      </c>
      <c r="F979" t="s">
        <v>2379</v>
      </c>
      <c r="G979">
        <v>1</v>
      </c>
      <c r="H979" t="s">
        <v>2379</v>
      </c>
      <c r="I979" t="str" cm="1">
        <f t="array" ref="I979">_xlfn.IFS(B979&lt;18.5,"Underweight",AND(B979&gt;=18.5,B979&lt;=24.99),"Normalweight",AND(B979&gt;=25,B979&lt;=29.99),"Overweight",B979&gt;=30,"Obesity")</f>
        <v>Obesity</v>
      </c>
      <c r="J979" t="str" cm="1">
        <f t="array" ref="J979">_xlfn.IFS(C979&lt;5.7,"Normal",AND(C979&gt;=5.7,C979&lt;=6.49),"Prediabetes",C979&gt;=6.5,"Diabetes")</f>
        <v>Prediabetes</v>
      </c>
    </row>
    <row r="980" spans="1:10" x14ac:dyDescent="0.3">
      <c r="A980" t="s">
        <v>1392</v>
      </c>
      <c r="B980" s="8">
        <v>36.08</v>
      </c>
      <c r="C980">
        <v>5.73</v>
      </c>
      <c r="D980" t="s">
        <v>2381</v>
      </c>
      <c r="E980" t="s">
        <v>2379</v>
      </c>
      <c r="F980" t="s">
        <v>2379</v>
      </c>
      <c r="G980">
        <v>1</v>
      </c>
      <c r="H980" t="s">
        <v>2379</v>
      </c>
      <c r="I980" t="str" cm="1">
        <f t="array" ref="I980">_xlfn.IFS(B980&lt;18.5,"Underweight",AND(B980&gt;=18.5,B980&lt;=24.99),"Normalweight",AND(B980&gt;=25,B980&lt;=29.99),"Overweight",B980&gt;=30,"Obesity")</f>
        <v>Obesity</v>
      </c>
      <c r="J980" t="str" cm="1">
        <f t="array" ref="J980">_xlfn.IFS(C980&lt;5.7,"Normal",AND(C980&gt;=5.7,C980&lt;=6.49),"Prediabetes",C980&gt;=6.5,"Diabetes")</f>
        <v>Prediabetes</v>
      </c>
    </row>
    <row r="981" spans="1:10" x14ac:dyDescent="0.3">
      <c r="A981" t="s">
        <v>1391</v>
      </c>
      <c r="B981" s="8">
        <v>35.700000000000003</v>
      </c>
      <c r="C981">
        <v>5.47</v>
      </c>
      <c r="D981" t="s">
        <v>2381</v>
      </c>
      <c r="E981" t="s">
        <v>2379</v>
      </c>
      <c r="F981" t="s">
        <v>2379</v>
      </c>
      <c r="G981">
        <v>1</v>
      </c>
      <c r="H981" t="s">
        <v>2379</v>
      </c>
      <c r="I981" t="str" cm="1">
        <f t="array" ref="I981">_xlfn.IFS(B981&lt;18.5,"Underweight",AND(B981&gt;=18.5,B981&lt;=24.99),"Normalweight",AND(B981&gt;=25,B981&lt;=29.99),"Overweight",B981&gt;=30,"Obesity")</f>
        <v>Obesity</v>
      </c>
      <c r="J981" t="str" cm="1">
        <f t="array" ref="J981">_xlfn.IFS(C981&lt;5.7,"Normal",AND(C981&gt;=5.7,C981&lt;=6.49),"Prediabetes",C981&gt;=6.5,"Diabetes")</f>
        <v>Normal</v>
      </c>
    </row>
    <row r="982" spans="1:10" x14ac:dyDescent="0.3">
      <c r="A982" t="s">
        <v>1390</v>
      </c>
      <c r="B982" s="8">
        <v>34.01</v>
      </c>
      <c r="C982">
        <v>11.3</v>
      </c>
      <c r="D982" t="s">
        <v>2379</v>
      </c>
      <c r="E982" t="s">
        <v>2379</v>
      </c>
      <c r="F982" t="s">
        <v>2379</v>
      </c>
      <c r="G982">
        <v>0</v>
      </c>
      <c r="H982" t="s">
        <v>2379</v>
      </c>
      <c r="I982" t="str" cm="1">
        <f t="array" ref="I982">_xlfn.IFS(B982&lt;18.5,"Underweight",AND(B982&gt;=18.5,B982&lt;=24.99),"Normalweight",AND(B982&gt;=25,B982&lt;=29.99),"Overweight",B982&gt;=30,"Obesity")</f>
        <v>Obesity</v>
      </c>
      <c r="J982" t="str" cm="1">
        <f t="array" ref="J982">_xlfn.IFS(C982&lt;5.7,"Normal",AND(C982&gt;=5.7,C982&lt;=6.49),"Prediabetes",C982&gt;=6.5,"Diabetes")</f>
        <v>Diabetes</v>
      </c>
    </row>
    <row r="983" spans="1:10" x14ac:dyDescent="0.3">
      <c r="A983" t="s">
        <v>1389</v>
      </c>
      <c r="B983" s="8">
        <v>31.54</v>
      </c>
      <c r="C983">
        <v>6.72</v>
      </c>
      <c r="D983" t="s">
        <v>2379</v>
      </c>
      <c r="E983" t="s">
        <v>2379</v>
      </c>
      <c r="F983" t="s">
        <v>2379</v>
      </c>
      <c r="G983">
        <v>0</v>
      </c>
      <c r="H983" t="s">
        <v>2379</v>
      </c>
      <c r="I983" t="str" cm="1">
        <f t="array" ref="I983">_xlfn.IFS(B983&lt;18.5,"Underweight",AND(B983&gt;=18.5,B983&lt;=24.99),"Normalweight",AND(B983&gt;=25,B983&lt;=29.99),"Overweight",B983&gt;=30,"Obesity")</f>
        <v>Obesity</v>
      </c>
      <c r="J983" t="str" cm="1">
        <f t="array" ref="J983">_xlfn.IFS(C983&lt;5.7,"Normal",AND(C983&gt;=5.7,C983&lt;=6.49),"Prediabetes",C983&gt;=6.5,"Diabetes")</f>
        <v>Diabetes</v>
      </c>
    </row>
    <row r="984" spans="1:10" x14ac:dyDescent="0.3">
      <c r="A984" t="s">
        <v>1388</v>
      </c>
      <c r="B984" s="8">
        <v>23.3</v>
      </c>
      <c r="C984">
        <v>5.36</v>
      </c>
      <c r="D984" t="s">
        <v>2381</v>
      </c>
      <c r="E984" t="s">
        <v>2379</v>
      </c>
      <c r="F984" t="s">
        <v>2379</v>
      </c>
      <c r="G984">
        <v>1</v>
      </c>
      <c r="H984" t="s">
        <v>2379</v>
      </c>
      <c r="I984" t="str" cm="1">
        <f t="array" ref="I984">_xlfn.IFS(B984&lt;18.5,"Underweight",AND(B984&gt;=18.5,B984&lt;=24.99),"Normalweight",AND(B984&gt;=25,B984&lt;=29.99),"Overweight",B984&gt;=30,"Obesity")</f>
        <v>Normalweight</v>
      </c>
      <c r="J984" t="str" cm="1">
        <f t="array" ref="J984">_xlfn.IFS(C984&lt;5.7,"Normal",AND(C984&gt;=5.7,C984&lt;=6.49),"Prediabetes",C984&gt;=6.5,"Diabetes")</f>
        <v>Normal</v>
      </c>
    </row>
    <row r="985" spans="1:10" x14ac:dyDescent="0.3">
      <c r="A985" t="s">
        <v>1387</v>
      </c>
      <c r="B985" s="8">
        <v>27.75</v>
      </c>
      <c r="C985">
        <v>9.8800000000000008</v>
      </c>
      <c r="D985" t="s">
        <v>2379</v>
      </c>
      <c r="E985" t="s">
        <v>2379</v>
      </c>
      <c r="F985" t="s">
        <v>2379</v>
      </c>
      <c r="G985">
        <v>0</v>
      </c>
      <c r="H985" t="s">
        <v>2379</v>
      </c>
      <c r="I985" t="str" cm="1">
        <f t="array" ref="I985">_xlfn.IFS(B985&lt;18.5,"Underweight",AND(B985&gt;=18.5,B985&lt;=24.99),"Normalweight",AND(B985&gt;=25,B985&lt;=29.99),"Overweight",B985&gt;=30,"Obesity")</f>
        <v>Overweight</v>
      </c>
      <c r="J985" t="str" cm="1">
        <f t="array" ref="J985">_xlfn.IFS(C985&lt;5.7,"Normal",AND(C985&gt;=5.7,C985&lt;=6.49),"Prediabetes",C985&gt;=6.5,"Diabetes")</f>
        <v>Diabetes</v>
      </c>
    </row>
    <row r="986" spans="1:10" x14ac:dyDescent="0.3">
      <c r="A986" t="s">
        <v>1386</v>
      </c>
      <c r="B986" s="8">
        <v>42.46</v>
      </c>
      <c r="C986">
        <v>4.1100000000000003</v>
      </c>
      <c r="D986" t="s">
        <v>2379</v>
      </c>
      <c r="E986" t="s">
        <v>2379</v>
      </c>
      <c r="F986" t="s">
        <v>2379</v>
      </c>
      <c r="G986">
        <v>0</v>
      </c>
      <c r="H986" t="s">
        <v>2379</v>
      </c>
      <c r="I986" t="str" cm="1">
        <f t="array" ref="I986">_xlfn.IFS(B986&lt;18.5,"Underweight",AND(B986&gt;=18.5,B986&lt;=24.99),"Normalweight",AND(B986&gt;=25,B986&lt;=29.99),"Overweight",B986&gt;=30,"Obesity")</f>
        <v>Obesity</v>
      </c>
      <c r="J986" t="str" cm="1">
        <f t="array" ref="J986">_xlfn.IFS(C986&lt;5.7,"Normal",AND(C986&gt;=5.7,C986&lt;=6.49),"Prediabetes",C986&gt;=6.5,"Diabetes")</f>
        <v>Normal</v>
      </c>
    </row>
    <row r="987" spans="1:10" x14ac:dyDescent="0.3">
      <c r="A987" t="s">
        <v>1385</v>
      </c>
      <c r="B987" s="8">
        <v>54.47</v>
      </c>
      <c r="C987">
        <v>7.48</v>
      </c>
      <c r="D987" t="s">
        <v>2379</v>
      </c>
      <c r="E987" t="s">
        <v>2379</v>
      </c>
      <c r="F987" t="s">
        <v>2379</v>
      </c>
      <c r="G987">
        <v>0</v>
      </c>
      <c r="H987" t="s">
        <v>2379</v>
      </c>
      <c r="I987" t="str" cm="1">
        <f t="array" ref="I987">_xlfn.IFS(B987&lt;18.5,"Underweight",AND(B987&gt;=18.5,B987&lt;=24.99),"Normalweight",AND(B987&gt;=25,B987&lt;=29.99),"Overweight",B987&gt;=30,"Obesity")</f>
        <v>Obesity</v>
      </c>
      <c r="J987" t="str" cm="1">
        <f t="array" ref="J987">_xlfn.IFS(C987&lt;5.7,"Normal",AND(C987&gt;=5.7,C987&lt;=6.49),"Prediabetes",C987&gt;=6.5,"Diabetes")</f>
        <v>Diabetes</v>
      </c>
    </row>
    <row r="988" spans="1:10" x14ac:dyDescent="0.3">
      <c r="A988" t="s">
        <v>1384</v>
      </c>
      <c r="B988" s="8">
        <v>24.93</v>
      </c>
      <c r="C988">
        <v>9.18</v>
      </c>
      <c r="D988" t="s">
        <v>2381</v>
      </c>
      <c r="E988" t="s">
        <v>2379</v>
      </c>
      <c r="F988" t="s">
        <v>2381</v>
      </c>
      <c r="G988">
        <v>1</v>
      </c>
      <c r="H988" t="s">
        <v>2379</v>
      </c>
      <c r="I988" t="str" cm="1">
        <f t="array" ref="I988">_xlfn.IFS(B988&lt;18.5,"Underweight",AND(B988&gt;=18.5,B988&lt;=24.99),"Normalweight",AND(B988&gt;=25,B988&lt;=29.99),"Overweight",B988&gt;=30,"Obesity")</f>
        <v>Normalweight</v>
      </c>
      <c r="J988" t="str" cm="1">
        <f t="array" ref="J988">_xlfn.IFS(C988&lt;5.7,"Normal",AND(C988&gt;=5.7,C988&lt;=6.49),"Prediabetes",C988&gt;=6.5,"Diabetes")</f>
        <v>Diabetes</v>
      </c>
    </row>
    <row r="989" spans="1:10" x14ac:dyDescent="0.3">
      <c r="A989" t="s">
        <v>1383</v>
      </c>
      <c r="B989" s="8">
        <v>48.12</v>
      </c>
      <c r="C989">
        <v>4.51</v>
      </c>
      <c r="D989" t="s">
        <v>2381</v>
      </c>
      <c r="E989" t="s">
        <v>2379</v>
      </c>
      <c r="F989" t="s">
        <v>2379</v>
      </c>
      <c r="G989">
        <v>1</v>
      </c>
      <c r="H989" t="s">
        <v>2379</v>
      </c>
      <c r="I989" t="str" cm="1">
        <f t="array" ref="I989">_xlfn.IFS(B989&lt;18.5,"Underweight",AND(B989&gt;=18.5,B989&lt;=24.99),"Normalweight",AND(B989&gt;=25,B989&lt;=29.99),"Overweight",B989&gt;=30,"Obesity")</f>
        <v>Obesity</v>
      </c>
      <c r="J989" t="str" cm="1">
        <f t="array" ref="J989">_xlfn.IFS(C989&lt;5.7,"Normal",AND(C989&gt;=5.7,C989&lt;=6.49),"Prediabetes",C989&gt;=6.5,"Diabetes")</f>
        <v>Normal</v>
      </c>
    </row>
    <row r="990" spans="1:10" x14ac:dyDescent="0.3">
      <c r="A990" t="s">
        <v>1382</v>
      </c>
      <c r="B990" s="8">
        <v>24.91</v>
      </c>
      <c r="C990">
        <v>7.33</v>
      </c>
      <c r="D990" t="s">
        <v>2381</v>
      </c>
      <c r="E990" t="s">
        <v>2379</v>
      </c>
      <c r="F990" t="s">
        <v>2381</v>
      </c>
      <c r="G990">
        <v>1</v>
      </c>
      <c r="H990" t="s">
        <v>2379</v>
      </c>
      <c r="I990" t="str" cm="1">
        <f t="array" ref="I990">_xlfn.IFS(B990&lt;18.5,"Underweight",AND(B990&gt;=18.5,B990&lt;=24.99),"Normalweight",AND(B990&gt;=25,B990&lt;=29.99),"Overweight",B990&gt;=30,"Obesity")</f>
        <v>Normalweight</v>
      </c>
      <c r="J990" t="str" cm="1">
        <f t="array" ref="J990">_xlfn.IFS(C990&lt;5.7,"Normal",AND(C990&gt;=5.7,C990&lt;=6.49),"Prediabetes",C990&gt;=6.5,"Diabetes")</f>
        <v>Diabetes</v>
      </c>
    </row>
    <row r="991" spans="1:10" x14ac:dyDescent="0.3">
      <c r="A991" t="s">
        <v>1381</v>
      </c>
      <c r="B991" s="8">
        <v>27.645</v>
      </c>
      <c r="C991">
        <v>10.56</v>
      </c>
      <c r="D991" t="s">
        <v>2379</v>
      </c>
      <c r="E991" t="s">
        <v>2379</v>
      </c>
      <c r="F991" t="s">
        <v>2379</v>
      </c>
      <c r="G991">
        <v>0</v>
      </c>
      <c r="H991" t="s">
        <v>2379</v>
      </c>
      <c r="I991" t="str" cm="1">
        <f t="array" ref="I991">_xlfn.IFS(B991&lt;18.5,"Underweight",AND(B991&gt;=18.5,B991&lt;=24.99),"Normalweight",AND(B991&gt;=25,B991&lt;=29.99),"Overweight",B991&gt;=30,"Obesity")</f>
        <v>Overweight</v>
      </c>
      <c r="J991" t="str" cm="1">
        <f t="array" ref="J991">_xlfn.IFS(C991&lt;5.7,"Normal",AND(C991&gt;=5.7,C991&lt;=6.49),"Prediabetes",C991&gt;=6.5,"Diabetes")</f>
        <v>Diabetes</v>
      </c>
    </row>
    <row r="992" spans="1:10" x14ac:dyDescent="0.3">
      <c r="A992" t="s">
        <v>1380</v>
      </c>
      <c r="B992" s="8">
        <v>33.700000000000003</v>
      </c>
      <c r="C992">
        <v>4.01</v>
      </c>
      <c r="D992" t="s">
        <v>2379</v>
      </c>
      <c r="E992" t="s">
        <v>2379</v>
      </c>
      <c r="F992" t="s">
        <v>2379</v>
      </c>
      <c r="G992">
        <v>2</v>
      </c>
      <c r="H992" t="s">
        <v>2379</v>
      </c>
      <c r="I992" t="str" cm="1">
        <f t="array" ref="I992">_xlfn.IFS(B992&lt;18.5,"Underweight",AND(B992&gt;=18.5,B992&lt;=24.99),"Normalweight",AND(B992&gt;=25,B992&lt;=29.99),"Overweight",B992&gt;=30,"Obesity")</f>
        <v>Obesity</v>
      </c>
      <c r="J992" t="str" cm="1">
        <f t="array" ref="J992">_xlfn.IFS(C992&lt;5.7,"Normal",AND(C992&gt;=5.7,C992&lt;=6.49),"Prediabetes",C992&gt;=6.5,"Diabetes")</f>
        <v>Normal</v>
      </c>
    </row>
    <row r="993" spans="1:10" x14ac:dyDescent="0.3">
      <c r="A993" t="s">
        <v>1379</v>
      </c>
      <c r="B993" s="8">
        <v>38.93</v>
      </c>
      <c r="C993">
        <v>5.64</v>
      </c>
      <c r="D993" t="s">
        <v>2381</v>
      </c>
      <c r="E993" t="s">
        <v>2379</v>
      </c>
      <c r="F993" t="s">
        <v>2379</v>
      </c>
      <c r="G993">
        <v>1</v>
      </c>
      <c r="H993" t="s">
        <v>2379</v>
      </c>
      <c r="I993" t="str" cm="1">
        <f t="array" ref="I993">_xlfn.IFS(B993&lt;18.5,"Underweight",AND(B993&gt;=18.5,B993&lt;=24.99),"Normalweight",AND(B993&gt;=25,B993&lt;=29.99),"Overweight",B993&gt;=30,"Obesity")</f>
        <v>Obesity</v>
      </c>
      <c r="J993" t="str" cm="1">
        <f t="array" ref="J993">_xlfn.IFS(C993&lt;5.7,"Normal",AND(C993&gt;=5.7,C993&lt;=6.49),"Prediabetes",C993&gt;=6.5,"Diabetes")</f>
        <v>Normal</v>
      </c>
    </row>
    <row r="994" spans="1:10" x14ac:dyDescent="0.3">
      <c r="A994" t="s">
        <v>1378</v>
      </c>
      <c r="B994" s="8">
        <v>32.774999999999999</v>
      </c>
      <c r="C994">
        <v>8.02</v>
      </c>
      <c r="D994" t="s">
        <v>2381</v>
      </c>
      <c r="E994" t="s">
        <v>2379</v>
      </c>
      <c r="F994" t="s">
        <v>2379</v>
      </c>
      <c r="G994">
        <v>2</v>
      </c>
      <c r="H994" t="s">
        <v>2379</v>
      </c>
      <c r="I994" t="str" cm="1">
        <f t="array" ref="I994">_xlfn.IFS(B994&lt;18.5,"Underweight",AND(B994&gt;=18.5,B994&lt;=24.99),"Normalweight",AND(B994&gt;=25,B994&lt;=29.99),"Overweight",B994&gt;=30,"Obesity")</f>
        <v>Obesity</v>
      </c>
      <c r="J994" t="str" cm="1">
        <f t="array" ref="J994">_xlfn.IFS(C994&lt;5.7,"Normal",AND(C994&gt;=5.7,C994&lt;=6.49),"Prediabetes",C994&gt;=6.5,"Diabetes")</f>
        <v>Diabetes</v>
      </c>
    </row>
    <row r="995" spans="1:10" x14ac:dyDescent="0.3">
      <c r="A995" t="s">
        <v>1377</v>
      </c>
      <c r="B995" s="8">
        <v>29.83</v>
      </c>
      <c r="C995">
        <v>7.2</v>
      </c>
      <c r="D995" t="s">
        <v>2381</v>
      </c>
      <c r="E995" t="s">
        <v>2379</v>
      </c>
      <c r="F995" t="s">
        <v>2379</v>
      </c>
      <c r="G995">
        <v>0</v>
      </c>
      <c r="H995" t="s">
        <v>2379</v>
      </c>
      <c r="I995" t="str" cm="1">
        <f t="array" ref="I995">_xlfn.IFS(B995&lt;18.5,"Underweight",AND(B995&gt;=18.5,B995&lt;=24.99),"Normalweight",AND(B995&gt;=25,B995&lt;=29.99),"Overweight",B995&gt;=30,"Obesity")</f>
        <v>Overweight</v>
      </c>
      <c r="J995" t="str" cm="1">
        <f t="array" ref="J995">_xlfn.IFS(C995&lt;5.7,"Normal",AND(C995&gt;=5.7,C995&lt;=6.49),"Prediabetes",C995&gt;=6.5,"Diabetes")</f>
        <v>Diabetes</v>
      </c>
    </row>
    <row r="996" spans="1:10" x14ac:dyDescent="0.3">
      <c r="A996" t="s">
        <v>1376</v>
      </c>
      <c r="B996" s="8">
        <v>28.31</v>
      </c>
      <c r="C996">
        <v>4.55</v>
      </c>
      <c r="D996" t="s">
        <v>2379</v>
      </c>
      <c r="E996" t="s">
        <v>2380</v>
      </c>
      <c r="F996" t="s">
        <v>2379</v>
      </c>
      <c r="G996">
        <v>1</v>
      </c>
      <c r="H996" t="s">
        <v>2379</v>
      </c>
      <c r="I996" t="str" cm="1">
        <f t="array" ref="I996">_xlfn.IFS(B996&lt;18.5,"Underweight",AND(B996&gt;=18.5,B996&lt;=24.99),"Normalweight",AND(B996&gt;=25,B996&lt;=29.99),"Overweight",B996&gt;=30,"Obesity")</f>
        <v>Overweight</v>
      </c>
      <c r="J996" t="str" cm="1">
        <f t="array" ref="J996">_xlfn.IFS(C996&lt;5.7,"Normal",AND(C996&gt;=5.7,C996&lt;=6.49),"Prediabetes",C996&gt;=6.5,"Diabetes")</f>
        <v>Normal</v>
      </c>
    </row>
    <row r="997" spans="1:10" x14ac:dyDescent="0.3">
      <c r="A997" t="s">
        <v>1375</v>
      </c>
      <c r="B997" s="8">
        <v>29.79</v>
      </c>
      <c r="C997">
        <v>9.0299999999999994</v>
      </c>
      <c r="D997" t="s">
        <v>2379</v>
      </c>
      <c r="E997" t="s">
        <v>2379</v>
      </c>
      <c r="F997" t="s">
        <v>2379</v>
      </c>
      <c r="G997">
        <v>0</v>
      </c>
      <c r="H997" t="s">
        <v>2379</v>
      </c>
      <c r="I997" t="str" cm="1">
        <f t="array" ref="I997">_xlfn.IFS(B997&lt;18.5,"Underweight",AND(B997&gt;=18.5,B997&lt;=24.99),"Normalweight",AND(B997&gt;=25,B997&lt;=29.99),"Overweight",B997&gt;=30,"Obesity")</f>
        <v>Overweight</v>
      </c>
      <c r="J997" t="str" cm="1">
        <f t="array" ref="J997">_xlfn.IFS(C997&lt;5.7,"Normal",AND(C997&gt;=5.7,C997&lt;=6.49),"Prediabetes",C997&gt;=6.5,"Diabetes")</f>
        <v>Diabetes</v>
      </c>
    </row>
    <row r="998" spans="1:10" x14ac:dyDescent="0.3">
      <c r="A998" t="s">
        <v>1374</v>
      </c>
      <c r="B998" s="8">
        <v>36.6</v>
      </c>
      <c r="C998">
        <v>5.2</v>
      </c>
      <c r="D998" t="s">
        <v>2381</v>
      </c>
      <c r="E998" t="s">
        <v>2379</v>
      </c>
      <c r="F998" t="s">
        <v>2381</v>
      </c>
      <c r="G998">
        <v>1</v>
      </c>
      <c r="H998" t="s">
        <v>2379</v>
      </c>
      <c r="I998" t="str" cm="1">
        <f t="array" ref="I998">_xlfn.IFS(B998&lt;18.5,"Underweight",AND(B998&gt;=18.5,B998&lt;=24.99),"Normalweight",AND(B998&gt;=25,B998&lt;=29.99),"Overweight",B998&gt;=30,"Obesity")</f>
        <v>Obesity</v>
      </c>
      <c r="J998" t="str" cm="1">
        <f t="array" ref="J998">_xlfn.IFS(C998&lt;5.7,"Normal",AND(C998&gt;=5.7,C998&lt;=6.49),"Prediabetes",C998&gt;=6.5,"Diabetes")</f>
        <v>Normal</v>
      </c>
    </row>
    <row r="999" spans="1:10" x14ac:dyDescent="0.3">
      <c r="A999" t="s">
        <v>1373</v>
      </c>
      <c r="B999" s="8">
        <v>35.93</v>
      </c>
      <c r="C999">
        <v>8.3000000000000007</v>
      </c>
      <c r="D999" t="s">
        <v>2381</v>
      </c>
      <c r="E999" t="s">
        <v>2379</v>
      </c>
      <c r="F999" t="s">
        <v>2379</v>
      </c>
      <c r="G999">
        <v>0</v>
      </c>
      <c r="H999" t="s">
        <v>2379</v>
      </c>
      <c r="I999" t="str" cm="1">
        <f t="array" ref="I999">_xlfn.IFS(B999&lt;18.5,"Underweight",AND(B999&gt;=18.5,B999&lt;=24.99),"Normalweight",AND(B999&gt;=25,B999&lt;=29.99),"Overweight",B999&gt;=30,"Obesity")</f>
        <v>Obesity</v>
      </c>
      <c r="J999" t="str" cm="1">
        <f t="array" ref="J999">_xlfn.IFS(C999&lt;5.7,"Normal",AND(C999&gt;=5.7,C999&lt;=6.49),"Prediabetes",C999&gt;=6.5,"Diabetes")</f>
        <v>Diabetes</v>
      </c>
    </row>
    <row r="1000" spans="1:10" x14ac:dyDescent="0.3">
      <c r="A1000" t="s">
        <v>1372</v>
      </c>
      <c r="B1000" s="8">
        <v>28.6</v>
      </c>
      <c r="C1000">
        <v>5.56</v>
      </c>
      <c r="D1000" t="s">
        <v>2381</v>
      </c>
      <c r="E1000" t="s">
        <v>2379</v>
      </c>
      <c r="F1000" t="s">
        <v>2381</v>
      </c>
      <c r="G1000">
        <v>1</v>
      </c>
      <c r="H1000" t="s">
        <v>2379</v>
      </c>
      <c r="I1000" t="str" cm="1">
        <f t="array" ref="I1000">_xlfn.IFS(B1000&lt;18.5,"Underweight",AND(B1000&gt;=18.5,B1000&lt;=24.99),"Normalweight",AND(B1000&gt;=25,B1000&lt;=29.99),"Overweight",B1000&gt;=30,"Obesity")</f>
        <v>Overweight</v>
      </c>
      <c r="J1000" t="str" cm="1">
        <f t="array" ref="J1000">_xlfn.IFS(C1000&lt;5.7,"Normal",AND(C1000&gt;=5.7,C1000&lt;=6.49),"Prediabetes",C1000&gt;=6.5,"Diabetes")</f>
        <v>Normal</v>
      </c>
    </row>
    <row r="1001" spans="1:10" x14ac:dyDescent="0.3">
      <c r="A1001" t="s">
        <v>1371</v>
      </c>
      <c r="B1001" s="8">
        <v>39.17</v>
      </c>
      <c r="C1001">
        <v>4.1500000000000004</v>
      </c>
      <c r="D1001" t="s">
        <v>2379</v>
      </c>
      <c r="E1001" t="s">
        <v>2379</v>
      </c>
      <c r="F1001" t="s">
        <v>2379</v>
      </c>
      <c r="G1001">
        <v>0</v>
      </c>
      <c r="H1001" t="s">
        <v>2379</v>
      </c>
      <c r="I1001" t="str" cm="1">
        <f t="array" ref="I1001">_xlfn.IFS(B1001&lt;18.5,"Underweight",AND(B1001&gt;=18.5,B1001&lt;=24.99),"Normalweight",AND(B1001&gt;=25,B1001&lt;=29.99),"Overweight",B1001&gt;=30,"Obesity")</f>
        <v>Obesity</v>
      </c>
      <c r="J1001" t="str" cm="1">
        <f t="array" ref="J1001">_xlfn.IFS(C1001&lt;5.7,"Normal",AND(C1001&gt;=5.7,C1001&lt;=6.49),"Prediabetes",C1001&gt;=6.5,"Diabetes")</f>
        <v>Normal</v>
      </c>
    </row>
    <row r="1002" spans="1:10" x14ac:dyDescent="0.3">
      <c r="A1002" t="s">
        <v>1370</v>
      </c>
      <c r="B1002" s="8">
        <v>26.41</v>
      </c>
      <c r="C1002">
        <v>5.99</v>
      </c>
      <c r="D1002" t="s">
        <v>2381</v>
      </c>
      <c r="E1002" t="s">
        <v>2379</v>
      </c>
      <c r="F1002" t="s">
        <v>2381</v>
      </c>
      <c r="G1002">
        <v>1</v>
      </c>
      <c r="H1002" t="s">
        <v>2379</v>
      </c>
      <c r="I1002" t="str" cm="1">
        <f t="array" ref="I1002">_xlfn.IFS(B1002&lt;18.5,"Underweight",AND(B1002&gt;=18.5,B1002&lt;=24.99),"Normalweight",AND(B1002&gt;=25,B1002&lt;=29.99),"Overweight",B1002&gt;=30,"Obesity")</f>
        <v>Overweight</v>
      </c>
      <c r="J1002" t="str" cm="1">
        <f t="array" ref="J1002">_xlfn.IFS(C1002&lt;5.7,"Normal",AND(C1002&gt;=5.7,C1002&lt;=6.49),"Prediabetes",C1002&gt;=6.5,"Diabetes")</f>
        <v>Prediabetes</v>
      </c>
    </row>
    <row r="1003" spans="1:10" x14ac:dyDescent="0.3">
      <c r="A1003" t="s">
        <v>1369</v>
      </c>
      <c r="B1003" s="8">
        <v>30.63</v>
      </c>
      <c r="C1003">
        <v>5.8</v>
      </c>
      <c r="D1003" t="s">
        <v>2381</v>
      </c>
      <c r="E1003" t="s">
        <v>2379</v>
      </c>
      <c r="F1003" t="s">
        <v>2379</v>
      </c>
      <c r="G1003">
        <v>0</v>
      </c>
      <c r="H1003" t="s">
        <v>2379</v>
      </c>
      <c r="I1003" t="str" cm="1">
        <f t="array" ref="I1003">_xlfn.IFS(B1003&lt;18.5,"Underweight",AND(B1003&gt;=18.5,B1003&lt;=24.99),"Normalweight",AND(B1003&gt;=25,B1003&lt;=29.99),"Overweight",B1003&gt;=30,"Obesity")</f>
        <v>Obesity</v>
      </c>
      <c r="J1003" t="str" cm="1">
        <f t="array" ref="J1003">_xlfn.IFS(C1003&lt;5.7,"Normal",AND(C1003&gt;=5.7,C1003&lt;=6.49),"Prediabetes",C1003&gt;=6.5,"Diabetes")</f>
        <v>Prediabetes</v>
      </c>
    </row>
    <row r="1004" spans="1:10" x14ac:dyDescent="0.3">
      <c r="A1004" t="s">
        <v>1368</v>
      </c>
      <c r="B1004" s="8">
        <v>31.73</v>
      </c>
      <c r="C1004">
        <v>7.32</v>
      </c>
      <c r="D1004" t="s">
        <v>2381</v>
      </c>
      <c r="E1004" t="s">
        <v>2379</v>
      </c>
      <c r="F1004" t="s">
        <v>2379</v>
      </c>
      <c r="G1004">
        <v>2</v>
      </c>
      <c r="H1004" t="s">
        <v>2379</v>
      </c>
      <c r="I1004" t="str" cm="1">
        <f t="array" ref="I1004">_xlfn.IFS(B1004&lt;18.5,"Underweight",AND(B1004&gt;=18.5,B1004&lt;=24.99),"Normalweight",AND(B1004&gt;=25,B1004&lt;=29.99),"Overweight",B1004&gt;=30,"Obesity")</f>
        <v>Obesity</v>
      </c>
      <c r="J1004" t="str" cm="1">
        <f t="array" ref="J1004">_xlfn.IFS(C1004&lt;5.7,"Normal",AND(C1004&gt;=5.7,C1004&lt;=6.49),"Prediabetes",C1004&gt;=6.5,"Diabetes")</f>
        <v>Diabetes</v>
      </c>
    </row>
    <row r="1005" spans="1:10" x14ac:dyDescent="0.3">
      <c r="A1005" t="s">
        <v>1367</v>
      </c>
      <c r="B1005" s="8">
        <v>30.7</v>
      </c>
      <c r="C1005">
        <v>5.16</v>
      </c>
      <c r="D1005" t="s">
        <v>2379</v>
      </c>
      <c r="E1005" t="s">
        <v>2379</v>
      </c>
      <c r="F1005" t="s">
        <v>2379</v>
      </c>
      <c r="G1005">
        <v>2</v>
      </c>
      <c r="H1005" t="s">
        <v>2379</v>
      </c>
      <c r="I1005" t="str" cm="1">
        <f t="array" ref="I1005">_xlfn.IFS(B1005&lt;18.5,"Underweight",AND(B1005&gt;=18.5,B1005&lt;=24.99),"Normalweight",AND(B1005&gt;=25,B1005&lt;=29.99),"Overweight",B1005&gt;=30,"Obesity")</f>
        <v>Obesity</v>
      </c>
      <c r="J1005" t="str" cm="1">
        <f t="array" ref="J1005">_xlfn.IFS(C1005&lt;5.7,"Normal",AND(C1005&gt;=5.7,C1005&lt;=6.49),"Prediabetes",C1005&gt;=6.5,"Diabetes")</f>
        <v>Normal</v>
      </c>
    </row>
    <row r="1006" spans="1:10" x14ac:dyDescent="0.3">
      <c r="A1006" t="s">
        <v>1366</v>
      </c>
      <c r="B1006" s="8">
        <v>25.934999999999999</v>
      </c>
      <c r="C1006">
        <v>5.96</v>
      </c>
      <c r="D1006" t="s">
        <v>2381</v>
      </c>
      <c r="E1006" t="s">
        <v>2379</v>
      </c>
      <c r="F1006" t="s">
        <v>2379</v>
      </c>
      <c r="G1006">
        <v>2</v>
      </c>
      <c r="H1006" t="s">
        <v>2379</v>
      </c>
      <c r="I1006" t="str" cm="1">
        <f t="array" ref="I1006">_xlfn.IFS(B1006&lt;18.5,"Underweight",AND(B1006&gt;=18.5,B1006&lt;=24.99),"Normalweight",AND(B1006&gt;=25,B1006&lt;=29.99),"Overweight",B1006&gt;=30,"Obesity")</f>
        <v>Overweight</v>
      </c>
      <c r="J1006" t="str" cm="1">
        <f t="array" ref="J1006">_xlfn.IFS(C1006&lt;5.7,"Normal",AND(C1006&gt;=5.7,C1006&lt;=6.49),"Prediabetes",C1006&gt;=6.5,"Diabetes")</f>
        <v>Prediabetes</v>
      </c>
    </row>
    <row r="1007" spans="1:10" x14ac:dyDescent="0.3">
      <c r="A1007" t="s">
        <v>1365</v>
      </c>
      <c r="B1007" s="8">
        <v>35.9</v>
      </c>
      <c r="C1007">
        <v>4.8499999999999996</v>
      </c>
      <c r="D1007" t="s">
        <v>2381</v>
      </c>
      <c r="E1007" t="s">
        <v>2379</v>
      </c>
      <c r="F1007" t="s">
        <v>2381</v>
      </c>
      <c r="G1007">
        <v>1</v>
      </c>
      <c r="H1007" t="s">
        <v>2379</v>
      </c>
      <c r="I1007" t="str" cm="1">
        <f t="array" ref="I1007">_xlfn.IFS(B1007&lt;18.5,"Underweight",AND(B1007&gt;=18.5,B1007&lt;=24.99),"Normalweight",AND(B1007&gt;=25,B1007&lt;=29.99),"Overweight",B1007&gt;=30,"Obesity")</f>
        <v>Obesity</v>
      </c>
      <c r="J1007" t="str" cm="1">
        <f t="array" ref="J1007">_xlfn.IFS(C1007&lt;5.7,"Normal",AND(C1007&gt;=5.7,C1007&lt;=6.49),"Prediabetes",C1007&gt;=6.5,"Diabetes")</f>
        <v>Normal</v>
      </c>
    </row>
    <row r="1008" spans="1:10" x14ac:dyDescent="0.3">
      <c r="A1008" t="s">
        <v>1364</v>
      </c>
      <c r="B1008" s="8">
        <v>26.7</v>
      </c>
      <c r="C1008">
        <v>5.09</v>
      </c>
      <c r="D1008" t="s">
        <v>2381</v>
      </c>
      <c r="E1008" t="s">
        <v>2379</v>
      </c>
      <c r="F1008" t="s">
        <v>2381</v>
      </c>
      <c r="G1008">
        <v>1</v>
      </c>
      <c r="H1008" t="s">
        <v>2379</v>
      </c>
      <c r="I1008" t="str" cm="1">
        <f t="array" ref="I1008">_xlfn.IFS(B1008&lt;18.5,"Underweight",AND(B1008&gt;=18.5,B1008&lt;=24.99),"Normalweight",AND(B1008&gt;=25,B1008&lt;=29.99),"Overweight",B1008&gt;=30,"Obesity")</f>
        <v>Overweight</v>
      </c>
      <c r="J1008" t="str" cm="1">
        <f t="array" ref="J1008">_xlfn.IFS(C1008&lt;5.7,"Normal",AND(C1008&gt;=5.7,C1008&lt;=6.49),"Prediabetes",C1008&gt;=6.5,"Diabetes")</f>
        <v>Normal</v>
      </c>
    </row>
    <row r="1009" spans="1:10" x14ac:dyDescent="0.3">
      <c r="A1009" t="s">
        <v>1363</v>
      </c>
      <c r="B1009" s="8">
        <v>33.71</v>
      </c>
      <c r="C1009">
        <v>4.9400000000000004</v>
      </c>
      <c r="D1009" t="s">
        <v>2379</v>
      </c>
      <c r="E1009" t="s">
        <v>2379</v>
      </c>
      <c r="F1009" t="s">
        <v>2379</v>
      </c>
      <c r="G1009">
        <v>0</v>
      </c>
      <c r="H1009" t="s">
        <v>2379</v>
      </c>
      <c r="I1009" t="str" cm="1">
        <f t="array" ref="I1009">_xlfn.IFS(B1009&lt;18.5,"Underweight",AND(B1009&gt;=18.5,B1009&lt;=24.99),"Normalweight",AND(B1009&gt;=25,B1009&lt;=29.99),"Overweight",B1009&gt;=30,"Obesity")</f>
        <v>Obesity</v>
      </c>
      <c r="J1009" t="str" cm="1">
        <f t="array" ref="J1009">_xlfn.IFS(C1009&lt;5.7,"Normal",AND(C1009&gt;=5.7,C1009&lt;=6.49),"Prediabetes",C1009&gt;=6.5,"Diabetes")</f>
        <v>Normal</v>
      </c>
    </row>
    <row r="1010" spans="1:10" x14ac:dyDescent="0.3">
      <c r="A1010" t="s">
        <v>1362</v>
      </c>
      <c r="B1010" s="8">
        <v>41.91</v>
      </c>
      <c r="C1010">
        <v>4.92</v>
      </c>
      <c r="D1010" t="s">
        <v>2381</v>
      </c>
      <c r="E1010" t="s">
        <v>2379</v>
      </c>
      <c r="F1010" t="s">
        <v>2379</v>
      </c>
      <c r="G1010">
        <v>2</v>
      </c>
      <c r="H1010" t="s">
        <v>2379</v>
      </c>
      <c r="I1010" t="str" cm="1">
        <f t="array" ref="I1010">_xlfn.IFS(B1010&lt;18.5,"Underweight",AND(B1010&gt;=18.5,B1010&lt;=24.99),"Normalweight",AND(B1010&gt;=25,B1010&lt;=29.99),"Overweight",B1010&gt;=30,"Obesity")</f>
        <v>Obesity</v>
      </c>
      <c r="J1010" t="str" cm="1">
        <f t="array" ref="J1010">_xlfn.IFS(C1010&lt;5.7,"Normal",AND(C1010&gt;=5.7,C1010&lt;=6.49),"Prediabetes",C1010&gt;=6.5,"Diabetes")</f>
        <v>Normal</v>
      </c>
    </row>
    <row r="1011" spans="1:10" x14ac:dyDescent="0.3">
      <c r="A1011" t="s">
        <v>1361</v>
      </c>
      <c r="B1011" s="8">
        <v>39.82</v>
      </c>
      <c r="C1011">
        <v>6.05</v>
      </c>
      <c r="D1011" t="s">
        <v>2381</v>
      </c>
      <c r="E1011" t="s">
        <v>2379</v>
      </c>
      <c r="F1011" t="s">
        <v>2379</v>
      </c>
      <c r="G1011">
        <v>2</v>
      </c>
      <c r="H1011" t="s">
        <v>2379</v>
      </c>
      <c r="I1011" t="str" cm="1">
        <f t="array" ref="I1011">_xlfn.IFS(B1011&lt;18.5,"Underweight",AND(B1011&gt;=18.5,B1011&lt;=24.99),"Normalweight",AND(B1011&gt;=25,B1011&lt;=29.99),"Overweight",B1011&gt;=30,"Obesity")</f>
        <v>Obesity</v>
      </c>
      <c r="J1011" t="str" cm="1">
        <f t="array" ref="J1011">_xlfn.IFS(C1011&lt;5.7,"Normal",AND(C1011&gt;=5.7,C1011&lt;=6.49),"Prediabetes",C1011&gt;=6.5,"Diabetes")</f>
        <v>Prediabetes</v>
      </c>
    </row>
    <row r="1012" spans="1:10" x14ac:dyDescent="0.3">
      <c r="A1012" t="s">
        <v>1360</v>
      </c>
      <c r="B1012" s="8">
        <v>28.12</v>
      </c>
      <c r="C1012">
        <v>4.67</v>
      </c>
      <c r="D1012" t="s">
        <v>2379</v>
      </c>
      <c r="E1012" t="s">
        <v>2379</v>
      </c>
      <c r="F1012" t="s">
        <v>2379</v>
      </c>
      <c r="G1012">
        <v>2</v>
      </c>
      <c r="H1012" t="s">
        <v>2379</v>
      </c>
      <c r="I1012" t="str" cm="1">
        <f t="array" ref="I1012">_xlfn.IFS(B1012&lt;18.5,"Underweight",AND(B1012&gt;=18.5,B1012&lt;=24.99),"Normalweight",AND(B1012&gt;=25,B1012&lt;=29.99),"Overweight",B1012&gt;=30,"Obesity")</f>
        <v>Overweight</v>
      </c>
      <c r="J1012" t="str" cm="1">
        <f t="array" ref="J1012">_xlfn.IFS(C1012&lt;5.7,"Normal",AND(C1012&gt;=5.7,C1012&lt;=6.49),"Prediabetes",C1012&gt;=6.5,"Diabetes")</f>
        <v>Normal</v>
      </c>
    </row>
    <row r="1013" spans="1:10" x14ac:dyDescent="0.3">
      <c r="A1013" t="s">
        <v>1359</v>
      </c>
      <c r="B1013" s="8">
        <v>26.98</v>
      </c>
      <c r="C1013">
        <v>9.81</v>
      </c>
      <c r="D1013" t="s">
        <v>2381</v>
      </c>
      <c r="E1013" t="s">
        <v>2379</v>
      </c>
      <c r="F1013" t="s">
        <v>2379</v>
      </c>
      <c r="G1013">
        <v>0</v>
      </c>
      <c r="H1013" t="s">
        <v>2379</v>
      </c>
      <c r="I1013" t="str" cm="1">
        <f t="array" ref="I1013">_xlfn.IFS(B1013&lt;18.5,"Underweight",AND(B1013&gt;=18.5,B1013&lt;=24.99),"Normalweight",AND(B1013&gt;=25,B1013&lt;=29.99),"Overweight",B1013&gt;=30,"Obesity")</f>
        <v>Overweight</v>
      </c>
      <c r="J1013" t="str" cm="1">
        <f t="array" ref="J1013">_xlfn.IFS(C1013&lt;5.7,"Normal",AND(C1013&gt;=5.7,C1013&lt;=6.49),"Prediabetes",C1013&gt;=6.5,"Diabetes")</f>
        <v>Diabetes</v>
      </c>
    </row>
    <row r="1014" spans="1:10" x14ac:dyDescent="0.3">
      <c r="A1014" t="s">
        <v>1358</v>
      </c>
      <c r="B1014" s="8">
        <v>27.2</v>
      </c>
      <c r="C1014">
        <v>6.06</v>
      </c>
      <c r="D1014" t="s">
        <v>2381</v>
      </c>
      <c r="E1014" t="s">
        <v>2379</v>
      </c>
      <c r="F1014" t="s">
        <v>2379</v>
      </c>
      <c r="G1014">
        <v>2</v>
      </c>
      <c r="H1014" t="s">
        <v>2379</v>
      </c>
      <c r="I1014" t="str" cm="1">
        <f t="array" ref="I1014">_xlfn.IFS(B1014&lt;18.5,"Underweight",AND(B1014&gt;=18.5,B1014&lt;=24.99),"Normalweight",AND(B1014&gt;=25,B1014&lt;=29.99),"Overweight",B1014&gt;=30,"Obesity")</f>
        <v>Overweight</v>
      </c>
      <c r="J1014" t="str" cm="1">
        <f t="array" ref="J1014">_xlfn.IFS(C1014&lt;5.7,"Normal",AND(C1014&gt;=5.7,C1014&lt;=6.49),"Prediabetes",C1014&gt;=6.5,"Diabetes")</f>
        <v>Prediabetes</v>
      </c>
    </row>
    <row r="1015" spans="1:10" x14ac:dyDescent="0.3">
      <c r="A1015" t="s">
        <v>1357</v>
      </c>
      <c r="B1015" s="8">
        <v>25.3</v>
      </c>
      <c r="C1015">
        <v>5.19</v>
      </c>
      <c r="D1015" t="s">
        <v>2381</v>
      </c>
      <c r="E1015" t="s">
        <v>2379</v>
      </c>
      <c r="F1015" t="s">
        <v>2379</v>
      </c>
      <c r="G1015">
        <v>2</v>
      </c>
      <c r="H1015" t="s">
        <v>2379</v>
      </c>
      <c r="I1015" t="str" cm="1">
        <f t="array" ref="I1015">_xlfn.IFS(B1015&lt;18.5,"Underweight",AND(B1015&gt;=18.5,B1015&lt;=24.99),"Normalweight",AND(B1015&gt;=25,B1015&lt;=29.99),"Overweight",B1015&gt;=30,"Obesity")</f>
        <v>Overweight</v>
      </c>
      <c r="J1015" t="str" cm="1">
        <f t="array" ref="J1015">_xlfn.IFS(C1015&lt;5.7,"Normal",AND(C1015&gt;=5.7,C1015&lt;=6.49),"Prediabetes",C1015&gt;=6.5,"Diabetes")</f>
        <v>Normal</v>
      </c>
    </row>
    <row r="1016" spans="1:10" x14ac:dyDescent="0.3">
      <c r="A1016" t="s">
        <v>1356</v>
      </c>
      <c r="B1016" s="8">
        <v>30.25</v>
      </c>
      <c r="C1016">
        <v>10.16</v>
      </c>
      <c r="D1016" t="s">
        <v>2379</v>
      </c>
      <c r="E1016" t="s">
        <v>2379</v>
      </c>
      <c r="F1016" t="s">
        <v>2379</v>
      </c>
      <c r="G1016">
        <v>0</v>
      </c>
      <c r="H1016" t="s">
        <v>2379</v>
      </c>
      <c r="I1016" t="str" cm="1">
        <f t="array" ref="I1016">_xlfn.IFS(B1016&lt;18.5,"Underweight",AND(B1016&gt;=18.5,B1016&lt;=24.99),"Normalweight",AND(B1016&gt;=25,B1016&lt;=29.99),"Overweight",B1016&gt;=30,"Obesity")</f>
        <v>Obesity</v>
      </c>
      <c r="J1016" t="str" cm="1">
        <f t="array" ref="J1016">_xlfn.IFS(C1016&lt;5.7,"Normal",AND(C1016&gt;=5.7,C1016&lt;=6.49),"Prediabetes",C1016&gt;=6.5,"Diabetes")</f>
        <v>Diabetes</v>
      </c>
    </row>
    <row r="1017" spans="1:10" x14ac:dyDescent="0.3">
      <c r="A1017" t="s">
        <v>1355</v>
      </c>
      <c r="B1017" s="8">
        <v>54</v>
      </c>
      <c r="C1017">
        <v>4.68</v>
      </c>
      <c r="D1017" t="s">
        <v>2381</v>
      </c>
      <c r="E1017" t="s">
        <v>2380</v>
      </c>
      <c r="F1017" t="s">
        <v>2379</v>
      </c>
      <c r="G1017">
        <v>2</v>
      </c>
      <c r="H1017" t="s">
        <v>2379</v>
      </c>
      <c r="I1017" t="str" cm="1">
        <f t="array" ref="I1017">_xlfn.IFS(B1017&lt;18.5,"Underweight",AND(B1017&gt;=18.5,B1017&lt;=24.99),"Normalweight",AND(B1017&gt;=25,B1017&lt;=29.99),"Overweight",B1017&gt;=30,"Obesity")</f>
        <v>Obesity</v>
      </c>
      <c r="J1017" t="str" cm="1">
        <f t="array" ref="J1017">_xlfn.IFS(C1017&lt;5.7,"Normal",AND(C1017&gt;=5.7,C1017&lt;=6.49),"Prediabetes",C1017&gt;=6.5,"Diabetes")</f>
        <v>Normal</v>
      </c>
    </row>
    <row r="1018" spans="1:10" x14ac:dyDescent="0.3">
      <c r="A1018" t="s">
        <v>1354</v>
      </c>
      <c r="B1018" s="8">
        <v>51.86</v>
      </c>
      <c r="C1018">
        <v>5.32</v>
      </c>
      <c r="D1018" t="s">
        <v>2381</v>
      </c>
      <c r="E1018" t="s">
        <v>2379</v>
      </c>
      <c r="F1018" t="s">
        <v>2379</v>
      </c>
      <c r="G1018">
        <v>0</v>
      </c>
      <c r="H1018" t="s">
        <v>2379</v>
      </c>
      <c r="I1018" t="str" cm="1">
        <f t="array" ref="I1018">_xlfn.IFS(B1018&lt;18.5,"Underweight",AND(B1018&gt;=18.5,B1018&lt;=24.99),"Normalweight",AND(B1018&gt;=25,B1018&lt;=29.99),"Overweight",B1018&gt;=30,"Obesity")</f>
        <v>Obesity</v>
      </c>
      <c r="J1018" t="str" cm="1">
        <f t="array" ref="J1018">_xlfn.IFS(C1018&lt;5.7,"Normal",AND(C1018&gt;=5.7,C1018&lt;=6.49),"Prediabetes",C1018&gt;=6.5,"Diabetes")</f>
        <v>Normal</v>
      </c>
    </row>
    <row r="1019" spans="1:10" x14ac:dyDescent="0.3">
      <c r="A1019" t="s">
        <v>1353</v>
      </c>
      <c r="B1019" s="8">
        <v>31.39</v>
      </c>
      <c r="C1019">
        <v>6.99</v>
      </c>
      <c r="D1019" t="s">
        <v>2379</v>
      </c>
      <c r="E1019" t="s">
        <v>2379</v>
      </c>
      <c r="F1019" t="s">
        <v>2379</v>
      </c>
      <c r="G1019">
        <v>0</v>
      </c>
      <c r="H1019" t="s">
        <v>2379</v>
      </c>
      <c r="I1019" t="str" cm="1">
        <f t="array" ref="I1019">_xlfn.IFS(B1019&lt;18.5,"Underweight",AND(B1019&gt;=18.5,B1019&lt;=24.99),"Normalweight",AND(B1019&gt;=25,B1019&lt;=29.99),"Overweight",B1019&gt;=30,"Obesity")</f>
        <v>Obesity</v>
      </c>
      <c r="J1019" t="str" cm="1">
        <f t="array" ref="J1019">_xlfn.IFS(C1019&lt;5.7,"Normal",AND(C1019&gt;=5.7,C1019&lt;=6.49),"Prediabetes",C1019&gt;=6.5,"Diabetes")</f>
        <v>Diabetes</v>
      </c>
    </row>
    <row r="1020" spans="1:10" x14ac:dyDescent="0.3">
      <c r="A1020" t="s">
        <v>1352</v>
      </c>
      <c r="B1020" s="8">
        <v>39.97</v>
      </c>
      <c r="C1020">
        <v>5.55</v>
      </c>
      <c r="D1020" t="s">
        <v>2379</v>
      </c>
      <c r="E1020" t="s">
        <v>2379</v>
      </c>
      <c r="F1020" t="s">
        <v>2379</v>
      </c>
      <c r="G1020">
        <v>0</v>
      </c>
      <c r="H1020" t="s">
        <v>2379</v>
      </c>
      <c r="I1020" t="str" cm="1">
        <f t="array" ref="I1020">_xlfn.IFS(B1020&lt;18.5,"Underweight",AND(B1020&gt;=18.5,B1020&lt;=24.99),"Normalweight",AND(B1020&gt;=25,B1020&lt;=29.99),"Overweight",B1020&gt;=30,"Obesity")</f>
        <v>Obesity</v>
      </c>
      <c r="J1020" t="str" cm="1">
        <f t="array" ref="J1020">_xlfn.IFS(C1020&lt;5.7,"Normal",AND(C1020&gt;=5.7,C1020&lt;=6.49),"Prediabetes",C1020&gt;=6.5,"Diabetes")</f>
        <v>Normal</v>
      </c>
    </row>
    <row r="1021" spans="1:10" x14ac:dyDescent="0.3">
      <c r="A1021" t="s">
        <v>1351</v>
      </c>
      <c r="B1021" s="8">
        <v>41.23</v>
      </c>
      <c r="C1021">
        <v>6.94</v>
      </c>
      <c r="D1021" t="s">
        <v>2379</v>
      </c>
      <c r="E1021" t="s">
        <v>2379</v>
      </c>
      <c r="F1021" t="s">
        <v>2379</v>
      </c>
      <c r="G1021">
        <v>0</v>
      </c>
      <c r="H1021" t="s">
        <v>2379</v>
      </c>
      <c r="I1021" t="str" cm="1">
        <f t="array" ref="I1021">_xlfn.IFS(B1021&lt;18.5,"Underweight",AND(B1021&gt;=18.5,B1021&lt;=24.99),"Normalweight",AND(B1021&gt;=25,B1021&lt;=29.99),"Overweight",B1021&gt;=30,"Obesity")</f>
        <v>Obesity</v>
      </c>
      <c r="J1021" t="str" cm="1">
        <f t="array" ref="J1021">_xlfn.IFS(C1021&lt;5.7,"Normal",AND(C1021&gt;=5.7,C1021&lt;=6.49),"Prediabetes",C1021&gt;=6.5,"Diabetes")</f>
        <v>Diabetes</v>
      </c>
    </row>
    <row r="1022" spans="1:10" x14ac:dyDescent="0.3">
      <c r="A1022" t="s">
        <v>1350</v>
      </c>
      <c r="B1022" s="8">
        <v>49.45</v>
      </c>
      <c r="C1022">
        <v>4.2</v>
      </c>
      <c r="D1022" t="s">
        <v>2381</v>
      </c>
      <c r="E1022" t="s">
        <v>2379</v>
      </c>
      <c r="F1022" t="s">
        <v>2379</v>
      </c>
      <c r="G1022">
        <v>0</v>
      </c>
      <c r="H1022" t="s">
        <v>2379</v>
      </c>
      <c r="I1022" t="str" cm="1">
        <f t="array" ref="I1022">_xlfn.IFS(B1022&lt;18.5,"Underweight",AND(B1022&gt;=18.5,B1022&lt;=24.99),"Normalweight",AND(B1022&gt;=25,B1022&lt;=29.99),"Overweight",B1022&gt;=30,"Obesity")</f>
        <v>Obesity</v>
      </c>
      <c r="J1022" t="str" cm="1">
        <f t="array" ref="J1022">_xlfn.IFS(C1022&lt;5.7,"Normal",AND(C1022&gt;=5.7,C1022&lt;=6.49),"Prediabetes",C1022&gt;=6.5,"Diabetes")</f>
        <v>Normal</v>
      </c>
    </row>
    <row r="1023" spans="1:10" x14ac:dyDescent="0.3">
      <c r="A1023" t="s">
        <v>1349</v>
      </c>
      <c r="B1023" s="8">
        <v>41.04</v>
      </c>
      <c r="C1023">
        <v>5.59</v>
      </c>
      <c r="D1023" t="s">
        <v>2379</v>
      </c>
      <c r="E1023" t="s">
        <v>2379</v>
      </c>
      <c r="F1023" t="s">
        <v>2379</v>
      </c>
      <c r="G1023">
        <v>0</v>
      </c>
      <c r="H1023" t="s">
        <v>2379</v>
      </c>
      <c r="I1023" t="str" cm="1">
        <f t="array" ref="I1023">_xlfn.IFS(B1023&lt;18.5,"Underweight",AND(B1023&gt;=18.5,B1023&lt;=24.99),"Normalweight",AND(B1023&gt;=25,B1023&lt;=29.99),"Overweight",B1023&gt;=30,"Obesity")</f>
        <v>Obesity</v>
      </c>
      <c r="J1023" t="str" cm="1">
        <f t="array" ref="J1023">_xlfn.IFS(C1023&lt;5.7,"Normal",AND(C1023&gt;=5.7,C1023&lt;=6.49),"Prediabetes",C1023&gt;=6.5,"Diabetes")</f>
        <v>Normal</v>
      </c>
    </row>
    <row r="1024" spans="1:10" x14ac:dyDescent="0.3">
      <c r="A1024" t="s">
        <v>1348</v>
      </c>
      <c r="B1024" s="8">
        <v>27.93</v>
      </c>
      <c r="C1024">
        <v>9.9600000000000009</v>
      </c>
      <c r="D1024" t="s">
        <v>2379</v>
      </c>
      <c r="E1024" t="s">
        <v>2379</v>
      </c>
      <c r="F1024" t="s">
        <v>2379</v>
      </c>
      <c r="G1024">
        <v>0</v>
      </c>
      <c r="H1024" t="s">
        <v>2379</v>
      </c>
      <c r="I1024" t="str" cm="1">
        <f t="array" ref="I1024">_xlfn.IFS(B1024&lt;18.5,"Underweight",AND(B1024&gt;=18.5,B1024&lt;=24.99),"Normalweight",AND(B1024&gt;=25,B1024&lt;=29.99),"Overweight",B1024&gt;=30,"Obesity")</f>
        <v>Overweight</v>
      </c>
      <c r="J1024" t="str" cm="1">
        <f t="array" ref="J1024">_xlfn.IFS(C1024&lt;5.7,"Normal",AND(C1024&gt;=5.7,C1024&lt;=6.49),"Prediabetes",C1024&gt;=6.5,"Diabetes")</f>
        <v>Diabetes</v>
      </c>
    </row>
    <row r="1025" spans="1:10" x14ac:dyDescent="0.3">
      <c r="A1025" t="s">
        <v>1347</v>
      </c>
      <c r="B1025" s="8">
        <v>21.01</v>
      </c>
      <c r="C1025">
        <v>7.37</v>
      </c>
      <c r="D1025" t="s">
        <v>2379</v>
      </c>
      <c r="E1025" t="s">
        <v>2379</v>
      </c>
      <c r="F1025" t="s">
        <v>2379</v>
      </c>
      <c r="G1025">
        <v>0</v>
      </c>
      <c r="H1025" t="s">
        <v>2379</v>
      </c>
      <c r="I1025" t="str" cm="1">
        <f t="array" ref="I1025">_xlfn.IFS(B1025&lt;18.5,"Underweight",AND(B1025&gt;=18.5,B1025&lt;=24.99),"Normalweight",AND(B1025&gt;=25,B1025&lt;=29.99),"Overweight",B1025&gt;=30,"Obesity")</f>
        <v>Normalweight</v>
      </c>
      <c r="J1025" t="str" cm="1">
        <f t="array" ref="J1025">_xlfn.IFS(C1025&lt;5.7,"Normal",AND(C1025&gt;=5.7,C1025&lt;=6.49),"Prediabetes",C1025&gt;=6.5,"Diabetes")</f>
        <v>Diabetes</v>
      </c>
    </row>
    <row r="1026" spans="1:10" x14ac:dyDescent="0.3">
      <c r="A1026" t="s">
        <v>1346</v>
      </c>
      <c r="B1026" s="8">
        <v>52.37</v>
      </c>
      <c r="C1026">
        <v>5.0599999999999996</v>
      </c>
      <c r="D1026" t="s">
        <v>2381</v>
      </c>
      <c r="E1026" t="s">
        <v>2380</v>
      </c>
      <c r="F1026" t="s">
        <v>2379</v>
      </c>
      <c r="G1026">
        <v>2</v>
      </c>
      <c r="H1026" t="s">
        <v>2379</v>
      </c>
      <c r="I1026" t="str" cm="1">
        <f t="array" ref="I1026">_xlfn.IFS(B1026&lt;18.5,"Underweight",AND(B1026&gt;=18.5,B1026&lt;=24.99),"Normalweight",AND(B1026&gt;=25,B1026&lt;=29.99),"Overweight",B1026&gt;=30,"Obesity")</f>
        <v>Obesity</v>
      </c>
      <c r="J1026" t="str" cm="1">
        <f t="array" ref="J1026">_xlfn.IFS(C1026&lt;5.7,"Normal",AND(C1026&gt;=5.7,C1026&lt;=6.49),"Prediabetes",C1026&gt;=6.5,"Diabetes")</f>
        <v>Normal</v>
      </c>
    </row>
    <row r="1027" spans="1:10" x14ac:dyDescent="0.3">
      <c r="A1027" t="s">
        <v>1345</v>
      </c>
      <c r="B1027" s="8">
        <v>40.369999999999997</v>
      </c>
      <c r="C1027">
        <v>8.2100000000000009</v>
      </c>
      <c r="D1027" t="s">
        <v>2379</v>
      </c>
      <c r="E1027" t="s">
        <v>2379</v>
      </c>
      <c r="F1027" t="s">
        <v>2379</v>
      </c>
      <c r="G1027">
        <v>0</v>
      </c>
      <c r="H1027" t="s">
        <v>2379</v>
      </c>
      <c r="I1027" t="str" cm="1">
        <f t="array" ref="I1027">_xlfn.IFS(B1027&lt;18.5,"Underweight",AND(B1027&gt;=18.5,B1027&lt;=24.99),"Normalweight",AND(B1027&gt;=25,B1027&lt;=29.99),"Overweight",B1027&gt;=30,"Obesity")</f>
        <v>Obesity</v>
      </c>
      <c r="J1027" t="str" cm="1">
        <f t="array" ref="J1027">_xlfn.IFS(C1027&lt;5.7,"Normal",AND(C1027&gt;=5.7,C1027&lt;=6.49),"Prediabetes",C1027&gt;=6.5,"Diabetes")</f>
        <v>Diabetes</v>
      </c>
    </row>
    <row r="1028" spans="1:10" x14ac:dyDescent="0.3">
      <c r="A1028" t="s">
        <v>1344</v>
      </c>
      <c r="B1028" s="8">
        <v>41.47</v>
      </c>
      <c r="C1028">
        <v>10.34</v>
      </c>
      <c r="D1028" t="s">
        <v>2379</v>
      </c>
      <c r="E1028" t="s">
        <v>2379</v>
      </c>
      <c r="F1028" t="s">
        <v>2379</v>
      </c>
      <c r="G1028">
        <v>2</v>
      </c>
      <c r="H1028" t="s">
        <v>2379</v>
      </c>
      <c r="I1028" t="str" cm="1">
        <f t="array" ref="I1028">_xlfn.IFS(B1028&lt;18.5,"Underweight",AND(B1028&gt;=18.5,B1028&lt;=24.99),"Normalweight",AND(B1028&gt;=25,B1028&lt;=29.99),"Overweight",B1028&gt;=30,"Obesity")</f>
        <v>Obesity</v>
      </c>
      <c r="J1028" t="str" cm="1">
        <f t="array" ref="J1028">_xlfn.IFS(C1028&lt;5.7,"Normal",AND(C1028&gt;=5.7,C1028&lt;=6.49),"Prediabetes",C1028&gt;=6.5,"Diabetes")</f>
        <v>Diabetes</v>
      </c>
    </row>
    <row r="1029" spans="1:10" x14ac:dyDescent="0.3">
      <c r="A1029" t="s">
        <v>1343</v>
      </c>
      <c r="B1029" s="8">
        <v>33.725000000000001</v>
      </c>
      <c r="C1029">
        <v>5.51</v>
      </c>
      <c r="D1029" t="s">
        <v>2381</v>
      </c>
      <c r="E1029" t="s">
        <v>2379</v>
      </c>
      <c r="F1029" t="s">
        <v>2379</v>
      </c>
      <c r="G1029">
        <v>2</v>
      </c>
      <c r="H1029" t="s">
        <v>2379</v>
      </c>
      <c r="I1029" t="str" cm="1">
        <f t="array" ref="I1029">_xlfn.IFS(B1029&lt;18.5,"Underweight",AND(B1029&gt;=18.5,B1029&lt;=24.99),"Normalweight",AND(B1029&gt;=25,B1029&lt;=29.99),"Overweight",B1029&gt;=30,"Obesity")</f>
        <v>Obesity</v>
      </c>
      <c r="J1029" t="str" cm="1">
        <f t="array" ref="J1029">_xlfn.IFS(C1029&lt;5.7,"Normal",AND(C1029&gt;=5.7,C1029&lt;=6.49),"Prediabetes",C1029&gt;=6.5,"Diabetes")</f>
        <v>Normal</v>
      </c>
    </row>
    <row r="1030" spans="1:10" x14ac:dyDescent="0.3">
      <c r="A1030" t="s">
        <v>1342</v>
      </c>
      <c r="B1030" s="8">
        <v>28.1</v>
      </c>
      <c r="C1030">
        <v>11.2</v>
      </c>
      <c r="D1030" t="s">
        <v>2379</v>
      </c>
      <c r="E1030" t="s">
        <v>2379</v>
      </c>
      <c r="F1030" t="s">
        <v>2379</v>
      </c>
      <c r="G1030">
        <v>0</v>
      </c>
      <c r="H1030" t="s">
        <v>2379</v>
      </c>
      <c r="I1030" t="str" cm="1">
        <f t="array" ref="I1030">_xlfn.IFS(B1030&lt;18.5,"Underweight",AND(B1030&gt;=18.5,B1030&lt;=24.99),"Normalweight",AND(B1030&gt;=25,B1030&lt;=29.99),"Overweight",B1030&gt;=30,"Obesity")</f>
        <v>Overweight</v>
      </c>
      <c r="J1030" t="str" cm="1">
        <f t="array" ref="J1030">_xlfn.IFS(C1030&lt;5.7,"Normal",AND(C1030&gt;=5.7,C1030&lt;=6.49),"Prediabetes",C1030&gt;=6.5,"Diabetes")</f>
        <v>Diabetes</v>
      </c>
    </row>
    <row r="1031" spans="1:10" x14ac:dyDescent="0.3">
      <c r="A1031" t="s">
        <v>1341</v>
      </c>
      <c r="B1031" s="8">
        <v>37.43</v>
      </c>
      <c r="C1031">
        <v>4.3499999999999996</v>
      </c>
      <c r="D1031" t="s">
        <v>2381</v>
      </c>
      <c r="E1031" t="s">
        <v>2379</v>
      </c>
      <c r="F1031" t="s">
        <v>2381</v>
      </c>
      <c r="G1031">
        <v>1</v>
      </c>
      <c r="H1031" t="s">
        <v>2379</v>
      </c>
      <c r="I1031" t="str" cm="1">
        <f t="array" ref="I1031">_xlfn.IFS(B1031&lt;18.5,"Underweight",AND(B1031&gt;=18.5,B1031&lt;=24.99),"Normalweight",AND(B1031&gt;=25,B1031&lt;=29.99),"Overweight",B1031&gt;=30,"Obesity")</f>
        <v>Obesity</v>
      </c>
      <c r="J1031" t="str" cm="1">
        <f t="array" ref="J1031">_xlfn.IFS(C1031&lt;5.7,"Normal",AND(C1031&gt;=5.7,C1031&lt;=6.49),"Prediabetes",C1031&gt;=6.5,"Diabetes")</f>
        <v>Normal</v>
      </c>
    </row>
    <row r="1032" spans="1:10" x14ac:dyDescent="0.3">
      <c r="A1032" t="s">
        <v>1340</v>
      </c>
      <c r="B1032" s="8">
        <v>23.7</v>
      </c>
      <c r="C1032">
        <v>10.45</v>
      </c>
      <c r="D1032" t="s">
        <v>2379</v>
      </c>
      <c r="E1032" t="s">
        <v>2379</v>
      </c>
      <c r="F1032" t="s">
        <v>2379</v>
      </c>
      <c r="G1032">
        <v>0</v>
      </c>
      <c r="H1032" t="s">
        <v>2379</v>
      </c>
      <c r="I1032" t="str" cm="1">
        <f t="array" ref="I1032">_xlfn.IFS(B1032&lt;18.5,"Underweight",AND(B1032&gt;=18.5,B1032&lt;=24.99),"Normalweight",AND(B1032&gt;=25,B1032&lt;=29.99),"Overweight",B1032&gt;=30,"Obesity")</f>
        <v>Normalweight</v>
      </c>
      <c r="J1032" t="str" cm="1">
        <f t="array" ref="J1032">_xlfn.IFS(C1032&lt;5.7,"Normal",AND(C1032&gt;=5.7,C1032&lt;=6.49),"Prediabetes",C1032&gt;=6.5,"Diabetes")</f>
        <v>Diabetes</v>
      </c>
    </row>
    <row r="1033" spans="1:10" x14ac:dyDescent="0.3">
      <c r="A1033" t="s">
        <v>1339</v>
      </c>
      <c r="B1033" s="8">
        <v>24.795000000000002</v>
      </c>
      <c r="C1033">
        <v>4.07</v>
      </c>
      <c r="D1033" t="s">
        <v>2381</v>
      </c>
      <c r="E1033" t="s">
        <v>2379</v>
      </c>
      <c r="F1033" t="s">
        <v>2381</v>
      </c>
      <c r="G1033">
        <v>1</v>
      </c>
      <c r="H1033" t="s">
        <v>2379</v>
      </c>
      <c r="I1033" t="str" cm="1">
        <f t="array" ref="I1033">_xlfn.IFS(B1033&lt;18.5,"Underweight",AND(B1033&gt;=18.5,B1033&lt;=24.99),"Normalweight",AND(B1033&gt;=25,B1033&lt;=29.99),"Overweight",B1033&gt;=30,"Obesity")</f>
        <v>Normalweight</v>
      </c>
      <c r="J1033" t="str" cm="1">
        <f t="array" ref="J1033">_xlfn.IFS(C1033&lt;5.7,"Normal",AND(C1033&gt;=5.7,C1033&lt;=6.49),"Prediabetes",C1033&gt;=6.5,"Diabetes")</f>
        <v>Normal</v>
      </c>
    </row>
    <row r="1034" spans="1:10" x14ac:dyDescent="0.3">
      <c r="A1034" t="s">
        <v>1338</v>
      </c>
      <c r="B1034" s="8">
        <v>31.9</v>
      </c>
      <c r="C1034">
        <v>8.34</v>
      </c>
      <c r="D1034" t="s">
        <v>2379</v>
      </c>
      <c r="E1034" t="s">
        <v>2379</v>
      </c>
      <c r="F1034" t="s">
        <v>2379</v>
      </c>
      <c r="G1034">
        <v>0</v>
      </c>
      <c r="H1034" t="s">
        <v>2379</v>
      </c>
      <c r="I1034" t="str" cm="1">
        <f t="array" ref="I1034">_xlfn.IFS(B1034&lt;18.5,"Underweight",AND(B1034&gt;=18.5,B1034&lt;=24.99),"Normalweight",AND(B1034&gt;=25,B1034&lt;=29.99),"Overweight",B1034&gt;=30,"Obesity")</f>
        <v>Obesity</v>
      </c>
      <c r="J1034" t="str" cm="1">
        <f t="array" ref="J1034">_xlfn.IFS(C1034&lt;5.7,"Normal",AND(C1034&gt;=5.7,C1034&lt;=6.49),"Prediabetes",C1034&gt;=6.5,"Diabetes")</f>
        <v>Diabetes</v>
      </c>
    </row>
    <row r="1035" spans="1:10" x14ac:dyDescent="0.3">
      <c r="A1035" t="s">
        <v>1337</v>
      </c>
      <c r="B1035" s="8">
        <v>32.68</v>
      </c>
      <c r="C1035">
        <v>7.41</v>
      </c>
      <c r="D1035" t="s">
        <v>2379</v>
      </c>
      <c r="E1035" t="s">
        <v>2379</v>
      </c>
      <c r="F1035" t="s">
        <v>2379</v>
      </c>
      <c r="G1035">
        <v>0</v>
      </c>
      <c r="H1035" t="s">
        <v>2379</v>
      </c>
      <c r="I1035" t="str" cm="1">
        <f t="array" ref="I1035">_xlfn.IFS(B1035&lt;18.5,"Underweight",AND(B1035&gt;=18.5,B1035&lt;=24.99),"Normalweight",AND(B1035&gt;=25,B1035&lt;=29.99),"Overweight",B1035&gt;=30,"Obesity")</f>
        <v>Obesity</v>
      </c>
      <c r="J1035" t="str" cm="1">
        <f t="array" ref="J1035">_xlfn.IFS(C1035&lt;5.7,"Normal",AND(C1035&gt;=5.7,C1035&lt;=6.49),"Prediabetes",C1035&gt;=6.5,"Diabetes")</f>
        <v>Diabetes</v>
      </c>
    </row>
    <row r="1036" spans="1:10" x14ac:dyDescent="0.3">
      <c r="A1036" t="s">
        <v>1336</v>
      </c>
      <c r="B1036" s="8">
        <v>47.13</v>
      </c>
      <c r="C1036">
        <v>4.3099999999999996</v>
      </c>
      <c r="D1036" t="s">
        <v>2379</v>
      </c>
      <c r="E1036" t="s">
        <v>2379</v>
      </c>
      <c r="F1036" t="s">
        <v>2379</v>
      </c>
      <c r="G1036">
        <v>0</v>
      </c>
      <c r="H1036" t="s">
        <v>2379</v>
      </c>
      <c r="I1036" t="str" cm="1">
        <f t="array" ref="I1036">_xlfn.IFS(B1036&lt;18.5,"Underweight",AND(B1036&gt;=18.5,B1036&lt;=24.99),"Normalweight",AND(B1036&gt;=25,B1036&lt;=29.99),"Overweight",B1036&gt;=30,"Obesity")</f>
        <v>Obesity</v>
      </c>
      <c r="J1036" t="str" cm="1">
        <f t="array" ref="J1036">_xlfn.IFS(C1036&lt;5.7,"Normal",AND(C1036&gt;=5.7,C1036&lt;=6.49),"Prediabetes",C1036&gt;=6.5,"Diabetes")</f>
        <v>Normal</v>
      </c>
    </row>
    <row r="1037" spans="1:10" x14ac:dyDescent="0.3">
      <c r="A1037" t="s">
        <v>1335</v>
      </c>
      <c r="B1037" s="8">
        <v>36.67</v>
      </c>
      <c r="C1037">
        <v>10.83</v>
      </c>
      <c r="D1037" t="s">
        <v>2379</v>
      </c>
      <c r="E1037" t="s">
        <v>2379</v>
      </c>
      <c r="F1037" t="s">
        <v>2379</v>
      </c>
      <c r="G1037">
        <v>0</v>
      </c>
      <c r="H1037" t="s">
        <v>2379</v>
      </c>
      <c r="I1037" t="str" cm="1">
        <f t="array" ref="I1037">_xlfn.IFS(B1037&lt;18.5,"Underweight",AND(B1037&gt;=18.5,B1037&lt;=24.99),"Normalweight",AND(B1037&gt;=25,B1037&lt;=29.99),"Overweight",B1037&gt;=30,"Obesity")</f>
        <v>Obesity</v>
      </c>
      <c r="J1037" t="str" cm="1">
        <f t="array" ref="J1037">_xlfn.IFS(C1037&lt;5.7,"Normal",AND(C1037&gt;=5.7,C1037&lt;=6.49),"Prediabetes",C1037&gt;=6.5,"Diabetes")</f>
        <v>Diabetes</v>
      </c>
    </row>
    <row r="1038" spans="1:10" x14ac:dyDescent="0.3">
      <c r="A1038" t="s">
        <v>1334</v>
      </c>
      <c r="B1038" s="8">
        <v>33.630000000000003</v>
      </c>
      <c r="C1038">
        <v>11.31</v>
      </c>
      <c r="D1038" t="s">
        <v>2379</v>
      </c>
      <c r="E1038" t="s">
        <v>2379</v>
      </c>
      <c r="F1038" t="s">
        <v>2379</v>
      </c>
      <c r="G1038">
        <v>0</v>
      </c>
      <c r="H1038" t="s">
        <v>2379</v>
      </c>
      <c r="I1038" t="str" cm="1">
        <f t="array" ref="I1038">_xlfn.IFS(B1038&lt;18.5,"Underweight",AND(B1038&gt;=18.5,B1038&lt;=24.99),"Normalweight",AND(B1038&gt;=25,B1038&lt;=29.99),"Overweight",B1038&gt;=30,"Obesity")</f>
        <v>Obesity</v>
      </c>
      <c r="J1038" t="str" cm="1">
        <f t="array" ref="J1038">_xlfn.IFS(C1038&lt;5.7,"Normal",AND(C1038&gt;=5.7,C1038&lt;=6.49),"Prediabetes",C1038&gt;=6.5,"Diabetes")</f>
        <v>Diabetes</v>
      </c>
    </row>
    <row r="1039" spans="1:10" x14ac:dyDescent="0.3">
      <c r="A1039" t="s">
        <v>1333</v>
      </c>
      <c r="B1039" s="8">
        <v>32.67</v>
      </c>
      <c r="C1039">
        <v>11.81</v>
      </c>
      <c r="D1039" t="s">
        <v>2381</v>
      </c>
      <c r="E1039" t="s">
        <v>2379</v>
      </c>
      <c r="F1039" t="s">
        <v>2379</v>
      </c>
      <c r="G1039">
        <v>0</v>
      </c>
      <c r="H1039" t="s">
        <v>2379</v>
      </c>
      <c r="I1039" t="str" cm="1">
        <f t="array" ref="I1039">_xlfn.IFS(B1039&lt;18.5,"Underweight",AND(B1039&gt;=18.5,B1039&lt;=24.99),"Normalweight",AND(B1039&gt;=25,B1039&lt;=29.99),"Overweight",B1039&gt;=30,"Obesity")</f>
        <v>Obesity</v>
      </c>
      <c r="J1039" t="str" cm="1">
        <f t="array" ref="J1039">_xlfn.IFS(C1039&lt;5.7,"Normal",AND(C1039&gt;=5.7,C1039&lt;=6.49),"Prediabetes",C1039&gt;=6.5,"Diabetes")</f>
        <v>Diabetes</v>
      </c>
    </row>
    <row r="1040" spans="1:10" x14ac:dyDescent="0.3">
      <c r="A1040" t="s">
        <v>1332</v>
      </c>
      <c r="B1040" s="8">
        <v>33.299999999999997</v>
      </c>
      <c r="C1040">
        <v>8.26</v>
      </c>
      <c r="D1040" t="s">
        <v>2381</v>
      </c>
      <c r="E1040" t="s">
        <v>2379</v>
      </c>
      <c r="F1040" t="s">
        <v>2379</v>
      </c>
      <c r="G1040">
        <v>2</v>
      </c>
      <c r="H1040" t="s">
        <v>2379</v>
      </c>
      <c r="I1040" t="str" cm="1">
        <f t="array" ref="I1040">_xlfn.IFS(B1040&lt;18.5,"Underweight",AND(B1040&gt;=18.5,B1040&lt;=24.99),"Normalweight",AND(B1040&gt;=25,B1040&lt;=29.99),"Overweight",B1040&gt;=30,"Obesity")</f>
        <v>Obesity</v>
      </c>
      <c r="J1040" t="str" cm="1">
        <f t="array" ref="J1040">_xlfn.IFS(C1040&lt;5.7,"Normal",AND(C1040&gt;=5.7,C1040&lt;=6.49),"Prediabetes",C1040&gt;=6.5,"Diabetes")</f>
        <v>Diabetes</v>
      </c>
    </row>
    <row r="1041" spans="1:10" x14ac:dyDescent="0.3">
      <c r="A1041" t="s">
        <v>1331</v>
      </c>
      <c r="B1041" s="8">
        <v>30.78</v>
      </c>
      <c r="C1041">
        <v>10.74</v>
      </c>
      <c r="D1041" t="s">
        <v>2381</v>
      </c>
      <c r="E1041" t="s">
        <v>2379</v>
      </c>
      <c r="F1041" t="s">
        <v>2379</v>
      </c>
      <c r="G1041">
        <v>2</v>
      </c>
      <c r="H1041" t="s">
        <v>2379</v>
      </c>
      <c r="I1041" t="str" cm="1">
        <f t="array" ref="I1041">_xlfn.IFS(B1041&lt;18.5,"Underweight",AND(B1041&gt;=18.5,B1041&lt;=24.99),"Normalweight",AND(B1041&gt;=25,B1041&lt;=29.99),"Overweight",B1041&gt;=30,"Obesity")</f>
        <v>Obesity</v>
      </c>
      <c r="J1041" t="str" cm="1">
        <f t="array" ref="J1041">_xlfn.IFS(C1041&lt;5.7,"Normal",AND(C1041&gt;=5.7,C1041&lt;=6.49),"Prediabetes",C1041&gt;=6.5,"Diabetes")</f>
        <v>Diabetes</v>
      </c>
    </row>
    <row r="1042" spans="1:10" x14ac:dyDescent="0.3">
      <c r="A1042" t="s">
        <v>1330</v>
      </c>
      <c r="B1042" s="8">
        <v>28.975000000000001</v>
      </c>
      <c r="C1042">
        <v>7.69</v>
      </c>
      <c r="D1042" t="s">
        <v>2381</v>
      </c>
      <c r="E1042" t="s">
        <v>2379</v>
      </c>
      <c r="F1042" t="s">
        <v>2379</v>
      </c>
      <c r="G1042">
        <v>0</v>
      </c>
      <c r="H1042" t="s">
        <v>2379</v>
      </c>
      <c r="I1042" t="str" cm="1">
        <f t="array" ref="I1042">_xlfn.IFS(B1042&lt;18.5,"Underweight",AND(B1042&gt;=18.5,B1042&lt;=24.99),"Normalweight",AND(B1042&gt;=25,B1042&lt;=29.99),"Overweight",B1042&gt;=30,"Obesity")</f>
        <v>Overweight</v>
      </c>
      <c r="J1042" t="str" cm="1">
        <f t="array" ref="J1042">_xlfn.IFS(C1042&lt;5.7,"Normal",AND(C1042&gt;=5.7,C1042&lt;=6.49),"Prediabetes",C1042&gt;=6.5,"Diabetes")</f>
        <v>Diabetes</v>
      </c>
    </row>
    <row r="1043" spans="1:10" x14ac:dyDescent="0.3">
      <c r="A1043" t="s">
        <v>1329</v>
      </c>
      <c r="B1043" s="8">
        <v>33.4</v>
      </c>
      <c r="C1043">
        <v>4.84</v>
      </c>
      <c r="D1043" t="s">
        <v>2379</v>
      </c>
      <c r="E1043" t="s">
        <v>2379</v>
      </c>
      <c r="F1043" t="s">
        <v>2379</v>
      </c>
      <c r="G1043">
        <v>0</v>
      </c>
      <c r="H1043" t="s">
        <v>2379</v>
      </c>
      <c r="I1043" t="str" cm="1">
        <f t="array" ref="I1043">_xlfn.IFS(B1043&lt;18.5,"Underweight",AND(B1043&gt;=18.5,B1043&lt;=24.99),"Normalweight",AND(B1043&gt;=25,B1043&lt;=29.99),"Overweight",B1043&gt;=30,"Obesity")</f>
        <v>Obesity</v>
      </c>
      <c r="J1043" t="str" cm="1">
        <f t="array" ref="J1043">_xlfn.IFS(C1043&lt;5.7,"Normal",AND(C1043&gt;=5.7,C1043&lt;=6.49),"Prediabetes",C1043&gt;=6.5,"Diabetes")</f>
        <v>Normal</v>
      </c>
    </row>
    <row r="1044" spans="1:10" x14ac:dyDescent="0.3">
      <c r="A1044" t="s">
        <v>1328</v>
      </c>
      <c r="B1044" s="8">
        <v>21.5</v>
      </c>
      <c r="C1044">
        <v>9.77</v>
      </c>
      <c r="D1044" t="s">
        <v>2381</v>
      </c>
      <c r="E1044" t="s">
        <v>2379</v>
      </c>
      <c r="F1044" t="s">
        <v>2379</v>
      </c>
      <c r="G1044">
        <v>0</v>
      </c>
      <c r="H1044" t="s">
        <v>2379</v>
      </c>
      <c r="I1044" t="str" cm="1">
        <f t="array" ref="I1044">_xlfn.IFS(B1044&lt;18.5,"Underweight",AND(B1044&gt;=18.5,B1044&lt;=24.99),"Normalweight",AND(B1044&gt;=25,B1044&lt;=29.99),"Overweight",B1044&gt;=30,"Obesity")</f>
        <v>Normalweight</v>
      </c>
      <c r="J1044" t="str" cm="1">
        <f t="array" ref="J1044">_xlfn.IFS(C1044&lt;5.7,"Normal",AND(C1044&gt;=5.7,C1044&lt;=6.49),"Prediabetes",C1044&gt;=6.5,"Diabetes")</f>
        <v>Diabetes</v>
      </c>
    </row>
    <row r="1045" spans="1:10" x14ac:dyDescent="0.3">
      <c r="A1045" t="s">
        <v>1327</v>
      </c>
      <c r="B1045" s="8">
        <v>38.14</v>
      </c>
      <c r="C1045">
        <v>5.84</v>
      </c>
      <c r="D1045" t="s">
        <v>2379</v>
      </c>
      <c r="E1045" t="s">
        <v>2379</v>
      </c>
      <c r="F1045" t="s">
        <v>2379</v>
      </c>
      <c r="G1045">
        <v>0</v>
      </c>
      <c r="H1045" t="s">
        <v>2379</v>
      </c>
      <c r="I1045" t="str" cm="1">
        <f t="array" ref="I1045">_xlfn.IFS(B1045&lt;18.5,"Underweight",AND(B1045&gt;=18.5,B1045&lt;=24.99),"Normalweight",AND(B1045&gt;=25,B1045&lt;=29.99),"Overweight",B1045&gt;=30,"Obesity")</f>
        <v>Obesity</v>
      </c>
      <c r="J1045" t="str" cm="1">
        <f t="array" ref="J1045">_xlfn.IFS(C1045&lt;5.7,"Normal",AND(C1045&gt;=5.7,C1045&lt;=6.49),"Prediabetes",C1045&gt;=6.5,"Diabetes")</f>
        <v>Prediabetes</v>
      </c>
    </row>
    <row r="1046" spans="1:10" x14ac:dyDescent="0.3">
      <c r="A1046" t="s">
        <v>1326</v>
      </c>
      <c r="B1046" s="8">
        <v>35.42</v>
      </c>
      <c r="C1046">
        <v>8.6999999999999993</v>
      </c>
      <c r="D1046" t="s">
        <v>2381</v>
      </c>
      <c r="E1046" t="s">
        <v>2379</v>
      </c>
      <c r="F1046" t="s">
        <v>2379</v>
      </c>
      <c r="G1046">
        <v>1</v>
      </c>
      <c r="H1046" t="s">
        <v>2379</v>
      </c>
      <c r="I1046" t="str" cm="1">
        <f t="array" ref="I1046">_xlfn.IFS(B1046&lt;18.5,"Underweight",AND(B1046&gt;=18.5,B1046&lt;=24.99),"Normalweight",AND(B1046&gt;=25,B1046&lt;=29.99),"Overweight",B1046&gt;=30,"Obesity")</f>
        <v>Obesity</v>
      </c>
      <c r="J1046" t="str" cm="1">
        <f t="array" ref="J1046">_xlfn.IFS(C1046&lt;5.7,"Normal",AND(C1046&gt;=5.7,C1046&lt;=6.49),"Prediabetes",C1046&gt;=6.5,"Diabetes")</f>
        <v>Diabetes</v>
      </c>
    </row>
    <row r="1047" spans="1:10" x14ac:dyDescent="0.3">
      <c r="A1047" t="s">
        <v>1325</v>
      </c>
      <c r="B1047" s="8">
        <v>35.625</v>
      </c>
      <c r="C1047">
        <v>10.79</v>
      </c>
      <c r="D1047" t="s">
        <v>2379</v>
      </c>
      <c r="E1047" t="s">
        <v>2379</v>
      </c>
      <c r="F1047" t="s">
        <v>2379</v>
      </c>
      <c r="G1047">
        <v>0</v>
      </c>
      <c r="H1047" t="s">
        <v>2379</v>
      </c>
      <c r="I1047" t="str" cm="1">
        <f t="array" ref="I1047">_xlfn.IFS(B1047&lt;18.5,"Underweight",AND(B1047&gt;=18.5,B1047&lt;=24.99),"Normalweight",AND(B1047&gt;=25,B1047&lt;=29.99),"Overweight",B1047&gt;=30,"Obesity")</f>
        <v>Obesity</v>
      </c>
      <c r="J1047" t="str" cm="1">
        <f t="array" ref="J1047">_xlfn.IFS(C1047&lt;5.7,"Normal",AND(C1047&gt;=5.7,C1047&lt;=6.49),"Prediabetes",C1047&gt;=6.5,"Diabetes")</f>
        <v>Diabetes</v>
      </c>
    </row>
    <row r="1048" spans="1:10" x14ac:dyDescent="0.3">
      <c r="A1048" t="s">
        <v>1324</v>
      </c>
      <c r="B1048" s="8">
        <v>45.51</v>
      </c>
      <c r="C1048">
        <v>4.32</v>
      </c>
      <c r="D1048" t="s">
        <v>2379</v>
      </c>
      <c r="E1048" t="s">
        <v>2379</v>
      </c>
      <c r="F1048" t="s">
        <v>2379</v>
      </c>
      <c r="G1048">
        <v>1</v>
      </c>
      <c r="H1048" t="s">
        <v>2379</v>
      </c>
      <c r="I1048" t="str" cm="1">
        <f t="array" ref="I1048">_xlfn.IFS(B1048&lt;18.5,"Underweight",AND(B1048&gt;=18.5,B1048&lt;=24.99),"Normalweight",AND(B1048&gt;=25,B1048&lt;=29.99),"Overweight",B1048&gt;=30,"Obesity")</f>
        <v>Obesity</v>
      </c>
      <c r="J1048" t="str" cm="1">
        <f t="array" ref="J1048">_xlfn.IFS(C1048&lt;5.7,"Normal",AND(C1048&gt;=5.7,C1048&lt;=6.49),"Prediabetes",C1048&gt;=6.5,"Diabetes")</f>
        <v>Normal</v>
      </c>
    </row>
    <row r="1049" spans="1:10" x14ac:dyDescent="0.3">
      <c r="A1049" t="s">
        <v>1323</v>
      </c>
      <c r="B1049" s="8">
        <v>37.1</v>
      </c>
      <c r="C1049">
        <v>7.19</v>
      </c>
      <c r="D1049" t="s">
        <v>2381</v>
      </c>
      <c r="E1049" t="s">
        <v>2379</v>
      </c>
      <c r="F1049" t="s">
        <v>2379</v>
      </c>
      <c r="G1049">
        <v>0</v>
      </c>
      <c r="H1049" t="s">
        <v>2379</v>
      </c>
      <c r="I1049" t="str" cm="1">
        <f t="array" ref="I1049">_xlfn.IFS(B1049&lt;18.5,"Underweight",AND(B1049&gt;=18.5,B1049&lt;=24.99),"Normalweight",AND(B1049&gt;=25,B1049&lt;=29.99),"Overweight",B1049&gt;=30,"Obesity")</f>
        <v>Obesity</v>
      </c>
      <c r="J1049" t="str" cm="1">
        <f t="array" ref="J1049">_xlfn.IFS(C1049&lt;5.7,"Normal",AND(C1049&gt;=5.7,C1049&lt;=6.49),"Prediabetes",C1049&gt;=6.5,"Diabetes")</f>
        <v>Diabetes</v>
      </c>
    </row>
    <row r="1050" spans="1:10" x14ac:dyDescent="0.3">
      <c r="A1050" t="s">
        <v>1322</v>
      </c>
      <c r="B1050" s="8">
        <v>30.5</v>
      </c>
      <c r="C1050">
        <v>11.94</v>
      </c>
      <c r="D1050" t="s">
        <v>2381</v>
      </c>
      <c r="E1050" t="s">
        <v>2379</v>
      </c>
      <c r="F1050" t="s">
        <v>2379</v>
      </c>
      <c r="G1050">
        <v>0</v>
      </c>
      <c r="H1050" t="s">
        <v>2379</v>
      </c>
      <c r="I1050" t="str" cm="1">
        <f t="array" ref="I1050">_xlfn.IFS(B1050&lt;18.5,"Underweight",AND(B1050&gt;=18.5,B1050&lt;=24.99),"Normalweight",AND(B1050&gt;=25,B1050&lt;=29.99),"Overweight",B1050&gt;=30,"Obesity")</f>
        <v>Obesity</v>
      </c>
      <c r="J1050" t="str" cm="1">
        <f t="array" ref="J1050">_xlfn.IFS(C1050&lt;5.7,"Normal",AND(C1050&gt;=5.7,C1050&lt;=6.49),"Prediabetes",C1050&gt;=6.5,"Diabetes")</f>
        <v>Diabetes</v>
      </c>
    </row>
    <row r="1051" spans="1:10" x14ac:dyDescent="0.3">
      <c r="A1051" t="s">
        <v>1321</v>
      </c>
      <c r="B1051" s="8">
        <v>28.16</v>
      </c>
      <c r="C1051">
        <v>5.56</v>
      </c>
      <c r="D1051" t="s">
        <v>2379</v>
      </c>
      <c r="E1051" t="s">
        <v>2379</v>
      </c>
      <c r="F1051" t="s">
        <v>2379</v>
      </c>
      <c r="G1051">
        <v>2</v>
      </c>
      <c r="H1051" t="s">
        <v>2379</v>
      </c>
      <c r="I1051" t="str" cm="1">
        <f t="array" ref="I1051">_xlfn.IFS(B1051&lt;18.5,"Underweight",AND(B1051&gt;=18.5,B1051&lt;=24.99),"Normalweight",AND(B1051&gt;=25,B1051&lt;=29.99),"Overweight",B1051&gt;=30,"Obesity")</f>
        <v>Overweight</v>
      </c>
      <c r="J1051" t="str" cm="1">
        <f t="array" ref="J1051">_xlfn.IFS(C1051&lt;5.7,"Normal",AND(C1051&gt;=5.7,C1051&lt;=6.49),"Prediabetes",C1051&gt;=6.5,"Diabetes")</f>
        <v>Normal</v>
      </c>
    </row>
    <row r="1052" spans="1:10" x14ac:dyDescent="0.3">
      <c r="A1052" t="s">
        <v>1320</v>
      </c>
      <c r="B1052" s="8">
        <v>29.1</v>
      </c>
      <c r="C1052">
        <v>5.64</v>
      </c>
      <c r="D1052" t="s">
        <v>2381</v>
      </c>
      <c r="E1052" t="s">
        <v>2379</v>
      </c>
      <c r="F1052" t="s">
        <v>2379</v>
      </c>
      <c r="G1052">
        <v>0</v>
      </c>
      <c r="H1052" t="s">
        <v>2379</v>
      </c>
      <c r="I1052" t="str" cm="1">
        <f t="array" ref="I1052">_xlfn.IFS(B1052&lt;18.5,"Underweight",AND(B1052&gt;=18.5,B1052&lt;=24.99),"Normalweight",AND(B1052&gt;=25,B1052&lt;=29.99),"Overweight",B1052&gt;=30,"Obesity")</f>
        <v>Overweight</v>
      </c>
      <c r="J1052" t="str" cm="1">
        <f t="array" ref="J1052">_xlfn.IFS(C1052&lt;5.7,"Normal",AND(C1052&gt;=5.7,C1052&lt;=6.49),"Prediabetes",C1052&gt;=6.5,"Diabetes")</f>
        <v>Normal</v>
      </c>
    </row>
    <row r="1053" spans="1:10" x14ac:dyDescent="0.3">
      <c r="A1053" t="s">
        <v>1319</v>
      </c>
      <c r="B1053" s="8">
        <v>30.22</v>
      </c>
      <c r="C1053">
        <v>4.6500000000000004</v>
      </c>
      <c r="D1053" t="s">
        <v>2379</v>
      </c>
      <c r="E1053" t="s">
        <v>2379</v>
      </c>
      <c r="F1053" t="s">
        <v>2379</v>
      </c>
      <c r="G1053">
        <v>0</v>
      </c>
      <c r="H1053" t="s">
        <v>2379</v>
      </c>
      <c r="I1053" t="str" cm="1">
        <f t="array" ref="I1053">_xlfn.IFS(B1053&lt;18.5,"Underweight",AND(B1053&gt;=18.5,B1053&lt;=24.99),"Normalweight",AND(B1053&gt;=25,B1053&lt;=29.99),"Overweight",B1053&gt;=30,"Obesity")</f>
        <v>Obesity</v>
      </c>
      <c r="J1053" t="str" cm="1">
        <f t="array" ref="J1053">_xlfn.IFS(C1053&lt;5.7,"Normal",AND(C1053&gt;=5.7,C1053&lt;=6.49),"Prediabetes",C1053&gt;=6.5,"Diabetes")</f>
        <v>Normal</v>
      </c>
    </row>
    <row r="1054" spans="1:10" x14ac:dyDescent="0.3">
      <c r="A1054" t="s">
        <v>1318</v>
      </c>
      <c r="B1054" s="8">
        <v>24.29</v>
      </c>
      <c r="C1054">
        <v>9.0500000000000007</v>
      </c>
      <c r="D1054" t="s">
        <v>2379</v>
      </c>
      <c r="E1054" t="s">
        <v>2379</v>
      </c>
      <c r="F1054" t="s">
        <v>2379</v>
      </c>
      <c r="G1054">
        <v>0</v>
      </c>
      <c r="H1054" t="s">
        <v>2379</v>
      </c>
      <c r="I1054" t="str" cm="1">
        <f t="array" ref="I1054">_xlfn.IFS(B1054&lt;18.5,"Underweight",AND(B1054&gt;=18.5,B1054&lt;=24.99),"Normalweight",AND(B1054&gt;=25,B1054&lt;=29.99),"Overweight",B1054&gt;=30,"Obesity")</f>
        <v>Normalweight</v>
      </c>
      <c r="J1054" t="str" cm="1">
        <f t="array" ref="J1054">_xlfn.IFS(C1054&lt;5.7,"Normal",AND(C1054&gt;=5.7,C1054&lt;=6.49),"Prediabetes",C1054&gt;=6.5,"Diabetes")</f>
        <v>Diabetes</v>
      </c>
    </row>
    <row r="1055" spans="1:10" x14ac:dyDescent="0.3">
      <c r="A1055" t="s">
        <v>1317</v>
      </c>
      <c r="B1055" s="8">
        <v>29.39</v>
      </c>
      <c r="C1055">
        <v>4.5199999999999996</v>
      </c>
      <c r="D1055" t="s">
        <v>2381</v>
      </c>
      <c r="E1055" t="s">
        <v>2379</v>
      </c>
      <c r="F1055" t="s">
        <v>2379</v>
      </c>
      <c r="G1055">
        <v>0</v>
      </c>
      <c r="H1055" t="s">
        <v>2379</v>
      </c>
      <c r="I1055" t="str" cm="1">
        <f t="array" ref="I1055">_xlfn.IFS(B1055&lt;18.5,"Underweight",AND(B1055&gt;=18.5,B1055&lt;=24.99),"Normalweight",AND(B1055&gt;=25,B1055&lt;=29.99),"Overweight",B1055&gt;=30,"Obesity")</f>
        <v>Overweight</v>
      </c>
      <c r="J1055" t="str" cm="1">
        <f t="array" ref="J1055">_xlfn.IFS(C1055&lt;5.7,"Normal",AND(C1055&gt;=5.7,C1055&lt;=6.49),"Prediabetes",C1055&gt;=6.5,"Diabetes")</f>
        <v>Normal</v>
      </c>
    </row>
    <row r="1056" spans="1:10" x14ac:dyDescent="0.3">
      <c r="A1056" t="s">
        <v>1316</v>
      </c>
      <c r="B1056" s="8">
        <v>25.66</v>
      </c>
      <c r="C1056">
        <v>4.62</v>
      </c>
      <c r="D1056" t="s">
        <v>2381</v>
      </c>
      <c r="E1056" t="s">
        <v>2379</v>
      </c>
      <c r="F1056" t="s">
        <v>2379</v>
      </c>
      <c r="G1056">
        <v>1</v>
      </c>
      <c r="H1056" t="s">
        <v>2379</v>
      </c>
      <c r="I1056" t="str" cm="1">
        <f t="array" ref="I1056">_xlfn.IFS(B1056&lt;18.5,"Underweight",AND(B1056&gt;=18.5,B1056&lt;=24.99),"Normalweight",AND(B1056&gt;=25,B1056&lt;=29.99),"Overweight",B1056&gt;=30,"Obesity")</f>
        <v>Overweight</v>
      </c>
      <c r="J1056" t="str" cm="1">
        <f t="array" ref="J1056">_xlfn.IFS(C1056&lt;5.7,"Normal",AND(C1056&gt;=5.7,C1056&lt;=6.49),"Prediabetes",C1056&gt;=6.5,"Diabetes")</f>
        <v>Normal</v>
      </c>
    </row>
    <row r="1057" spans="1:10" x14ac:dyDescent="0.3">
      <c r="A1057" t="s">
        <v>1315</v>
      </c>
      <c r="B1057" s="8">
        <v>39.11</v>
      </c>
      <c r="C1057">
        <v>5.87</v>
      </c>
      <c r="D1057" t="s">
        <v>2379</v>
      </c>
      <c r="E1057" t="s">
        <v>2379</v>
      </c>
      <c r="F1057" t="s">
        <v>2379</v>
      </c>
      <c r="G1057">
        <v>0</v>
      </c>
      <c r="H1057" t="s">
        <v>2379</v>
      </c>
      <c r="I1057" t="str" cm="1">
        <f t="array" ref="I1057">_xlfn.IFS(B1057&lt;18.5,"Underweight",AND(B1057&gt;=18.5,B1057&lt;=24.99),"Normalweight",AND(B1057&gt;=25,B1057&lt;=29.99),"Overweight",B1057&gt;=30,"Obesity")</f>
        <v>Obesity</v>
      </c>
      <c r="J1057" t="str" cm="1">
        <f t="array" ref="J1057">_xlfn.IFS(C1057&lt;5.7,"Normal",AND(C1057&gt;=5.7,C1057&lt;=6.49),"Prediabetes",C1057&gt;=6.5,"Diabetes")</f>
        <v>Prediabetes</v>
      </c>
    </row>
    <row r="1058" spans="1:10" x14ac:dyDescent="0.3">
      <c r="A1058" t="s">
        <v>1314</v>
      </c>
      <c r="B1058" s="8">
        <v>43.78</v>
      </c>
      <c r="C1058">
        <v>5.71</v>
      </c>
      <c r="D1058" t="s">
        <v>2379</v>
      </c>
      <c r="E1058" t="s">
        <v>2379</v>
      </c>
      <c r="F1058" t="s">
        <v>2379</v>
      </c>
      <c r="G1058">
        <v>1</v>
      </c>
      <c r="H1058" t="s">
        <v>2379</v>
      </c>
      <c r="I1058" t="str" cm="1">
        <f t="array" ref="I1058">_xlfn.IFS(B1058&lt;18.5,"Underweight",AND(B1058&gt;=18.5,B1058&lt;=24.99),"Normalweight",AND(B1058&gt;=25,B1058&lt;=29.99),"Overweight",B1058&gt;=30,"Obesity")</f>
        <v>Obesity</v>
      </c>
      <c r="J1058" t="str" cm="1">
        <f t="array" ref="J1058">_xlfn.IFS(C1058&lt;5.7,"Normal",AND(C1058&gt;=5.7,C1058&lt;=6.49),"Prediabetes",C1058&gt;=6.5,"Diabetes")</f>
        <v>Prediabetes</v>
      </c>
    </row>
    <row r="1059" spans="1:10" x14ac:dyDescent="0.3">
      <c r="A1059" t="s">
        <v>1313</v>
      </c>
      <c r="B1059" s="8">
        <v>24.35</v>
      </c>
      <c r="C1059">
        <v>9.08</v>
      </c>
      <c r="D1059" t="s">
        <v>2379</v>
      </c>
      <c r="E1059" t="s">
        <v>2379</v>
      </c>
      <c r="F1059" t="s">
        <v>2379</v>
      </c>
      <c r="G1059">
        <v>0</v>
      </c>
      <c r="H1059" t="s">
        <v>2379</v>
      </c>
      <c r="I1059" t="str" cm="1">
        <f t="array" ref="I1059">_xlfn.IFS(B1059&lt;18.5,"Underweight",AND(B1059&gt;=18.5,B1059&lt;=24.99),"Normalweight",AND(B1059&gt;=25,B1059&lt;=29.99),"Overweight",B1059&gt;=30,"Obesity")</f>
        <v>Normalweight</v>
      </c>
      <c r="J1059" t="str" cm="1">
        <f t="array" ref="J1059">_xlfn.IFS(C1059&lt;5.7,"Normal",AND(C1059&gt;=5.7,C1059&lt;=6.49),"Prediabetes",C1059&gt;=6.5,"Diabetes")</f>
        <v>Diabetes</v>
      </c>
    </row>
    <row r="1060" spans="1:10" x14ac:dyDescent="0.3">
      <c r="A1060" t="s">
        <v>1312</v>
      </c>
      <c r="B1060" s="8">
        <v>40.299999999999997</v>
      </c>
      <c r="C1060">
        <v>5.3</v>
      </c>
      <c r="D1060" t="s">
        <v>2381</v>
      </c>
      <c r="E1060" t="s">
        <v>2379</v>
      </c>
      <c r="F1060" t="s">
        <v>2379</v>
      </c>
      <c r="G1060">
        <v>2</v>
      </c>
      <c r="H1060" t="s">
        <v>2379</v>
      </c>
      <c r="I1060" t="str" cm="1">
        <f t="array" ref="I1060">_xlfn.IFS(B1060&lt;18.5,"Underweight",AND(B1060&gt;=18.5,B1060&lt;=24.99),"Normalweight",AND(B1060&gt;=25,B1060&lt;=29.99),"Overweight",B1060&gt;=30,"Obesity")</f>
        <v>Obesity</v>
      </c>
      <c r="J1060" t="str" cm="1">
        <f t="array" ref="J1060">_xlfn.IFS(C1060&lt;5.7,"Normal",AND(C1060&gt;=5.7,C1060&lt;=6.49),"Prediabetes",C1060&gt;=6.5,"Diabetes")</f>
        <v>Normal</v>
      </c>
    </row>
    <row r="1061" spans="1:10" x14ac:dyDescent="0.3">
      <c r="A1061" t="s">
        <v>1311</v>
      </c>
      <c r="B1061" s="8">
        <v>32.774999999999999</v>
      </c>
      <c r="C1061">
        <v>11.76</v>
      </c>
      <c r="D1061" t="s">
        <v>2381</v>
      </c>
      <c r="E1061" t="s">
        <v>2379</v>
      </c>
      <c r="F1061" t="s">
        <v>2379</v>
      </c>
      <c r="G1061">
        <v>0</v>
      </c>
      <c r="H1061" t="s">
        <v>2379</v>
      </c>
      <c r="I1061" t="str" cm="1">
        <f t="array" ref="I1061">_xlfn.IFS(B1061&lt;18.5,"Underweight",AND(B1061&gt;=18.5,B1061&lt;=24.99),"Normalweight",AND(B1061&gt;=25,B1061&lt;=29.99),"Overweight",B1061&gt;=30,"Obesity")</f>
        <v>Obesity</v>
      </c>
      <c r="J1061" t="str" cm="1">
        <f t="array" ref="J1061">_xlfn.IFS(C1061&lt;5.7,"Normal",AND(C1061&gt;=5.7,C1061&lt;=6.49),"Prediabetes",C1061&gt;=6.5,"Diabetes")</f>
        <v>Diabetes</v>
      </c>
    </row>
    <row r="1062" spans="1:10" x14ac:dyDescent="0.3">
      <c r="A1062" t="s">
        <v>1310</v>
      </c>
      <c r="B1062" s="8">
        <v>39.6</v>
      </c>
      <c r="C1062">
        <v>5.1100000000000003</v>
      </c>
      <c r="D1062" t="s">
        <v>2381</v>
      </c>
      <c r="E1062" t="s">
        <v>2379</v>
      </c>
      <c r="F1062" t="s">
        <v>2379</v>
      </c>
      <c r="G1062">
        <v>2</v>
      </c>
      <c r="H1062" t="s">
        <v>2379</v>
      </c>
      <c r="I1062" t="str" cm="1">
        <f t="array" ref="I1062">_xlfn.IFS(B1062&lt;18.5,"Underweight",AND(B1062&gt;=18.5,B1062&lt;=24.99),"Normalweight",AND(B1062&gt;=25,B1062&lt;=29.99),"Overweight",B1062&gt;=30,"Obesity")</f>
        <v>Obesity</v>
      </c>
      <c r="J1062" t="str" cm="1">
        <f t="array" ref="J1062">_xlfn.IFS(C1062&lt;5.7,"Normal",AND(C1062&gt;=5.7,C1062&lt;=6.49),"Prediabetes",C1062&gt;=6.5,"Diabetes")</f>
        <v>Normal</v>
      </c>
    </row>
    <row r="1063" spans="1:10" x14ac:dyDescent="0.3">
      <c r="A1063" t="s">
        <v>1309</v>
      </c>
      <c r="B1063" s="8">
        <v>30.97</v>
      </c>
      <c r="C1063">
        <v>5.54</v>
      </c>
      <c r="D1063" t="s">
        <v>2379</v>
      </c>
      <c r="E1063" t="s">
        <v>2379</v>
      </c>
      <c r="F1063" t="s">
        <v>2379</v>
      </c>
      <c r="G1063">
        <v>2</v>
      </c>
      <c r="H1063" t="s">
        <v>2379</v>
      </c>
      <c r="I1063" t="str" cm="1">
        <f t="array" ref="I1063">_xlfn.IFS(B1063&lt;18.5,"Underweight",AND(B1063&gt;=18.5,B1063&lt;=24.99),"Normalweight",AND(B1063&gt;=25,B1063&lt;=29.99),"Overweight",B1063&gt;=30,"Obesity")</f>
        <v>Obesity</v>
      </c>
      <c r="J1063" t="str" cm="1">
        <f t="array" ref="J1063">_xlfn.IFS(C1063&lt;5.7,"Normal",AND(C1063&gt;=5.7,C1063&lt;=6.49),"Prediabetes",C1063&gt;=6.5,"Diabetes")</f>
        <v>Normal</v>
      </c>
    </row>
    <row r="1064" spans="1:10" x14ac:dyDescent="0.3">
      <c r="A1064" t="s">
        <v>1308</v>
      </c>
      <c r="B1064" s="8">
        <v>27.645</v>
      </c>
      <c r="C1064">
        <v>8.8699999999999992</v>
      </c>
      <c r="D1064" t="s">
        <v>2381</v>
      </c>
      <c r="E1064" t="s">
        <v>2379</v>
      </c>
      <c r="F1064" t="s">
        <v>2379</v>
      </c>
      <c r="G1064">
        <v>0</v>
      </c>
      <c r="H1064" t="s">
        <v>2379</v>
      </c>
      <c r="I1064" t="str" cm="1">
        <f t="array" ref="I1064">_xlfn.IFS(B1064&lt;18.5,"Underweight",AND(B1064&gt;=18.5,B1064&lt;=24.99),"Normalweight",AND(B1064&gt;=25,B1064&lt;=29.99),"Overweight",B1064&gt;=30,"Obesity")</f>
        <v>Overweight</v>
      </c>
      <c r="J1064" t="str" cm="1">
        <f t="array" ref="J1064">_xlfn.IFS(C1064&lt;5.7,"Normal",AND(C1064&gt;=5.7,C1064&lt;=6.49),"Prediabetes",C1064&gt;=6.5,"Diabetes")</f>
        <v>Diabetes</v>
      </c>
    </row>
    <row r="1065" spans="1:10" x14ac:dyDescent="0.3">
      <c r="A1065" t="s">
        <v>1307</v>
      </c>
      <c r="B1065" s="8">
        <v>34.43</v>
      </c>
      <c r="C1065">
        <v>5.96</v>
      </c>
      <c r="D1065" t="s">
        <v>2381</v>
      </c>
      <c r="E1065" t="s">
        <v>2379</v>
      </c>
      <c r="F1065" t="s">
        <v>2379</v>
      </c>
      <c r="G1065">
        <v>2</v>
      </c>
      <c r="H1065" t="s">
        <v>2379</v>
      </c>
      <c r="I1065" t="str" cm="1">
        <f t="array" ref="I1065">_xlfn.IFS(B1065&lt;18.5,"Underweight",AND(B1065&gt;=18.5,B1065&lt;=24.99),"Normalweight",AND(B1065&gt;=25,B1065&lt;=29.99),"Overweight",B1065&gt;=30,"Obesity")</f>
        <v>Obesity</v>
      </c>
      <c r="J1065" t="str" cm="1">
        <f t="array" ref="J1065">_xlfn.IFS(C1065&lt;5.7,"Normal",AND(C1065&gt;=5.7,C1065&lt;=6.49),"Prediabetes",C1065&gt;=6.5,"Diabetes")</f>
        <v>Prediabetes</v>
      </c>
    </row>
    <row r="1066" spans="1:10" x14ac:dyDescent="0.3">
      <c r="A1066" t="s">
        <v>1306</v>
      </c>
      <c r="B1066" s="8">
        <v>39.6</v>
      </c>
      <c r="C1066">
        <v>4.4400000000000004</v>
      </c>
      <c r="D1066" t="s">
        <v>2381</v>
      </c>
      <c r="E1066" t="s">
        <v>2379</v>
      </c>
      <c r="F1066" t="s">
        <v>2381</v>
      </c>
      <c r="G1066">
        <v>1</v>
      </c>
      <c r="H1066" t="s">
        <v>2379</v>
      </c>
      <c r="I1066" t="str" cm="1">
        <f t="array" ref="I1066">_xlfn.IFS(B1066&lt;18.5,"Underweight",AND(B1066&gt;=18.5,B1066&lt;=24.99),"Normalweight",AND(B1066&gt;=25,B1066&lt;=29.99),"Overweight",B1066&gt;=30,"Obesity")</f>
        <v>Obesity</v>
      </c>
      <c r="J1066" t="str" cm="1">
        <f t="array" ref="J1066">_xlfn.IFS(C1066&lt;5.7,"Normal",AND(C1066&gt;=5.7,C1066&lt;=6.49),"Prediabetes",C1066&gt;=6.5,"Diabetes")</f>
        <v>Normal</v>
      </c>
    </row>
    <row r="1067" spans="1:10" x14ac:dyDescent="0.3">
      <c r="A1067" t="s">
        <v>1305</v>
      </c>
      <c r="B1067" s="8">
        <v>22.1</v>
      </c>
      <c r="C1067">
        <v>4.6500000000000004</v>
      </c>
      <c r="D1067" t="s">
        <v>2381</v>
      </c>
      <c r="E1067" t="s">
        <v>2379</v>
      </c>
      <c r="F1067" t="s">
        <v>2379</v>
      </c>
      <c r="G1067">
        <v>2</v>
      </c>
      <c r="H1067" t="s">
        <v>2379</v>
      </c>
      <c r="I1067" t="str" cm="1">
        <f t="array" ref="I1067">_xlfn.IFS(B1067&lt;18.5,"Underweight",AND(B1067&gt;=18.5,B1067&lt;=24.99),"Normalweight",AND(B1067&gt;=25,B1067&lt;=29.99),"Overweight",B1067&gt;=30,"Obesity")</f>
        <v>Normalweight</v>
      </c>
      <c r="J1067" t="str" cm="1">
        <f t="array" ref="J1067">_xlfn.IFS(C1067&lt;5.7,"Normal",AND(C1067&gt;=5.7,C1067&lt;=6.49),"Prediabetes",C1067&gt;=6.5,"Diabetes")</f>
        <v>Normal</v>
      </c>
    </row>
    <row r="1068" spans="1:10" x14ac:dyDescent="0.3">
      <c r="A1068" t="s">
        <v>1304</v>
      </c>
      <c r="B1068" s="8">
        <v>33.25</v>
      </c>
      <c r="C1068">
        <v>5.64</v>
      </c>
      <c r="D1068" t="s">
        <v>2381</v>
      </c>
      <c r="E1068" t="s">
        <v>2379</v>
      </c>
      <c r="F1068" t="s">
        <v>2381</v>
      </c>
      <c r="G1068">
        <v>1</v>
      </c>
      <c r="H1068" t="s">
        <v>2379</v>
      </c>
      <c r="I1068" t="str" cm="1">
        <f t="array" ref="I1068">_xlfn.IFS(B1068&lt;18.5,"Underweight",AND(B1068&gt;=18.5,B1068&lt;=24.99),"Normalweight",AND(B1068&gt;=25,B1068&lt;=29.99),"Overweight",B1068&gt;=30,"Obesity")</f>
        <v>Obesity</v>
      </c>
      <c r="J1068" t="str" cm="1">
        <f t="array" ref="J1068">_xlfn.IFS(C1068&lt;5.7,"Normal",AND(C1068&gt;=5.7,C1068&lt;=6.49),"Prediabetes",C1068&gt;=6.5,"Diabetes")</f>
        <v>Normal</v>
      </c>
    </row>
    <row r="1069" spans="1:10" x14ac:dyDescent="0.3">
      <c r="A1069" t="s">
        <v>1303</v>
      </c>
      <c r="B1069" s="8">
        <v>33.33</v>
      </c>
      <c r="C1069">
        <v>10.19</v>
      </c>
      <c r="D1069" t="s">
        <v>2379</v>
      </c>
      <c r="E1069" t="s">
        <v>2379</v>
      </c>
      <c r="F1069" t="s">
        <v>2379</v>
      </c>
      <c r="G1069">
        <v>0</v>
      </c>
      <c r="H1069" t="s">
        <v>2379</v>
      </c>
      <c r="I1069" t="str" cm="1">
        <f t="array" ref="I1069">_xlfn.IFS(B1069&lt;18.5,"Underweight",AND(B1069&gt;=18.5,B1069&lt;=24.99),"Normalweight",AND(B1069&gt;=25,B1069&lt;=29.99),"Overweight",B1069&gt;=30,"Obesity")</f>
        <v>Obesity</v>
      </c>
      <c r="J1069" t="str" cm="1">
        <f t="array" ref="J1069">_xlfn.IFS(C1069&lt;5.7,"Normal",AND(C1069&gt;=5.7,C1069&lt;=6.49),"Prediabetes",C1069&gt;=6.5,"Diabetes")</f>
        <v>Diabetes</v>
      </c>
    </row>
    <row r="1070" spans="1:10" x14ac:dyDescent="0.3">
      <c r="A1070" t="s">
        <v>1302</v>
      </c>
      <c r="B1070" s="8">
        <v>30.5</v>
      </c>
      <c r="C1070">
        <v>10.79</v>
      </c>
      <c r="D1070" t="s">
        <v>2379</v>
      </c>
      <c r="E1070" t="s">
        <v>2379</v>
      </c>
      <c r="F1070" t="s">
        <v>2379</v>
      </c>
      <c r="G1070">
        <v>0</v>
      </c>
      <c r="H1070" t="s">
        <v>2379</v>
      </c>
      <c r="I1070" t="str" cm="1">
        <f t="array" ref="I1070">_xlfn.IFS(B1070&lt;18.5,"Underweight",AND(B1070&gt;=18.5,B1070&lt;=24.99),"Normalweight",AND(B1070&gt;=25,B1070&lt;=29.99),"Overweight",B1070&gt;=30,"Obesity")</f>
        <v>Obesity</v>
      </c>
      <c r="J1070" t="str" cm="1">
        <f t="array" ref="J1070">_xlfn.IFS(C1070&lt;5.7,"Normal",AND(C1070&gt;=5.7,C1070&lt;=6.49),"Prediabetes",C1070&gt;=6.5,"Diabetes")</f>
        <v>Diabetes</v>
      </c>
    </row>
    <row r="1071" spans="1:10" x14ac:dyDescent="0.3">
      <c r="A1071" t="s">
        <v>1301</v>
      </c>
      <c r="B1071" s="8">
        <v>30.3</v>
      </c>
      <c r="C1071">
        <v>4.24</v>
      </c>
      <c r="D1071" t="s">
        <v>2379</v>
      </c>
      <c r="E1071" t="s">
        <v>2379</v>
      </c>
      <c r="F1071" t="s">
        <v>2379</v>
      </c>
      <c r="G1071">
        <v>0</v>
      </c>
      <c r="H1071" t="s">
        <v>2379</v>
      </c>
      <c r="I1071" t="str" cm="1">
        <f t="array" ref="I1071">_xlfn.IFS(B1071&lt;18.5,"Underweight",AND(B1071&gt;=18.5,B1071&lt;=24.99),"Normalweight",AND(B1071&gt;=25,B1071&lt;=29.99),"Overweight",B1071&gt;=30,"Obesity")</f>
        <v>Obesity</v>
      </c>
      <c r="J1071" t="str" cm="1">
        <f t="array" ref="J1071">_xlfn.IFS(C1071&lt;5.7,"Normal",AND(C1071&gt;=5.7,C1071&lt;=6.49),"Prediabetes",C1071&gt;=6.5,"Diabetes")</f>
        <v>Normal</v>
      </c>
    </row>
    <row r="1072" spans="1:10" x14ac:dyDescent="0.3">
      <c r="A1072" t="s">
        <v>1300</v>
      </c>
      <c r="B1072" s="8">
        <v>26.22</v>
      </c>
      <c r="C1072">
        <v>5.83</v>
      </c>
      <c r="D1072" t="s">
        <v>2379</v>
      </c>
      <c r="E1072" t="s">
        <v>2379</v>
      </c>
      <c r="F1072" t="s">
        <v>2379</v>
      </c>
      <c r="G1072">
        <v>2</v>
      </c>
      <c r="H1072" t="s">
        <v>2379</v>
      </c>
      <c r="I1072" t="str" cm="1">
        <f t="array" ref="I1072">_xlfn.IFS(B1072&lt;18.5,"Underweight",AND(B1072&gt;=18.5,B1072&lt;=24.99),"Normalweight",AND(B1072&gt;=25,B1072&lt;=29.99),"Overweight",B1072&gt;=30,"Obesity")</f>
        <v>Overweight</v>
      </c>
      <c r="J1072" t="str" cm="1">
        <f t="array" ref="J1072">_xlfn.IFS(C1072&lt;5.7,"Normal",AND(C1072&gt;=5.7,C1072&lt;=6.49),"Prediabetes",C1072&gt;=6.5,"Diabetes")</f>
        <v>Prediabetes</v>
      </c>
    </row>
    <row r="1073" spans="1:10" x14ac:dyDescent="0.3">
      <c r="A1073" t="s">
        <v>1299</v>
      </c>
      <c r="B1073" s="8">
        <v>29.99</v>
      </c>
      <c r="C1073">
        <v>11.85</v>
      </c>
      <c r="D1073" t="s">
        <v>2379</v>
      </c>
      <c r="E1073" t="s">
        <v>2379</v>
      </c>
      <c r="F1073" t="s">
        <v>2379</v>
      </c>
      <c r="G1073">
        <v>0</v>
      </c>
      <c r="H1073" t="s">
        <v>2379</v>
      </c>
      <c r="I1073" t="str" cm="1">
        <f t="array" ref="I1073">_xlfn.IFS(B1073&lt;18.5,"Underweight",AND(B1073&gt;=18.5,B1073&lt;=24.99),"Normalweight",AND(B1073&gt;=25,B1073&lt;=29.99),"Overweight",B1073&gt;=30,"Obesity")</f>
        <v>Overweight</v>
      </c>
      <c r="J1073" t="str" cm="1">
        <f t="array" ref="J1073">_xlfn.IFS(C1073&lt;5.7,"Normal",AND(C1073&gt;=5.7,C1073&lt;=6.49),"Prediabetes",C1073&gt;=6.5,"Diabetes")</f>
        <v>Diabetes</v>
      </c>
    </row>
    <row r="1074" spans="1:10" x14ac:dyDescent="0.3">
      <c r="A1074" t="s">
        <v>1298</v>
      </c>
      <c r="B1074" s="8">
        <v>36.380000000000003</v>
      </c>
      <c r="C1074">
        <v>5.98</v>
      </c>
      <c r="D1074" t="s">
        <v>2379</v>
      </c>
      <c r="E1074" t="s">
        <v>2379</v>
      </c>
      <c r="F1074" t="s">
        <v>2379</v>
      </c>
      <c r="G1074">
        <v>1</v>
      </c>
      <c r="H1074" t="s">
        <v>2379</v>
      </c>
      <c r="I1074" t="str" cm="1">
        <f t="array" ref="I1074">_xlfn.IFS(B1074&lt;18.5,"Underweight",AND(B1074&gt;=18.5,B1074&lt;=24.99),"Normalweight",AND(B1074&gt;=25,B1074&lt;=29.99),"Overweight",B1074&gt;=30,"Obesity")</f>
        <v>Obesity</v>
      </c>
      <c r="J1074" t="str" cm="1">
        <f t="array" ref="J1074">_xlfn.IFS(C1074&lt;5.7,"Normal",AND(C1074&gt;=5.7,C1074&lt;=6.49),"Prediabetes",C1074&gt;=6.5,"Diabetes")</f>
        <v>Prediabetes</v>
      </c>
    </row>
    <row r="1075" spans="1:10" x14ac:dyDescent="0.3">
      <c r="A1075" t="s">
        <v>1297</v>
      </c>
      <c r="B1075" s="8">
        <v>31.16</v>
      </c>
      <c r="C1075">
        <v>4.26</v>
      </c>
      <c r="D1075" t="s">
        <v>2381</v>
      </c>
      <c r="E1075" t="s">
        <v>2379</v>
      </c>
      <c r="F1075" t="s">
        <v>2381</v>
      </c>
      <c r="G1075">
        <v>1</v>
      </c>
      <c r="H1075" t="s">
        <v>2379</v>
      </c>
      <c r="I1075" t="str" cm="1">
        <f t="array" ref="I1075">_xlfn.IFS(B1075&lt;18.5,"Underweight",AND(B1075&gt;=18.5,B1075&lt;=24.99),"Normalweight",AND(B1075&gt;=25,B1075&lt;=29.99),"Overweight",B1075&gt;=30,"Obesity")</f>
        <v>Obesity</v>
      </c>
      <c r="J1075" t="str" cm="1">
        <f t="array" ref="J1075">_xlfn.IFS(C1075&lt;5.7,"Normal",AND(C1075&gt;=5.7,C1075&lt;=6.49),"Prediabetes",C1075&gt;=6.5,"Diabetes")</f>
        <v>Normal</v>
      </c>
    </row>
    <row r="1076" spans="1:10" x14ac:dyDescent="0.3">
      <c r="A1076" t="s">
        <v>1296</v>
      </c>
      <c r="B1076" s="8">
        <v>25.55</v>
      </c>
      <c r="C1076">
        <v>4.96</v>
      </c>
      <c r="D1076" t="s">
        <v>2381</v>
      </c>
      <c r="E1076" t="s">
        <v>2379</v>
      </c>
      <c r="F1076" t="s">
        <v>2379</v>
      </c>
      <c r="G1076">
        <v>1</v>
      </c>
      <c r="H1076" t="s">
        <v>2379</v>
      </c>
      <c r="I1076" t="str" cm="1">
        <f t="array" ref="I1076">_xlfn.IFS(B1076&lt;18.5,"Underweight",AND(B1076&gt;=18.5,B1076&lt;=24.99),"Normalweight",AND(B1076&gt;=25,B1076&lt;=29.99),"Overweight",B1076&gt;=30,"Obesity")</f>
        <v>Overweight</v>
      </c>
      <c r="J1076" t="str" cm="1">
        <f t="array" ref="J1076">_xlfn.IFS(C1076&lt;5.7,"Normal",AND(C1076&gt;=5.7,C1076&lt;=6.49),"Prediabetes",C1076&gt;=6.5,"Diabetes")</f>
        <v>Normal</v>
      </c>
    </row>
    <row r="1077" spans="1:10" x14ac:dyDescent="0.3">
      <c r="A1077" t="s">
        <v>1295</v>
      </c>
      <c r="B1077" s="8">
        <v>28.77</v>
      </c>
      <c r="C1077">
        <v>4</v>
      </c>
      <c r="D1077" t="s">
        <v>2381</v>
      </c>
      <c r="E1077" t="s">
        <v>2379</v>
      </c>
      <c r="F1077" t="s">
        <v>2379</v>
      </c>
      <c r="G1077">
        <v>0</v>
      </c>
      <c r="H1077" t="s">
        <v>2379</v>
      </c>
      <c r="I1077" t="str" cm="1">
        <f t="array" ref="I1077">_xlfn.IFS(B1077&lt;18.5,"Underweight",AND(B1077&gt;=18.5,B1077&lt;=24.99),"Normalweight",AND(B1077&gt;=25,B1077&lt;=29.99),"Overweight",B1077&gt;=30,"Obesity")</f>
        <v>Overweight</v>
      </c>
      <c r="J1077" t="str" cm="1">
        <f t="array" ref="J1077">_xlfn.IFS(C1077&lt;5.7,"Normal",AND(C1077&gt;=5.7,C1077&lt;=6.49),"Prediabetes",C1077&gt;=6.5,"Diabetes")</f>
        <v>Normal</v>
      </c>
    </row>
    <row r="1078" spans="1:10" x14ac:dyDescent="0.3">
      <c r="A1078" t="s">
        <v>1294</v>
      </c>
      <c r="B1078" s="8">
        <v>23.14</v>
      </c>
      <c r="C1078">
        <v>4.1500000000000004</v>
      </c>
      <c r="D1078" t="s">
        <v>2381</v>
      </c>
      <c r="E1078" t="s">
        <v>2379</v>
      </c>
      <c r="F1078" t="s">
        <v>2379</v>
      </c>
      <c r="G1078">
        <v>1</v>
      </c>
      <c r="H1078" t="s">
        <v>2379</v>
      </c>
      <c r="I1078" t="str" cm="1">
        <f t="array" ref="I1078">_xlfn.IFS(B1078&lt;18.5,"Underweight",AND(B1078&gt;=18.5,B1078&lt;=24.99),"Normalweight",AND(B1078&gt;=25,B1078&lt;=29.99),"Overweight",B1078&gt;=30,"Obesity")</f>
        <v>Normalweight</v>
      </c>
      <c r="J1078" t="str" cm="1">
        <f t="array" ref="J1078">_xlfn.IFS(C1078&lt;5.7,"Normal",AND(C1078&gt;=5.7,C1078&lt;=6.49),"Prediabetes",C1078&gt;=6.5,"Diabetes")</f>
        <v>Normal</v>
      </c>
    </row>
    <row r="1079" spans="1:10" x14ac:dyDescent="0.3">
      <c r="A1079" t="s">
        <v>1293</v>
      </c>
      <c r="B1079" s="8">
        <v>39.6</v>
      </c>
      <c r="C1079">
        <v>11.36</v>
      </c>
      <c r="D1079" t="s">
        <v>2379</v>
      </c>
      <c r="E1079" t="s">
        <v>2379</v>
      </c>
      <c r="F1079" t="s">
        <v>2379</v>
      </c>
      <c r="G1079">
        <v>0</v>
      </c>
      <c r="H1079" t="s">
        <v>2379</v>
      </c>
      <c r="I1079" t="str" cm="1">
        <f t="array" ref="I1079">_xlfn.IFS(B1079&lt;18.5,"Underweight",AND(B1079&gt;=18.5,B1079&lt;=24.99),"Normalweight",AND(B1079&gt;=25,B1079&lt;=29.99),"Overweight",B1079&gt;=30,"Obesity")</f>
        <v>Obesity</v>
      </c>
      <c r="J1079" t="str" cm="1">
        <f t="array" ref="J1079">_xlfn.IFS(C1079&lt;5.7,"Normal",AND(C1079&gt;=5.7,C1079&lt;=6.49),"Prediabetes",C1079&gt;=6.5,"Diabetes")</f>
        <v>Diabetes</v>
      </c>
    </row>
    <row r="1080" spans="1:10" x14ac:dyDescent="0.3">
      <c r="A1080" t="s">
        <v>1292</v>
      </c>
      <c r="B1080" s="8">
        <v>29.2</v>
      </c>
      <c r="C1080">
        <v>7.53</v>
      </c>
      <c r="D1080" t="s">
        <v>2379</v>
      </c>
      <c r="E1080" t="s">
        <v>2379</v>
      </c>
      <c r="F1080" t="s">
        <v>2379</v>
      </c>
      <c r="G1080">
        <v>0</v>
      </c>
      <c r="H1080" t="s">
        <v>2379</v>
      </c>
      <c r="I1080" t="str" cm="1">
        <f t="array" ref="I1080">_xlfn.IFS(B1080&lt;18.5,"Underweight",AND(B1080&gt;=18.5,B1080&lt;=24.99),"Normalweight",AND(B1080&gt;=25,B1080&lt;=29.99),"Overweight",B1080&gt;=30,"Obesity")</f>
        <v>Overweight</v>
      </c>
      <c r="J1080" t="str" cm="1">
        <f t="array" ref="J1080">_xlfn.IFS(C1080&lt;5.7,"Normal",AND(C1080&gt;=5.7,C1080&lt;=6.49),"Prediabetes",C1080&gt;=6.5,"Diabetes")</f>
        <v>Diabetes</v>
      </c>
    </row>
    <row r="1081" spans="1:10" x14ac:dyDescent="0.3">
      <c r="A1081" t="s">
        <v>1291</v>
      </c>
      <c r="B1081" s="8">
        <v>32.774999999999999</v>
      </c>
      <c r="C1081">
        <v>7.95</v>
      </c>
      <c r="D1081" t="s">
        <v>2379</v>
      </c>
      <c r="E1081" t="s">
        <v>2379</v>
      </c>
      <c r="F1081" t="s">
        <v>2379</v>
      </c>
      <c r="G1081">
        <v>0</v>
      </c>
      <c r="H1081" t="s">
        <v>2379</v>
      </c>
      <c r="I1081" t="str" cm="1">
        <f t="array" ref="I1081">_xlfn.IFS(B1081&lt;18.5,"Underweight",AND(B1081&gt;=18.5,B1081&lt;=24.99),"Normalweight",AND(B1081&gt;=25,B1081&lt;=29.99),"Overweight",B1081&gt;=30,"Obesity")</f>
        <v>Obesity</v>
      </c>
      <c r="J1081" t="str" cm="1">
        <f t="array" ref="J1081">_xlfn.IFS(C1081&lt;5.7,"Normal",AND(C1081&gt;=5.7,C1081&lt;=6.49),"Prediabetes",C1081&gt;=6.5,"Diabetes")</f>
        <v>Diabetes</v>
      </c>
    </row>
    <row r="1082" spans="1:10" x14ac:dyDescent="0.3">
      <c r="A1082" t="s">
        <v>1290</v>
      </c>
      <c r="B1082" s="8">
        <v>24.035</v>
      </c>
      <c r="C1082">
        <v>8.5</v>
      </c>
      <c r="D1082" t="s">
        <v>2379</v>
      </c>
      <c r="E1082" t="s">
        <v>2379</v>
      </c>
      <c r="F1082" t="s">
        <v>2379</v>
      </c>
      <c r="G1082">
        <v>0</v>
      </c>
      <c r="H1082" t="s">
        <v>2379</v>
      </c>
      <c r="I1082" t="str" cm="1">
        <f t="array" ref="I1082">_xlfn.IFS(B1082&lt;18.5,"Underweight",AND(B1082&gt;=18.5,B1082&lt;=24.99),"Normalweight",AND(B1082&gt;=25,B1082&lt;=29.99),"Overweight",B1082&gt;=30,"Obesity")</f>
        <v>Normalweight</v>
      </c>
      <c r="J1082" t="str" cm="1">
        <f t="array" ref="J1082">_xlfn.IFS(C1082&lt;5.7,"Normal",AND(C1082&gt;=5.7,C1082&lt;=6.49),"Prediabetes",C1082&gt;=6.5,"Diabetes")</f>
        <v>Diabetes</v>
      </c>
    </row>
    <row r="1083" spans="1:10" x14ac:dyDescent="0.3">
      <c r="A1083" t="s">
        <v>1289</v>
      </c>
      <c r="B1083" s="8">
        <v>30.55</v>
      </c>
      <c r="C1083">
        <v>5.89</v>
      </c>
      <c r="D1083" t="s">
        <v>2379</v>
      </c>
      <c r="E1083" t="s">
        <v>2379</v>
      </c>
      <c r="F1083" t="s">
        <v>2381</v>
      </c>
      <c r="G1083">
        <v>1</v>
      </c>
      <c r="H1083" t="s">
        <v>2379</v>
      </c>
      <c r="I1083" t="str" cm="1">
        <f t="array" ref="I1083">_xlfn.IFS(B1083&lt;18.5,"Underweight",AND(B1083&gt;=18.5,B1083&lt;=24.99),"Normalweight",AND(B1083&gt;=25,B1083&lt;=29.99),"Overweight",B1083&gt;=30,"Obesity")</f>
        <v>Obesity</v>
      </c>
      <c r="J1083" t="str" cm="1">
        <f t="array" ref="J1083">_xlfn.IFS(C1083&lt;5.7,"Normal",AND(C1083&gt;=5.7,C1083&lt;=6.49),"Prediabetes",C1083&gt;=6.5,"Diabetes")</f>
        <v>Prediabetes</v>
      </c>
    </row>
    <row r="1084" spans="1:10" x14ac:dyDescent="0.3">
      <c r="A1084" t="s">
        <v>1288</v>
      </c>
      <c r="B1084" s="8">
        <v>28.81</v>
      </c>
      <c r="C1084">
        <v>8.76</v>
      </c>
      <c r="D1084" t="s">
        <v>2379</v>
      </c>
      <c r="E1084" t="s">
        <v>2379</v>
      </c>
      <c r="F1084" t="s">
        <v>2379</v>
      </c>
      <c r="G1084">
        <v>2</v>
      </c>
      <c r="H1084" t="s">
        <v>2379</v>
      </c>
      <c r="I1084" t="str" cm="1">
        <f t="array" ref="I1084">_xlfn.IFS(B1084&lt;18.5,"Underweight",AND(B1084&gt;=18.5,B1084&lt;=24.99),"Normalweight",AND(B1084&gt;=25,B1084&lt;=29.99),"Overweight",B1084&gt;=30,"Obesity")</f>
        <v>Overweight</v>
      </c>
      <c r="J1084" t="str" cm="1">
        <f t="array" ref="J1084">_xlfn.IFS(C1084&lt;5.7,"Normal",AND(C1084&gt;=5.7,C1084&lt;=6.49),"Prediabetes",C1084&gt;=6.5,"Diabetes")</f>
        <v>Diabetes</v>
      </c>
    </row>
    <row r="1085" spans="1:10" x14ac:dyDescent="0.3">
      <c r="A1085" t="s">
        <v>1287</v>
      </c>
      <c r="B1085" s="8">
        <v>31.66</v>
      </c>
      <c r="C1085">
        <v>4.1100000000000003</v>
      </c>
      <c r="D1085" t="s">
        <v>2379</v>
      </c>
      <c r="E1085" t="s">
        <v>2379</v>
      </c>
      <c r="F1085" t="s">
        <v>2379</v>
      </c>
      <c r="G1085">
        <v>0</v>
      </c>
      <c r="H1085" t="s">
        <v>2379</v>
      </c>
      <c r="I1085" t="str" cm="1">
        <f t="array" ref="I1085">_xlfn.IFS(B1085&lt;18.5,"Underweight",AND(B1085&gt;=18.5,B1085&lt;=24.99),"Normalweight",AND(B1085&gt;=25,B1085&lt;=29.99),"Overweight",B1085&gt;=30,"Obesity")</f>
        <v>Obesity</v>
      </c>
      <c r="J1085" t="str" cm="1">
        <f t="array" ref="J1085">_xlfn.IFS(C1085&lt;5.7,"Normal",AND(C1085&gt;=5.7,C1085&lt;=6.49),"Prediabetes",C1085&gt;=6.5,"Diabetes")</f>
        <v>Normal</v>
      </c>
    </row>
    <row r="1086" spans="1:10" x14ac:dyDescent="0.3">
      <c r="A1086" t="s">
        <v>1286</v>
      </c>
      <c r="B1086" s="8">
        <v>28.215</v>
      </c>
      <c r="C1086">
        <v>7.56</v>
      </c>
      <c r="D1086" t="s">
        <v>2381</v>
      </c>
      <c r="E1086" t="s">
        <v>2379</v>
      </c>
      <c r="F1086" t="s">
        <v>2379</v>
      </c>
      <c r="G1086">
        <v>1</v>
      </c>
      <c r="H1086" t="s">
        <v>2379</v>
      </c>
      <c r="I1086" t="str" cm="1">
        <f t="array" ref="I1086">_xlfn.IFS(B1086&lt;18.5,"Underweight",AND(B1086&gt;=18.5,B1086&lt;=24.99),"Normalweight",AND(B1086&gt;=25,B1086&lt;=29.99),"Overweight",B1086&gt;=30,"Obesity")</f>
        <v>Overweight</v>
      </c>
      <c r="J1086" t="str" cm="1">
        <f t="array" ref="J1086">_xlfn.IFS(C1086&lt;5.7,"Normal",AND(C1086&gt;=5.7,C1086&lt;=6.49),"Prediabetes",C1086&gt;=6.5,"Diabetes")</f>
        <v>Diabetes</v>
      </c>
    </row>
    <row r="1087" spans="1:10" x14ac:dyDescent="0.3">
      <c r="A1087" t="s">
        <v>1285</v>
      </c>
      <c r="B1087" s="8">
        <v>26.12</v>
      </c>
      <c r="C1087">
        <v>4.17</v>
      </c>
      <c r="D1087" t="s">
        <v>2381</v>
      </c>
      <c r="E1087" t="s">
        <v>2379</v>
      </c>
      <c r="F1087" t="s">
        <v>2381</v>
      </c>
      <c r="G1087">
        <v>1</v>
      </c>
      <c r="H1087" t="s">
        <v>2379</v>
      </c>
      <c r="I1087" t="str" cm="1">
        <f t="array" ref="I1087">_xlfn.IFS(B1087&lt;18.5,"Underweight",AND(B1087&gt;=18.5,B1087&lt;=24.99),"Normalweight",AND(B1087&gt;=25,B1087&lt;=29.99),"Overweight",B1087&gt;=30,"Obesity")</f>
        <v>Overweight</v>
      </c>
      <c r="J1087" t="str" cm="1">
        <f t="array" ref="J1087">_xlfn.IFS(C1087&lt;5.7,"Normal",AND(C1087&gt;=5.7,C1087&lt;=6.49),"Prediabetes",C1087&gt;=6.5,"Diabetes")</f>
        <v>Normal</v>
      </c>
    </row>
    <row r="1088" spans="1:10" x14ac:dyDescent="0.3">
      <c r="A1088" t="s">
        <v>1284</v>
      </c>
      <c r="B1088" s="8">
        <v>36.630000000000003</v>
      </c>
      <c r="C1088">
        <v>11.42</v>
      </c>
      <c r="D1088" t="s">
        <v>2379</v>
      </c>
      <c r="E1088" t="s">
        <v>2379</v>
      </c>
      <c r="F1088" t="s">
        <v>2379</v>
      </c>
      <c r="G1088">
        <v>2</v>
      </c>
      <c r="H1088" t="s">
        <v>2379</v>
      </c>
      <c r="I1088" t="str" cm="1">
        <f t="array" ref="I1088">_xlfn.IFS(B1088&lt;18.5,"Underweight",AND(B1088&gt;=18.5,B1088&lt;=24.99),"Normalweight",AND(B1088&gt;=25,B1088&lt;=29.99),"Overweight",B1088&gt;=30,"Obesity")</f>
        <v>Obesity</v>
      </c>
      <c r="J1088" t="str" cm="1">
        <f t="array" ref="J1088">_xlfn.IFS(C1088&lt;5.7,"Normal",AND(C1088&gt;=5.7,C1088&lt;=6.49),"Prediabetes",C1088&gt;=6.5,"Diabetes")</f>
        <v>Diabetes</v>
      </c>
    </row>
    <row r="1089" spans="1:10" x14ac:dyDescent="0.3">
      <c r="A1089" t="s">
        <v>1283</v>
      </c>
      <c r="B1089" s="8">
        <v>33.344999999999999</v>
      </c>
      <c r="C1089">
        <v>7.33</v>
      </c>
      <c r="D1089" t="s">
        <v>2379</v>
      </c>
      <c r="E1089" t="s">
        <v>2379</v>
      </c>
      <c r="F1089" t="s">
        <v>2379</v>
      </c>
      <c r="G1089">
        <v>2</v>
      </c>
      <c r="H1089" t="s">
        <v>2379</v>
      </c>
      <c r="I1089" t="str" cm="1">
        <f t="array" ref="I1089">_xlfn.IFS(B1089&lt;18.5,"Underweight",AND(B1089&gt;=18.5,B1089&lt;=24.99),"Normalweight",AND(B1089&gt;=25,B1089&lt;=29.99),"Overweight",B1089&gt;=30,"Obesity")</f>
        <v>Obesity</v>
      </c>
      <c r="J1089" t="str" cm="1">
        <f t="array" ref="J1089">_xlfn.IFS(C1089&lt;5.7,"Normal",AND(C1089&gt;=5.7,C1089&lt;=6.49),"Prediabetes",C1089&gt;=6.5,"Diabetes")</f>
        <v>Diabetes</v>
      </c>
    </row>
    <row r="1090" spans="1:10" x14ac:dyDescent="0.3">
      <c r="A1090" t="s">
        <v>1282</v>
      </c>
      <c r="B1090" s="8">
        <v>27.11</v>
      </c>
      <c r="C1090">
        <v>6.7</v>
      </c>
      <c r="D1090" t="s">
        <v>2379</v>
      </c>
      <c r="E1090" t="s">
        <v>2379</v>
      </c>
      <c r="F1090" t="s">
        <v>2379</v>
      </c>
      <c r="G1090">
        <v>0</v>
      </c>
      <c r="H1090" t="s">
        <v>2379</v>
      </c>
      <c r="I1090" t="str" cm="1">
        <f t="array" ref="I1090">_xlfn.IFS(B1090&lt;18.5,"Underweight",AND(B1090&gt;=18.5,B1090&lt;=24.99),"Normalweight",AND(B1090&gt;=25,B1090&lt;=29.99),"Overweight",B1090&gt;=30,"Obesity")</f>
        <v>Overweight</v>
      </c>
      <c r="J1090" t="str" cm="1">
        <f t="array" ref="J1090">_xlfn.IFS(C1090&lt;5.7,"Normal",AND(C1090&gt;=5.7,C1090&lt;=6.49),"Prediabetes",C1090&gt;=6.5,"Diabetes")</f>
        <v>Diabetes</v>
      </c>
    </row>
    <row r="1091" spans="1:10" x14ac:dyDescent="0.3">
      <c r="A1091" t="s">
        <v>1281</v>
      </c>
      <c r="B1091" s="8">
        <v>26.6</v>
      </c>
      <c r="C1091">
        <v>5.27</v>
      </c>
      <c r="D1091" t="s">
        <v>2381</v>
      </c>
      <c r="E1091" t="s">
        <v>2379</v>
      </c>
      <c r="F1091" t="s">
        <v>2381</v>
      </c>
      <c r="G1091">
        <v>1</v>
      </c>
      <c r="H1091" t="s">
        <v>2379</v>
      </c>
      <c r="I1091" t="str" cm="1">
        <f t="array" ref="I1091">_xlfn.IFS(B1091&lt;18.5,"Underweight",AND(B1091&gt;=18.5,B1091&lt;=24.99),"Normalweight",AND(B1091&gt;=25,B1091&lt;=29.99),"Overweight",B1091&gt;=30,"Obesity")</f>
        <v>Overweight</v>
      </c>
      <c r="J1091" t="str" cm="1">
        <f t="array" ref="J1091">_xlfn.IFS(C1091&lt;5.7,"Normal",AND(C1091&gt;=5.7,C1091&lt;=6.49),"Prediabetes",C1091&gt;=6.5,"Diabetes")</f>
        <v>Normal</v>
      </c>
    </row>
    <row r="1092" spans="1:10" x14ac:dyDescent="0.3">
      <c r="A1092" t="s">
        <v>1280</v>
      </c>
      <c r="B1092" s="8">
        <v>30.41</v>
      </c>
      <c r="C1092">
        <v>7.72</v>
      </c>
      <c r="D1092" t="s">
        <v>2379</v>
      </c>
      <c r="E1092" t="s">
        <v>2379</v>
      </c>
      <c r="F1092" t="s">
        <v>2379</v>
      </c>
      <c r="G1092">
        <v>0</v>
      </c>
      <c r="H1092" t="s">
        <v>2379</v>
      </c>
      <c r="I1092" t="str" cm="1">
        <f t="array" ref="I1092">_xlfn.IFS(B1092&lt;18.5,"Underweight",AND(B1092&gt;=18.5,B1092&lt;=24.99),"Normalweight",AND(B1092&gt;=25,B1092&lt;=29.99),"Overweight",B1092&gt;=30,"Obesity")</f>
        <v>Obesity</v>
      </c>
      <c r="J1092" t="str" cm="1">
        <f t="array" ref="J1092">_xlfn.IFS(C1092&lt;5.7,"Normal",AND(C1092&gt;=5.7,C1092&lt;=6.49),"Prediabetes",C1092&gt;=6.5,"Diabetes")</f>
        <v>Diabetes</v>
      </c>
    </row>
    <row r="1093" spans="1:10" x14ac:dyDescent="0.3">
      <c r="A1093" t="s">
        <v>1279</v>
      </c>
      <c r="B1093" s="8">
        <v>28.98</v>
      </c>
      <c r="C1093">
        <v>8.68</v>
      </c>
      <c r="D1093" t="s">
        <v>2379</v>
      </c>
      <c r="E1093" t="s">
        <v>2379</v>
      </c>
      <c r="F1093" t="s">
        <v>2379</v>
      </c>
      <c r="G1093">
        <v>2</v>
      </c>
      <c r="H1093" t="s">
        <v>2379</v>
      </c>
      <c r="I1093" t="str" cm="1">
        <f t="array" ref="I1093">_xlfn.IFS(B1093&lt;18.5,"Underweight",AND(B1093&gt;=18.5,B1093&lt;=24.99),"Normalweight",AND(B1093&gt;=25,B1093&lt;=29.99),"Overweight",B1093&gt;=30,"Obesity")</f>
        <v>Overweight</v>
      </c>
      <c r="J1093" t="str" cm="1">
        <f t="array" ref="J1093">_xlfn.IFS(C1093&lt;5.7,"Normal",AND(C1093&gt;=5.7,C1093&lt;=6.49),"Prediabetes",C1093&gt;=6.5,"Diabetes")</f>
        <v>Diabetes</v>
      </c>
    </row>
    <row r="1094" spans="1:10" x14ac:dyDescent="0.3">
      <c r="A1094" t="s">
        <v>1278</v>
      </c>
      <c r="B1094" s="8">
        <v>31.24</v>
      </c>
      <c r="C1094">
        <v>9.8000000000000007</v>
      </c>
      <c r="D1094" t="s">
        <v>2379</v>
      </c>
      <c r="E1094" t="s">
        <v>2379</v>
      </c>
      <c r="F1094" t="s">
        <v>2379</v>
      </c>
      <c r="G1094">
        <v>0</v>
      </c>
      <c r="H1094" t="s">
        <v>2379</v>
      </c>
      <c r="I1094" t="str" cm="1">
        <f t="array" ref="I1094">_xlfn.IFS(B1094&lt;18.5,"Underweight",AND(B1094&gt;=18.5,B1094&lt;=24.99),"Normalweight",AND(B1094&gt;=25,B1094&lt;=29.99),"Overweight",B1094&gt;=30,"Obesity")</f>
        <v>Obesity</v>
      </c>
      <c r="J1094" t="str" cm="1">
        <f t="array" ref="J1094">_xlfn.IFS(C1094&lt;5.7,"Normal",AND(C1094&gt;=5.7,C1094&lt;=6.49),"Prediabetes",C1094&gt;=6.5,"Diabetes")</f>
        <v>Diabetes</v>
      </c>
    </row>
    <row r="1095" spans="1:10" x14ac:dyDescent="0.3">
      <c r="A1095" t="s">
        <v>1277</v>
      </c>
      <c r="B1095" s="8">
        <v>31.54</v>
      </c>
      <c r="C1095">
        <v>4.4400000000000004</v>
      </c>
      <c r="D1095" t="s">
        <v>2379</v>
      </c>
      <c r="E1095" t="s">
        <v>2379</v>
      </c>
      <c r="F1095" t="s">
        <v>2379</v>
      </c>
      <c r="G1095">
        <v>0</v>
      </c>
      <c r="H1095" t="s">
        <v>2379</v>
      </c>
      <c r="I1095" t="str" cm="1">
        <f t="array" ref="I1095">_xlfn.IFS(B1095&lt;18.5,"Underweight",AND(B1095&gt;=18.5,B1095&lt;=24.99),"Normalweight",AND(B1095&gt;=25,B1095&lt;=29.99),"Overweight",B1095&gt;=30,"Obesity")</f>
        <v>Obesity</v>
      </c>
      <c r="J1095" t="str" cm="1">
        <f t="array" ref="J1095">_xlfn.IFS(C1095&lt;5.7,"Normal",AND(C1095&gt;=5.7,C1095&lt;=6.49),"Prediabetes",C1095&gt;=6.5,"Diabetes")</f>
        <v>Normal</v>
      </c>
    </row>
    <row r="1096" spans="1:10" x14ac:dyDescent="0.3">
      <c r="A1096" t="s">
        <v>1276</v>
      </c>
      <c r="B1096" s="8">
        <v>38.6</v>
      </c>
      <c r="C1096">
        <v>7.19</v>
      </c>
      <c r="D1096" t="s">
        <v>2381</v>
      </c>
      <c r="E1096" t="s">
        <v>2379</v>
      </c>
      <c r="F1096" t="s">
        <v>2379</v>
      </c>
      <c r="G1096">
        <v>2</v>
      </c>
      <c r="H1096" t="s">
        <v>2379</v>
      </c>
      <c r="I1096" t="str" cm="1">
        <f t="array" ref="I1096">_xlfn.IFS(B1096&lt;18.5,"Underweight",AND(B1096&gt;=18.5,B1096&lt;=24.99),"Normalweight",AND(B1096&gt;=25,B1096&lt;=29.99),"Overweight",B1096&gt;=30,"Obesity")</f>
        <v>Obesity</v>
      </c>
      <c r="J1096" t="str" cm="1">
        <f t="array" ref="J1096">_xlfn.IFS(C1096&lt;5.7,"Normal",AND(C1096&gt;=5.7,C1096&lt;=6.49),"Prediabetes",C1096&gt;=6.5,"Diabetes")</f>
        <v>Diabetes</v>
      </c>
    </row>
    <row r="1097" spans="1:10" x14ac:dyDescent="0.3">
      <c r="A1097" t="s">
        <v>1275</v>
      </c>
      <c r="B1097" s="8">
        <v>37.950000000000003</v>
      </c>
      <c r="C1097">
        <v>6.06</v>
      </c>
      <c r="D1097" t="s">
        <v>2379</v>
      </c>
      <c r="E1097" t="s">
        <v>2379</v>
      </c>
      <c r="F1097" t="s">
        <v>2379</v>
      </c>
      <c r="G1097">
        <v>0</v>
      </c>
      <c r="H1097" t="s">
        <v>2379</v>
      </c>
      <c r="I1097" t="str" cm="1">
        <f t="array" ref="I1097">_xlfn.IFS(B1097&lt;18.5,"Underweight",AND(B1097&gt;=18.5,B1097&lt;=24.99),"Normalweight",AND(B1097&gt;=25,B1097&lt;=29.99),"Overweight",B1097&gt;=30,"Obesity")</f>
        <v>Obesity</v>
      </c>
      <c r="J1097" t="str" cm="1">
        <f t="array" ref="J1097">_xlfn.IFS(C1097&lt;5.7,"Normal",AND(C1097&gt;=5.7,C1097&lt;=6.49),"Prediabetes",C1097&gt;=6.5,"Diabetes")</f>
        <v>Prediabetes</v>
      </c>
    </row>
    <row r="1098" spans="1:10" x14ac:dyDescent="0.3">
      <c r="A1098" t="s">
        <v>1274</v>
      </c>
      <c r="B1098" s="8">
        <v>38.97</v>
      </c>
      <c r="C1098">
        <v>5.12</v>
      </c>
      <c r="D1098" t="s">
        <v>2379</v>
      </c>
      <c r="E1098" t="s">
        <v>2379</v>
      </c>
      <c r="F1098" t="s">
        <v>2379</v>
      </c>
      <c r="G1098">
        <v>0</v>
      </c>
      <c r="H1098" t="s">
        <v>2379</v>
      </c>
      <c r="I1098" t="str" cm="1">
        <f t="array" ref="I1098">_xlfn.IFS(B1098&lt;18.5,"Underweight",AND(B1098&gt;=18.5,B1098&lt;=24.99),"Normalweight",AND(B1098&gt;=25,B1098&lt;=29.99),"Overweight",B1098&gt;=30,"Obesity")</f>
        <v>Obesity</v>
      </c>
      <c r="J1098" t="str" cm="1">
        <f t="array" ref="J1098">_xlfn.IFS(C1098&lt;5.7,"Normal",AND(C1098&gt;=5.7,C1098&lt;=6.49),"Prediabetes",C1098&gt;=6.5,"Diabetes")</f>
        <v>Normal</v>
      </c>
    </row>
    <row r="1099" spans="1:10" x14ac:dyDescent="0.3">
      <c r="A1099" t="s">
        <v>1273</v>
      </c>
      <c r="B1099" s="8">
        <v>21.2</v>
      </c>
      <c r="C1099">
        <v>10.72</v>
      </c>
      <c r="D1099" t="s">
        <v>2379</v>
      </c>
      <c r="E1099" t="s">
        <v>2379</v>
      </c>
      <c r="F1099" t="s">
        <v>2379</v>
      </c>
      <c r="G1099">
        <v>0</v>
      </c>
      <c r="H1099" t="s">
        <v>2379</v>
      </c>
      <c r="I1099" t="str" cm="1">
        <f t="array" ref="I1099">_xlfn.IFS(B1099&lt;18.5,"Underweight",AND(B1099&gt;=18.5,B1099&lt;=24.99),"Normalweight",AND(B1099&gt;=25,B1099&lt;=29.99),"Overweight",B1099&gt;=30,"Obesity")</f>
        <v>Normalweight</v>
      </c>
      <c r="J1099" t="str" cm="1">
        <f t="array" ref="J1099">_xlfn.IFS(C1099&lt;5.7,"Normal",AND(C1099&gt;=5.7,C1099&lt;=6.49),"Prediabetes",C1099&gt;=6.5,"Diabetes")</f>
        <v>Diabetes</v>
      </c>
    </row>
    <row r="1100" spans="1:10" x14ac:dyDescent="0.3">
      <c r="A1100" t="s">
        <v>1272</v>
      </c>
      <c r="B1100" s="8">
        <v>23.96</v>
      </c>
      <c r="C1100">
        <v>9.58</v>
      </c>
      <c r="D1100" t="s">
        <v>2381</v>
      </c>
      <c r="E1100" t="s">
        <v>2379</v>
      </c>
      <c r="F1100" t="s">
        <v>2381</v>
      </c>
      <c r="G1100">
        <v>1</v>
      </c>
      <c r="H1100" t="s">
        <v>2379</v>
      </c>
      <c r="I1100" t="str" cm="1">
        <f t="array" ref="I1100">_xlfn.IFS(B1100&lt;18.5,"Underweight",AND(B1100&gt;=18.5,B1100&lt;=24.99),"Normalweight",AND(B1100&gt;=25,B1100&lt;=29.99),"Overweight",B1100&gt;=30,"Obesity")</f>
        <v>Normalweight</v>
      </c>
      <c r="J1100" t="str" cm="1">
        <f t="array" ref="J1100">_xlfn.IFS(C1100&lt;5.7,"Normal",AND(C1100&gt;=5.7,C1100&lt;=6.49),"Prediabetes",C1100&gt;=6.5,"Diabetes")</f>
        <v>Diabetes</v>
      </c>
    </row>
    <row r="1101" spans="1:10" x14ac:dyDescent="0.3">
      <c r="A1101" t="s">
        <v>1271</v>
      </c>
      <c r="B1101" s="8">
        <v>35.93</v>
      </c>
      <c r="C1101">
        <v>6.4</v>
      </c>
      <c r="D1101" t="s">
        <v>2381</v>
      </c>
      <c r="E1101" t="s">
        <v>2379</v>
      </c>
      <c r="F1101" t="s">
        <v>2379</v>
      </c>
      <c r="G1101">
        <v>1</v>
      </c>
      <c r="H1101" t="s">
        <v>2379</v>
      </c>
      <c r="I1101" t="str" cm="1">
        <f t="array" ref="I1101">_xlfn.IFS(B1101&lt;18.5,"Underweight",AND(B1101&gt;=18.5,B1101&lt;=24.99),"Normalweight",AND(B1101&gt;=25,B1101&lt;=29.99),"Overweight",B1101&gt;=30,"Obesity")</f>
        <v>Obesity</v>
      </c>
      <c r="J1101" t="str" cm="1">
        <f t="array" ref="J1101">_xlfn.IFS(C1101&lt;5.7,"Normal",AND(C1101&gt;=5.7,C1101&lt;=6.49),"Prediabetes",C1101&gt;=6.5,"Diabetes")</f>
        <v>Prediabetes</v>
      </c>
    </row>
    <row r="1102" spans="1:10" x14ac:dyDescent="0.3">
      <c r="A1102" t="s">
        <v>1270</v>
      </c>
      <c r="B1102" s="8">
        <v>26.11</v>
      </c>
      <c r="C1102">
        <v>6.8</v>
      </c>
      <c r="D1102" t="s">
        <v>2381</v>
      </c>
      <c r="E1102" t="s">
        <v>2379</v>
      </c>
      <c r="F1102" t="s">
        <v>2379</v>
      </c>
      <c r="G1102">
        <v>2</v>
      </c>
      <c r="H1102" t="s">
        <v>2379</v>
      </c>
      <c r="I1102" t="str" cm="1">
        <f t="array" ref="I1102">_xlfn.IFS(B1102&lt;18.5,"Underweight",AND(B1102&gt;=18.5,B1102&lt;=24.99),"Normalweight",AND(B1102&gt;=25,B1102&lt;=29.99),"Overweight",B1102&gt;=30,"Obesity")</f>
        <v>Overweight</v>
      </c>
      <c r="J1102" t="str" cm="1">
        <f t="array" ref="J1102">_xlfn.IFS(C1102&lt;5.7,"Normal",AND(C1102&gt;=5.7,C1102&lt;=6.49),"Prediabetes",C1102&gt;=6.5,"Diabetes")</f>
        <v>Diabetes</v>
      </c>
    </row>
    <row r="1103" spans="1:10" x14ac:dyDescent="0.3">
      <c r="A1103" t="s">
        <v>1269</v>
      </c>
      <c r="B1103" s="8">
        <v>32.299999999999997</v>
      </c>
      <c r="C1103">
        <v>9.48</v>
      </c>
      <c r="D1103" t="s">
        <v>2379</v>
      </c>
      <c r="E1103" t="s">
        <v>2379</v>
      </c>
      <c r="F1103" t="s">
        <v>2379</v>
      </c>
      <c r="G1103">
        <v>2</v>
      </c>
      <c r="H1103" t="s">
        <v>2379</v>
      </c>
      <c r="I1103" t="str" cm="1">
        <f t="array" ref="I1103">_xlfn.IFS(B1103&lt;18.5,"Underweight",AND(B1103&gt;=18.5,B1103&lt;=24.99),"Normalweight",AND(B1103&gt;=25,B1103&lt;=29.99),"Overweight",B1103&gt;=30,"Obesity")</f>
        <v>Obesity</v>
      </c>
      <c r="J1103" t="str" cm="1">
        <f t="array" ref="J1103">_xlfn.IFS(C1103&lt;5.7,"Normal",AND(C1103&gt;=5.7,C1103&lt;=6.49),"Prediabetes",C1103&gt;=6.5,"Diabetes")</f>
        <v>Diabetes</v>
      </c>
    </row>
    <row r="1104" spans="1:10" x14ac:dyDescent="0.3">
      <c r="A1104" t="s">
        <v>1268</v>
      </c>
      <c r="B1104" s="8">
        <v>28.69</v>
      </c>
      <c r="C1104">
        <v>7.45</v>
      </c>
      <c r="D1104" t="s">
        <v>2379</v>
      </c>
      <c r="E1104" t="s">
        <v>2379</v>
      </c>
      <c r="F1104" t="s">
        <v>2379</v>
      </c>
      <c r="G1104">
        <v>2</v>
      </c>
      <c r="H1104" t="s">
        <v>2379</v>
      </c>
      <c r="I1104" t="str" cm="1">
        <f t="array" ref="I1104">_xlfn.IFS(B1104&lt;18.5,"Underweight",AND(B1104&gt;=18.5,B1104&lt;=24.99),"Normalweight",AND(B1104&gt;=25,B1104&lt;=29.99),"Overweight",B1104&gt;=30,"Obesity")</f>
        <v>Overweight</v>
      </c>
      <c r="J1104" t="str" cm="1">
        <f t="array" ref="J1104">_xlfn.IFS(C1104&lt;5.7,"Normal",AND(C1104&gt;=5.7,C1104&lt;=6.49),"Prediabetes",C1104&gt;=6.5,"Diabetes")</f>
        <v>Diabetes</v>
      </c>
    </row>
    <row r="1105" spans="1:10" x14ac:dyDescent="0.3">
      <c r="A1105" t="s">
        <v>1267</v>
      </c>
      <c r="B1105" s="8">
        <v>31.28</v>
      </c>
      <c r="C1105">
        <v>6.94</v>
      </c>
      <c r="D1105" t="s">
        <v>2381</v>
      </c>
      <c r="E1105" t="s">
        <v>2379</v>
      </c>
      <c r="F1105" t="s">
        <v>2379</v>
      </c>
      <c r="G1105">
        <v>1</v>
      </c>
      <c r="H1105" t="s">
        <v>2379</v>
      </c>
      <c r="I1105" t="str" cm="1">
        <f t="array" ref="I1105">_xlfn.IFS(B1105&lt;18.5,"Underweight",AND(B1105&gt;=18.5,B1105&lt;=24.99),"Normalweight",AND(B1105&gt;=25,B1105&lt;=29.99),"Overweight",B1105&gt;=30,"Obesity")</f>
        <v>Obesity</v>
      </c>
      <c r="J1105" t="str" cm="1">
        <f t="array" ref="J1105">_xlfn.IFS(C1105&lt;5.7,"Normal",AND(C1105&gt;=5.7,C1105&lt;=6.49),"Prediabetes",C1105&gt;=6.5,"Diabetes")</f>
        <v>Diabetes</v>
      </c>
    </row>
    <row r="1106" spans="1:10" x14ac:dyDescent="0.3">
      <c r="A1106" t="s">
        <v>1266</v>
      </c>
      <c r="B1106" s="8">
        <v>30.21</v>
      </c>
      <c r="C1106">
        <v>7.83</v>
      </c>
      <c r="D1106" t="s">
        <v>2379</v>
      </c>
      <c r="E1106" t="s">
        <v>2379</v>
      </c>
      <c r="F1106" t="s">
        <v>2379</v>
      </c>
      <c r="G1106">
        <v>0</v>
      </c>
      <c r="H1106" t="s">
        <v>2379</v>
      </c>
      <c r="I1106" t="str" cm="1">
        <f t="array" ref="I1106">_xlfn.IFS(B1106&lt;18.5,"Underweight",AND(B1106&gt;=18.5,B1106&lt;=24.99),"Normalweight",AND(B1106&gt;=25,B1106&lt;=29.99),"Overweight",B1106&gt;=30,"Obesity")</f>
        <v>Obesity</v>
      </c>
      <c r="J1106" t="str" cm="1">
        <f t="array" ref="J1106">_xlfn.IFS(C1106&lt;5.7,"Normal",AND(C1106&gt;=5.7,C1106&lt;=6.49),"Prediabetes",C1106&gt;=6.5,"Diabetes")</f>
        <v>Diabetes</v>
      </c>
    </row>
    <row r="1107" spans="1:10" x14ac:dyDescent="0.3">
      <c r="A1107" t="s">
        <v>1265</v>
      </c>
      <c r="B1107" s="8">
        <v>38.28</v>
      </c>
      <c r="C1107">
        <v>10.17</v>
      </c>
      <c r="D1107" t="s">
        <v>2381</v>
      </c>
      <c r="E1107" t="s">
        <v>2379</v>
      </c>
      <c r="F1107" t="s">
        <v>2379</v>
      </c>
      <c r="G1107">
        <v>0</v>
      </c>
      <c r="H1107" t="s">
        <v>2379</v>
      </c>
      <c r="I1107" t="str" cm="1">
        <f t="array" ref="I1107">_xlfn.IFS(B1107&lt;18.5,"Underweight",AND(B1107&gt;=18.5,B1107&lt;=24.99),"Normalweight",AND(B1107&gt;=25,B1107&lt;=29.99),"Overweight",B1107&gt;=30,"Obesity")</f>
        <v>Obesity</v>
      </c>
      <c r="J1107" t="str" cm="1">
        <f t="array" ref="J1107">_xlfn.IFS(C1107&lt;5.7,"Normal",AND(C1107&gt;=5.7,C1107&lt;=6.49),"Prediabetes",C1107&gt;=6.5,"Diabetes")</f>
        <v>Diabetes</v>
      </c>
    </row>
    <row r="1108" spans="1:10" x14ac:dyDescent="0.3">
      <c r="A1108" t="s">
        <v>1264</v>
      </c>
      <c r="B1108" s="8">
        <v>29.9</v>
      </c>
      <c r="C1108">
        <v>8.9600000000000009</v>
      </c>
      <c r="D1108" t="s">
        <v>2381</v>
      </c>
      <c r="E1108" t="s">
        <v>2379</v>
      </c>
      <c r="F1108" t="s">
        <v>2379</v>
      </c>
      <c r="G1108">
        <v>0</v>
      </c>
      <c r="H1108" t="s">
        <v>2379</v>
      </c>
      <c r="I1108" t="str" cm="1">
        <f t="array" ref="I1108">_xlfn.IFS(B1108&lt;18.5,"Underweight",AND(B1108&gt;=18.5,B1108&lt;=24.99),"Normalweight",AND(B1108&gt;=25,B1108&lt;=29.99),"Overweight",B1108&gt;=30,"Obesity")</f>
        <v>Overweight</v>
      </c>
      <c r="J1108" t="str" cm="1">
        <f t="array" ref="J1108">_xlfn.IFS(C1108&lt;5.7,"Normal",AND(C1108&gt;=5.7,C1108&lt;=6.49),"Prediabetes",C1108&gt;=6.5,"Diabetes")</f>
        <v>Diabetes</v>
      </c>
    </row>
    <row r="1109" spans="1:10" x14ac:dyDescent="0.3">
      <c r="A1109" t="s">
        <v>1263</v>
      </c>
      <c r="B1109" s="8">
        <v>23.18</v>
      </c>
      <c r="C1109">
        <v>6.96</v>
      </c>
      <c r="D1109" t="s">
        <v>2381</v>
      </c>
      <c r="E1109" t="s">
        <v>2379</v>
      </c>
      <c r="F1109" t="s">
        <v>2379</v>
      </c>
      <c r="G1109">
        <v>2</v>
      </c>
      <c r="H1109" t="s">
        <v>2379</v>
      </c>
      <c r="I1109" t="str" cm="1">
        <f t="array" ref="I1109">_xlfn.IFS(B1109&lt;18.5,"Underweight",AND(B1109&gt;=18.5,B1109&lt;=24.99),"Normalweight",AND(B1109&gt;=25,B1109&lt;=29.99),"Overweight",B1109&gt;=30,"Obesity")</f>
        <v>Normalweight</v>
      </c>
      <c r="J1109" t="str" cm="1">
        <f t="array" ref="J1109">_xlfn.IFS(C1109&lt;5.7,"Normal",AND(C1109&gt;=5.7,C1109&lt;=6.49),"Prediabetes",C1109&gt;=6.5,"Diabetes")</f>
        <v>Diabetes</v>
      </c>
    </row>
    <row r="1110" spans="1:10" x14ac:dyDescent="0.3">
      <c r="A1110" t="s">
        <v>1262</v>
      </c>
      <c r="B1110" s="8">
        <v>33.020000000000003</v>
      </c>
      <c r="C1110">
        <v>5.07</v>
      </c>
      <c r="D1110" t="s">
        <v>2381</v>
      </c>
      <c r="E1110" t="s">
        <v>2379</v>
      </c>
      <c r="F1110" t="s">
        <v>2379</v>
      </c>
      <c r="G1110">
        <v>0</v>
      </c>
      <c r="H1110" t="s">
        <v>2379</v>
      </c>
      <c r="I1110" t="str" cm="1">
        <f t="array" ref="I1110">_xlfn.IFS(B1110&lt;18.5,"Underweight",AND(B1110&gt;=18.5,B1110&lt;=24.99),"Normalweight",AND(B1110&gt;=25,B1110&lt;=29.99),"Overweight",B1110&gt;=30,"Obesity")</f>
        <v>Obesity</v>
      </c>
      <c r="J1110" t="str" cm="1">
        <f t="array" ref="J1110">_xlfn.IFS(C1110&lt;5.7,"Normal",AND(C1110&gt;=5.7,C1110&lt;=6.49),"Prediabetes",C1110&gt;=6.5,"Diabetes")</f>
        <v>Normal</v>
      </c>
    </row>
    <row r="1111" spans="1:10" x14ac:dyDescent="0.3">
      <c r="A1111" t="s">
        <v>1261</v>
      </c>
      <c r="B1111" s="8">
        <v>27.29</v>
      </c>
      <c r="C1111">
        <v>5.85</v>
      </c>
      <c r="D1111" t="s">
        <v>2379</v>
      </c>
      <c r="E1111" t="s">
        <v>2379</v>
      </c>
      <c r="F1111" t="s">
        <v>2379</v>
      </c>
      <c r="G1111">
        <v>2</v>
      </c>
      <c r="H1111" t="s">
        <v>2379</v>
      </c>
      <c r="I1111" t="str" cm="1">
        <f t="array" ref="I1111">_xlfn.IFS(B1111&lt;18.5,"Underweight",AND(B1111&gt;=18.5,B1111&lt;=24.99),"Normalweight",AND(B1111&gt;=25,B1111&lt;=29.99),"Overweight",B1111&gt;=30,"Obesity")</f>
        <v>Overweight</v>
      </c>
      <c r="J1111" t="str" cm="1">
        <f t="array" ref="J1111">_xlfn.IFS(C1111&lt;5.7,"Normal",AND(C1111&gt;=5.7,C1111&lt;=6.49),"Prediabetes",C1111&gt;=6.5,"Diabetes")</f>
        <v>Prediabetes</v>
      </c>
    </row>
    <row r="1112" spans="1:10" x14ac:dyDescent="0.3">
      <c r="A1112" t="s">
        <v>1260</v>
      </c>
      <c r="B1112" s="8">
        <v>23.18</v>
      </c>
      <c r="C1112">
        <v>10.56</v>
      </c>
      <c r="D1112" t="s">
        <v>2379</v>
      </c>
      <c r="E1112" t="s">
        <v>2379</v>
      </c>
      <c r="F1112" t="s">
        <v>2379</v>
      </c>
      <c r="G1112">
        <v>2</v>
      </c>
      <c r="H1112" t="s">
        <v>2379</v>
      </c>
      <c r="I1112" t="str" cm="1">
        <f t="array" ref="I1112">_xlfn.IFS(B1112&lt;18.5,"Underweight",AND(B1112&gt;=18.5,B1112&lt;=24.99),"Normalweight",AND(B1112&gt;=25,B1112&lt;=29.99),"Overweight",B1112&gt;=30,"Obesity")</f>
        <v>Normalweight</v>
      </c>
      <c r="J1112" t="str" cm="1">
        <f t="array" ref="J1112">_xlfn.IFS(C1112&lt;5.7,"Normal",AND(C1112&gt;=5.7,C1112&lt;=6.49),"Prediabetes",C1112&gt;=6.5,"Diabetes")</f>
        <v>Diabetes</v>
      </c>
    </row>
    <row r="1113" spans="1:10" x14ac:dyDescent="0.3">
      <c r="A1113" t="s">
        <v>1259</v>
      </c>
      <c r="B1113" s="8">
        <v>32.659999999999997</v>
      </c>
      <c r="C1113">
        <v>8.92</v>
      </c>
      <c r="D1113" t="s">
        <v>2381</v>
      </c>
      <c r="E1113" t="s">
        <v>2379</v>
      </c>
      <c r="F1113" t="s">
        <v>2379</v>
      </c>
      <c r="G1113">
        <v>0</v>
      </c>
      <c r="H1113" t="s">
        <v>2379</v>
      </c>
      <c r="I1113" t="str" cm="1">
        <f t="array" ref="I1113">_xlfn.IFS(B1113&lt;18.5,"Underweight",AND(B1113&gt;=18.5,B1113&lt;=24.99),"Normalweight",AND(B1113&gt;=25,B1113&lt;=29.99),"Overweight",B1113&gt;=30,"Obesity")</f>
        <v>Obesity</v>
      </c>
      <c r="J1113" t="str" cm="1">
        <f t="array" ref="J1113">_xlfn.IFS(C1113&lt;5.7,"Normal",AND(C1113&gt;=5.7,C1113&lt;=6.49),"Prediabetes",C1113&gt;=6.5,"Diabetes")</f>
        <v>Diabetes</v>
      </c>
    </row>
    <row r="1114" spans="1:10" x14ac:dyDescent="0.3">
      <c r="A1114" t="s">
        <v>1258</v>
      </c>
      <c r="B1114" s="8">
        <v>30.78</v>
      </c>
      <c r="C1114">
        <v>8.6300000000000008</v>
      </c>
      <c r="D1114" t="s">
        <v>2379</v>
      </c>
      <c r="E1114" t="s">
        <v>2379</v>
      </c>
      <c r="F1114" t="s">
        <v>2379</v>
      </c>
      <c r="G1114">
        <v>0</v>
      </c>
      <c r="H1114" t="s">
        <v>2379</v>
      </c>
      <c r="I1114" t="str" cm="1">
        <f t="array" ref="I1114">_xlfn.IFS(B1114&lt;18.5,"Underweight",AND(B1114&gt;=18.5,B1114&lt;=24.99),"Normalweight",AND(B1114&gt;=25,B1114&lt;=29.99),"Overweight",B1114&gt;=30,"Obesity")</f>
        <v>Obesity</v>
      </c>
      <c r="J1114" t="str" cm="1">
        <f t="array" ref="J1114">_xlfn.IFS(C1114&lt;5.7,"Normal",AND(C1114&gt;=5.7,C1114&lt;=6.49),"Prediabetes",C1114&gt;=6.5,"Diabetes")</f>
        <v>Diabetes</v>
      </c>
    </row>
    <row r="1115" spans="1:10" x14ac:dyDescent="0.3">
      <c r="A1115" t="s">
        <v>1257</v>
      </c>
      <c r="B1115" s="8">
        <v>47.2</v>
      </c>
      <c r="C1115">
        <v>6.29</v>
      </c>
      <c r="D1115" t="s">
        <v>2381</v>
      </c>
      <c r="E1115" t="s">
        <v>2379</v>
      </c>
      <c r="F1115" t="s">
        <v>2381</v>
      </c>
      <c r="G1115">
        <v>1</v>
      </c>
      <c r="H1115" t="s">
        <v>2379</v>
      </c>
      <c r="I1115" t="str" cm="1">
        <f t="array" ref="I1115">_xlfn.IFS(B1115&lt;18.5,"Underweight",AND(B1115&gt;=18.5,B1115&lt;=24.99),"Normalweight",AND(B1115&gt;=25,B1115&lt;=29.99),"Overweight",B1115&gt;=30,"Obesity")</f>
        <v>Obesity</v>
      </c>
      <c r="J1115" t="str" cm="1">
        <f t="array" ref="J1115">_xlfn.IFS(C1115&lt;5.7,"Normal",AND(C1115&gt;=5.7,C1115&lt;=6.49),"Prediabetes",C1115&gt;=6.5,"Diabetes")</f>
        <v>Prediabetes</v>
      </c>
    </row>
    <row r="1116" spans="1:10" x14ac:dyDescent="0.3">
      <c r="A1116" t="s">
        <v>1256</v>
      </c>
      <c r="B1116" s="8">
        <v>31.6</v>
      </c>
      <c r="C1116">
        <v>5.75</v>
      </c>
      <c r="D1116" t="s">
        <v>2379</v>
      </c>
      <c r="E1116" t="s">
        <v>2379</v>
      </c>
      <c r="F1116" t="s">
        <v>2379</v>
      </c>
      <c r="G1116">
        <v>2</v>
      </c>
      <c r="H1116" t="s">
        <v>2379</v>
      </c>
      <c r="I1116" t="str" cm="1">
        <f t="array" ref="I1116">_xlfn.IFS(B1116&lt;18.5,"Underweight",AND(B1116&gt;=18.5,B1116&lt;=24.99),"Normalweight",AND(B1116&gt;=25,B1116&lt;=29.99),"Overweight",B1116&gt;=30,"Obesity")</f>
        <v>Obesity</v>
      </c>
      <c r="J1116" t="str" cm="1">
        <f t="array" ref="J1116">_xlfn.IFS(C1116&lt;5.7,"Normal",AND(C1116&gt;=5.7,C1116&lt;=6.49),"Prediabetes",C1116&gt;=6.5,"Diabetes")</f>
        <v>Prediabetes</v>
      </c>
    </row>
    <row r="1117" spans="1:10" x14ac:dyDescent="0.3">
      <c r="A1117" t="s">
        <v>1255</v>
      </c>
      <c r="B1117" s="8">
        <v>33.914999999999999</v>
      </c>
      <c r="C1117">
        <v>6.66</v>
      </c>
      <c r="D1117" t="s">
        <v>2381</v>
      </c>
      <c r="E1117" t="s">
        <v>2379</v>
      </c>
      <c r="F1117" t="s">
        <v>2379</v>
      </c>
      <c r="G1117">
        <v>1</v>
      </c>
      <c r="H1117" t="s">
        <v>2379</v>
      </c>
      <c r="I1117" t="str" cm="1">
        <f t="array" ref="I1117">_xlfn.IFS(B1117&lt;18.5,"Underweight",AND(B1117&gt;=18.5,B1117&lt;=24.99),"Normalweight",AND(B1117&gt;=25,B1117&lt;=29.99),"Overweight",B1117&gt;=30,"Obesity")</f>
        <v>Obesity</v>
      </c>
      <c r="J1117" t="str" cm="1">
        <f t="array" ref="J1117">_xlfn.IFS(C1117&lt;5.7,"Normal",AND(C1117&gt;=5.7,C1117&lt;=6.49),"Prediabetes",C1117&gt;=6.5,"Diabetes")</f>
        <v>Diabetes</v>
      </c>
    </row>
    <row r="1118" spans="1:10" x14ac:dyDescent="0.3">
      <c r="A1118" t="s">
        <v>1254</v>
      </c>
      <c r="B1118" s="8">
        <v>23.54</v>
      </c>
      <c r="C1118">
        <v>5.0999999999999996</v>
      </c>
      <c r="D1118" t="s">
        <v>2379</v>
      </c>
      <c r="E1118" t="s">
        <v>2379</v>
      </c>
      <c r="F1118" t="s">
        <v>2379</v>
      </c>
      <c r="G1118">
        <v>2</v>
      </c>
      <c r="H1118" t="s">
        <v>2379</v>
      </c>
      <c r="I1118" t="str" cm="1">
        <f t="array" ref="I1118">_xlfn.IFS(B1118&lt;18.5,"Underweight",AND(B1118&gt;=18.5,B1118&lt;=24.99),"Normalweight",AND(B1118&gt;=25,B1118&lt;=29.99),"Overweight",B1118&gt;=30,"Obesity")</f>
        <v>Normalweight</v>
      </c>
      <c r="J1118" t="str" cm="1">
        <f t="array" ref="J1118">_xlfn.IFS(C1118&lt;5.7,"Normal",AND(C1118&gt;=5.7,C1118&lt;=6.49),"Prediabetes",C1118&gt;=6.5,"Diabetes")</f>
        <v>Normal</v>
      </c>
    </row>
    <row r="1119" spans="1:10" x14ac:dyDescent="0.3">
      <c r="A1119" t="s">
        <v>1253</v>
      </c>
      <c r="B1119" s="8">
        <v>27.074999999999999</v>
      </c>
      <c r="C1119">
        <v>4.41</v>
      </c>
      <c r="D1119" t="s">
        <v>2379</v>
      </c>
      <c r="E1119" t="s">
        <v>2379</v>
      </c>
      <c r="F1119" t="s">
        <v>2379</v>
      </c>
      <c r="G1119">
        <v>2</v>
      </c>
      <c r="H1119" t="s">
        <v>2379</v>
      </c>
      <c r="I1119" t="str" cm="1">
        <f t="array" ref="I1119">_xlfn.IFS(B1119&lt;18.5,"Underweight",AND(B1119&gt;=18.5,B1119&lt;=24.99),"Normalweight",AND(B1119&gt;=25,B1119&lt;=29.99),"Overweight",B1119&gt;=30,"Obesity")</f>
        <v>Overweight</v>
      </c>
      <c r="J1119" t="str" cm="1">
        <f t="array" ref="J1119">_xlfn.IFS(C1119&lt;5.7,"Normal",AND(C1119&gt;=5.7,C1119&lt;=6.49),"Prediabetes",C1119&gt;=6.5,"Diabetes")</f>
        <v>Normal</v>
      </c>
    </row>
    <row r="1120" spans="1:10" x14ac:dyDescent="0.3">
      <c r="A1120" t="s">
        <v>1252</v>
      </c>
      <c r="B1120" s="8">
        <v>25.8</v>
      </c>
      <c r="C1120">
        <v>5.52</v>
      </c>
      <c r="D1120" t="s">
        <v>2381</v>
      </c>
      <c r="E1120" t="s">
        <v>2379</v>
      </c>
      <c r="F1120" t="s">
        <v>2379</v>
      </c>
      <c r="G1120">
        <v>0</v>
      </c>
      <c r="H1120" t="s">
        <v>2379</v>
      </c>
      <c r="I1120" t="str" cm="1">
        <f t="array" ref="I1120">_xlfn.IFS(B1120&lt;18.5,"Underweight",AND(B1120&gt;=18.5,B1120&lt;=24.99),"Normalweight",AND(B1120&gt;=25,B1120&lt;=29.99),"Overweight",B1120&gt;=30,"Obesity")</f>
        <v>Overweight</v>
      </c>
      <c r="J1120" t="str" cm="1">
        <f t="array" ref="J1120">_xlfn.IFS(C1120&lt;5.7,"Normal",AND(C1120&gt;=5.7,C1120&lt;=6.49),"Prediabetes",C1120&gt;=6.5,"Diabetes")</f>
        <v>Normal</v>
      </c>
    </row>
    <row r="1121" spans="1:10" x14ac:dyDescent="0.3">
      <c r="A1121" t="s">
        <v>1251</v>
      </c>
      <c r="B1121" s="8">
        <v>36.1</v>
      </c>
      <c r="C1121">
        <v>4.62</v>
      </c>
      <c r="D1121" t="s">
        <v>2381</v>
      </c>
      <c r="E1121" t="s">
        <v>2379</v>
      </c>
      <c r="F1121" t="s">
        <v>2381</v>
      </c>
      <c r="G1121">
        <v>1</v>
      </c>
      <c r="H1121" t="s">
        <v>2379</v>
      </c>
      <c r="I1121" t="str" cm="1">
        <f t="array" ref="I1121">_xlfn.IFS(B1121&lt;18.5,"Underweight",AND(B1121&gt;=18.5,B1121&lt;=24.99),"Normalweight",AND(B1121&gt;=25,B1121&lt;=29.99),"Overweight",B1121&gt;=30,"Obesity")</f>
        <v>Obesity</v>
      </c>
      <c r="J1121" t="str" cm="1">
        <f t="array" ref="J1121">_xlfn.IFS(C1121&lt;5.7,"Normal",AND(C1121&gt;=5.7,C1121&lt;=6.49),"Prediabetes",C1121&gt;=6.5,"Diabetes")</f>
        <v>Normal</v>
      </c>
    </row>
    <row r="1122" spans="1:10" x14ac:dyDescent="0.3">
      <c r="A1122" t="s">
        <v>1250</v>
      </c>
      <c r="B1122" s="8">
        <v>30.495000000000001</v>
      </c>
      <c r="C1122">
        <v>5.74</v>
      </c>
      <c r="D1122" t="s">
        <v>2381</v>
      </c>
      <c r="E1122" t="s">
        <v>2379</v>
      </c>
      <c r="F1122" t="s">
        <v>2381</v>
      </c>
      <c r="G1122">
        <v>1</v>
      </c>
      <c r="H1122" t="s">
        <v>2379</v>
      </c>
      <c r="I1122" t="str" cm="1">
        <f t="array" ref="I1122">_xlfn.IFS(B1122&lt;18.5,"Underweight",AND(B1122&gt;=18.5,B1122&lt;=24.99),"Normalweight",AND(B1122&gt;=25,B1122&lt;=29.99),"Overweight",B1122&gt;=30,"Obesity")</f>
        <v>Obesity</v>
      </c>
      <c r="J1122" t="str" cm="1">
        <f t="array" ref="J1122">_xlfn.IFS(C1122&lt;5.7,"Normal",AND(C1122&gt;=5.7,C1122&lt;=6.49),"Prediabetes",C1122&gt;=6.5,"Diabetes")</f>
        <v>Prediabetes</v>
      </c>
    </row>
    <row r="1123" spans="1:10" x14ac:dyDescent="0.3">
      <c r="A1123" t="s">
        <v>1249</v>
      </c>
      <c r="B1123" s="8">
        <v>21.4</v>
      </c>
      <c r="C1123">
        <v>6.3</v>
      </c>
      <c r="D1123" t="s">
        <v>2381</v>
      </c>
      <c r="E1123" t="s">
        <v>2379</v>
      </c>
      <c r="F1123" t="s">
        <v>2381</v>
      </c>
      <c r="G1123">
        <v>1</v>
      </c>
      <c r="H1123" t="s">
        <v>2379</v>
      </c>
      <c r="I1123" t="str" cm="1">
        <f t="array" ref="I1123">_xlfn.IFS(B1123&lt;18.5,"Underweight",AND(B1123&gt;=18.5,B1123&lt;=24.99),"Normalweight",AND(B1123&gt;=25,B1123&lt;=29.99),"Overweight",B1123&gt;=30,"Obesity")</f>
        <v>Normalweight</v>
      </c>
      <c r="J1123" t="str" cm="1">
        <f t="array" ref="J1123">_xlfn.IFS(C1123&lt;5.7,"Normal",AND(C1123&gt;=5.7,C1123&lt;=6.49),"Prediabetes",C1123&gt;=6.5,"Diabetes")</f>
        <v>Prediabetes</v>
      </c>
    </row>
    <row r="1124" spans="1:10" x14ac:dyDescent="0.3">
      <c r="A1124" t="s">
        <v>1248</v>
      </c>
      <c r="B1124" s="8">
        <v>32.299999999999997</v>
      </c>
      <c r="C1124">
        <v>10.27</v>
      </c>
      <c r="D1124" t="s">
        <v>2379</v>
      </c>
      <c r="E1124" t="s">
        <v>2379</v>
      </c>
      <c r="F1124" t="s">
        <v>2379</v>
      </c>
      <c r="G1124">
        <v>0</v>
      </c>
      <c r="H1124" t="s">
        <v>2379</v>
      </c>
      <c r="I1124" t="str" cm="1">
        <f t="array" ref="I1124">_xlfn.IFS(B1124&lt;18.5,"Underweight",AND(B1124&gt;=18.5,B1124&lt;=24.99),"Normalweight",AND(B1124&gt;=25,B1124&lt;=29.99),"Overweight",B1124&gt;=30,"Obesity")</f>
        <v>Obesity</v>
      </c>
      <c r="J1124" t="str" cm="1">
        <f t="array" ref="J1124">_xlfn.IFS(C1124&lt;5.7,"Normal",AND(C1124&gt;=5.7,C1124&lt;=6.49),"Prediabetes",C1124&gt;=6.5,"Diabetes")</f>
        <v>Diabetes</v>
      </c>
    </row>
    <row r="1125" spans="1:10" x14ac:dyDescent="0.3">
      <c r="A1125" t="s">
        <v>1247</v>
      </c>
      <c r="B1125" s="8">
        <v>29.78</v>
      </c>
      <c r="C1125">
        <v>5.85</v>
      </c>
      <c r="D1125" t="s">
        <v>2379</v>
      </c>
      <c r="E1125" t="s">
        <v>2379</v>
      </c>
      <c r="F1125" t="s">
        <v>2381</v>
      </c>
      <c r="G1125">
        <v>1</v>
      </c>
      <c r="H1125" t="s">
        <v>2379</v>
      </c>
      <c r="I1125" t="str" cm="1">
        <f t="array" ref="I1125">_xlfn.IFS(B1125&lt;18.5,"Underweight",AND(B1125&gt;=18.5,B1125&lt;=24.99),"Normalweight",AND(B1125&gt;=25,B1125&lt;=29.99),"Overweight",B1125&gt;=30,"Obesity")</f>
        <v>Overweight</v>
      </c>
      <c r="J1125" t="str" cm="1">
        <f t="array" ref="J1125">_xlfn.IFS(C1125&lt;5.7,"Normal",AND(C1125&gt;=5.7,C1125&lt;=6.49),"Prediabetes",C1125&gt;=6.5,"Diabetes")</f>
        <v>Prediabetes</v>
      </c>
    </row>
    <row r="1126" spans="1:10" x14ac:dyDescent="0.3">
      <c r="A1126" t="s">
        <v>1246</v>
      </c>
      <c r="B1126" s="8">
        <v>34.76</v>
      </c>
      <c r="C1126">
        <v>5.92</v>
      </c>
      <c r="D1126" t="s">
        <v>2381</v>
      </c>
      <c r="E1126" t="s">
        <v>2379</v>
      </c>
      <c r="F1126" t="s">
        <v>2379</v>
      </c>
      <c r="G1126">
        <v>1</v>
      </c>
      <c r="H1126" t="s">
        <v>2379</v>
      </c>
      <c r="I1126" t="str" cm="1">
        <f t="array" ref="I1126">_xlfn.IFS(B1126&lt;18.5,"Underweight",AND(B1126&gt;=18.5,B1126&lt;=24.99),"Normalweight",AND(B1126&gt;=25,B1126&lt;=29.99),"Overweight",B1126&gt;=30,"Obesity")</f>
        <v>Obesity</v>
      </c>
      <c r="J1126" t="str" cm="1">
        <f t="array" ref="J1126">_xlfn.IFS(C1126&lt;5.7,"Normal",AND(C1126&gt;=5.7,C1126&lt;=6.49),"Prediabetes",C1126&gt;=6.5,"Diabetes")</f>
        <v>Prediabetes</v>
      </c>
    </row>
    <row r="1127" spans="1:10" x14ac:dyDescent="0.3">
      <c r="A1127" t="s">
        <v>1245</v>
      </c>
      <c r="B1127" s="8">
        <v>18.335000000000001</v>
      </c>
      <c r="C1127">
        <v>10.01</v>
      </c>
      <c r="D1127" t="s">
        <v>2381</v>
      </c>
      <c r="E1127" t="s">
        <v>2379</v>
      </c>
      <c r="F1127" t="s">
        <v>2379</v>
      </c>
      <c r="G1127">
        <v>2</v>
      </c>
      <c r="H1127" t="s">
        <v>2379</v>
      </c>
      <c r="I1127" t="str" cm="1">
        <f t="array" ref="I1127">_xlfn.IFS(B1127&lt;18.5,"Underweight",AND(B1127&gt;=18.5,B1127&lt;=24.99),"Normalweight",AND(B1127&gt;=25,B1127&lt;=29.99),"Overweight",B1127&gt;=30,"Obesity")</f>
        <v>Underweight</v>
      </c>
      <c r="J1127" t="str" cm="1">
        <f t="array" ref="J1127">_xlfn.IFS(C1127&lt;5.7,"Normal",AND(C1127&gt;=5.7,C1127&lt;=6.49),"Prediabetes",C1127&gt;=6.5,"Diabetes")</f>
        <v>Diabetes</v>
      </c>
    </row>
    <row r="1128" spans="1:10" x14ac:dyDescent="0.3">
      <c r="A1128" t="s">
        <v>1244</v>
      </c>
      <c r="B1128" s="8">
        <v>32.299999999999997</v>
      </c>
      <c r="C1128">
        <v>9.59</v>
      </c>
      <c r="D1128" t="s">
        <v>2379</v>
      </c>
      <c r="E1128" t="s">
        <v>2379</v>
      </c>
      <c r="F1128" t="s">
        <v>2379</v>
      </c>
      <c r="G1128">
        <v>0</v>
      </c>
      <c r="H1128" t="s">
        <v>2379</v>
      </c>
      <c r="I1128" t="str" cm="1">
        <f t="array" ref="I1128">_xlfn.IFS(B1128&lt;18.5,"Underweight",AND(B1128&gt;=18.5,B1128&lt;=24.99),"Normalweight",AND(B1128&gt;=25,B1128&lt;=29.99),"Overweight",B1128&gt;=30,"Obesity")</f>
        <v>Obesity</v>
      </c>
      <c r="J1128" t="str" cm="1">
        <f t="array" ref="J1128">_xlfn.IFS(C1128&lt;5.7,"Normal",AND(C1128&gt;=5.7,C1128&lt;=6.49),"Prediabetes",C1128&gt;=6.5,"Diabetes")</f>
        <v>Diabetes</v>
      </c>
    </row>
    <row r="1129" spans="1:10" x14ac:dyDescent="0.3">
      <c r="A1129" t="s">
        <v>1243</v>
      </c>
      <c r="B1129" s="8">
        <v>27.74</v>
      </c>
      <c r="C1129">
        <v>10.37</v>
      </c>
      <c r="D1129" t="s">
        <v>2379</v>
      </c>
      <c r="E1129" t="s">
        <v>2379</v>
      </c>
      <c r="F1129" t="s">
        <v>2379</v>
      </c>
      <c r="G1129">
        <v>0</v>
      </c>
      <c r="H1129" t="s">
        <v>2379</v>
      </c>
      <c r="I1129" t="str" cm="1">
        <f t="array" ref="I1129">_xlfn.IFS(B1129&lt;18.5,"Underweight",AND(B1129&gt;=18.5,B1129&lt;=24.99),"Normalweight",AND(B1129&gt;=25,B1129&lt;=29.99),"Overweight",B1129&gt;=30,"Obesity")</f>
        <v>Overweight</v>
      </c>
      <c r="J1129" t="str" cm="1">
        <f t="array" ref="J1129">_xlfn.IFS(C1129&lt;5.7,"Normal",AND(C1129&gt;=5.7,C1129&lt;=6.49),"Prediabetes",C1129&gt;=6.5,"Diabetes")</f>
        <v>Diabetes</v>
      </c>
    </row>
    <row r="1130" spans="1:10" x14ac:dyDescent="0.3">
      <c r="A1130" t="s">
        <v>1242</v>
      </c>
      <c r="B1130" s="8">
        <v>24</v>
      </c>
      <c r="C1130">
        <v>4.01</v>
      </c>
      <c r="D1130" t="s">
        <v>2381</v>
      </c>
      <c r="E1130" t="s">
        <v>2379</v>
      </c>
      <c r="F1130" t="s">
        <v>2379</v>
      </c>
      <c r="G1130">
        <v>1</v>
      </c>
      <c r="H1130" t="s">
        <v>2379</v>
      </c>
      <c r="I1130" t="str" cm="1">
        <f t="array" ref="I1130">_xlfn.IFS(B1130&lt;18.5,"Underweight",AND(B1130&gt;=18.5,B1130&lt;=24.99),"Normalweight",AND(B1130&gt;=25,B1130&lt;=29.99),"Overweight",B1130&gt;=30,"Obesity")</f>
        <v>Normalweight</v>
      </c>
      <c r="J1130" t="str" cm="1">
        <f t="array" ref="J1130">_xlfn.IFS(C1130&lt;5.7,"Normal",AND(C1130&gt;=5.7,C1130&lt;=6.49),"Prediabetes",C1130&gt;=6.5,"Diabetes")</f>
        <v>Normal</v>
      </c>
    </row>
    <row r="1131" spans="1:10" x14ac:dyDescent="0.3">
      <c r="A1131" t="s">
        <v>1241</v>
      </c>
      <c r="B1131" s="8">
        <v>31.78</v>
      </c>
      <c r="C1131">
        <v>4.24</v>
      </c>
      <c r="D1131" t="s">
        <v>2381</v>
      </c>
      <c r="E1131" t="s">
        <v>2379</v>
      </c>
      <c r="F1131" t="s">
        <v>2381</v>
      </c>
      <c r="G1131">
        <v>1</v>
      </c>
      <c r="H1131" t="s">
        <v>2379</v>
      </c>
      <c r="I1131" t="str" cm="1">
        <f t="array" ref="I1131">_xlfn.IFS(B1131&lt;18.5,"Underweight",AND(B1131&gt;=18.5,B1131&lt;=24.99),"Normalweight",AND(B1131&gt;=25,B1131&lt;=29.99),"Overweight",B1131&gt;=30,"Obesity")</f>
        <v>Obesity</v>
      </c>
      <c r="J1131" t="str" cm="1">
        <f t="array" ref="J1131">_xlfn.IFS(C1131&lt;5.7,"Normal",AND(C1131&gt;=5.7,C1131&lt;=6.49),"Prediabetes",C1131&gt;=6.5,"Diabetes")</f>
        <v>Normal</v>
      </c>
    </row>
    <row r="1132" spans="1:10" x14ac:dyDescent="0.3">
      <c r="A1132" t="s">
        <v>1240</v>
      </c>
      <c r="B1132" s="8">
        <v>32.25</v>
      </c>
      <c r="C1132">
        <v>5.36</v>
      </c>
      <c r="D1132" t="s">
        <v>2381</v>
      </c>
      <c r="E1132" t="s">
        <v>2379</v>
      </c>
      <c r="F1132" t="s">
        <v>2379</v>
      </c>
      <c r="G1132">
        <v>0</v>
      </c>
      <c r="H1132" t="s">
        <v>2379</v>
      </c>
      <c r="I1132" t="str" cm="1">
        <f t="array" ref="I1132">_xlfn.IFS(B1132&lt;18.5,"Underweight",AND(B1132&gt;=18.5,B1132&lt;=24.99),"Normalweight",AND(B1132&gt;=25,B1132&lt;=29.99),"Overweight",B1132&gt;=30,"Obesity")</f>
        <v>Obesity</v>
      </c>
      <c r="J1132" t="str" cm="1">
        <f t="array" ref="J1132">_xlfn.IFS(C1132&lt;5.7,"Normal",AND(C1132&gt;=5.7,C1132&lt;=6.49),"Prediabetes",C1132&gt;=6.5,"Diabetes")</f>
        <v>Normal</v>
      </c>
    </row>
    <row r="1133" spans="1:10" x14ac:dyDescent="0.3">
      <c r="A1133" t="s">
        <v>1239</v>
      </c>
      <c r="B1133" s="8">
        <v>30.114999999999998</v>
      </c>
      <c r="C1133">
        <v>4.99</v>
      </c>
      <c r="D1133" t="s">
        <v>2379</v>
      </c>
      <c r="E1133" t="s">
        <v>2379</v>
      </c>
      <c r="F1133" t="s">
        <v>2379</v>
      </c>
      <c r="G1133">
        <v>2</v>
      </c>
      <c r="H1133" t="s">
        <v>2379</v>
      </c>
      <c r="I1133" t="str" cm="1">
        <f t="array" ref="I1133">_xlfn.IFS(B1133&lt;18.5,"Underweight",AND(B1133&gt;=18.5,B1133&lt;=24.99),"Normalweight",AND(B1133&gt;=25,B1133&lt;=29.99),"Overweight",B1133&gt;=30,"Obesity")</f>
        <v>Obesity</v>
      </c>
      <c r="J1133" t="str" cm="1">
        <f t="array" ref="J1133">_xlfn.IFS(C1133&lt;5.7,"Normal",AND(C1133&gt;=5.7,C1133&lt;=6.49),"Prediabetes",C1133&gt;=6.5,"Diabetes")</f>
        <v>Normal</v>
      </c>
    </row>
    <row r="1134" spans="1:10" x14ac:dyDescent="0.3">
      <c r="A1134" t="s">
        <v>1238</v>
      </c>
      <c r="B1134" s="8">
        <v>22.41</v>
      </c>
      <c r="C1134">
        <v>8.68</v>
      </c>
      <c r="D1134" t="s">
        <v>2379</v>
      </c>
      <c r="E1134" t="s">
        <v>2379</v>
      </c>
      <c r="F1134" t="s">
        <v>2379</v>
      </c>
      <c r="G1134">
        <v>0</v>
      </c>
      <c r="H1134" t="s">
        <v>2379</v>
      </c>
      <c r="I1134" t="str" cm="1">
        <f t="array" ref="I1134">_xlfn.IFS(B1134&lt;18.5,"Underweight",AND(B1134&gt;=18.5,B1134&lt;=24.99),"Normalweight",AND(B1134&gt;=25,B1134&lt;=29.99),"Overweight",B1134&gt;=30,"Obesity")</f>
        <v>Normalweight</v>
      </c>
      <c r="J1134" t="str" cm="1">
        <f t="array" ref="J1134">_xlfn.IFS(C1134&lt;5.7,"Normal",AND(C1134&gt;=5.7,C1134&lt;=6.49),"Prediabetes",C1134&gt;=6.5,"Diabetes")</f>
        <v>Diabetes</v>
      </c>
    </row>
    <row r="1135" spans="1:10" x14ac:dyDescent="0.3">
      <c r="A1135" t="s">
        <v>1237</v>
      </c>
      <c r="B1135" s="8">
        <v>45.72</v>
      </c>
      <c r="C1135">
        <v>4.2300000000000004</v>
      </c>
      <c r="D1135" t="s">
        <v>2381</v>
      </c>
      <c r="E1135" t="s">
        <v>2379</v>
      </c>
      <c r="F1135" t="s">
        <v>2379</v>
      </c>
      <c r="G1135">
        <v>0</v>
      </c>
      <c r="H1135" t="s">
        <v>2379</v>
      </c>
      <c r="I1135" t="str" cm="1">
        <f t="array" ref="I1135">_xlfn.IFS(B1135&lt;18.5,"Underweight",AND(B1135&gt;=18.5,B1135&lt;=24.99),"Normalweight",AND(B1135&gt;=25,B1135&lt;=29.99),"Overweight",B1135&gt;=30,"Obesity")</f>
        <v>Obesity</v>
      </c>
      <c r="J1135" t="str" cm="1">
        <f t="array" ref="J1135">_xlfn.IFS(C1135&lt;5.7,"Normal",AND(C1135&gt;=5.7,C1135&lt;=6.49),"Prediabetes",C1135&gt;=6.5,"Diabetes")</f>
        <v>Normal</v>
      </c>
    </row>
    <row r="1136" spans="1:10" x14ac:dyDescent="0.3">
      <c r="A1136" t="s">
        <v>1236</v>
      </c>
      <c r="B1136" s="8">
        <v>25</v>
      </c>
      <c r="C1136">
        <v>5.32</v>
      </c>
      <c r="D1136" t="s">
        <v>2381</v>
      </c>
      <c r="E1136" t="s">
        <v>2379</v>
      </c>
      <c r="F1136" t="s">
        <v>2379</v>
      </c>
      <c r="G1136">
        <v>2</v>
      </c>
      <c r="H1136" t="s">
        <v>2379</v>
      </c>
      <c r="I1136" t="str" cm="1">
        <f t="array" ref="I1136">_xlfn.IFS(B1136&lt;18.5,"Underweight",AND(B1136&gt;=18.5,B1136&lt;=24.99),"Normalweight",AND(B1136&gt;=25,B1136&lt;=29.99),"Overweight",B1136&gt;=30,"Obesity")</f>
        <v>Overweight</v>
      </c>
      <c r="J1136" t="str" cm="1">
        <f t="array" ref="J1136">_xlfn.IFS(C1136&lt;5.7,"Normal",AND(C1136&gt;=5.7,C1136&lt;=6.49),"Prediabetes",C1136&gt;=6.5,"Diabetes")</f>
        <v>Normal</v>
      </c>
    </row>
    <row r="1137" spans="1:10" x14ac:dyDescent="0.3">
      <c r="A1137" t="s">
        <v>1235</v>
      </c>
      <c r="B1137" s="8">
        <v>39.5</v>
      </c>
      <c r="C1137">
        <v>6.66</v>
      </c>
      <c r="D1137" t="s">
        <v>2379</v>
      </c>
      <c r="E1137" t="s">
        <v>2379</v>
      </c>
      <c r="F1137" t="s">
        <v>2379</v>
      </c>
      <c r="G1137">
        <v>0</v>
      </c>
      <c r="H1137" t="s">
        <v>2379</v>
      </c>
      <c r="I1137" t="str" cm="1">
        <f t="array" ref="I1137">_xlfn.IFS(B1137&lt;18.5,"Underweight",AND(B1137&gt;=18.5,B1137&lt;=24.99),"Normalweight",AND(B1137&gt;=25,B1137&lt;=29.99),"Overweight",B1137&gt;=30,"Obesity")</f>
        <v>Obesity</v>
      </c>
      <c r="J1137" t="str" cm="1">
        <f t="array" ref="J1137">_xlfn.IFS(C1137&lt;5.7,"Normal",AND(C1137&gt;=5.7,C1137&lt;=6.49),"Prediabetes",C1137&gt;=6.5,"Diabetes")</f>
        <v>Diabetes</v>
      </c>
    </row>
    <row r="1138" spans="1:10" x14ac:dyDescent="0.3">
      <c r="A1138" t="s">
        <v>1234</v>
      </c>
      <c r="B1138" s="8">
        <v>37.729999999999997</v>
      </c>
      <c r="C1138">
        <v>7.4</v>
      </c>
      <c r="D1138" t="s">
        <v>2379</v>
      </c>
      <c r="E1138" t="s">
        <v>2379</v>
      </c>
      <c r="F1138" t="s">
        <v>2379</v>
      </c>
      <c r="G1138">
        <v>0</v>
      </c>
      <c r="H1138" t="s">
        <v>2379</v>
      </c>
      <c r="I1138" t="str" cm="1">
        <f t="array" ref="I1138">_xlfn.IFS(B1138&lt;18.5,"Underweight",AND(B1138&gt;=18.5,B1138&lt;=24.99),"Normalweight",AND(B1138&gt;=25,B1138&lt;=29.99),"Overweight",B1138&gt;=30,"Obesity")</f>
        <v>Obesity</v>
      </c>
      <c r="J1138" t="str" cm="1">
        <f t="array" ref="J1138">_xlfn.IFS(C1138&lt;5.7,"Normal",AND(C1138&gt;=5.7,C1138&lt;=6.49),"Prediabetes",C1138&gt;=6.5,"Diabetes")</f>
        <v>Diabetes</v>
      </c>
    </row>
    <row r="1139" spans="1:10" x14ac:dyDescent="0.3">
      <c r="A1139" t="s">
        <v>1233</v>
      </c>
      <c r="B1139" s="8">
        <v>40.659999999999997</v>
      </c>
      <c r="C1139">
        <v>10.08</v>
      </c>
      <c r="D1139" t="s">
        <v>2379</v>
      </c>
      <c r="E1139" t="s">
        <v>2379</v>
      </c>
      <c r="F1139" t="s">
        <v>2379</v>
      </c>
      <c r="G1139">
        <v>0</v>
      </c>
      <c r="H1139" t="s">
        <v>2379</v>
      </c>
      <c r="I1139" t="str" cm="1">
        <f t="array" ref="I1139">_xlfn.IFS(B1139&lt;18.5,"Underweight",AND(B1139&gt;=18.5,B1139&lt;=24.99),"Normalweight",AND(B1139&gt;=25,B1139&lt;=29.99),"Overweight",B1139&gt;=30,"Obesity")</f>
        <v>Obesity</v>
      </c>
      <c r="J1139" t="str" cm="1">
        <f t="array" ref="J1139">_xlfn.IFS(C1139&lt;5.7,"Normal",AND(C1139&gt;=5.7,C1139&lt;=6.49),"Prediabetes",C1139&gt;=6.5,"Diabetes")</f>
        <v>Diabetes</v>
      </c>
    </row>
    <row r="1140" spans="1:10" x14ac:dyDescent="0.3">
      <c r="A1140" t="s">
        <v>1232</v>
      </c>
      <c r="B1140" s="8">
        <v>34.200000000000003</v>
      </c>
      <c r="C1140">
        <v>8.58</v>
      </c>
      <c r="D1140" t="s">
        <v>2379</v>
      </c>
      <c r="E1140" t="s">
        <v>2379</v>
      </c>
      <c r="F1140" t="s">
        <v>2379</v>
      </c>
      <c r="G1140">
        <v>0</v>
      </c>
      <c r="H1140" t="s">
        <v>2379</v>
      </c>
      <c r="I1140" t="str" cm="1">
        <f t="array" ref="I1140">_xlfn.IFS(B1140&lt;18.5,"Underweight",AND(B1140&gt;=18.5,B1140&lt;=24.99),"Normalweight",AND(B1140&gt;=25,B1140&lt;=29.99),"Overweight",B1140&gt;=30,"Obesity")</f>
        <v>Obesity</v>
      </c>
      <c r="J1140" t="str" cm="1">
        <f t="array" ref="J1140">_xlfn.IFS(C1140&lt;5.7,"Normal",AND(C1140&gt;=5.7,C1140&lt;=6.49),"Prediabetes",C1140&gt;=6.5,"Diabetes")</f>
        <v>Diabetes</v>
      </c>
    </row>
    <row r="1141" spans="1:10" x14ac:dyDescent="0.3">
      <c r="A1141" t="s">
        <v>1231</v>
      </c>
      <c r="B1141" s="8">
        <v>46.51</v>
      </c>
      <c r="C1141">
        <v>5.84</v>
      </c>
      <c r="D1141" t="s">
        <v>2379</v>
      </c>
      <c r="E1141" t="s">
        <v>2379</v>
      </c>
      <c r="F1141" t="s">
        <v>2379</v>
      </c>
      <c r="G1141">
        <v>1</v>
      </c>
      <c r="H1141" t="s">
        <v>2379</v>
      </c>
      <c r="I1141" t="str" cm="1">
        <f t="array" ref="I1141">_xlfn.IFS(B1141&lt;18.5,"Underweight",AND(B1141&gt;=18.5,B1141&lt;=24.99),"Normalweight",AND(B1141&gt;=25,B1141&lt;=29.99),"Overweight",B1141&gt;=30,"Obesity")</f>
        <v>Obesity</v>
      </c>
      <c r="J1141" t="str" cm="1">
        <f t="array" ref="J1141">_xlfn.IFS(C1141&lt;5.7,"Normal",AND(C1141&gt;=5.7,C1141&lt;=6.49),"Prediabetes",C1141&gt;=6.5,"Diabetes")</f>
        <v>Prediabetes</v>
      </c>
    </row>
    <row r="1142" spans="1:10" x14ac:dyDescent="0.3">
      <c r="A1142" t="s">
        <v>1230</v>
      </c>
      <c r="B1142" s="8">
        <v>28.88</v>
      </c>
      <c r="C1142">
        <v>4.8600000000000003</v>
      </c>
      <c r="D1142" t="s">
        <v>2381</v>
      </c>
      <c r="E1142" t="s">
        <v>2379</v>
      </c>
      <c r="F1142" t="s">
        <v>2381</v>
      </c>
      <c r="G1142">
        <v>1</v>
      </c>
      <c r="H1142" t="s">
        <v>2379</v>
      </c>
      <c r="I1142" t="str" cm="1">
        <f t="array" ref="I1142">_xlfn.IFS(B1142&lt;18.5,"Underweight",AND(B1142&gt;=18.5,B1142&lt;=24.99),"Normalweight",AND(B1142&gt;=25,B1142&lt;=29.99),"Overweight",B1142&gt;=30,"Obesity")</f>
        <v>Overweight</v>
      </c>
      <c r="J1142" t="str" cm="1">
        <f t="array" ref="J1142">_xlfn.IFS(C1142&lt;5.7,"Normal",AND(C1142&gt;=5.7,C1142&lt;=6.49),"Prediabetes",C1142&gt;=6.5,"Diabetes")</f>
        <v>Normal</v>
      </c>
    </row>
    <row r="1143" spans="1:10" x14ac:dyDescent="0.3">
      <c r="A1143" t="s">
        <v>1229</v>
      </c>
      <c r="B1143" s="8">
        <v>33.914999999999999</v>
      </c>
      <c r="C1143">
        <v>11.52</v>
      </c>
      <c r="D1143" t="s">
        <v>2379</v>
      </c>
      <c r="E1143" t="s">
        <v>2379</v>
      </c>
      <c r="F1143" t="s">
        <v>2379</v>
      </c>
      <c r="G1143">
        <v>0</v>
      </c>
      <c r="H1143" t="s">
        <v>2379</v>
      </c>
      <c r="I1143" t="str" cm="1">
        <f t="array" ref="I1143">_xlfn.IFS(B1143&lt;18.5,"Underweight",AND(B1143&gt;=18.5,B1143&lt;=24.99),"Normalweight",AND(B1143&gt;=25,B1143&lt;=29.99),"Overweight",B1143&gt;=30,"Obesity")</f>
        <v>Obesity</v>
      </c>
      <c r="J1143" t="str" cm="1">
        <f t="array" ref="J1143">_xlfn.IFS(C1143&lt;5.7,"Normal",AND(C1143&gt;=5.7,C1143&lt;=6.49),"Prediabetes",C1143&gt;=6.5,"Diabetes")</f>
        <v>Diabetes</v>
      </c>
    </row>
    <row r="1144" spans="1:10" x14ac:dyDescent="0.3">
      <c r="A1144" t="s">
        <v>1228</v>
      </c>
      <c r="B1144" s="8">
        <v>24.32</v>
      </c>
      <c r="C1144">
        <v>6.15</v>
      </c>
      <c r="D1144" t="s">
        <v>2381</v>
      </c>
      <c r="E1144" t="s">
        <v>2379</v>
      </c>
      <c r="F1144" t="s">
        <v>2381</v>
      </c>
      <c r="G1144">
        <v>1</v>
      </c>
      <c r="H1144" t="s">
        <v>2379</v>
      </c>
      <c r="I1144" t="str" cm="1">
        <f t="array" ref="I1144">_xlfn.IFS(B1144&lt;18.5,"Underweight",AND(B1144&gt;=18.5,B1144&lt;=24.99),"Normalweight",AND(B1144&gt;=25,B1144&lt;=29.99),"Overweight",B1144&gt;=30,"Obesity")</f>
        <v>Normalweight</v>
      </c>
      <c r="J1144" t="str" cm="1">
        <f t="array" ref="J1144">_xlfn.IFS(C1144&lt;5.7,"Normal",AND(C1144&gt;=5.7,C1144&lt;=6.49),"Prediabetes",C1144&gt;=6.5,"Diabetes")</f>
        <v>Prediabetes</v>
      </c>
    </row>
    <row r="1145" spans="1:10" x14ac:dyDescent="0.3">
      <c r="A1145" t="s">
        <v>1227</v>
      </c>
      <c r="B1145" s="8">
        <v>25.8</v>
      </c>
      <c r="C1145">
        <v>9.94</v>
      </c>
      <c r="D1145" t="s">
        <v>2379</v>
      </c>
      <c r="E1145" t="s">
        <v>2379</v>
      </c>
      <c r="F1145" t="s">
        <v>2379</v>
      </c>
      <c r="G1145">
        <v>0</v>
      </c>
      <c r="H1145" t="s">
        <v>2379</v>
      </c>
      <c r="I1145" t="str" cm="1">
        <f t="array" ref="I1145">_xlfn.IFS(B1145&lt;18.5,"Underweight",AND(B1145&gt;=18.5,B1145&lt;=24.99),"Normalweight",AND(B1145&gt;=25,B1145&lt;=29.99),"Overweight",B1145&gt;=30,"Obesity")</f>
        <v>Overweight</v>
      </c>
      <c r="J1145" t="str" cm="1">
        <f t="array" ref="J1145">_xlfn.IFS(C1145&lt;5.7,"Normal",AND(C1145&gt;=5.7,C1145&lt;=6.49),"Prediabetes",C1145&gt;=6.5,"Diabetes")</f>
        <v>Diabetes</v>
      </c>
    </row>
    <row r="1146" spans="1:10" x14ac:dyDescent="0.3">
      <c r="A1146" t="s">
        <v>1226</v>
      </c>
      <c r="B1146" s="8">
        <v>21.56</v>
      </c>
      <c r="C1146">
        <v>10.56</v>
      </c>
      <c r="D1146" t="s">
        <v>2379</v>
      </c>
      <c r="E1146" t="s">
        <v>2379</v>
      </c>
      <c r="F1146" t="s">
        <v>2379</v>
      </c>
      <c r="G1146">
        <v>0</v>
      </c>
      <c r="H1146" t="s">
        <v>2379</v>
      </c>
      <c r="I1146" t="str" cm="1">
        <f t="array" ref="I1146">_xlfn.IFS(B1146&lt;18.5,"Underweight",AND(B1146&gt;=18.5,B1146&lt;=24.99),"Normalweight",AND(B1146&gt;=25,B1146&lt;=29.99),"Overweight",B1146&gt;=30,"Obesity")</f>
        <v>Normalweight</v>
      </c>
      <c r="J1146" t="str" cm="1">
        <f t="array" ref="J1146">_xlfn.IFS(C1146&lt;5.7,"Normal",AND(C1146&gt;=5.7,C1146&lt;=6.49),"Prediabetes",C1146&gt;=6.5,"Diabetes")</f>
        <v>Diabetes</v>
      </c>
    </row>
    <row r="1147" spans="1:10" x14ac:dyDescent="0.3">
      <c r="A1147" t="s">
        <v>1225</v>
      </c>
      <c r="B1147" s="8">
        <v>31.6</v>
      </c>
      <c r="C1147">
        <v>6.79</v>
      </c>
      <c r="D1147" t="s">
        <v>2379</v>
      </c>
      <c r="E1147" t="s">
        <v>2379</v>
      </c>
      <c r="F1147" t="s">
        <v>2379</v>
      </c>
      <c r="G1147">
        <v>0</v>
      </c>
      <c r="H1147" t="s">
        <v>2379</v>
      </c>
      <c r="I1147" t="str" cm="1">
        <f t="array" ref="I1147">_xlfn.IFS(B1147&lt;18.5,"Underweight",AND(B1147&gt;=18.5,B1147&lt;=24.99),"Normalweight",AND(B1147&gt;=25,B1147&lt;=29.99),"Overweight",B1147&gt;=30,"Obesity")</f>
        <v>Obesity</v>
      </c>
      <c r="J1147" t="str" cm="1">
        <f t="array" ref="J1147">_xlfn.IFS(C1147&lt;5.7,"Normal",AND(C1147&gt;=5.7,C1147&lt;=6.49),"Prediabetes",C1147&gt;=6.5,"Diabetes")</f>
        <v>Diabetes</v>
      </c>
    </row>
    <row r="1148" spans="1:10" x14ac:dyDescent="0.3">
      <c r="A1148" t="s">
        <v>1224</v>
      </c>
      <c r="B1148" s="8">
        <v>42.93</v>
      </c>
      <c r="C1148">
        <v>4.8</v>
      </c>
      <c r="D1148" t="s">
        <v>2379</v>
      </c>
      <c r="E1148" t="s">
        <v>2379</v>
      </c>
      <c r="F1148" t="s">
        <v>2379</v>
      </c>
      <c r="G1148">
        <v>1</v>
      </c>
      <c r="H1148" t="s">
        <v>2379</v>
      </c>
      <c r="I1148" t="str" cm="1">
        <f t="array" ref="I1148">_xlfn.IFS(B1148&lt;18.5,"Underweight",AND(B1148&gt;=18.5,B1148&lt;=24.99),"Normalweight",AND(B1148&gt;=25,B1148&lt;=29.99),"Overweight",B1148&gt;=30,"Obesity")</f>
        <v>Obesity</v>
      </c>
      <c r="J1148" t="str" cm="1">
        <f t="array" ref="J1148">_xlfn.IFS(C1148&lt;5.7,"Normal",AND(C1148&gt;=5.7,C1148&lt;=6.49),"Prediabetes",C1148&gt;=6.5,"Diabetes")</f>
        <v>Normal</v>
      </c>
    </row>
    <row r="1149" spans="1:10" x14ac:dyDescent="0.3">
      <c r="A1149" t="s">
        <v>1223</v>
      </c>
      <c r="B1149" s="8">
        <v>26.72</v>
      </c>
      <c r="C1149">
        <v>5.75</v>
      </c>
      <c r="D1149" t="s">
        <v>2379</v>
      </c>
      <c r="E1149" t="s">
        <v>2379</v>
      </c>
      <c r="F1149" t="s">
        <v>2379</v>
      </c>
      <c r="G1149">
        <v>2</v>
      </c>
      <c r="H1149" t="s">
        <v>2379</v>
      </c>
      <c r="I1149" t="str" cm="1">
        <f t="array" ref="I1149">_xlfn.IFS(B1149&lt;18.5,"Underweight",AND(B1149&gt;=18.5,B1149&lt;=24.99),"Normalweight",AND(B1149&gt;=25,B1149&lt;=29.99),"Overweight",B1149&gt;=30,"Obesity")</f>
        <v>Overweight</v>
      </c>
      <c r="J1149" t="str" cm="1">
        <f t="array" ref="J1149">_xlfn.IFS(C1149&lt;5.7,"Normal",AND(C1149&gt;=5.7,C1149&lt;=6.49),"Prediabetes",C1149&gt;=6.5,"Diabetes")</f>
        <v>Prediabetes</v>
      </c>
    </row>
    <row r="1150" spans="1:10" x14ac:dyDescent="0.3">
      <c r="A1150" t="s">
        <v>1222</v>
      </c>
      <c r="B1150" s="8">
        <v>26.67</v>
      </c>
      <c r="C1150">
        <v>5.81</v>
      </c>
      <c r="D1150" t="s">
        <v>2379</v>
      </c>
      <c r="E1150" t="s">
        <v>2379</v>
      </c>
      <c r="F1150" t="s">
        <v>2379</v>
      </c>
      <c r="G1150">
        <v>2</v>
      </c>
      <c r="H1150" t="s">
        <v>2379</v>
      </c>
      <c r="I1150" t="str" cm="1">
        <f t="array" ref="I1150">_xlfn.IFS(B1150&lt;18.5,"Underweight",AND(B1150&gt;=18.5,B1150&lt;=24.99),"Normalweight",AND(B1150&gt;=25,B1150&lt;=29.99),"Overweight",B1150&gt;=30,"Obesity")</f>
        <v>Overweight</v>
      </c>
      <c r="J1150" t="str" cm="1">
        <f t="array" ref="J1150">_xlfn.IFS(C1150&lt;5.7,"Normal",AND(C1150&gt;=5.7,C1150&lt;=6.49),"Prediabetes",C1150&gt;=6.5,"Diabetes")</f>
        <v>Prediabetes</v>
      </c>
    </row>
    <row r="1151" spans="1:10" x14ac:dyDescent="0.3">
      <c r="A1151" t="s">
        <v>1221</v>
      </c>
      <c r="B1151" s="8">
        <v>42.68</v>
      </c>
      <c r="C1151">
        <v>9.2799999999999994</v>
      </c>
      <c r="D1151" t="s">
        <v>2379</v>
      </c>
      <c r="E1151" t="s">
        <v>2379</v>
      </c>
      <c r="F1151" t="s">
        <v>2379</v>
      </c>
      <c r="G1151">
        <v>2</v>
      </c>
      <c r="H1151" t="s">
        <v>2379</v>
      </c>
      <c r="I1151" t="str" cm="1">
        <f t="array" ref="I1151">_xlfn.IFS(B1151&lt;18.5,"Underweight",AND(B1151&gt;=18.5,B1151&lt;=24.99),"Normalweight",AND(B1151&gt;=25,B1151&lt;=29.99),"Overweight",B1151&gt;=30,"Obesity")</f>
        <v>Obesity</v>
      </c>
      <c r="J1151" t="str" cm="1">
        <f t="array" ref="J1151">_xlfn.IFS(C1151&lt;5.7,"Normal",AND(C1151&gt;=5.7,C1151&lt;=6.49),"Prediabetes",C1151&gt;=6.5,"Diabetes")</f>
        <v>Diabetes</v>
      </c>
    </row>
    <row r="1152" spans="1:10" x14ac:dyDescent="0.3">
      <c r="A1152" t="s">
        <v>1220</v>
      </c>
      <c r="B1152" s="8">
        <v>24.31</v>
      </c>
      <c r="C1152">
        <v>6.37</v>
      </c>
      <c r="D1152" t="s">
        <v>2379</v>
      </c>
      <c r="E1152" t="s">
        <v>2379</v>
      </c>
      <c r="F1152" t="s">
        <v>2379</v>
      </c>
      <c r="G1152">
        <v>0</v>
      </c>
      <c r="H1152" t="s">
        <v>2379</v>
      </c>
      <c r="I1152" t="str" cm="1">
        <f t="array" ref="I1152">_xlfn.IFS(B1152&lt;18.5,"Underweight",AND(B1152&gt;=18.5,B1152&lt;=24.99),"Normalweight",AND(B1152&gt;=25,B1152&lt;=29.99),"Overweight",B1152&gt;=30,"Obesity")</f>
        <v>Normalweight</v>
      </c>
      <c r="J1152" t="str" cm="1">
        <f t="array" ref="J1152">_xlfn.IFS(C1152&lt;5.7,"Normal",AND(C1152&gt;=5.7,C1152&lt;=6.49),"Prediabetes",C1152&gt;=6.5,"Diabetes")</f>
        <v>Prediabetes</v>
      </c>
    </row>
    <row r="1153" spans="1:10" x14ac:dyDescent="0.3">
      <c r="A1153" t="s">
        <v>1219</v>
      </c>
      <c r="B1153" s="8">
        <v>44.75</v>
      </c>
      <c r="C1153">
        <v>5.09</v>
      </c>
      <c r="D1153" t="s">
        <v>2381</v>
      </c>
      <c r="E1153" t="s">
        <v>2379</v>
      </c>
      <c r="F1153" t="s">
        <v>2379</v>
      </c>
      <c r="G1153">
        <v>0</v>
      </c>
      <c r="H1153" t="s">
        <v>2379</v>
      </c>
      <c r="I1153" t="str" cm="1">
        <f t="array" ref="I1153">_xlfn.IFS(B1153&lt;18.5,"Underweight",AND(B1153&gt;=18.5,B1153&lt;=24.99),"Normalweight",AND(B1153&gt;=25,B1153&lt;=29.99),"Overweight",B1153&gt;=30,"Obesity")</f>
        <v>Obesity</v>
      </c>
      <c r="J1153" t="str" cm="1">
        <f t="array" ref="J1153">_xlfn.IFS(C1153&lt;5.7,"Normal",AND(C1153&gt;=5.7,C1153&lt;=6.49),"Prediabetes",C1153&gt;=6.5,"Diabetes")</f>
        <v>Normal</v>
      </c>
    </row>
    <row r="1154" spans="1:10" x14ac:dyDescent="0.3">
      <c r="A1154" t="s">
        <v>1218</v>
      </c>
      <c r="B1154" s="8">
        <v>30.78</v>
      </c>
      <c r="C1154">
        <v>7.94</v>
      </c>
      <c r="D1154" t="s">
        <v>2379</v>
      </c>
      <c r="E1154" t="s">
        <v>2379</v>
      </c>
      <c r="F1154" t="s">
        <v>2379</v>
      </c>
      <c r="G1154">
        <v>2</v>
      </c>
      <c r="H1154" t="s">
        <v>2379</v>
      </c>
      <c r="I1154" t="str" cm="1">
        <f t="array" ref="I1154">_xlfn.IFS(B1154&lt;18.5,"Underweight",AND(B1154&gt;=18.5,B1154&lt;=24.99),"Normalweight",AND(B1154&gt;=25,B1154&lt;=29.99),"Overweight",B1154&gt;=30,"Obesity")</f>
        <v>Obesity</v>
      </c>
      <c r="J1154" t="str" cm="1">
        <f t="array" ref="J1154">_xlfn.IFS(C1154&lt;5.7,"Normal",AND(C1154&gt;=5.7,C1154&lt;=6.49),"Prediabetes",C1154&gt;=6.5,"Diabetes")</f>
        <v>Diabetes</v>
      </c>
    </row>
    <row r="1155" spans="1:10" x14ac:dyDescent="0.3">
      <c r="A1155" t="s">
        <v>1217</v>
      </c>
      <c r="B1155" s="8">
        <v>21.86</v>
      </c>
      <c r="C1155">
        <v>10.95</v>
      </c>
      <c r="D1155" t="s">
        <v>2379</v>
      </c>
      <c r="E1155" t="s">
        <v>2379</v>
      </c>
      <c r="F1155" t="s">
        <v>2379</v>
      </c>
      <c r="G1155">
        <v>0</v>
      </c>
      <c r="H1155" t="s">
        <v>2379</v>
      </c>
      <c r="I1155" t="str" cm="1">
        <f t="array" ref="I1155">_xlfn.IFS(B1155&lt;18.5,"Underweight",AND(B1155&gt;=18.5,B1155&lt;=24.99),"Normalweight",AND(B1155&gt;=25,B1155&lt;=29.99),"Overweight",B1155&gt;=30,"Obesity")</f>
        <v>Normalweight</v>
      </c>
      <c r="J1155" t="str" cm="1">
        <f t="array" ref="J1155">_xlfn.IFS(C1155&lt;5.7,"Normal",AND(C1155&gt;=5.7,C1155&lt;=6.49),"Prediabetes",C1155&gt;=6.5,"Diabetes")</f>
        <v>Diabetes</v>
      </c>
    </row>
    <row r="1156" spans="1:10" x14ac:dyDescent="0.3">
      <c r="A1156" t="s">
        <v>1216</v>
      </c>
      <c r="B1156" s="8">
        <v>49.09</v>
      </c>
      <c r="C1156">
        <v>6.3</v>
      </c>
      <c r="D1156" t="s">
        <v>2381</v>
      </c>
      <c r="E1156" t="s">
        <v>2379</v>
      </c>
      <c r="F1156" t="s">
        <v>2379</v>
      </c>
      <c r="G1156">
        <v>0</v>
      </c>
      <c r="H1156" t="s">
        <v>2379</v>
      </c>
      <c r="I1156" t="str" cm="1">
        <f t="array" ref="I1156">_xlfn.IFS(B1156&lt;18.5,"Underweight",AND(B1156&gt;=18.5,B1156&lt;=24.99),"Normalweight",AND(B1156&gt;=25,B1156&lt;=29.99),"Overweight",B1156&gt;=30,"Obesity")</f>
        <v>Obesity</v>
      </c>
      <c r="J1156" t="str" cm="1">
        <f t="array" ref="J1156">_xlfn.IFS(C1156&lt;5.7,"Normal",AND(C1156&gt;=5.7,C1156&lt;=6.49),"Prediabetes",C1156&gt;=6.5,"Diabetes")</f>
        <v>Prediabetes</v>
      </c>
    </row>
    <row r="1157" spans="1:10" x14ac:dyDescent="0.3">
      <c r="A1157" t="s">
        <v>1215</v>
      </c>
      <c r="B1157" s="8">
        <v>47.74</v>
      </c>
      <c r="C1157">
        <v>8.0500000000000007</v>
      </c>
      <c r="D1157" t="s">
        <v>2381</v>
      </c>
      <c r="E1157" t="s">
        <v>2379</v>
      </c>
      <c r="F1157" t="s">
        <v>2379</v>
      </c>
      <c r="G1157">
        <v>2</v>
      </c>
      <c r="H1157" t="s">
        <v>2379</v>
      </c>
      <c r="I1157" t="str" cm="1">
        <f t="array" ref="I1157">_xlfn.IFS(B1157&lt;18.5,"Underweight",AND(B1157&gt;=18.5,B1157&lt;=24.99),"Normalweight",AND(B1157&gt;=25,B1157&lt;=29.99),"Overweight",B1157&gt;=30,"Obesity")</f>
        <v>Obesity</v>
      </c>
      <c r="J1157" t="str" cm="1">
        <f t="array" ref="J1157">_xlfn.IFS(C1157&lt;5.7,"Normal",AND(C1157&gt;=5.7,C1157&lt;=6.49),"Prediabetes",C1157&gt;=6.5,"Diabetes")</f>
        <v>Diabetes</v>
      </c>
    </row>
    <row r="1158" spans="1:10" x14ac:dyDescent="0.3">
      <c r="A1158" t="s">
        <v>1214</v>
      </c>
      <c r="B1158" s="8">
        <v>30.2</v>
      </c>
      <c r="C1158">
        <v>9.8800000000000008</v>
      </c>
      <c r="D1158" t="s">
        <v>2381</v>
      </c>
      <c r="E1158" t="s">
        <v>2379</v>
      </c>
      <c r="F1158" t="s">
        <v>2379</v>
      </c>
      <c r="G1158">
        <v>2</v>
      </c>
      <c r="H1158" t="s">
        <v>2379</v>
      </c>
      <c r="I1158" t="str" cm="1">
        <f t="array" ref="I1158">_xlfn.IFS(B1158&lt;18.5,"Underweight",AND(B1158&gt;=18.5,B1158&lt;=24.99),"Normalweight",AND(B1158&gt;=25,B1158&lt;=29.99),"Overweight",B1158&gt;=30,"Obesity")</f>
        <v>Obesity</v>
      </c>
      <c r="J1158" t="str" cm="1">
        <f t="array" ref="J1158">_xlfn.IFS(C1158&lt;5.7,"Normal",AND(C1158&gt;=5.7,C1158&lt;=6.49),"Prediabetes",C1158&gt;=6.5,"Diabetes")</f>
        <v>Diabetes</v>
      </c>
    </row>
    <row r="1159" spans="1:10" x14ac:dyDescent="0.3">
      <c r="A1159" t="s">
        <v>1213</v>
      </c>
      <c r="B1159" s="8">
        <v>33.25</v>
      </c>
      <c r="C1159">
        <v>7.42</v>
      </c>
      <c r="D1159" t="s">
        <v>2381</v>
      </c>
      <c r="E1159" t="s">
        <v>2379</v>
      </c>
      <c r="F1159" t="s">
        <v>2379</v>
      </c>
      <c r="G1159">
        <v>2</v>
      </c>
      <c r="H1159" t="s">
        <v>2379</v>
      </c>
      <c r="I1159" t="str" cm="1">
        <f t="array" ref="I1159">_xlfn.IFS(B1159&lt;18.5,"Underweight",AND(B1159&gt;=18.5,B1159&lt;=24.99),"Normalweight",AND(B1159&gt;=25,B1159&lt;=29.99),"Overweight",B1159&gt;=30,"Obesity")</f>
        <v>Obesity</v>
      </c>
      <c r="J1159" t="str" cm="1">
        <f t="array" ref="J1159">_xlfn.IFS(C1159&lt;5.7,"Normal",AND(C1159&gt;=5.7,C1159&lt;=6.49),"Prediabetes",C1159&gt;=6.5,"Diabetes")</f>
        <v>Diabetes</v>
      </c>
    </row>
    <row r="1160" spans="1:10" x14ac:dyDescent="0.3">
      <c r="A1160" t="s">
        <v>1212</v>
      </c>
      <c r="B1160" s="8">
        <v>26.6</v>
      </c>
      <c r="C1160">
        <v>8.4499999999999993</v>
      </c>
      <c r="D1160" t="s">
        <v>2381</v>
      </c>
      <c r="E1160" t="s">
        <v>2379</v>
      </c>
      <c r="F1160" t="s">
        <v>2379</v>
      </c>
      <c r="G1160">
        <v>1</v>
      </c>
      <c r="H1160" t="s">
        <v>2379</v>
      </c>
      <c r="I1160" t="str" cm="1">
        <f t="array" ref="I1160">_xlfn.IFS(B1160&lt;18.5,"Underweight",AND(B1160&gt;=18.5,B1160&lt;=24.99),"Normalweight",AND(B1160&gt;=25,B1160&lt;=29.99),"Overweight",B1160&gt;=30,"Obesity")</f>
        <v>Overweight</v>
      </c>
      <c r="J1160" t="str" cm="1">
        <f t="array" ref="J1160">_xlfn.IFS(C1160&lt;5.7,"Normal",AND(C1160&gt;=5.7,C1160&lt;=6.49),"Prediabetes",C1160&gt;=6.5,"Diabetes")</f>
        <v>Diabetes</v>
      </c>
    </row>
    <row r="1161" spans="1:10" x14ac:dyDescent="0.3">
      <c r="A1161" t="s">
        <v>1211</v>
      </c>
      <c r="B1161" s="8">
        <v>26.35</v>
      </c>
      <c r="C1161">
        <v>6.21</v>
      </c>
      <c r="D1161" t="s">
        <v>2379</v>
      </c>
      <c r="E1161" t="s">
        <v>2379</v>
      </c>
      <c r="F1161" t="s">
        <v>2379</v>
      </c>
      <c r="G1161">
        <v>2</v>
      </c>
      <c r="H1161" t="s">
        <v>2379</v>
      </c>
      <c r="I1161" t="str" cm="1">
        <f t="array" ref="I1161">_xlfn.IFS(B1161&lt;18.5,"Underweight",AND(B1161&gt;=18.5,B1161&lt;=24.99),"Normalweight",AND(B1161&gt;=25,B1161&lt;=29.99),"Overweight",B1161&gt;=30,"Obesity")</f>
        <v>Overweight</v>
      </c>
      <c r="J1161" t="str" cm="1">
        <f t="array" ref="J1161">_xlfn.IFS(C1161&lt;5.7,"Normal",AND(C1161&gt;=5.7,C1161&lt;=6.49),"Prediabetes",C1161&gt;=6.5,"Diabetes")</f>
        <v>Prediabetes</v>
      </c>
    </row>
    <row r="1162" spans="1:10" x14ac:dyDescent="0.3">
      <c r="A1162" t="s">
        <v>1210</v>
      </c>
      <c r="B1162" s="8">
        <v>39.994999999999997</v>
      </c>
      <c r="C1162">
        <v>4.6500000000000004</v>
      </c>
      <c r="D1162" t="s">
        <v>2379</v>
      </c>
      <c r="E1162" t="s">
        <v>2379</v>
      </c>
      <c r="F1162" t="s">
        <v>2379</v>
      </c>
      <c r="G1162">
        <v>0</v>
      </c>
      <c r="H1162" t="s">
        <v>2379</v>
      </c>
      <c r="I1162" t="str" cm="1">
        <f t="array" ref="I1162">_xlfn.IFS(B1162&lt;18.5,"Underweight",AND(B1162&gt;=18.5,B1162&lt;=24.99),"Normalweight",AND(B1162&gt;=25,B1162&lt;=29.99),"Overweight",B1162&gt;=30,"Obesity")</f>
        <v>Obesity</v>
      </c>
      <c r="J1162" t="str" cm="1">
        <f t="array" ref="J1162">_xlfn.IFS(C1162&lt;5.7,"Normal",AND(C1162&gt;=5.7,C1162&lt;=6.49),"Prediabetes",C1162&gt;=6.5,"Diabetes")</f>
        <v>Normal</v>
      </c>
    </row>
    <row r="1163" spans="1:10" x14ac:dyDescent="0.3">
      <c r="A1163" t="s">
        <v>1209</v>
      </c>
      <c r="B1163" s="8">
        <v>22.92</v>
      </c>
      <c r="C1163">
        <v>5.87</v>
      </c>
      <c r="D1163" t="s">
        <v>2381</v>
      </c>
      <c r="E1163" t="s">
        <v>2379</v>
      </c>
      <c r="F1163" t="s">
        <v>2379</v>
      </c>
      <c r="G1163">
        <v>1</v>
      </c>
      <c r="H1163" t="s">
        <v>2379</v>
      </c>
      <c r="I1163" t="str" cm="1">
        <f t="array" ref="I1163">_xlfn.IFS(B1163&lt;18.5,"Underweight",AND(B1163&gt;=18.5,B1163&lt;=24.99),"Normalweight",AND(B1163&gt;=25,B1163&lt;=29.99),"Overweight",B1163&gt;=30,"Obesity")</f>
        <v>Normalweight</v>
      </c>
      <c r="J1163" t="str" cm="1">
        <f t="array" ref="J1163">_xlfn.IFS(C1163&lt;5.7,"Normal",AND(C1163&gt;=5.7,C1163&lt;=6.49),"Prediabetes",C1163&gt;=6.5,"Diabetes")</f>
        <v>Prediabetes</v>
      </c>
    </row>
    <row r="1164" spans="1:10" x14ac:dyDescent="0.3">
      <c r="A1164" t="s">
        <v>1208</v>
      </c>
      <c r="B1164" s="8">
        <v>24.78</v>
      </c>
      <c r="C1164">
        <v>4.24</v>
      </c>
      <c r="D1164" t="s">
        <v>2381</v>
      </c>
      <c r="E1164" t="s">
        <v>2379</v>
      </c>
      <c r="F1164" t="s">
        <v>2379</v>
      </c>
      <c r="G1164">
        <v>2</v>
      </c>
      <c r="H1164" t="s">
        <v>2379</v>
      </c>
      <c r="I1164" t="str" cm="1">
        <f t="array" ref="I1164">_xlfn.IFS(B1164&lt;18.5,"Underweight",AND(B1164&gt;=18.5,B1164&lt;=24.99),"Normalweight",AND(B1164&gt;=25,B1164&lt;=29.99),"Overweight",B1164&gt;=30,"Obesity")</f>
        <v>Normalweight</v>
      </c>
      <c r="J1164" t="str" cm="1">
        <f t="array" ref="J1164">_xlfn.IFS(C1164&lt;5.7,"Normal",AND(C1164&gt;=5.7,C1164&lt;=6.49),"Prediabetes",C1164&gt;=6.5,"Diabetes")</f>
        <v>Normal</v>
      </c>
    </row>
    <row r="1165" spans="1:10" x14ac:dyDescent="0.3">
      <c r="A1165" t="s">
        <v>1207</v>
      </c>
      <c r="B1165" s="8">
        <v>34.07</v>
      </c>
      <c r="C1165">
        <v>7.81</v>
      </c>
      <c r="D1165" t="s">
        <v>2381</v>
      </c>
      <c r="E1165" t="s">
        <v>2379</v>
      </c>
      <c r="F1165" t="s">
        <v>2379</v>
      </c>
      <c r="G1165">
        <v>0</v>
      </c>
      <c r="H1165" t="s">
        <v>2379</v>
      </c>
      <c r="I1165" t="str" cm="1">
        <f t="array" ref="I1165">_xlfn.IFS(B1165&lt;18.5,"Underweight",AND(B1165&gt;=18.5,B1165&lt;=24.99),"Normalweight",AND(B1165&gt;=25,B1165&lt;=29.99),"Overweight",B1165&gt;=30,"Obesity")</f>
        <v>Obesity</v>
      </c>
      <c r="J1165" t="str" cm="1">
        <f t="array" ref="J1165">_xlfn.IFS(C1165&lt;5.7,"Normal",AND(C1165&gt;=5.7,C1165&lt;=6.49),"Prediabetes",C1165&gt;=6.5,"Diabetes")</f>
        <v>Diabetes</v>
      </c>
    </row>
    <row r="1166" spans="1:10" x14ac:dyDescent="0.3">
      <c r="A1166" t="s">
        <v>1206</v>
      </c>
      <c r="B1166" s="8">
        <v>30.14</v>
      </c>
      <c r="C1166">
        <v>9.85</v>
      </c>
      <c r="D1166" t="s">
        <v>2379</v>
      </c>
      <c r="E1166" t="s">
        <v>2379</v>
      </c>
      <c r="F1166" t="s">
        <v>2379</v>
      </c>
      <c r="G1166">
        <v>0</v>
      </c>
      <c r="H1166" t="s">
        <v>2379</v>
      </c>
      <c r="I1166" t="str" cm="1">
        <f t="array" ref="I1166">_xlfn.IFS(B1166&lt;18.5,"Underweight",AND(B1166&gt;=18.5,B1166&lt;=24.99),"Normalweight",AND(B1166&gt;=25,B1166&lt;=29.99),"Overweight",B1166&gt;=30,"Obesity")</f>
        <v>Obesity</v>
      </c>
      <c r="J1166" t="str" cm="1">
        <f t="array" ref="J1166">_xlfn.IFS(C1166&lt;5.7,"Normal",AND(C1166&gt;=5.7,C1166&lt;=6.49),"Prediabetes",C1166&gt;=6.5,"Diabetes")</f>
        <v>Diabetes</v>
      </c>
    </row>
    <row r="1167" spans="1:10" x14ac:dyDescent="0.3">
      <c r="A1167" t="s">
        <v>1205</v>
      </c>
      <c r="B1167" s="8">
        <v>18.05</v>
      </c>
      <c r="C1167">
        <v>6.94</v>
      </c>
      <c r="D1167" t="s">
        <v>2379</v>
      </c>
      <c r="E1167" t="s">
        <v>2379</v>
      </c>
      <c r="F1167" t="s">
        <v>2379</v>
      </c>
      <c r="G1167">
        <v>0</v>
      </c>
      <c r="H1167" t="s">
        <v>2379</v>
      </c>
      <c r="I1167" t="str" cm="1">
        <f t="array" ref="I1167">_xlfn.IFS(B1167&lt;18.5,"Underweight",AND(B1167&gt;=18.5,B1167&lt;=24.99),"Normalweight",AND(B1167&gt;=25,B1167&lt;=29.99),"Overweight",B1167&gt;=30,"Obesity")</f>
        <v>Underweight</v>
      </c>
      <c r="J1167" t="str" cm="1">
        <f t="array" ref="J1167">_xlfn.IFS(C1167&lt;5.7,"Normal",AND(C1167&gt;=5.7,C1167&lt;=6.49),"Prediabetes",C1167&gt;=6.5,"Diabetes")</f>
        <v>Diabetes</v>
      </c>
    </row>
    <row r="1168" spans="1:10" x14ac:dyDescent="0.3">
      <c r="A1168" t="s">
        <v>1204</v>
      </c>
      <c r="B1168" s="8">
        <v>37.4</v>
      </c>
      <c r="C1168">
        <v>11.3</v>
      </c>
      <c r="D1168" t="s">
        <v>2381</v>
      </c>
      <c r="E1168" t="s">
        <v>2379</v>
      </c>
      <c r="F1168" t="s">
        <v>2379</v>
      </c>
      <c r="G1168">
        <v>2</v>
      </c>
      <c r="H1168" t="s">
        <v>2379</v>
      </c>
      <c r="I1168" t="str" cm="1">
        <f t="array" ref="I1168">_xlfn.IFS(B1168&lt;18.5,"Underweight",AND(B1168&gt;=18.5,B1168&lt;=24.99),"Normalweight",AND(B1168&gt;=25,B1168&lt;=29.99),"Overweight",B1168&gt;=30,"Obesity")</f>
        <v>Obesity</v>
      </c>
      <c r="J1168" t="str" cm="1">
        <f t="array" ref="J1168">_xlfn.IFS(C1168&lt;5.7,"Normal",AND(C1168&gt;=5.7,C1168&lt;=6.49),"Prediabetes",C1168&gt;=6.5,"Diabetes")</f>
        <v>Diabetes</v>
      </c>
    </row>
    <row r="1169" spans="1:10" x14ac:dyDescent="0.3">
      <c r="A1169" t="s">
        <v>1203</v>
      </c>
      <c r="B1169" s="8">
        <v>25.75</v>
      </c>
      <c r="C1169">
        <v>9.23</v>
      </c>
      <c r="D1169" t="s">
        <v>2379</v>
      </c>
      <c r="E1169" t="s">
        <v>2379</v>
      </c>
      <c r="F1169" t="s">
        <v>2379</v>
      </c>
      <c r="G1169">
        <v>0</v>
      </c>
      <c r="H1169" t="s">
        <v>2379</v>
      </c>
      <c r="I1169" t="str" cm="1">
        <f t="array" ref="I1169">_xlfn.IFS(B1169&lt;18.5,"Underweight",AND(B1169&gt;=18.5,B1169&lt;=24.99),"Normalweight",AND(B1169&gt;=25,B1169&lt;=29.99),"Overweight",B1169&gt;=30,"Obesity")</f>
        <v>Overweight</v>
      </c>
      <c r="J1169" t="str" cm="1">
        <f t="array" ref="J1169">_xlfn.IFS(C1169&lt;5.7,"Normal",AND(C1169&gt;=5.7,C1169&lt;=6.49),"Prediabetes",C1169&gt;=6.5,"Diabetes")</f>
        <v>Diabetes</v>
      </c>
    </row>
    <row r="1170" spans="1:10" x14ac:dyDescent="0.3">
      <c r="A1170" t="s">
        <v>1202</v>
      </c>
      <c r="B1170" s="8">
        <v>32.299999999999997</v>
      </c>
      <c r="C1170">
        <v>4.37</v>
      </c>
      <c r="D1170" t="s">
        <v>2379</v>
      </c>
      <c r="E1170" t="s">
        <v>2379</v>
      </c>
      <c r="F1170" t="s">
        <v>2379</v>
      </c>
      <c r="G1170">
        <v>2</v>
      </c>
      <c r="H1170" t="s">
        <v>2379</v>
      </c>
      <c r="I1170" t="str" cm="1">
        <f t="array" ref="I1170">_xlfn.IFS(B1170&lt;18.5,"Underweight",AND(B1170&gt;=18.5,B1170&lt;=24.99),"Normalweight",AND(B1170&gt;=25,B1170&lt;=29.99),"Overweight",B1170&gt;=30,"Obesity")</f>
        <v>Obesity</v>
      </c>
      <c r="J1170" t="str" cm="1">
        <f t="array" ref="J1170">_xlfn.IFS(C1170&lt;5.7,"Normal",AND(C1170&gt;=5.7,C1170&lt;=6.49),"Prediabetes",C1170&gt;=6.5,"Diabetes")</f>
        <v>Normal</v>
      </c>
    </row>
    <row r="1171" spans="1:10" x14ac:dyDescent="0.3">
      <c r="A1171" t="s">
        <v>1201</v>
      </c>
      <c r="B1171" s="8">
        <v>28.61</v>
      </c>
      <c r="C1171">
        <v>5.76</v>
      </c>
      <c r="D1171" t="s">
        <v>2379</v>
      </c>
      <c r="E1171" t="s">
        <v>2379</v>
      </c>
      <c r="F1171" t="s">
        <v>2381</v>
      </c>
      <c r="G1171">
        <v>1</v>
      </c>
      <c r="H1171" t="s">
        <v>2379</v>
      </c>
      <c r="I1171" t="str" cm="1">
        <f t="array" ref="I1171">_xlfn.IFS(B1171&lt;18.5,"Underweight",AND(B1171&gt;=18.5,B1171&lt;=24.99),"Normalweight",AND(B1171&gt;=25,B1171&lt;=29.99),"Overweight",B1171&gt;=30,"Obesity")</f>
        <v>Overweight</v>
      </c>
      <c r="J1171" t="str" cm="1">
        <f t="array" ref="J1171">_xlfn.IFS(C1171&lt;5.7,"Normal",AND(C1171&gt;=5.7,C1171&lt;=6.49),"Prediabetes",C1171&gt;=6.5,"Diabetes")</f>
        <v>Prediabetes</v>
      </c>
    </row>
    <row r="1172" spans="1:10" x14ac:dyDescent="0.3">
      <c r="A1172" t="s">
        <v>1200</v>
      </c>
      <c r="B1172" s="8">
        <v>45.41</v>
      </c>
      <c r="C1172">
        <v>4.96</v>
      </c>
      <c r="D1172" t="s">
        <v>2379</v>
      </c>
      <c r="E1172" t="s">
        <v>2379</v>
      </c>
      <c r="F1172" t="s">
        <v>2379</v>
      </c>
      <c r="G1172">
        <v>1</v>
      </c>
      <c r="H1172" t="s">
        <v>2379</v>
      </c>
      <c r="I1172" t="str" cm="1">
        <f t="array" ref="I1172">_xlfn.IFS(B1172&lt;18.5,"Underweight",AND(B1172&gt;=18.5,B1172&lt;=24.99),"Normalweight",AND(B1172&gt;=25,B1172&lt;=29.99),"Overweight",B1172&gt;=30,"Obesity")</f>
        <v>Obesity</v>
      </c>
      <c r="J1172" t="str" cm="1">
        <f t="array" ref="J1172">_xlfn.IFS(C1172&lt;5.7,"Normal",AND(C1172&gt;=5.7,C1172&lt;=6.49),"Prediabetes",C1172&gt;=6.5,"Diabetes")</f>
        <v>Normal</v>
      </c>
    </row>
    <row r="1173" spans="1:10" x14ac:dyDescent="0.3">
      <c r="A1173" t="s">
        <v>1199</v>
      </c>
      <c r="B1173" s="8">
        <v>31.2</v>
      </c>
      <c r="C1173">
        <v>11.04</v>
      </c>
      <c r="D1173" t="s">
        <v>2381</v>
      </c>
      <c r="E1173" t="s">
        <v>2379</v>
      </c>
      <c r="F1173" t="s">
        <v>2379</v>
      </c>
      <c r="G1173">
        <v>2</v>
      </c>
      <c r="H1173" t="s">
        <v>2379</v>
      </c>
      <c r="I1173" t="str" cm="1">
        <f t="array" ref="I1173">_xlfn.IFS(B1173&lt;18.5,"Underweight",AND(B1173&gt;=18.5,B1173&lt;=24.99),"Normalweight",AND(B1173&gt;=25,B1173&lt;=29.99),"Overweight",B1173&gt;=30,"Obesity")</f>
        <v>Obesity</v>
      </c>
      <c r="J1173" t="str" cm="1">
        <f t="array" ref="J1173">_xlfn.IFS(C1173&lt;5.7,"Normal",AND(C1173&gt;=5.7,C1173&lt;=6.49),"Prediabetes",C1173&gt;=6.5,"Diabetes")</f>
        <v>Diabetes</v>
      </c>
    </row>
    <row r="1174" spans="1:10" x14ac:dyDescent="0.3">
      <c r="A1174" t="s">
        <v>1198</v>
      </c>
      <c r="B1174" s="8">
        <v>29.83</v>
      </c>
      <c r="C1174">
        <v>7.81</v>
      </c>
      <c r="D1174" t="s">
        <v>2381</v>
      </c>
      <c r="E1174" t="s">
        <v>2379</v>
      </c>
      <c r="F1174" t="s">
        <v>2379</v>
      </c>
      <c r="G1174">
        <v>1</v>
      </c>
      <c r="H1174" t="s">
        <v>2379</v>
      </c>
      <c r="I1174" t="str" cm="1">
        <f t="array" ref="I1174">_xlfn.IFS(B1174&lt;18.5,"Underweight",AND(B1174&gt;=18.5,B1174&lt;=24.99),"Normalweight",AND(B1174&gt;=25,B1174&lt;=29.99),"Overweight",B1174&gt;=30,"Obesity")</f>
        <v>Overweight</v>
      </c>
      <c r="J1174" t="str" cm="1">
        <f t="array" ref="J1174">_xlfn.IFS(C1174&lt;5.7,"Normal",AND(C1174&gt;=5.7,C1174&lt;=6.49),"Prediabetes",C1174&gt;=6.5,"Diabetes")</f>
        <v>Diabetes</v>
      </c>
    </row>
    <row r="1175" spans="1:10" x14ac:dyDescent="0.3">
      <c r="A1175" t="s">
        <v>1197</v>
      </c>
      <c r="B1175" s="8">
        <v>29.06</v>
      </c>
      <c r="C1175">
        <v>4.55</v>
      </c>
      <c r="D1175" t="s">
        <v>2379</v>
      </c>
      <c r="E1175" t="s">
        <v>2379</v>
      </c>
      <c r="F1175" t="s">
        <v>2379</v>
      </c>
      <c r="G1175">
        <v>0</v>
      </c>
      <c r="H1175" t="s">
        <v>2379</v>
      </c>
      <c r="I1175" t="str" cm="1">
        <f t="array" ref="I1175">_xlfn.IFS(B1175&lt;18.5,"Underweight",AND(B1175&gt;=18.5,B1175&lt;=24.99),"Normalweight",AND(B1175&gt;=25,B1175&lt;=29.99),"Overweight",B1175&gt;=30,"Obesity")</f>
        <v>Overweight</v>
      </c>
      <c r="J1175" t="str" cm="1">
        <f t="array" ref="J1175">_xlfn.IFS(C1175&lt;5.7,"Normal",AND(C1175&gt;=5.7,C1175&lt;=6.49),"Prediabetes",C1175&gt;=6.5,"Diabetes")</f>
        <v>Normal</v>
      </c>
    </row>
    <row r="1176" spans="1:10" x14ac:dyDescent="0.3">
      <c r="A1176" t="s">
        <v>1196</v>
      </c>
      <c r="B1176" s="8">
        <v>27.454999999999998</v>
      </c>
      <c r="C1176">
        <v>6.13</v>
      </c>
      <c r="D1176" t="s">
        <v>2379</v>
      </c>
      <c r="E1176" t="s">
        <v>2379</v>
      </c>
      <c r="F1176" t="s">
        <v>2379</v>
      </c>
      <c r="G1176">
        <v>2</v>
      </c>
      <c r="H1176" t="s">
        <v>2379</v>
      </c>
      <c r="I1176" t="str" cm="1">
        <f t="array" ref="I1176">_xlfn.IFS(B1176&lt;18.5,"Underweight",AND(B1176&gt;=18.5,B1176&lt;=24.99),"Normalweight",AND(B1176&gt;=25,B1176&lt;=29.99),"Overweight",B1176&gt;=30,"Obesity")</f>
        <v>Overweight</v>
      </c>
      <c r="J1176" t="str" cm="1">
        <f t="array" ref="J1176">_xlfn.IFS(C1176&lt;5.7,"Normal",AND(C1176&gt;=5.7,C1176&lt;=6.49),"Prediabetes",C1176&gt;=6.5,"Diabetes")</f>
        <v>Prediabetes</v>
      </c>
    </row>
    <row r="1177" spans="1:10" x14ac:dyDescent="0.3">
      <c r="A1177" t="s">
        <v>1195</v>
      </c>
      <c r="B1177" s="8">
        <v>23.01</v>
      </c>
      <c r="C1177">
        <v>6.04</v>
      </c>
      <c r="D1177" t="s">
        <v>2381</v>
      </c>
      <c r="E1177" t="s">
        <v>2379</v>
      </c>
      <c r="F1177" t="s">
        <v>2379</v>
      </c>
      <c r="G1177">
        <v>1</v>
      </c>
      <c r="H1177" t="s">
        <v>2379</v>
      </c>
      <c r="I1177" t="str" cm="1">
        <f t="array" ref="I1177">_xlfn.IFS(B1177&lt;18.5,"Underweight",AND(B1177&gt;=18.5,B1177&lt;=24.99),"Normalweight",AND(B1177&gt;=25,B1177&lt;=29.99),"Overweight",B1177&gt;=30,"Obesity")</f>
        <v>Normalweight</v>
      </c>
      <c r="J1177" t="str" cm="1">
        <f t="array" ref="J1177">_xlfn.IFS(C1177&lt;5.7,"Normal",AND(C1177&gt;=5.7,C1177&lt;=6.49),"Prediabetes",C1177&gt;=6.5,"Diabetes")</f>
        <v>Prediabetes</v>
      </c>
    </row>
    <row r="1178" spans="1:10" x14ac:dyDescent="0.3">
      <c r="A1178" t="s">
        <v>1194</v>
      </c>
      <c r="B1178" s="8">
        <v>31.39</v>
      </c>
      <c r="C1178">
        <v>8.85</v>
      </c>
      <c r="D1178" t="s">
        <v>2381</v>
      </c>
      <c r="E1178" t="s">
        <v>2379</v>
      </c>
      <c r="F1178" t="s">
        <v>2379</v>
      </c>
      <c r="G1178">
        <v>0</v>
      </c>
      <c r="H1178" t="s">
        <v>2379</v>
      </c>
      <c r="I1178" t="str" cm="1">
        <f t="array" ref="I1178">_xlfn.IFS(B1178&lt;18.5,"Underweight",AND(B1178&gt;=18.5,B1178&lt;=24.99),"Normalweight",AND(B1178&gt;=25,B1178&lt;=29.99),"Overweight",B1178&gt;=30,"Obesity")</f>
        <v>Obesity</v>
      </c>
      <c r="J1178" t="str" cm="1">
        <f t="array" ref="J1178">_xlfn.IFS(C1178&lt;5.7,"Normal",AND(C1178&gt;=5.7,C1178&lt;=6.49),"Prediabetes",C1178&gt;=6.5,"Diabetes")</f>
        <v>Diabetes</v>
      </c>
    </row>
    <row r="1179" spans="1:10" x14ac:dyDescent="0.3">
      <c r="A1179" t="s">
        <v>1193</v>
      </c>
      <c r="B1179" s="8">
        <v>34.770000000000003</v>
      </c>
      <c r="C1179">
        <v>10.54</v>
      </c>
      <c r="D1179" t="s">
        <v>2379</v>
      </c>
      <c r="E1179" t="s">
        <v>2379</v>
      </c>
      <c r="F1179" t="s">
        <v>2379</v>
      </c>
      <c r="G1179">
        <v>2</v>
      </c>
      <c r="H1179" t="s">
        <v>2379</v>
      </c>
      <c r="I1179" t="str" cm="1">
        <f t="array" ref="I1179">_xlfn.IFS(B1179&lt;18.5,"Underweight",AND(B1179&gt;=18.5,B1179&lt;=24.99),"Normalweight",AND(B1179&gt;=25,B1179&lt;=29.99),"Overweight",B1179&gt;=30,"Obesity")</f>
        <v>Obesity</v>
      </c>
      <c r="J1179" t="str" cm="1">
        <f t="array" ref="J1179">_xlfn.IFS(C1179&lt;5.7,"Normal",AND(C1179&gt;=5.7,C1179&lt;=6.49),"Prediabetes",C1179&gt;=6.5,"Diabetes")</f>
        <v>Diabetes</v>
      </c>
    </row>
    <row r="1180" spans="1:10" x14ac:dyDescent="0.3">
      <c r="A1180" t="s">
        <v>1192</v>
      </c>
      <c r="B1180" s="8">
        <v>24.48</v>
      </c>
      <c r="C1180">
        <v>4.37</v>
      </c>
      <c r="D1180" t="s">
        <v>2381</v>
      </c>
      <c r="E1180" t="s">
        <v>2379</v>
      </c>
      <c r="F1180" t="s">
        <v>2379</v>
      </c>
      <c r="G1180">
        <v>2</v>
      </c>
      <c r="H1180" t="s">
        <v>2379</v>
      </c>
      <c r="I1180" t="str" cm="1">
        <f t="array" ref="I1180">_xlfn.IFS(B1180&lt;18.5,"Underweight",AND(B1180&gt;=18.5,B1180&lt;=24.99),"Normalweight",AND(B1180&gt;=25,B1180&lt;=29.99),"Overweight",B1180&gt;=30,"Obesity")</f>
        <v>Normalweight</v>
      </c>
      <c r="J1180" t="str" cm="1">
        <f t="array" ref="J1180">_xlfn.IFS(C1180&lt;5.7,"Normal",AND(C1180&gt;=5.7,C1180&lt;=6.49),"Prediabetes",C1180&gt;=6.5,"Diabetes")</f>
        <v>Normal</v>
      </c>
    </row>
    <row r="1181" spans="1:10" x14ac:dyDescent="0.3">
      <c r="A1181" t="s">
        <v>1191</v>
      </c>
      <c r="B1181" s="8">
        <v>22.61</v>
      </c>
      <c r="C1181">
        <v>9.6300000000000008</v>
      </c>
      <c r="D1181" t="s">
        <v>2379</v>
      </c>
      <c r="E1181" t="s">
        <v>2379</v>
      </c>
      <c r="F1181" t="s">
        <v>2379</v>
      </c>
      <c r="G1181">
        <v>2</v>
      </c>
      <c r="H1181" t="s">
        <v>2379</v>
      </c>
      <c r="I1181" t="str" cm="1">
        <f t="array" ref="I1181">_xlfn.IFS(B1181&lt;18.5,"Underweight",AND(B1181&gt;=18.5,B1181&lt;=24.99),"Normalweight",AND(B1181&gt;=25,B1181&lt;=29.99),"Overweight",B1181&gt;=30,"Obesity")</f>
        <v>Normalweight</v>
      </c>
      <c r="J1181" t="str" cm="1">
        <f t="array" ref="J1181">_xlfn.IFS(C1181&lt;5.7,"Normal",AND(C1181&gt;=5.7,C1181&lt;=6.49),"Prediabetes",C1181&gt;=6.5,"Diabetes")</f>
        <v>Diabetes</v>
      </c>
    </row>
    <row r="1182" spans="1:10" x14ac:dyDescent="0.3">
      <c r="A1182" t="s">
        <v>1190</v>
      </c>
      <c r="B1182" s="8">
        <v>34.299999999999997</v>
      </c>
      <c r="C1182">
        <v>10.37</v>
      </c>
      <c r="D1182" t="s">
        <v>2379</v>
      </c>
      <c r="E1182" t="s">
        <v>2379</v>
      </c>
      <c r="F1182" t="s">
        <v>2379</v>
      </c>
      <c r="G1182">
        <v>0</v>
      </c>
      <c r="H1182" t="s">
        <v>2379</v>
      </c>
      <c r="I1182" t="str" cm="1">
        <f t="array" ref="I1182">_xlfn.IFS(B1182&lt;18.5,"Underweight",AND(B1182&gt;=18.5,B1182&lt;=24.99),"Normalweight",AND(B1182&gt;=25,B1182&lt;=29.99),"Overweight",B1182&gt;=30,"Obesity")</f>
        <v>Obesity</v>
      </c>
      <c r="J1182" t="str" cm="1">
        <f t="array" ref="J1182">_xlfn.IFS(C1182&lt;5.7,"Normal",AND(C1182&gt;=5.7,C1182&lt;=6.49),"Prediabetes",C1182&gt;=6.5,"Diabetes")</f>
        <v>Diabetes</v>
      </c>
    </row>
    <row r="1183" spans="1:10" x14ac:dyDescent="0.3">
      <c r="A1183" t="s">
        <v>1189</v>
      </c>
      <c r="B1183" s="8">
        <v>46.09</v>
      </c>
      <c r="C1183">
        <v>5.44</v>
      </c>
      <c r="D1183" t="s">
        <v>2379</v>
      </c>
      <c r="E1183" t="s">
        <v>2379</v>
      </c>
      <c r="F1183" t="s">
        <v>2379</v>
      </c>
      <c r="G1183">
        <v>2</v>
      </c>
      <c r="H1183" t="s">
        <v>2379</v>
      </c>
      <c r="I1183" t="str" cm="1">
        <f t="array" ref="I1183">_xlfn.IFS(B1183&lt;18.5,"Underweight",AND(B1183&gt;=18.5,B1183&lt;=24.99),"Normalweight",AND(B1183&gt;=25,B1183&lt;=29.99),"Overweight",B1183&gt;=30,"Obesity")</f>
        <v>Obesity</v>
      </c>
      <c r="J1183" t="str" cm="1">
        <f t="array" ref="J1183">_xlfn.IFS(C1183&lt;5.7,"Normal",AND(C1183&gt;=5.7,C1183&lt;=6.49),"Prediabetes",C1183&gt;=6.5,"Diabetes")</f>
        <v>Normal</v>
      </c>
    </row>
    <row r="1184" spans="1:10" x14ac:dyDescent="0.3">
      <c r="A1184" t="s">
        <v>1188</v>
      </c>
      <c r="B1184" s="8">
        <v>44.744999999999997</v>
      </c>
      <c r="C1184">
        <v>5.19</v>
      </c>
      <c r="D1184" t="s">
        <v>2379</v>
      </c>
      <c r="E1184" t="s">
        <v>2379</v>
      </c>
      <c r="F1184" t="s">
        <v>2379</v>
      </c>
      <c r="G1184">
        <v>2</v>
      </c>
      <c r="H1184" t="s">
        <v>2379</v>
      </c>
      <c r="I1184" t="str" cm="1">
        <f t="array" ref="I1184">_xlfn.IFS(B1184&lt;18.5,"Underweight",AND(B1184&gt;=18.5,B1184&lt;=24.99),"Normalweight",AND(B1184&gt;=25,B1184&lt;=29.99),"Overweight",B1184&gt;=30,"Obesity")</f>
        <v>Obesity</v>
      </c>
      <c r="J1184" t="str" cm="1">
        <f t="array" ref="J1184">_xlfn.IFS(C1184&lt;5.7,"Normal",AND(C1184&gt;=5.7,C1184&lt;=6.49),"Prediabetes",C1184&gt;=6.5,"Diabetes")</f>
        <v>Normal</v>
      </c>
    </row>
    <row r="1185" spans="1:10" x14ac:dyDescent="0.3">
      <c r="A1185" t="s">
        <v>1187</v>
      </c>
      <c r="B1185" s="8">
        <v>26.33</v>
      </c>
      <c r="C1185">
        <v>11.8</v>
      </c>
      <c r="D1185" t="s">
        <v>2381</v>
      </c>
      <c r="E1185" t="s">
        <v>2379</v>
      </c>
      <c r="F1185" t="s">
        <v>2379</v>
      </c>
      <c r="G1185">
        <v>1</v>
      </c>
      <c r="H1185" t="s">
        <v>2379</v>
      </c>
      <c r="I1185" t="str" cm="1">
        <f t="array" ref="I1185">_xlfn.IFS(B1185&lt;18.5,"Underweight",AND(B1185&gt;=18.5,B1185&lt;=24.99),"Normalweight",AND(B1185&gt;=25,B1185&lt;=29.99),"Overweight",B1185&gt;=30,"Obesity")</f>
        <v>Overweight</v>
      </c>
      <c r="J1185" t="str" cm="1">
        <f t="array" ref="J1185">_xlfn.IFS(C1185&lt;5.7,"Normal",AND(C1185&gt;=5.7,C1185&lt;=6.49),"Prediabetes",C1185&gt;=6.5,"Diabetes")</f>
        <v>Diabetes</v>
      </c>
    </row>
    <row r="1186" spans="1:10" x14ac:dyDescent="0.3">
      <c r="A1186" t="s">
        <v>1186</v>
      </c>
      <c r="B1186" s="8">
        <v>26.6</v>
      </c>
      <c r="C1186">
        <v>8.3800000000000008</v>
      </c>
      <c r="D1186" t="s">
        <v>2379</v>
      </c>
      <c r="E1186" t="s">
        <v>2379</v>
      </c>
      <c r="F1186" t="s">
        <v>2379</v>
      </c>
      <c r="G1186">
        <v>2</v>
      </c>
      <c r="H1186" t="s">
        <v>2379</v>
      </c>
      <c r="I1186" t="str" cm="1">
        <f t="array" ref="I1186">_xlfn.IFS(B1186&lt;18.5,"Underweight",AND(B1186&gt;=18.5,B1186&lt;=24.99),"Normalweight",AND(B1186&gt;=25,B1186&lt;=29.99),"Overweight",B1186&gt;=30,"Obesity")</f>
        <v>Overweight</v>
      </c>
      <c r="J1186" t="str" cm="1">
        <f t="array" ref="J1186">_xlfn.IFS(C1186&lt;5.7,"Normal",AND(C1186&gt;=5.7,C1186&lt;=6.49),"Prediabetes",C1186&gt;=6.5,"Diabetes")</f>
        <v>Diabetes</v>
      </c>
    </row>
    <row r="1187" spans="1:10" x14ac:dyDescent="0.3">
      <c r="A1187" t="s">
        <v>1185</v>
      </c>
      <c r="B1187" s="8">
        <v>27.5</v>
      </c>
      <c r="C1187">
        <v>7.58</v>
      </c>
      <c r="D1187" t="s">
        <v>2379</v>
      </c>
      <c r="E1187" t="s">
        <v>2379</v>
      </c>
      <c r="F1187" t="s">
        <v>2379</v>
      </c>
      <c r="G1187">
        <v>0</v>
      </c>
      <c r="H1187" t="s">
        <v>2379</v>
      </c>
      <c r="I1187" t="str" cm="1">
        <f t="array" ref="I1187">_xlfn.IFS(B1187&lt;18.5,"Underweight",AND(B1187&gt;=18.5,B1187&lt;=24.99),"Normalweight",AND(B1187&gt;=25,B1187&lt;=29.99),"Overweight",B1187&gt;=30,"Obesity")</f>
        <v>Overweight</v>
      </c>
      <c r="J1187" t="str" cm="1">
        <f t="array" ref="J1187">_xlfn.IFS(C1187&lt;5.7,"Normal",AND(C1187&gt;=5.7,C1187&lt;=6.49),"Prediabetes",C1187&gt;=6.5,"Diabetes")</f>
        <v>Diabetes</v>
      </c>
    </row>
    <row r="1188" spans="1:10" x14ac:dyDescent="0.3">
      <c r="A1188" t="s">
        <v>1184</v>
      </c>
      <c r="B1188" s="8">
        <v>41.55</v>
      </c>
      <c r="C1188">
        <v>4.6100000000000003</v>
      </c>
      <c r="D1188" t="s">
        <v>2379</v>
      </c>
      <c r="E1188" t="s">
        <v>2379</v>
      </c>
      <c r="F1188" t="s">
        <v>2379</v>
      </c>
      <c r="G1188">
        <v>1</v>
      </c>
      <c r="H1188" t="s">
        <v>2379</v>
      </c>
      <c r="I1188" t="str" cm="1">
        <f t="array" ref="I1188">_xlfn.IFS(B1188&lt;18.5,"Underweight",AND(B1188&gt;=18.5,B1188&lt;=24.99),"Normalweight",AND(B1188&gt;=25,B1188&lt;=29.99),"Overweight",B1188&gt;=30,"Obesity")</f>
        <v>Obesity</v>
      </c>
      <c r="J1188" t="str" cm="1">
        <f t="array" ref="J1188">_xlfn.IFS(C1188&lt;5.7,"Normal",AND(C1188&gt;=5.7,C1188&lt;=6.49),"Prediabetes",C1188&gt;=6.5,"Diabetes")</f>
        <v>Normal</v>
      </c>
    </row>
    <row r="1189" spans="1:10" x14ac:dyDescent="0.3">
      <c r="A1189" t="s">
        <v>1183</v>
      </c>
      <c r="B1189" s="8">
        <v>41.47</v>
      </c>
      <c r="C1189">
        <v>4.7</v>
      </c>
      <c r="D1189" t="s">
        <v>2381</v>
      </c>
      <c r="E1189" t="s">
        <v>2379</v>
      </c>
      <c r="F1189" t="s">
        <v>2381</v>
      </c>
      <c r="G1189">
        <v>1</v>
      </c>
      <c r="H1189" t="s">
        <v>2379</v>
      </c>
      <c r="I1189" t="str" cm="1">
        <f t="array" ref="I1189">_xlfn.IFS(B1189&lt;18.5,"Underweight",AND(B1189&gt;=18.5,B1189&lt;=24.99),"Normalweight",AND(B1189&gt;=25,B1189&lt;=29.99),"Overweight",B1189&gt;=30,"Obesity")</f>
        <v>Obesity</v>
      </c>
      <c r="J1189" t="str" cm="1">
        <f t="array" ref="J1189">_xlfn.IFS(C1189&lt;5.7,"Normal",AND(C1189&gt;=5.7,C1189&lt;=6.49),"Prediabetes",C1189&gt;=6.5,"Diabetes")</f>
        <v>Normal</v>
      </c>
    </row>
    <row r="1190" spans="1:10" x14ac:dyDescent="0.3">
      <c r="A1190" t="s">
        <v>1182</v>
      </c>
      <c r="B1190" s="8">
        <v>24.795000000000002</v>
      </c>
      <c r="C1190">
        <v>6.05</v>
      </c>
      <c r="D1190" t="s">
        <v>2381</v>
      </c>
      <c r="E1190" t="s">
        <v>2379</v>
      </c>
      <c r="F1190" t="s">
        <v>2379</v>
      </c>
      <c r="G1190">
        <v>0</v>
      </c>
      <c r="H1190" t="s">
        <v>2379</v>
      </c>
      <c r="I1190" t="str" cm="1">
        <f t="array" ref="I1190">_xlfn.IFS(B1190&lt;18.5,"Underweight",AND(B1190&gt;=18.5,B1190&lt;=24.99),"Normalweight",AND(B1190&gt;=25,B1190&lt;=29.99),"Overweight",B1190&gt;=30,"Obesity")</f>
        <v>Normalweight</v>
      </c>
      <c r="J1190" t="str" cm="1">
        <f t="array" ref="J1190">_xlfn.IFS(C1190&lt;5.7,"Normal",AND(C1190&gt;=5.7,C1190&lt;=6.49),"Prediabetes",C1190&gt;=6.5,"Diabetes")</f>
        <v>Prediabetes</v>
      </c>
    </row>
    <row r="1191" spans="1:10" x14ac:dyDescent="0.3">
      <c r="A1191" t="s">
        <v>1181</v>
      </c>
      <c r="B1191" s="8">
        <v>29.48</v>
      </c>
      <c r="C1191">
        <v>5.63</v>
      </c>
      <c r="D1191" t="s">
        <v>2381</v>
      </c>
      <c r="E1191" t="s">
        <v>2379</v>
      </c>
      <c r="F1191" t="s">
        <v>2381</v>
      </c>
      <c r="G1191">
        <v>1</v>
      </c>
      <c r="H1191" t="s">
        <v>2379</v>
      </c>
      <c r="I1191" t="str" cm="1">
        <f t="array" ref="I1191">_xlfn.IFS(B1191&lt;18.5,"Underweight",AND(B1191&gt;=18.5,B1191&lt;=24.99),"Normalweight",AND(B1191&gt;=25,B1191&lt;=29.99),"Overweight",B1191&gt;=30,"Obesity")</f>
        <v>Overweight</v>
      </c>
      <c r="J1191" t="str" cm="1">
        <f t="array" ref="J1191">_xlfn.IFS(C1191&lt;5.7,"Normal",AND(C1191&gt;=5.7,C1191&lt;=6.49),"Prediabetes",C1191&gt;=6.5,"Diabetes")</f>
        <v>Normal</v>
      </c>
    </row>
    <row r="1192" spans="1:10" x14ac:dyDescent="0.3">
      <c r="A1192" t="s">
        <v>1180</v>
      </c>
      <c r="B1192" s="8">
        <v>28.09</v>
      </c>
      <c r="C1192">
        <v>6.06</v>
      </c>
      <c r="D1192" t="s">
        <v>2379</v>
      </c>
      <c r="E1192" t="s">
        <v>2379</v>
      </c>
      <c r="F1192" t="s">
        <v>2381</v>
      </c>
      <c r="G1192">
        <v>1</v>
      </c>
      <c r="H1192" t="s">
        <v>2379</v>
      </c>
      <c r="I1192" t="str" cm="1">
        <f t="array" ref="I1192">_xlfn.IFS(B1192&lt;18.5,"Underweight",AND(B1192&gt;=18.5,B1192&lt;=24.99),"Normalweight",AND(B1192&gt;=25,B1192&lt;=29.99),"Overweight",B1192&gt;=30,"Obesity")</f>
        <v>Overweight</v>
      </c>
      <c r="J1192" t="str" cm="1">
        <f t="array" ref="J1192">_xlfn.IFS(C1192&lt;5.7,"Normal",AND(C1192&gt;=5.7,C1192&lt;=6.49),"Prediabetes",C1192&gt;=6.5,"Diabetes")</f>
        <v>Prediabetes</v>
      </c>
    </row>
    <row r="1193" spans="1:10" x14ac:dyDescent="0.3">
      <c r="A1193" t="s">
        <v>1179</v>
      </c>
      <c r="B1193" s="8">
        <v>32.729999999999997</v>
      </c>
      <c r="C1193">
        <v>5.19</v>
      </c>
      <c r="D1193" t="s">
        <v>2379</v>
      </c>
      <c r="E1193" t="s">
        <v>2379</v>
      </c>
      <c r="F1193" t="s">
        <v>2379</v>
      </c>
      <c r="G1193">
        <v>1</v>
      </c>
      <c r="H1193" t="s">
        <v>2379</v>
      </c>
      <c r="I1193" t="str" cm="1">
        <f t="array" ref="I1193">_xlfn.IFS(B1193&lt;18.5,"Underweight",AND(B1193&gt;=18.5,B1193&lt;=24.99),"Normalweight",AND(B1193&gt;=25,B1193&lt;=29.99),"Overweight",B1193&gt;=30,"Obesity")</f>
        <v>Obesity</v>
      </c>
      <c r="J1193" t="str" cm="1">
        <f t="array" ref="J1193">_xlfn.IFS(C1193&lt;5.7,"Normal",AND(C1193&gt;=5.7,C1193&lt;=6.49),"Prediabetes",C1193&gt;=6.5,"Diabetes")</f>
        <v>Normal</v>
      </c>
    </row>
    <row r="1194" spans="1:10" x14ac:dyDescent="0.3">
      <c r="A1194" t="s">
        <v>1178</v>
      </c>
      <c r="B1194" s="8">
        <v>27.36</v>
      </c>
      <c r="C1194">
        <v>8.9600000000000009</v>
      </c>
      <c r="D1194" t="s">
        <v>2379</v>
      </c>
      <c r="E1194" t="s">
        <v>2379</v>
      </c>
      <c r="F1194" t="s">
        <v>2379</v>
      </c>
      <c r="G1194">
        <v>0</v>
      </c>
      <c r="H1194" t="s">
        <v>2379</v>
      </c>
      <c r="I1194" t="str" cm="1">
        <f t="array" ref="I1194">_xlfn.IFS(B1194&lt;18.5,"Underweight",AND(B1194&gt;=18.5,B1194&lt;=24.99),"Normalweight",AND(B1194&gt;=25,B1194&lt;=29.99),"Overweight",B1194&gt;=30,"Obesity")</f>
        <v>Overweight</v>
      </c>
      <c r="J1194" t="str" cm="1">
        <f t="array" ref="J1194">_xlfn.IFS(C1194&lt;5.7,"Normal",AND(C1194&gt;=5.7,C1194&lt;=6.49),"Prediabetes",C1194&gt;=6.5,"Diabetes")</f>
        <v>Diabetes</v>
      </c>
    </row>
    <row r="1195" spans="1:10" x14ac:dyDescent="0.3">
      <c r="A1195" t="s">
        <v>1177</v>
      </c>
      <c r="B1195" s="8">
        <v>27.265000000000001</v>
      </c>
      <c r="C1195">
        <v>11.39</v>
      </c>
      <c r="D1195" t="s">
        <v>2379</v>
      </c>
      <c r="E1195" t="s">
        <v>2379</v>
      </c>
      <c r="F1195" t="s">
        <v>2379</v>
      </c>
      <c r="G1195">
        <v>0</v>
      </c>
      <c r="H1195" t="s">
        <v>2379</v>
      </c>
      <c r="I1195" t="str" cm="1">
        <f t="array" ref="I1195">_xlfn.IFS(B1195&lt;18.5,"Underweight",AND(B1195&gt;=18.5,B1195&lt;=24.99),"Normalweight",AND(B1195&gt;=25,B1195&lt;=29.99),"Overweight",B1195&gt;=30,"Obesity")</f>
        <v>Overweight</v>
      </c>
      <c r="J1195" t="str" cm="1">
        <f t="array" ref="J1195">_xlfn.IFS(C1195&lt;5.7,"Normal",AND(C1195&gt;=5.7,C1195&lt;=6.49),"Prediabetes",C1195&gt;=6.5,"Diabetes")</f>
        <v>Diabetes</v>
      </c>
    </row>
    <row r="1196" spans="1:10" x14ac:dyDescent="0.3">
      <c r="A1196" t="s">
        <v>1176</v>
      </c>
      <c r="B1196" s="8">
        <v>48.07</v>
      </c>
      <c r="C1196">
        <v>4.0599999999999996</v>
      </c>
      <c r="D1196" t="s">
        <v>2381</v>
      </c>
      <c r="E1196" t="s">
        <v>2379</v>
      </c>
      <c r="F1196" t="s">
        <v>2379</v>
      </c>
      <c r="G1196">
        <v>0</v>
      </c>
      <c r="H1196" t="s">
        <v>2379</v>
      </c>
      <c r="I1196" t="str" cm="1">
        <f t="array" ref="I1196">_xlfn.IFS(B1196&lt;18.5,"Underweight",AND(B1196&gt;=18.5,B1196&lt;=24.99),"Normalweight",AND(B1196&gt;=25,B1196&lt;=29.99),"Overweight",B1196&gt;=30,"Obesity")</f>
        <v>Obesity</v>
      </c>
      <c r="J1196" t="str" cm="1">
        <f t="array" ref="J1196">_xlfn.IFS(C1196&lt;5.7,"Normal",AND(C1196&gt;=5.7,C1196&lt;=6.49),"Prediabetes",C1196&gt;=6.5,"Diabetes")</f>
        <v>Normal</v>
      </c>
    </row>
    <row r="1197" spans="1:10" x14ac:dyDescent="0.3">
      <c r="A1197" t="s">
        <v>1175</v>
      </c>
      <c r="B1197" s="8">
        <v>30.8</v>
      </c>
      <c r="C1197">
        <v>5.23</v>
      </c>
      <c r="D1197" t="s">
        <v>2381</v>
      </c>
      <c r="E1197" t="s">
        <v>2379</v>
      </c>
      <c r="F1197" t="s">
        <v>2379</v>
      </c>
      <c r="G1197">
        <v>0</v>
      </c>
      <c r="H1197" t="s">
        <v>2379</v>
      </c>
      <c r="I1197" t="str" cm="1">
        <f t="array" ref="I1197">_xlfn.IFS(B1197&lt;18.5,"Underweight",AND(B1197&gt;=18.5,B1197&lt;=24.99),"Normalweight",AND(B1197&gt;=25,B1197&lt;=29.99),"Overweight",B1197&gt;=30,"Obesity")</f>
        <v>Obesity</v>
      </c>
      <c r="J1197" t="str" cm="1">
        <f t="array" ref="J1197">_xlfn.IFS(C1197&lt;5.7,"Normal",AND(C1197&gt;=5.7,C1197&lt;=6.49),"Prediabetes",C1197&gt;=6.5,"Diabetes")</f>
        <v>Normal</v>
      </c>
    </row>
    <row r="1198" spans="1:10" x14ac:dyDescent="0.3">
      <c r="A1198" t="s">
        <v>1174</v>
      </c>
      <c r="B1198" s="8">
        <v>32.299999999999997</v>
      </c>
      <c r="C1198">
        <v>5.05</v>
      </c>
      <c r="D1198" t="s">
        <v>2381</v>
      </c>
      <c r="E1198" t="s">
        <v>2379</v>
      </c>
      <c r="F1198" t="s">
        <v>2379</v>
      </c>
      <c r="G1198">
        <v>0</v>
      </c>
      <c r="H1198" t="s">
        <v>2379</v>
      </c>
      <c r="I1198" t="str" cm="1">
        <f t="array" ref="I1198">_xlfn.IFS(B1198&lt;18.5,"Underweight",AND(B1198&gt;=18.5,B1198&lt;=24.99),"Normalweight",AND(B1198&gt;=25,B1198&lt;=29.99),"Overweight",B1198&gt;=30,"Obesity")</f>
        <v>Obesity</v>
      </c>
      <c r="J1198" t="str" cm="1">
        <f t="array" ref="J1198">_xlfn.IFS(C1198&lt;5.7,"Normal",AND(C1198&gt;=5.7,C1198&lt;=6.49),"Prediabetes",C1198&gt;=6.5,"Diabetes")</f>
        <v>Normal</v>
      </c>
    </row>
    <row r="1199" spans="1:10" x14ac:dyDescent="0.3">
      <c r="A1199" t="s">
        <v>1173</v>
      </c>
      <c r="B1199" s="8">
        <v>39.700000000000003</v>
      </c>
      <c r="C1199">
        <v>7.34</v>
      </c>
      <c r="D1199" t="s">
        <v>2379</v>
      </c>
      <c r="E1199" t="s">
        <v>2379</v>
      </c>
      <c r="F1199" t="s">
        <v>2379</v>
      </c>
      <c r="G1199">
        <v>0</v>
      </c>
      <c r="H1199" t="s">
        <v>2379</v>
      </c>
      <c r="I1199" t="str" cm="1">
        <f t="array" ref="I1199">_xlfn.IFS(B1199&lt;18.5,"Underweight",AND(B1199&gt;=18.5,B1199&lt;=24.99),"Normalweight",AND(B1199&gt;=25,B1199&lt;=29.99),"Overweight",B1199&gt;=30,"Obesity")</f>
        <v>Obesity</v>
      </c>
      <c r="J1199" t="str" cm="1">
        <f t="array" ref="J1199">_xlfn.IFS(C1199&lt;5.7,"Normal",AND(C1199&gt;=5.7,C1199&lt;=6.49),"Prediabetes",C1199&gt;=6.5,"Diabetes")</f>
        <v>Diabetes</v>
      </c>
    </row>
    <row r="1200" spans="1:10" x14ac:dyDescent="0.3">
      <c r="A1200" t="s">
        <v>1172</v>
      </c>
      <c r="B1200" s="8">
        <v>35.97</v>
      </c>
      <c r="C1200">
        <v>8.1300000000000008</v>
      </c>
      <c r="D1200" t="s">
        <v>2379</v>
      </c>
      <c r="E1200" t="s">
        <v>2379</v>
      </c>
      <c r="F1200" t="s">
        <v>2379</v>
      </c>
      <c r="G1200">
        <v>0</v>
      </c>
      <c r="H1200" t="s">
        <v>2379</v>
      </c>
      <c r="I1200" t="str" cm="1">
        <f t="array" ref="I1200">_xlfn.IFS(B1200&lt;18.5,"Underweight",AND(B1200&gt;=18.5,B1200&lt;=24.99),"Normalweight",AND(B1200&gt;=25,B1200&lt;=29.99),"Overweight",B1200&gt;=30,"Obesity")</f>
        <v>Obesity</v>
      </c>
      <c r="J1200" t="str" cm="1">
        <f t="array" ref="J1200">_xlfn.IFS(C1200&lt;5.7,"Normal",AND(C1200&gt;=5.7,C1200&lt;=6.49),"Prediabetes",C1200&gt;=6.5,"Diabetes")</f>
        <v>Diabetes</v>
      </c>
    </row>
    <row r="1201" spans="1:10" x14ac:dyDescent="0.3">
      <c r="A1201" t="s">
        <v>1171</v>
      </c>
      <c r="B1201" s="8">
        <v>25.86</v>
      </c>
      <c r="C1201">
        <v>6.68</v>
      </c>
      <c r="D1201" t="s">
        <v>2381</v>
      </c>
      <c r="E1201" t="s">
        <v>2379</v>
      </c>
      <c r="F1201" t="s">
        <v>2379</v>
      </c>
      <c r="G1201">
        <v>1</v>
      </c>
      <c r="H1201" t="s">
        <v>2379</v>
      </c>
      <c r="I1201" t="str" cm="1">
        <f t="array" ref="I1201">_xlfn.IFS(B1201&lt;18.5,"Underweight",AND(B1201&gt;=18.5,B1201&lt;=24.99),"Normalweight",AND(B1201&gt;=25,B1201&lt;=29.99),"Overweight",B1201&gt;=30,"Obesity")</f>
        <v>Overweight</v>
      </c>
      <c r="J1201" t="str" cm="1">
        <f t="array" ref="J1201">_xlfn.IFS(C1201&lt;5.7,"Normal",AND(C1201&gt;=5.7,C1201&lt;=6.49),"Prediabetes",C1201&gt;=6.5,"Diabetes")</f>
        <v>Diabetes</v>
      </c>
    </row>
    <row r="1202" spans="1:10" x14ac:dyDescent="0.3">
      <c r="A1202" t="s">
        <v>1170</v>
      </c>
      <c r="B1202" s="8">
        <v>30.03</v>
      </c>
      <c r="C1202">
        <v>11.51</v>
      </c>
      <c r="D1202" t="s">
        <v>2379</v>
      </c>
      <c r="E1202" t="s">
        <v>2379</v>
      </c>
      <c r="F1202" t="s">
        <v>2379</v>
      </c>
      <c r="G1202">
        <v>0</v>
      </c>
      <c r="H1202" t="s">
        <v>2379</v>
      </c>
      <c r="I1202" t="str" cm="1">
        <f t="array" ref="I1202">_xlfn.IFS(B1202&lt;18.5,"Underweight",AND(B1202&gt;=18.5,B1202&lt;=24.99),"Normalweight",AND(B1202&gt;=25,B1202&lt;=29.99),"Overweight",B1202&gt;=30,"Obesity")</f>
        <v>Obesity</v>
      </c>
      <c r="J1202" t="str" cm="1">
        <f t="array" ref="J1202">_xlfn.IFS(C1202&lt;5.7,"Normal",AND(C1202&gt;=5.7,C1202&lt;=6.49),"Prediabetes",C1202&gt;=6.5,"Diabetes")</f>
        <v>Diabetes</v>
      </c>
    </row>
    <row r="1203" spans="1:10" x14ac:dyDescent="0.3">
      <c r="A1203" t="s">
        <v>1169</v>
      </c>
      <c r="B1203" s="8">
        <v>25.76</v>
      </c>
      <c r="C1203">
        <v>6.02</v>
      </c>
      <c r="D1203" t="s">
        <v>2381</v>
      </c>
      <c r="E1203" t="s">
        <v>2379</v>
      </c>
      <c r="F1203" t="s">
        <v>2381</v>
      </c>
      <c r="G1203">
        <v>1</v>
      </c>
      <c r="H1203" t="s">
        <v>2379</v>
      </c>
      <c r="I1203" t="str" cm="1">
        <f t="array" ref="I1203">_xlfn.IFS(B1203&lt;18.5,"Underweight",AND(B1203&gt;=18.5,B1203&lt;=24.99),"Normalweight",AND(B1203&gt;=25,B1203&lt;=29.99),"Overweight",B1203&gt;=30,"Obesity")</f>
        <v>Overweight</v>
      </c>
      <c r="J1203" t="str" cm="1">
        <f t="array" ref="J1203">_xlfn.IFS(C1203&lt;5.7,"Normal",AND(C1203&gt;=5.7,C1203&lt;=6.49),"Prediabetes",C1203&gt;=6.5,"Diabetes")</f>
        <v>Prediabetes</v>
      </c>
    </row>
    <row r="1204" spans="1:10" x14ac:dyDescent="0.3">
      <c r="A1204" t="s">
        <v>1168</v>
      </c>
      <c r="B1204" s="8">
        <v>22.42</v>
      </c>
      <c r="C1204">
        <v>7.96</v>
      </c>
      <c r="D1204" t="s">
        <v>2379</v>
      </c>
      <c r="E1204" t="s">
        <v>2379</v>
      </c>
      <c r="F1204" t="s">
        <v>2379</v>
      </c>
      <c r="G1204">
        <v>0</v>
      </c>
      <c r="H1204" t="s">
        <v>2379</v>
      </c>
      <c r="I1204" t="str" cm="1">
        <f t="array" ref="I1204">_xlfn.IFS(B1204&lt;18.5,"Underweight",AND(B1204&gt;=18.5,B1204&lt;=24.99),"Normalweight",AND(B1204&gt;=25,B1204&lt;=29.99),"Overweight",B1204&gt;=30,"Obesity")</f>
        <v>Normalweight</v>
      </c>
      <c r="J1204" t="str" cm="1">
        <f t="array" ref="J1204">_xlfn.IFS(C1204&lt;5.7,"Normal",AND(C1204&gt;=5.7,C1204&lt;=6.49),"Prediabetes",C1204&gt;=6.5,"Diabetes")</f>
        <v>Diabetes</v>
      </c>
    </row>
    <row r="1205" spans="1:10" x14ac:dyDescent="0.3">
      <c r="A1205" t="s">
        <v>1167</v>
      </c>
      <c r="B1205" s="8">
        <v>33.18</v>
      </c>
      <c r="C1205">
        <v>6.01</v>
      </c>
      <c r="D1205" t="s">
        <v>2381</v>
      </c>
      <c r="E1205" t="s">
        <v>2379</v>
      </c>
      <c r="F1205" t="s">
        <v>2379</v>
      </c>
      <c r="G1205">
        <v>1</v>
      </c>
      <c r="H1205" t="s">
        <v>2379</v>
      </c>
      <c r="I1205" t="str" cm="1">
        <f t="array" ref="I1205">_xlfn.IFS(B1205&lt;18.5,"Underweight",AND(B1205&gt;=18.5,B1205&lt;=24.99),"Normalweight",AND(B1205&gt;=25,B1205&lt;=29.99),"Overweight",B1205&gt;=30,"Obesity")</f>
        <v>Obesity</v>
      </c>
      <c r="J1205" t="str" cm="1">
        <f t="array" ref="J1205">_xlfn.IFS(C1205&lt;5.7,"Normal",AND(C1205&gt;=5.7,C1205&lt;=6.49),"Prediabetes",C1205&gt;=6.5,"Diabetes")</f>
        <v>Prediabetes</v>
      </c>
    </row>
    <row r="1206" spans="1:10" x14ac:dyDescent="0.3">
      <c r="A1206" t="s">
        <v>1166</v>
      </c>
      <c r="B1206" s="8">
        <v>43.04</v>
      </c>
      <c r="C1206">
        <v>5.9</v>
      </c>
      <c r="D1206" t="s">
        <v>2381</v>
      </c>
      <c r="E1206" t="s">
        <v>2379</v>
      </c>
      <c r="F1206" t="s">
        <v>2379</v>
      </c>
      <c r="G1206">
        <v>0</v>
      </c>
      <c r="H1206" t="s">
        <v>2379</v>
      </c>
      <c r="I1206" t="str" cm="1">
        <f t="array" ref="I1206">_xlfn.IFS(B1206&lt;18.5,"Underweight",AND(B1206&gt;=18.5,B1206&lt;=24.99),"Normalweight",AND(B1206&gt;=25,B1206&lt;=29.99),"Overweight",B1206&gt;=30,"Obesity")</f>
        <v>Obesity</v>
      </c>
      <c r="J1206" t="str" cm="1">
        <f t="array" ref="J1206">_xlfn.IFS(C1206&lt;5.7,"Normal",AND(C1206&gt;=5.7,C1206&lt;=6.49),"Prediabetes",C1206&gt;=6.5,"Diabetes")</f>
        <v>Prediabetes</v>
      </c>
    </row>
    <row r="1207" spans="1:10" x14ac:dyDescent="0.3">
      <c r="A1207" t="s">
        <v>1165</v>
      </c>
      <c r="B1207" s="8">
        <v>34.15</v>
      </c>
      <c r="C1207">
        <v>4.49</v>
      </c>
      <c r="D1207" t="s">
        <v>2381</v>
      </c>
      <c r="E1207" t="s">
        <v>2379</v>
      </c>
      <c r="F1207" t="s">
        <v>2379</v>
      </c>
      <c r="G1207">
        <v>1</v>
      </c>
      <c r="H1207" t="s">
        <v>2379</v>
      </c>
      <c r="I1207" t="str" cm="1">
        <f t="array" ref="I1207">_xlfn.IFS(B1207&lt;18.5,"Underweight",AND(B1207&gt;=18.5,B1207&lt;=24.99),"Normalweight",AND(B1207&gt;=25,B1207&lt;=29.99),"Overweight",B1207&gt;=30,"Obesity")</f>
        <v>Obesity</v>
      </c>
      <c r="J1207" t="str" cm="1">
        <f t="array" ref="J1207">_xlfn.IFS(C1207&lt;5.7,"Normal",AND(C1207&gt;=5.7,C1207&lt;=6.49),"Prediabetes",C1207&gt;=6.5,"Diabetes")</f>
        <v>Normal</v>
      </c>
    </row>
    <row r="1208" spans="1:10" x14ac:dyDescent="0.3">
      <c r="A1208" t="s">
        <v>1164</v>
      </c>
      <c r="B1208" s="8">
        <v>25.78</v>
      </c>
      <c r="C1208">
        <v>6.25</v>
      </c>
      <c r="D1208" t="s">
        <v>2379</v>
      </c>
      <c r="E1208" t="s">
        <v>2379</v>
      </c>
      <c r="F1208" t="s">
        <v>2379</v>
      </c>
      <c r="G1208">
        <v>0</v>
      </c>
      <c r="H1208" t="s">
        <v>2379</v>
      </c>
      <c r="I1208" t="str" cm="1">
        <f t="array" ref="I1208">_xlfn.IFS(B1208&lt;18.5,"Underweight",AND(B1208&gt;=18.5,B1208&lt;=24.99),"Normalweight",AND(B1208&gt;=25,B1208&lt;=29.99),"Overweight",B1208&gt;=30,"Obesity")</f>
        <v>Overweight</v>
      </c>
      <c r="J1208" t="str" cm="1">
        <f t="array" ref="J1208">_xlfn.IFS(C1208&lt;5.7,"Normal",AND(C1208&gt;=5.7,C1208&lt;=6.49),"Prediabetes",C1208&gt;=6.5,"Diabetes")</f>
        <v>Prediabetes</v>
      </c>
    </row>
    <row r="1209" spans="1:10" x14ac:dyDescent="0.3">
      <c r="A1209" t="s">
        <v>1163</v>
      </c>
      <c r="B1209" s="8">
        <v>21.02</v>
      </c>
      <c r="C1209">
        <v>9.6199999999999992</v>
      </c>
      <c r="D1209" t="s">
        <v>2381</v>
      </c>
      <c r="E1209" t="s">
        <v>2379</v>
      </c>
      <c r="F1209" t="s">
        <v>2381</v>
      </c>
      <c r="G1209">
        <v>1</v>
      </c>
      <c r="H1209" t="s">
        <v>2379</v>
      </c>
      <c r="I1209" t="str" cm="1">
        <f t="array" ref="I1209">_xlfn.IFS(B1209&lt;18.5,"Underweight",AND(B1209&gt;=18.5,B1209&lt;=24.99),"Normalweight",AND(B1209&gt;=25,B1209&lt;=29.99),"Overweight",B1209&gt;=30,"Obesity")</f>
        <v>Normalweight</v>
      </c>
      <c r="J1209" t="str" cm="1">
        <f t="array" ref="J1209">_xlfn.IFS(C1209&lt;5.7,"Normal",AND(C1209&gt;=5.7,C1209&lt;=6.49),"Prediabetes",C1209&gt;=6.5,"Diabetes")</f>
        <v>Diabetes</v>
      </c>
    </row>
    <row r="1210" spans="1:10" x14ac:dyDescent="0.3">
      <c r="A1210" t="s">
        <v>1162</v>
      </c>
      <c r="B1210" s="8">
        <v>37.51</v>
      </c>
      <c r="C1210">
        <v>11.06</v>
      </c>
      <c r="D1210" t="s">
        <v>2379</v>
      </c>
      <c r="E1210" t="s">
        <v>2379</v>
      </c>
      <c r="F1210" t="s">
        <v>2379</v>
      </c>
      <c r="G1210">
        <v>2</v>
      </c>
      <c r="H1210" t="s">
        <v>2379</v>
      </c>
      <c r="I1210" t="str" cm="1">
        <f t="array" ref="I1210">_xlfn.IFS(B1210&lt;18.5,"Underweight",AND(B1210&gt;=18.5,B1210&lt;=24.99),"Normalweight",AND(B1210&gt;=25,B1210&lt;=29.99),"Overweight",B1210&gt;=30,"Obesity")</f>
        <v>Obesity</v>
      </c>
      <c r="J1210" t="str" cm="1">
        <f t="array" ref="J1210">_xlfn.IFS(C1210&lt;5.7,"Normal",AND(C1210&gt;=5.7,C1210&lt;=6.49),"Prediabetes",C1210&gt;=6.5,"Diabetes")</f>
        <v>Diabetes</v>
      </c>
    </row>
    <row r="1211" spans="1:10" x14ac:dyDescent="0.3">
      <c r="A1211" t="s">
        <v>1161</v>
      </c>
      <c r="B1211" s="8">
        <v>25.745000000000001</v>
      </c>
      <c r="C1211">
        <v>6.11</v>
      </c>
      <c r="D1211" t="s">
        <v>2381</v>
      </c>
      <c r="E1211" t="s">
        <v>2379</v>
      </c>
      <c r="F1211" t="s">
        <v>2379</v>
      </c>
      <c r="G1211">
        <v>0</v>
      </c>
      <c r="H1211" t="s">
        <v>2379</v>
      </c>
      <c r="I1211" t="str" cm="1">
        <f t="array" ref="I1211">_xlfn.IFS(B1211&lt;18.5,"Underweight",AND(B1211&gt;=18.5,B1211&lt;=24.99),"Normalweight",AND(B1211&gt;=25,B1211&lt;=29.99),"Overweight",B1211&gt;=30,"Obesity")</f>
        <v>Overweight</v>
      </c>
      <c r="J1211" t="str" cm="1">
        <f t="array" ref="J1211">_xlfn.IFS(C1211&lt;5.7,"Normal",AND(C1211&gt;=5.7,C1211&lt;=6.49),"Prediabetes",C1211&gt;=6.5,"Diabetes")</f>
        <v>Prediabetes</v>
      </c>
    </row>
    <row r="1212" spans="1:10" x14ac:dyDescent="0.3">
      <c r="A1212" t="s">
        <v>1160</v>
      </c>
      <c r="B1212" s="8">
        <v>31.35</v>
      </c>
      <c r="C1212">
        <v>11.49</v>
      </c>
      <c r="D1212" t="s">
        <v>2379</v>
      </c>
      <c r="E1212" t="s">
        <v>2379</v>
      </c>
      <c r="F1212" t="s">
        <v>2379</v>
      </c>
      <c r="G1212">
        <v>2</v>
      </c>
      <c r="H1212" t="s">
        <v>2379</v>
      </c>
      <c r="I1212" t="str" cm="1">
        <f t="array" ref="I1212">_xlfn.IFS(B1212&lt;18.5,"Underweight",AND(B1212&gt;=18.5,B1212&lt;=24.99),"Normalweight",AND(B1212&gt;=25,B1212&lt;=29.99),"Overweight",B1212&gt;=30,"Obesity")</f>
        <v>Obesity</v>
      </c>
      <c r="J1212" t="str" cm="1">
        <f t="array" ref="J1212">_xlfn.IFS(C1212&lt;5.7,"Normal",AND(C1212&gt;=5.7,C1212&lt;=6.49),"Prediabetes",C1212&gt;=6.5,"Diabetes")</f>
        <v>Diabetes</v>
      </c>
    </row>
    <row r="1213" spans="1:10" x14ac:dyDescent="0.3">
      <c r="A1213" t="s">
        <v>1159</v>
      </c>
      <c r="B1213" s="8">
        <v>29.83</v>
      </c>
      <c r="C1213">
        <v>8.68</v>
      </c>
      <c r="D1213" t="s">
        <v>2379</v>
      </c>
      <c r="E1213" t="s">
        <v>2379</v>
      </c>
      <c r="F1213" t="s">
        <v>2379</v>
      </c>
      <c r="G1213">
        <v>2</v>
      </c>
      <c r="H1213" t="s">
        <v>2379</v>
      </c>
      <c r="I1213" t="str" cm="1">
        <f t="array" ref="I1213">_xlfn.IFS(B1213&lt;18.5,"Underweight",AND(B1213&gt;=18.5,B1213&lt;=24.99),"Normalweight",AND(B1213&gt;=25,B1213&lt;=29.99),"Overweight",B1213&gt;=30,"Obesity")</f>
        <v>Overweight</v>
      </c>
      <c r="J1213" t="str" cm="1">
        <f t="array" ref="J1213">_xlfn.IFS(C1213&lt;5.7,"Normal",AND(C1213&gt;=5.7,C1213&lt;=6.49),"Prediabetes",C1213&gt;=6.5,"Diabetes")</f>
        <v>Diabetes</v>
      </c>
    </row>
    <row r="1214" spans="1:10" x14ac:dyDescent="0.3">
      <c r="A1214" t="s">
        <v>1158</v>
      </c>
      <c r="B1214" s="8">
        <v>25.49</v>
      </c>
      <c r="C1214">
        <v>5.68</v>
      </c>
      <c r="D1214" t="s">
        <v>2381</v>
      </c>
      <c r="E1214" t="s">
        <v>2379</v>
      </c>
      <c r="F1214" t="s">
        <v>2381</v>
      </c>
      <c r="G1214">
        <v>1</v>
      </c>
      <c r="H1214" t="s">
        <v>2379</v>
      </c>
      <c r="I1214" t="str" cm="1">
        <f t="array" ref="I1214">_xlfn.IFS(B1214&lt;18.5,"Underweight",AND(B1214&gt;=18.5,B1214&lt;=24.99),"Normalweight",AND(B1214&gt;=25,B1214&lt;=29.99),"Overweight",B1214&gt;=30,"Obesity")</f>
        <v>Overweight</v>
      </c>
      <c r="J1214" t="str" cm="1">
        <f t="array" ref="J1214">_xlfn.IFS(C1214&lt;5.7,"Normal",AND(C1214&gt;=5.7,C1214&lt;=6.49),"Prediabetes",C1214&gt;=6.5,"Diabetes")</f>
        <v>Normal</v>
      </c>
    </row>
    <row r="1215" spans="1:10" x14ac:dyDescent="0.3">
      <c r="A1215" t="s">
        <v>1157</v>
      </c>
      <c r="B1215" s="8">
        <v>34.1</v>
      </c>
      <c r="C1215">
        <v>8.4499999999999993</v>
      </c>
      <c r="D1215" t="s">
        <v>2379</v>
      </c>
      <c r="E1215" t="s">
        <v>2379</v>
      </c>
      <c r="F1215" t="s">
        <v>2379</v>
      </c>
      <c r="G1215">
        <v>0</v>
      </c>
      <c r="H1215" t="s">
        <v>2379</v>
      </c>
      <c r="I1215" t="str" cm="1">
        <f t="array" ref="I1215">_xlfn.IFS(B1215&lt;18.5,"Underweight",AND(B1215&gt;=18.5,B1215&lt;=24.99),"Normalweight",AND(B1215&gt;=25,B1215&lt;=29.99),"Overweight",B1215&gt;=30,"Obesity")</f>
        <v>Obesity</v>
      </c>
      <c r="J1215" t="str" cm="1">
        <f t="array" ref="J1215">_xlfn.IFS(C1215&lt;5.7,"Normal",AND(C1215&gt;=5.7,C1215&lt;=6.49),"Prediabetes",C1215&gt;=6.5,"Diabetes")</f>
        <v>Diabetes</v>
      </c>
    </row>
    <row r="1216" spans="1:10" x14ac:dyDescent="0.3">
      <c r="A1216" t="s">
        <v>1156</v>
      </c>
      <c r="B1216" s="8">
        <v>25.84</v>
      </c>
      <c r="C1216">
        <v>8.51</v>
      </c>
      <c r="D1216" t="s">
        <v>2379</v>
      </c>
      <c r="E1216" t="s">
        <v>2379</v>
      </c>
      <c r="F1216" t="s">
        <v>2379</v>
      </c>
      <c r="G1216">
        <v>2</v>
      </c>
      <c r="H1216" t="s">
        <v>2379</v>
      </c>
      <c r="I1216" t="str" cm="1">
        <f t="array" ref="I1216">_xlfn.IFS(B1216&lt;18.5,"Underweight",AND(B1216&gt;=18.5,B1216&lt;=24.99),"Normalweight",AND(B1216&gt;=25,B1216&lt;=29.99),"Overweight",B1216&gt;=30,"Obesity")</f>
        <v>Overweight</v>
      </c>
      <c r="J1216" t="str" cm="1">
        <f t="array" ref="J1216">_xlfn.IFS(C1216&lt;5.7,"Normal",AND(C1216&gt;=5.7,C1216&lt;=6.49),"Prediabetes",C1216&gt;=6.5,"Diabetes")</f>
        <v>Diabetes</v>
      </c>
    </row>
    <row r="1217" spans="1:10" x14ac:dyDescent="0.3">
      <c r="A1217" t="s">
        <v>1155</v>
      </c>
      <c r="B1217" s="8">
        <v>20.6</v>
      </c>
      <c r="C1217">
        <v>7.62</v>
      </c>
      <c r="D1217" t="s">
        <v>2379</v>
      </c>
      <c r="E1217" t="s">
        <v>2379</v>
      </c>
      <c r="F1217" t="s">
        <v>2379</v>
      </c>
      <c r="G1217">
        <v>0</v>
      </c>
      <c r="H1217" t="s">
        <v>2379</v>
      </c>
      <c r="I1217" t="str" cm="1">
        <f t="array" ref="I1217">_xlfn.IFS(B1217&lt;18.5,"Underweight",AND(B1217&gt;=18.5,B1217&lt;=24.99),"Normalweight",AND(B1217&gt;=25,B1217&lt;=29.99),"Overweight",B1217&gt;=30,"Obesity")</f>
        <v>Normalweight</v>
      </c>
      <c r="J1217" t="str" cm="1">
        <f t="array" ref="J1217">_xlfn.IFS(C1217&lt;5.7,"Normal",AND(C1217&gt;=5.7,C1217&lt;=6.49),"Prediabetes",C1217&gt;=6.5,"Diabetes")</f>
        <v>Diabetes</v>
      </c>
    </row>
    <row r="1218" spans="1:10" x14ac:dyDescent="0.3">
      <c r="A1218" t="s">
        <v>1154</v>
      </c>
      <c r="B1218" s="8">
        <v>28.88</v>
      </c>
      <c r="C1218">
        <v>10.18</v>
      </c>
      <c r="D1218" t="s">
        <v>2379</v>
      </c>
      <c r="E1218" t="s">
        <v>2379</v>
      </c>
      <c r="F1218" t="s">
        <v>2379</v>
      </c>
      <c r="G1218">
        <v>0</v>
      </c>
      <c r="H1218" t="s">
        <v>2379</v>
      </c>
      <c r="I1218" t="str" cm="1">
        <f t="array" ref="I1218">_xlfn.IFS(B1218&lt;18.5,"Underweight",AND(B1218&gt;=18.5,B1218&lt;=24.99),"Normalweight",AND(B1218&gt;=25,B1218&lt;=29.99),"Overweight",B1218&gt;=30,"Obesity")</f>
        <v>Overweight</v>
      </c>
      <c r="J1218" t="str" cm="1">
        <f t="array" ref="J1218">_xlfn.IFS(C1218&lt;5.7,"Normal",AND(C1218&gt;=5.7,C1218&lt;=6.49),"Prediabetes",C1218&gt;=6.5,"Diabetes")</f>
        <v>Diabetes</v>
      </c>
    </row>
    <row r="1219" spans="1:10" x14ac:dyDescent="0.3">
      <c r="A1219" t="s">
        <v>1153</v>
      </c>
      <c r="B1219" s="8">
        <v>28.24</v>
      </c>
      <c r="C1219">
        <v>5.36</v>
      </c>
      <c r="D1219" t="s">
        <v>2379</v>
      </c>
      <c r="E1219" t="s">
        <v>2379</v>
      </c>
      <c r="F1219" t="s">
        <v>2379</v>
      </c>
      <c r="G1219">
        <v>0</v>
      </c>
      <c r="H1219" t="s">
        <v>2379</v>
      </c>
      <c r="I1219" t="str" cm="1">
        <f t="array" ref="I1219">_xlfn.IFS(B1219&lt;18.5,"Underweight",AND(B1219&gt;=18.5,B1219&lt;=24.99),"Normalweight",AND(B1219&gt;=25,B1219&lt;=29.99),"Overweight",B1219&gt;=30,"Obesity")</f>
        <v>Overweight</v>
      </c>
      <c r="J1219" t="str" cm="1">
        <f t="array" ref="J1219">_xlfn.IFS(C1219&lt;5.7,"Normal",AND(C1219&gt;=5.7,C1219&lt;=6.49),"Prediabetes",C1219&gt;=6.5,"Diabetes")</f>
        <v>Normal</v>
      </c>
    </row>
    <row r="1220" spans="1:10" x14ac:dyDescent="0.3">
      <c r="A1220" t="s">
        <v>1152</v>
      </c>
      <c r="B1220" s="8">
        <v>25.46</v>
      </c>
      <c r="C1220">
        <v>11.78</v>
      </c>
      <c r="D1220" t="s">
        <v>2381</v>
      </c>
      <c r="E1220" t="s">
        <v>2379</v>
      </c>
      <c r="F1220" t="s">
        <v>2379</v>
      </c>
      <c r="G1220">
        <v>1</v>
      </c>
      <c r="H1220" t="s">
        <v>2379</v>
      </c>
      <c r="I1220" t="str" cm="1">
        <f t="array" ref="I1220">_xlfn.IFS(B1220&lt;18.5,"Underweight",AND(B1220&gt;=18.5,B1220&lt;=24.99),"Normalweight",AND(B1220&gt;=25,B1220&lt;=29.99),"Overweight",B1220&gt;=30,"Obesity")</f>
        <v>Overweight</v>
      </c>
      <c r="J1220" t="str" cm="1">
        <f t="array" ref="J1220">_xlfn.IFS(C1220&lt;5.7,"Normal",AND(C1220&gt;=5.7,C1220&lt;=6.49),"Prediabetes",C1220&gt;=6.5,"Diabetes")</f>
        <v>Diabetes</v>
      </c>
    </row>
    <row r="1221" spans="1:10" x14ac:dyDescent="0.3">
      <c r="A1221" t="s">
        <v>1151</v>
      </c>
      <c r="B1221" s="8">
        <v>29.64</v>
      </c>
      <c r="C1221">
        <v>10.82</v>
      </c>
      <c r="D1221" t="s">
        <v>2381</v>
      </c>
      <c r="E1221" t="s">
        <v>2379</v>
      </c>
      <c r="F1221" t="s">
        <v>2379</v>
      </c>
      <c r="G1221">
        <v>0</v>
      </c>
      <c r="H1221" t="s">
        <v>2379</v>
      </c>
      <c r="I1221" t="str" cm="1">
        <f t="array" ref="I1221">_xlfn.IFS(B1221&lt;18.5,"Underweight",AND(B1221&gt;=18.5,B1221&lt;=24.99),"Normalweight",AND(B1221&gt;=25,B1221&lt;=29.99),"Overweight",B1221&gt;=30,"Obesity")</f>
        <v>Overweight</v>
      </c>
      <c r="J1221" t="str" cm="1">
        <f t="array" ref="J1221">_xlfn.IFS(C1221&lt;5.7,"Normal",AND(C1221&gt;=5.7,C1221&lt;=6.49),"Prediabetes",C1221&gt;=6.5,"Diabetes")</f>
        <v>Diabetes</v>
      </c>
    </row>
    <row r="1222" spans="1:10" x14ac:dyDescent="0.3">
      <c r="A1222" t="s">
        <v>1150</v>
      </c>
      <c r="B1222" s="8">
        <v>31.27</v>
      </c>
      <c r="C1222">
        <v>7.73</v>
      </c>
      <c r="D1222" t="s">
        <v>2381</v>
      </c>
      <c r="E1222" t="s">
        <v>2379</v>
      </c>
      <c r="F1222" t="s">
        <v>2379</v>
      </c>
      <c r="G1222">
        <v>1</v>
      </c>
      <c r="H1222" t="s">
        <v>2379</v>
      </c>
      <c r="I1222" t="str" cm="1">
        <f t="array" ref="I1222">_xlfn.IFS(B1222&lt;18.5,"Underweight",AND(B1222&gt;=18.5,B1222&lt;=24.99),"Normalweight",AND(B1222&gt;=25,B1222&lt;=29.99),"Overweight",B1222&gt;=30,"Obesity")</f>
        <v>Obesity</v>
      </c>
      <c r="J1222" t="str" cm="1">
        <f t="array" ref="J1222">_xlfn.IFS(C1222&lt;5.7,"Normal",AND(C1222&gt;=5.7,C1222&lt;=6.49),"Prediabetes",C1222&gt;=6.5,"Diabetes")</f>
        <v>Diabetes</v>
      </c>
    </row>
    <row r="1223" spans="1:10" x14ac:dyDescent="0.3">
      <c r="A1223" t="s">
        <v>1149</v>
      </c>
      <c r="B1223" s="8">
        <v>19.95</v>
      </c>
      <c r="C1223">
        <v>6.24</v>
      </c>
      <c r="D1223" t="s">
        <v>2381</v>
      </c>
      <c r="E1223" t="s">
        <v>2379</v>
      </c>
      <c r="F1223" t="s">
        <v>2379</v>
      </c>
      <c r="G1223">
        <v>0</v>
      </c>
      <c r="H1223" t="s">
        <v>2379</v>
      </c>
      <c r="I1223" t="str" cm="1">
        <f t="array" ref="I1223">_xlfn.IFS(B1223&lt;18.5,"Underweight",AND(B1223&gt;=18.5,B1223&lt;=24.99),"Normalweight",AND(B1223&gt;=25,B1223&lt;=29.99),"Overweight",B1223&gt;=30,"Obesity")</f>
        <v>Normalweight</v>
      </c>
      <c r="J1223" t="str" cm="1">
        <f t="array" ref="J1223">_xlfn.IFS(C1223&lt;5.7,"Normal",AND(C1223&gt;=5.7,C1223&lt;=6.49),"Prediabetes",C1223&gt;=6.5,"Diabetes")</f>
        <v>Prediabetes</v>
      </c>
    </row>
    <row r="1224" spans="1:10" x14ac:dyDescent="0.3">
      <c r="A1224" t="s">
        <v>1148</v>
      </c>
      <c r="B1224" s="8">
        <v>21.3</v>
      </c>
      <c r="C1224">
        <v>10.42</v>
      </c>
      <c r="D1224" t="s">
        <v>2379</v>
      </c>
      <c r="E1224" t="s">
        <v>2379</v>
      </c>
      <c r="F1224" t="s">
        <v>2379</v>
      </c>
      <c r="G1224">
        <v>2</v>
      </c>
      <c r="H1224" t="s">
        <v>2379</v>
      </c>
      <c r="I1224" t="str" cm="1">
        <f t="array" ref="I1224">_xlfn.IFS(B1224&lt;18.5,"Underweight",AND(B1224&gt;=18.5,B1224&lt;=24.99),"Normalweight",AND(B1224&gt;=25,B1224&lt;=29.99),"Overweight",B1224&gt;=30,"Obesity")</f>
        <v>Normalweight</v>
      </c>
      <c r="J1224" t="str" cm="1">
        <f t="array" ref="J1224">_xlfn.IFS(C1224&lt;5.7,"Normal",AND(C1224&gt;=5.7,C1224&lt;=6.49),"Prediabetes",C1224&gt;=6.5,"Diabetes")</f>
        <v>Diabetes</v>
      </c>
    </row>
    <row r="1225" spans="1:10" x14ac:dyDescent="0.3">
      <c r="A1225" t="s">
        <v>1147</v>
      </c>
      <c r="B1225" s="8">
        <v>31.635000000000002</v>
      </c>
      <c r="C1225">
        <v>11.11</v>
      </c>
      <c r="D1225" t="s">
        <v>2379</v>
      </c>
      <c r="E1225" t="s">
        <v>2379</v>
      </c>
      <c r="F1225" t="s">
        <v>2379</v>
      </c>
      <c r="G1225">
        <v>0</v>
      </c>
      <c r="H1225" t="s">
        <v>2379</v>
      </c>
      <c r="I1225" t="str" cm="1">
        <f t="array" ref="I1225">_xlfn.IFS(B1225&lt;18.5,"Underweight",AND(B1225&gt;=18.5,B1225&lt;=24.99),"Normalweight",AND(B1225&gt;=25,B1225&lt;=29.99),"Overweight",B1225&gt;=30,"Obesity")</f>
        <v>Obesity</v>
      </c>
      <c r="J1225" t="str" cm="1">
        <f t="array" ref="J1225">_xlfn.IFS(C1225&lt;5.7,"Normal",AND(C1225&gt;=5.7,C1225&lt;=6.49),"Prediabetes",C1225&gt;=6.5,"Diabetes")</f>
        <v>Diabetes</v>
      </c>
    </row>
    <row r="1226" spans="1:10" x14ac:dyDescent="0.3">
      <c r="A1226" t="s">
        <v>1146</v>
      </c>
      <c r="B1226" s="8">
        <v>23.9</v>
      </c>
      <c r="C1226">
        <v>7.67</v>
      </c>
      <c r="D1226" t="s">
        <v>2381</v>
      </c>
      <c r="E1226" t="s">
        <v>2379</v>
      </c>
      <c r="F1226" t="s">
        <v>2379</v>
      </c>
      <c r="G1226">
        <v>2</v>
      </c>
      <c r="H1226" t="s">
        <v>2379</v>
      </c>
      <c r="I1226" t="str" cm="1">
        <f t="array" ref="I1226">_xlfn.IFS(B1226&lt;18.5,"Underweight",AND(B1226&gt;=18.5,B1226&lt;=24.99),"Normalweight",AND(B1226&gt;=25,B1226&lt;=29.99),"Overweight",B1226&gt;=30,"Obesity")</f>
        <v>Normalweight</v>
      </c>
      <c r="J1226" t="str" cm="1">
        <f t="array" ref="J1226">_xlfn.IFS(C1226&lt;5.7,"Normal",AND(C1226&gt;=5.7,C1226&lt;=6.49),"Prediabetes",C1226&gt;=6.5,"Diabetes")</f>
        <v>Diabetes</v>
      </c>
    </row>
    <row r="1227" spans="1:10" x14ac:dyDescent="0.3">
      <c r="A1227" t="s">
        <v>1145</v>
      </c>
      <c r="B1227" s="8">
        <v>34.15</v>
      </c>
      <c r="C1227">
        <v>6.15</v>
      </c>
      <c r="D1227" t="s">
        <v>2379</v>
      </c>
      <c r="E1227" t="s">
        <v>2379</v>
      </c>
      <c r="F1227" t="s">
        <v>2379</v>
      </c>
      <c r="G1227">
        <v>0</v>
      </c>
      <c r="H1227" t="s">
        <v>2379</v>
      </c>
      <c r="I1227" t="str" cm="1">
        <f t="array" ref="I1227">_xlfn.IFS(B1227&lt;18.5,"Underweight",AND(B1227&gt;=18.5,B1227&lt;=24.99),"Normalweight",AND(B1227&gt;=25,B1227&lt;=29.99),"Overweight",B1227&gt;=30,"Obesity")</f>
        <v>Obesity</v>
      </c>
      <c r="J1227" t="str" cm="1">
        <f t="array" ref="J1227">_xlfn.IFS(C1227&lt;5.7,"Normal",AND(C1227&gt;=5.7,C1227&lt;=6.49),"Prediabetes",C1227&gt;=6.5,"Diabetes")</f>
        <v>Prediabetes</v>
      </c>
    </row>
    <row r="1228" spans="1:10" x14ac:dyDescent="0.3">
      <c r="A1228" t="s">
        <v>1144</v>
      </c>
      <c r="B1228" s="8">
        <v>28.71</v>
      </c>
      <c r="C1228">
        <v>5.71</v>
      </c>
      <c r="D1228" t="s">
        <v>2379</v>
      </c>
      <c r="E1228" t="s">
        <v>2379</v>
      </c>
      <c r="F1228" t="s">
        <v>2379</v>
      </c>
      <c r="G1228">
        <v>0</v>
      </c>
      <c r="H1228" t="s">
        <v>2379</v>
      </c>
      <c r="I1228" t="str" cm="1">
        <f t="array" ref="I1228">_xlfn.IFS(B1228&lt;18.5,"Underweight",AND(B1228&gt;=18.5,B1228&lt;=24.99),"Normalweight",AND(B1228&gt;=25,B1228&lt;=29.99),"Overweight",B1228&gt;=30,"Obesity")</f>
        <v>Overweight</v>
      </c>
      <c r="J1228" t="str" cm="1">
        <f t="array" ref="J1228">_xlfn.IFS(C1228&lt;5.7,"Normal",AND(C1228&gt;=5.7,C1228&lt;=6.49),"Prediabetes",C1228&gt;=6.5,"Diabetes")</f>
        <v>Prediabetes</v>
      </c>
    </row>
    <row r="1229" spans="1:10" x14ac:dyDescent="0.3">
      <c r="A1229" t="s">
        <v>1143</v>
      </c>
      <c r="B1229" s="8">
        <v>36.700000000000003</v>
      </c>
      <c r="C1229">
        <v>8.6999999999999993</v>
      </c>
      <c r="D1229" t="s">
        <v>2381</v>
      </c>
      <c r="E1229" t="s">
        <v>2379</v>
      </c>
      <c r="F1229" t="s">
        <v>2379</v>
      </c>
      <c r="G1229">
        <v>2</v>
      </c>
      <c r="H1229" t="s">
        <v>2379</v>
      </c>
      <c r="I1229" t="str" cm="1">
        <f t="array" ref="I1229">_xlfn.IFS(B1229&lt;18.5,"Underweight",AND(B1229&gt;=18.5,B1229&lt;=24.99),"Normalweight",AND(B1229&gt;=25,B1229&lt;=29.99),"Overweight",B1229&gt;=30,"Obesity")</f>
        <v>Obesity</v>
      </c>
      <c r="J1229" t="str" cm="1">
        <f t="array" ref="J1229">_xlfn.IFS(C1229&lt;5.7,"Normal",AND(C1229&gt;=5.7,C1229&lt;=6.49),"Prediabetes",C1229&gt;=6.5,"Diabetes")</f>
        <v>Diabetes</v>
      </c>
    </row>
    <row r="1230" spans="1:10" x14ac:dyDescent="0.3">
      <c r="A1230" t="s">
        <v>1142</v>
      </c>
      <c r="B1230" s="8">
        <v>34.1</v>
      </c>
      <c r="C1230">
        <v>9.0399999999999991</v>
      </c>
      <c r="D1230" t="s">
        <v>2381</v>
      </c>
      <c r="E1230" t="s">
        <v>2379</v>
      </c>
      <c r="F1230" t="s">
        <v>2379</v>
      </c>
      <c r="G1230">
        <v>2</v>
      </c>
      <c r="H1230" t="s">
        <v>2379</v>
      </c>
      <c r="I1230" t="str" cm="1">
        <f t="array" ref="I1230">_xlfn.IFS(B1230&lt;18.5,"Underweight",AND(B1230&gt;=18.5,B1230&lt;=24.99),"Normalweight",AND(B1230&gt;=25,B1230&lt;=29.99),"Overweight",B1230&gt;=30,"Obesity")</f>
        <v>Obesity</v>
      </c>
      <c r="J1230" t="str" cm="1">
        <f t="array" ref="J1230">_xlfn.IFS(C1230&lt;5.7,"Normal",AND(C1230&gt;=5.7,C1230&lt;=6.49),"Prediabetes",C1230&gt;=6.5,"Diabetes")</f>
        <v>Diabetes</v>
      </c>
    </row>
    <row r="1231" spans="1:10" x14ac:dyDescent="0.3">
      <c r="A1231" t="s">
        <v>1141</v>
      </c>
      <c r="B1231" s="8">
        <v>25.7</v>
      </c>
      <c r="C1231">
        <v>5.61</v>
      </c>
      <c r="D1231" t="s">
        <v>2379</v>
      </c>
      <c r="E1231" t="s">
        <v>2379</v>
      </c>
      <c r="F1231" t="s">
        <v>2379</v>
      </c>
      <c r="G1231">
        <v>0</v>
      </c>
      <c r="H1231" t="s">
        <v>2379</v>
      </c>
      <c r="I1231" t="str" cm="1">
        <f t="array" ref="I1231">_xlfn.IFS(B1231&lt;18.5,"Underweight",AND(B1231&gt;=18.5,B1231&lt;=24.99),"Normalweight",AND(B1231&gt;=25,B1231&lt;=29.99),"Overweight",B1231&gt;=30,"Obesity")</f>
        <v>Overweight</v>
      </c>
      <c r="J1231" t="str" cm="1">
        <f t="array" ref="J1231">_xlfn.IFS(C1231&lt;5.7,"Normal",AND(C1231&gt;=5.7,C1231&lt;=6.49),"Prediabetes",C1231&gt;=6.5,"Diabetes")</f>
        <v>Normal</v>
      </c>
    </row>
    <row r="1232" spans="1:10" x14ac:dyDescent="0.3">
      <c r="A1232" t="s">
        <v>1140</v>
      </c>
      <c r="B1232" s="8">
        <v>21.68</v>
      </c>
      <c r="C1232">
        <v>8.1199999999999992</v>
      </c>
      <c r="D1232" t="s">
        <v>2379</v>
      </c>
      <c r="E1232" t="s">
        <v>2379</v>
      </c>
      <c r="F1232" t="s">
        <v>2379</v>
      </c>
      <c r="G1232">
        <v>0</v>
      </c>
      <c r="H1232" t="s">
        <v>2379</v>
      </c>
      <c r="I1232" t="str" cm="1">
        <f t="array" ref="I1232">_xlfn.IFS(B1232&lt;18.5,"Underweight",AND(B1232&gt;=18.5,B1232&lt;=24.99),"Normalweight",AND(B1232&gt;=25,B1232&lt;=29.99),"Overweight",B1232&gt;=30,"Obesity")</f>
        <v>Normalweight</v>
      </c>
      <c r="J1232" t="str" cm="1">
        <f t="array" ref="J1232">_xlfn.IFS(C1232&lt;5.7,"Normal",AND(C1232&gt;=5.7,C1232&lt;=6.49),"Prediabetes",C1232&gt;=6.5,"Diabetes")</f>
        <v>Diabetes</v>
      </c>
    </row>
    <row r="1233" spans="1:10" x14ac:dyDescent="0.3">
      <c r="A1233" t="s">
        <v>1139</v>
      </c>
      <c r="B1233" s="8">
        <v>25.175000000000001</v>
      </c>
      <c r="C1233">
        <v>4.74</v>
      </c>
      <c r="D1233" t="s">
        <v>2379</v>
      </c>
      <c r="E1233" t="s">
        <v>2379</v>
      </c>
      <c r="F1233" t="s">
        <v>2379</v>
      </c>
      <c r="G1233">
        <v>0</v>
      </c>
      <c r="H1233" t="s">
        <v>2379</v>
      </c>
      <c r="I1233" t="str" cm="1">
        <f t="array" ref="I1233">_xlfn.IFS(B1233&lt;18.5,"Underweight",AND(B1233&gt;=18.5,B1233&lt;=24.99),"Normalweight",AND(B1233&gt;=25,B1233&lt;=29.99),"Overweight",B1233&gt;=30,"Obesity")</f>
        <v>Overweight</v>
      </c>
      <c r="J1233" t="str" cm="1">
        <f t="array" ref="J1233">_xlfn.IFS(C1233&lt;5.7,"Normal",AND(C1233&gt;=5.7,C1233&lt;=6.49),"Prediabetes",C1233&gt;=6.5,"Diabetes")</f>
        <v>Normal</v>
      </c>
    </row>
    <row r="1234" spans="1:10" x14ac:dyDescent="0.3">
      <c r="A1234" t="s">
        <v>1138</v>
      </c>
      <c r="B1234" s="8">
        <v>44.77</v>
      </c>
      <c r="C1234">
        <v>4.0599999999999996</v>
      </c>
      <c r="D1234" t="s">
        <v>2379</v>
      </c>
      <c r="E1234" t="s">
        <v>2379</v>
      </c>
      <c r="F1234" t="s">
        <v>2379</v>
      </c>
      <c r="G1234">
        <v>2</v>
      </c>
      <c r="H1234" t="s">
        <v>2379</v>
      </c>
      <c r="I1234" t="str" cm="1">
        <f t="array" ref="I1234">_xlfn.IFS(B1234&lt;18.5,"Underweight",AND(B1234&gt;=18.5,B1234&lt;=24.99),"Normalweight",AND(B1234&gt;=25,B1234&lt;=29.99),"Overweight",B1234&gt;=30,"Obesity")</f>
        <v>Obesity</v>
      </c>
      <c r="J1234" t="str" cm="1">
        <f t="array" ref="J1234">_xlfn.IFS(C1234&lt;5.7,"Normal",AND(C1234&gt;=5.7,C1234&lt;=6.49),"Prediabetes",C1234&gt;=6.5,"Diabetes")</f>
        <v>Normal</v>
      </c>
    </row>
    <row r="1235" spans="1:10" x14ac:dyDescent="0.3">
      <c r="A1235" t="s">
        <v>1137</v>
      </c>
      <c r="B1235" s="8">
        <v>37.07</v>
      </c>
      <c r="C1235">
        <v>5.69</v>
      </c>
      <c r="D1235" t="s">
        <v>2379</v>
      </c>
      <c r="E1235" t="s">
        <v>2379</v>
      </c>
      <c r="F1235" t="s">
        <v>2379</v>
      </c>
      <c r="G1235">
        <v>2</v>
      </c>
      <c r="H1235" t="s">
        <v>2379</v>
      </c>
      <c r="I1235" t="str" cm="1">
        <f t="array" ref="I1235">_xlfn.IFS(B1235&lt;18.5,"Underweight",AND(B1235&gt;=18.5,B1235&lt;=24.99),"Normalweight",AND(B1235&gt;=25,B1235&lt;=29.99),"Overweight",B1235&gt;=30,"Obesity")</f>
        <v>Obesity</v>
      </c>
      <c r="J1235" t="str" cm="1">
        <f t="array" ref="J1235">_xlfn.IFS(C1235&lt;5.7,"Normal",AND(C1235&gt;=5.7,C1235&lt;=6.49),"Prediabetes",C1235&gt;=6.5,"Diabetes")</f>
        <v>Normal</v>
      </c>
    </row>
    <row r="1236" spans="1:10" x14ac:dyDescent="0.3">
      <c r="A1236" t="s">
        <v>1136</v>
      </c>
      <c r="B1236" s="8">
        <v>39.799999999999997</v>
      </c>
      <c r="C1236">
        <v>5.66</v>
      </c>
      <c r="D1236" t="s">
        <v>2379</v>
      </c>
      <c r="E1236" t="s">
        <v>2379</v>
      </c>
      <c r="F1236" t="s">
        <v>2381</v>
      </c>
      <c r="G1236">
        <v>1</v>
      </c>
      <c r="H1236" t="s">
        <v>2379</v>
      </c>
      <c r="I1236" t="str" cm="1">
        <f t="array" ref="I1236">_xlfn.IFS(B1236&lt;18.5,"Underweight",AND(B1236&gt;=18.5,B1236&lt;=24.99),"Normalweight",AND(B1236&gt;=25,B1236&lt;=29.99),"Overweight",B1236&gt;=30,"Obesity")</f>
        <v>Obesity</v>
      </c>
      <c r="J1236" t="str" cm="1">
        <f t="array" ref="J1236">_xlfn.IFS(C1236&lt;5.7,"Normal",AND(C1236&gt;=5.7,C1236&lt;=6.49),"Prediabetes",C1236&gt;=6.5,"Diabetes")</f>
        <v>Normal</v>
      </c>
    </row>
    <row r="1237" spans="1:10" x14ac:dyDescent="0.3">
      <c r="A1237" t="s">
        <v>1135</v>
      </c>
      <c r="B1237" s="8">
        <v>26.36</v>
      </c>
      <c r="C1237">
        <v>4.32</v>
      </c>
      <c r="D1237" t="s">
        <v>2379</v>
      </c>
      <c r="E1237" t="s">
        <v>2379</v>
      </c>
      <c r="F1237" t="s">
        <v>2381</v>
      </c>
      <c r="G1237">
        <v>1</v>
      </c>
      <c r="H1237" t="s">
        <v>2379</v>
      </c>
      <c r="I1237" t="str" cm="1">
        <f t="array" ref="I1237">_xlfn.IFS(B1237&lt;18.5,"Underweight",AND(B1237&gt;=18.5,B1237&lt;=24.99),"Normalweight",AND(B1237&gt;=25,B1237&lt;=29.99),"Overweight",B1237&gt;=30,"Obesity")</f>
        <v>Overweight</v>
      </c>
      <c r="J1237" t="str" cm="1">
        <f t="array" ref="J1237">_xlfn.IFS(C1237&lt;5.7,"Normal",AND(C1237&gt;=5.7,C1237&lt;=6.49),"Prediabetes",C1237&gt;=6.5,"Diabetes")</f>
        <v>Normal</v>
      </c>
    </row>
    <row r="1238" spans="1:10" x14ac:dyDescent="0.3">
      <c r="A1238" t="s">
        <v>1134</v>
      </c>
      <c r="B1238" s="8">
        <v>29.925000000000001</v>
      </c>
      <c r="C1238">
        <v>8.2899999999999991</v>
      </c>
      <c r="D1238" t="s">
        <v>2379</v>
      </c>
      <c r="E1238" t="s">
        <v>2379</v>
      </c>
      <c r="F1238" t="s">
        <v>2379</v>
      </c>
      <c r="G1238">
        <v>2</v>
      </c>
      <c r="H1238" t="s">
        <v>2379</v>
      </c>
      <c r="I1238" t="str" cm="1">
        <f t="array" ref="I1238">_xlfn.IFS(B1238&lt;18.5,"Underweight",AND(B1238&gt;=18.5,B1238&lt;=24.99),"Normalweight",AND(B1238&gt;=25,B1238&lt;=29.99),"Overweight",B1238&gt;=30,"Obesity")</f>
        <v>Overweight</v>
      </c>
      <c r="J1238" t="str" cm="1">
        <f t="array" ref="J1238">_xlfn.IFS(C1238&lt;5.7,"Normal",AND(C1238&gt;=5.7,C1238&lt;=6.49),"Prediabetes",C1238&gt;=6.5,"Diabetes")</f>
        <v>Diabetes</v>
      </c>
    </row>
    <row r="1239" spans="1:10" x14ac:dyDescent="0.3">
      <c r="A1239" t="s">
        <v>1133</v>
      </c>
      <c r="B1239" s="8">
        <v>37.29</v>
      </c>
      <c r="C1239">
        <v>10.46</v>
      </c>
      <c r="D1239" t="s">
        <v>2379</v>
      </c>
      <c r="E1239" t="s">
        <v>2379</v>
      </c>
      <c r="F1239" t="s">
        <v>2379</v>
      </c>
      <c r="G1239">
        <v>0</v>
      </c>
      <c r="H1239" t="s">
        <v>2379</v>
      </c>
      <c r="I1239" t="str" cm="1">
        <f t="array" ref="I1239">_xlfn.IFS(B1239&lt;18.5,"Underweight",AND(B1239&gt;=18.5,B1239&lt;=24.99),"Normalweight",AND(B1239&gt;=25,B1239&lt;=29.99),"Overweight",B1239&gt;=30,"Obesity")</f>
        <v>Obesity</v>
      </c>
      <c r="J1239" t="str" cm="1">
        <f t="array" ref="J1239">_xlfn.IFS(C1239&lt;5.7,"Normal",AND(C1239&gt;=5.7,C1239&lt;=6.49),"Prediabetes",C1239&gt;=6.5,"Diabetes")</f>
        <v>Diabetes</v>
      </c>
    </row>
    <row r="1240" spans="1:10" x14ac:dyDescent="0.3">
      <c r="A1240" t="s">
        <v>1132</v>
      </c>
      <c r="B1240" s="8">
        <v>30.2</v>
      </c>
      <c r="C1240">
        <v>11.96</v>
      </c>
      <c r="D1240" t="s">
        <v>2379</v>
      </c>
      <c r="E1240" t="s">
        <v>2379</v>
      </c>
      <c r="F1240" t="s">
        <v>2379</v>
      </c>
      <c r="G1240">
        <v>0</v>
      </c>
      <c r="H1240" t="s">
        <v>2379</v>
      </c>
      <c r="I1240" t="str" cm="1">
        <f t="array" ref="I1240">_xlfn.IFS(B1240&lt;18.5,"Underweight",AND(B1240&gt;=18.5,B1240&lt;=24.99),"Normalweight",AND(B1240&gt;=25,B1240&lt;=29.99),"Overweight",B1240&gt;=30,"Obesity")</f>
        <v>Obesity</v>
      </c>
      <c r="J1240" t="str" cm="1">
        <f t="array" ref="J1240">_xlfn.IFS(C1240&lt;5.7,"Normal",AND(C1240&gt;=5.7,C1240&lt;=6.49),"Prediabetes",C1240&gt;=6.5,"Diabetes")</f>
        <v>Diabetes</v>
      </c>
    </row>
    <row r="1241" spans="1:10" x14ac:dyDescent="0.3">
      <c r="A1241" t="s">
        <v>1131</v>
      </c>
      <c r="B1241" s="8">
        <v>24.225000000000001</v>
      </c>
      <c r="C1241">
        <v>4.25</v>
      </c>
      <c r="D1241" t="s">
        <v>2381</v>
      </c>
      <c r="E1241" t="s">
        <v>2379</v>
      </c>
      <c r="F1241" t="s">
        <v>2381</v>
      </c>
      <c r="G1241">
        <v>1</v>
      </c>
      <c r="H1241" t="s">
        <v>2379</v>
      </c>
      <c r="I1241" t="str" cm="1">
        <f t="array" ref="I1241">_xlfn.IFS(B1241&lt;18.5,"Underweight",AND(B1241&gt;=18.5,B1241&lt;=24.99),"Normalweight",AND(B1241&gt;=25,B1241&lt;=29.99),"Overweight",B1241&gt;=30,"Obesity")</f>
        <v>Normalweight</v>
      </c>
      <c r="J1241" t="str" cm="1">
        <f t="array" ref="J1241">_xlfn.IFS(C1241&lt;5.7,"Normal",AND(C1241&gt;=5.7,C1241&lt;=6.49),"Prediabetes",C1241&gt;=6.5,"Diabetes")</f>
        <v>Normal</v>
      </c>
    </row>
    <row r="1242" spans="1:10" x14ac:dyDescent="0.3">
      <c r="A1242" t="s">
        <v>1130</v>
      </c>
      <c r="B1242" s="8">
        <v>31.445</v>
      </c>
      <c r="C1242">
        <v>8.33</v>
      </c>
      <c r="D1242" t="s">
        <v>2379</v>
      </c>
      <c r="E1242" t="s">
        <v>2379</v>
      </c>
      <c r="F1242" t="s">
        <v>2379</v>
      </c>
      <c r="G1242">
        <v>0</v>
      </c>
      <c r="H1242" t="s">
        <v>2379</v>
      </c>
      <c r="I1242" t="str" cm="1">
        <f t="array" ref="I1242">_xlfn.IFS(B1242&lt;18.5,"Underweight",AND(B1242&gt;=18.5,B1242&lt;=24.99),"Normalweight",AND(B1242&gt;=25,B1242&lt;=29.99),"Overweight",B1242&gt;=30,"Obesity")</f>
        <v>Obesity</v>
      </c>
      <c r="J1242" t="str" cm="1">
        <f t="array" ref="J1242">_xlfn.IFS(C1242&lt;5.7,"Normal",AND(C1242&gt;=5.7,C1242&lt;=6.49),"Prediabetes",C1242&gt;=6.5,"Diabetes")</f>
        <v>Diabetes</v>
      </c>
    </row>
    <row r="1243" spans="1:10" x14ac:dyDescent="0.3">
      <c r="A1243" t="s">
        <v>1129</v>
      </c>
      <c r="B1243" s="8">
        <v>38.880000000000003</v>
      </c>
      <c r="C1243">
        <v>4.29</v>
      </c>
      <c r="D1243" t="s">
        <v>2379</v>
      </c>
      <c r="E1243" t="s">
        <v>2379</v>
      </c>
      <c r="F1243" t="s">
        <v>2379</v>
      </c>
      <c r="G1243">
        <v>1</v>
      </c>
      <c r="H1243" t="s">
        <v>2379</v>
      </c>
      <c r="I1243" t="str" cm="1">
        <f t="array" ref="I1243">_xlfn.IFS(B1243&lt;18.5,"Underweight",AND(B1243&gt;=18.5,B1243&lt;=24.99),"Normalweight",AND(B1243&gt;=25,B1243&lt;=29.99),"Overweight",B1243&gt;=30,"Obesity")</f>
        <v>Obesity</v>
      </c>
      <c r="J1243" t="str" cm="1">
        <f t="array" ref="J1243">_xlfn.IFS(C1243&lt;5.7,"Normal",AND(C1243&gt;=5.7,C1243&lt;=6.49),"Prediabetes",C1243&gt;=6.5,"Diabetes")</f>
        <v>Normal</v>
      </c>
    </row>
    <row r="1244" spans="1:10" x14ac:dyDescent="0.3">
      <c r="A1244" t="s">
        <v>1128</v>
      </c>
      <c r="B1244" s="8">
        <v>43.89</v>
      </c>
      <c r="C1244">
        <v>6.32</v>
      </c>
      <c r="D1244" t="s">
        <v>2381</v>
      </c>
      <c r="E1244" t="s">
        <v>2379</v>
      </c>
      <c r="F1244" t="s">
        <v>2379</v>
      </c>
      <c r="G1244">
        <v>0</v>
      </c>
      <c r="H1244" t="s">
        <v>2379</v>
      </c>
      <c r="I1244" t="str" cm="1">
        <f t="array" ref="I1244">_xlfn.IFS(B1244&lt;18.5,"Underweight",AND(B1244&gt;=18.5,B1244&lt;=24.99),"Normalweight",AND(B1244&gt;=25,B1244&lt;=29.99),"Overweight",B1244&gt;=30,"Obesity")</f>
        <v>Obesity</v>
      </c>
      <c r="J1244" t="str" cm="1">
        <f t="array" ref="J1244">_xlfn.IFS(C1244&lt;5.7,"Normal",AND(C1244&gt;=5.7,C1244&lt;=6.49),"Prediabetes",C1244&gt;=6.5,"Diabetes")</f>
        <v>Prediabetes</v>
      </c>
    </row>
    <row r="1245" spans="1:10" x14ac:dyDescent="0.3">
      <c r="A1245" t="s">
        <v>1127</v>
      </c>
      <c r="B1245" s="8">
        <v>25.6</v>
      </c>
      <c r="C1245">
        <v>5.65</v>
      </c>
      <c r="D1245" t="s">
        <v>2379</v>
      </c>
      <c r="E1245" t="s">
        <v>2379</v>
      </c>
      <c r="F1245" t="s">
        <v>2379</v>
      </c>
      <c r="G1245">
        <v>2</v>
      </c>
      <c r="H1245" t="s">
        <v>2379</v>
      </c>
      <c r="I1245" t="str" cm="1">
        <f t="array" ref="I1245">_xlfn.IFS(B1245&lt;18.5,"Underweight",AND(B1245&gt;=18.5,B1245&lt;=24.99),"Normalweight",AND(B1245&gt;=25,B1245&lt;=29.99),"Overweight",B1245&gt;=30,"Obesity")</f>
        <v>Overweight</v>
      </c>
      <c r="J1245" t="str" cm="1">
        <f t="array" ref="J1245">_xlfn.IFS(C1245&lt;5.7,"Normal",AND(C1245&gt;=5.7,C1245&lt;=6.49),"Prediabetes",C1245&gt;=6.5,"Diabetes")</f>
        <v>Normal</v>
      </c>
    </row>
    <row r="1246" spans="1:10" x14ac:dyDescent="0.3">
      <c r="A1246" t="s">
        <v>1126</v>
      </c>
      <c r="B1246" s="8">
        <v>29.545000000000002</v>
      </c>
      <c r="C1246">
        <v>8.41</v>
      </c>
      <c r="D1246" t="s">
        <v>2381</v>
      </c>
      <c r="E1246" t="s">
        <v>2379</v>
      </c>
      <c r="F1246" t="s">
        <v>2379</v>
      </c>
      <c r="G1246">
        <v>1</v>
      </c>
      <c r="H1246" t="s">
        <v>2379</v>
      </c>
      <c r="I1246" t="str" cm="1">
        <f t="array" ref="I1246">_xlfn.IFS(B1246&lt;18.5,"Underweight",AND(B1246&gt;=18.5,B1246&lt;=24.99),"Normalweight",AND(B1246&gt;=25,B1246&lt;=29.99),"Overweight",B1246&gt;=30,"Obesity")</f>
        <v>Overweight</v>
      </c>
      <c r="J1246" t="str" cm="1">
        <f t="array" ref="J1246">_xlfn.IFS(C1246&lt;5.7,"Normal",AND(C1246&gt;=5.7,C1246&lt;=6.49),"Prediabetes",C1246&gt;=6.5,"Diabetes")</f>
        <v>Diabetes</v>
      </c>
    </row>
    <row r="1247" spans="1:10" x14ac:dyDescent="0.3">
      <c r="A1247" t="s">
        <v>1125</v>
      </c>
      <c r="B1247" s="8">
        <v>23.25</v>
      </c>
      <c r="C1247">
        <v>11.96</v>
      </c>
      <c r="D1247" t="s">
        <v>2381</v>
      </c>
      <c r="E1247" t="s">
        <v>2379</v>
      </c>
      <c r="F1247" t="s">
        <v>2379</v>
      </c>
      <c r="G1247">
        <v>0</v>
      </c>
      <c r="H1247" t="s">
        <v>2379</v>
      </c>
      <c r="I1247" t="str" cm="1">
        <f t="array" ref="I1247">_xlfn.IFS(B1247&lt;18.5,"Underweight",AND(B1247&gt;=18.5,B1247&lt;=24.99),"Normalweight",AND(B1247&gt;=25,B1247&lt;=29.99),"Overweight",B1247&gt;=30,"Obesity")</f>
        <v>Normalweight</v>
      </c>
      <c r="J1247" t="str" cm="1">
        <f t="array" ref="J1247">_xlfn.IFS(C1247&lt;5.7,"Normal",AND(C1247&gt;=5.7,C1247&lt;=6.49),"Prediabetes",C1247&gt;=6.5,"Diabetes")</f>
        <v>Diabetes</v>
      </c>
    </row>
    <row r="1248" spans="1:10" x14ac:dyDescent="0.3">
      <c r="A1248" t="s">
        <v>1124</v>
      </c>
      <c r="B1248" s="8">
        <v>43.95</v>
      </c>
      <c r="C1248">
        <v>5.17</v>
      </c>
      <c r="D1248" t="s">
        <v>2381</v>
      </c>
      <c r="E1248" t="s">
        <v>2379</v>
      </c>
      <c r="F1248" t="s">
        <v>2381</v>
      </c>
      <c r="G1248">
        <v>1</v>
      </c>
      <c r="H1248" t="s">
        <v>2379</v>
      </c>
      <c r="I1248" t="str" cm="1">
        <f t="array" ref="I1248">_xlfn.IFS(B1248&lt;18.5,"Underweight",AND(B1248&gt;=18.5,B1248&lt;=24.99),"Normalweight",AND(B1248&gt;=25,B1248&lt;=29.99),"Overweight",B1248&gt;=30,"Obesity")</f>
        <v>Obesity</v>
      </c>
      <c r="J1248" t="str" cm="1">
        <f t="array" ref="J1248">_xlfn.IFS(C1248&lt;5.7,"Normal",AND(C1248&gt;=5.7,C1248&lt;=6.49),"Prediabetes",C1248&gt;=6.5,"Diabetes")</f>
        <v>Normal</v>
      </c>
    </row>
    <row r="1249" spans="1:10" x14ac:dyDescent="0.3">
      <c r="A1249" t="s">
        <v>1123</v>
      </c>
      <c r="B1249" s="8">
        <v>21.85</v>
      </c>
      <c r="C1249">
        <v>8.76</v>
      </c>
      <c r="D1249" t="s">
        <v>2379</v>
      </c>
      <c r="E1249" t="s">
        <v>2379</v>
      </c>
      <c r="F1249" t="s">
        <v>2379</v>
      </c>
      <c r="G1249">
        <v>0</v>
      </c>
      <c r="H1249" t="s">
        <v>2379</v>
      </c>
      <c r="I1249" t="str" cm="1">
        <f t="array" ref="I1249">_xlfn.IFS(B1249&lt;18.5,"Underweight",AND(B1249&gt;=18.5,B1249&lt;=24.99),"Normalweight",AND(B1249&gt;=25,B1249&lt;=29.99),"Overweight",B1249&gt;=30,"Obesity")</f>
        <v>Normalweight</v>
      </c>
      <c r="J1249" t="str" cm="1">
        <f t="array" ref="J1249">_xlfn.IFS(C1249&lt;5.7,"Normal",AND(C1249&gt;=5.7,C1249&lt;=6.49),"Prediabetes",C1249&gt;=6.5,"Diabetes")</f>
        <v>Diabetes</v>
      </c>
    </row>
    <row r="1250" spans="1:10" x14ac:dyDescent="0.3">
      <c r="A1250" t="s">
        <v>1122</v>
      </c>
      <c r="B1250" s="8">
        <v>25.73</v>
      </c>
      <c r="C1250">
        <v>7.99</v>
      </c>
      <c r="D1250" t="s">
        <v>2379</v>
      </c>
      <c r="E1250" t="s">
        <v>2379</v>
      </c>
      <c r="F1250" t="s">
        <v>2379</v>
      </c>
      <c r="G1250">
        <v>2</v>
      </c>
      <c r="H1250" t="s">
        <v>2379</v>
      </c>
      <c r="I1250" t="str" cm="1">
        <f t="array" ref="I1250">_xlfn.IFS(B1250&lt;18.5,"Underweight",AND(B1250&gt;=18.5,B1250&lt;=24.99),"Normalweight",AND(B1250&gt;=25,B1250&lt;=29.99),"Overweight",B1250&gt;=30,"Obesity")</f>
        <v>Overweight</v>
      </c>
      <c r="J1250" t="str" cm="1">
        <f t="array" ref="J1250">_xlfn.IFS(C1250&lt;5.7,"Normal",AND(C1250&gt;=5.7,C1250&lt;=6.49),"Prediabetes",C1250&gt;=6.5,"Diabetes")</f>
        <v>Diabetes</v>
      </c>
    </row>
    <row r="1251" spans="1:10" x14ac:dyDescent="0.3">
      <c r="A1251" t="s">
        <v>1121</v>
      </c>
      <c r="B1251" s="8">
        <v>32.229999999999997</v>
      </c>
      <c r="C1251">
        <v>8.59</v>
      </c>
      <c r="D1251" t="s">
        <v>2379</v>
      </c>
      <c r="E1251" t="s">
        <v>2379</v>
      </c>
      <c r="F1251" t="s">
        <v>2379</v>
      </c>
      <c r="G1251">
        <v>0</v>
      </c>
      <c r="H1251" t="s">
        <v>2379</v>
      </c>
      <c r="I1251" t="str" cm="1">
        <f t="array" ref="I1251">_xlfn.IFS(B1251&lt;18.5,"Underweight",AND(B1251&gt;=18.5,B1251&lt;=24.99),"Normalweight",AND(B1251&gt;=25,B1251&lt;=29.99),"Overweight",B1251&gt;=30,"Obesity")</f>
        <v>Obesity</v>
      </c>
      <c r="J1251" t="str" cm="1">
        <f t="array" ref="J1251">_xlfn.IFS(C1251&lt;5.7,"Normal",AND(C1251&gt;=5.7,C1251&lt;=6.49),"Prediabetes",C1251&gt;=6.5,"Diabetes")</f>
        <v>Diabetes</v>
      </c>
    </row>
    <row r="1252" spans="1:10" x14ac:dyDescent="0.3">
      <c r="A1252" t="s">
        <v>1120</v>
      </c>
      <c r="B1252" s="8">
        <v>32.204999999999998</v>
      </c>
      <c r="C1252">
        <v>6.14</v>
      </c>
      <c r="D1252" t="s">
        <v>2379</v>
      </c>
      <c r="E1252" t="s">
        <v>2379</v>
      </c>
      <c r="F1252" t="s">
        <v>2379</v>
      </c>
      <c r="G1252">
        <v>2</v>
      </c>
      <c r="H1252" t="s">
        <v>2379</v>
      </c>
      <c r="I1252" t="str" cm="1">
        <f t="array" ref="I1252">_xlfn.IFS(B1252&lt;18.5,"Underweight",AND(B1252&gt;=18.5,B1252&lt;=24.99),"Normalweight",AND(B1252&gt;=25,B1252&lt;=29.99),"Overweight",B1252&gt;=30,"Obesity")</f>
        <v>Obesity</v>
      </c>
      <c r="J1252" t="str" cm="1">
        <f t="array" ref="J1252">_xlfn.IFS(C1252&lt;5.7,"Normal",AND(C1252&gt;=5.7,C1252&lt;=6.49),"Prediabetes",C1252&gt;=6.5,"Diabetes")</f>
        <v>Prediabetes</v>
      </c>
    </row>
    <row r="1253" spans="1:10" x14ac:dyDescent="0.3">
      <c r="A1253" t="s">
        <v>1119</v>
      </c>
      <c r="B1253" s="8">
        <v>26.41</v>
      </c>
      <c r="C1253">
        <v>4.08</v>
      </c>
      <c r="D1253" t="s">
        <v>2379</v>
      </c>
      <c r="E1253" t="s">
        <v>2379</v>
      </c>
      <c r="F1253" t="s">
        <v>2379</v>
      </c>
      <c r="G1253">
        <v>2</v>
      </c>
      <c r="H1253" t="s">
        <v>2379</v>
      </c>
      <c r="I1253" t="str" cm="1">
        <f t="array" ref="I1253">_xlfn.IFS(B1253&lt;18.5,"Underweight",AND(B1253&gt;=18.5,B1253&lt;=24.99),"Normalweight",AND(B1253&gt;=25,B1253&lt;=29.99),"Overweight",B1253&gt;=30,"Obesity")</f>
        <v>Overweight</v>
      </c>
      <c r="J1253" t="str" cm="1">
        <f t="array" ref="J1253">_xlfn.IFS(C1253&lt;5.7,"Normal",AND(C1253&gt;=5.7,C1253&lt;=6.49),"Prediabetes",C1253&gt;=6.5,"Diabetes")</f>
        <v>Normal</v>
      </c>
    </row>
    <row r="1254" spans="1:10" x14ac:dyDescent="0.3">
      <c r="A1254" t="s">
        <v>1118</v>
      </c>
      <c r="B1254" s="8">
        <v>30.2</v>
      </c>
      <c r="C1254">
        <v>6.25</v>
      </c>
      <c r="D1254" t="s">
        <v>2381</v>
      </c>
      <c r="E1254" t="s">
        <v>2379</v>
      </c>
      <c r="F1254" t="s">
        <v>2379</v>
      </c>
      <c r="G1254">
        <v>0</v>
      </c>
      <c r="H1254" t="s">
        <v>2379</v>
      </c>
      <c r="I1254" t="str" cm="1">
        <f t="array" ref="I1254">_xlfn.IFS(B1254&lt;18.5,"Underweight",AND(B1254&gt;=18.5,B1254&lt;=24.99),"Normalweight",AND(B1254&gt;=25,B1254&lt;=29.99),"Overweight",B1254&gt;=30,"Obesity")</f>
        <v>Obesity</v>
      </c>
      <c r="J1254" t="str" cm="1">
        <f t="array" ref="J1254">_xlfn.IFS(C1254&lt;5.7,"Normal",AND(C1254&gt;=5.7,C1254&lt;=6.49),"Prediabetes",C1254&gt;=6.5,"Diabetes")</f>
        <v>Prediabetes</v>
      </c>
    </row>
    <row r="1255" spans="1:10" x14ac:dyDescent="0.3">
      <c r="A1255" t="s">
        <v>1117</v>
      </c>
      <c r="B1255" s="8">
        <v>31.26</v>
      </c>
      <c r="C1255">
        <v>5.94</v>
      </c>
      <c r="D1255" t="s">
        <v>2381</v>
      </c>
      <c r="E1255" t="s">
        <v>2379</v>
      </c>
      <c r="F1255" t="s">
        <v>2379</v>
      </c>
      <c r="G1255">
        <v>1</v>
      </c>
      <c r="H1255" t="s">
        <v>2379</v>
      </c>
      <c r="I1255" t="str" cm="1">
        <f t="array" ref="I1255">_xlfn.IFS(B1255&lt;18.5,"Underweight",AND(B1255&gt;=18.5,B1255&lt;=24.99),"Normalweight",AND(B1255&gt;=25,B1255&lt;=29.99),"Overweight",B1255&gt;=30,"Obesity")</f>
        <v>Obesity</v>
      </c>
      <c r="J1255" t="str" cm="1">
        <f t="array" ref="J1255">_xlfn.IFS(C1255&lt;5.7,"Normal",AND(C1255&gt;=5.7,C1255&lt;=6.49),"Prediabetes",C1255&gt;=6.5,"Diabetes")</f>
        <v>Prediabetes</v>
      </c>
    </row>
    <row r="1256" spans="1:10" x14ac:dyDescent="0.3">
      <c r="A1256" t="s">
        <v>1116</v>
      </c>
      <c r="B1256" s="8">
        <v>33.725000000000001</v>
      </c>
      <c r="C1256">
        <v>6.45</v>
      </c>
      <c r="D1256" t="s">
        <v>2381</v>
      </c>
      <c r="E1256" t="s">
        <v>2379</v>
      </c>
      <c r="F1256" t="s">
        <v>2379</v>
      </c>
      <c r="G1256">
        <v>0</v>
      </c>
      <c r="H1256" t="s">
        <v>2379</v>
      </c>
      <c r="I1256" t="str" cm="1">
        <f t="array" ref="I1256">_xlfn.IFS(B1256&lt;18.5,"Underweight",AND(B1256&gt;=18.5,B1256&lt;=24.99),"Normalweight",AND(B1256&gt;=25,B1256&lt;=29.99),"Overweight",B1256&gt;=30,"Obesity")</f>
        <v>Obesity</v>
      </c>
      <c r="J1256" t="str" cm="1">
        <f t="array" ref="J1256">_xlfn.IFS(C1256&lt;5.7,"Normal",AND(C1256&gt;=5.7,C1256&lt;=6.49),"Prediabetes",C1256&gt;=6.5,"Diabetes")</f>
        <v>Prediabetes</v>
      </c>
    </row>
    <row r="1257" spans="1:10" x14ac:dyDescent="0.3">
      <c r="A1257" t="s">
        <v>1115</v>
      </c>
      <c r="B1257" s="8">
        <v>28.9</v>
      </c>
      <c r="C1257">
        <v>5.74</v>
      </c>
      <c r="D1257" t="s">
        <v>2381</v>
      </c>
      <c r="E1257" t="s">
        <v>2379</v>
      </c>
      <c r="F1257" t="s">
        <v>2379</v>
      </c>
      <c r="G1257">
        <v>0</v>
      </c>
      <c r="H1257" t="s">
        <v>2379</v>
      </c>
      <c r="I1257" t="str" cm="1">
        <f t="array" ref="I1257">_xlfn.IFS(B1257&lt;18.5,"Underweight",AND(B1257&gt;=18.5,B1257&lt;=24.99),"Normalweight",AND(B1257&gt;=25,B1257&lt;=29.99),"Overweight",B1257&gt;=30,"Obesity")</f>
        <v>Overweight</v>
      </c>
      <c r="J1257" t="str" cm="1">
        <f t="array" ref="J1257">_xlfn.IFS(C1257&lt;5.7,"Normal",AND(C1257&gt;=5.7,C1257&lt;=6.49),"Prediabetes",C1257&gt;=6.5,"Diabetes")</f>
        <v>Prediabetes</v>
      </c>
    </row>
    <row r="1258" spans="1:10" x14ac:dyDescent="0.3">
      <c r="A1258" t="s">
        <v>1114</v>
      </c>
      <c r="B1258" s="8">
        <v>45.69</v>
      </c>
      <c r="C1258">
        <v>4.43</v>
      </c>
      <c r="D1258" t="s">
        <v>2381</v>
      </c>
      <c r="E1258" t="s">
        <v>2379</v>
      </c>
      <c r="F1258" t="s">
        <v>2379</v>
      </c>
      <c r="G1258">
        <v>0</v>
      </c>
      <c r="H1258" t="s">
        <v>2379</v>
      </c>
      <c r="I1258" t="str" cm="1">
        <f t="array" ref="I1258">_xlfn.IFS(B1258&lt;18.5,"Underweight",AND(B1258&gt;=18.5,B1258&lt;=24.99),"Normalweight",AND(B1258&gt;=25,B1258&lt;=29.99),"Overweight",B1258&gt;=30,"Obesity")</f>
        <v>Obesity</v>
      </c>
      <c r="J1258" t="str" cm="1">
        <f t="array" ref="J1258">_xlfn.IFS(C1258&lt;5.7,"Normal",AND(C1258&gt;=5.7,C1258&lt;=6.49),"Prediabetes",C1258&gt;=6.5,"Diabetes")</f>
        <v>Normal</v>
      </c>
    </row>
    <row r="1259" spans="1:10" x14ac:dyDescent="0.3">
      <c r="A1259" t="s">
        <v>1113</v>
      </c>
      <c r="B1259" s="8">
        <v>21.03</v>
      </c>
      <c r="C1259">
        <v>6.5</v>
      </c>
      <c r="D1259" t="s">
        <v>2379</v>
      </c>
      <c r="E1259" t="s">
        <v>2379</v>
      </c>
      <c r="F1259" t="s">
        <v>2379</v>
      </c>
      <c r="G1259">
        <v>0</v>
      </c>
      <c r="H1259" t="s">
        <v>2379</v>
      </c>
      <c r="I1259" t="str" cm="1">
        <f t="array" ref="I1259">_xlfn.IFS(B1259&lt;18.5,"Underweight",AND(B1259&gt;=18.5,B1259&lt;=24.99),"Normalweight",AND(B1259&gt;=25,B1259&lt;=29.99),"Overweight",B1259&gt;=30,"Obesity")</f>
        <v>Normalweight</v>
      </c>
      <c r="J1259" t="str" cm="1">
        <f t="array" ref="J1259">_xlfn.IFS(C1259&lt;5.7,"Normal",AND(C1259&gt;=5.7,C1259&lt;=6.49),"Prediabetes",C1259&gt;=6.5,"Diabetes")</f>
        <v>Diabetes</v>
      </c>
    </row>
    <row r="1260" spans="1:10" x14ac:dyDescent="0.3">
      <c r="A1260" t="s">
        <v>1112</v>
      </c>
      <c r="B1260" s="8">
        <v>37</v>
      </c>
      <c r="C1260">
        <v>8.75</v>
      </c>
      <c r="D1260" t="s">
        <v>2379</v>
      </c>
      <c r="E1260" t="s">
        <v>2379</v>
      </c>
      <c r="F1260" t="s">
        <v>2379</v>
      </c>
      <c r="G1260">
        <v>0</v>
      </c>
      <c r="H1260" t="s">
        <v>2379</v>
      </c>
      <c r="I1260" t="str" cm="1">
        <f t="array" ref="I1260">_xlfn.IFS(B1260&lt;18.5,"Underweight",AND(B1260&gt;=18.5,B1260&lt;=24.99),"Normalweight",AND(B1260&gt;=25,B1260&lt;=29.99),"Overweight",B1260&gt;=30,"Obesity")</f>
        <v>Obesity</v>
      </c>
      <c r="J1260" t="str" cm="1">
        <f t="array" ref="J1260">_xlfn.IFS(C1260&lt;5.7,"Normal",AND(C1260&gt;=5.7,C1260&lt;=6.49),"Prediabetes",C1260&gt;=6.5,"Diabetes")</f>
        <v>Diabetes</v>
      </c>
    </row>
    <row r="1261" spans="1:10" x14ac:dyDescent="0.3">
      <c r="A1261" t="s">
        <v>1111</v>
      </c>
      <c r="B1261" s="8">
        <v>25.4</v>
      </c>
      <c r="C1261">
        <v>11.96</v>
      </c>
      <c r="D1261" t="s">
        <v>2379</v>
      </c>
      <c r="E1261" t="s">
        <v>2379</v>
      </c>
      <c r="F1261" t="s">
        <v>2379</v>
      </c>
      <c r="G1261">
        <v>0</v>
      </c>
      <c r="H1261" t="s">
        <v>2379</v>
      </c>
      <c r="I1261" t="str" cm="1">
        <f t="array" ref="I1261">_xlfn.IFS(B1261&lt;18.5,"Underweight",AND(B1261&gt;=18.5,B1261&lt;=24.99),"Normalweight",AND(B1261&gt;=25,B1261&lt;=29.99),"Overweight",B1261&gt;=30,"Obesity")</f>
        <v>Overweight</v>
      </c>
      <c r="J1261" t="str" cm="1">
        <f t="array" ref="J1261">_xlfn.IFS(C1261&lt;5.7,"Normal",AND(C1261&gt;=5.7,C1261&lt;=6.49),"Prediabetes",C1261&gt;=6.5,"Diabetes")</f>
        <v>Diabetes</v>
      </c>
    </row>
    <row r="1262" spans="1:10" x14ac:dyDescent="0.3">
      <c r="A1262" t="s">
        <v>1110</v>
      </c>
      <c r="B1262" s="8">
        <v>32.299999999999997</v>
      </c>
      <c r="C1262">
        <v>10.54</v>
      </c>
      <c r="D1262" t="s">
        <v>2379</v>
      </c>
      <c r="E1262" t="s">
        <v>2379</v>
      </c>
      <c r="F1262" t="s">
        <v>2379</v>
      </c>
      <c r="G1262">
        <v>0</v>
      </c>
      <c r="H1262" t="s">
        <v>2379</v>
      </c>
      <c r="I1262" t="str" cm="1">
        <f t="array" ref="I1262">_xlfn.IFS(B1262&lt;18.5,"Underweight",AND(B1262&gt;=18.5,B1262&lt;=24.99),"Normalweight",AND(B1262&gt;=25,B1262&lt;=29.99),"Overweight",B1262&gt;=30,"Obesity")</f>
        <v>Obesity</v>
      </c>
      <c r="J1262" t="str" cm="1">
        <f t="array" ref="J1262">_xlfn.IFS(C1262&lt;5.7,"Normal",AND(C1262&gt;=5.7,C1262&lt;=6.49),"Prediabetes",C1262&gt;=6.5,"Diabetes")</f>
        <v>Diabetes</v>
      </c>
    </row>
    <row r="1263" spans="1:10" x14ac:dyDescent="0.3">
      <c r="A1263" t="s">
        <v>1109</v>
      </c>
      <c r="B1263" s="8">
        <v>23.94</v>
      </c>
      <c r="C1263">
        <v>4.54</v>
      </c>
      <c r="D1263" t="s">
        <v>2381</v>
      </c>
      <c r="E1263" t="s">
        <v>2379</v>
      </c>
      <c r="F1263" t="s">
        <v>2381</v>
      </c>
      <c r="G1263">
        <v>1</v>
      </c>
      <c r="H1263" t="s">
        <v>2379</v>
      </c>
      <c r="I1263" t="str" cm="1">
        <f t="array" ref="I1263">_xlfn.IFS(B1263&lt;18.5,"Underweight",AND(B1263&gt;=18.5,B1263&lt;=24.99),"Normalweight",AND(B1263&gt;=25,B1263&lt;=29.99),"Overweight",B1263&gt;=30,"Obesity")</f>
        <v>Normalweight</v>
      </c>
      <c r="J1263" t="str" cm="1">
        <f t="array" ref="J1263">_xlfn.IFS(C1263&lt;5.7,"Normal",AND(C1263&gt;=5.7,C1263&lt;=6.49),"Prediabetes",C1263&gt;=6.5,"Diabetes")</f>
        <v>Normal</v>
      </c>
    </row>
    <row r="1264" spans="1:10" x14ac:dyDescent="0.3">
      <c r="A1264" t="s">
        <v>1108</v>
      </c>
      <c r="B1264" s="8">
        <v>46.4</v>
      </c>
      <c r="C1264">
        <v>5.71</v>
      </c>
      <c r="D1264" t="s">
        <v>2379</v>
      </c>
      <c r="E1264" t="s">
        <v>2379</v>
      </c>
      <c r="F1264" t="s">
        <v>2379</v>
      </c>
      <c r="G1264">
        <v>0</v>
      </c>
      <c r="H1264" t="s">
        <v>2379</v>
      </c>
      <c r="I1264" t="str" cm="1">
        <f t="array" ref="I1264">_xlfn.IFS(B1264&lt;18.5,"Underweight",AND(B1264&gt;=18.5,B1264&lt;=24.99),"Normalweight",AND(B1264&gt;=25,B1264&lt;=29.99),"Overweight",B1264&gt;=30,"Obesity")</f>
        <v>Obesity</v>
      </c>
      <c r="J1264" t="str" cm="1">
        <f t="array" ref="J1264">_xlfn.IFS(C1264&lt;5.7,"Normal",AND(C1264&gt;=5.7,C1264&lt;=6.49),"Prediabetes",C1264&gt;=6.5,"Diabetes")</f>
        <v>Prediabetes</v>
      </c>
    </row>
    <row r="1265" spans="1:10" x14ac:dyDescent="0.3">
      <c r="A1265" t="s">
        <v>1107</v>
      </c>
      <c r="B1265" s="8">
        <v>40.375</v>
      </c>
      <c r="C1265">
        <v>6.25</v>
      </c>
      <c r="D1265" t="s">
        <v>2381</v>
      </c>
      <c r="E1265" t="s">
        <v>2379</v>
      </c>
      <c r="F1265" t="s">
        <v>2379</v>
      </c>
      <c r="G1265">
        <v>0</v>
      </c>
      <c r="H1265" t="s">
        <v>2379</v>
      </c>
      <c r="I1265" t="str" cm="1">
        <f t="array" ref="I1265">_xlfn.IFS(B1265&lt;18.5,"Underweight",AND(B1265&gt;=18.5,B1265&lt;=24.99),"Normalweight",AND(B1265&gt;=25,B1265&lt;=29.99),"Overweight",B1265&gt;=30,"Obesity")</f>
        <v>Obesity</v>
      </c>
      <c r="J1265" t="str" cm="1">
        <f t="array" ref="J1265">_xlfn.IFS(C1265&lt;5.7,"Normal",AND(C1265&gt;=5.7,C1265&lt;=6.49),"Prediabetes",C1265&gt;=6.5,"Diabetes")</f>
        <v>Prediabetes</v>
      </c>
    </row>
    <row r="1266" spans="1:10" x14ac:dyDescent="0.3">
      <c r="A1266" t="s">
        <v>1106</v>
      </c>
      <c r="B1266" s="8">
        <v>28.7</v>
      </c>
      <c r="C1266">
        <v>9.4700000000000006</v>
      </c>
      <c r="D1266" t="s">
        <v>2379</v>
      </c>
      <c r="E1266" t="s">
        <v>2379</v>
      </c>
      <c r="F1266" t="s">
        <v>2379</v>
      </c>
      <c r="G1266">
        <v>2</v>
      </c>
      <c r="H1266" t="s">
        <v>2379</v>
      </c>
      <c r="I1266" t="str" cm="1">
        <f t="array" ref="I1266">_xlfn.IFS(B1266&lt;18.5,"Underweight",AND(B1266&gt;=18.5,B1266&lt;=24.99),"Normalweight",AND(B1266&gt;=25,B1266&lt;=29.99),"Overweight",B1266&gt;=30,"Obesity")</f>
        <v>Overweight</v>
      </c>
      <c r="J1266" t="str" cm="1">
        <f t="array" ref="J1266">_xlfn.IFS(C1266&lt;5.7,"Normal",AND(C1266&gt;=5.7,C1266&lt;=6.49),"Prediabetes",C1266&gt;=6.5,"Diabetes")</f>
        <v>Diabetes</v>
      </c>
    </row>
    <row r="1267" spans="1:10" x14ac:dyDescent="0.3">
      <c r="A1267" t="s">
        <v>1105</v>
      </c>
      <c r="B1267" s="8">
        <v>26.63</v>
      </c>
      <c r="C1267">
        <v>5.7</v>
      </c>
      <c r="D1267" t="s">
        <v>2379</v>
      </c>
      <c r="E1267" t="s">
        <v>2379</v>
      </c>
      <c r="F1267" t="s">
        <v>2379</v>
      </c>
      <c r="G1267">
        <v>0</v>
      </c>
      <c r="H1267" t="s">
        <v>2379</v>
      </c>
      <c r="I1267" t="str" cm="1">
        <f t="array" ref="I1267">_xlfn.IFS(B1267&lt;18.5,"Underweight",AND(B1267&gt;=18.5,B1267&lt;=24.99),"Normalweight",AND(B1267&gt;=25,B1267&lt;=29.99),"Overweight",B1267&gt;=30,"Obesity")</f>
        <v>Overweight</v>
      </c>
      <c r="J1267" t="str" cm="1">
        <f t="array" ref="J1267">_xlfn.IFS(C1267&lt;5.7,"Normal",AND(C1267&gt;=5.7,C1267&lt;=6.49),"Prediabetes",C1267&gt;=6.5,"Diabetes")</f>
        <v>Prediabetes</v>
      </c>
    </row>
    <row r="1268" spans="1:10" x14ac:dyDescent="0.3">
      <c r="A1268" t="s">
        <v>1104</v>
      </c>
      <c r="B1268" s="8">
        <v>22.515000000000001</v>
      </c>
      <c r="C1268">
        <v>11.18</v>
      </c>
      <c r="D1268" t="s">
        <v>2379</v>
      </c>
      <c r="E1268" t="s">
        <v>2379</v>
      </c>
      <c r="F1268" t="s">
        <v>2379</v>
      </c>
      <c r="G1268">
        <v>2</v>
      </c>
      <c r="H1268" t="s">
        <v>2379</v>
      </c>
      <c r="I1268" t="str" cm="1">
        <f t="array" ref="I1268">_xlfn.IFS(B1268&lt;18.5,"Underweight",AND(B1268&gt;=18.5,B1268&lt;=24.99),"Normalweight",AND(B1268&gt;=25,B1268&lt;=29.99),"Overweight",B1268&gt;=30,"Obesity")</f>
        <v>Normalweight</v>
      </c>
      <c r="J1268" t="str" cm="1">
        <f t="array" ref="J1268">_xlfn.IFS(C1268&lt;5.7,"Normal",AND(C1268&gt;=5.7,C1268&lt;=6.49),"Prediabetes",C1268&gt;=6.5,"Diabetes")</f>
        <v>Diabetes</v>
      </c>
    </row>
    <row r="1269" spans="1:10" x14ac:dyDescent="0.3">
      <c r="A1269" t="s">
        <v>1103</v>
      </c>
      <c r="B1269" s="8">
        <v>36.575000000000003</v>
      </c>
      <c r="C1269">
        <v>10.98</v>
      </c>
      <c r="D1269" t="s">
        <v>2379</v>
      </c>
      <c r="E1269" t="s">
        <v>2379</v>
      </c>
      <c r="F1269" t="s">
        <v>2379</v>
      </c>
      <c r="G1269">
        <v>0</v>
      </c>
      <c r="H1269" t="s">
        <v>2379</v>
      </c>
      <c r="I1269" t="str" cm="1">
        <f t="array" ref="I1269">_xlfn.IFS(B1269&lt;18.5,"Underweight",AND(B1269&gt;=18.5,B1269&lt;=24.99),"Normalweight",AND(B1269&gt;=25,B1269&lt;=29.99),"Overweight",B1269&gt;=30,"Obesity")</f>
        <v>Obesity</v>
      </c>
      <c r="J1269" t="str" cm="1">
        <f t="array" ref="J1269">_xlfn.IFS(C1269&lt;5.7,"Normal",AND(C1269&gt;=5.7,C1269&lt;=6.49),"Prediabetes",C1269&gt;=6.5,"Diabetes")</f>
        <v>Diabetes</v>
      </c>
    </row>
    <row r="1270" spans="1:10" x14ac:dyDescent="0.3">
      <c r="A1270" t="s">
        <v>1102</v>
      </c>
      <c r="B1270" s="8">
        <v>23.66</v>
      </c>
      <c r="C1270">
        <v>5.1100000000000003</v>
      </c>
      <c r="D1270" t="s">
        <v>2381</v>
      </c>
      <c r="E1270" t="s">
        <v>2379</v>
      </c>
      <c r="F1270" t="s">
        <v>2381</v>
      </c>
      <c r="G1270">
        <v>1</v>
      </c>
      <c r="H1270" t="s">
        <v>2379</v>
      </c>
      <c r="I1270" t="str" cm="1">
        <f t="array" ref="I1270">_xlfn.IFS(B1270&lt;18.5,"Underweight",AND(B1270&gt;=18.5,B1270&lt;=24.99),"Normalweight",AND(B1270&gt;=25,B1270&lt;=29.99),"Overweight",B1270&gt;=30,"Obesity")</f>
        <v>Normalweight</v>
      </c>
      <c r="J1270" t="str" cm="1">
        <f t="array" ref="J1270">_xlfn.IFS(C1270&lt;5.7,"Normal",AND(C1270&gt;=5.7,C1270&lt;=6.49),"Prediabetes",C1270&gt;=6.5,"Diabetes")</f>
        <v>Normal</v>
      </c>
    </row>
    <row r="1271" spans="1:10" x14ac:dyDescent="0.3">
      <c r="A1271" t="s">
        <v>1101</v>
      </c>
      <c r="B1271" s="8">
        <v>18.62</v>
      </c>
      <c r="C1271">
        <v>10.24</v>
      </c>
      <c r="D1271" t="s">
        <v>2379</v>
      </c>
      <c r="E1271" t="s">
        <v>2379</v>
      </c>
      <c r="F1271" t="s">
        <v>2379</v>
      </c>
      <c r="G1271">
        <v>0</v>
      </c>
      <c r="H1271" t="s">
        <v>2379</v>
      </c>
      <c r="I1271" t="str" cm="1">
        <f t="array" ref="I1271">_xlfn.IFS(B1271&lt;18.5,"Underweight",AND(B1271&gt;=18.5,B1271&lt;=24.99),"Normalweight",AND(B1271&gt;=25,B1271&lt;=29.99),"Overweight",B1271&gt;=30,"Obesity")</f>
        <v>Normalweight</v>
      </c>
      <c r="J1271" t="str" cm="1">
        <f t="array" ref="J1271">_xlfn.IFS(C1271&lt;5.7,"Normal",AND(C1271&gt;=5.7,C1271&lt;=6.49),"Prediabetes",C1271&gt;=6.5,"Diabetes")</f>
        <v>Diabetes</v>
      </c>
    </row>
    <row r="1272" spans="1:10" x14ac:dyDescent="0.3">
      <c r="A1272" t="s">
        <v>1100</v>
      </c>
      <c r="B1272" s="8">
        <v>19.190000000000001</v>
      </c>
      <c r="C1272">
        <v>7.71</v>
      </c>
      <c r="D1272" t="s">
        <v>2381</v>
      </c>
      <c r="E1272" t="s">
        <v>2379</v>
      </c>
      <c r="F1272" t="s">
        <v>2379</v>
      </c>
      <c r="G1272">
        <v>1</v>
      </c>
      <c r="H1272" t="s">
        <v>2379</v>
      </c>
      <c r="I1272" t="str" cm="1">
        <f t="array" ref="I1272">_xlfn.IFS(B1272&lt;18.5,"Underweight",AND(B1272&gt;=18.5,B1272&lt;=24.99),"Normalweight",AND(B1272&gt;=25,B1272&lt;=29.99),"Overweight",B1272&gt;=30,"Obesity")</f>
        <v>Normalweight</v>
      </c>
      <c r="J1272" t="str" cm="1">
        <f t="array" ref="J1272">_xlfn.IFS(C1272&lt;5.7,"Normal",AND(C1272&gt;=5.7,C1272&lt;=6.49),"Prediabetes",C1272&gt;=6.5,"Diabetes")</f>
        <v>Diabetes</v>
      </c>
    </row>
    <row r="1273" spans="1:10" x14ac:dyDescent="0.3">
      <c r="A1273" t="s">
        <v>1099</v>
      </c>
      <c r="B1273" s="8">
        <v>27.5</v>
      </c>
      <c r="C1273">
        <v>6.03</v>
      </c>
      <c r="D1273" t="s">
        <v>2379</v>
      </c>
      <c r="E1273" t="s">
        <v>2379</v>
      </c>
      <c r="F1273" t="s">
        <v>2379</v>
      </c>
      <c r="G1273">
        <v>0</v>
      </c>
      <c r="H1273" t="s">
        <v>2379</v>
      </c>
      <c r="I1273" t="str" cm="1">
        <f t="array" ref="I1273">_xlfn.IFS(B1273&lt;18.5,"Underweight",AND(B1273&gt;=18.5,B1273&lt;=24.99),"Normalweight",AND(B1273&gt;=25,B1273&lt;=29.99),"Overweight",B1273&gt;=30,"Obesity")</f>
        <v>Overweight</v>
      </c>
      <c r="J1273" t="str" cm="1">
        <f t="array" ref="J1273">_xlfn.IFS(C1273&lt;5.7,"Normal",AND(C1273&gt;=5.7,C1273&lt;=6.49),"Prediabetes",C1273&gt;=6.5,"Diabetes")</f>
        <v>Prediabetes</v>
      </c>
    </row>
    <row r="1274" spans="1:10" x14ac:dyDescent="0.3">
      <c r="A1274" t="s">
        <v>1098</v>
      </c>
      <c r="B1274" s="8">
        <v>27.36</v>
      </c>
      <c r="C1274">
        <v>5.96</v>
      </c>
      <c r="D1274" t="s">
        <v>2379</v>
      </c>
      <c r="E1274" t="s">
        <v>2379</v>
      </c>
      <c r="F1274" t="s">
        <v>2381</v>
      </c>
      <c r="G1274">
        <v>1</v>
      </c>
      <c r="H1274" t="s">
        <v>2379</v>
      </c>
      <c r="I1274" t="str" cm="1">
        <f t="array" ref="I1274">_xlfn.IFS(B1274&lt;18.5,"Underweight",AND(B1274&gt;=18.5,B1274&lt;=24.99),"Normalweight",AND(B1274&gt;=25,B1274&lt;=29.99),"Overweight",B1274&gt;=30,"Obesity")</f>
        <v>Overweight</v>
      </c>
      <c r="J1274" t="str" cm="1">
        <f t="array" ref="J1274">_xlfn.IFS(C1274&lt;5.7,"Normal",AND(C1274&gt;=5.7,C1274&lt;=6.49),"Prediabetes",C1274&gt;=6.5,"Diabetes")</f>
        <v>Prediabetes</v>
      </c>
    </row>
    <row r="1275" spans="1:10" x14ac:dyDescent="0.3">
      <c r="A1275" t="s">
        <v>1097</v>
      </c>
      <c r="B1275" s="8">
        <v>20.350000000000001</v>
      </c>
      <c r="C1275">
        <v>4.16</v>
      </c>
      <c r="D1275" t="s">
        <v>2379</v>
      </c>
      <c r="E1275" t="s">
        <v>2379</v>
      </c>
      <c r="F1275" t="s">
        <v>2379</v>
      </c>
      <c r="G1275">
        <v>0</v>
      </c>
      <c r="H1275" t="s">
        <v>2379</v>
      </c>
      <c r="I1275" t="str" cm="1">
        <f t="array" ref="I1275">_xlfn.IFS(B1275&lt;18.5,"Underweight",AND(B1275&gt;=18.5,B1275&lt;=24.99),"Normalweight",AND(B1275&gt;=25,B1275&lt;=29.99),"Overweight",B1275&gt;=30,"Obesity")</f>
        <v>Normalweight</v>
      </c>
      <c r="J1275" t="str" cm="1">
        <f t="array" ref="J1275">_xlfn.IFS(C1275&lt;5.7,"Normal",AND(C1275&gt;=5.7,C1275&lt;=6.49),"Prediabetes",C1275&gt;=6.5,"Diabetes")</f>
        <v>Normal</v>
      </c>
    </row>
    <row r="1276" spans="1:10" x14ac:dyDescent="0.3">
      <c r="A1276" t="s">
        <v>1096</v>
      </c>
      <c r="B1276" s="8">
        <v>24.035</v>
      </c>
      <c r="C1276">
        <v>6.11</v>
      </c>
      <c r="D1276" t="s">
        <v>2379</v>
      </c>
      <c r="E1276" t="s">
        <v>2379</v>
      </c>
      <c r="F1276" t="s">
        <v>2379</v>
      </c>
      <c r="G1276">
        <v>0</v>
      </c>
      <c r="H1276" t="s">
        <v>2379</v>
      </c>
      <c r="I1276" t="str" cm="1">
        <f t="array" ref="I1276">_xlfn.IFS(B1276&lt;18.5,"Underweight",AND(B1276&gt;=18.5,B1276&lt;=24.99),"Normalweight",AND(B1276&gt;=25,B1276&lt;=29.99),"Overweight",B1276&gt;=30,"Obesity")</f>
        <v>Normalweight</v>
      </c>
      <c r="J1276" t="str" cm="1">
        <f t="array" ref="J1276">_xlfn.IFS(C1276&lt;5.7,"Normal",AND(C1276&gt;=5.7,C1276&lt;=6.49),"Prediabetes",C1276&gt;=6.5,"Diabetes")</f>
        <v>Prediabetes</v>
      </c>
    </row>
    <row r="1277" spans="1:10" x14ac:dyDescent="0.3">
      <c r="A1277" t="s">
        <v>1095</v>
      </c>
      <c r="B1277" s="8">
        <v>23.56</v>
      </c>
      <c r="C1277">
        <v>5.97</v>
      </c>
      <c r="D1277" t="s">
        <v>2379</v>
      </c>
      <c r="E1277" t="s">
        <v>2379</v>
      </c>
      <c r="F1277" t="s">
        <v>2379</v>
      </c>
      <c r="G1277">
        <v>0</v>
      </c>
      <c r="H1277" t="s">
        <v>2379</v>
      </c>
      <c r="I1277" t="str" cm="1">
        <f t="array" ref="I1277">_xlfn.IFS(B1277&lt;18.5,"Underweight",AND(B1277&gt;=18.5,B1277&lt;=24.99),"Normalweight",AND(B1277&gt;=25,B1277&lt;=29.99),"Overweight",B1277&gt;=30,"Obesity")</f>
        <v>Normalweight</v>
      </c>
      <c r="J1277" t="str" cm="1">
        <f t="array" ref="J1277">_xlfn.IFS(C1277&lt;5.7,"Normal",AND(C1277&gt;=5.7,C1277&lt;=6.49),"Prediabetes",C1277&gt;=6.5,"Diabetes")</f>
        <v>Prediabetes</v>
      </c>
    </row>
    <row r="1278" spans="1:10" x14ac:dyDescent="0.3">
      <c r="A1278" t="s">
        <v>1094</v>
      </c>
      <c r="B1278" s="8">
        <v>27.17</v>
      </c>
      <c r="C1278">
        <v>10.81</v>
      </c>
      <c r="D1278" t="s">
        <v>2379</v>
      </c>
      <c r="E1278" t="s">
        <v>2379</v>
      </c>
      <c r="F1278" t="s">
        <v>2379</v>
      </c>
      <c r="G1278">
        <v>2</v>
      </c>
      <c r="H1278" t="s">
        <v>2379</v>
      </c>
      <c r="I1278" t="str" cm="1">
        <f t="array" ref="I1278">_xlfn.IFS(B1278&lt;18.5,"Underweight",AND(B1278&gt;=18.5,B1278&lt;=24.99),"Normalweight",AND(B1278&gt;=25,B1278&lt;=29.99),"Overweight",B1278&gt;=30,"Obesity")</f>
        <v>Overweight</v>
      </c>
      <c r="J1278" t="str" cm="1">
        <f t="array" ref="J1278">_xlfn.IFS(C1278&lt;5.7,"Normal",AND(C1278&gt;=5.7,C1278&lt;=6.49),"Prediabetes",C1278&gt;=6.5,"Diabetes")</f>
        <v>Diabetes</v>
      </c>
    </row>
    <row r="1279" spans="1:10" x14ac:dyDescent="0.3">
      <c r="A1279" t="s">
        <v>1093</v>
      </c>
      <c r="B1279" s="8">
        <v>34.32</v>
      </c>
      <c r="C1279">
        <v>5.7</v>
      </c>
      <c r="D1279" t="s">
        <v>2381</v>
      </c>
      <c r="E1279" t="s">
        <v>2379</v>
      </c>
      <c r="F1279" t="s">
        <v>2381</v>
      </c>
      <c r="G1279">
        <v>1</v>
      </c>
      <c r="H1279" t="s">
        <v>2379</v>
      </c>
      <c r="I1279" t="str" cm="1">
        <f t="array" ref="I1279">_xlfn.IFS(B1279&lt;18.5,"Underweight",AND(B1279&gt;=18.5,B1279&lt;=24.99),"Normalweight",AND(B1279&gt;=25,B1279&lt;=29.99),"Overweight",B1279&gt;=30,"Obesity")</f>
        <v>Obesity</v>
      </c>
      <c r="J1279" t="str" cm="1">
        <f t="array" ref="J1279">_xlfn.IFS(C1279&lt;5.7,"Normal",AND(C1279&gt;=5.7,C1279&lt;=6.49),"Prediabetes",C1279&gt;=6.5,"Diabetes")</f>
        <v>Prediabetes</v>
      </c>
    </row>
    <row r="1280" spans="1:10" x14ac:dyDescent="0.3">
      <c r="A1280" t="s">
        <v>1092</v>
      </c>
      <c r="B1280" s="8">
        <v>23.87</v>
      </c>
      <c r="C1280">
        <v>4.7699999999999996</v>
      </c>
      <c r="D1280" t="s">
        <v>2381</v>
      </c>
      <c r="E1280" t="s">
        <v>2379</v>
      </c>
      <c r="F1280" t="s">
        <v>2381</v>
      </c>
      <c r="G1280">
        <v>1</v>
      </c>
      <c r="H1280" t="s">
        <v>2379</v>
      </c>
      <c r="I1280" t="str" cm="1">
        <f t="array" ref="I1280">_xlfn.IFS(B1280&lt;18.5,"Underweight",AND(B1280&gt;=18.5,B1280&lt;=24.99),"Normalweight",AND(B1280&gt;=25,B1280&lt;=29.99),"Overweight",B1280&gt;=30,"Obesity")</f>
        <v>Normalweight</v>
      </c>
      <c r="J1280" t="str" cm="1">
        <f t="array" ref="J1280">_xlfn.IFS(C1280&lt;5.7,"Normal",AND(C1280&gt;=5.7,C1280&lt;=6.49),"Prediabetes",C1280&gt;=6.5,"Diabetes")</f>
        <v>Normal</v>
      </c>
    </row>
    <row r="1281" spans="1:10" x14ac:dyDescent="0.3">
      <c r="A1281" t="s">
        <v>1091</v>
      </c>
      <c r="B1281" s="8">
        <v>30.15</v>
      </c>
      <c r="C1281">
        <v>4.25</v>
      </c>
      <c r="D1281" t="s">
        <v>2379</v>
      </c>
      <c r="E1281" t="s">
        <v>2379</v>
      </c>
      <c r="F1281" t="s">
        <v>2379</v>
      </c>
      <c r="G1281">
        <v>1</v>
      </c>
      <c r="H1281" t="s">
        <v>2379</v>
      </c>
      <c r="I1281" t="str" cm="1">
        <f t="array" ref="I1281">_xlfn.IFS(B1281&lt;18.5,"Underweight",AND(B1281&gt;=18.5,B1281&lt;=24.99),"Normalweight",AND(B1281&gt;=25,B1281&lt;=29.99),"Overweight",B1281&gt;=30,"Obesity")</f>
        <v>Obesity</v>
      </c>
      <c r="J1281" t="str" cm="1">
        <f t="array" ref="J1281">_xlfn.IFS(C1281&lt;5.7,"Normal",AND(C1281&gt;=5.7,C1281&lt;=6.49),"Prediabetes",C1281&gt;=6.5,"Diabetes")</f>
        <v>Normal</v>
      </c>
    </row>
    <row r="1282" spans="1:10" x14ac:dyDescent="0.3">
      <c r="A1282" t="s">
        <v>1090</v>
      </c>
      <c r="B1282" s="8">
        <v>26.36</v>
      </c>
      <c r="C1282">
        <v>5.52</v>
      </c>
      <c r="D1282" t="s">
        <v>2379</v>
      </c>
      <c r="E1282" t="s">
        <v>2379</v>
      </c>
      <c r="F1282" t="s">
        <v>2379</v>
      </c>
      <c r="G1282">
        <v>0</v>
      </c>
      <c r="H1282" t="s">
        <v>2379</v>
      </c>
      <c r="I1282" t="str" cm="1">
        <f t="array" ref="I1282">_xlfn.IFS(B1282&lt;18.5,"Underweight",AND(B1282&gt;=18.5,B1282&lt;=24.99),"Normalweight",AND(B1282&gt;=25,B1282&lt;=29.99),"Overweight",B1282&gt;=30,"Obesity")</f>
        <v>Overweight</v>
      </c>
      <c r="J1282" t="str" cm="1">
        <f t="array" ref="J1282">_xlfn.IFS(C1282&lt;5.7,"Normal",AND(C1282&gt;=5.7,C1282&lt;=6.49),"Prediabetes",C1282&gt;=6.5,"Diabetes")</f>
        <v>Normal</v>
      </c>
    </row>
    <row r="1283" spans="1:10" x14ac:dyDescent="0.3">
      <c r="A1283" t="s">
        <v>1089</v>
      </c>
      <c r="B1283" s="8">
        <v>45.32</v>
      </c>
      <c r="C1283">
        <v>6.53</v>
      </c>
      <c r="D1283" t="s">
        <v>2381</v>
      </c>
      <c r="E1283" t="s">
        <v>2379</v>
      </c>
      <c r="F1283" t="s">
        <v>2379</v>
      </c>
      <c r="G1283">
        <v>1</v>
      </c>
      <c r="H1283" t="s">
        <v>2379</v>
      </c>
      <c r="I1283" t="str" cm="1">
        <f t="array" ref="I1283">_xlfn.IFS(B1283&lt;18.5,"Underweight",AND(B1283&gt;=18.5,B1283&lt;=24.99),"Normalweight",AND(B1283&gt;=25,B1283&lt;=29.99),"Overweight",B1283&gt;=30,"Obesity")</f>
        <v>Obesity</v>
      </c>
      <c r="J1283" t="str" cm="1">
        <f t="array" ref="J1283">_xlfn.IFS(C1283&lt;5.7,"Normal",AND(C1283&gt;=5.7,C1283&lt;=6.49),"Prediabetes",C1283&gt;=6.5,"Diabetes")</f>
        <v>Diabetes</v>
      </c>
    </row>
    <row r="1284" spans="1:10" x14ac:dyDescent="0.3">
      <c r="A1284" t="s">
        <v>1088</v>
      </c>
      <c r="B1284" s="8">
        <v>31.93</v>
      </c>
      <c r="C1284">
        <v>4.82</v>
      </c>
      <c r="D1284" t="s">
        <v>2381</v>
      </c>
      <c r="E1284" t="s">
        <v>2379</v>
      </c>
      <c r="F1284" t="s">
        <v>2379</v>
      </c>
      <c r="G1284">
        <v>1</v>
      </c>
      <c r="H1284" t="s">
        <v>2379</v>
      </c>
      <c r="I1284" t="str" cm="1">
        <f t="array" ref="I1284">_xlfn.IFS(B1284&lt;18.5,"Underweight",AND(B1284&gt;=18.5,B1284&lt;=24.99),"Normalweight",AND(B1284&gt;=25,B1284&lt;=29.99),"Overweight",B1284&gt;=30,"Obesity")</f>
        <v>Obesity</v>
      </c>
      <c r="J1284" t="str" cm="1">
        <f t="array" ref="J1284">_xlfn.IFS(C1284&lt;5.7,"Normal",AND(C1284&gt;=5.7,C1284&lt;=6.49),"Prediabetes",C1284&gt;=6.5,"Diabetes")</f>
        <v>Normal</v>
      </c>
    </row>
    <row r="1285" spans="1:10" x14ac:dyDescent="0.3">
      <c r="A1285" t="s">
        <v>1087</v>
      </c>
      <c r="B1285" s="8">
        <v>36</v>
      </c>
      <c r="C1285">
        <v>11.94</v>
      </c>
      <c r="D1285" t="s">
        <v>2381</v>
      </c>
      <c r="E1285" t="s">
        <v>2379</v>
      </c>
      <c r="F1285" t="s">
        <v>2379</v>
      </c>
      <c r="G1285">
        <v>1</v>
      </c>
      <c r="H1285" t="s">
        <v>2379</v>
      </c>
      <c r="I1285" t="str" cm="1">
        <f t="array" ref="I1285">_xlfn.IFS(B1285&lt;18.5,"Underweight",AND(B1285&gt;=18.5,B1285&lt;=24.99),"Normalweight",AND(B1285&gt;=25,B1285&lt;=29.99),"Overweight",B1285&gt;=30,"Obesity")</f>
        <v>Obesity</v>
      </c>
      <c r="J1285" t="str" cm="1">
        <f t="array" ref="J1285">_xlfn.IFS(C1285&lt;5.7,"Normal",AND(C1285&gt;=5.7,C1285&lt;=6.49),"Prediabetes",C1285&gt;=6.5,"Diabetes")</f>
        <v>Diabetes</v>
      </c>
    </row>
    <row r="1286" spans="1:10" x14ac:dyDescent="0.3">
      <c r="A1286" t="s">
        <v>1086</v>
      </c>
      <c r="B1286" s="8">
        <v>32</v>
      </c>
      <c r="C1286">
        <v>7.85</v>
      </c>
      <c r="D1286" t="s">
        <v>2381</v>
      </c>
      <c r="E1286" t="s">
        <v>2379</v>
      </c>
      <c r="F1286" t="s">
        <v>2379</v>
      </c>
      <c r="G1286">
        <v>1</v>
      </c>
      <c r="H1286" t="s">
        <v>2379</v>
      </c>
      <c r="I1286" t="str" cm="1">
        <f t="array" ref="I1286">_xlfn.IFS(B1286&lt;18.5,"Underweight",AND(B1286&gt;=18.5,B1286&lt;=24.99),"Normalweight",AND(B1286&gt;=25,B1286&lt;=29.99),"Overweight",B1286&gt;=30,"Obesity")</f>
        <v>Obesity</v>
      </c>
      <c r="J1286" t="str" cm="1">
        <f t="array" ref="J1286">_xlfn.IFS(C1286&lt;5.7,"Normal",AND(C1286&gt;=5.7,C1286&lt;=6.49),"Prediabetes",C1286&gt;=6.5,"Diabetes")</f>
        <v>Diabetes</v>
      </c>
    </row>
    <row r="1287" spans="1:10" x14ac:dyDescent="0.3">
      <c r="A1287" t="s">
        <v>1085</v>
      </c>
      <c r="B1287" s="8">
        <v>29.37</v>
      </c>
      <c r="C1287">
        <v>8.01</v>
      </c>
      <c r="D1287" t="s">
        <v>2381</v>
      </c>
      <c r="E1287" t="s">
        <v>2379</v>
      </c>
      <c r="F1287" t="s">
        <v>2379</v>
      </c>
      <c r="G1287">
        <v>1</v>
      </c>
      <c r="H1287" t="s">
        <v>2379</v>
      </c>
      <c r="I1287" t="str" cm="1">
        <f t="array" ref="I1287">_xlfn.IFS(B1287&lt;18.5,"Underweight",AND(B1287&gt;=18.5,B1287&lt;=24.99),"Normalweight",AND(B1287&gt;=25,B1287&lt;=29.99),"Overweight",B1287&gt;=30,"Obesity")</f>
        <v>Overweight</v>
      </c>
      <c r="J1287" t="str" cm="1">
        <f t="array" ref="J1287">_xlfn.IFS(C1287&lt;5.7,"Normal",AND(C1287&gt;=5.7,C1287&lt;=6.49),"Prediabetes",C1287&gt;=6.5,"Diabetes")</f>
        <v>Diabetes</v>
      </c>
    </row>
    <row r="1288" spans="1:10" x14ac:dyDescent="0.3">
      <c r="A1288" t="s">
        <v>1084</v>
      </c>
      <c r="B1288" s="8">
        <v>23.6</v>
      </c>
      <c r="C1288">
        <v>7.4</v>
      </c>
      <c r="D1288" t="s">
        <v>2381</v>
      </c>
      <c r="E1288" t="s">
        <v>2379</v>
      </c>
      <c r="F1288" t="s">
        <v>2379</v>
      </c>
      <c r="G1288">
        <v>1</v>
      </c>
      <c r="H1288" t="s">
        <v>2379</v>
      </c>
      <c r="I1288" t="str" cm="1">
        <f t="array" ref="I1288">_xlfn.IFS(B1288&lt;18.5,"Underweight",AND(B1288&gt;=18.5,B1288&lt;=24.99),"Normalweight",AND(B1288&gt;=25,B1288&lt;=29.99),"Overweight",B1288&gt;=30,"Obesity")</f>
        <v>Normalweight</v>
      </c>
      <c r="J1288" t="str" cm="1">
        <f t="array" ref="J1288">_xlfn.IFS(C1288&lt;5.7,"Normal",AND(C1288&gt;=5.7,C1288&lt;=6.49),"Prediabetes",C1288&gt;=6.5,"Diabetes")</f>
        <v>Diabetes</v>
      </c>
    </row>
    <row r="1289" spans="1:10" x14ac:dyDescent="0.3">
      <c r="A1289" t="s">
        <v>1083</v>
      </c>
      <c r="B1289" s="8">
        <v>33.155000000000001</v>
      </c>
      <c r="C1289">
        <v>8.3800000000000008</v>
      </c>
      <c r="D1289" t="s">
        <v>2381</v>
      </c>
      <c r="E1289" t="s">
        <v>2379</v>
      </c>
      <c r="F1289" t="s">
        <v>2379</v>
      </c>
      <c r="G1289">
        <v>0</v>
      </c>
      <c r="H1289" t="s">
        <v>2379</v>
      </c>
      <c r="I1289" t="str" cm="1">
        <f t="array" ref="I1289">_xlfn.IFS(B1289&lt;18.5,"Underweight",AND(B1289&gt;=18.5,B1289&lt;=24.99),"Normalweight",AND(B1289&gt;=25,B1289&lt;=29.99),"Overweight",B1289&gt;=30,"Obesity")</f>
        <v>Obesity</v>
      </c>
      <c r="J1289" t="str" cm="1">
        <f t="array" ref="J1289">_xlfn.IFS(C1289&lt;5.7,"Normal",AND(C1289&gt;=5.7,C1289&lt;=6.49),"Prediabetes",C1289&gt;=6.5,"Diabetes")</f>
        <v>Diabetes</v>
      </c>
    </row>
    <row r="1290" spans="1:10" x14ac:dyDescent="0.3">
      <c r="A1290" t="s">
        <v>1082</v>
      </c>
      <c r="B1290" s="8">
        <v>24.32</v>
      </c>
      <c r="C1290">
        <v>11.56</v>
      </c>
      <c r="D1290" t="s">
        <v>2381</v>
      </c>
      <c r="E1290" t="s">
        <v>2379</v>
      </c>
      <c r="F1290" t="s">
        <v>2379</v>
      </c>
      <c r="G1290">
        <v>1</v>
      </c>
      <c r="H1290" t="s">
        <v>2379</v>
      </c>
      <c r="I1290" t="str" cm="1">
        <f t="array" ref="I1290">_xlfn.IFS(B1290&lt;18.5,"Underweight",AND(B1290&gt;=18.5,B1290&lt;=24.99),"Normalweight",AND(B1290&gt;=25,B1290&lt;=29.99),"Overweight",B1290&gt;=30,"Obesity")</f>
        <v>Normalweight</v>
      </c>
      <c r="J1290" t="str" cm="1">
        <f t="array" ref="J1290">_xlfn.IFS(C1290&lt;5.7,"Normal",AND(C1290&gt;=5.7,C1290&lt;=6.49),"Prediabetes",C1290&gt;=6.5,"Diabetes")</f>
        <v>Diabetes</v>
      </c>
    </row>
    <row r="1291" spans="1:10" x14ac:dyDescent="0.3">
      <c r="A1291" t="s">
        <v>1081</v>
      </c>
      <c r="B1291" s="8">
        <v>36.299999999999997</v>
      </c>
      <c r="C1291">
        <v>4.6100000000000003</v>
      </c>
      <c r="D1291" t="s">
        <v>2379</v>
      </c>
      <c r="E1291" t="s">
        <v>2379</v>
      </c>
      <c r="F1291" t="s">
        <v>2379</v>
      </c>
      <c r="G1291">
        <v>0</v>
      </c>
      <c r="H1291" t="s">
        <v>2379</v>
      </c>
      <c r="I1291" t="str" cm="1">
        <f t="array" ref="I1291">_xlfn.IFS(B1291&lt;18.5,"Underweight",AND(B1291&gt;=18.5,B1291&lt;=24.99),"Normalweight",AND(B1291&gt;=25,B1291&lt;=29.99),"Overweight",B1291&gt;=30,"Obesity")</f>
        <v>Obesity</v>
      </c>
      <c r="J1291" t="str" cm="1">
        <f t="array" ref="J1291">_xlfn.IFS(C1291&lt;5.7,"Normal",AND(C1291&gt;=5.7,C1291&lt;=6.49),"Prediabetes",C1291&gt;=6.5,"Diabetes")</f>
        <v>Normal</v>
      </c>
    </row>
    <row r="1292" spans="1:10" x14ac:dyDescent="0.3">
      <c r="A1292" t="s">
        <v>1080</v>
      </c>
      <c r="B1292" s="8">
        <v>34.4</v>
      </c>
      <c r="C1292">
        <v>4.95</v>
      </c>
      <c r="D1292" t="s">
        <v>2379</v>
      </c>
      <c r="E1292" t="s">
        <v>2379</v>
      </c>
      <c r="F1292" t="s">
        <v>2381</v>
      </c>
      <c r="G1292">
        <v>1</v>
      </c>
      <c r="H1292" t="s">
        <v>2379</v>
      </c>
      <c r="I1292" t="str" cm="1">
        <f t="array" ref="I1292">_xlfn.IFS(B1292&lt;18.5,"Underweight",AND(B1292&gt;=18.5,B1292&lt;=24.99),"Normalweight",AND(B1292&gt;=25,B1292&lt;=29.99),"Overweight",B1292&gt;=30,"Obesity")</f>
        <v>Obesity</v>
      </c>
      <c r="J1292" t="str" cm="1">
        <f t="array" ref="J1292">_xlfn.IFS(C1292&lt;5.7,"Normal",AND(C1292&gt;=5.7,C1292&lt;=6.49),"Prediabetes",C1292&gt;=6.5,"Diabetes")</f>
        <v>Normal</v>
      </c>
    </row>
    <row r="1293" spans="1:10" x14ac:dyDescent="0.3">
      <c r="A1293" t="s">
        <v>1079</v>
      </c>
      <c r="B1293" s="8">
        <v>30.9</v>
      </c>
      <c r="C1293">
        <v>5.04</v>
      </c>
      <c r="D1293" t="s">
        <v>2379</v>
      </c>
      <c r="E1293" t="s">
        <v>2379</v>
      </c>
      <c r="F1293" t="s">
        <v>2379</v>
      </c>
      <c r="G1293">
        <v>0</v>
      </c>
      <c r="H1293" t="s">
        <v>2379</v>
      </c>
      <c r="I1293" t="str" cm="1">
        <f t="array" ref="I1293">_xlfn.IFS(B1293&lt;18.5,"Underweight",AND(B1293&gt;=18.5,B1293&lt;=24.99),"Normalweight",AND(B1293&gt;=25,B1293&lt;=29.99),"Overweight",B1293&gt;=30,"Obesity")</f>
        <v>Obesity</v>
      </c>
      <c r="J1293" t="str" cm="1">
        <f t="array" ref="J1293">_xlfn.IFS(C1293&lt;5.7,"Normal",AND(C1293&gt;=5.7,C1293&lt;=6.49),"Prediabetes",C1293&gt;=6.5,"Diabetes")</f>
        <v>Normal</v>
      </c>
    </row>
    <row r="1294" spans="1:10" x14ac:dyDescent="0.3">
      <c r="A1294" t="s">
        <v>1078</v>
      </c>
      <c r="B1294" s="8">
        <v>28.6</v>
      </c>
      <c r="C1294">
        <v>5.42</v>
      </c>
      <c r="D1294" t="s">
        <v>2379</v>
      </c>
      <c r="E1294" t="s">
        <v>2379</v>
      </c>
      <c r="F1294" t="s">
        <v>2379</v>
      </c>
      <c r="G1294">
        <v>0</v>
      </c>
      <c r="H1294" t="s">
        <v>2379</v>
      </c>
      <c r="I1294" t="str" cm="1">
        <f t="array" ref="I1294">_xlfn.IFS(B1294&lt;18.5,"Underweight",AND(B1294&gt;=18.5,B1294&lt;=24.99),"Normalweight",AND(B1294&gt;=25,B1294&lt;=29.99),"Overweight",B1294&gt;=30,"Obesity")</f>
        <v>Overweight</v>
      </c>
      <c r="J1294" t="str" cm="1">
        <f t="array" ref="J1294">_xlfn.IFS(C1294&lt;5.7,"Normal",AND(C1294&gt;=5.7,C1294&lt;=6.49),"Prediabetes",C1294&gt;=6.5,"Diabetes")</f>
        <v>Normal</v>
      </c>
    </row>
    <row r="1295" spans="1:10" x14ac:dyDescent="0.3">
      <c r="A1295" t="s">
        <v>1077</v>
      </c>
      <c r="B1295" s="8">
        <v>27.83</v>
      </c>
      <c r="C1295">
        <v>5.39</v>
      </c>
      <c r="D1295" t="s">
        <v>2379</v>
      </c>
      <c r="E1295" t="s">
        <v>2379</v>
      </c>
      <c r="F1295" t="s">
        <v>2379</v>
      </c>
      <c r="G1295">
        <v>0</v>
      </c>
      <c r="H1295" t="s">
        <v>2379</v>
      </c>
      <c r="I1295" t="str" cm="1">
        <f t="array" ref="I1295">_xlfn.IFS(B1295&lt;18.5,"Underweight",AND(B1295&gt;=18.5,B1295&lt;=24.99),"Normalweight",AND(B1295&gt;=25,B1295&lt;=29.99),"Overweight",B1295&gt;=30,"Obesity")</f>
        <v>Overweight</v>
      </c>
      <c r="J1295" t="str" cm="1">
        <f t="array" ref="J1295">_xlfn.IFS(C1295&lt;5.7,"Normal",AND(C1295&gt;=5.7,C1295&lt;=6.49),"Prediabetes",C1295&gt;=6.5,"Diabetes")</f>
        <v>Normal</v>
      </c>
    </row>
    <row r="1296" spans="1:10" x14ac:dyDescent="0.3">
      <c r="A1296" t="s">
        <v>1076</v>
      </c>
      <c r="B1296" s="8">
        <v>39.64</v>
      </c>
      <c r="C1296">
        <v>6</v>
      </c>
      <c r="D1296" t="s">
        <v>2379</v>
      </c>
      <c r="E1296" t="s">
        <v>2379</v>
      </c>
      <c r="F1296" t="s">
        <v>2381</v>
      </c>
      <c r="G1296">
        <v>1</v>
      </c>
      <c r="H1296" t="s">
        <v>2379</v>
      </c>
      <c r="I1296" t="str" cm="1">
        <f t="array" ref="I1296">_xlfn.IFS(B1296&lt;18.5,"Underweight",AND(B1296&gt;=18.5,B1296&lt;=24.99),"Normalweight",AND(B1296&gt;=25,B1296&lt;=29.99),"Overweight",B1296&gt;=30,"Obesity")</f>
        <v>Obesity</v>
      </c>
      <c r="J1296" t="str" cm="1">
        <f t="array" ref="J1296">_xlfn.IFS(C1296&lt;5.7,"Normal",AND(C1296&gt;=5.7,C1296&lt;=6.49),"Prediabetes",C1296&gt;=6.5,"Diabetes")</f>
        <v>Prediabetes</v>
      </c>
    </row>
    <row r="1297" spans="1:10" x14ac:dyDescent="0.3">
      <c r="A1297" t="s">
        <v>1075</v>
      </c>
      <c r="B1297" s="8">
        <v>38.479999999999997</v>
      </c>
      <c r="C1297">
        <v>6.02</v>
      </c>
      <c r="D1297" t="s">
        <v>2379</v>
      </c>
      <c r="E1297" t="s">
        <v>2379</v>
      </c>
      <c r="F1297" t="s">
        <v>2379</v>
      </c>
      <c r="G1297">
        <v>1</v>
      </c>
      <c r="H1297" t="s">
        <v>2379</v>
      </c>
      <c r="I1297" t="str" cm="1">
        <f t="array" ref="I1297">_xlfn.IFS(B1297&lt;18.5,"Underweight",AND(B1297&gt;=18.5,B1297&lt;=24.99),"Normalweight",AND(B1297&gt;=25,B1297&lt;=29.99),"Overweight",B1297&gt;=30,"Obesity")</f>
        <v>Obesity</v>
      </c>
      <c r="J1297" t="str" cm="1">
        <f t="array" ref="J1297">_xlfn.IFS(C1297&lt;5.7,"Normal",AND(C1297&gt;=5.7,C1297&lt;=6.49),"Prediabetes",C1297&gt;=6.5,"Diabetes")</f>
        <v>Prediabetes</v>
      </c>
    </row>
    <row r="1298" spans="1:10" x14ac:dyDescent="0.3">
      <c r="A1298" t="s">
        <v>1074</v>
      </c>
      <c r="B1298" s="8">
        <v>36.200000000000003</v>
      </c>
      <c r="C1298">
        <v>4.62</v>
      </c>
      <c r="D1298" t="s">
        <v>2379</v>
      </c>
      <c r="E1298" t="s">
        <v>2379</v>
      </c>
      <c r="F1298" t="s">
        <v>2379</v>
      </c>
      <c r="G1298">
        <v>2</v>
      </c>
      <c r="H1298" t="s">
        <v>2379</v>
      </c>
      <c r="I1298" t="str" cm="1">
        <f t="array" ref="I1298">_xlfn.IFS(B1298&lt;18.5,"Underweight",AND(B1298&gt;=18.5,B1298&lt;=24.99),"Normalweight",AND(B1298&gt;=25,B1298&lt;=29.99),"Overweight",B1298&gt;=30,"Obesity")</f>
        <v>Obesity</v>
      </c>
      <c r="J1298" t="str" cm="1">
        <f t="array" ref="J1298">_xlfn.IFS(C1298&lt;5.7,"Normal",AND(C1298&gt;=5.7,C1298&lt;=6.49),"Prediabetes",C1298&gt;=6.5,"Diabetes")</f>
        <v>Normal</v>
      </c>
    </row>
    <row r="1299" spans="1:10" x14ac:dyDescent="0.3">
      <c r="A1299" t="s">
        <v>1073</v>
      </c>
      <c r="B1299" s="8">
        <v>27.13</v>
      </c>
      <c r="C1299">
        <v>5.59</v>
      </c>
      <c r="D1299" t="s">
        <v>2379</v>
      </c>
      <c r="E1299" t="s">
        <v>2379</v>
      </c>
      <c r="F1299" t="s">
        <v>2379</v>
      </c>
      <c r="G1299">
        <v>1</v>
      </c>
      <c r="H1299" t="s">
        <v>2379</v>
      </c>
      <c r="I1299" t="str" cm="1">
        <f t="array" ref="I1299">_xlfn.IFS(B1299&lt;18.5,"Underweight",AND(B1299&gt;=18.5,B1299&lt;=24.99),"Normalweight",AND(B1299&gt;=25,B1299&lt;=29.99),"Overweight",B1299&gt;=30,"Obesity")</f>
        <v>Overweight</v>
      </c>
      <c r="J1299" t="str" cm="1">
        <f t="array" ref="J1299">_xlfn.IFS(C1299&lt;5.7,"Normal",AND(C1299&gt;=5.7,C1299&lt;=6.49),"Prediabetes",C1299&gt;=6.5,"Diabetes")</f>
        <v>Normal</v>
      </c>
    </row>
    <row r="1300" spans="1:10" x14ac:dyDescent="0.3">
      <c r="A1300" t="s">
        <v>1072</v>
      </c>
      <c r="B1300" s="8">
        <v>20.75</v>
      </c>
      <c r="C1300">
        <v>5.18</v>
      </c>
      <c r="D1300" t="s">
        <v>2381</v>
      </c>
      <c r="E1300" t="s">
        <v>2379</v>
      </c>
      <c r="F1300" t="s">
        <v>2379</v>
      </c>
      <c r="G1300">
        <v>2</v>
      </c>
      <c r="H1300" t="s">
        <v>2379</v>
      </c>
      <c r="I1300" t="str" cm="1">
        <f t="array" ref="I1300">_xlfn.IFS(B1300&lt;18.5,"Underweight",AND(B1300&gt;=18.5,B1300&lt;=24.99),"Normalweight",AND(B1300&gt;=25,B1300&lt;=29.99),"Overweight",B1300&gt;=30,"Obesity")</f>
        <v>Normalweight</v>
      </c>
      <c r="J1300" t="str" cm="1">
        <f t="array" ref="J1300">_xlfn.IFS(C1300&lt;5.7,"Normal",AND(C1300&gt;=5.7,C1300&lt;=6.49),"Prediabetes",C1300&gt;=6.5,"Diabetes")</f>
        <v>Normal</v>
      </c>
    </row>
    <row r="1301" spans="1:10" x14ac:dyDescent="0.3">
      <c r="A1301" t="s">
        <v>1071</v>
      </c>
      <c r="B1301" s="8">
        <v>26.6</v>
      </c>
      <c r="C1301">
        <v>6.29</v>
      </c>
      <c r="D1301" t="s">
        <v>2379</v>
      </c>
      <c r="E1301" t="s">
        <v>2379</v>
      </c>
      <c r="F1301" t="s">
        <v>2379</v>
      </c>
      <c r="G1301">
        <v>2</v>
      </c>
      <c r="H1301" t="s">
        <v>2379</v>
      </c>
      <c r="I1301" t="str" cm="1">
        <f t="array" ref="I1301">_xlfn.IFS(B1301&lt;18.5,"Underweight",AND(B1301&gt;=18.5,B1301&lt;=24.99),"Normalweight",AND(B1301&gt;=25,B1301&lt;=29.99),"Overweight",B1301&gt;=30,"Obesity")</f>
        <v>Overweight</v>
      </c>
      <c r="J1301" t="str" cm="1">
        <f t="array" ref="J1301">_xlfn.IFS(C1301&lt;5.7,"Normal",AND(C1301&gt;=5.7,C1301&lt;=6.49),"Prediabetes",C1301&gt;=6.5,"Diabetes")</f>
        <v>Prediabetes</v>
      </c>
    </row>
    <row r="1302" spans="1:10" x14ac:dyDescent="0.3">
      <c r="A1302" t="s">
        <v>1070</v>
      </c>
      <c r="B1302" s="8">
        <v>25.3</v>
      </c>
      <c r="C1302">
        <v>4.49</v>
      </c>
      <c r="D1302" t="s">
        <v>2379</v>
      </c>
      <c r="E1302" t="s">
        <v>2379</v>
      </c>
      <c r="F1302" t="s">
        <v>2379</v>
      </c>
      <c r="G1302">
        <v>2</v>
      </c>
      <c r="H1302" t="s">
        <v>2379</v>
      </c>
      <c r="I1302" t="str" cm="1">
        <f t="array" ref="I1302">_xlfn.IFS(B1302&lt;18.5,"Underweight",AND(B1302&gt;=18.5,B1302&lt;=24.99),"Normalweight",AND(B1302&gt;=25,B1302&lt;=29.99),"Overweight",B1302&gt;=30,"Obesity")</f>
        <v>Overweight</v>
      </c>
      <c r="J1302" t="str" cm="1">
        <f t="array" ref="J1302">_xlfn.IFS(C1302&lt;5.7,"Normal",AND(C1302&gt;=5.7,C1302&lt;=6.49),"Prediabetes",C1302&gt;=6.5,"Diabetes")</f>
        <v>Normal</v>
      </c>
    </row>
    <row r="1303" spans="1:10" x14ac:dyDescent="0.3">
      <c r="A1303" t="s">
        <v>1069</v>
      </c>
      <c r="B1303" s="8">
        <v>18.84</v>
      </c>
      <c r="C1303">
        <v>11.82</v>
      </c>
      <c r="D1303" t="s">
        <v>2381</v>
      </c>
      <c r="E1303" t="s">
        <v>2379</v>
      </c>
      <c r="F1303" t="s">
        <v>2381</v>
      </c>
      <c r="G1303">
        <v>1</v>
      </c>
      <c r="H1303" t="s">
        <v>2379</v>
      </c>
      <c r="I1303" t="str" cm="1">
        <f t="array" ref="I1303">_xlfn.IFS(B1303&lt;18.5,"Underweight",AND(B1303&gt;=18.5,B1303&lt;=24.99),"Normalweight",AND(B1303&gt;=25,B1303&lt;=29.99),"Overweight",B1303&gt;=30,"Obesity")</f>
        <v>Normalweight</v>
      </c>
      <c r="J1303" t="str" cm="1">
        <f t="array" ref="J1303">_xlfn.IFS(C1303&lt;5.7,"Normal",AND(C1303&gt;=5.7,C1303&lt;=6.49),"Prediabetes",C1303&gt;=6.5,"Diabetes")</f>
        <v>Diabetes</v>
      </c>
    </row>
    <row r="1304" spans="1:10" x14ac:dyDescent="0.3">
      <c r="A1304" t="s">
        <v>1068</v>
      </c>
      <c r="B1304" s="8">
        <v>19.57</v>
      </c>
      <c r="C1304">
        <v>7.41</v>
      </c>
      <c r="D1304" t="s">
        <v>2381</v>
      </c>
      <c r="E1304" t="s">
        <v>2379</v>
      </c>
      <c r="F1304" t="s">
        <v>2379</v>
      </c>
      <c r="G1304">
        <v>1</v>
      </c>
      <c r="H1304" t="s">
        <v>2379</v>
      </c>
      <c r="I1304" t="str" cm="1">
        <f t="array" ref="I1304">_xlfn.IFS(B1304&lt;18.5,"Underweight",AND(B1304&gt;=18.5,B1304&lt;=24.99),"Normalweight",AND(B1304&gt;=25,B1304&lt;=29.99),"Overweight",B1304&gt;=30,"Obesity")</f>
        <v>Normalweight</v>
      </c>
      <c r="J1304" t="str" cm="1">
        <f t="array" ref="J1304">_xlfn.IFS(C1304&lt;5.7,"Normal",AND(C1304&gt;=5.7,C1304&lt;=6.49),"Prediabetes",C1304&gt;=6.5,"Diabetes")</f>
        <v>Diabetes</v>
      </c>
    </row>
    <row r="1305" spans="1:10" x14ac:dyDescent="0.3">
      <c r="A1305" t="s">
        <v>1067</v>
      </c>
      <c r="B1305" s="8">
        <v>30.495000000000001</v>
      </c>
      <c r="C1305">
        <v>5.97</v>
      </c>
      <c r="D1305" t="s">
        <v>2379</v>
      </c>
      <c r="E1305" t="s">
        <v>2379</v>
      </c>
      <c r="F1305" t="s">
        <v>2379</v>
      </c>
      <c r="G1305">
        <v>0</v>
      </c>
      <c r="H1305" t="s">
        <v>2379</v>
      </c>
      <c r="I1305" t="str" cm="1">
        <f t="array" ref="I1305">_xlfn.IFS(B1305&lt;18.5,"Underweight",AND(B1305&gt;=18.5,B1305&lt;=24.99),"Normalweight",AND(B1305&gt;=25,B1305&lt;=29.99),"Overweight",B1305&gt;=30,"Obesity")</f>
        <v>Obesity</v>
      </c>
      <c r="J1305" t="str" cm="1">
        <f t="array" ref="J1305">_xlfn.IFS(C1305&lt;5.7,"Normal",AND(C1305&gt;=5.7,C1305&lt;=6.49),"Prediabetes",C1305&gt;=6.5,"Diabetes")</f>
        <v>Prediabetes</v>
      </c>
    </row>
    <row r="1306" spans="1:10" x14ac:dyDescent="0.3">
      <c r="A1306" t="s">
        <v>1066</v>
      </c>
      <c r="B1306" s="8">
        <v>30.114999999999998</v>
      </c>
      <c r="C1306">
        <v>5.74</v>
      </c>
      <c r="D1306" t="s">
        <v>2379</v>
      </c>
      <c r="E1306" t="s">
        <v>2379</v>
      </c>
      <c r="F1306" t="s">
        <v>2381</v>
      </c>
      <c r="G1306">
        <v>1</v>
      </c>
      <c r="H1306" t="s">
        <v>2379</v>
      </c>
      <c r="I1306" t="str" cm="1">
        <f t="array" ref="I1306">_xlfn.IFS(B1306&lt;18.5,"Underweight",AND(B1306&gt;=18.5,B1306&lt;=24.99),"Normalweight",AND(B1306&gt;=25,B1306&lt;=29.99),"Overweight",B1306&gt;=30,"Obesity")</f>
        <v>Obesity</v>
      </c>
      <c r="J1306" t="str" cm="1">
        <f t="array" ref="J1306">_xlfn.IFS(C1306&lt;5.7,"Normal",AND(C1306&gt;=5.7,C1306&lt;=6.49),"Prediabetes",C1306&gt;=6.5,"Diabetes")</f>
        <v>Prediabetes</v>
      </c>
    </row>
    <row r="1307" spans="1:10" x14ac:dyDescent="0.3">
      <c r="A1307" t="s">
        <v>1065</v>
      </c>
      <c r="B1307" s="8">
        <v>24.78</v>
      </c>
      <c r="C1307">
        <v>9.85</v>
      </c>
      <c r="D1307" t="s">
        <v>2379</v>
      </c>
      <c r="E1307" t="s">
        <v>2379</v>
      </c>
      <c r="F1307" t="s">
        <v>2379</v>
      </c>
      <c r="G1307">
        <v>0</v>
      </c>
      <c r="H1307" t="s">
        <v>2379</v>
      </c>
      <c r="I1307" t="str" cm="1">
        <f t="array" ref="I1307">_xlfn.IFS(B1307&lt;18.5,"Underweight",AND(B1307&gt;=18.5,B1307&lt;=24.99),"Normalweight",AND(B1307&gt;=25,B1307&lt;=29.99),"Overweight",B1307&gt;=30,"Obesity")</f>
        <v>Normalweight</v>
      </c>
      <c r="J1307" t="str" cm="1">
        <f t="array" ref="J1307">_xlfn.IFS(C1307&lt;5.7,"Normal",AND(C1307&gt;=5.7,C1307&lt;=6.49),"Prediabetes",C1307&gt;=6.5,"Diabetes")</f>
        <v>Diabetes</v>
      </c>
    </row>
    <row r="1308" spans="1:10" x14ac:dyDescent="0.3">
      <c r="A1308" t="s">
        <v>1064</v>
      </c>
      <c r="B1308" s="8">
        <v>24.77</v>
      </c>
      <c r="C1308">
        <v>7.59</v>
      </c>
      <c r="D1308" t="s">
        <v>2379</v>
      </c>
      <c r="E1308" t="s">
        <v>2379</v>
      </c>
      <c r="F1308" t="s">
        <v>2379</v>
      </c>
      <c r="G1308">
        <v>0</v>
      </c>
      <c r="H1308" t="s">
        <v>2379</v>
      </c>
      <c r="I1308" t="str" cm="1">
        <f t="array" ref="I1308">_xlfn.IFS(B1308&lt;18.5,"Underweight",AND(B1308&gt;=18.5,B1308&lt;=24.99),"Normalweight",AND(B1308&gt;=25,B1308&lt;=29.99),"Overweight",B1308&gt;=30,"Obesity")</f>
        <v>Normalweight</v>
      </c>
      <c r="J1308" t="str" cm="1">
        <f t="array" ref="J1308">_xlfn.IFS(C1308&lt;5.7,"Normal",AND(C1308&gt;=5.7,C1308&lt;=6.49),"Prediabetes",C1308&gt;=6.5,"Diabetes")</f>
        <v>Diabetes</v>
      </c>
    </row>
    <row r="1309" spans="1:10" x14ac:dyDescent="0.3">
      <c r="A1309" t="s">
        <v>1063</v>
      </c>
      <c r="B1309" s="8">
        <v>16.579999999999998</v>
      </c>
      <c r="C1309">
        <v>6.98</v>
      </c>
      <c r="D1309" t="s">
        <v>2381</v>
      </c>
      <c r="E1309" t="s">
        <v>2379</v>
      </c>
      <c r="F1309" t="s">
        <v>2381</v>
      </c>
      <c r="G1309">
        <v>1</v>
      </c>
      <c r="H1309" t="s">
        <v>2379</v>
      </c>
      <c r="I1309" t="str" cm="1">
        <f t="array" ref="I1309">_xlfn.IFS(B1309&lt;18.5,"Underweight",AND(B1309&gt;=18.5,B1309&lt;=24.99),"Normalweight",AND(B1309&gt;=25,B1309&lt;=29.99),"Overweight",B1309&gt;=30,"Obesity")</f>
        <v>Underweight</v>
      </c>
      <c r="J1309" t="str" cm="1">
        <f t="array" ref="J1309">_xlfn.IFS(C1309&lt;5.7,"Normal",AND(C1309&gt;=5.7,C1309&lt;=6.49),"Prediabetes",C1309&gt;=6.5,"Diabetes")</f>
        <v>Diabetes</v>
      </c>
    </row>
    <row r="1310" spans="1:10" x14ac:dyDescent="0.3">
      <c r="A1310" t="s">
        <v>1062</v>
      </c>
      <c r="B1310" s="8">
        <v>38.17</v>
      </c>
      <c r="C1310">
        <v>4.7300000000000004</v>
      </c>
      <c r="D1310" t="s">
        <v>2381</v>
      </c>
      <c r="E1310" t="s">
        <v>2379</v>
      </c>
      <c r="F1310" t="s">
        <v>2379</v>
      </c>
      <c r="G1310">
        <v>0</v>
      </c>
      <c r="H1310" t="s">
        <v>2379</v>
      </c>
      <c r="I1310" t="str" cm="1">
        <f t="array" ref="I1310">_xlfn.IFS(B1310&lt;18.5,"Underweight",AND(B1310&gt;=18.5,B1310&lt;=24.99),"Normalweight",AND(B1310&gt;=25,B1310&lt;=29.99),"Overweight",B1310&gt;=30,"Obesity")</f>
        <v>Obesity</v>
      </c>
      <c r="J1310" t="str" cm="1">
        <f t="array" ref="J1310">_xlfn.IFS(C1310&lt;5.7,"Normal",AND(C1310&gt;=5.7,C1310&lt;=6.49),"Prediabetes",C1310&gt;=6.5,"Diabetes")</f>
        <v>Normal</v>
      </c>
    </row>
    <row r="1311" spans="1:10" x14ac:dyDescent="0.3">
      <c r="A1311" t="s">
        <v>1061</v>
      </c>
      <c r="B1311" s="8">
        <v>39.424999999999997</v>
      </c>
      <c r="C1311">
        <v>4.76</v>
      </c>
      <c r="D1311" t="s">
        <v>2381</v>
      </c>
      <c r="E1311" t="s">
        <v>2379</v>
      </c>
      <c r="F1311" t="s">
        <v>2379</v>
      </c>
      <c r="G1311">
        <v>0</v>
      </c>
      <c r="H1311" t="s">
        <v>2379</v>
      </c>
      <c r="I1311" t="str" cm="1">
        <f t="array" ref="I1311">_xlfn.IFS(B1311&lt;18.5,"Underweight",AND(B1311&gt;=18.5,B1311&lt;=24.99),"Normalweight",AND(B1311&gt;=25,B1311&lt;=29.99),"Overweight",B1311&gt;=30,"Obesity")</f>
        <v>Obesity</v>
      </c>
      <c r="J1311" t="str" cm="1">
        <f t="array" ref="J1311">_xlfn.IFS(C1311&lt;5.7,"Normal",AND(C1311&gt;=5.7,C1311&lt;=6.49),"Prediabetes",C1311&gt;=6.5,"Diabetes")</f>
        <v>Normal</v>
      </c>
    </row>
    <row r="1312" spans="1:10" x14ac:dyDescent="0.3">
      <c r="A1312" t="s">
        <v>1060</v>
      </c>
      <c r="B1312" s="8">
        <v>33.44</v>
      </c>
      <c r="C1312">
        <v>6.24</v>
      </c>
      <c r="D1312" t="s">
        <v>2381</v>
      </c>
      <c r="E1312" t="s">
        <v>2379</v>
      </c>
      <c r="F1312" t="s">
        <v>2379</v>
      </c>
      <c r="G1312">
        <v>0</v>
      </c>
      <c r="H1312" t="s">
        <v>2379</v>
      </c>
      <c r="I1312" t="str" cm="1">
        <f t="array" ref="I1312">_xlfn.IFS(B1312&lt;18.5,"Underweight",AND(B1312&gt;=18.5,B1312&lt;=24.99),"Normalweight",AND(B1312&gt;=25,B1312&lt;=29.99),"Overweight",B1312&gt;=30,"Obesity")</f>
        <v>Obesity</v>
      </c>
      <c r="J1312" t="str" cm="1">
        <f t="array" ref="J1312">_xlfn.IFS(C1312&lt;5.7,"Normal",AND(C1312&gt;=5.7,C1312&lt;=6.49),"Prediabetes",C1312&gt;=6.5,"Diabetes")</f>
        <v>Prediabetes</v>
      </c>
    </row>
    <row r="1313" spans="1:10" x14ac:dyDescent="0.3">
      <c r="A1313" t="s">
        <v>1059</v>
      </c>
      <c r="B1313" s="8">
        <v>33.344999999999999</v>
      </c>
      <c r="C1313">
        <v>5.44</v>
      </c>
      <c r="D1313" t="s">
        <v>2381</v>
      </c>
      <c r="E1313" t="s">
        <v>2379</v>
      </c>
      <c r="F1313" t="s">
        <v>2379</v>
      </c>
      <c r="G1313">
        <v>0</v>
      </c>
      <c r="H1313" t="s">
        <v>2379</v>
      </c>
      <c r="I1313" t="str" cm="1">
        <f t="array" ref="I1313">_xlfn.IFS(B1313&lt;18.5,"Underweight",AND(B1313&gt;=18.5,B1313&lt;=24.99),"Normalweight",AND(B1313&gt;=25,B1313&lt;=29.99),"Overweight",B1313&gt;=30,"Obesity")</f>
        <v>Obesity</v>
      </c>
      <c r="J1313" t="str" cm="1">
        <f t="array" ref="J1313">_xlfn.IFS(C1313&lt;5.7,"Normal",AND(C1313&gt;=5.7,C1313&lt;=6.49),"Prediabetes",C1313&gt;=6.5,"Diabetes")</f>
        <v>Normal</v>
      </c>
    </row>
    <row r="1314" spans="1:10" x14ac:dyDescent="0.3">
      <c r="A1314" t="s">
        <v>1058</v>
      </c>
      <c r="B1314" s="8">
        <v>38.79</v>
      </c>
      <c r="C1314">
        <v>5.08</v>
      </c>
      <c r="D1314" t="s">
        <v>2379</v>
      </c>
      <c r="E1314" t="s">
        <v>2379</v>
      </c>
      <c r="F1314" t="s">
        <v>2381</v>
      </c>
      <c r="G1314">
        <v>1</v>
      </c>
      <c r="H1314" t="s">
        <v>2379</v>
      </c>
      <c r="I1314" t="str" cm="1">
        <f t="array" ref="I1314">_xlfn.IFS(B1314&lt;18.5,"Underweight",AND(B1314&gt;=18.5,B1314&lt;=24.99),"Normalweight",AND(B1314&gt;=25,B1314&lt;=29.99),"Overweight",B1314&gt;=30,"Obesity")</f>
        <v>Obesity</v>
      </c>
      <c r="J1314" t="str" cm="1">
        <f t="array" ref="J1314">_xlfn.IFS(C1314&lt;5.7,"Normal",AND(C1314&gt;=5.7,C1314&lt;=6.49),"Prediabetes",C1314&gt;=6.5,"Diabetes")</f>
        <v>Normal</v>
      </c>
    </row>
    <row r="1315" spans="1:10" x14ac:dyDescent="0.3">
      <c r="A1315" t="s">
        <v>1057</v>
      </c>
      <c r="B1315" s="8">
        <v>30.684999999999999</v>
      </c>
      <c r="C1315">
        <v>4.87</v>
      </c>
      <c r="D1315" t="s">
        <v>2379</v>
      </c>
      <c r="E1315" t="s">
        <v>2379</v>
      </c>
      <c r="F1315" t="s">
        <v>2381</v>
      </c>
      <c r="G1315">
        <v>1</v>
      </c>
      <c r="H1315" t="s">
        <v>2379</v>
      </c>
      <c r="I1315" t="str" cm="1">
        <f t="array" ref="I1315">_xlfn.IFS(B1315&lt;18.5,"Underweight",AND(B1315&gt;=18.5,B1315&lt;=24.99),"Normalweight",AND(B1315&gt;=25,B1315&lt;=29.99),"Overweight",B1315&gt;=30,"Obesity")</f>
        <v>Obesity</v>
      </c>
      <c r="J1315" t="str" cm="1">
        <f t="array" ref="J1315">_xlfn.IFS(C1315&lt;5.7,"Normal",AND(C1315&gt;=5.7,C1315&lt;=6.49),"Prediabetes",C1315&gt;=6.5,"Diabetes")</f>
        <v>Normal</v>
      </c>
    </row>
    <row r="1316" spans="1:10" x14ac:dyDescent="0.3">
      <c r="A1316" t="s">
        <v>1056</v>
      </c>
      <c r="B1316" s="8">
        <v>22.135000000000002</v>
      </c>
      <c r="C1316">
        <v>8.17</v>
      </c>
      <c r="D1316" t="s">
        <v>2379</v>
      </c>
      <c r="E1316" t="s">
        <v>2379</v>
      </c>
      <c r="F1316" t="s">
        <v>2379</v>
      </c>
      <c r="G1316">
        <v>0</v>
      </c>
      <c r="H1316" t="s">
        <v>2379</v>
      </c>
      <c r="I1316" t="str" cm="1">
        <f t="array" ref="I1316">_xlfn.IFS(B1316&lt;18.5,"Underweight",AND(B1316&gt;=18.5,B1316&lt;=24.99),"Normalweight",AND(B1316&gt;=25,B1316&lt;=29.99),"Overweight",B1316&gt;=30,"Obesity")</f>
        <v>Normalweight</v>
      </c>
      <c r="J1316" t="str" cm="1">
        <f t="array" ref="J1316">_xlfn.IFS(C1316&lt;5.7,"Normal",AND(C1316&gt;=5.7,C1316&lt;=6.49),"Prediabetes",C1316&gt;=6.5,"Diabetes")</f>
        <v>Diabetes</v>
      </c>
    </row>
    <row r="1317" spans="1:10" x14ac:dyDescent="0.3">
      <c r="A1317" t="s">
        <v>1055</v>
      </c>
      <c r="B1317" s="8">
        <v>33.33</v>
      </c>
      <c r="C1317">
        <v>7.61</v>
      </c>
      <c r="D1317" t="s">
        <v>2379</v>
      </c>
      <c r="E1317" t="s">
        <v>2379</v>
      </c>
      <c r="F1317" t="s">
        <v>2379</v>
      </c>
      <c r="G1317">
        <v>0</v>
      </c>
      <c r="H1317" t="s">
        <v>2379</v>
      </c>
      <c r="I1317" t="str" cm="1">
        <f t="array" ref="I1317">_xlfn.IFS(B1317&lt;18.5,"Underweight",AND(B1317&gt;=18.5,B1317&lt;=24.99),"Normalweight",AND(B1317&gt;=25,B1317&lt;=29.99),"Overweight",B1317&gt;=30,"Obesity")</f>
        <v>Obesity</v>
      </c>
      <c r="J1317" t="str" cm="1">
        <f t="array" ref="J1317">_xlfn.IFS(C1317&lt;5.7,"Normal",AND(C1317&gt;=5.7,C1317&lt;=6.49),"Prediabetes",C1317&gt;=6.5,"Diabetes")</f>
        <v>Diabetes</v>
      </c>
    </row>
    <row r="1318" spans="1:10" x14ac:dyDescent="0.3">
      <c r="A1318" t="s">
        <v>1054</v>
      </c>
      <c r="B1318" s="8">
        <v>31.13</v>
      </c>
      <c r="C1318">
        <v>10.1</v>
      </c>
      <c r="D1318" t="s">
        <v>2379</v>
      </c>
      <c r="E1318" t="s">
        <v>2379</v>
      </c>
      <c r="F1318" t="s">
        <v>2379</v>
      </c>
      <c r="G1318">
        <v>0</v>
      </c>
      <c r="H1318" t="s">
        <v>2379</v>
      </c>
      <c r="I1318" t="str" cm="1">
        <f t="array" ref="I1318">_xlfn.IFS(B1318&lt;18.5,"Underweight",AND(B1318&gt;=18.5,B1318&lt;=24.99),"Normalweight",AND(B1318&gt;=25,B1318&lt;=29.99),"Overweight",B1318&gt;=30,"Obesity")</f>
        <v>Obesity</v>
      </c>
      <c r="J1318" t="str" cm="1">
        <f t="array" ref="J1318">_xlfn.IFS(C1318&lt;5.7,"Normal",AND(C1318&gt;=5.7,C1318&lt;=6.49),"Prediabetes",C1318&gt;=6.5,"Diabetes")</f>
        <v>Diabetes</v>
      </c>
    </row>
    <row r="1319" spans="1:10" x14ac:dyDescent="0.3">
      <c r="A1319" t="s">
        <v>1053</v>
      </c>
      <c r="B1319" s="8">
        <v>28.9</v>
      </c>
      <c r="C1319">
        <v>11.24</v>
      </c>
      <c r="D1319" t="s">
        <v>2379</v>
      </c>
      <c r="E1319" t="s">
        <v>2379</v>
      </c>
      <c r="F1319" t="s">
        <v>2379</v>
      </c>
      <c r="G1319">
        <v>0</v>
      </c>
      <c r="H1319" t="s">
        <v>2379</v>
      </c>
      <c r="I1319" t="str" cm="1">
        <f t="array" ref="I1319">_xlfn.IFS(B1319&lt;18.5,"Underweight",AND(B1319&gt;=18.5,B1319&lt;=24.99),"Normalweight",AND(B1319&gt;=25,B1319&lt;=29.99),"Overweight",B1319&gt;=30,"Obesity")</f>
        <v>Overweight</v>
      </c>
      <c r="J1319" t="str" cm="1">
        <f t="array" ref="J1319">_xlfn.IFS(C1319&lt;5.7,"Normal",AND(C1319&gt;=5.7,C1319&lt;=6.49),"Prediabetes",C1319&gt;=6.5,"Diabetes")</f>
        <v>Diabetes</v>
      </c>
    </row>
    <row r="1320" spans="1:10" x14ac:dyDescent="0.3">
      <c r="A1320" t="s">
        <v>1052</v>
      </c>
      <c r="B1320" s="8">
        <v>43.31</v>
      </c>
      <c r="C1320">
        <v>6.1</v>
      </c>
      <c r="D1320" t="s">
        <v>2381</v>
      </c>
      <c r="E1320" t="s">
        <v>2380</v>
      </c>
      <c r="F1320" t="s">
        <v>2379</v>
      </c>
      <c r="G1320">
        <v>1</v>
      </c>
      <c r="H1320" t="s">
        <v>2379</v>
      </c>
      <c r="I1320" t="str" cm="1">
        <f t="array" ref="I1320">_xlfn.IFS(B1320&lt;18.5,"Underweight",AND(B1320&gt;=18.5,B1320&lt;=24.99),"Normalweight",AND(B1320&gt;=25,B1320&lt;=29.99),"Overweight",B1320&gt;=30,"Obesity")</f>
        <v>Obesity</v>
      </c>
      <c r="J1320" t="str" cm="1">
        <f t="array" ref="J1320">_xlfn.IFS(C1320&lt;5.7,"Normal",AND(C1320&gt;=5.7,C1320&lt;=6.49),"Prediabetes",C1320&gt;=6.5,"Diabetes")</f>
        <v>Prediabetes</v>
      </c>
    </row>
    <row r="1321" spans="1:10" x14ac:dyDescent="0.3">
      <c r="A1321" t="s">
        <v>1051</v>
      </c>
      <c r="B1321" s="8">
        <v>22.8</v>
      </c>
      <c r="C1321">
        <v>6.98</v>
      </c>
      <c r="D1321" t="s">
        <v>2379</v>
      </c>
      <c r="E1321" t="s">
        <v>2379</v>
      </c>
      <c r="F1321" t="s">
        <v>2379</v>
      </c>
      <c r="G1321">
        <v>0</v>
      </c>
      <c r="H1321" t="s">
        <v>2379</v>
      </c>
      <c r="I1321" t="str" cm="1">
        <f t="array" ref="I1321">_xlfn.IFS(B1321&lt;18.5,"Underweight",AND(B1321&gt;=18.5,B1321&lt;=24.99),"Normalweight",AND(B1321&gt;=25,B1321&lt;=29.99),"Overweight",B1321&gt;=30,"Obesity")</f>
        <v>Normalweight</v>
      </c>
      <c r="J1321" t="str" cm="1">
        <f t="array" ref="J1321">_xlfn.IFS(C1321&lt;5.7,"Normal",AND(C1321&gt;=5.7,C1321&lt;=6.49),"Prediabetes",C1321&gt;=6.5,"Diabetes")</f>
        <v>Diabetes</v>
      </c>
    </row>
    <row r="1322" spans="1:10" x14ac:dyDescent="0.3">
      <c r="A1322" t="s">
        <v>1050</v>
      </c>
      <c r="B1322" s="8">
        <v>19.09</v>
      </c>
      <c r="C1322">
        <v>4</v>
      </c>
      <c r="D1322" t="s">
        <v>2381</v>
      </c>
      <c r="E1322" t="s">
        <v>2379</v>
      </c>
      <c r="F1322" t="s">
        <v>2379</v>
      </c>
      <c r="G1322">
        <v>1</v>
      </c>
      <c r="H1322" t="s">
        <v>2379</v>
      </c>
      <c r="I1322" t="str" cm="1">
        <f t="array" ref="I1322">_xlfn.IFS(B1322&lt;18.5,"Underweight",AND(B1322&gt;=18.5,B1322&lt;=24.99),"Normalweight",AND(B1322&gt;=25,B1322&lt;=29.99),"Overweight",B1322&gt;=30,"Obesity")</f>
        <v>Normalweight</v>
      </c>
      <c r="J1322" t="str" cm="1">
        <f t="array" ref="J1322">_xlfn.IFS(C1322&lt;5.7,"Normal",AND(C1322&gt;=5.7,C1322&lt;=6.49),"Prediabetes",C1322&gt;=6.5,"Diabetes")</f>
        <v>Normal</v>
      </c>
    </row>
    <row r="1323" spans="1:10" x14ac:dyDescent="0.3">
      <c r="A1323" t="s">
        <v>1049</v>
      </c>
      <c r="B1323" s="8">
        <v>23.37</v>
      </c>
      <c r="C1323">
        <v>4.2300000000000004</v>
      </c>
      <c r="D1323" t="s">
        <v>2379</v>
      </c>
      <c r="E1323" t="s">
        <v>2379</v>
      </c>
      <c r="F1323" t="s">
        <v>2379</v>
      </c>
      <c r="G1323">
        <v>0</v>
      </c>
      <c r="H1323" t="s">
        <v>2379</v>
      </c>
      <c r="I1323" t="str" cm="1">
        <f t="array" ref="I1323">_xlfn.IFS(B1323&lt;18.5,"Underweight",AND(B1323&gt;=18.5,B1323&lt;=24.99),"Normalweight",AND(B1323&gt;=25,B1323&lt;=29.99),"Overweight",B1323&gt;=30,"Obesity")</f>
        <v>Normalweight</v>
      </c>
      <c r="J1323" t="str" cm="1">
        <f t="array" ref="J1323">_xlfn.IFS(C1323&lt;5.7,"Normal",AND(C1323&gt;=5.7,C1323&lt;=6.49),"Prediabetes",C1323&gt;=6.5,"Diabetes")</f>
        <v>Normal</v>
      </c>
    </row>
    <row r="1324" spans="1:10" x14ac:dyDescent="0.3">
      <c r="A1324" t="s">
        <v>1048</v>
      </c>
      <c r="B1324" s="8">
        <v>33.44</v>
      </c>
      <c r="C1324">
        <v>4.72</v>
      </c>
      <c r="D1324" t="s">
        <v>2381</v>
      </c>
      <c r="E1324" t="s">
        <v>2379</v>
      </c>
      <c r="F1324" t="s">
        <v>2379</v>
      </c>
      <c r="G1324">
        <v>0</v>
      </c>
      <c r="H1324" t="s">
        <v>2379</v>
      </c>
      <c r="I1324" t="str" cm="1">
        <f t="array" ref="I1324">_xlfn.IFS(B1324&lt;18.5,"Underweight",AND(B1324&gt;=18.5,B1324&lt;=24.99),"Normalweight",AND(B1324&gt;=25,B1324&lt;=29.99),"Overweight",B1324&gt;=30,"Obesity")</f>
        <v>Obesity</v>
      </c>
      <c r="J1324" t="str" cm="1">
        <f t="array" ref="J1324">_xlfn.IFS(C1324&lt;5.7,"Normal",AND(C1324&gt;=5.7,C1324&lt;=6.49),"Prediabetes",C1324&gt;=6.5,"Diabetes")</f>
        <v>Normal</v>
      </c>
    </row>
    <row r="1325" spans="1:10" x14ac:dyDescent="0.3">
      <c r="A1325" t="s">
        <v>1047</v>
      </c>
      <c r="B1325" s="8">
        <v>28.05</v>
      </c>
      <c r="C1325">
        <v>5.63</v>
      </c>
      <c r="D1325" t="s">
        <v>2381</v>
      </c>
      <c r="E1325" t="s">
        <v>2379</v>
      </c>
      <c r="F1325" t="s">
        <v>2379</v>
      </c>
      <c r="G1325">
        <v>0</v>
      </c>
      <c r="H1325" t="s">
        <v>2379</v>
      </c>
      <c r="I1325" t="str" cm="1">
        <f t="array" ref="I1325">_xlfn.IFS(B1325&lt;18.5,"Underweight",AND(B1325&gt;=18.5,B1325&lt;=24.99),"Normalweight",AND(B1325&gt;=25,B1325&lt;=29.99),"Overweight",B1325&gt;=30,"Obesity")</f>
        <v>Overweight</v>
      </c>
      <c r="J1325" t="str" cm="1">
        <f t="array" ref="J1325">_xlfn.IFS(C1325&lt;5.7,"Normal",AND(C1325&gt;=5.7,C1325&lt;=6.49),"Prediabetes",C1325&gt;=6.5,"Diabetes")</f>
        <v>Normal</v>
      </c>
    </row>
    <row r="1326" spans="1:10" x14ac:dyDescent="0.3">
      <c r="A1326" t="s">
        <v>1046</v>
      </c>
      <c r="B1326" s="8">
        <v>27.72</v>
      </c>
      <c r="C1326">
        <v>5.83</v>
      </c>
      <c r="D1326" t="s">
        <v>2381</v>
      </c>
      <c r="E1326" t="s">
        <v>2379</v>
      </c>
      <c r="F1326" t="s">
        <v>2379</v>
      </c>
      <c r="G1326">
        <v>0</v>
      </c>
      <c r="H1326" t="s">
        <v>2379</v>
      </c>
      <c r="I1326" t="str" cm="1">
        <f t="array" ref="I1326">_xlfn.IFS(B1326&lt;18.5,"Underweight",AND(B1326&gt;=18.5,B1326&lt;=24.99),"Normalweight",AND(B1326&gt;=25,B1326&lt;=29.99),"Overweight",B1326&gt;=30,"Obesity")</f>
        <v>Overweight</v>
      </c>
      <c r="J1326" t="str" cm="1">
        <f t="array" ref="J1326">_xlfn.IFS(C1326&lt;5.7,"Normal",AND(C1326&gt;=5.7,C1326&lt;=6.49),"Prediabetes",C1326&gt;=6.5,"Diabetes")</f>
        <v>Prediabetes</v>
      </c>
    </row>
    <row r="1327" spans="1:10" x14ac:dyDescent="0.3">
      <c r="A1327" t="s">
        <v>1045</v>
      </c>
      <c r="B1327" s="8">
        <v>29.81</v>
      </c>
      <c r="C1327">
        <v>9.23</v>
      </c>
      <c r="D1327" t="s">
        <v>2379</v>
      </c>
      <c r="E1327" t="s">
        <v>2379</v>
      </c>
      <c r="F1327" t="s">
        <v>2379</v>
      </c>
      <c r="G1327">
        <v>0</v>
      </c>
      <c r="H1327" t="s">
        <v>2379</v>
      </c>
      <c r="I1327" t="str" cm="1">
        <f t="array" ref="I1327">_xlfn.IFS(B1327&lt;18.5,"Underweight",AND(B1327&gt;=18.5,B1327&lt;=24.99),"Normalweight",AND(B1327&gt;=25,B1327&lt;=29.99),"Overweight",B1327&gt;=30,"Obesity")</f>
        <v>Overweight</v>
      </c>
      <c r="J1327" t="str" cm="1">
        <f t="array" ref="J1327">_xlfn.IFS(C1327&lt;5.7,"Normal",AND(C1327&gt;=5.7,C1327&lt;=6.49),"Prediabetes",C1327&gt;=6.5,"Diabetes")</f>
        <v>Diabetes</v>
      </c>
    </row>
    <row r="1328" spans="1:10" x14ac:dyDescent="0.3">
      <c r="A1328" t="s">
        <v>1044</v>
      </c>
      <c r="B1328" s="8">
        <v>23.98</v>
      </c>
      <c r="C1328">
        <v>9.89</v>
      </c>
      <c r="D1328" t="s">
        <v>2379</v>
      </c>
      <c r="E1328" t="s">
        <v>2379</v>
      </c>
      <c r="F1328" t="s">
        <v>2379</v>
      </c>
      <c r="G1328">
        <v>0</v>
      </c>
      <c r="H1328" t="s">
        <v>2379</v>
      </c>
      <c r="I1328" t="str" cm="1">
        <f t="array" ref="I1328">_xlfn.IFS(B1328&lt;18.5,"Underweight",AND(B1328&gt;=18.5,B1328&lt;=24.99),"Normalweight",AND(B1328&gt;=25,B1328&lt;=29.99),"Overweight",B1328&gt;=30,"Obesity")</f>
        <v>Normalweight</v>
      </c>
      <c r="J1328" t="str" cm="1">
        <f t="array" ref="J1328">_xlfn.IFS(C1328&lt;5.7,"Normal",AND(C1328&gt;=5.7,C1328&lt;=6.49),"Prediabetes",C1328&gt;=6.5,"Diabetes")</f>
        <v>Diabetes</v>
      </c>
    </row>
    <row r="1329" spans="1:10" x14ac:dyDescent="0.3">
      <c r="A1329" t="s">
        <v>1043</v>
      </c>
      <c r="B1329" s="8">
        <v>17.34</v>
      </c>
      <c r="C1329">
        <v>12</v>
      </c>
      <c r="D1329" t="s">
        <v>2379</v>
      </c>
      <c r="E1329" t="s">
        <v>2379</v>
      </c>
      <c r="F1329" t="s">
        <v>2379</v>
      </c>
      <c r="G1329">
        <v>0</v>
      </c>
      <c r="H1329" t="s">
        <v>2379</v>
      </c>
      <c r="I1329" t="str" cm="1">
        <f t="array" ref="I1329">_xlfn.IFS(B1329&lt;18.5,"Underweight",AND(B1329&gt;=18.5,B1329&lt;=24.99),"Normalweight",AND(B1329&gt;=25,B1329&lt;=29.99),"Overweight",B1329&gt;=30,"Obesity")</f>
        <v>Underweight</v>
      </c>
      <c r="J1329" t="str" cm="1">
        <f t="array" ref="J1329">_xlfn.IFS(C1329&lt;5.7,"Normal",AND(C1329&gt;=5.7,C1329&lt;=6.49),"Prediabetes",C1329&gt;=6.5,"Diabetes")</f>
        <v>Diabetes</v>
      </c>
    </row>
    <row r="1330" spans="1:10" x14ac:dyDescent="0.3">
      <c r="A1330" t="s">
        <v>1042</v>
      </c>
      <c r="B1330" s="8">
        <v>40.39</v>
      </c>
      <c r="C1330">
        <v>4.24</v>
      </c>
      <c r="D1330" t="s">
        <v>2381</v>
      </c>
      <c r="E1330" t="s">
        <v>2379</v>
      </c>
      <c r="F1330" t="s">
        <v>2381</v>
      </c>
      <c r="G1330">
        <v>1</v>
      </c>
      <c r="H1330" t="s">
        <v>2379</v>
      </c>
      <c r="I1330" t="str" cm="1">
        <f t="array" ref="I1330">_xlfn.IFS(B1330&lt;18.5,"Underweight",AND(B1330&gt;=18.5,B1330&lt;=24.99),"Normalweight",AND(B1330&gt;=25,B1330&lt;=29.99),"Overweight",B1330&gt;=30,"Obesity")</f>
        <v>Obesity</v>
      </c>
      <c r="J1330" t="str" cm="1">
        <f t="array" ref="J1330">_xlfn.IFS(C1330&lt;5.7,"Normal",AND(C1330&gt;=5.7,C1330&lt;=6.49),"Prediabetes",C1330&gt;=6.5,"Diabetes")</f>
        <v>Normal</v>
      </c>
    </row>
    <row r="1331" spans="1:10" x14ac:dyDescent="0.3">
      <c r="A1331" t="s">
        <v>1041</v>
      </c>
      <c r="B1331" s="8">
        <v>25.96</v>
      </c>
      <c r="C1331">
        <v>4.68</v>
      </c>
      <c r="D1331" t="s">
        <v>2381</v>
      </c>
      <c r="E1331" t="s">
        <v>2379</v>
      </c>
      <c r="F1331" t="s">
        <v>2381</v>
      </c>
      <c r="G1331">
        <v>1</v>
      </c>
      <c r="H1331" t="s">
        <v>2379</v>
      </c>
      <c r="I1331" t="str" cm="1">
        <f t="array" ref="I1331">_xlfn.IFS(B1331&lt;18.5,"Underweight",AND(B1331&gt;=18.5,B1331&lt;=24.99),"Normalweight",AND(B1331&gt;=25,B1331&lt;=29.99),"Overweight",B1331&gt;=30,"Obesity")</f>
        <v>Overweight</v>
      </c>
      <c r="J1331" t="str" cm="1">
        <f t="array" ref="J1331">_xlfn.IFS(C1331&lt;5.7,"Normal",AND(C1331&gt;=5.7,C1331&lt;=6.49),"Prediabetes",C1331&gt;=6.5,"Diabetes")</f>
        <v>Normal</v>
      </c>
    </row>
    <row r="1332" spans="1:10" x14ac:dyDescent="0.3">
      <c r="A1332" t="s">
        <v>1040</v>
      </c>
      <c r="B1332" s="8">
        <v>17.68</v>
      </c>
      <c r="C1332">
        <v>8.57</v>
      </c>
      <c r="D1332" t="s">
        <v>2381</v>
      </c>
      <c r="E1332" t="s">
        <v>2379</v>
      </c>
      <c r="F1332" t="s">
        <v>2381</v>
      </c>
      <c r="G1332">
        <v>1</v>
      </c>
      <c r="H1332" t="s">
        <v>2379</v>
      </c>
      <c r="I1332" t="str" cm="1">
        <f t="array" ref="I1332">_xlfn.IFS(B1332&lt;18.5,"Underweight",AND(B1332&gt;=18.5,B1332&lt;=24.99),"Normalweight",AND(B1332&gt;=25,B1332&lt;=29.99),"Overweight",B1332&gt;=30,"Obesity")</f>
        <v>Underweight</v>
      </c>
      <c r="J1332" t="str" cm="1">
        <f t="array" ref="J1332">_xlfn.IFS(C1332&lt;5.7,"Normal",AND(C1332&gt;=5.7,C1332&lt;=6.49),"Prediabetes",C1332&gt;=6.5,"Diabetes")</f>
        <v>Diabetes</v>
      </c>
    </row>
    <row r="1333" spans="1:10" x14ac:dyDescent="0.3">
      <c r="A1333" t="s">
        <v>1039</v>
      </c>
      <c r="B1333" s="8">
        <v>30.875</v>
      </c>
      <c r="C1333">
        <v>4.0999999999999996</v>
      </c>
      <c r="D1333" t="s">
        <v>2379</v>
      </c>
      <c r="E1333" t="s">
        <v>2379</v>
      </c>
      <c r="F1333" t="s">
        <v>2379</v>
      </c>
      <c r="G1333">
        <v>0</v>
      </c>
      <c r="H1333" t="s">
        <v>2379</v>
      </c>
      <c r="I1333" t="str" cm="1">
        <f t="array" ref="I1333">_xlfn.IFS(B1333&lt;18.5,"Underweight",AND(B1333&gt;=18.5,B1333&lt;=24.99),"Normalweight",AND(B1333&gt;=25,B1333&lt;=29.99),"Overweight",B1333&gt;=30,"Obesity")</f>
        <v>Obesity</v>
      </c>
      <c r="J1333" t="str" cm="1">
        <f t="array" ref="J1333">_xlfn.IFS(C1333&lt;5.7,"Normal",AND(C1333&gt;=5.7,C1333&lt;=6.49),"Prediabetes",C1333&gt;=6.5,"Diabetes")</f>
        <v>Normal</v>
      </c>
    </row>
    <row r="1334" spans="1:10" x14ac:dyDescent="0.3">
      <c r="A1334" t="s">
        <v>1038</v>
      </c>
      <c r="B1334" s="8">
        <v>30.81</v>
      </c>
      <c r="C1334">
        <v>4.49</v>
      </c>
      <c r="D1334" t="s">
        <v>2379</v>
      </c>
      <c r="E1334" t="s">
        <v>2379</v>
      </c>
      <c r="F1334" t="s">
        <v>2379</v>
      </c>
      <c r="G1334">
        <v>0</v>
      </c>
      <c r="H1334" t="s">
        <v>2379</v>
      </c>
      <c r="I1334" t="str" cm="1">
        <f t="array" ref="I1334">_xlfn.IFS(B1334&lt;18.5,"Underweight",AND(B1334&gt;=18.5,B1334&lt;=24.99),"Normalweight",AND(B1334&gt;=25,B1334&lt;=29.99),"Overweight",B1334&gt;=30,"Obesity")</f>
        <v>Obesity</v>
      </c>
      <c r="J1334" t="str" cm="1">
        <f t="array" ref="J1334">_xlfn.IFS(C1334&lt;5.7,"Normal",AND(C1334&gt;=5.7,C1334&lt;=6.49),"Prediabetes",C1334&gt;=6.5,"Diabetes")</f>
        <v>Normal</v>
      </c>
    </row>
    <row r="1335" spans="1:10" x14ac:dyDescent="0.3">
      <c r="A1335" t="s">
        <v>1037</v>
      </c>
      <c r="B1335" s="8">
        <v>36.85</v>
      </c>
      <c r="C1335">
        <v>8.8000000000000007</v>
      </c>
      <c r="D1335" t="s">
        <v>2379</v>
      </c>
      <c r="E1335" t="s">
        <v>2379</v>
      </c>
      <c r="F1335" t="s">
        <v>2379</v>
      </c>
      <c r="G1335">
        <v>2</v>
      </c>
      <c r="H1335" t="s">
        <v>2379</v>
      </c>
      <c r="I1335" t="str" cm="1">
        <f t="array" ref="I1335">_xlfn.IFS(B1335&lt;18.5,"Underweight",AND(B1335&gt;=18.5,B1335&lt;=24.99),"Normalweight",AND(B1335&gt;=25,B1335&lt;=29.99),"Overweight",B1335&gt;=30,"Obesity")</f>
        <v>Obesity</v>
      </c>
      <c r="J1335" t="str" cm="1">
        <f t="array" ref="J1335">_xlfn.IFS(C1335&lt;5.7,"Normal",AND(C1335&gt;=5.7,C1335&lt;=6.49),"Prediabetes",C1335&gt;=6.5,"Diabetes")</f>
        <v>Diabetes</v>
      </c>
    </row>
    <row r="1336" spans="1:10" x14ac:dyDescent="0.3">
      <c r="A1336" t="s">
        <v>1036</v>
      </c>
      <c r="B1336" s="8">
        <v>35.86</v>
      </c>
      <c r="C1336">
        <v>7.93</v>
      </c>
      <c r="D1336" t="s">
        <v>2379</v>
      </c>
      <c r="E1336" t="s">
        <v>2379</v>
      </c>
      <c r="F1336" t="s">
        <v>2379</v>
      </c>
      <c r="G1336">
        <v>2</v>
      </c>
      <c r="H1336" t="s">
        <v>2379</v>
      </c>
      <c r="I1336" t="str" cm="1">
        <f t="array" ref="I1336">_xlfn.IFS(B1336&lt;18.5,"Underweight",AND(B1336&gt;=18.5,B1336&lt;=24.99),"Normalweight",AND(B1336&gt;=25,B1336&lt;=29.99),"Overweight",B1336&gt;=30,"Obesity")</f>
        <v>Obesity</v>
      </c>
      <c r="J1336" t="str" cm="1">
        <f t="array" ref="J1336">_xlfn.IFS(C1336&lt;5.7,"Normal",AND(C1336&gt;=5.7,C1336&lt;=6.49),"Prediabetes",C1336&gt;=6.5,"Diabetes")</f>
        <v>Diabetes</v>
      </c>
    </row>
    <row r="1337" spans="1:10" x14ac:dyDescent="0.3">
      <c r="A1337" t="s">
        <v>1035</v>
      </c>
      <c r="B1337" s="8">
        <v>30.3</v>
      </c>
      <c r="C1337">
        <v>9.4499999999999993</v>
      </c>
      <c r="D1337" t="s">
        <v>2379</v>
      </c>
      <c r="E1337" t="s">
        <v>2379</v>
      </c>
      <c r="F1337" t="s">
        <v>2379</v>
      </c>
      <c r="G1337">
        <v>2</v>
      </c>
      <c r="H1337" t="s">
        <v>2379</v>
      </c>
      <c r="I1337" t="str" cm="1">
        <f t="array" ref="I1337">_xlfn.IFS(B1337&lt;18.5,"Underweight",AND(B1337&gt;=18.5,B1337&lt;=24.99),"Normalweight",AND(B1337&gt;=25,B1337&lt;=29.99),"Overweight",B1337&gt;=30,"Obesity")</f>
        <v>Obesity</v>
      </c>
      <c r="J1337" t="str" cm="1">
        <f t="array" ref="J1337">_xlfn.IFS(C1337&lt;5.7,"Normal",AND(C1337&gt;=5.7,C1337&lt;=6.49),"Prediabetes",C1337&gt;=6.5,"Diabetes")</f>
        <v>Diabetes</v>
      </c>
    </row>
    <row r="1338" spans="1:10" x14ac:dyDescent="0.3">
      <c r="A1338" t="s">
        <v>1034</v>
      </c>
      <c r="B1338" s="8">
        <v>32.015000000000001</v>
      </c>
      <c r="C1338">
        <v>7.67</v>
      </c>
      <c r="D1338" t="s">
        <v>2379</v>
      </c>
      <c r="E1338" t="s">
        <v>2379</v>
      </c>
      <c r="F1338" t="s">
        <v>2379</v>
      </c>
      <c r="G1338">
        <v>0</v>
      </c>
      <c r="H1338" t="s">
        <v>2379</v>
      </c>
      <c r="I1338" t="str" cm="1">
        <f t="array" ref="I1338">_xlfn.IFS(B1338&lt;18.5,"Underweight",AND(B1338&gt;=18.5,B1338&lt;=24.99),"Normalweight",AND(B1338&gt;=25,B1338&lt;=29.99),"Overweight",B1338&gt;=30,"Obesity")</f>
        <v>Obesity</v>
      </c>
      <c r="J1338" t="str" cm="1">
        <f t="array" ref="J1338">_xlfn.IFS(C1338&lt;5.7,"Normal",AND(C1338&gt;=5.7,C1338&lt;=6.49),"Prediabetes",C1338&gt;=6.5,"Diabetes")</f>
        <v>Diabetes</v>
      </c>
    </row>
    <row r="1339" spans="1:10" x14ac:dyDescent="0.3">
      <c r="A1339" t="s">
        <v>1033</v>
      </c>
      <c r="B1339" s="8">
        <v>25.06</v>
      </c>
      <c r="C1339">
        <v>10.53</v>
      </c>
      <c r="D1339" t="s">
        <v>2379</v>
      </c>
      <c r="E1339" t="s">
        <v>2379</v>
      </c>
      <c r="F1339" t="s">
        <v>2379</v>
      </c>
      <c r="G1339">
        <v>2</v>
      </c>
      <c r="H1339" t="s">
        <v>2379</v>
      </c>
      <c r="I1339" t="str" cm="1">
        <f t="array" ref="I1339">_xlfn.IFS(B1339&lt;18.5,"Underweight",AND(B1339&gt;=18.5,B1339&lt;=24.99),"Normalweight",AND(B1339&gt;=25,B1339&lt;=29.99),"Overweight",B1339&gt;=30,"Obesity")</f>
        <v>Overweight</v>
      </c>
      <c r="J1339" t="str" cm="1">
        <f t="array" ref="J1339">_xlfn.IFS(C1339&lt;5.7,"Normal",AND(C1339&gt;=5.7,C1339&lt;=6.49),"Prediabetes",C1339&gt;=6.5,"Diabetes")</f>
        <v>Diabetes</v>
      </c>
    </row>
    <row r="1340" spans="1:10" x14ac:dyDescent="0.3">
      <c r="A1340" t="s">
        <v>1032</v>
      </c>
      <c r="B1340" s="8">
        <v>18.829999999999998</v>
      </c>
      <c r="C1340">
        <v>10.08</v>
      </c>
      <c r="D1340" t="s">
        <v>2381</v>
      </c>
      <c r="E1340" t="s">
        <v>2379</v>
      </c>
      <c r="F1340" t="s">
        <v>2379</v>
      </c>
      <c r="G1340">
        <v>0</v>
      </c>
      <c r="H1340" t="s">
        <v>2379</v>
      </c>
      <c r="I1340" t="str" cm="1">
        <f t="array" ref="I1340">_xlfn.IFS(B1340&lt;18.5,"Underweight",AND(B1340&gt;=18.5,B1340&lt;=24.99),"Normalweight",AND(B1340&gt;=25,B1340&lt;=29.99),"Overweight",B1340&gt;=30,"Obesity")</f>
        <v>Normalweight</v>
      </c>
      <c r="J1340" t="str" cm="1">
        <f t="array" ref="J1340">_xlfn.IFS(C1340&lt;5.7,"Normal",AND(C1340&gt;=5.7,C1340&lt;=6.49),"Prediabetes",C1340&gt;=6.5,"Diabetes")</f>
        <v>Diabetes</v>
      </c>
    </row>
    <row r="1341" spans="1:10" x14ac:dyDescent="0.3">
      <c r="A1341" t="s">
        <v>1031</v>
      </c>
      <c r="B1341" s="8">
        <v>47.52</v>
      </c>
      <c r="C1341">
        <v>11.39</v>
      </c>
      <c r="D1341" t="s">
        <v>2381</v>
      </c>
      <c r="E1341" t="s">
        <v>2379</v>
      </c>
      <c r="F1341" t="s">
        <v>2379</v>
      </c>
      <c r="G1341">
        <v>1</v>
      </c>
      <c r="H1341" t="s">
        <v>2379</v>
      </c>
      <c r="I1341" t="str" cm="1">
        <f t="array" ref="I1341">_xlfn.IFS(B1341&lt;18.5,"Underweight",AND(B1341&gt;=18.5,B1341&lt;=24.99),"Normalweight",AND(B1341&gt;=25,B1341&lt;=29.99),"Overweight",B1341&gt;=30,"Obesity")</f>
        <v>Obesity</v>
      </c>
      <c r="J1341" t="str" cm="1">
        <f t="array" ref="J1341">_xlfn.IFS(C1341&lt;5.7,"Normal",AND(C1341&gt;=5.7,C1341&lt;=6.49),"Prediabetes",C1341&gt;=6.5,"Diabetes")</f>
        <v>Diabetes</v>
      </c>
    </row>
    <row r="1342" spans="1:10" x14ac:dyDescent="0.3">
      <c r="A1342" t="s">
        <v>1030</v>
      </c>
      <c r="B1342" s="8">
        <v>37.82</v>
      </c>
      <c r="C1342">
        <v>6.36</v>
      </c>
      <c r="D1342" t="s">
        <v>2379</v>
      </c>
      <c r="E1342" t="s">
        <v>2379</v>
      </c>
      <c r="F1342" t="s">
        <v>2379</v>
      </c>
      <c r="G1342">
        <v>0</v>
      </c>
      <c r="H1342" t="s">
        <v>2379</v>
      </c>
      <c r="I1342" t="str" cm="1">
        <f t="array" ref="I1342">_xlfn.IFS(B1342&lt;18.5,"Underweight",AND(B1342&gt;=18.5,B1342&lt;=24.99),"Normalweight",AND(B1342&gt;=25,B1342&lt;=29.99),"Overweight",B1342&gt;=30,"Obesity")</f>
        <v>Obesity</v>
      </c>
      <c r="J1342" t="str" cm="1">
        <f t="array" ref="J1342">_xlfn.IFS(C1342&lt;5.7,"Normal",AND(C1342&gt;=5.7,C1342&lt;=6.49),"Prediabetes",C1342&gt;=6.5,"Diabetes")</f>
        <v>Prediabetes</v>
      </c>
    </row>
    <row r="1343" spans="1:10" x14ac:dyDescent="0.3">
      <c r="A1343" t="s">
        <v>1029</v>
      </c>
      <c r="B1343" s="8">
        <v>44.16</v>
      </c>
      <c r="C1343">
        <v>5.31</v>
      </c>
      <c r="D1343" t="s">
        <v>2381</v>
      </c>
      <c r="E1343" t="s">
        <v>2379</v>
      </c>
      <c r="F1343" t="s">
        <v>2379</v>
      </c>
      <c r="G1343">
        <v>0</v>
      </c>
      <c r="H1343" t="s">
        <v>2379</v>
      </c>
      <c r="I1343" t="str" cm="1">
        <f t="array" ref="I1343">_xlfn.IFS(B1343&lt;18.5,"Underweight",AND(B1343&gt;=18.5,B1343&lt;=24.99),"Normalweight",AND(B1343&gt;=25,B1343&lt;=29.99),"Overweight",B1343&gt;=30,"Obesity")</f>
        <v>Obesity</v>
      </c>
      <c r="J1343" t="str" cm="1">
        <f t="array" ref="J1343">_xlfn.IFS(C1343&lt;5.7,"Normal",AND(C1343&gt;=5.7,C1343&lt;=6.49),"Prediabetes",C1343&gt;=6.5,"Diabetes")</f>
        <v>Normal</v>
      </c>
    </row>
    <row r="1344" spans="1:10" x14ac:dyDescent="0.3">
      <c r="A1344" t="s">
        <v>1028</v>
      </c>
      <c r="B1344" s="8">
        <v>37.049999999999997</v>
      </c>
      <c r="C1344">
        <v>4.74</v>
      </c>
      <c r="D1344" t="s">
        <v>2379</v>
      </c>
      <c r="E1344" t="s">
        <v>2379</v>
      </c>
      <c r="F1344" t="s">
        <v>2381</v>
      </c>
      <c r="G1344">
        <v>1</v>
      </c>
      <c r="H1344" t="s">
        <v>2379</v>
      </c>
      <c r="I1344" t="str" cm="1">
        <f t="array" ref="I1344">_xlfn.IFS(B1344&lt;18.5,"Underweight",AND(B1344&gt;=18.5,B1344&lt;=24.99),"Normalweight",AND(B1344&gt;=25,B1344&lt;=29.99),"Overweight",B1344&gt;=30,"Obesity")</f>
        <v>Obesity</v>
      </c>
      <c r="J1344" t="str" cm="1">
        <f t="array" ref="J1344">_xlfn.IFS(C1344&lt;5.7,"Normal",AND(C1344&gt;=5.7,C1344&lt;=6.49),"Prediabetes",C1344&gt;=6.5,"Diabetes")</f>
        <v>Normal</v>
      </c>
    </row>
    <row r="1345" spans="1:10" x14ac:dyDescent="0.3">
      <c r="A1345" t="s">
        <v>1027</v>
      </c>
      <c r="B1345" s="8">
        <v>18.66</v>
      </c>
      <c r="C1345">
        <v>11.35</v>
      </c>
      <c r="D1345" t="s">
        <v>2379</v>
      </c>
      <c r="E1345" t="s">
        <v>2379</v>
      </c>
      <c r="F1345" t="s">
        <v>2379</v>
      </c>
      <c r="G1345">
        <v>0</v>
      </c>
      <c r="H1345" t="s">
        <v>2379</v>
      </c>
      <c r="I1345" t="str" cm="1">
        <f t="array" ref="I1345">_xlfn.IFS(B1345&lt;18.5,"Underweight",AND(B1345&gt;=18.5,B1345&lt;=24.99),"Normalweight",AND(B1345&gt;=25,B1345&lt;=29.99),"Overweight",B1345&gt;=30,"Obesity")</f>
        <v>Normalweight</v>
      </c>
      <c r="J1345" t="str" cm="1">
        <f t="array" ref="J1345">_xlfn.IFS(C1345&lt;5.7,"Normal",AND(C1345&gt;=5.7,C1345&lt;=6.49),"Prediabetes",C1345&gt;=6.5,"Diabetes")</f>
        <v>Diabetes</v>
      </c>
    </row>
    <row r="1346" spans="1:10" x14ac:dyDescent="0.3">
      <c r="A1346" t="s">
        <v>1026</v>
      </c>
      <c r="B1346" s="8">
        <v>36.200000000000003</v>
      </c>
      <c r="C1346">
        <v>6.81</v>
      </c>
      <c r="D1346" t="s">
        <v>2381</v>
      </c>
      <c r="E1346" t="s">
        <v>2379</v>
      </c>
      <c r="F1346" t="s">
        <v>2379</v>
      </c>
      <c r="G1346">
        <v>1</v>
      </c>
      <c r="H1346" t="s">
        <v>2379</v>
      </c>
      <c r="I1346" t="str" cm="1">
        <f t="array" ref="I1346">_xlfn.IFS(B1346&lt;18.5,"Underweight",AND(B1346&gt;=18.5,B1346&lt;=24.99),"Normalweight",AND(B1346&gt;=25,B1346&lt;=29.99),"Overweight",B1346&gt;=30,"Obesity")</f>
        <v>Obesity</v>
      </c>
      <c r="J1346" t="str" cm="1">
        <f t="array" ref="J1346">_xlfn.IFS(C1346&lt;5.7,"Normal",AND(C1346&gt;=5.7,C1346&lt;=6.49),"Prediabetes",C1346&gt;=6.5,"Diabetes")</f>
        <v>Diabetes</v>
      </c>
    </row>
    <row r="1347" spans="1:10" x14ac:dyDescent="0.3">
      <c r="A1347" t="s">
        <v>1025</v>
      </c>
      <c r="B1347" s="8">
        <v>18.87</v>
      </c>
      <c r="C1347">
        <v>8.06</v>
      </c>
      <c r="D1347" t="s">
        <v>2379</v>
      </c>
      <c r="E1347" t="s">
        <v>2379</v>
      </c>
      <c r="F1347" t="s">
        <v>2379</v>
      </c>
      <c r="G1347">
        <v>0</v>
      </c>
      <c r="H1347" t="s">
        <v>2379</v>
      </c>
      <c r="I1347" t="str" cm="1">
        <f t="array" ref="I1347">_xlfn.IFS(B1347&lt;18.5,"Underweight",AND(B1347&gt;=18.5,B1347&lt;=24.99),"Normalweight",AND(B1347&gt;=25,B1347&lt;=29.99),"Overweight",B1347&gt;=30,"Obesity")</f>
        <v>Normalweight</v>
      </c>
      <c r="J1347" t="str" cm="1">
        <f t="array" ref="J1347">_xlfn.IFS(C1347&lt;5.7,"Normal",AND(C1347&gt;=5.7,C1347&lt;=6.49),"Prediabetes",C1347&gt;=6.5,"Diabetes")</f>
        <v>Diabetes</v>
      </c>
    </row>
    <row r="1348" spans="1:10" x14ac:dyDescent="0.3">
      <c r="A1348" t="s">
        <v>1024</v>
      </c>
      <c r="B1348" s="8">
        <v>32.299999999999997</v>
      </c>
      <c r="C1348">
        <v>6.74</v>
      </c>
      <c r="D1348" t="s">
        <v>2381</v>
      </c>
      <c r="E1348" t="s">
        <v>2379</v>
      </c>
      <c r="F1348" t="s">
        <v>2379</v>
      </c>
      <c r="G1348">
        <v>1</v>
      </c>
      <c r="H1348" t="s">
        <v>2379</v>
      </c>
      <c r="I1348" t="str" cm="1">
        <f t="array" ref="I1348">_xlfn.IFS(B1348&lt;18.5,"Underweight",AND(B1348&gt;=18.5,B1348&lt;=24.99),"Normalweight",AND(B1348&gt;=25,B1348&lt;=29.99),"Overweight",B1348&gt;=30,"Obesity")</f>
        <v>Obesity</v>
      </c>
      <c r="J1348" t="str" cm="1">
        <f t="array" ref="J1348">_xlfn.IFS(C1348&lt;5.7,"Normal",AND(C1348&gt;=5.7,C1348&lt;=6.49),"Prediabetes",C1348&gt;=6.5,"Diabetes")</f>
        <v>Diabetes</v>
      </c>
    </row>
    <row r="1349" spans="1:10" x14ac:dyDescent="0.3">
      <c r="A1349" t="s">
        <v>1023</v>
      </c>
      <c r="B1349" s="8">
        <v>22.64</v>
      </c>
      <c r="C1349">
        <v>6.54</v>
      </c>
      <c r="D1349" t="s">
        <v>2381</v>
      </c>
      <c r="E1349" t="s">
        <v>2379</v>
      </c>
      <c r="F1349" t="s">
        <v>2379</v>
      </c>
      <c r="G1349">
        <v>2</v>
      </c>
      <c r="H1349" t="s">
        <v>2379</v>
      </c>
      <c r="I1349" t="str" cm="1">
        <f t="array" ref="I1349">_xlfn.IFS(B1349&lt;18.5,"Underweight",AND(B1349&gt;=18.5,B1349&lt;=24.99),"Normalweight",AND(B1349&gt;=25,B1349&lt;=29.99),"Overweight",B1349&gt;=30,"Obesity")</f>
        <v>Normalweight</v>
      </c>
      <c r="J1349" t="str" cm="1">
        <f t="array" ref="J1349">_xlfn.IFS(C1349&lt;5.7,"Normal",AND(C1349&gt;=5.7,C1349&lt;=6.49),"Prediabetes",C1349&gt;=6.5,"Diabetes")</f>
        <v>Diabetes</v>
      </c>
    </row>
    <row r="1350" spans="1:10" x14ac:dyDescent="0.3">
      <c r="A1350" t="s">
        <v>1022</v>
      </c>
      <c r="B1350" s="8">
        <v>28.69</v>
      </c>
      <c r="C1350">
        <v>5.4</v>
      </c>
      <c r="D1350" t="s">
        <v>2379</v>
      </c>
      <c r="E1350" t="s">
        <v>2379</v>
      </c>
      <c r="F1350" t="s">
        <v>2379</v>
      </c>
      <c r="G1350">
        <v>0</v>
      </c>
      <c r="H1350" t="s">
        <v>2379</v>
      </c>
      <c r="I1350" t="str" cm="1">
        <f t="array" ref="I1350">_xlfn.IFS(B1350&lt;18.5,"Underweight",AND(B1350&gt;=18.5,B1350&lt;=24.99),"Normalweight",AND(B1350&gt;=25,B1350&lt;=29.99),"Overweight",B1350&gt;=30,"Obesity")</f>
        <v>Overweight</v>
      </c>
      <c r="J1350" t="str" cm="1">
        <f t="array" ref="J1350">_xlfn.IFS(C1350&lt;5.7,"Normal",AND(C1350&gt;=5.7,C1350&lt;=6.49),"Prediabetes",C1350&gt;=6.5,"Diabetes")</f>
        <v>Normal</v>
      </c>
    </row>
    <row r="1351" spans="1:10" x14ac:dyDescent="0.3">
      <c r="A1351" t="s">
        <v>1021</v>
      </c>
      <c r="B1351" s="8">
        <v>28.16</v>
      </c>
      <c r="C1351">
        <v>5.58</v>
      </c>
      <c r="D1351" t="s">
        <v>2381</v>
      </c>
      <c r="E1351" t="s">
        <v>2379</v>
      </c>
      <c r="F1351" t="s">
        <v>2379</v>
      </c>
      <c r="G1351">
        <v>0</v>
      </c>
      <c r="H1351" t="s">
        <v>2379</v>
      </c>
      <c r="I1351" t="str" cm="1">
        <f t="array" ref="I1351">_xlfn.IFS(B1351&lt;18.5,"Underweight",AND(B1351&gt;=18.5,B1351&lt;=24.99),"Normalweight",AND(B1351&gt;=25,B1351&lt;=29.99),"Overweight",B1351&gt;=30,"Obesity")</f>
        <v>Overweight</v>
      </c>
      <c r="J1351" t="str" cm="1">
        <f t="array" ref="J1351">_xlfn.IFS(C1351&lt;5.7,"Normal",AND(C1351&gt;=5.7,C1351&lt;=6.49),"Prediabetes",C1351&gt;=6.5,"Diabetes")</f>
        <v>Normal</v>
      </c>
    </row>
    <row r="1352" spans="1:10" x14ac:dyDescent="0.3">
      <c r="A1352" t="s">
        <v>1020</v>
      </c>
      <c r="B1352" s="8">
        <v>45.54</v>
      </c>
      <c r="C1352">
        <v>5.84</v>
      </c>
      <c r="D1352" t="s">
        <v>2379</v>
      </c>
      <c r="E1352" t="s">
        <v>2379</v>
      </c>
      <c r="F1352" t="s">
        <v>2381</v>
      </c>
      <c r="G1352">
        <v>1</v>
      </c>
      <c r="H1352" t="s">
        <v>2379</v>
      </c>
      <c r="I1352" t="str" cm="1">
        <f t="array" ref="I1352">_xlfn.IFS(B1352&lt;18.5,"Underweight",AND(B1352&gt;=18.5,B1352&lt;=24.99),"Normalweight",AND(B1352&gt;=25,B1352&lt;=29.99),"Overweight",B1352&gt;=30,"Obesity")</f>
        <v>Obesity</v>
      </c>
      <c r="J1352" t="str" cm="1">
        <f t="array" ref="J1352">_xlfn.IFS(C1352&lt;5.7,"Normal",AND(C1352&gt;=5.7,C1352&lt;=6.49),"Prediabetes",C1352&gt;=6.5,"Diabetes")</f>
        <v>Prediabetes</v>
      </c>
    </row>
    <row r="1353" spans="1:10" x14ac:dyDescent="0.3">
      <c r="A1353" t="s">
        <v>1019</v>
      </c>
      <c r="B1353" s="8">
        <v>28.7</v>
      </c>
      <c r="C1353">
        <v>4.2</v>
      </c>
      <c r="D1353" t="s">
        <v>2379</v>
      </c>
      <c r="E1353" t="s">
        <v>2379</v>
      </c>
      <c r="F1353" t="s">
        <v>2379</v>
      </c>
      <c r="G1353">
        <v>0</v>
      </c>
      <c r="H1353" t="s">
        <v>2379</v>
      </c>
      <c r="I1353" t="str" cm="1">
        <f t="array" ref="I1353">_xlfn.IFS(B1353&lt;18.5,"Underweight",AND(B1353&gt;=18.5,B1353&lt;=24.99),"Normalweight",AND(B1353&gt;=25,B1353&lt;=29.99),"Overweight",B1353&gt;=30,"Obesity")</f>
        <v>Overweight</v>
      </c>
      <c r="J1353" t="str" cm="1">
        <f t="array" ref="J1353">_xlfn.IFS(C1353&lt;5.7,"Normal",AND(C1353&gt;=5.7,C1353&lt;=6.49),"Prediabetes",C1353&gt;=6.5,"Diabetes")</f>
        <v>Normal</v>
      </c>
    </row>
    <row r="1354" spans="1:10" x14ac:dyDescent="0.3">
      <c r="A1354" t="s">
        <v>1018</v>
      </c>
      <c r="B1354" s="8">
        <v>27.74</v>
      </c>
      <c r="C1354">
        <v>6.06</v>
      </c>
      <c r="D1354" t="s">
        <v>2381</v>
      </c>
      <c r="E1354" t="s">
        <v>2379</v>
      </c>
      <c r="F1354" t="s">
        <v>2379</v>
      </c>
      <c r="G1354">
        <v>0</v>
      </c>
      <c r="H1354" t="s">
        <v>2379</v>
      </c>
      <c r="I1354" t="str" cm="1">
        <f t="array" ref="I1354">_xlfn.IFS(B1354&lt;18.5,"Underweight",AND(B1354&gt;=18.5,B1354&lt;=24.99),"Normalweight",AND(B1354&gt;=25,B1354&lt;=29.99),"Overweight",B1354&gt;=30,"Obesity")</f>
        <v>Overweight</v>
      </c>
      <c r="J1354" t="str" cm="1">
        <f t="array" ref="J1354">_xlfn.IFS(C1354&lt;5.7,"Normal",AND(C1354&gt;=5.7,C1354&lt;=6.49),"Prediabetes",C1354&gt;=6.5,"Diabetes")</f>
        <v>Prediabetes</v>
      </c>
    </row>
    <row r="1355" spans="1:10" x14ac:dyDescent="0.3">
      <c r="A1355" t="s">
        <v>1017</v>
      </c>
      <c r="B1355" s="8">
        <v>36.954999999999998</v>
      </c>
      <c r="C1355">
        <v>7.57</v>
      </c>
      <c r="D1355" t="s">
        <v>2379</v>
      </c>
      <c r="E1355" t="s">
        <v>2379</v>
      </c>
      <c r="F1355" t="s">
        <v>2379</v>
      </c>
      <c r="G1355">
        <v>0</v>
      </c>
      <c r="H1355" t="s">
        <v>2379</v>
      </c>
      <c r="I1355" t="str" cm="1">
        <f t="array" ref="I1355">_xlfn.IFS(B1355&lt;18.5,"Underweight",AND(B1355&gt;=18.5,B1355&lt;=24.99),"Normalweight",AND(B1355&gt;=25,B1355&lt;=29.99),"Overweight",B1355&gt;=30,"Obesity")</f>
        <v>Obesity</v>
      </c>
      <c r="J1355" t="str" cm="1">
        <f t="array" ref="J1355">_xlfn.IFS(C1355&lt;5.7,"Normal",AND(C1355&gt;=5.7,C1355&lt;=6.49),"Prediabetes",C1355&gt;=6.5,"Diabetes")</f>
        <v>Diabetes</v>
      </c>
    </row>
    <row r="1356" spans="1:10" x14ac:dyDescent="0.3">
      <c r="A1356" t="s">
        <v>1016</v>
      </c>
      <c r="B1356" s="8">
        <v>30.69</v>
      </c>
      <c r="C1356">
        <v>6.15</v>
      </c>
      <c r="D1356" t="s">
        <v>2379</v>
      </c>
      <c r="E1356" t="s">
        <v>2379</v>
      </c>
      <c r="F1356" t="s">
        <v>2379</v>
      </c>
      <c r="G1356">
        <v>0</v>
      </c>
      <c r="H1356" t="s">
        <v>2379</v>
      </c>
      <c r="I1356" t="str" cm="1">
        <f t="array" ref="I1356">_xlfn.IFS(B1356&lt;18.5,"Underweight",AND(B1356&gt;=18.5,B1356&lt;=24.99),"Normalweight",AND(B1356&gt;=25,B1356&lt;=29.99),"Overweight",B1356&gt;=30,"Obesity")</f>
        <v>Obesity</v>
      </c>
      <c r="J1356" t="str" cm="1">
        <f t="array" ref="J1356">_xlfn.IFS(C1356&lt;5.7,"Normal",AND(C1356&gt;=5.7,C1356&lt;=6.49),"Prediabetes",C1356&gt;=6.5,"Diabetes")</f>
        <v>Prediabetes</v>
      </c>
    </row>
    <row r="1357" spans="1:10" x14ac:dyDescent="0.3">
      <c r="A1357" t="s">
        <v>1015</v>
      </c>
      <c r="B1357" s="8">
        <v>24.984999999999999</v>
      </c>
      <c r="C1357">
        <v>4.5599999999999996</v>
      </c>
      <c r="D1357" t="s">
        <v>2379</v>
      </c>
      <c r="E1357" t="s">
        <v>2379</v>
      </c>
      <c r="F1357" t="s">
        <v>2379</v>
      </c>
      <c r="G1357">
        <v>0</v>
      </c>
      <c r="H1357" t="s">
        <v>2379</v>
      </c>
      <c r="I1357" t="str" cm="1">
        <f t="array" ref="I1357">_xlfn.IFS(B1357&lt;18.5,"Underweight",AND(B1357&gt;=18.5,B1357&lt;=24.99),"Normalweight",AND(B1357&gt;=25,B1357&lt;=29.99),"Overweight",B1357&gt;=30,"Obesity")</f>
        <v>Normalweight</v>
      </c>
      <c r="J1357" t="str" cm="1">
        <f t="array" ref="J1357">_xlfn.IFS(C1357&lt;5.7,"Normal",AND(C1357&gt;=5.7,C1357&lt;=6.49),"Prediabetes",C1357&gt;=6.5,"Diabetes")</f>
        <v>Normal</v>
      </c>
    </row>
    <row r="1358" spans="1:10" x14ac:dyDescent="0.3">
      <c r="A1358" t="s">
        <v>1014</v>
      </c>
      <c r="B1358" s="8">
        <v>39.42</v>
      </c>
      <c r="C1358">
        <v>4.72</v>
      </c>
      <c r="D1358" t="s">
        <v>2381</v>
      </c>
      <c r="E1358" t="s">
        <v>2379</v>
      </c>
      <c r="F1358" t="s">
        <v>2379</v>
      </c>
      <c r="G1358">
        <v>1</v>
      </c>
      <c r="H1358" t="s">
        <v>2379</v>
      </c>
      <c r="I1358" t="str" cm="1">
        <f t="array" ref="I1358">_xlfn.IFS(B1358&lt;18.5,"Underweight",AND(B1358&gt;=18.5,B1358&lt;=24.99),"Normalweight",AND(B1358&gt;=25,B1358&lt;=29.99),"Overweight",B1358&gt;=30,"Obesity")</f>
        <v>Obesity</v>
      </c>
      <c r="J1358" t="str" cm="1">
        <f t="array" ref="J1358">_xlfn.IFS(C1358&lt;5.7,"Normal",AND(C1358&gt;=5.7,C1358&lt;=6.49),"Prediabetes",C1358&gt;=6.5,"Diabetes")</f>
        <v>Normal</v>
      </c>
    </row>
    <row r="1359" spans="1:10" x14ac:dyDescent="0.3">
      <c r="A1359" t="s">
        <v>1013</v>
      </c>
      <c r="B1359" s="8">
        <v>16.8</v>
      </c>
      <c r="C1359">
        <v>7.98</v>
      </c>
      <c r="D1359" t="s">
        <v>2379</v>
      </c>
      <c r="E1359" t="s">
        <v>2379</v>
      </c>
      <c r="F1359" t="s">
        <v>2379</v>
      </c>
      <c r="G1359">
        <v>0</v>
      </c>
      <c r="H1359" t="s">
        <v>2379</v>
      </c>
      <c r="I1359" t="str" cm="1">
        <f t="array" ref="I1359">_xlfn.IFS(B1359&lt;18.5,"Underweight",AND(B1359&gt;=18.5,B1359&lt;=24.99),"Normalweight",AND(B1359&gt;=25,B1359&lt;=29.99),"Overweight",B1359&gt;=30,"Obesity")</f>
        <v>Underweight</v>
      </c>
      <c r="J1359" t="str" cm="1">
        <f t="array" ref="J1359">_xlfn.IFS(C1359&lt;5.7,"Normal",AND(C1359&gt;=5.7,C1359&lt;=6.49),"Prediabetes",C1359&gt;=6.5,"Diabetes")</f>
        <v>Diabetes</v>
      </c>
    </row>
    <row r="1360" spans="1:10" x14ac:dyDescent="0.3">
      <c r="A1360" t="s">
        <v>1012</v>
      </c>
      <c r="B1360" s="8">
        <v>23.274999999999999</v>
      </c>
      <c r="C1360">
        <v>6.26</v>
      </c>
      <c r="D1360" t="s">
        <v>2381</v>
      </c>
      <c r="E1360" t="s">
        <v>2379</v>
      </c>
      <c r="F1360" t="s">
        <v>2381</v>
      </c>
      <c r="G1360">
        <v>1</v>
      </c>
      <c r="H1360" t="s">
        <v>2379</v>
      </c>
      <c r="I1360" t="str" cm="1">
        <f t="array" ref="I1360">_xlfn.IFS(B1360&lt;18.5,"Underweight",AND(B1360&gt;=18.5,B1360&lt;=24.99),"Normalweight",AND(B1360&gt;=25,B1360&lt;=29.99),"Overweight",B1360&gt;=30,"Obesity")</f>
        <v>Normalweight</v>
      </c>
      <c r="J1360" t="str" cm="1">
        <f t="array" ref="J1360">_xlfn.IFS(C1360&lt;5.7,"Normal",AND(C1360&gt;=5.7,C1360&lt;=6.49),"Prediabetes",C1360&gt;=6.5,"Diabetes")</f>
        <v>Prediabetes</v>
      </c>
    </row>
    <row r="1361" spans="1:10" x14ac:dyDescent="0.3">
      <c r="A1361" t="s">
        <v>1011</v>
      </c>
      <c r="B1361" s="8">
        <v>22.8</v>
      </c>
      <c r="C1361">
        <v>4.29</v>
      </c>
      <c r="D1361" t="s">
        <v>2381</v>
      </c>
      <c r="E1361" t="s">
        <v>2379</v>
      </c>
      <c r="F1361" t="s">
        <v>2381</v>
      </c>
      <c r="G1361">
        <v>1</v>
      </c>
      <c r="H1361" t="s">
        <v>2379</v>
      </c>
      <c r="I1361" t="str" cm="1">
        <f t="array" ref="I1361">_xlfn.IFS(B1361&lt;18.5,"Underweight",AND(B1361&gt;=18.5,B1361&lt;=24.99),"Normalweight",AND(B1361&gt;=25,B1361&lt;=29.99),"Overweight",B1361&gt;=30,"Obesity")</f>
        <v>Normalweight</v>
      </c>
      <c r="J1361" t="str" cm="1">
        <f t="array" ref="J1361">_xlfn.IFS(C1361&lt;5.7,"Normal",AND(C1361&gt;=5.7,C1361&lt;=6.49),"Prediabetes",C1361&gt;=6.5,"Diabetes")</f>
        <v>Normal</v>
      </c>
    </row>
    <row r="1362" spans="1:10" x14ac:dyDescent="0.3">
      <c r="A1362" t="s">
        <v>1010</v>
      </c>
      <c r="B1362" s="8">
        <v>24.3</v>
      </c>
      <c r="C1362">
        <v>5.43</v>
      </c>
      <c r="D1362" t="s">
        <v>2379</v>
      </c>
      <c r="E1362" t="s">
        <v>2379</v>
      </c>
      <c r="F1362" t="s">
        <v>2379</v>
      </c>
      <c r="G1362">
        <v>2</v>
      </c>
      <c r="H1362" t="s">
        <v>2379</v>
      </c>
      <c r="I1362" t="str" cm="1">
        <f t="array" ref="I1362">_xlfn.IFS(B1362&lt;18.5,"Underweight",AND(B1362&gt;=18.5,B1362&lt;=24.99),"Normalweight",AND(B1362&gt;=25,B1362&lt;=29.99),"Overweight",B1362&gt;=30,"Obesity")</f>
        <v>Normalweight</v>
      </c>
      <c r="J1362" t="str" cm="1">
        <f t="array" ref="J1362">_xlfn.IFS(C1362&lt;5.7,"Normal",AND(C1362&gt;=5.7,C1362&lt;=6.49),"Prediabetes",C1362&gt;=6.5,"Diabetes")</f>
        <v>Normal</v>
      </c>
    </row>
    <row r="1363" spans="1:10" x14ac:dyDescent="0.3">
      <c r="A1363" t="s">
        <v>1009</v>
      </c>
      <c r="B1363" s="8">
        <v>25.13</v>
      </c>
      <c r="C1363">
        <v>8</v>
      </c>
      <c r="D1363" t="s">
        <v>2381</v>
      </c>
      <c r="E1363" t="s">
        <v>2379</v>
      </c>
      <c r="F1363" t="s">
        <v>2379</v>
      </c>
      <c r="G1363">
        <v>1</v>
      </c>
      <c r="H1363" t="s">
        <v>2379</v>
      </c>
      <c r="I1363" t="str" cm="1">
        <f t="array" ref="I1363">_xlfn.IFS(B1363&lt;18.5,"Underweight",AND(B1363&gt;=18.5,B1363&lt;=24.99),"Normalweight",AND(B1363&gt;=25,B1363&lt;=29.99),"Overweight",B1363&gt;=30,"Obesity")</f>
        <v>Overweight</v>
      </c>
      <c r="J1363" t="str" cm="1">
        <f t="array" ref="J1363">_xlfn.IFS(C1363&lt;5.7,"Normal",AND(C1363&gt;=5.7,C1363&lt;=6.49),"Prediabetes",C1363&gt;=6.5,"Diabetes")</f>
        <v>Diabetes</v>
      </c>
    </row>
    <row r="1364" spans="1:10" x14ac:dyDescent="0.3">
      <c r="A1364" t="s">
        <v>1008</v>
      </c>
      <c r="B1364" s="8">
        <v>22.72</v>
      </c>
      <c r="C1364">
        <v>9.9600000000000009</v>
      </c>
      <c r="D1364" t="s">
        <v>2381</v>
      </c>
      <c r="E1364" t="s">
        <v>2379</v>
      </c>
      <c r="F1364" t="s">
        <v>2379</v>
      </c>
      <c r="G1364">
        <v>2</v>
      </c>
      <c r="H1364" t="s">
        <v>2379</v>
      </c>
      <c r="I1364" t="str" cm="1">
        <f t="array" ref="I1364">_xlfn.IFS(B1364&lt;18.5,"Underweight",AND(B1364&gt;=18.5,B1364&lt;=24.99),"Normalweight",AND(B1364&gt;=25,B1364&lt;=29.99),"Overweight",B1364&gt;=30,"Obesity")</f>
        <v>Normalweight</v>
      </c>
      <c r="J1364" t="str" cm="1">
        <f t="array" ref="J1364">_xlfn.IFS(C1364&lt;5.7,"Normal",AND(C1364&gt;=5.7,C1364&lt;=6.49),"Prediabetes",C1364&gt;=6.5,"Diabetes")</f>
        <v>Diabetes</v>
      </c>
    </row>
    <row r="1365" spans="1:10" x14ac:dyDescent="0.3">
      <c r="A1365" t="s">
        <v>1007</v>
      </c>
      <c r="B1365" s="8">
        <v>32.6</v>
      </c>
      <c r="C1365">
        <v>6.8</v>
      </c>
      <c r="D1365" t="s">
        <v>2381</v>
      </c>
      <c r="E1365" t="s">
        <v>2379</v>
      </c>
      <c r="F1365" t="s">
        <v>2379</v>
      </c>
      <c r="G1365">
        <v>0</v>
      </c>
      <c r="H1365" t="s">
        <v>2379</v>
      </c>
      <c r="I1365" t="str" cm="1">
        <f t="array" ref="I1365">_xlfn.IFS(B1365&lt;18.5,"Underweight",AND(B1365&gt;=18.5,B1365&lt;=24.99),"Normalweight",AND(B1365&gt;=25,B1365&lt;=29.99),"Overweight",B1365&gt;=30,"Obesity")</f>
        <v>Obesity</v>
      </c>
      <c r="J1365" t="str" cm="1">
        <f t="array" ref="J1365">_xlfn.IFS(C1365&lt;5.7,"Normal",AND(C1365&gt;=5.7,C1365&lt;=6.49),"Prediabetes",C1365&gt;=6.5,"Diabetes")</f>
        <v>Diabetes</v>
      </c>
    </row>
    <row r="1366" spans="1:10" x14ac:dyDescent="0.3">
      <c r="A1366" t="s">
        <v>1006</v>
      </c>
      <c r="B1366" s="8">
        <v>17.28</v>
      </c>
      <c r="C1366">
        <v>6.22</v>
      </c>
      <c r="D1366" t="s">
        <v>2381</v>
      </c>
      <c r="E1366" t="s">
        <v>2379</v>
      </c>
      <c r="F1366" t="s">
        <v>2379</v>
      </c>
      <c r="G1366">
        <v>2</v>
      </c>
      <c r="H1366" t="s">
        <v>2379</v>
      </c>
      <c r="I1366" t="str" cm="1">
        <f t="array" ref="I1366">_xlfn.IFS(B1366&lt;18.5,"Underweight",AND(B1366&gt;=18.5,B1366&lt;=24.99),"Normalweight",AND(B1366&gt;=25,B1366&lt;=29.99),"Overweight",B1366&gt;=30,"Obesity")</f>
        <v>Underweight</v>
      </c>
      <c r="J1366" t="str" cm="1">
        <f t="array" ref="J1366">_xlfn.IFS(C1366&lt;5.7,"Normal",AND(C1366&gt;=5.7,C1366&lt;=6.49),"Prediabetes",C1366&gt;=6.5,"Diabetes")</f>
        <v>Prediabetes</v>
      </c>
    </row>
    <row r="1367" spans="1:10" x14ac:dyDescent="0.3">
      <c r="A1367" t="s">
        <v>1005</v>
      </c>
      <c r="B1367" s="8">
        <v>27.92</v>
      </c>
      <c r="C1367">
        <v>5.79</v>
      </c>
      <c r="D1367" t="s">
        <v>2379</v>
      </c>
      <c r="E1367" t="s">
        <v>2379</v>
      </c>
      <c r="F1367" t="s">
        <v>2379</v>
      </c>
      <c r="G1367">
        <v>1</v>
      </c>
      <c r="H1367" t="s">
        <v>2379</v>
      </c>
      <c r="I1367" t="str" cm="1">
        <f t="array" ref="I1367">_xlfn.IFS(B1367&lt;18.5,"Underweight",AND(B1367&gt;=18.5,B1367&lt;=24.99),"Normalweight",AND(B1367&gt;=25,B1367&lt;=29.99),"Overweight",B1367&gt;=30,"Obesity")</f>
        <v>Overweight</v>
      </c>
      <c r="J1367" t="str" cm="1">
        <f t="array" ref="J1367">_xlfn.IFS(C1367&lt;5.7,"Normal",AND(C1367&gt;=5.7,C1367&lt;=6.49),"Prediabetes",C1367&gt;=6.5,"Diabetes")</f>
        <v>Prediabetes</v>
      </c>
    </row>
    <row r="1368" spans="1:10" x14ac:dyDescent="0.3">
      <c r="A1368" t="s">
        <v>1004</v>
      </c>
      <c r="B1368" s="8">
        <v>38.284999999999997</v>
      </c>
      <c r="C1368">
        <v>5.41</v>
      </c>
      <c r="D1368" t="s">
        <v>2379</v>
      </c>
      <c r="E1368" t="s">
        <v>2379</v>
      </c>
      <c r="F1368" t="s">
        <v>2379</v>
      </c>
      <c r="G1368">
        <v>0</v>
      </c>
      <c r="H1368" t="s">
        <v>2379</v>
      </c>
      <c r="I1368" t="str" cm="1">
        <f t="array" ref="I1368">_xlfn.IFS(B1368&lt;18.5,"Underweight",AND(B1368&gt;=18.5,B1368&lt;=24.99),"Normalweight",AND(B1368&gt;=25,B1368&lt;=29.99),"Overweight",B1368&gt;=30,"Obesity")</f>
        <v>Obesity</v>
      </c>
      <c r="J1368" t="str" cm="1">
        <f t="array" ref="J1368">_xlfn.IFS(C1368&lt;5.7,"Normal",AND(C1368&gt;=5.7,C1368&lt;=6.49),"Prediabetes",C1368&gt;=6.5,"Diabetes")</f>
        <v>Normal</v>
      </c>
    </row>
    <row r="1369" spans="1:10" x14ac:dyDescent="0.3">
      <c r="A1369" t="s">
        <v>1003</v>
      </c>
      <c r="B1369" s="8">
        <v>16.48</v>
      </c>
      <c r="C1369">
        <v>11.05</v>
      </c>
      <c r="D1369" t="s">
        <v>2379</v>
      </c>
      <c r="E1369" t="s">
        <v>2379</v>
      </c>
      <c r="F1369" t="s">
        <v>2379</v>
      </c>
      <c r="G1369">
        <v>0</v>
      </c>
      <c r="H1369" t="s">
        <v>2379</v>
      </c>
      <c r="I1369" t="str" cm="1">
        <f t="array" ref="I1369">_xlfn.IFS(B1369&lt;18.5,"Underweight",AND(B1369&gt;=18.5,B1369&lt;=24.99),"Normalweight",AND(B1369&gt;=25,B1369&lt;=29.99),"Overweight",B1369&gt;=30,"Obesity")</f>
        <v>Underweight</v>
      </c>
      <c r="J1369" t="str" cm="1">
        <f t="array" ref="J1369">_xlfn.IFS(C1369&lt;5.7,"Normal",AND(C1369&gt;=5.7,C1369&lt;=6.49),"Prediabetes",C1369&gt;=6.5,"Diabetes")</f>
        <v>Diabetes</v>
      </c>
    </row>
    <row r="1370" spans="1:10" x14ac:dyDescent="0.3">
      <c r="A1370" t="s">
        <v>1002</v>
      </c>
      <c r="B1370" s="8">
        <v>38.57</v>
      </c>
      <c r="C1370">
        <v>6.27</v>
      </c>
      <c r="D1370" t="s">
        <v>2379</v>
      </c>
      <c r="E1370" t="s">
        <v>2379</v>
      </c>
      <c r="F1370" t="s">
        <v>2379</v>
      </c>
      <c r="G1370">
        <v>0</v>
      </c>
      <c r="H1370" t="s">
        <v>2379</v>
      </c>
      <c r="I1370" t="str" cm="1">
        <f t="array" ref="I1370">_xlfn.IFS(B1370&lt;18.5,"Underweight",AND(B1370&gt;=18.5,B1370&lt;=24.99),"Normalweight",AND(B1370&gt;=25,B1370&lt;=29.99),"Overweight",B1370&gt;=30,"Obesity")</f>
        <v>Obesity</v>
      </c>
      <c r="J1370" t="str" cm="1">
        <f t="array" ref="J1370">_xlfn.IFS(C1370&lt;5.7,"Normal",AND(C1370&gt;=5.7,C1370&lt;=6.49),"Prediabetes",C1370&gt;=6.5,"Diabetes")</f>
        <v>Prediabetes</v>
      </c>
    </row>
    <row r="1371" spans="1:10" x14ac:dyDescent="0.3">
      <c r="A1371" t="s">
        <v>1001</v>
      </c>
      <c r="B1371" s="8">
        <v>43.85</v>
      </c>
      <c r="C1371">
        <v>4.7699999999999996</v>
      </c>
      <c r="D1371" t="s">
        <v>2381</v>
      </c>
      <c r="E1371" t="s">
        <v>2379</v>
      </c>
      <c r="F1371" t="s">
        <v>2379</v>
      </c>
      <c r="G1371">
        <v>0</v>
      </c>
      <c r="H1371" t="s">
        <v>2379</v>
      </c>
      <c r="I1371" t="str" cm="1">
        <f t="array" ref="I1371">_xlfn.IFS(B1371&lt;18.5,"Underweight",AND(B1371&gt;=18.5,B1371&lt;=24.99),"Normalweight",AND(B1371&gt;=25,B1371&lt;=29.99),"Overweight",B1371&gt;=30,"Obesity")</f>
        <v>Obesity</v>
      </c>
      <c r="J1371" t="str" cm="1">
        <f t="array" ref="J1371">_xlfn.IFS(C1371&lt;5.7,"Normal",AND(C1371&gt;=5.7,C1371&lt;=6.49),"Prediabetes",C1371&gt;=6.5,"Diabetes")</f>
        <v>Normal</v>
      </c>
    </row>
    <row r="1372" spans="1:10" x14ac:dyDescent="0.3">
      <c r="A1372" t="s">
        <v>1000</v>
      </c>
      <c r="B1372" s="8">
        <v>30.11</v>
      </c>
      <c r="C1372">
        <v>4.08</v>
      </c>
      <c r="D1372" t="s">
        <v>2379</v>
      </c>
      <c r="E1372" t="s">
        <v>2379</v>
      </c>
      <c r="F1372" t="s">
        <v>2379</v>
      </c>
      <c r="G1372">
        <v>0</v>
      </c>
      <c r="H1372" t="s">
        <v>2379</v>
      </c>
      <c r="I1372" t="str" cm="1">
        <f t="array" ref="I1372">_xlfn.IFS(B1372&lt;18.5,"Underweight",AND(B1372&gt;=18.5,B1372&lt;=24.99),"Normalweight",AND(B1372&gt;=25,B1372&lt;=29.99),"Overweight",B1372&gt;=30,"Obesity")</f>
        <v>Obesity</v>
      </c>
      <c r="J1372" t="str" cm="1">
        <f t="array" ref="J1372">_xlfn.IFS(C1372&lt;5.7,"Normal",AND(C1372&gt;=5.7,C1372&lt;=6.49),"Prediabetes",C1372&gt;=6.5,"Diabetes")</f>
        <v>Normal</v>
      </c>
    </row>
    <row r="1373" spans="1:10" x14ac:dyDescent="0.3">
      <c r="A1373" t="s">
        <v>999</v>
      </c>
      <c r="B1373" s="8">
        <v>31.59</v>
      </c>
      <c r="C1373">
        <v>6.01</v>
      </c>
      <c r="D1373" t="s">
        <v>2379</v>
      </c>
      <c r="E1373" t="s">
        <v>2379</v>
      </c>
      <c r="F1373" t="s">
        <v>2379</v>
      </c>
      <c r="G1373">
        <v>0</v>
      </c>
      <c r="H1373" t="s">
        <v>2379</v>
      </c>
      <c r="I1373" t="str" cm="1">
        <f t="array" ref="I1373">_xlfn.IFS(B1373&lt;18.5,"Underweight",AND(B1373&gt;=18.5,B1373&lt;=24.99),"Normalweight",AND(B1373&gt;=25,B1373&lt;=29.99),"Overweight",B1373&gt;=30,"Obesity")</f>
        <v>Obesity</v>
      </c>
      <c r="J1373" t="str" cm="1">
        <f t="array" ref="J1373">_xlfn.IFS(C1373&lt;5.7,"Normal",AND(C1373&gt;=5.7,C1373&lt;=6.49),"Prediabetes",C1373&gt;=6.5,"Diabetes")</f>
        <v>Prediabetes</v>
      </c>
    </row>
    <row r="1374" spans="1:10" x14ac:dyDescent="0.3">
      <c r="A1374" t="s">
        <v>998</v>
      </c>
      <c r="B1374" s="8">
        <v>40.15</v>
      </c>
      <c r="C1374">
        <v>11.84</v>
      </c>
      <c r="D1374" t="s">
        <v>2379</v>
      </c>
      <c r="E1374" t="s">
        <v>2379</v>
      </c>
      <c r="F1374" t="s">
        <v>2379</v>
      </c>
      <c r="G1374">
        <v>0</v>
      </c>
      <c r="H1374" t="s">
        <v>2379</v>
      </c>
      <c r="I1374" t="str" cm="1">
        <f t="array" ref="I1374">_xlfn.IFS(B1374&lt;18.5,"Underweight",AND(B1374&gt;=18.5,B1374&lt;=24.99),"Normalweight",AND(B1374&gt;=25,B1374&lt;=29.99),"Overweight",B1374&gt;=30,"Obesity")</f>
        <v>Obesity</v>
      </c>
      <c r="J1374" t="str" cm="1">
        <f t="array" ref="J1374">_xlfn.IFS(C1374&lt;5.7,"Normal",AND(C1374&gt;=5.7,C1374&lt;=6.49),"Prediabetes",C1374&gt;=6.5,"Diabetes")</f>
        <v>Diabetes</v>
      </c>
    </row>
    <row r="1375" spans="1:10" x14ac:dyDescent="0.3">
      <c r="A1375" t="s">
        <v>997</v>
      </c>
      <c r="B1375" s="8">
        <v>40.700000000000003</v>
      </c>
      <c r="C1375">
        <v>6.27</v>
      </c>
      <c r="D1375" t="s">
        <v>2381</v>
      </c>
      <c r="E1375" t="s">
        <v>2379</v>
      </c>
      <c r="F1375" t="s">
        <v>2381</v>
      </c>
      <c r="G1375">
        <v>1</v>
      </c>
      <c r="H1375" t="s">
        <v>2379</v>
      </c>
      <c r="I1375" t="str" cm="1">
        <f t="array" ref="I1375">_xlfn.IFS(B1375&lt;18.5,"Underweight",AND(B1375&gt;=18.5,B1375&lt;=24.99),"Normalweight",AND(B1375&gt;=25,B1375&lt;=29.99),"Overweight",B1375&gt;=30,"Obesity")</f>
        <v>Obesity</v>
      </c>
      <c r="J1375" t="str" cm="1">
        <f t="array" ref="J1375">_xlfn.IFS(C1375&lt;5.7,"Normal",AND(C1375&gt;=5.7,C1375&lt;=6.49),"Prediabetes",C1375&gt;=6.5,"Diabetes")</f>
        <v>Prediabetes</v>
      </c>
    </row>
    <row r="1376" spans="1:10" x14ac:dyDescent="0.3">
      <c r="A1376" t="s">
        <v>996</v>
      </c>
      <c r="B1376" s="8">
        <v>40.76</v>
      </c>
      <c r="C1376">
        <v>5.28</v>
      </c>
      <c r="D1376" t="s">
        <v>2379</v>
      </c>
      <c r="E1376" t="s">
        <v>2379</v>
      </c>
      <c r="F1376" t="s">
        <v>2379</v>
      </c>
      <c r="G1376">
        <v>0</v>
      </c>
      <c r="H1376" t="s">
        <v>2379</v>
      </c>
      <c r="I1376" t="str" cm="1">
        <f t="array" ref="I1376">_xlfn.IFS(B1376&lt;18.5,"Underweight",AND(B1376&gt;=18.5,B1376&lt;=24.99),"Normalweight",AND(B1376&gt;=25,B1376&lt;=29.99),"Overweight",B1376&gt;=30,"Obesity")</f>
        <v>Obesity</v>
      </c>
      <c r="J1376" t="str" cm="1">
        <f t="array" ref="J1376">_xlfn.IFS(C1376&lt;5.7,"Normal",AND(C1376&gt;=5.7,C1376&lt;=6.49),"Prediabetes",C1376&gt;=6.5,"Diabetes")</f>
        <v>Normal</v>
      </c>
    </row>
    <row r="1377" spans="1:10" x14ac:dyDescent="0.3">
      <c r="A1377" t="s">
        <v>995</v>
      </c>
      <c r="B1377" s="8">
        <v>29.7</v>
      </c>
      <c r="C1377">
        <v>7.03</v>
      </c>
      <c r="D1377" t="s">
        <v>2379</v>
      </c>
      <c r="E1377" t="s">
        <v>2379</v>
      </c>
      <c r="F1377" t="s">
        <v>2379</v>
      </c>
      <c r="G1377">
        <v>0</v>
      </c>
      <c r="H1377" t="s">
        <v>2379</v>
      </c>
      <c r="I1377" t="str" cm="1">
        <f t="array" ref="I1377">_xlfn.IFS(B1377&lt;18.5,"Underweight",AND(B1377&gt;=18.5,B1377&lt;=24.99),"Normalweight",AND(B1377&gt;=25,B1377&lt;=29.99),"Overweight",B1377&gt;=30,"Obesity")</f>
        <v>Overweight</v>
      </c>
      <c r="J1377" t="str" cm="1">
        <f t="array" ref="J1377">_xlfn.IFS(C1377&lt;5.7,"Normal",AND(C1377&gt;=5.7,C1377&lt;=6.49),"Prediabetes",C1377&gt;=6.5,"Diabetes")</f>
        <v>Diabetes</v>
      </c>
    </row>
    <row r="1378" spans="1:10" x14ac:dyDescent="0.3">
      <c r="A1378" t="s">
        <v>994</v>
      </c>
      <c r="B1378" s="8">
        <v>40.58</v>
      </c>
      <c r="C1378">
        <v>5.32</v>
      </c>
      <c r="D1378" t="s">
        <v>2381</v>
      </c>
      <c r="E1378" t="s">
        <v>2379</v>
      </c>
      <c r="F1378" t="s">
        <v>2381</v>
      </c>
      <c r="G1378">
        <v>1</v>
      </c>
      <c r="H1378" t="s">
        <v>2379</v>
      </c>
      <c r="I1378" t="str" cm="1">
        <f t="array" ref="I1378">_xlfn.IFS(B1378&lt;18.5,"Underweight",AND(B1378&gt;=18.5,B1378&lt;=24.99),"Normalweight",AND(B1378&gt;=25,B1378&lt;=29.99),"Overweight",B1378&gt;=30,"Obesity")</f>
        <v>Obesity</v>
      </c>
      <c r="J1378" t="str" cm="1">
        <f t="array" ref="J1378">_xlfn.IFS(C1378&lt;5.7,"Normal",AND(C1378&gt;=5.7,C1378&lt;=6.49),"Prediabetes",C1378&gt;=6.5,"Diabetes")</f>
        <v>Normal</v>
      </c>
    </row>
    <row r="1379" spans="1:10" x14ac:dyDescent="0.3">
      <c r="A1379" t="s">
        <v>993</v>
      </c>
      <c r="B1379" s="8">
        <v>33.06</v>
      </c>
      <c r="C1379">
        <v>9.59</v>
      </c>
      <c r="D1379" t="s">
        <v>2381</v>
      </c>
      <c r="E1379" t="s">
        <v>2379</v>
      </c>
      <c r="F1379" t="s">
        <v>2379</v>
      </c>
      <c r="G1379">
        <v>0</v>
      </c>
      <c r="H1379" t="s">
        <v>2379</v>
      </c>
      <c r="I1379" t="str" cm="1">
        <f t="array" ref="I1379">_xlfn.IFS(B1379&lt;18.5,"Underweight",AND(B1379&gt;=18.5,B1379&lt;=24.99),"Normalweight",AND(B1379&gt;=25,B1379&lt;=29.99),"Overweight",B1379&gt;=30,"Obesity")</f>
        <v>Obesity</v>
      </c>
      <c r="J1379" t="str" cm="1">
        <f t="array" ref="J1379">_xlfn.IFS(C1379&lt;5.7,"Normal",AND(C1379&gt;=5.7,C1379&lt;=6.49),"Prediabetes",C1379&gt;=6.5,"Diabetes")</f>
        <v>Diabetes</v>
      </c>
    </row>
    <row r="1380" spans="1:10" x14ac:dyDescent="0.3">
      <c r="A1380" t="s">
        <v>992</v>
      </c>
      <c r="B1380" s="8">
        <v>26.62</v>
      </c>
      <c r="C1380">
        <v>6.15</v>
      </c>
      <c r="D1380" t="s">
        <v>2381</v>
      </c>
      <c r="E1380" t="s">
        <v>2379</v>
      </c>
      <c r="F1380" t="s">
        <v>2379</v>
      </c>
      <c r="G1380">
        <v>0</v>
      </c>
      <c r="H1380" t="s">
        <v>2379</v>
      </c>
      <c r="I1380" t="str" cm="1">
        <f t="array" ref="I1380">_xlfn.IFS(B1380&lt;18.5,"Underweight",AND(B1380&gt;=18.5,B1380&lt;=24.99),"Normalweight",AND(B1380&gt;=25,B1380&lt;=29.99),"Overweight",B1380&gt;=30,"Obesity")</f>
        <v>Overweight</v>
      </c>
      <c r="J1380" t="str" cm="1">
        <f t="array" ref="J1380">_xlfn.IFS(C1380&lt;5.7,"Normal",AND(C1380&gt;=5.7,C1380&lt;=6.49),"Prediabetes",C1380&gt;=6.5,"Diabetes")</f>
        <v>Prediabetes</v>
      </c>
    </row>
    <row r="1381" spans="1:10" x14ac:dyDescent="0.3">
      <c r="A1381" t="s">
        <v>991</v>
      </c>
      <c r="B1381" s="8">
        <v>37.1</v>
      </c>
      <c r="C1381">
        <v>11.08</v>
      </c>
      <c r="D1381" t="s">
        <v>2379</v>
      </c>
      <c r="E1381" t="s">
        <v>2379</v>
      </c>
      <c r="F1381" t="s">
        <v>2379</v>
      </c>
      <c r="G1381">
        <v>0</v>
      </c>
      <c r="H1381" t="s">
        <v>2379</v>
      </c>
      <c r="I1381" t="str" cm="1">
        <f t="array" ref="I1381">_xlfn.IFS(B1381&lt;18.5,"Underweight",AND(B1381&gt;=18.5,B1381&lt;=24.99),"Normalweight",AND(B1381&gt;=25,B1381&lt;=29.99),"Overweight",B1381&gt;=30,"Obesity")</f>
        <v>Obesity</v>
      </c>
      <c r="J1381" t="str" cm="1">
        <f t="array" ref="J1381">_xlfn.IFS(C1381&lt;5.7,"Normal",AND(C1381&gt;=5.7,C1381&lt;=6.49),"Prediabetes",C1381&gt;=6.5,"Diabetes")</f>
        <v>Diabetes</v>
      </c>
    </row>
    <row r="1382" spans="1:10" x14ac:dyDescent="0.3">
      <c r="A1382" t="s">
        <v>990</v>
      </c>
      <c r="B1382" s="8">
        <v>18.28</v>
      </c>
      <c r="C1382">
        <v>7.95</v>
      </c>
      <c r="D1382" t="s">
        <v>2379</v>
      </c>
      <c r="E1382" t="s">
        <v>2379</v>
      </c>
      <c r="F1382" t="s">
        <v>2379</v>
      </c>
      <c r="G1382">
        <v>0</v>
      </c>
      <c r="H1382" t="s">
        <v>2379</v>
      </c>
      <c r="I1382" t="str" cm="1">
        <f t="array" ref="I1382">_xlfn.IFS(B1382&lt;18.5,"Underweight",AND(B1382&gt;=18.5,B1382&lt;=24.99),"Normalweight",AND(B1382&gt;=25,B1382&lt;=29.99),"Overweight",B1382&gt;=30,"Obesity")</f>
        <v>Underweight</v>
      </c>
      <c r="J1382" t="str" cm="1">
        <f t="array" ref="J1382">_xlfn.IFS(C1382&lt;5.7,"Normal",AND(C1382&gt;=5.7,C1382&lt;=6.49),"Prediabetes",C1382&gt;=6.5,"Diabetes")</f>
        <v>Diabetes</v>
      </c>
    </row>
    <row r="1383" spans="1:10" x14ac:dyDescent="0.3">
      <c r="A1383" t="s">
        <v>989</v>
      </c>
      <c r="B1383" s="8">
        <v>35.814999999999998</v>
      </c>
      <c r="C1383">
        <v>6.23</v>
      </c>
      <c r="D1383" t="s">
        <v>2379</v>
      </c>
      <c r="E1383" t="s">
        <v>2379</v>
      </c>
      <c r="F1383" t="s">
        <v>2379</v>
      </c>
      <c r="G1383">
        <v>0</v>
      </c>
      <c r="H1383" t="s">
        <v>2379</v>
      </c>
      <c r="I1383" t="str" cm="1">
        <f t="array" ref="I1383">_xlfn.IFS(B1383&lt;18.5,"Underweight",AND(B1383&gt;=18.5,B1383&lt;=24.99),"Normalweight",AND(B1383&gt;=25,B1383&lt;=29.99),"Overweight",B1383&gt;=30,"Obesity")</f>
        <v>Obesity</v>
      </c>
      <c r="J1383" t="str" cm="1">
        <f t="array" ref="J1383">_xlfn.IFS(C1383&lt;5.7,"Normal",AND(C1383&gt;=5.7,C1383&lt;=6.49),"Prediabetes",C1383&gt;=6.5,"Diabetes")</f>
        <v>Prediabetes</v>
      </c>
    </row>
    <row r="1384" spans="1:10" x14ac:dyDescent="0.3">
      <c r="A1384" t="s">
        <v>988</v>
      </c>
      <c r="B1384" s="8">
        <v>30.69</v>
      </c>
      <c r="C1384">
        <v>6.5</v>
      </c>
      <c r="D1384" t="s">
        <v>2379</v>
      </c>
      <c r="E1384" t="s">
        <v>2379</v>
      </c>
      <c r="F1384" t="s">
        <v>2379</v>
      </c>
      <c r="G1384">
        <v>0</v>
      </c>
      <c r="H1384" t="s">
        <v>2379</v>
      </c>
      <c r="I1384" t="str" cm="1">
        <f t="array" ref="I1384">_xlfn.IFS(B1384&lt;18.5,"Underweight",AND(B1384&gt;=18.5,B1384&lt;=24.99),"Normalweight",AND(B1384&gt;=25,B1384&lt;=29.99),"Overweight",B1384&gt;=30,"Obesity")</f>
        <v>Obesity</v>
      </c>
      <c r="J1384" t="str" cm="1">
        <f t="array" ref="J1384">_xlfn.IFS(C1384&lt;5.7,"Normal",AND(C1384&gt;=5.7,C1384&lt;=6.49),"Prediabetes",C1384&gt;=6.5,"Diabetes")</f>
        <v>Diabetes</v>
      </c>
    </row>
    <row r="1385" spans="1:10" x14ac:dyDescent="0.3">
      <c r="A1385" t="s">
        <v>987</v>
      </c>
      <c r="B1385" s="8">
        <v>26.125</v>
      </c>
      <c r="C1385">
        <v>5.22</v>
      </c>
      <c r="D1385" t="s">
        <v>2379</v>
      </c>
      <c r="E1385" t="s">
        <v>2379</v>
      </c>
      <c r="F1385" t="s">
        <v>2379</v>
      </c>
      <c r="G1385">
        <v>0</v>
      </c>
      <c r="H1385" t="s">
        <v>2379</v>
      </c>
      <c r="I1385" t="str" cm="1">
        <f t="array" ref="I1385">_xlfn.IFS(B1385&lt;18.5,"Underweight",AND(B1385&gt;=18.5,B1385&lt;=24.99),"Normalweight",AND(B1385&gt;=25,B1385&lt;=29.99),"Overweight",B1385&gt;=30,"Obesity")</f>
        <v>Overweight</v>
      </c>
      <c r="J1385" t="str" cm="1">
        <f t="array" ref="J1385">_xlfn.IFS(C1385&lt;5.7,"Normal",AND(C1385&gt;=5.7,C1385&lt;=6.49),"Prediabetes",C1385&gt;=6.5,"Diabetes")</f>
        <v>Normal</v>
      </c>
    </row>
    <row r="1386" spans="1:10" x14ac:dyDescent="0.3">
      <c r="A1386" t="s">
        <v>986</v>
      </c>
      <c r="B1386" s="8">
        <v>34.58</v>
      </c>
      <c r="C1386">
        <v>6.3</v>
      </c>
      <c r="D1386" t="s">
        <v>2379</v>
      </c>
      <c r="E1386" t="s">
        <v>2379</v>
      </c>
      <c r="F1386" t="s">
        <v>2381</v>
      </c>
      <c r="G1386">
        <v>1</v>
      </c>
      <c r="H1386" t="s">
        <v>2379</v>
      </c>
      <c r="I1386" t="str" cm="1">
        <f t="array" ref="I1386">_xlfn.IFS(B1386&lt;18.5,"Underweight",AND(B1386&gt;=18.5,B1386&lt;=24.99),"Normalweight",AND(B1386&gt;=25,B1386&lt;=29.99),"Overweight",B1386&gt;=30,"Obesity")</f>
        <v>Obesity</v>
      </c>
      <c r="J1386" t="str" cm="1">
        <f t="array" ref="J1386">_xlfn.IFS(C1386&lt;5.7,"Normal",AND(C1386&gt;=5.7,C1386&lt;=6.49),"Prediabetes",C1386&gt;=6.5,"Diabetes")</f>
        <v>Prediabetes</v>
      </c>
    </row>
    <row r="1387" spans="1:10" x14ac:dyDescent="0.3">
      <c r="A1387" t="s">
        <v>985</v>
      </c>
      <c r="B1387" s="8">
        <v>27.4</v>
      </c>
      <c r="C1387">
        <v>8.84</v>
      </c>
      <c r="D1387" t="s">
        <v>2379</v>
      </c>
      <c r="E1387" t="s">
        <v>2379</v>
      </c>
      <c r="F1387" t="s">
        <v>2379</v>
      </c>
      <c r="G1387">
        <v>0</v>
      </c>
      <c r="H1387" t="s">
        <v>2379</v>
      </c>
      <c r="I1387" t="str" cm="1">
        <f t="array" ref="I1387">_xlfn.IFS(B1387&lt;18.5,"Underweight",AND(B1387&gt;=18.5,B1387&lt;=24.99),"Normalweight",AND(B1387&gt;=25,B1387&lt;=29.99),"Overweight",B1387&gt;=30,"Obesity")</f>
        <v>Overweight</v>
      </c>
      <c r="J1387" t="str" cm="1">
        <f t="array" ref="J1387">_xlfn.IFS(C1387&lt;5.7,"Normal",AND(C1387&gt;=5.7,C1387&lt;=6.49),"Prediabetes",C1387&gt;=6.5,"Diabetes")</f>
        <v>Diabetes</v>
      </c>
    </row>
    <row r="1388" spans="1:10" x14ac:dyDescent="0.3">
      <c r="A1388" t="s">
        <v>984</v>
      </c>
      <c r="B1388" s="8">
        <v>27.53</v>
      </c>
      <c r="C1388">
        <v>4.1100000000000003</v>
      </c>
      <c r="D1388" t="s">
        <v>2379</v>
      </c>
      <c r="E1388" t="s">
        <v>2379</v>
      </c>
      <c r="F1388" t="s">
        <v>2379</v>
      </c>
      <c r="G1388">
        <v>1</v>
      </c>
      <c r="H1388" t="s">
        <v>2379</v>
      </c>
      <c r="I1388" t="str" cm="1">
        <f t="array" ref="I1388">_xlfn.IFS(B1388&lt;18.5,"Underweight",AND(B1388&gt;=18.5,B1388&lt;=24.99),"Normalweight",AND(B1388&gt;=25,B1388&lt;=29.99),"Overweight",B1388&gt;=30,"Obesity")</f>
        <v>Overweight</v>
      </c>
      <c r="J1388" t="str" cm="1">
        <f t="array" ref="J1388">_xlfn.IFS(C1388&lt;5.7,"Normal",AND(C1388&gt;=5.7,C1388&lt;=6.49),"Prediabetes",C1388&gt;=6.5,"Diabetes")</f>
        <v>Normal</v>
      </c>
    </row>
    <row r="1389" spans="1:10" x14ac:dyDescent="0.3">
      <c r="A1389" t="s">
        <v>983</v>
      </c>
      <c r="B1389" s="8">
        <v>33</v>
      </c>
      <c r="C1389">
        <v>4.57</v>
      </c>
      <c r="D1389" t="s">
        <v>2379</v>
      </c>
      <c r="E1389" t="s">
        <v>2379</v>
      </c>
      <c r="F1389" t="s">
        <v>2379</v>
      </c>
      <c r="G1389">
        <v>0</v>
      </c>
      <c r="H1389" t="s">
        <v>2379</v>
      </c>
      <c r="I1389" t="str" cm="1">
        <f t="array" ref="I1389">_xlfn.IFS(B1389&lt;18.5,"Underweight",AND(B1389&gt;=18.5,B1389&lt;=24.99),"Normalweight",AND(B1389&gt;=25,B1389&lt;=29.99),"Overweight",B1389&gt;=30,"Obesity")</f>
        <v>Obesity</v>
      </c>
      <c r="J1389" t="str" cm="1">
        <f t="array" ref="J1389">_xlfn.IFS(C1389&lt;5.7,"Normal",AND(C1389&gt;=5.7,C1389&lt;=6.49),"Prediabetes",C1389&gt;=6.5,"Diabetes")</f>
        <v>Normal</v>
      </c>
    </row>
    <row r="1390" spans="1:10" x14ac:dyDescent="0.3">
      <c r="A1390" t="s">
        <v>982</v>
      </c>
      <c r="B1390" s="8">
        <v>25.78</v>
      </c>
      <c r="C1390">
        <v>11.06</v>
      </c>
      <c r="D1390" t="s">
        <v>2381</v>
      </c>
      <c r="E1390" t="s">
        <v>2379</v>
      </c>
      <c r="F1390" t="s">
        <v>2379</v>
      </c>
      <c r="G1390">
        <v>0</v>
      </c>
      <c r="H1390" t="s">
        <v>2379</v>
      </c>
      <c r="I1390" t="str" cm="1">
        <f t="array" ref="I1390">_xlfn.IFS(B1390&lt;18.5,"Underweight",AND(B1390&gt;=18.5,B1390&lt;=24.99),"Normalweight",AND(B1390&gt;=25,B1390&lt;=29.99),"Overweight",B1390&gt;=30,"Obesity")</f>
        <v>Overweight</v>
      </c>
      <c r="J1390" t="str" cm="1">
        <f t="array" ref="J1390">_xlfn.IFS(C1390&lt;5.7,"Normal",AND(C1390&gt;=5.7,C1390&lt;=6.49),"Prediabetes",C1390&gt;=6.5,"Diabetes")</f>
        <v>Diabetes</v>
      </c>
    </row>
    <row r="1391" spans="1:10" x14ac:dyDescent="0.3">
      <c r="A1391" t="s">
        <v>981</v>
      </c>
      <c r="B1391" s="8">
        <v>22.66</v>
      </c>
      <c r="C1391">
        <v>10.68</v>
      </c>
      <c r="D1391" t="s">
        <v>2379</v>
      </c>
      <c r="E1391" t="s">
        <v>2379</v>
      </c>
      <c r="F1391" t="s">
        <v>2379</v>
      </c>
      <c r="G1391">
        <v>0</v>
      </c>
      <c r="H1391" t="s">
        <v>2379</v>
      </c>
      <c r="I1391" t="str" cm="1">
        <f t="array" ref="I1391">_xlfn.IFS(B1391&lt;18.5,"Underweight",AND(B1391&gt;=18.5,B1391&lt;=24.99),"Normalweight",AND(B1391&gt;=25,B1391&lt;=29.99),"Overweight",B1391&gt;=30,"Obesity")</f>
        <v>Normalweight</v>
      </c>
      <c r="J1391" t="str" cm="1">
        <f t="array" ref="J1391">_xlfn.IFS(C1391&lt;5.7,"Normal",AND(C1391&gt;=5.7,C1391&lt;=6.49),"Prediabetes",C1391&gt;=6.5,"Diabetes")</f>
        <v>Diabetes</v>
      </c>
    </row>
    <row r="1392" spans="1:10" x14ac:dyDescent="0.3">
      <c r="A1392" t="s">
        <v>980</v>
      </c>
      <c r="B1392" s="8">
        <v>38.81</v>
      </c>
      <c r="C1392">
        <v>6.14</v>
      </c>
      <c r="D1392" t="s">
        <v>2381</v>
      </c>
      <c r="E1392" t="s">
        <v>2379</v>
      </c>
      <c r="F1392" t="s">
        <v>2379</v>
      </c>
      <c r="G1392">
        <v>1</v>
      </c>
      <c r="H1392" t="s">
        <v>2379</v>
      </c>
      <c r="I1392" t="str" cm="1">
        <f t="array" ref="I1392">_xlfn.IFS(B1392&lt;18.5,"Underweight",AND(B1392&gt;=18.5,B1392&lt;=24.99),"Normalweight",AND(B1392&gt;=25,B1392&lt;=29.99),"Overweight",B1392&gt;=30,"Obesity")</f>
        <v>Obesity</v>
      </c>
      <c r="J1392" t="str" cm="1">
        <f t="array" ref="J1392">_xlfn.IFS(C1392&lt;5.7,"Normal",AND(C1392&gt;=5.7,C1392&lt;=6.49),"Prediabetes",C1392&gt;=6.5,"Diabetes")</f>
        <v>Prediabetes</v>
      </c>
    </row>
    <row r="1393" spans="1:10" x14ac:dyDescent="0.3">
      <c r="A1393" t="s">
        <v>979</v>
      </c>
      <c r="B1393" s="8">
        <v>38.51</v>
      </c>
      <c r="C1393">
        <v>5.45</v>
      </c>
      <c r="D1393" t="s">
        <v>2381</v>
      </c>
      <c r="E1393" t="s">
        <v>2379</v>
      </c>
      <c r="F1393" t="s">
        <v>2379</v>
      </c>
      <c r="G1393">
        <v>0</v>
      </c>
      <c r="H1393" t="s">
        <v>2379</v>
      </c>
      <c r="I1393" t="str" cm="1">
        <f t="array" ref="I1393">_xlfn.IFS(B1393&lt;18.5,"Underweight",AND(B1393&gt;=18.5,B1393&lt;=24.99),"Normalweight",AND(B1393&gt;=25,B1393&lt;=29.99),"Overweight",B1393&gt;=30,"Obesity")</f>
        <v>Obesity</v>
      </c>
      <c r="J1393" t="str" cm="1">
        <f t="array" ref="J1393">_xlfn.IFS(C1393&lt;5.7,"Normal",AND(C1393&gt;=5.7,C1393&lt;=6.49),"Prediabetes",C1393&gt;=6.5,"Diabetes")</f>
        <v>Normal</v>
      </c>
    </row>
    <row r="1394" spans="1:10" x14ac:dyDescent="0.3">
      <c r="A1394" t="s">
        <v>978</v>
      </c>
      <c r="B1394" s="8">
        <v>22.98</v>
      </c>
      <c r="C1394">
        <v>6.14</v>
      </c>
      <c r="D1394" t="s">
        <v>2381</v>
      </c>
      <c r="E1394" t="s">
        <v>2379</v>
      </c>
      <c r="F1394" t="s">
        <v>2379</v>
      </c>
      <c r="G1394">
        <v>0</v>
      </c>
      <c r="H1394" t="s">
        <v>2379</v>
      </c>
      <c r="I1394" t="str" cm="1">
        <f t="array" ref="I1394">_xlfn.IFS(B1394&lt;18.5,"Underweight",AND(B1394&gt;=18.5,B1394&lt;=24.99),"Normalweight",AND(B1394&gt;=25,B1394&lt;=29.99),"Overweight",B1394&gt;=30,"Obesity")</f>
        <v>Normalweight</v>
      </c>
      <c r="J1394" t="str" cm="1">
        <f t="array" ref="J1394">_xlfn.IFS(C1394&lt;5.7,"Normal",AND(C1394&gt;=5.7,C1394&lt;=6.49),"Prediabetes",C1394&gt;=6.5,"Diabetes")</f>
        <v>Prediabetes</v>
      </c>
    </row>
    <row r="1395" spans="1:10" x14ac:dyDescent="0.3">
      <c r="A1395" t="s">
        <v>977</v>
      </c>
      <c r="B1395" s="8">
        <v>15.65</v>
      </c>
      <c r="C1395">
        <v>7.85</v>
      </c>
      <c r="D1395" t="s">
        <v>2379</v>
      </c>
      <c r="E1395" t="s">
        <v>2379</v>
      </c>
      <c r="F1395" t="s">
        <v>2379</v>
      </c>
      <c r="G1395">
        <v>0</v>
      </c>
      <c r="H1395" t="s">
        <v>2379</v>
      </c>
      <c r="I1395" t="str" cm="1">
        <f t="array" ref="I1395">_xlfn.IFS(B1395&lt;18.5,"Underweight",AND(B1395&gt;=18.5,B1395&lt;=24.99),"Normalweight",AND(B1395&gt;=25,B1395&lt;=29.99),"Overweight",B1395&gt;=30,"Obesity")</f>
        <v>Underweight</v>
      </c>
      <c r="J1395" t="str" cm="1">
        <f t="array" ref="J1395">_xlfn.IFS(C1395&lt;5.7,"Normal",AND(C1395&gt;=5.7,C1395&lt;=6.49),"Prediabetes",C1395&gt;=6.5,"Diabetes")</f>
        <v>Diabetes</v>
      </c>
    </row>
    <row r="1396" spans="1:10" x14ac:dyDescent="0.3">
      <c r="A1396" t="s">
        <v>976</v>
      </c>
      <c r="B1396" s="8">
        <v>39.97</v>
      </c>
      <c r="C1396">
        <v>4.09</v>
      </c>
      <c r="D1396" t="s">
        <v>2379</v>
      </c>
      <c r="E1396" t="s">
        <v>2379</v>
      </c>
      <c r="F1396" t="s">
        <v>2379</v>
      </c>
      <c r="G1396">
        <v>1</v>
      </c>
      <c r="H1396" t="s">
        <v>2379</v>
      </c>
      <c r="I1396" t="str" cm="1">
        <f t="array" ref="I1396">_xlfn.IFS(B1396&lt;18.5,"Underweight",AND(B1396&gt;=18.5,B1396&lt;=24.99),"Normalweight",AND(B1396&gt;=25,B1396&lt;=29.99),"Overweight",B1396&gt;=30,"Obesity")</f>
        <v>Obesity</v>
      </c>
      <c r="J1396" t="str" cm="1">
        <f t="array" ref="J1396">_xlfn.IFS(C1396&lt;5.7,"Normal",AND(C1396&gt;=5.7,C1396&lt;=6.49),"Prediabetes",C1396&gt;=6.5,"Diabetes")</f>
        <v>Normal</v>
      </c>
    </row>
    <row r="1397" spans="1:10" x14ac:dyDescent="0.3">
      <c r="A1397" t="s">
        <v>975</v>
      </c>
      <c r="B1397" s="8">
        <v>37.22</v>
      </c>
      <c r="C1397">
        <v>4.62</v>
      </c>
      <c r="D1397" t="s">
        <v>2379</v>
      </c>
      <c r="E1397" t="s">
        <v>2379</v>
      </c>
      <c r="F1397" t="s">
        <v>2381</v>
      </c>
      <c r="G1397">
        <v>1</v>
      </c>
      <c r="H1397" t="s">
        <v>2379</v>
      </c>
      <c r="I1397" t="str" cm="1">
        <f t="array" ref="I1397">_xlfn.IFS(B1397&lt;18.5,"Underweight",AND(B1397&gt;=18.5,B1397&lt;=24.99),"Normalweight",AND(B1397&gt;=25,B1397&lt;=29.99),"Overweight",B1397&gt;=30,"Obesity")</f>
        <v>Obesity</v>
      </c>
      <c r="J1397" t="str" cm="1">
        <f t="array" ref="J1397">_xlfn.IFS(C1397&lt;5.7,"Normal",AND(C1397&gt;=5.7,C1397&lt;=6.49),"Prediabetes",C1397&gt;=6.5,"Diabetes")</f>
        <v>Normal</v>
      </c>
    </row>
    <row r="1398" spans="1:10" x14ac:dyDescent="0.3">
      <c r="A1398" t="s">
        <v>974</v>
      </c>
      <c r="B1398" s="8">
        <v>41.325000000000003</v>
      </c>
      <c r="C1398">
        <v>5.77</v>
      </c>
      <c r="D1398" t="s">
        <v>2379</v>
      </c>
      <c r="E1398" t="s">
        <v>2379</v>
      </c>
      <c r="F1398" t="s">
        <v>2379</v>
      </c>
      <c r="G1398">
        <v>0</v>
      </c>
      <c r="H1398" t="s">
        <v>2379</v>
      </c>
      <c r="I1398" t="str" cm="1">
        <f t="array" ref="I1398">_xlfn.IFS(B1398&lt;18.5,"Underweight",AND(B1398&gt;=18.5,B1398&lt;=24.99),"Normalweight",AND(B1398&gt;=25,B1398&lt;=29.99),"Overweight",B1398&gt;=30,"Obesity")</f>
        <v>Obesity</v>
      </c>
      <c r="J1398" t="str" cm="1">
        <f t="array" ref="J1398">_xlfn.IFS(C1398&lt;5.7,"Normal",AND(C1398&gt;=5.7,C1398&lt;=6.49),"Prediabetes",C1398&gt;=6.5,"Diabetes")</f>
        <v>Prediabetes</v>
      </c>
    </row>
    <row r="1399" spans="1:10" x14ac:dyDescent="0.3">
      <c r="A1399" t="s">
        <v>973</v>
      </c>
      <c r="B1399" s="8">
        <v>40.31</v>
      </c>
      <c r="C1399">
        <v>5.84</v>
      </c>
      <c r="D1399" t="s">
        <v>2379</v>
      </c>
      <c r="E1399" t="s">
        <v>2379</v>
      </c>
      <c r="F1399" t="s">
        <v>2379</v>
      </c>
      <c r="G1399">
        <v>0</v>
      </c>
      <c r="H1399" t="s">
        <v>2379</v>
      </c>
      <c r="I1399" t="str" cm="1">
        <f t="array" ref="I1399">_xlfn.IFS(B1399&lt;18.5,"Underweight",AND(B1399&gt;=18.5,B1399&lt;=24.99),"Normalweight",AND(B1399&gt;=25,B1399&lt;=29.99),"Overweight",B1399&gt;=30,"Obesity")</f>
        <v>Obesity</v>
      </c>
      <c r="J1399" t="str" cm="1">
        <f t="array" ref="J1399">_xlfn.IFS(C1399&lt;5.7,"Normal",AND(C1399&gt;=5.7,C1399&lt;=6.49),"Prediabetes",C1399&gt;=6.5,"Diabetes")</f>
        <v>Prediabetes</v>
      </c>
    </row>
    <row r="1400" spans="1:10" x14ac:dyDescent="0.3">
      <c r="A1400" t="s">
        <v>972</v>
      </c>
      <c r="B1400" s="8">
        <v>29.48</v>
      </c>
      <c r="C1400">
        <v>4.91</v>
      </c>
      <c r="D1400" t="s">
        <v>2379</v>
      </c>
      <c r="E1400" t="s">
        <v>2379</v>
      </c>
      <c r="F1400" t="s">
        <v>2379</v>
      </c>
      <c r="G1400">
        <v>0</v>
      </c>
      <c r="H1400" t="s">
        <v>2379</v>
      </c>
      <c r="I1400" t="str" cm="1">
        <f t="array" ref="I1400">_xlfn.IFS(B1400&lt;18.5,"Underweight",AND(B1400&gt;=18.5,B1400&lt;=24.99),"Normalweight",AND(B1400&gt;=25,B1400&lt;=29.99),"Overweight",B1400&gt;=30,"Obesity")</f>
        <v>Overweight</v>
      </c>
      <c r="J1400" t="str" cm="1">
        <f t="array" ref="J1400">_xlfn.IFS(C1400&lt;5.7,"Normal",AND(C1400&gt;=5.7,C1400&lt;=6.49),"Prediabetes",C1400&gt;=6.5,"Diabetes")</f>
        <v>Normal</v>
      </c>
    </row>
    <row r="1401" spans="1:10" x14ac:dyDescent="0.3">
      <c r="A1401" t="s">
        <v>971</v>
      </c>
      <c r="B1401" s="8">
        <v>33.155000000000001</v>
      </c>
      <c r="C1401">
        <v>5.07</v>
      </c>
      <c r="D1401" t="s">
        <v>2379</v>
      </c>
      <c r="E1401" t="s">
        <v>2379</v>
      </c>
      <c r="F1401" t="s">
        <v>2379</v>
      </c>
      <c r="G1401">
        <v>0</v>
      </c>
      <c r="H1401" t="s">
        <v>2379</v>
      </c>
      <c r="I1401" t="str" cm="1">
        <f t="array" ref="I1401">_xlfn.IFS(B1401&lt;18.5,"Underweight",AND(B1401&gt;=18.5,B1401&lt;=24.99),"Normalweight",AND(B1401&gt;=25,B1401&lt;=29.99),"Overweight",B1401&gt;=30,"Obesity")</f>
        <v>Obesity</v>
      </c>
      <c r="J1401" t="str" cm="1">
        <f t="array" ref="J1401">_xlfn.IFS(C1401&lt;5.7,"Normal",AND(C1401&gt;=5.7,C1401&lt;=6.49),"Prediabetes",C1401&gt;=6.5,"Diabetes")</f>
        <v>Normal</v>
      </c>
    </row>
    <row r="1402" spans="1:10" x14ac:dyDescent="0.3">
      <c r="A1402" t="s">
        <v>970</v>
      </c>
      <c r="B1402" s="8">
        <v>42.85</v>
      </c>
      <c r="C1402">
        <v>5.81</v>
      </c>
      <c r="D1402" t="s">
        <v>2381</v>
      </c>
      <c r="E1402" t="s">
        <v>2379</v>
      </c>
      <c r="F1402" t="s">
        <v>2379</v>
      </c>
      <c r="G1402">
        <v>0</v>
      </c>
      <c r="H1402" t="s">
        <v>2379</v>
      </c>
      <c r="I1402" t="str" cm="1">
        <f t="array" ref="I1402">_xlfn.IFS(B1402&lt;18.5,"Underweight",AND(B1402&gt;=18.5,B1402&lt;=24.99),"Normalweight",AND(B1402&gt;=25,B1402&lt;=29.99),"Overweight",B1402&gt;=30,"Obesity")</f>
        <v>Obesity</v>
      </c>
      <c r="J1402" t="str" cm="1">
        <f t="array" ref="J1402">_xlfn.IFS(C1402&lt;5.7,"Normal",AND(C1402&gt;=5.7,C1402&lt;=6.49),"Prediabetes",C1402&gt;=6.5,"Diabetes")</f>
        <v>Prediabetes</v>
      </c>
    </row>
    <row r="1403" spans="1:10" x14ac:dyDescent="0.3">
      <c r="A1403" t="s">
        <v>969</v>
      </c>
      <c r="B1403" s="8">
        <v>32.340000000000003</v>
      </c>
      <c r="C1403">
        <v>11.2</v>
      </c>
      <c r="D1403" t="s">
        <v>2379</v>
      </c>
      <c r="E1403" t="s">
        <v>2379</v>
      </c>
      <c r="F1403" t="s">
        <v>2379</v>
      </c>
      <c r="G1403">
        <v>0</v>
      </c>
      <c r="H1403" t="s">
        <v>2379</v>
      </c>
      <c r="I1403" t="str" cm="1">
        <f t="array" ref="I1403">_xlfn.IFS(B1403&lt;18.5,"Underweight",AND(B1403&gt;=18.5,B1403&lt;=24.99),"Normalweight",AND(B1403&gt;=25,B1403&lt;=29.99),"Overweight",B1403&gt;=30,"Obesity")</f>
        <v>Obesity</v>
      </c>
      <c r="J1403" t="str" cm="1">
        <f t="array" ref="J1403">_xlfn.IFS(C1403&lt;5.7,"Normal",AND(C1403&gt;=5.7,C1403&lt;=6.49),"Prediabetes",C1403&gt;=6.5,"Diabetes")</f>
        <v>Diabetes</v>
      </c>
    </row>
    <row r="1404" spans="1:10" x14ac:dyDescent="0.3">
      <c r="A1404" t="s">
        <v>968</v>
      </c>
      <c r="B1404" s="8">
        <v>27.5</v>
      </c>
      <c r="C1404">
        <v>10.75</v>
      </c>
      <c r="D1404" t="s">
        <v>2379</v>
      </c>
      <c r="E1404" t="s">
        <v>2379</v>
      </c>
      <c r="F1404" t="s">
        <v>2379</v>
      </c>
      <c r="G1404">
        <v>0</v>
      </c>
      <c r="H1404" t="s">
        <v>2379</v>
      </c>
      <c r="I1404" t="str" cm="1">
        <f t="array" ref="I1404">_xlfn.IFS(B1404&lt;18.5,"Underweight",AND(B1404&gt;=18.5,B1404&lt;=24.99),"Normalweight",AND(B1404&gt;=25,B1404&lt;=29.99),"Overweight",B1404&gt;=30,"Obesity")</f>
        <v>Overweight</v>
      </c>
      <c r="J1404" t="str" cm="1">
        <f t="array" ref="J1404">_xlfn.IFS(C1404&lt;5.7,"Normal",AND(C1404&gt;=5.7,C1404&lt;=6.49),"Prediabetes",C1404&gt;=6.5,"Diabetes")</f>
        <v>Diabetes</v>
      </c>
    </row>
    <row r="1405" spans="1:10" x14ac:dyDescent="0.3">
      <c r="A1405" t="s">
        <v>967</v>
      </c>
      <c r="B1405" s="8">
        <v>25.8</v>
      </c>
      <c r="C1405">
        <v>7.8</v>
      </c>
      <c r="D1405" t="s">
        <v>2379</v>
      </c>
      <c r="E1405" t="s">
        <v>2379</v>
      </c>
      <c r="F1405" t="s">
        <v>2379</v>
      </c>
      <c r="G1405">
        <v>0</v>
      </c>
      <c r="H1405" t="s">
        <v>2379</v>
      </c>
      <c r="I1405" t="str" cm="1">
        <f t="array" ref="I1405">_xlfn.IFS(B1405&lt;18.5,"Underweight",AND(B1405&gt;=18.5,B1405&lt;=24.99),"Normalweight",AND(B1405&gt;=25,B1405&lt;=29.99),"Overweight",B1405&gt;=30,"Obesity")</f>
        <v>Overweight</v>
      </c>
      <c r="J1405" t="str" cm="1">
        <f t="array" ref="J1405">_xlfn.IFS(C1405&lt;5.7,"Normal",AND(C1405&gt;=5.7,C1405&lt;=6.49),"Prediabetes",C1405&gt;=6.5,"Diabetes")</f>
        <v>Diabetes</v>
      </c>
    </row>
    <row r="1406" spans="1:10" x14ac:dyDescent="0.3">
      <c r="A1406" t="s">
        <v>966</v>
      </c>
      <c r="B1406" s="8">
        <v>25</v>
      </c>
      <c r="C1406">
        <v>7.04</v>
      </c>
      <c r="D1406" t="s">
        <v>2379</v>
      </c>
      <c r="E1406" t="s">
        <v>2379</v>
      </c>
      <c r="F1406" t="s">
        <v>2379</v>
      </c>
      <c r="G1406">
        <v>0</v>
      </c>
      <c r="H1406" t="s">
        <v>2379</v>
      </c>
      <c r="I1406" t="str" cm="1">
        <f t="array" ref="I1406">_xlfn.IFS(B1406&lt;18.5,"Underweight",AND(B1406&gt;=18.5,B1406&lt;=24.99),"Normalweight",AND(B1406&gt;=25,B1406&lt;=29.99),"Overweight",B1406&gt;=30,"Obesity")</f>
        <v>Overweight</v>
      </c>
      <c r="J1406" t="str" cm="1">
        <f t="array" ref="J1406">_xlfn.IFS(C1406&lt;5.7,"Normal",AND(C1406&gt;=5.7,C1406&lt;=6.49),"Prediabetes",C1406&gt;=6.5,"Diabetes")</f>
        <v>Diabetes</v>
      </c>
    </row>
    <row r="1407" spans="1:10" x14ac:dyDescent="0.3">
      <c r="A1407" t="s">
        <v>965</v>
      </c>
      <c r="B1407" s="8">
        <v>41.2</v>
      </c>
      <c r="C1407">
        <v>4.18</v>
      </c>
      <c r="D1407" t="s">
        <v>2381</v>
      </c>
      <c r="E1407" t="s">
        <v>2379</v>
      </c>
      <c r="F1407" t="s">
        <v>2379</v>
      </c>
      <c r="G1407">
        <v>0</v>
      </c>
      <c r="H1407" t="s">
        <v>2379</v>
      </c>
      <c r="I1407" t="str" cm="1">
        <f t="array" ref="I1407">_xlfn.IFS(B1407&lt;18.5,"Underweight",AND(B1407&gt;=18.5,B1407&lt;=24.99),"Normalweight",AND(B1407&gt;=25,B1407&lt;=29.99),"Overweight",B1407&gt;=30,"Obesity")</f>
        <v>Obesity</v>
      </c>
      <c r="J1407" t="str" cm="1">
        <f t="array" ref="J1407">_xlfn.IFS(C1407&lt;5.7,"Normal",AND(C1407&gt;=5.7,C1407&lt;=6.49),"Prediabetes",C1407&gt;=6.5,"Diabetes")</f>
        <v>Normal</v>
      </c>
    </row>
    <row r="1408" spans="1:10" x14ac:dyDescent="0.3">
      <c r="A1408" t="s">
        <v>964</v>
      </c>
      <c r="B1408" s="8">
        <v>17.78</v>
      </c>
      <c r="C1408">
        <v>8.19</v>
      </c>
      <c r="D1408" t="s">
        <v>2379</v>
      </c>
      <c r="E1408" t="s">
        <v>2379</v>
      </c>
      <c r="F1408" t="s">
        <v>2379</v>
      </c>
      <c r="G1408">
        <v>0</v>
      </c>
      <c r="H1408" t="s">
        <v>2379</v>
      </c>
      <c r="I1408" t="str" cm="1">
        <f t="array" ref="I1408">_xlfn.IFS(B1408&lt;18.5,"Underweight",AND(B1408&gt;=18.5,B1408&lt;=24.99),"Normalweight",AND(B1408&gt;=25,B1408&lt;=29.99),"Overweight",B1408&gt;=30,"Obesity")</f>
        <v>Underweight</v>
      </c>
      <c r="J1408" t="str" cm="1">
        <f t="array" ref="J1408">_xlfn.IFS(C1408&lt;5.7,"Normal",AND(C1408&gt;=5.7,C1408&lt;=6.49),"Prediabetes",C1408&gt;=6.5,"Diabetes")</f>
        <v>Diabetes</v>
      </c>
    </row>
    <row r="1409" spans="1:10" x14ac:dyDescent="0.3">
      <c r="A1409" t="s">
        <v>963</v>
      </c>
      <c r="B1409" s="8">
        <v>40.119999999999997</v>
      </c>
      <c r="C1409">
        <v>6.22</v>
      </c>
      <c r="D1409" t="s">
        <v>2381</v>
      </c>
      <c r="E1409" t="s">
        <v>2379</v>
      </c>
      <c r="F1409" t="s">
        <v>2381</v>
      </c>
      <c r="G1409">
        <v>1</v>
      </c>
      <c r="H1409" t="s">
        <v>2379</v>
      </c>
      <c r="I1409" t="str" cm="1">
        <f t="array" ref="I1409">_xlfn.IFS(B1409&lt;18.5,"Underweight",AND(B1409&gt;=18.5,B1409&lt;=24.99),"Normalweight",AND(B1409&gt;=25,B1409&lt;=29.99),"Overweight",B1409&gt;=30,"Obesity")</f>
        <v>Obesity</v>
      </c>
      <c r="J1409" t="str" cm="1">
        <f t="array" ref="J1409">_xlfn.IFS(C1409&lt;5.7,"Normal",AND(C1409&gt;=5.7,C1409&lt;=6.49),"Prediabetes",C1409&gt;=6.5,"Diabetes")</f>
        <v>Prediabetes</v>
      </c>
    </row>
    <row r="1410" spans="1:10" x14ac:dyDescent="0.3">
      <c r="A1410" t="s">
        <v>962</v>
      </c>
      <c r="B1410" s="8">
        <v>19.350000000000001</v>
      </c>
      <c r="C1410">
        <v>8.2200000000000006</v>
      </c>
      <c r="D1410" t="s">
        <v>2381</v>
      </c>
      <c r="E1410" t="s">
        <v>2379</v>
      </c>
      <c r="F1410" t="s">
        <v>2379</v>
      </c>
      <c r="G1410">
        <v>0</v>
      </c>
      <c r="H1410" t="s">
        <v>2379</v>
      </c>
      <c r="I1410" t="str" cm="1">
        <f t="array" ref="I1410">_xlfn.IFS(B1410&lt;18.5,"Underweight",AND(B1410&gt;=18.5,B1410&lt;=24.99),"Normalweight",AND(B1410&gt;=25,B1410&lt;=29.99),"Overweight",B1410&gt;=30,"Obesity")</f>
        <v>Normalweight</v>
      </c>
      <c r="J1410" t="str" cm="1">
        <f t="array" ref="J1410">_xlfn.IFS(C1410&lt;5.7,"Normal",AND(C1410&gt;=5.7,C1410&lt;=6.49),"Prediabetes",C1410&gt;=6.5,"Diabetes")</f>
        <v>Diabetes</v>
      </c>
    </row>
    <row r="1411" spans="1:10" x14ac:dyDescent="0.3">
      <c r="A1411" t="s">
        <v>961</v>
      </c>
      <c r="B1411" s="8">
        <v>36.69</v>
      </c>
      <c r="C1411">
        <v>6.15</v>
      </c>
      <c r="D1411" t="s">
        <v>2379</v>
      </c>
      <c r="E1411" t="s">
        <v>2379</v>
      </c>
      <c r="F1411" t="s">
        <v>2379</v>
      </c>
      <c r="G1411">
        <v>0</v>
      </c>
      <c r="H1411" t="s">
        <v>2379</v>
      </c>
      <c r="I1411" t="str" cm="1">
        <f t="array" ref="I1411">_xlfn.IFS(B1411&lt;18.5,"Underweight",AND(B1411&gt;=18.5,B1411&lt;=24.99),"Normalweight",AND(B1411&gt;=25,B1411&lt;=29.99),"Overweight",B1411&gt;=30,"Obesity")</f>
        <v>Obesity</v>
      </c>
      <c r="J1411" t="str" cm="1">
        <f t="array" ref="J1411">_xlfn.IFS(C1411&lt;5.7,"Normal",AND(C1411&gt;=5.7,C1411&lt;=6.49),"Prediabetes",C1411&gt;=6.5,"Diabetes")</f>
        <v>Prediabetes</v>
      </c>
    </row>
    <row r="1412" spans="1:10" x14ac:dyDescent="0.3">
      <c r="A1412" t="s">
        <v>960</v>
      </c>
      <c r="B1412" s="8">
        <v>28.51</v>
      </c>
      <c r="C1412">
        <v>5.65</v>
      </c>
      <c r="D1412" t="s">
        <v>2381</v>
      </c>
      <c r="E1412" t="s">
        <v>2379</v>
      </c>
      <c r="F1412" t="s">
        <v>2379</v>
      </c>
      <c r="G1412">
        <v>1</v>
      </c>
      <c r="H1412" t="s">
        <v>2379</v>
      </c>
      <c r="I1412" t="str" cm="1">
        <f t="array" ref="I1412">_xlfn.IFS(B1412&lt;18.5,"Underweight",AND(B1412&gt;=18.5,B1412&lt;=24.99),"Normalweight",AND(B1412&gt;=25,B1412&lt;=29.99),"Overweight",B1412&gt;=30,"Obesity")</f>
        <v>Overweight</v>
      </c>
      <c r="J1412" t="str" cm="1">
        <f t="array" ref="J1412">_xlfn.IFS(C1412&lt;5.7,"Normal",AND(C1412&gt;=5.7,C1412&lt;=6.49),"Prediabetes",C1412&gt;=6.5,"Diabetes")</f>
        <v>Normal</v>
      </c>
    </row>
    <row r="1413" spans="1:10" x14ac:dyDescent="0.3">
      <c r="A1413" t="s">
        <v>959</v>
      </c>
      <c r="B1413" s="8">
        <v>30.21</v>
      </c>
      <c r="C1413">
        <v>5.5</v>
      </c>
      <c r="D1413" t="s">
        <v>2379</v>
      </c>
      <c r="E1413" t="s">
        <v>2379</v>
      </c>
      <c r="F1413" t="s">
        <v>2379</v>
      </c>
      <c r="G1413">
        <v>1</v>
      </c>
      <c r="H1413" t="s">
        <v>2379</v>
      </c>
      <c r="I1413" t="str" cm="1">
        <f t="array" ref="I1413">_xlfn.IFS(B1413&lt;18.5,"Underweight",AND(B1413&gt;=18.5,B1413&lt;=24.99),"Normalweight",AND(B1413&gt;=25,B1413&lt;=29.99),"Overweight",B1413&gt;=30,"Obesity")</f>
        <v>Obesity</v>
      </c>
      <c r="J1413" t="str" cm="1">
        <f t="array" ref="J1413">_xlfn.IFS(C1413&lt;5.7,"Normal",AND(C1413&gt;=5.7,C1413&lt;=6.49),"Prediabetes",C1413&gt;=6.5,"Diabetes")</f>
        <v>Normal</v>
      </c>
    </row>
    <row r="1414" spans="1:10" x14ac:dyDescent="0.3">
      <c r="A1414" t="s">
        <v>958</v>
      </c>
      <c r="B1414" s="8">
        <v>24.33</v>
      </c>
      <c r="C1414">
        <v>8</v>
      </c>
      <c r="D1414" t="s">
        <v>2379</v>
      </c>
      <c r="E1414" t="s">
        <v>2379</v>
      </c>
      <c r="F1414" t="s">
        <v>2379</v>
      </c>
      <c r="G1414">
        <v>0</v>
      </c>
      <c r="H1414" t="s">
        <v>2379</v>
      </c>
      <c r="I1414" t="str" cm="1">
        <f t="array" ref="I1414">_xlfn.IFS(B1414&lt;18.5,"Underweight",AND(B1414&gt;=18.5,B1414&lt;=24.99),"Normalweight",AND(B1414&gt;=25,B1414&lt;=29.99),"Overweight",B1414&gt;=30,"Obesity")</f>
        <v>Normalweight</v>
      </c>
      <c r="J1414" t="str" cm="1">
        <f t="array" ref="J1414">_xlfn.IFS(C1414&lt;5.7,"Normal",AND(C1414&gt;=5.7,C1414&lt;=6.49),"Prediabetes",C1414&gt;=6.5,"Diabetes")</f>
        <v>Diabetes</v>
      </c>
    </row>
    <row r="1415" spans="1:10" x14ac:dyDescent="0.3">
      <c r="A1415" t="s">
        <v>957</v>
      </c>
      <c r="B1415" s="8">
        <v>19.855</v>
      </c>
      <c r="C1415">
        <v>5.71</v>
      </c>
      <c r="D1415" t="s">
        <v>2381</v>
      </c>
      <c r="E1415" t="s">
        <v>2379</v>
      </c>
      <c r="F1415" t="s">
        <v>2379</v>
      </c>
      <c r="G1415">
        <v>0</v>
      </c>
      <c r="H1415" t="s">
        <v>2379</v>
      </c>
      <c r="I1415" t="str" cm="1">
        <f t="array" ref="I1415">_xlfn.IFS(B1415&lt;18.5,"Underweight",AND(B1415&gt;=18.5,B1415&lt;=24.99),"Normalweight",AND(B1415&gt;=25,B1415&lt;=29.99),"Overweight",B1415&gt;=30,"Obesity")</f>
        <v>Normalweight</v>
      </c>
      <c r="J1415" t="str" cm="1">
        <f t="array" ref="J1415">_xlfn.IFS(C1415&lt;5.7,"Normal",AND(C1415&gt;=5.7,C1415&lt;=6.49),"Prediabetes",C1415&gt;=6.5,"Diabetes")</f>
        <v>Prediabetes</v>
      </c>
    </row>
    <row r="1416" spans="1:10" x14ac:dyDescent="0.3">
      <c r="A1416" t="s">
        <v>956</v>
      </c>
      <c r="B1416" s="8">
        <v>25.364999999999998</v>
      </c>
      <c r="C1416">
        <v>11.71</v>
      </c>
      <c r="D1416" t="s">
        <v>2379</v>
      </c>
      <c r="E1416" t="s">
        <v>2379</v>
      </c>
      <c r="F1416" t="s">
        <v>2379</v>
      </c>
      <c r="G1416">
        <v>0</v>
      </c>
      <c r="H1416" t="s">
        <v>2379</v>
      </c>
      <c r="I1416" t="str" cm="1">
        <f t="array" ref="I1416">_xlfn.IFS(B1416&lt;18.5,"Underweight",AND(B1416&gt;=18.5,B1416&lt;=24.99),"Normalweight",AND(B1416&gt;=25,B1416&lt;=29.99),"Overweight",B1416&gt;=30,"Obesity")</f>
        <v>Overweight</v>
      </c>
      <c r="J1416" t="str" cm="1">
        <f t="array" ref="J1416">_xlfn.IFS(C1416&lt;5.7,"Normal",AND(C1416&gt;=5.7,C1416&lt;=6.49),"Prediabetes",C1416&gt;=6.5,"Diabetes")</f>
        <v>Diabetes</v>
      </c>
    </row>
    <row r="1417" spans="1:10" x14ac:dyDescent="0.3">
      <c r="A1417" t="s">
        <v>955</v>
      </c>
      <c r="B1417" s="8">
        <v>29.6</v>
      </c>
      <c r="C1417">
        <v>6.17</v>
      </c>
      <c r="D1417" t="s">
        <v>2381</v>
      </c>
      <c r="E1417" t="s">
        <v>2379</v>
      </c>
      <c r="F1417" t="s">
        <v>2381</v>
      </c>
      <c r="G1417">
        <v>1</v>
      </c>
      <c r="H1417" t="s">
        <v>2379</v>
      </c>
      <c r="I1417" t="str" cm="1">
        <f t="array" ref="I1417">_xlfn.IFS(B1417&lt;18.5,"Underweight",AND(B1417&gt;=18.5,B1417&lt;=24.99),"Normalweight",AND(B1417&gt;=25,B1417&lt;=29.99),"Overweight",B1417&gt;=30,"Obesity")</f>
        <v>Overweight</v>
      </c>
      <c r="J1417" t="str" cm="1">
        <f t="array" ref="J1417">_xlfn.IFS(C1417&lt;5.7,"Normal",AND(C1417&gt;=5.7,C1417&lt;=6.49),"Prediabetes",C1417&gt;=6.5,"Diabetes")</f>
        <v>Prediabetes</v>
      </c>
    </row>
    <row r="1418" spans="1:10" x14ac:dyDescent="0.3">
      <c r="A1418" t="s">
        <v>954</v>
      </c>
      <c r="B1418" s="8">
        <v>39.43</v>
      </c>
      <c r="C1418">
        <v>6.1</v>
      </c>
      <c r="D1418" t="s">
        <v>2381</v>
      </c>
      <c r="E1418" t="s">
        <v>2379</v>
      </c>
      <c r="F1418" t="s">
        <v>2381</v>
      </c>
      <c r="G1418">
        <v>1</v>
      </c>
      <c r="H1418" t="s">
        <v>2379</v>
      </c>
      <c r="I1418" t="str" cm="1">
        <f t="array" ref="I1418">_xlfn.IFS(B1418&lt;18.5,"Underweight",AND(B1418&gt;=18.5,B1418&lt;=24.99),"Normalweight",AND(B1418&gt;=25,B1418&lt;=29.99),"Overweight",B1418&gt;=30,"Obesity")</f>
        <v>Obesity</v>
      </c>
      <c r="J1418" t="str" cm="1">
        <f t="array" ref="J1418">_xlfn.IFS(C1418&lt;5.7,"Normal",AND(C1418&gt;=5.7,C1418&lt;=6.49),"Prediabetes",C1418&gt;=6.5,"Diabetes")</f>
        <v>Prediabetes</v>
      </c>
    </row>
    <row r="1419" spans="1:10" x14ac:dyDescent="0.3">
      <c r="A1419" t="s">
        <v>953</v>
      </c>
      <c r="B1419" s="8">
        <v>27.34</v>
      </c>
      <c r="C1419">
        <v>5.19</v>
      </c>
      <c r="D1419" t="s">
        <v>2381</v>
      </c>
      <c r="E1419" t="s">
        <v>2379</v>
      </c>
      <c r="F1419" t="s">
        <v>2379</v>
      </c>
      <c r="G1419">
        <v>1</v>
      </c>
      <c r="H1419" t="s">
        <v>2379</v>
      </c>
      <c r="I1419" t="str" cm="1">
        <f t="array" ref="I1419">_xlfn.IFS(B1419&lt;18.5,"Underweight",AND(B1419&gt;=18.5,B1419&lt;=24.99),"Normalweight",AND(B1419&gt;=25,B1419&lt;=29.99),"Overweight",B1419&gt;=30,"Obesity")</f>
        <v>Overweight</v>
      </c>
      <c r="J1419" t="str" cm="1">
        <f t="array" ref="J1419">_xlfn.IFS(C1419&lt;5.7,"Normal",AND(C1419&gt;=5.7,C1419&lt;=6.49),"Prediabetes",C1419&gt;=6.5,"Diabetes")</f>
        <v>Normal</v>
      </c>
    </row>
    <row r="1420" spans="1:10" x14ac:dyDescent="0.3">
      <c r="A1420" t="s">
        <v>952</v>
      </c>
      <c r="B1420" s="8">
        <v>39.01</v>
      </c>
      <c r="C1420">
        <v>5.37</v>
      </c>
      <c r="D1420" t="s">
        <v>2381</v>
      </c>
      <c r="E1420" t="s">
        <v>2379</v>
      </c>
      <c r="F1420" t="s">
        <v>2379</v>
      </c>
      <c r="G1420">
        <v>0</v>
      </c>
      <c r="H1420" t="s">
        <v>2379</v>
      </c>
      <c r="I1420" t="str" cm="1">
        <f t="array" ref="I1420">_xlfn.IFS(B1420&lt;18.5,"Underweight",AND(B1420&gt;=18.5,B1420&lt;=24.99),"Normalweight",AND(B1420&gt;=25,B1420&lt;=29.99),"Overweight",B1420&gt;=30,"Obesity")</f>
        <v>Obesity</v>
      </c>
      <c r="J1420" t="str" cm="1">
        <f t="array" ref="J1420">_xlfn.IFS(C1420&lt;5.7,"Normal",AND(C1420&gt;=5.7,C1420&lt;=6.49),"Prediabetes",C1420&gt;=6.5,"Diabetes")</f>
        <v>Normal</v>
      </c>
    </row>
    <row r="1421" spans="1:10" x14ac:dyDescent="0.3">
      <c r="A1421" t="s">
        <v>951</v>
      </c>
      <c r="B1421" s="8">
        <v>18.989999999999998</v>
      </c>
      <c r="C1421">
        <v>10.82</v>
      </c>
      <c r="D1421" t="s">
        <v>2381</v>
      </c>
      <c r="E1421" t="s">
        <v>2379</v>
      </c>
      <c r="F1421" t="s">
        <v>2379</v>
      </c>
      <c r="G1421">
        <v>0</v>
      </c>
      <c r="H1421" t="s">
        <v>2379</v>
      </c>
      <c r="I1421" t="str" cm="1">
        <f t="array" ref="I1421">_xlfn.IFS(B1421&lt;18.5,"Underweight",AND(B1421&gt;=18.5,B1421&lt;=24.99),"Normalweight",AND(B1421&gt;=25,B1421&lt;=29.99),"Overweight",B1421&gt;=30,"Obesity")</f>
        <v>Normalweight</v>
      </c>
      <c r="J1421" t="str" cm="1">
        <f t="array" ref="J1421">_xlfn.IFS(C1421&lt;5.7,"Normal",AND(C1421&gt;=5.7,C1421&lt;=6.49),"Prediabetes",C1421&gt;=6.5,"Diabetes")</f>
        <v>Diabetes</v>
      </c>
    </row>
    <row r="1422" spans="1:10" x14ac:dyDescent="0.3">
      <c r="A1422" t="s">
        <v>950</v>
      </c>
      <c r="B1422" s="8">
        <v>42.3</v>
      </c>
      <c r="C1422">
        <v>6.06</v>
      </c>
      <c r="D1422" t="s">
        <v>2381</v>
      </c>
      <c r="E1422" t="s">
        <v>2379</v>
      </c>
      <c r="F1422" t="s">
        <v>2379</v>
      </c>
      <c r="G1422">
        <v>0</v>
      </c>
      <c r="H1422" t="s">
        <v>2379</v>
      </c>
      <c r="I1422" t="str" cm="1">
        <f t="array" ref="I1422">_xlfn.IFS(B1422&lt;18.5,"Underweight",AND(B1422&gt;=18.5,B1422&lt;=24.99),"Normalweight",AND(B1422&gt;=25,B1422&lt;=29.99),"Overweight",B1422&gt;=30,"Obesity")</f>
        <v>Obesity</v>
      </c>
      <c r="J1422" t="str" cm="1">
        <f t="array" ref="J1422">_xlfn.IFS(C1422&lt;5.7,"Normal",AND(C1422&gt;=5.7,C1422&lt;=6.49),"Prediabetes",C1422&gt;=6.5,"Diabetes")</f>
        <v>Prediabetes</v>
      </c>
    </row>
    <row r="1423" spans="1:10" x14ac:dyDescent="0.3">
      <c r="A1423" t="s">
        <v>949</v>
      </c>
      <c r="B1423" s="8">
        <v>39.805</v>
      </c>
      <c r="C1423">
        <v>5.91</v>
      </c>
      <c r="D1423" t="s">
        <v>2379</v>
      </c>
      <c r="E1423" t="s">
        <v>2379</v>
      </c>
      <c r="F1423" t="s">
        <v>2379</v>
      </c>
      <c r="G1423">
        <v>0</v>
      </c>
      <c r="H1423" t="s">
        <v>2379</v>
      </c>
      <c r="I1423" t="str" cm="1">
        <f t="array" ref="I1423">_xlfn.IFS(B1423&lt;18.5,"Underweight",AND(B1423&gt;=18.5,B1423&lt;=24.99),"Normalweight",AND(B1423&gt;=25,B1423&lt;=29.99),"Overweight",B1423&gt;=30,"Obesity")</f>
        <v>Obesity</v>
      </c>
      <c r="J1423" t="str" cm="1">
        <f t="array" ref="J1423">_xlfn.IFS(C1423&lt;5.7,"Normal",AND(C1423&gt;=5.7,C1423&lt;=6.49),"Prediabetes",C1423&gt;=6.5,"Diabetes")</f>
        <v>Prediabetes</v>
      </c>
    </row>
    <row r="1424" spans="1:10" x14ac:dyDescent="0.3">
      <c r="A1424" t="s">
        <v>948</v>
      </c>
      <c r="B1424" s="8">
        <v>33.700000000000003</v>
      </c>
      <c r="C1424">
        <v>5.87</v>
      </c>
      <c r="D1424" t="s">
        <v>2379</v>
      </c>
      <c r="E1424" t="s">
        <v>2379</v>
      </c>
      <c r="F1424" t="s">
        <v>2379</v>
      </c>
      <c r="G1424">
        <v>0</v>
      </c>
      <c r="H1424" t="s">
        <v>2379</v>
      </c>
      <c r="I1424" t="str" cm="1">
        <f t="array" ref="I1424">_xlfn.IFS(B1424&lt;18.5,"Underweight",AND(B1424&gt;=18.5,B1424&lt;=24.99),"Normalweight",AND(B1424&gt;=25,B1424&lt;=29.99),"Overweight",B1424&gt;=30,"Obesity")</f>
        <v>Obesity</v>
      </c>
      <c r="J1424" t="str" cm="1">
        <f t="array" ref="J1424">_xlfn.IFS(C1424&lt;5.7,"Normal",AND(C1424&gt;=5.7,C1424&lt;=6.49),"Prediabetes",C1424&gt;=6.5,"Diabetes")</f>
        <v>Prediabetes</v>
      </c>
    </row>
    <row r="1425" spans="1:10" x14ac:dyDescent="0.3">
      <c r="A1425" t="s">
        <v>947</v>
      </c>
      <c r="B1425" s="8">
        <v>36.195</v>
      </c>
      <c r="C1425">
        <v>6.22</v>
      </c>
      <c r="D1425" t="s">
        <v>2379</v>
      </c>
      <c r="E1425" t="s">
        <v>2379</v>
      </c>
      <c r="F1425" t="s">
        <v>2379</v>
      </c>
      <c r="G1425">
        <v>0</v>
      </c>
      <c r="H1425" t="s">
        <v>2379</v>
      </c>
      <c r="I1425" t="str" cm="1">
        <f t="array" ref="I1425">_xlfn.IFS(B1425&lt;18.5,"Underweight",AND(B1425&gt;=18.5,B1425&lt;=24.99),"Normalweight",AND(B1425&gt;=25,B1425&lt;=29.99),"Overweight",B1425&gt;=30,"Obesity")</f>
        <v>Obesity</v>
      </c>
      <c r="J1425" t="str" cm="1">
        <f t="array" ref="J1425">_xlfn.IFS(C1425&lt;5.7,"Normal",AND(C1425&gt;=5.7,C1425&lt;=6.49),"Prediabetes",C1425&gt;=6.5,"Diabetes")</f>
        <v>Prediabetes</v>
      </c>
    </row>
    <row r="1426" spans="1:10" x14ac:dyDescent="0.3">
      <c r="A1426" t="s">
        <v>946</v>
      </c>
      <c r="B1426" s="8">
        <v>32.6</v>
      </c>
      <c r="C1426">
        <v>5.73</v>
      </c>
      <c r="D1426" t="s">
        <v>2379</v>
      </c>
      <c r="E1426" t="s">
        <v>2379</v>
      </c>
      <c r="F1426" t="s">
        <v>2381</v>
      </c>
      <c r="G1426">
        <v>1</v>
      </c>
      <c r="H1426" t="s">
        <v>2379</v>
      </c>
      <c r="I1426" t="str" cm="1">
        <f t="array" ref="I1426">_xlfn.IFS(B1426&lt;18.5,"Underweight",AND(B1426&gt;=18.5,B1426&lt;=24.99),"Normalweight",AND(B1426&gt;=25,B1426&lt;=29.99),"Overweight",B1426&gt;=30,"Obesity")</f>
        <v>Obesity</v>
      </c>
      <c r="J1426" t="str" cm="1">
        <f t="array" ref="J1426">_xlfn.IFS(C1426&lt;5.7,"Normal",AND(C1426&gt;=5.7,C1426&lt;=6.49),"Prediabetes",C1426&gt;=6.5,"Diabetes")</f>
        <v>Prediabetes</v>
      </c>
    </row>
    <row r="1427" spans="1:10" x14ac:dyDescent="0.3">
      <c r="A1427" t="s">
        <v>945</v>
      </c>
      <c r="B1427" s="8">
        <v>30.2</v>
      </c>
      <c r="C1427">
        <v>5.7</v>
      </c>
      <c r="D1427" t="s">
        <v>2379</v>
      </c>
      <c r="E1427" t="s">
        <v>2379</v>
      </c>
      <c r="F1427" t="s">
        <v>2379</v>
      </c>
      <c r="G1427">
        <v>0</v>
      </c>
      <c r="H1427" t="s">
        <v>2379</v>
      </c>
      <c r="I1427" t="str" cm="1">
        <f t="array" ref="I1427">_xlfn.IFS(B1427&lt;18.5,"Underweight",AND(B1427&gt;=18.5,B1427&lt;=24.99),"Normalweight",AND(B1427&gt;=25,B1427&lt;=29.99),"Overweight",B1427&gt;=30,"Obesity")</f>
        <v>Obesity</v>
      </c>
      <c r="J1427" t="str" cm="1">
        <f t="array" ref="J1427">_xlfn.IFS(C1427&lt;5.7,"Normal",AND(C1427&gt;=5.7,C1427&lt;=6.49),"Prediabetes",C1427&gt;=6.5,"Diabetes")</f>
        <v>Prediabetes</v>
      </c>
    </row>
    <row r="1428" spans="1:10" x14ac:dyDescent="0.3">
      <c r="A1428" t="s">
        <v>944</v>
      </c>
      <c r="B1428" s="8">
        <v>27.645</v>
      </c>
      <c r="C1428">
        <v>9.91</v>
      </c>
      <c r="D1428" t="s">
        <v>2379</v>
      </c>
      <c r="E1428" t="s">
        <v>2379</v>
      </c>
      <c r="F1428" t="s">
        <v>2379</v>
      </c>
      <c r="G1428">
        <v>0</v>
      </c>
      <c r="H1428" t="s">
        <v>2379</v>
      </c>
      <c r="I1428" t="str" cm="1">
        <f t="array" ref="I1428">_xlfn.IFS(B1428&lt;18.5,"Underweight",AND(B1428&gt;=18.5,B1428&lt;=24.99),"Normalweight",AND(B1428&gt;=25,B1428&lt;=29.99),"Overweight",B1428&gt;=30,"Obesity")</f>
        <v>Overweight</v>
      </c>
      <c r="J1428" t="str" cm="1">
        <f t="array" ref="J1428">_xlfn.IFS(C1428&lt;5.7,"Normal",AND(C1428&gt;=5.7,C1428&lt;=6.49),"Prediabetes",C1428&gt;=6.5,"Diabetes")</f>
        <v>Diabetes</v>
      </c>
    </row>
    <row r="1429" spans="1:10" x14ac:dyDescent="0.3">
      <c r="A1429" t="s">
        <v>943</v>
      </c>
      <c r="B1429" s="8">
        <v>26.41</v>
      </c>
      <c r="C1429">
        <v>11.4</v>
      </c>
      <c r="D1429" t="s">
        <v>2379</v>
      </c>
      <c r="E1429" t="s">
        <v>2379</v>
      </c>
      <c r="F1429" t="s">
        <v>2379</v>
      </c>
      <c r="G1429">
        <v>0</v>
      </c>
      <c r="H1429" t="s">
        <v>2379</v>
      </c>
      <c r="I1429" t="str" cm="1">
        <f t="array" ref="I1429">_xlfn.IFS(B1429&lt;18.5,"Underweight",AND(B1429&gt;=18.5,B1429&lt;=24.99),"Normalweight",AND(B1429&gt;=25,B1429&lt;=29.99),"Overweight",B1429&gt;=30,"Obesity")</f>
        <v>Overweight</v>
      </c>
      <c r="J1429" t="str" cm="1">
        <f t="array" ref="J1429">_xlfn.IFS(C1429&lt;5.7,"Normal",AND(C1429&gt;=5.7,C1429&lt;=6.49),"Prediabetes",C1429&gt;=6.5,"Diabetes")</f>
        <v>Diabetes</v>
      </c>
    </row>
    <row r="1430" spans="1:10" x14ac:dyDescent="0.3">
      <c r="A1430" t="s">
        <v>942</v>
      </c>
      <c r="B1430" s="8">
        <v>34.1</v>
      </c>
      <c r="C1430">
        <v>6.29</v>
      </c>
      <c r="D1430" t="s">
        <v>2381</v>
      </c>
      <c r="E1430" t="s">
        <v>2379</v>
      </c>
      <c r="F1430" t="s">
        <v>2381</v>
      </c>
      <c r="G1430">
        <v>1</v>
      </c>
      <c r="H1430" t="s">
        <v>2379</v>
      </c>
      <c r="I1430" t="str" cm="1">
        <f t="array" ref="I1430">_xlfn.IFS(B1430&lt;18.5,"Underweight",AND(B1430&gt;=18.5,B1430&lt;=24.99),"Normalweight",AND(B1430&gt;=25,B1430&lt;=29.99),"Overweight",B1430&gt;=30,"Obesity")</f>
        <v>Obesity</v>
      </c>
      <c r="J1430" t="str" cm="1">
        <f t="array" ref="J1430">_xlfn.IFS(C1430&lt;5.7,"Normal",AND(C1430&gt;=5.7,C1430&lt;=6.49),"Prediabetes",C1430&gt;=6.5,"Diabetes")</f>
        <v>Prediabetes</v>
      </c>
    </row>
    <row r="1431" spans="1:10" x14ac:dyDescent="0.3">
      <c r="A1431" t="s">
        <v>941</v>
      </c>
      <c r="B1431" s="8">
        <v>17.3</v>
      </c>
      <c r="C1431">
        <v>9.2799999999999994</v>
      </c>
      <c r="D1431" t="s">
        <v>2379</v>
      </c>
      <c r="E1431" t="s">
        <v>2379</v>
      </c>
      <c r="F1431" t="s">
        <v>2379</v>
      </c>
      <c r="G1431">
        <v>0</v>
      </c>
      <c r="H1431" t="s">
        <v>2379</v>
      </c>
      <c r="I1431" t="str" cm="1">
        <f t="array" ref="I1431">_xlfn.IFS(B1431&lt;18.5,"Underweight",AND(B1431&gt;=18.5,B1431&lt;=24.99),"Normalweight",AND(B1431&gt;=25,B1431&lt;=29.99),"Overweight",B1431&gt;=30,"Obesity")</f>
        <v>Underweight</v>
      </c>
      <c r="J1431" t="str" cm="1">
        <f t="array" ref="J1431">_xlfn.IFS(C1431&lt;5.7,"Normal",AND(C1431&gt;=5.7,C1431&lt;=6.49),"Prediabetes",C1431&gt;=6.5,"Diabetes")</f>
        <v>Diabetes</v>
      </c>
    </row>
    <row r="1432" spans="1:10" x14ac:dyDescent="0.3">
      <c r="A1432" t="s">
        <v>940</v>
      </c>
      <c r="B1432" s="8">
        <v>35.020000000000003</v>
      </c>
      <c r="C1432">
        <v>4.78</v>
      </c>
      <c r="D1432" t="s">
        <v>2379</v>
      </c>
      <c r="E1432" t="s">
        <v>2379</v>
      </c>
      <c r="F1432" t="s">
        <v>2381</v>
      </c>
      <c r="G1432">
        <v>1</v>
      </c>
      <c r="H1432" t="s">
        <v>2379</v>
      </c>
      <c r="I1432" t="str" cm="1">
        <f t="array" ref="I1432">_xlfn.IFS(B1432&lt;18.5,"Underweight",AND(B1432&gt;=18.5,B1432&lt;=24.99),"Normalweight",AND(B1432&gt;=25,B1432&lt;=29.99),"Overweight",B1432&gt;=30,"Obesity")</f>
        <v>Obesity</v>
      </c>
      <c r="J1432" t="str" cm="1">
        <f t="array" ref="J1432">_xlfn.IFS(C1432&lt;5.7,"Normal",AND(C1432&gt;=5.7,C1432&lt;=6.49),"Prediabetes",C1432&gt;=6.5,"Diabetes")</f>
        <v>Normal</v>
      </c>
    </row>
    <row r="1433" spans="1:10" x14ac:dyDescent="0.3">
      <c r="A1433" t="s">
        <v>939</v>
      </c>
      <c r="B1433" s="8">
        <v>37.1</v>
      </c>
      <c r="C1433">
        <v>8.8699999999999992</v>
      </c>
      <c r="D1433" t="s">
        <v>2381</v>
      </c>
      <c r="E1433" t="s">
        <v>2379</v>
      </c>
      <c r="F1433" t="s">
        <v>2379</v>
      </c>
      <c r="G1433">
        <v>0</v>
      </c>
      <c r="H1433" t="s">
        <v>2379</v>
      </c>
      <c r="I1433" t="str" cm="1">
        <f t="array" ref="I1433">_xlfn.IFS(B1433&lt;18.5,"Underweight",AND(B1433&gt;=18.5,B1433&lt;=24.99),"Normalweight",AND(B1433&gt;=25,B1433&lt;=29.99),"Overweight",B1433&gt;=30,"Obesity")</f>
        <v>Obesity</v>
      </c>
      <c r="J1433" t="str" cm="1">
        <f t="array" ref="J1433">_xlfn.IFS(C1433&lt;5.7,"Normal",AND(C1433&gt;=5.7,C1433&lt;=6.49),"Prediabetes",C1433&gt;=6.5,"Diabetes")</f>
        <v>Diabetes</v>
      </c>
    </row>
    <row r="1434" spans="1:10" x14ac:dyDescent="0.3">
      <c r="A1434" t="s">
        <v>938</v>
      </c>
      <c r="B1434" s="8">
        <v>16.79</v>
      </c>
      <c r="C1434">
        <v>11.4</v>
      </c>
      <c r="D1434" t="s">
        <v>2379</v>
      </c>
      <c r="E1434" t="s">
        <v>2379</v>
      </c>
      <c r="F1434" t="s">
        <v>2379</v>
      </c>
      <c r="G1434">
        <v>0</v>
      </c>
      <c r="H1434" t="s">
        <v>2379</v>
      </c>
      <c r="I1434" t="str" cm="1">
        <f t="array" ref="I1434">_xlfn.IFS(B1434&lt;18.5,"Underweight",AND(B1434&gt;=18.5,B1434&lt;=24.99),"Normalweight",AND(B1434&gt;=25,B1434&lt;=29.99),"Overweight",B1434&gt;=30,"Obesity")</f>
        <v>Underweight</v>
      </c>
      <c r="J1434" t="str" cm="1">
        <f t="array" ref="J1434">_xlfn.IFS(C1434&lt;5.7,"Normal",AND(C1434&gt;=5.7,C1434&lt;=6.49),"Prediabetes",C1434&gt;=6.5,"Diabetes")</f>
        <v>Diabetes</v>
      </c>
    </row>
    <row r="1435" spans="1:10" x14ac:dyDescent="0.3">
      <c r="A1435" t="s">
        <v>937</v>
      </c>
      <c r="B1435" s="8">
        <v>31.635000000000002</v>
      </c>
      <c r="C1435">
        <v>9.1300000000000008</v>
      </c>
      <c r="D1435" t="s">
        <v>2381</v>
      </c>
      <c r="E1435" t="s">
        <v>2379</v>
      </c>
      <c r="F1435" t="s">
        <v>2379</v>
      </c>
      <c r="G1435">
        <v>0</v>
      </c>
      <c r="H1435" t="s">
        <v>2379</v>
      </c>
      <c r="I1435" t="str" cm="1">
        <f t="array" ref="I1435">_xlfn.IFS(B1435&lt;18.5,"Underweight",AND(B1435&gt;=18.5,B1435&lt;=24.99),"Normalweight",AND(B1435&gt;=25,B1435&lt;=29.99),"Overweight",B1435&gt;=30,"Obesity")</f>
        <v>Obesity</v>
      </c>
      <c r="J1435" t="str" cm="1">
        <f t="array" ref="J1435">_xlfn.IFS(C1435&lt;5.7,"Normal",AND(C1435&gt;=5.7,C1435&lt;=6.49),"Prediabetes",C1435&gt;=6.5,"Diabetes")</f>
        <v>Diabetes</v>
      </c>
    </row>
    <row r="1436" spans="1:10" x14ac:dyDescent="0.3">
      <c r="A1436" t="s">
        <v>936</v>
      </c>
      <c r="B1436" s="8">
        <v>24.19</v>
      </c>
      <c r="C1436">
        <v>6.22</v>
      </c>
      <c r="D1436" t="s">
        <v>2381</v>
      </c>
      <c r="E1436" t="s">
        <v>2379</v>
      </c>
      <c r="F1436" t="s">
        <v>2381</v>
      </c>
      <c r="G1436">
        <v>1</v>
      </c>
      <c r="H1436" t="s">
        <v>2379</v>
      </c>
      <c r="I1436" t="str" cm="1">
        <f t="array" ref="I1436">_xlfn.IFS(B1436&lt;18.5,"Underweight",AND(B1436&gt;=18.5,B1436&lt;=24.99),"Normalweight",AND(B1436&gt;=25,B1436&lt;=29.99),"Overweight",B1436&gt;=30,"Obesity")</f>
        <v>Normalweight</v>
      </c>
      <c r="J1436" t="str" cm="1">
        <f t="array" ref="J1436">_xlfn.IFS(C1436&lt;5.7,"Normal",AND(C1436&gt;=5.7,C1436&lt;=6.49),"Prediabetes",C1436&gt;=6.5,"Diabetes")</f>
        <v>Prediabetes</v>
      </c>
    </row>
    <row r="1437" spans="1:10" x14ac:dyDescent="0.3">
      <c r="A1437" t="s">
        <v>935</v>
      </c>
      <c r="B1437" s="8">
        <v>35.29</v>
      </c>
      <c r="C1437">
        <v>5.9</v>
      </c>
      <c r="D1437" t="s">
        <v>2379</v>
      </c>
      <c r="E1437" t="s">
        <v>2379</v>
      </c>
      <c r="F1437" t="s">
        <v>2381</v>
      </c>
      <c r="G1437">
        <v>1</v>
      </c>
      <c r="H1437" t="s">
        <v>2379</v>
      </c>
      <c r="I1437" t="str" cm="1">
        <f t="array" ref="I1437">_xlfn.IFS(B1437&lt;18.5,"Underweight",AND(B1437&gt;=18.5,B1437&lt;=24.99),"Normalweight",AND(B1437&gt;=25,B1437&lt;=29.99),"Overweight",B1437&gt;=30,"Obesity")</f>
        <v>Obesity</v>
      </c>
      <c r="J1437" t="str" cm="1">
        <f t="array" ref="J1437">_xlfn.IFS(C1437&lt;5.7,"Normal",AND(C1437&gt;=5.7,C1437&lt;=6.49),"Prediabetes",C1437&gt;=6.5,"Diabetes")</f>
        <v>Prediabetes</v>
      </c>
    </row>
    <row r="1438" spans="1:10" x14ac:dyDescent="0.3">
      <c r="A1438" t="s">
        <v>934</v>
      </c>
      <c r="B1438" s="8">
        <v>35.299999999999997</v>
      </c>
      <c r="C1438">
        <v>4.45</v>
      </c>
      <c r="D1438" t="s">
        <v>2379</v>
      </c>
      <c r="E1438" t="s">
        <v>2379</v>
      </c>
      <c r="F1438" t="s">
        <v>2379</v>
      </c>
      <c r="G1438">
        <v>0</v>
      </c>
      <c r="H1438" t="s">
        <v>2379</v>
      </c>
      <c r="I1438" t="str" cm="1">
        <f t="array" ref="I1438">_xlfn.IFS(B1438&lt;18.5,"Underweight",AND(B1438&gt;=18.5,B1438&lt;=24.99),"Normalweight",AND(B1438&gt;=25,B1438&lt;=29.99),"Overweight",B1438&gt;=30,"Obesity")</f>
        <v>Obesity</v>
      </c>
      <c r="J1438" t="str" cm="1">
        <f t="array" ref="J1438">_xlfn.IFS(C1438&lt;5.7,"Normal",AND(C1438&gt;=5.7,C1438&lt;=6.49),"Prediabetes",C1438&gt;=6.5,"Diabetes")</f>
        <v>Normal</v>
      </c>
    </row>
    <row r="1439" spans="1:10" x14ac:dyDescent="0.3">
      <c r="A1439" t="s">
        <v>933</v>
      </c>
      <c r="B1439" s="8">
        <v>35.64</v>
      </c>
      <c r="C1439">
        <v>6.17</v>
      </c>
      <c r="D1439" t="s">
        <v>2379</v>
      </c>
      <c r="E1439" t="s">
        <v>2379</v>
      </c>
      <c r="F1439" t="s">
        <v>2381</v>
      </c>
      <c r="G1439">
        <v>1</v>
      </c>
      <c r="H1439" t="s">
        <v>2379</v>
      </c>
      <c r="I1439" t="str" cm="1">
        <f t="array" ref="I1439">_xlfn.IFS(B1439&lt;18.5,"Underweight",AND(B1439&gt;=18.5,B1439&lt;=24.99),"Normalweight",AND(B1439&gt;=25,B1439&lt;=29.99),"Overweight",B1439&gt;=30,"Obesity")</f>
        <v>Obesity</v>
      </c>
      <c r="J1439" t="str" cm="1">
        <f t="array" ref="J1439">_xlfn.IFS(C1439&lt;5.7,"Normal",AND(C1439&gt;=5.7,C1439&lt;=6.49),"Prediabetes",C1439&gt;=6.5,"Diabetes")</f>
        <v>Prediabetes</v>
      </c>
    </row>
    <row r="1440" spans="1:10" x14ac:dyDescent="0.3">
      <c r="A1440" t="s">
        <v>932</v>
      </c>
      <c r="B1440" s="8">
        <v>33.1</v>
      </c>
      <c r="C1440">
        <v>4.93</v>
      </c>
      <c r="D1440" t="s">
        <v>2379</v>
      </c>
      <c r="E1440" t="s">
        <v>2379</v>
      </c>
      <c r="F1440" t="s">
        <v>2379</v>
      </c>
      <c r="G1440">
        <v>0</v>
      </c>
      <c r="H1440" t="s">
        <v>2379</v>
      </c>
      <c r="I1440" t="str" cm="1">
        <f t="array" ref="I1440">_xlfn.IFS(B1440&lt;18.5,"Underweight",AND(B1440&gt;=18.5,B1440&lt;=24.99),"Normalweight",AND(B1440&gt;=25,B1440&lt;=29.99),"Overweight",B1440&gt;=30,"Obesity")</f>
        <v>Obesity</v>
      </c>
      <c r="J1440" t="str" cm="1">
        <f t="array" ref="J1440">_xlfn.IFS(C1440&lt;5.7,"Normal",AND(C1440&gt;=5.7,C1440&lt;=6.49),"Prediabetes",C1440&gt;=6.5,"Diabetes")</f>
        <v>Normal</v>
      </c>
    </row>
    <row r="1441" spans="1:10" x14ac:dyDescent="0.3">
      <c r="A1441" t="s">
        <v>931</v>
      </c>
      <c r="B1441" s="8">
        <v>26.41</v>
      </c>
      <c r="C1441">
        <v>7.32</v>
      </c>
      <c r="D1441" t="s">
        <v>2381</v>
      </c>
      <c r="E1441" t="s">
        <v>2379</v>
      </c>
      <c r="F1441" t="s">
        <v>2379</v>
      </c>
      <c r="G1441">
        <v>1</v>
      </c>
      <c r="H1441" t="s">
        <v>2379</v>
      </c>
      <c r="I1441" t="str" cm="1">
        <f t="array" ref="I1441">_xlfn.IFS(B1441&lt;18.5,"Underweight",AND(B1441&gt;=18.5,B1441&lt;=24.99),"Normalweight",AND(B1441&gt;=25,B1441&lt;=29.99),"Overweight",B1441&gt;=30,"Obesity")</f>
        <v>Overweight</v>
      </c>
      <c r="J1441" t="str" cm="1">
        <f t="array" ref="J1441">_xlfn.IFS(C1441&lt;5.7,"Normal",AND(C1441&gt;=5.7,C1441&lt;=6.49),"Prediabetes",C1441&gt;=6.5,"Diabetes")</f>
        <v>Diabetes</v>
      </c>
    </row>
    <row r="1442" spans="1:10" x14ac:dyDescent="0.3">
      <c r="A1442" t="s">
        <v>930</v>
      </c>
      <c r="B1442" s="8">
        <v>29.9</v>
      </c>
      <c r="C1442">
        <v>5.27</v>
      </c>
      <c r="D1442" t="s">
        <v>2379</v>
      </c>
      <c r="E1442" t="s">
        <v>2379</v>
      </c>
      <c r="F1442" t="s">
        <v>2381</v>
      </c>
      <c r="G1442">
        <v>1</v>
      </c>
      <c r="H1442" t="s">
        <v>2379</v>
      </c>
      <c r="I1442" t="str" cm="1">
        <f t="array" ref="I1442">_xlfn.IFS(B1442&lt;18.5,"Underweight",AND(B1442&gt;=18.5,B1442&lt;=24.99),"Normalweight",AND(B1442&gt;=25,B1442&lt;=29.99),"Overweight",B1442&gt;=30,"Obesity")</f>
        <v>Overweight</v>
      </c>
      <c r="J1442" t="str" cm="1">
        <f t="array" ref="J1442">_xlfn.IFS(C1442&lt;5.7,"Normal",AND(C1442&gt;=5.7,C1442&lt;=6.49),"Prediabetes",C1442&gt;=6.5,"Diabetes")</f>
        <v>Normal</v>
      </c>
    </row>
    <row r="1443" spans="1:10" x14ac:dyDescent="0.3">
      <c r="A1443" t="s">
        <v>929</v>
      </c>
      <c r="B1443" s="8">
        <v>25.24</v>
      </c>
      <c r="C1443">
        <v>5.82</v>
      </c>
      <c r="D1443" t="s">
        <v>2379</v>
      </c>
      <c r="E1443" t="s">
        <v>2379</v>
      </c>
      <c r="F1443" t="s">
        <v>2379</v>
      </c>
      <c r="G1443">
        <v>1</v>
      </c>
      <c r="H1443" t="s">
        <v>2379</v>
      </c>
      <c r="I1443" t="str" cm="1">
        <f t="array" ref="I1443">_xlfn.IFS(B1443&lt;18.5,"Underweight",AND(B1443&gt;=18.5,B1443&lt;=24.99),"Normalweight",AND(B1443&gt;=25,B1443&lt;=29.99),"Overweight",B1443&gt;=30,"Obesity")</f>
        <v>Overweight</v>
      </c>
      <c r="J1443" t="str" cm="1">
        <f t="array" ref="J1443">_xlfn.IFS(C1443&lt;5.7,"Normal",AND(C1443&gt;=5.7,C1443&lt;=6.49),"Prediabetes",C1443&gt;=6.5,"Diabetes")</f>
        <v>Prediabetes</v>
      </c>
    </row>
    <row r="1444" spans="1:10" x14ac:dyDescent="0.3">
      <c r="A1444" t="s">
        <v>928</v>
      </c>
      <c r="B1444" s="8">
        <v>25.08</v>
      </c>
      <c r="C1444">
        <v>5.8</v>
      </c>
      <c r="D1444" t="s">
        <v>2379</v>
      </c>
      <c r="E1444" t="s">
        <v>2379</v>
      </c>
      <c r="F1444" t="s">
        <v>2381</v>
      </c>
      <c r="G1444">
        <v>1</v>
      </c>
      <c r="H1444" t="s">
        <v>2379</v>
      </c>
      <c r="I1444" t="str" cm="1">
        <f t="array" ref="I1444">_xlfn.IFS(B1444&lt;18.5,"Underweight",AND(B1444&gt;=18.5,B1444&lt;=24.99),"Normalweight",AND(B1444&gt;=25,B1444&lt;=29.99),"Overweight",B1444&gt;=30,"Obesity")</f>
        <v>Overweight</v>
      </c>
      <c r="J1444" t="str" cm="1">
        <f t="array" ref="J1444">_xlfn.IFS(C1444&lt;5.7,"Normal",AND(C1444&gt;=5.7,C1444&lt;=6.49),"Prediabetes",C1444&gt;=6.5,"Diabetes")</f>
        <v>Prediabetes</v>
      </c>
    </row>
    <row r="1445" spans="1:10" x14ac:dyDescent="0.3">
      <c r="A1445" t="s">
        <v>927</v>
      </c>
      <c r="B1445" s="8">
        <v>29.164999999999999</v>
      </c>
      <c r="C1445">
        <v>4.87</v>
      </c>
      <c r="D1445" t="s">
        <v>2379</v>
      </c>
      <c r="E1445" t="s">
        <v>2380</v>
      </c>
      <c r="F1445" t="s">
        <v>2379</v>
      </c>
      <c r="G1445">
        <v>1</v>
      </c>
      <c r="H1445" t="s">
        <v>2379</v>
      </c>
      <c r="I1445" t="str" cm="1">
        <f t="array" ref="I1445">_xlfn.IFS(B1445&lt;18.5,"Underweight",AND(B1445&gt;=18.5,B1445&lt;=24.99),"Normalweight",AND(B1445&gt;=25,B1445&lt;=29.99),"Overweight",B1445&gt;=30,"Obesity")</f>
        <v>Overweight</v>
      </c>
      <c r="J1445" t="str" cm="1">
        <f t="array" ref="J1445">_xlfn.IFS(C1445&lt;5.7,"Normal",AND(C1445&gt;=5.7,C1445&lt;=6.49),"Prediabetes",C1445&gt;=6.5,"Diabetes")</f>
        <v>Normal</v>
      </c>
    </row>
    <row r="1446" spans="1:10" x14ac:dyDescent="0.3">
      <c r="A1446" t="s">
        <v>926</v>
      </c>
      <c r="B1446" s="8">
        <v>15.05</v>
      </c>
      <c r="C1446">
        <v>8.1199999999999992</v>
      </c>
      <c r="D1446" t="s">
        <v>2379</v>
      </c>
      <c r="E1446" t="s">
        <v>2379</v>
      </c>
      <c r="F1446" t="s">
        <v>2379</v>
      </c>
      <c r="G1446">
        <v>0</v>
      </c>
      <c r="H1446" t="s">
        <v>2379</v>
      </c>
      <c r="I1446" t="str" cm="1">
        <f t="array" ref="I1446">_xlfn.IFS(B1446&lt;18.5,"Underweight",AND(B1446&gt;=18.5,B1446&lt;=24.99),"Normalweight",AND(B1446&gt;=25,B1446&lt;=29.99),"Overweight",B1446&gt;=30,"Obesity")</f>
        <v>Underweight</v>
      </c>
      <c r="J1446" t="str" cm="1">
        <f t="array" ref="J1446">_xlfn.IFS(C1446&lt;5.7,"Normal",AND(C1446&gt;=5.7,C1446&lt;=6.49),"Prediabetes",C1446&gt;=6.5,"Diabetes")</f>
        <v>Diabetes</v>
      </c>
    </row>
    <row r="1447" spans="1:10" x14ac:dyDescent="0.3">
      <c r="A1447" t="s">
        <v>925</v>
      </c>
      <c r="B1447" s="8">
        <v>19.95</v>
      </c>
      <c r="C1447">
        <v>4.3600000000000003</v>
      </c>
      <c r="D1447" t="s">
        <v>2379</v>
      </c>
      <c r="E1447" t="s">
        <v>2379</v>
      </c>
      <c r="F1447" t="s">
        <v>2379</v>
      </c>
      <c r="G1447">
        <v>2</v>
      </c>
      <c r="H1447" t="s">
        <v>2379</v>
      </c>
      <c r="I1447" t="str" cm="1">
        <f t="array" ref="I1447">_xlfn.IFS(B1447&lt;18.5,"Underweight",AND(B1447&gt;=18.5,B1447&lt;=24.99),"Normalweight",AND(B1447&gt;=25,B1447&lt;=29.99),"Overweight",B1447&gt;=30,"Obesity")</f>
        <v>Normalweight</v>
      </c>
      <c r="J1447" t="str" cm="1">
        <f t="array" ref="J1447">_xlfn.IFS(C1447&lt;5.7,"Normal",AND(C1447&gt;=5.7,C1447&lt;=6.49),"Prediabetes",C1447&gt;=6.5,"Diabetes")</f>
        <v>Normal</v>
      </c>
    </row>
    <row r="1448" spans="1:10" x14ac:dyDescent="0.3">
      <c r="A1448" t="s">
        <v>924</v>
      </c>
      <c r="B1448" s="8">
        <v>16.66</v>
      </c>
      <c r="C1448">
        <v>9.16</v>
      </c>
      <c r="D1448" t="s">
        <v>2379</v>
      </c>
      <c r="E1448" t="s">
        <v>2379</v>
      </c>
      <c r="F1448" t="s">
        <v>2379</v>
      </c>
      <c r="G1448">
        <v>0</v>
      </c>
      <c r="H1448" t="s">
        <v>2379</v>
      </c>
      <c r="I1448" t="str" cm="1">
        <f t="array" ref="I1448">_xlfn.IFS(B1448&lt;18.5,"Underweight",AND(B1448&gt;=18.5,B1448&lt;=24.99),"Normalweight",AND(B1448&gt;=25,B1448&lt;=29.99),"Overweight",B1448&gt;=30,"Obesity")</f>
        <v>Underweight</v>
      </c>
      <c r="J1448" t="str" cm="1">
        <f t="array" ref="J1448">_xlfn.IFS(C1448&lt;5.7,"Normal",AND(C1448&gt;=5.7,C1448&lt;=6.49),"Prediabetes",C1448&gt;=6.5,"Diabetes")</f>
        <v>Diabetes</v>
      </c>
    </row>
    <row r="1449" spans="1:10" x14ac:dyDescent="0.3">
      <c r="A1449" t="s">
        <v>923</v>
      </c>
      <c r="B1449" s="8">
        <v>16.62</v>
      </c>
      <c r="C1449">
        <v>9.14</v>
      </c>
      <c r="D1449" t="s">
        <v>2379</v>
      </c>
      <c r="E1449" t="s">
        <v>2379</v>
      </c>
      <c r="F1449" t="s">
        <v>2379</v>
      </c>
      <c r="G1449">
        <v>0</v>
      </c>
      <c r="H1449" t="s">
        <v>2379</v>
      </c>
      <c r="I1449" t="str" cm="1">
        <f t="array" ref="I1449">_xlfn.IFS(B1449&lt;18.5,"Underweight",AND(B1449&gt;=18.5,B1449&lt;=24.99),"Normalweight",AND(B1449&gt;=25,B1449&lt;=29.99),"Overweight",B1449&gt;=30,"Obesity")</f>
        <v>Underweight</v>
      </c>
      <c r="J1449" t="str" cm="1">
        <f t="array" ref="J1449">_xlfn.IFS(C1449&lt;5.7,"Normal",AND(C1449&gt;=5.7,C1449&lt;=6.49),"Prediabetes",C1449&gt;=6.5,"Diabetes")</f>
        <v>Diabetes</v>
      </c>
    </row>
    <row r="1450" spans="1:10" x14ac:dyDescent="0.3">
      <c r="A1450" t="s">
        <v>922</v>
      </c>
      <c r="B1450" s="8">
        <v>15.36</v>
      </c>
      <c r="C1450">
        <v>5.49</v>
      </c>
      <c r="D1450" t="s">
        <v>2381</v>
      </c>
      <c r="E1450" t="s">
        <v>2379</v>
      </c>
      <c r="F1450" t="s">
        <v>2379</v>
      </c>
      <c r="G1450">
        <v>2</v>
      </c>
      <c r="H1450" t="s">
        <v>2379</v>
      </c>
      <c r="I1450" t="str" cm="1">
        <f t="array" ref="I1450">_xlfn.IFS(B1450&lt;18.5,"Underweight",AND(B1450&gt;=18.5,B1450&lt;=24.99),"Normalweight",AND(B1450&gt;=25,B1450&lt;=29.99),"Overweight",B1450&gt;=30,"Obesity")</f>
        <v>Underweight</v>
      </c>
      <c r="J1450" t="str" cm="1">
        <f t="array" ref="J1450">_xlfn.IFS(C1450&lt;5.7,"Normal",AND(C1450&gt;=5.7,C1450&lt;=6.49),"Prediabetes",C1450&gt;=6.5,"Diabetes")</f>
        <v>Normal</v>
      </c>
    </row>
    <row r="1451" spans="1:10" x14ac:dyDescent="0.3">
      <c r="A1451" t="s">
        <v>921</v>
      </c>
      <c r="B1451" s="8">
        <v>27.74</v>
      </c>
      <c r="C1451">
        <v>5.96</v>
      </c>
      <c r="D1451" t="s">
        <v>2381</v>
      </c>
      <c r="E1451" t="s">
        <v>2379</v>
      </c>
      <c r="F1451" t="s">
        <v>2379</v>
      </c>
      <c r="G1451">
        <v>0</v>
      </c>
      <c r="H1451" t="s">
        <v>2379</v>
      </c>
      <c r="I1451" t="str" cm="1">
        <f t="array" ref="I1451">_xlfn.IFS(B1451&lt;18.5,"Underweight",AND(B1451&gt;=18.5,B1451&lt;=24.99),"Normalweight",AND(B1451&gt;=25,B1451&lt;=29.99),"Overweight",B1451&gt;=30,"Obesity")</f>
        <v>Overweight</v>
      </c>
      <c r="J1451" t="str" cm="1">
        <f t="array" ref="J1451">_xlfn.IFS(C1451&lt;5.7,"Normal",AND(C1451&gt;=5.7,C1451&lt;=6.49),"Prediabetes",C1451&gt;=6.5,"Diabetes")</f>
        <v>Prediabetes</v>
      </c>
    </row>
    <row r="1452" spans="1:10" x14ac:dyDescent="0.3">
      <c r="A1452" t="s">
        <v>920</v>
      </c>
      <c r="B1452" s="8">
        <v>22.44</v>
      </c>
      <c r="C1452">
        <v>4.62</v>
      </c>
      <c r="D1452" t="s">
        <v>2381</v>
      </c>
      <c r="E1452" t="s">
        <v>2379</v>
      </c>
      <c r="F1452" t="s">
        <v>2379</v>
      </c>
      <c r="G1452">
        <v>0</v>
      </c>
      <c r="H1452" t="s">
        <v>2379</v>
      </c>
      <c r="I1452" t="str" cm="1">
        <f t="array" ref="I1452">_xlfn.IFS(B1452&lt;18.5,"Underweight",AND(B1452&gt;=18.5,B1452&lt;=24.99),"Normalweight",AND(B1452&gt;=25,B1452&lt;=29.99),"Overweight",B1452&gt;=30,"Obesity")</f>
        <v>Normalweight</v>
      </c>
      <c r="J1452" t="str" cm="1">
        <f t="array" ref="J1452">_xlfn.IFS(C1452&lt;5.7,"Normal",AND(C1452&gt;=5.7,C1452&lt;=6.49),"Prediabetes",C1452&gt;=6.5,"Diabetes")</f>
        <v>Normal</v>
      </c>
    </row>
    <row r="1453" spans="1:10" x14ac:dyDescent="0.3">
      <c r="A1453" t="s">
        <v>919</v>
      </c>
      <c r="B1453" s="8">
        <v>37.049999999999997</v>
      </c>
      <c r="C1453">
        <v>9.9600000000000009</v>
      </c>
      <c r="D1453" t="s">
        <v>2381</v>
      </c>
      <c r="E1453" t="s">
        <v>2379</v>
      </c>
      <c r="F1453" t="s">
        <v>2379</v>
      </c>
      <c r="G1453">
        <v>0</v>
      </c>
      <c r="H1453" t="s">
        <v>2379</v>
      </c>
      <c r="I1453" t="str" cm="1">
        <f t="array" ref="I1453">_xlfn.IFS(B1453&lt;18.5,"Underweight",AND(B1453&gt;=18.5,B1453&lt;=24.99),"Normalweight",AND(B1453&gt;=25,B1453&lt;=29.99),"Overweight",B1453&gt;=30,"Obesity")</f>
        <v>Obesity</v>
      </c>
      <c r="J1453" t="str" cm="1">
        <f t="array" ref="J1453">_xlfn.IFS(C1453&lt;5.7,"Normal",AND(C1453&gt;=5.7,C1453&lt;=6.49),"Prediabetes",C1453&gt;=6.5,"Diabetes")</f>
        <v>Diabetes</v>
      </c>
    </row>
    <row r="1454" spans="1:10" x14ac:dyDescent="0.3">
      <c r="A1454" t="s">
        <v>918</v>
      </c>
      <c r="B1454" s="8">
        <v>22.95</v>
      </c>
      <c r="C1454">
        <v>10.53</v>
      </c>
      <c r="D1454" t="s">
        <v>2379</v>
      </c>
      <c r="E1454" t="s">
        <v>2379</v>
      </c>
      <c r="F1454" t="s">
        <v>2379</v>
      </c>
      <c r="G1454">
        <v>2</v>
      </c>
      <c r="H1454" t="s">
        <v>2379</v>
      </c>
      <c r="I1454" t="str" cm="1">
        <f t="array" ref="I1454">_xlfn.IFS(B1454&lt;18.5,"Underweight",AND(B1454&gt;=18.5,B1454&lt;=24.99),"Normalweight",AND(B1454&gt;=25,B1454&lt;=29.99),"Overweight",B1454&gt;=30,"Obesity")</f>
        <v>Normalweight</v>
      </c>
      <c r="J1454" t="str" cm="1">
        <f t="array" ref="J1454">_xlfn.IFS(C1454&lt;5.7,"Normal",AND(C1454&gt;=5.7,C1454&lt;=6.49),"Prediabetes",C1454&gt;=6.5,"Diabetes")</f>
        <v>Diabetes</v>
      </c>
    </row>
    <row r="1455" spans="1:10" x14ac:dyDescent="0.3">
      <c r="A1455" t="s">
        <v>917</v>
      </c>
      <c r="B1455" s="8">
        <v>34.200000000000003</v>
      </c>
      <c r="C1455">
        <v>6.69</v>
      </c>
      <c r="D1455" t="s">
        <v>2381</v>
      </c>
      <c r="E1455" t="s">
        <v>2379</v>
      </c>
      <c r="F1455" t="s">
        <v>2379</v>
      </c>
      <c r="G1455">
        <v>0</v>
      </c>
      <c r="H1455" t="s">
        <v>2379</v>
      </c>
      <c r="I1455" t="str" cm="1">
        <f t="array" ref="I1455">_xlfn.IFS(B1455&lt;18.5,"Underweight",AND(B1455&gt;=18.5,B1455&lt;=24.99),"Normalweight",AND(B1455&gt;=25,B1455&lt;=29.99),"Overweight",B1455&gt;=30,"Obesity")</f>
        <v>Obesity</v>
      </c>
      <c r="J1455" t="str" cm="1">
        <f t="array" ref="J1455">_xlfn.IFS(C1455&lt;5.7,"Normal",AND(C1455&gt;=5.7,C1455&lt;=6.49),"Prediabetes",C1455&gt;=6.5,"Diabetes")</f>
        <v>Diabetes</v>
      </c>
    </row>
    <row r="1456" spans="1:10" x14ac:dyDescent="0.3">
      <c r="A1456" t="s">
        <v>916</v>
      </c>
      <c r="B1456" s="8">
        <v>30.59</v>
      </c>
      <c r="C1456">
        <v>9.5500000000000007</v>
      </c>
      <c r="D1456" t="s">
        <v>2381</v>
      </c>
      <c r="E1456" t="s">
        <v>2379</v>
      </c>
      <c r="F1456" t="s">
        <v>2379</v>
      </c>
      <c r="G1456">
        <v>0</v>
      </c>
      <c r="H1456" t="s">
        <v>2379</v>
      </c>
      <c r="I1456" t="str" cm="1">
        <f t="array" ref="I1456">_xlfn.IFS(B1456&lt;18.5,"Underweight",AND(B1456&gt;=18.5,B1456&lt;=24.99),"Normalweight",AND(B1456&gt;=25,B1456&lt;=29.99),"Overweight",B1456&gt;=30,"Obesity")</f>
        <v>Obesity</v>
      </c>
      <c r="J1456" t="str" cm="1">
        <f t="array" ref="J1456">_xlfn.IFS(C1456&lt;5.7,"Normal",AND(C1456&gt;=5.7,C1456&lt;=6.49),"Prediabetes",C1456&gt;=6.5,"Diabetes")</f>
        <v>Diabetes</v>
      </c>
    </row>
    <row r="1457" spans="1:10" x14ac:dyDescent="0.3">
      <c r="A1457" t="s">
        <v>915</v>
      </c>
      <c r="B1457" s="8">
        <v>25.51</v>
      </c>
      <c r="C1457">
        <v>6.05</v>
      </c>
      <c r="D1457" t="s">
        <v>2379</v>
      </c>
      <c r="E1457" t="s">
        <v>2379</v>
      </c>
      <c r="F1457" t="s">
        <v>2379</v>
      </c>
      <c r="G1457">
        <v>0</v>
      </c>
      <c r="H1457" t="s">
        <v>2379</v>
      </c>
      <c r="I1457" t="str" cm="1">
        <f t="array" ref="I1457">_xlfn.IFS(B1457&lt;18.5,"Underweight",AND(B1457&gt;=18.5,B1457&lt;=24.99),"Normalweight",AND(B1457&gt;=25,B1457&lt;=29.99),"Overweight",B1457&gt;=30,"Obesity")</f>
        <v>Overweight</v>
      </c>
      <c r="J1457" t="str" cm="1">
        <f t="array" ref="J1457">_xlfn.IFS(C1457&lt;5.7,"Normal",AND(C1457&gt;=5.7,C1457&lt;=6.49),"Prediabetes",C1457&gt;=6.5,"Diabetes")</f>
        <v>Prediabetes</v>
      </c>
    </row>
    <row r="1458" spans="1:10" x14ac:dyDescent="0.3">
      <c r="A1458" t="s">
        <v>914</v>
      </c>
      <c r="B1458" s="8">
        <v>29.04</v>
      </c>
      <c r="C1458">
        <v>10.56</v>
      </c>
      <c r="D1458" t="s">
        <v>2381</v>
      </c>
      <c r="E1458" t="s">
        <v>2379</v>
      </c>
      <c r="F1458" t="s">
        <v>2379</v>
      </c>
      <c r="G1458">
        <v>1</v>
      </c>
      <c r="H1458" t="s">
        <v>2379</v>
      </c>
      <c r="I1458" t="str" cm="1">
        <f t="array" ref="I1458">_xlfn.IFS(B1458&lt;18.5,"Underweight",AND(B1458&gt;=18.5,B1458&lt;=24.99),"Normalweight",AND(B1458&gt;=25,B1458&lt;=29.99),"Overweight",B1458&gt;=30,"Obesity")</f>
        <v>Overweight</v>
      </c>
      <c r="J1458" t="str" cm="1">
        <f t="array" ref="J1458">_xlfn.IFS(C1458&lt;5.7,"Normal",AND(C1458&gt;=5.7,C1458&lt;=6.49),"Prediabetes",C1458&gt;=6.5,"Diabetes")</f>
        <v>Diabetes</v>
      </c>
    </row>
    <row r="1459" spans="1:10" x14ac:dyDescent="0.3">
      <c r="A1459" t="s">
        <v>913</v>
      </c>
      <c r="B1459" s="8">
        <v>22.135000000000002</v>
      </c>
      <c r="C1459">
        <v>10.81</v>
      </c>
      <c r="D1459" t="s">
        <v>2381</v>
      </c>
      <c r="E1459" t="s">
        <v>2379</v>
      </c>
      <c r="F1459" t="s">
        <v>2379</v>
      </c>
      <c r="G1459">
        <v>1</v>
      </c>
      <c r="H1459" t="s">
        <v>2379</v>
      </c>
      <c r="I1459" t="str" cm="1">
        <f t="array" ref="I1459">_xlfn.IFS(B1459&lt;18.5,"Underweight",AND(B1459&gt;=18.5,B1459&lt;=24.99),"Normalweight",AND(B1459&gt;=25,B1459&lt;=29.99),"Overweight",B1459&gt;=30,"Obesity")</f>
        <v>Normalweight</v>
      </c>
      <c r="J1459" t="str" cm="1">
        <f t="array" ref="J1459">_xlfn.IFS(C1459&lt;5.7,"Normal",AND(C1459&gt;=5.7,C1459&lt;=6.49),"Prediabetes",C1459&gt;=6.5,"Diabetes")</f>
        <v>Diabetes</v>
      </c>
    </row>
    <row r="1460" spans="1:10" x14ac:dyDescent="0.3">
      <c r="A1460" t="s">
        <v>912</v>
      </c>
      <c r="B1460" s="8">
        <v>21.375</v>
      </c>
      <c r="C1460">
        <v>4.32</v>
      </c>
      <c r="D1460" t="s">
        <v>2379</v>
      </c>
      <c r="E1460" t="s">
        <v>2379</v>
      </c>
      <c r="F1460" t="s">
        <v>2379</v>
      </c>
      <c r="G1460">
        <v>0</v>
      </c>
      <c r="H1460" t="s">
        <v>2379</v>
      </c>
      <c r="I1460" t="str" cm="1">
        <f t="array" ref="I1460">_xlfn.IFS(B1460&lt;18.5,"Underweight",AND(B1460&gt;=18.5,B1460&lt;=24.99),"Normalweight",AND(B1460&gt;=25,B1460&lt;=29.99),"Overweight",B1460&gt;=30,"Obesity")</f>
        <v>Normalweight</v>
      </c>
      <c r="J1460" t="str" cm="1">
        <f t="array" ref="J1460">_xlfn.IFS(C1460&lt;5.7,"Normal",AND(C1460&gt;=5.7,C1460&lt;=6.49),"Prediabetes",C1460&gt;=6.5,"Diabetes")</f>
        <v>Normal</v>
      </c>
    </row>
    <row r="1461" spans="1:10" x14ac:dyDescent="0.3">
      <c r="A1461" t="s">
        <v>911</v>
      </c>
      <c r="B1461" s="8">
        <v>29.19</v>
      </c>
      <c r="C1461">
        <v>4.37</v>
      </c>
      <c r="D1461" t="s">
        <v>2379</v>
      </c>
      <c r="E1461" t="s">
        <v>2379</v>
      </c>
      <c r="F1461" t="s">
        <v>2379</v>
      </c>
      <c r="G1461">
        <v>0</v>
      </c>
      <c r="H1461" t="s">
        <v>2379</v>
      </c>
      <c r="I1461" t="str" cm="1">
        <f t="array" ref="I1461">_xlfn.IFS(B1461&lt;18.5,"Underweight",AND(B1461&gt;=18.5,B1461&lt;=24.99),"Normalweight",AND(B1461&gt;=25,B1461&lt;=29.99),"Overweight",B1461&gt;=30,"Obesity")</f>
        <v>Overweight</v>
      </c>
      <c r="J1461" t="str" cm="1">
        <f t="array" ref="J1461">_xlfn.IFS(C1461&lt;5.7,"Normal",AND(C1461&gt;=5.7,C1461&lt;=6.49),"Prediabetes",C1461&gt;=6.5,"Diabetes")</f>
        <v>Normal</v>
      </c>
    </row>
    <row r="1462" spans="1:10" x14ac:dyDescent="0.3">
      <c r="A1462" t="s">
        <v>910</v>
      </c>
      <c r="B1462" s="8">
        <v>31.92</v>
      </c>
      <c r="C1462">
        <v>4.8099999999999996</v>
      </c>
      <c r="D1462" t="s">
        <v>2381</v>
      </c>
      <c r="E1462" t="s">
        <v>2379</v>
      </c>
      <c r="F1462" t="s">
        <v>2381</v>
      </c>
      <c r="G1462">
        <v>1</v>
      </c>
      <c r="H1462" t="s">
        <v>2379</v>
      </c>
      <c r="I1462" t="str" cm="1">
        <f t="array" ref="I1462">_xlfn.IFS(B1462&lt;18.5,"Underweight",AND(B1462&gt;=18.5,B1462&lt;=24.99),"Normalweight",AND(B1462&gt;=25,B1462&lt;=29.99),"Overweight",B1462&gt;=30,"Obesity")</f>
        <v>Obesity</v>
      </c>
      <c r="J1462" t="str" cm="1">
        <f t="array" ref="J1462">_xlfn.IFS(C1462&lt;5.7,"Normal",AND(C1462&gt;=5.7,C1462&lt;=6.49),"Prediabetes",C1462&gt;=6.5,"Diabetes")</f>
        <v>Normal</v>
      </c>
    </row>
    <row r="1463" spans="1:10" x14ac:dyDescent="0.3">
      <c r="A1463" t="s">
        <v>909</v>
      </c>
      <c r="B1463" s="8">
        <v>26.315000000000001</v>
      </c>
      <c r="C1463">
        <v>4.5599999999999996</v>
      </c>
      <c r="D1463" t="s">
        <v>2381</v>
      </c>
      <c r="E1463" t="s">
        <v>2379</v>
      </c>
      <c r="F1463" t="s">
        <v>2381</v>
      </c>
      <c r="G1463">
        <v>1</v>
      </c>
      <c r="H1463" t="s">
        <v>2379</v>
      </c>
      <c r="I1463" t="str" cm="1">
        <f t="array" ref="I1463">_xlfn.IFS(B1463&lt;18.5,"Underweight",AND(B1463&gt;=18.5,B1463&lt;=24.99),"Normalweight",AND(B1463&gt;=25,B1463&lt;=29.99),"Overweight",B1463&gt;=30,"Obesity")</f>
        <v>Overweight</v>
      </c>
      <c r="J1463" t="str" cm="1">
        <f t="array" ref="J1463">_xlfn.IFS(C1463&lt;5.7,"Normal",AND(C1463&gt;=5.7,C1463&lt;=6.49),"Prediabetes",C1463&gt;=6.5,"Diabetes")</f>
        <v>Normal</v>
      </c>
    </row>
    <row r="1464" spans="1:10" x14ac:dyDescent="0.3">
      <c r="A1464" t="s">
        <v>908</v>
      </c>
      <c r="B1464" s="8">
        <v>35.299999999999997</v>
      </c>
      <c r="C1464">
        <v>4.3899999999999997</v>
      </c>
      <c r="D1464" t="s">
        <v>2379</v>
      </c>
      <c r="E1464" t="s">
        <v>2379</v>
      </c>
      <c r="F1464" t="s">
        <v>2379</v>
      </c>
      <c r="G1464">
        <v>0</v>
      </c>
      <c r="H1464" t="s">
        <v>2379</v>
      </c>
      <c r="I1464" t="str" cm="1">
        <f t="array" ref="I1464">_xlfn.IFS(B1464&lt;18.5,"Underweight",AND(B1464&gt;=18.5,B1464&lt;=24.99),"Normalweight",AND(B1464&gt;=25,B1464&lt;=29.99),"Overweight",B1464&gt;=30,"Obesity")</f>
        <v>Obesity</v>
      </c>
      <c r="J1464" t="str" cm="1">
        <f t="array" ref="J1464">_xlfn.IFS(C1464&lt;5.7,"Normal",AND(C1464&gt;=5.7,C1464&lt;=6.49),"Prediabetes",C1464&gt;=6.5,"Diabetes")</f>
        <v>Normal</v>
      </c>
    </row>
    <row r="1465" spans="1:10" x14ac:dyDescent="0.3">
      <c r="A1465" t="s">
        <v>907</v>
      </c>
      <c r="B1465" s="8">
        <v>18.91</v>
      </c>
      <c r="C1465">
        <v>11.44</v>
      </c>
      <c r="D1465" t="s">
        <v>2379</v>
      </c>
      <c r="E1465" t="s">
        <v>2379</v>
      </c>
      <c r="F1465" t="s">
        <v>2379</v>
      </c>
      <c r="G1465">
        <v>0</v>
      </c>
      <c r="H1465" t="s">
        <v>2379</v>
      </c>
      <c r="I1465" t="str" cm="1">
        <f t="array" ref="I1465">_xlfn.IFS(B1465&lt;18.5,"Underweight",AND(B1465&gt;=18.5,B1465&lt;=24.99),"Normalweight",AND(B1465&gt;=25,B1465&lt;=29.99),"Overweight",B1465&gt;=30,"Obesity")</f>
        <v>Normalweight</v>
      </c>
      <c r="J1465" t="str" cm="1">
        <f t="array" ref="J1465">_xlfn.IFS(C1465&lt;5.7,"Normal",AND(C1465&gt;=5.7,C1465&lt;=6.49),"Prediabetes",C1465&gt;=6.5,"Diabetes")</f>
        <v>Diabetes</v>
      </c>
    </row>
    <row r="1466" spans="1:10" x14ac:dyDescent="0.3">
      <c r="A1466" t="s">
        <v>906</v>
      </c>
      <c r="B1466" s="8">
        <v>22.41</v>
      </c>
      <c r="C1466">
        <v>11.37</v>
      </c>
      <c r="D1466" t="s">
        <v>2381</v>
      </c>
      <c r="E1466" t="s">
        <v>2379</v>
      </c>
      <c r="F1466" t="s">
        <v>2379</v>
      </c>
      <c r="G1466">
        <v>1</v>
      </c>
      <c r="H1466" t="s">
        <v>2379</v>
      </c>
      <c r="I1466" t="str" cm="1">
        <f t="array" ref="I1466">_xlfn.IFS(B1466&lt;18.5,"Underweight",AND(B1466&gt;=18.5,B1466&lt;=24.99),"Normalweight",AND(B1466&gt;=25,B1466&lt;=29.99),"Overweight",B1466&gt;=30,"Obesity")</f>
        <v>Normalweight</v>
      </c>
      <c r="J1466" t="str" cm="1">
        <f t="array" ref="J1466">_xlfn.IFS(C1466&lt;5.7,"Normal",AND(C1466&gt;=5.7,C1466&lt;=6.49),"Prediabetes",C1466&gt;=6.5,"Diabetes")</f>
        <v>Diabetes</v>
      </c>
    </row>
    <row r="1467" spans="1:10" x14ac:dyDescent="0.3">
      <c r="A1467" t="s">
        <v>905</v>
      </c>
      <c r="B1467" s="8">
        <v>22.704999999999998</v>
      </c>
      <c r="C1467">
        <v>6.14</v>
      </c>
      <c r="D1467" t="s">
        <v>2379</v>
      </c>
      <c r="E1467" t="s">
        <v>2379</v>
      </c>
      <c r="F1467" t="s">
        <v>2379</v>
      </c>
      <c r="G1467">
        <v>0</v>
      </c>
      <c r="H1467" t="s">
        <v>2379</v>
      </c>
      <c r="I1467" t="str" cm="1">
        <f t="array" ref="I1467">_xlfn.IFS(B1467&lt;18.5,"Underweight",AND(B1467&gt;=18.5,B1467&lt;=24.99),"Normalweight",AND(B1467&gt;=25,B1467&lt;=29.99),"Overweight",B1467&gt;=30,"Obesity")</f>
        <v>Normalweight</v>
      </c>
      <c r="J1467" t="str" cm="1">
        <f t="array" ref="J1467">_xlfn.IFS(C1467&lt;5.7,"Normal",AND(C1467&gt;=5.7,C1467&lt;=6.49),"Prediabetes",C1467&gt;=6.5,"Diabetes")</f>
        <v>Prediabetes</v>
      </c>
    </row>
    <row r="1468" spans="1:10" x14ac:dyDescent="0.3">
      <c r="A1468" t="s">
        <v>904</v>
      </c>
      <c r="B1468" s="8">
        <v>37.18</v>
      </c>
      <c r="C1468">
        <v>4.8899999999999997</v>
      </c>
      <c r="D1468" t="s">
        <v>2379</v>
      </c>
      <c r="E1468" t="s">
        <v>2379</v>
      </c>
      <c r="F1468" t="s">
        <v>2379</v>
      </c>
      <c r="G1468">
        <v>0</v>
      </c>
      <c r="H1468" t="s">
        <v>2379</v>
      </c>
      <c r="I1468" t="str" cm="1">
        <f t="array" ref="I1468">_xlfn.IFS(B1468&lt;18.5,"Underweight",AND(B1468&gt;=18.5,B1468&lt;=24.99),"Normalweight",AND(B1468&gt;=25,B1468&lt;=29.99),"Overweight",B1468&gt;=30,"Obesity")</f>
        <v>Obesity</v>
      </c>
      <c r="J1468" t="str" cm="1">
        <f t="array" ref="J1468">_xlfn.IFS(C1468&lt;5.7,"Normal",AND(C1468&gt;=5.7,C1468&lt;=6.49),"Prediabetes",C1468&gt;=6.5,"Diabetes")</f>
        <v>Normal</v>
      </c>
    </row>
    <row r="1469" spans="1:10" x14ac:dyDescent="0.3">
      <c r="A1469" t="s">
        <v>903</v>
      </c>
      <c r="B1469" s="8">
        <v>35.97</v>
      </c>
      <c r="C1469">
        <v>4.5999999999999996</v>
      </c>
      <c r="D1469" t="s">
        <v>2379</v>
      </c>
      <c r="E1469" t="s">
        <v>2379</v>
      </c>
      <c r="F1469" t="s">
        <v>2379</v>
      </c>
      <c r="G1469">
        <v>0</v>
      </c>
      <c r="H1469" t="s">
        <v>2379</v>
      </c>
      <c r="I1469" t="str" cm="1">
        <f t="array" ref="I1469">_xlfn.IFS(B1469&lt;18.5,"Underweight",AND(B1469&gt;=18.5,B1469&lt;=24.99),"Normalweight",AND(B1469&gt;=25,B1469&lt;=29.99),"Overweight",B1469&gt;=30,"Obesity")</f>
        <v>Obesity</v>
      </c>
      <c r="J1469" t="str" cm="1">
        <f t="array" ref="J1469">_xlfn.IFS(C1469&lt;5.7,"Normal",AND(C1469&gt;=5.7,C1469&lt;=6.49),"Prediabetes",C1469&gt;=6.5,"Diabetes")</f>
        <v>Normal</v>
      </c>
    </row>
    <row r="1470" spans="1:10" x14ac:dyDescent="0.3">
      <c r="A1470" t="s">
        <v>902</v>
      </c>
      <c r="B1470" s="8">
        <v>35.799999999999997</v>
      </c>
      <c r="C1470">
        <v>4.42</v>
      </c>
      <c r="D1470" t="s">
        <v>2379</v>
      </c>
      <c r="E1470" t="s">
        <v>2379</v>
      </c>
      <c r="F1470" t="s">
        <v>2379</v>
      </c>
      <c r="G1470">
        <v>0</v>
      </c>
      <c r="H1470" t="s">
        <v>2379</v>
      </c>
      <c r="I1470" t="str" cm="1">
        <f t="array" ref="I1470">_xlfn.IFS(B1470&lt;18.5,"Underweight",AND(B1470&gt;=18.5,B1470&lt;=24.99),"Normalweight",AND(B1470&gt;=25,B1470&lt;=29.99),"Overweight",B1470&gt;=30,"Obesity")</f>
        <v>Obesity</v>
      </c>
      <c r="J1470" t="str" cm="1">
        <f t="array" ref="J1470">_xlfn.IFS(C1470&lt;5.7,"Normal",AND(C1470&gt;=5.7,C1470&lt;=6.49),"Prediabetes",C1470&gt;=6.5,"Diabetes")</f>
        <v>Normal</v>
      </c>
    </row>
    <row r="1471" spans="1:10" x14ac:dyDescent="0.3">
      <c r="A1471" t="s">
        <v>901</v>
      </c>
      <c r="B1471" s="8">
        <v>28.31</v>
      </c>
      <c r="C1471">
        <v>7.48</v>
      </c>
      <c r="D1471" t="s">
        <v>2381</v>
      </c>
      <c r="E1471" t="s">
        <v>2379</v>
      </c>
      <c r="F1471" t="s">
        <v>2379</v>
      </c>
      <c r="G1471">
        <v>0</v>
      </c>
      <c r="H1471" t="s">
        <v>2379</v>
      </c>
      <c r="I1471" t="str" cm="1">
        <f t="array" ref="I1471">_xlfn.IFS(B1471&lt;18.5,"Underweight",AND(B1471&gt;=18.5,B1471&lt;=24.99),"Normalweight",AND(B1471&gt;=25,B1471&lt;=29.99),"Overweight",B1471&gt;=30,"Obesity")</f>
        <v>Overweight</v>
      </c>
      <c r="J1471" t="str" cm="1">
        <f t="array" ref="J1471">_xlfn.IFS(C1471&lt;5.7,"Normal",AND(C1471&gt;=5.7,C1471&lt;=6.49),"Prediabetes",C1471&gt;=6.5,"Diabetes")</f>
        <v>Diabetes</v>
      </c>
    </row>
    <row r="1472" spans="1:10" x14ac:dyDescent="0.3">
      <c r="A1472" t="s">
        <v>900</v>
      </c>
      <c r="B1472" s="8">
        <v>38.06</v>
      </c>
      <c r="C1472">
        <v>10.74</v>
      </c>
      <c r="D1472" t="s">
        <v>2379</v>
      </c>
      <c r="E1472" t="s">
        <v>2379</v>
      </c>
      <c r="F1472" t="s">
        <v>2379</v>
      </c>
      <c r="G1472">
        <v>0</v>
      </c>
      <c r="H1472" t="s">
        <v>2379</v>
      </c>
      <c r="I1472" t="str" cm="1">
        <f t="array" ref="I1472">_xlfn.IFS(B1472&lt;18.5,"Underweight",AND(B1472&gt;=18.5,B1472&lt;=24.99),"Normalweight",AND(B1472&gt;=25,B1472&lt;=29.99),"Overweight",B1472&gt;=30,"Obesity")</f>
        <v>Obesity</v>
      </c>
      <c r="J1472" t="str" cm="1">
        <f t="array" ref="J1472">_xlfn.IFS(C1472&lt;5.7,"Normal",AND(C1472&gt;=5.7,C1472&lt;=6.49),"Prediabetes",C1472&gt;=6.5,"Diabetes")</f>
        <v>Diabetes</v>
      </c>
    </row>
    <row r="1473" spans="1:10" x14ac:dyDescent="0.3">
      <c r="A1473" t="s">
        <v>899</v>
      </c>
      <c r="B1473" s="8">
        <v>28</v>
      </c>
      <c r="C1473">
        <v>5.19</v>
      </c>
      <c r="D1473" t="s">
        <v>2379</v>
      </c>
      <c r="E1473" t="s">
        <v>2379</v>
      </c>
      <c r="F1473" t="s">
        <v>2379</v>
      </c>
      <c r="G1473">
        <v>1</v>
      </c>
      <c r="H1473" t="s">
        <v>2379</v>
      </c>
      <c r="I1473" t="str" cm="1">
        <f t="array" ref="I1473">_xlfn.IFS(B1473&lt;18.5,"Underweight",AND(B1473&gt;=18.5,B1473&lt;=24.99),"Normalweight",AND(B1473&gt;=25,B1473&lt;=29.99),"Overweight",B1473&gt;=30,"Obesity")</f>
        <v>Overweight</v>
      </c>
      <c r="J1473" t="str" cm="1">
        <f t="array" ref="J1473">_xlfn.IFS(C1473&lt;5.7,"Normal",AND(C1473&gt;=5.7,C1473&lt;=6.49),"Prediabetes",C1473&gt;=6.5,"Diabetes")</f>
        <v>Normal</v>
      </c>
    </row>
    <row r="1474" spans="1:10" x14ac:dyDescent="0.3">
      <c r="A1474" t="s">
        <v>898</v>
      </c>
      <c r="B1474" s="8">
        <v>34.32</v>
      </c>
      <c r="C1474">
        <v>9.17</v>
      </c>
      <c r="D1474" t="s">
        <v>2379</v>
      </c>
      <c r="E1474" t="s">
        <v>2379</v>
      </c>
      <c r="F1474" t="s">
        <v>2379</v>
      </c>
      <c r="G1474">
        <v>0</v>
      </c>
      <c r="H1474" t="s">
        <v>2379</v>
      </c>
      <c r="I1474" t="str" cm="1">
        <f t="array" ref="I1474">_xlfn.IFS(B1474&lt;18.5,"Underweight",AND(B1474&gt;=18.5,B1474&lt;=24.99),"Normalweight",AND(B1474&gt;=25,B1474&lt;=29.99),"Overweight",B1474&gt;=30,"Obesity")</f>
        <v>Obesity</v>
      </c>
      <c r="J1474" t="str" cm="1">
        <f t="array" ref="J1474">_xlfn.IFS(C1474&lt;5.7,"Normal",AND(C1474&gt;=5.7,C1474&lt;=6.49),"Prediabetes",C1474&gt;=6.5,"Diabetes")</f>
        <v>Diabetes</v>
      </c>
    </row>
    <row r="1475" spans="1:10" x14ac:dyDescent="0.3">
      <c r="A1475" t="s">
        <v>897</v>
      </c>
      <c r="B1475" s="8">
        <v>22.3</v>
      </c>
      <c r="C1475">
        <v>4.95</v>
      </c>
      <c r="D1475" t="s">
        <v>2381</v>
      </c>
      <c r="E1475" t="s">
        <v>2379</v>
      </c>
      <c r="F1475" t="s">
        <v>2379</v>
      </c>
      <c r="G1475">
        <v>0</v>
      </c>
      <c r="H1475" t="s">
        <v>2379</v>
      </c>
      <c r="I1475" t="str" cm="1">
        <f t="array" ref="I1475">_xlfn.IFS(B1475&lt;18.5,"Underweight",AND(B1475&gt;=18.5,B1475&lt;=24.99),"Normalweight",AND(B1475&gt;=25,B1475&lt;=29.99),"Overweight",B1475&gt;=30,"Obesity")</f>
        <v>Normalweight</v>
      </c>
      <c r="J1475" t="str" cm="1">
        <f t="array" ref="J1475">_xlfn.IFS(C1475&lt;5.7,"Normal",AND(C1475&gt;=5.7,C1475&lt;=6.49),"Prediabetes",C1475&gt;=6.5,"Diabetes")</f>
        <v>Normal</v>
      </c>
    </row>
    <row r="1476" spans="1:10" x14ac:dyDescent="0.3">
      <c r="A1476" t="s">
        <v>896</v>
      </c>
      <c r="B1476" s="8">
        <v>27.835000000000001</v>
      </c>
      <c r="C1476">
        <v>6.03</v>
      </c>
      <c r="D1476" t="s">
        <v>2379</v>
      </c>
      <c r="E1476" t="s">
        <v>2379</v>
      </c>
      <c r="F1476" t="s">
        <v>2379</v>
      </c>
      <c r="G1476">
        <v>1</v>
      </c>
      <c r="H1476" t="s">
        <v>2379</v>
      </c>
      <c r="I1476" t="str" cm="1">
        <f t="array" ref="I1476">_xlfn.IFS(B1476&lt;18.5,"Underweight",AND(B1476&gt;=18.5,B1476&lt;=24.99),"Normalweight",AND(B1476&gt;=25,B1476&lt;=29.99),"Overweight",B1476&gt;=30,"Obesity")</f>
        <v>Overweight</v>
      </c>
      <c r="J1476" t="str" cm="1">
        <f t="array" ref="J1476">_xlfn.IFS(C1476&lt;5.7,"Normal",AND(C1476&gt;=5.7,C1476&lt;=6.49),"Prediabetes",C1476&gt;=6.5,"Diabetes")</f>
        <v>Prediabetes</v>
      </c>
    </row>
    <row r="1477" spans="1:10" x14ac:dyDescent="0.3">
      <c r="A1477" t="s">
        <v>895</v>
      </c>
      <c r="B1477" s="8">
        <v>39.229999999999997</v>
      </c>
      <c r="C1477">
        <v>5.36</v>
      </c>
      <c r="D1477" t="s">
        <v>2379</v>
      </c>
      <c r="E1477" t="s">
        <v>2379</v>
      </c>
      <c r="F1477" t="s">
        <v>2379</v>
      </c>
      <c r="G1477">
        <v>0</v>
      </c>
      <c r="H1477" t="s">
        <v>2379</v>
      </c>
      <c r="I1477" t="str" cm="1">
        <f t="array" ref="I1477">_xlfn.IFS(B1477&lt;18.5,"Underweight",AND(B1477&gt;=18.5,B1477&lt;=24.99),"Normalweight",AND(B1477&gt;=25,B1477&lt;=29.99),"Overweight",B1477&gt;=30,"Obesity")</f>
        <v>Obesity</v>
      </c>
      <c r="J1477" t="str" cm="1">
        <f t="array" ref="J1477">_xlfn.IFS(C1477&lt;5.7,"Normal",AND(C1477&gt;=5.7,C1477&lt;=6.49),"Prediabetes",C1477&gt;=6.5,"Diabetes")</f>
        <v>Normal</v>
      </c>
    </row>
    <row r="1478" spans="1:10" x14ac:dyDescent="0.3">
      <c r="A1478" t="s">
        <v>894</v>
      </c>
      <c r="B1478" s="8">
        <v>19.95</v>
      </c>
      <c r="C1478">
        <v>6.11</v>
      </c>
      <c r="D1478" t="s">
        <v>2379</v>
      </c>
      <c r="E1478" t="s">
        <v>2379</v>
      </c>
      <c r="F1478" t="s">
        <v>2379</v>
      </c>
      <c r="G1478">
        <v>1</v>
      </c>
      <c r="H1478" t="s">
        <v>2379</v>
      </c>
      <c r="I1478" t="str" cm="1">
        <f t="array" ref="I1478">_xlfn.IFS(B1478&lt;18.5,"Underweight",AND(B1478&gt;=18.5,B1478&lt;=24.99),"Normalweight",AND(B1478&gt;=25,B1478&lt;=29.99),"Overweight",B1478&gt;=30,"Obesity")</f>
        <v>Normalweight</v>
      </c>
      <c r="J1478" t="str" cm="1">
        <f t="array" ref="J1478">_xlfn.IFS(C1478&lt;5.7,"Normal",AND(C1478&gt;=5.7,C1478&lt;=6.49),"Prediabetes",C1478&gt;=6.5,"Diabetes")</f>
        <v>Prediabetes</v>
      </c>
    </row>
    <row r="1479" spans="1:10" x14ac:dyDescent="0.3">
      <c r="A1479" t="s">
        <v>893</v>
      </c>
      <c r="B1479" s="8">
        <v>34.64</v>
      </c>
      <c r="C1479">
        <v>4.88</v>
      </c>
      <c r="D1479" t="s">
        <v>2379</v>
      </c>
      <c r="E1479" t="s">
        <v>2379</v>
      </c>
      <c r="F1479" t="s">
        <v>2381</v>
      </c>
      <c r="G1479">
        <v>1</v>
      </c>
      <c r="H1479" t="s">
        <v>2379</v>
      </c>
      <c r="I1479" t="str" cm="1">
        <f t="array" ref="I1479">_xlfn.IFS(B1479&lt;18.5,"Underweight",AND(B1479&gt;=18.5,B1479&lt;=24.99),"Normalweight",AND(B1479&gt;=25,B1479&lt;=29.99),"Overweight",B1479&gt;=30,"Obesity")</f>
        <v>Obesity</v>
      </c>
      <c r="J1479" t="str" cm="1">
        <f t="array" ref="J1479">_xlfn.IFS(C1479&lt;5.7,"Normal",AND(C1479&gt;=5.7,C1479&lt;=6.49),"Prediabetes",C1479&gt;=6.5,"Diabetes")</f>
        <v>Normal</v>
      </c>
    </row>
    <row r="1480" spans="1:10" x14ac:dyDescent="0.3">
      <c r="A1480" t="s">
        <v>892</v>
      </c>
      <c r="B1480" s="8">
        <v>18.75</v>
      </c>
      <c r="C1480">
        <v>6.72</v>
      </c>
      <c r="D1480" t="s">
        <v>2379</v>
      </c>
      <c r="E1480" t="s">
        <v>2379</v>
      </c>
      <c r="F1480" t="s">
        <v>2379</v>
      </c>
      <c r="G1480">
        <v>0</v>
      </c>
      <c r="H1480" t="s">
        <v>2379</v>
      </c>
      <c r="I1480" t="str" cm="1">
        <f t="array" ref="I1480">_xlfn.IFS(B1480&lt;18.5,"Underweight",AND(B1480&gt;=18.5,B1480&lt;=24.99),"Normalweight",AND(B1480&gt;=25,B1480&lt;=29.99),"Overweight",B1480&gt;=30,"Obesity")</f>
        <v>Normalweight</v>
      </c>
      <c r="J1480" t="str" cm="1">
        <f t="array" ref="J1480">_xlfn.IFS(C1480&lt;5.7,"Normal",AND(C1480&gt;=5.7,C1480&lt;=6.49),"Prediabetes",C1480&gt;=6.5,"Diabetes")</f>
        <v>Diabetes</v>
      </c>
    </row>
    <row r="1481" spans="1:10" x14ac:dyDescent="0.3">
      <c r="A1481" t="s">
        <v>891</v>
      </c>
      <c r="B1481" s="8">
        <v>26.48</v>
      </c>
      <c r="C1481">
        <v>4.2</v>
      </c>
      <c r="D1481" t="s">
        <v>2379</v>
      </c>
      <c r="E1481" t="s">
        <v>2379</v>
      </c>
      <c r="F1481" t="s">
        <v>2379</v>
      </c>
      <c r="G1481">
        <v>1</v>
      </c>
      <c r="H1481" t="s">
        <v>2379</v>
      </c>
      <c r="I1481" t="str" cm="1">
        <f t="array" ref="I1481">_xlfn.IFS(B1481&lt;18.5,"Underweight",AND(B1481&gt;=18.5,B1481&lt;=24.99),"Normalweight",AND(B1481&gt;=25,B1481&lt;=29.99),"Overweight",B1481&gt;=30,"Obesity")</f>
        <v>Overweight</v>
      </c>
      <c r="J1481" t="str" cm="1">
        <f t="array" ref="J1481">_xlfn.IFS(C1481&lt;5.7,"Normal",AND(C1481&gt;=5.7,C1481&lt;=6.49),"Prediabetes",C1481&gt;=6.5,"Diabetes")</f>
        <v>Normal</v>
      </c>
    </row>
    <row r="1482" spans="1:10" x14ac:dyDescent="0.3">
      <c r="A1482" t="s">
        <v>890</v>
      </c>
      <c r="B1482" s="8">
        <v>34.83</v>
      </c>
      <c r="C1482">
        <v>5.79</v>
      </c>
      <c r="D1482" t="s">
        <v>2379</v>
      </c>
      <c r="E1482" t="s">
        <v>2379</v>
      </c>
      <c r="F1482" t="s">
        <v>2379</v>
      </c>
      <c r="G1482">
        <v>1</v>
      </c>
      <c r="H1482" t="s">
        <v>2379</v>
      </c>
      <c r="I1482" t="str" cm="1">
        <f t="array" ref="I1482">_xlfn.IFS(B1482&lt;18.5,"Underweight",AND(B1482&gt;=18.5,B1482&lt;=24.99),"Normalweight",AND(B1482&gt;=25,B1482&lt;=29.99),"Overweight",B1482&gt;=30,"Obesity")</f>
        <v>Obesity</v>
      </c>
      <c r="J1482" t="str" cm="1">
        <f t="array" ref="J1482">_xlfn.IFS(C1482&lt;5.7,"Normal",AND(C1482&gt;=5.7,C1482&lt;=6.49),"Prediabetes",C1482&gt;=6.5,"Diabetes")</f>
        <v>Prediabetes</v>
      </c>
    </row>
    <row r="1483" spans="1:10" x14ac:dyDescent="0.3">
      <c r="A1483" t="s">
        <v>889</v>
      </c>
      <c r="B1483" s="8">
        <v>25.46</v>
      </c>
      <c r="C1483">
        <v>4.29</v>
      </c>
      <c r="D1483" t="s">
        <v>2379</v>
      </c>
      <c r="E1483" t="s">
        <v>2379</v>
      </c>
      <c r="F1483" t="s">
        <v>2379</v>
      </c>
      <c r="G1483">
        <v>0</v>
      </c>
      <c r="H1483" t="s">
        <v>2379</v>
      </c>
      <c r="I1483" t="str" cm="1">
        <f t="array" ref="I1483">_xlfn.IFS(B1483&lt;18.5,"Underweight",AND(B1483&gt;=18.5,B1483&lt;=24.99),"Normalweight",AND(B1483&gt;=25,B1483&lt;=29.99),"Overweight",B1483&gt;=30,"Obesity")</f>
        <v>Overweight</v>
      </c>
      <c r="J1483" t="str" cm="1">
        <f t="array" ref="J1483">_xlfn.IFS(C1483&lt;5.7,"Normal",AND(C1483&gt;=5.7,C1483&lt;=6.49),"Prediabetes",C1483&gt;=6.5,"Diabetes")</f>
        <v>Normal</v>
      </c>
    </row>
    <row r="1484" spans="1:10" x14ac:dyDescent="0.3">
      <c r="A1484" t="s">
        <v>888</v>
      </c>
      <c r="B1484" s="8">
        <v>23.31</v>
      </c>
      <c r="C1484">
        <v>8.27</v>
      </c>
      <c r="D1484" t="s">
        <v>2379</v>
      </c>
      <c r="E1484" t="s">
        <v>2379</v>
      </c>
      <c r="F1484" t="s">
        <v>2379</v>
      </c>
      <c r="G1484">
        <v>0</v>
      </c>
      <c r="H1484" t="s">
        <v>2379</v>
      </c>
      <c r="I1484" t="str" cm="1">
        <f t="array" ref="I1484">_xlfn.IFS(B1484&lt;18.5,"Underweight",AND(B1484&gt;=18.5,B1484&lt;=24.99),"Normalweight",AND(B1484&gt;=25,B1484&lt;=29.99),"Overweight",B1484&gt;=30,"Obesity")</f>
        <v>Normalweight</v>
      </c>
      <c r="J1484" t="str" cm="1">
        <f t="array" ref="J1484">_xlfn.IFS(C1484&lt;5.7,"Normal",AND(C1484&gt;=5.7,C1484&lt;=6.49),"Prediabetes",C1484&gt;=6.5,"Diabetes")</f>
        <v>Diabetes</v>
      </c>
    </row>
    <row r="1485" spans="1:10" x14ac:dyDescent="0.3">
      <c r="A1485" t="s">
        <v>887</v>
      </c>
      <c r="B1485" s="8">
        <v>29</v>
      </c>
      <c r="C1485">
        <v>4.5599999999999996</v>
      </c>
      <c r="D1485" t="s">
        <v>2379</v>
      </c>
      <c r="E1485" t="s">
        <v>2379</v>
      </c>
      <c r="F1485" t="s">
        <v>2379</v>
      </c>
      <c r="G1485">
        <v>0</v>
      </c>
      <c r="H1485" t="s">
        <v>2379</v>
      </c>
      <c r="I1485" t="str" cm="1">
        <f t="array" ref="I1485">_xlfn.IFS(B1485&lt;18.5,"Underweight",AND(B1485&gt;=18.5,B1485&lt;=24.99),"Normalweight",AND(B1485&gt;=25,B1485&lt;=29.99),"Overweight",B1485&gt;=30,"Obesity")</f>
        <v>Overweight</v>
      </c>
      <c r="J1485" t="str" cm="1">
        <f t="array" ref="J1485">_xlfn.IFS(C1485&lt;5.7,"Normal",AND(C1485&gt;=5.7,C1485&lt;=6.49),"Prediabetes",C1485&gt;=6.5,"Diabetes")</f>
        <v>Normal</v>
      </c>
    </row>
    <row r="1486" spans="1:10" x14ac:dyDescent="0.3">
      <c r="A1486" t="s">
        <v>886</v>
      </c>
      <c r="B1486" s="8">
        <v>32.869999999999997</v>
      </c>
      <c r="C1486">
        <v>5.33</v>
      </c>
      <c r="D1486" t="s">
        <v>2379</v>
      </c>
      <c r="E1486" t="s">
        <v>2379</v>
      </c>
      <c r="F1486" t="s">
        <v>2379</v>
      </c>
      <c r="G1486">
        <v>0</v>
      </c>
      <c r="H1486" t="s">
        <v>2379</v>
      </c>
      <c r="I1486" t="str" cm="1">
        <f t="array" ref="I1486">_xlfn.IFS(B1486&lt;18.5,"Underweight",AND(B1486&gt;=18.5,B1486&lt;=24.99),"Normalweight",AND(B1486&gt;=25,B1486&lt;=29.99),"Overweight",B1486&gt;=30,"Obesity")</f>
        <v>Obesity</v>
      </c>
      <c r="J1486" t="str" cm="1">
        <f t="array" ref="J1486">_xlfn.IFS(C1486&lt;5.7,"Normal",AND(C1486&gt;=5.7,C1486&lt;=6.49),"Prediabetes",C1486&gt;=6.5,"Diabetes")</f>
        <v>Normal</v>
      </c>
    </row>
    <row r="1487" spans="1:10" x14ac:dyDescent="0.3">
      <c r="A1487" t="s">
        <v>885</v>
      </c>
      <c r="B1487" s="8">
        <v>26.18</v>
      </c>
      <c r="C1487">
        <v>5.63</v>
      </c>
      <c r="D1487" t="s">
        <v>2379</v>
      </c>
      <c r="E1487" t="s">
        <v>2379</v>
      </c>
      <c r="F1487" t="s">
        <v>2379</v>
      </c>
      <c r="G1487">
        <v>0</v>
      </c>
      <c r="H1487" t="s">
        <v>2379</v>
      </c>
      <c r="I1487" t="str" cm="1">
        <f t="array" ref="I1487">_xlfn.IFS(B1487&lt;18.5,"Underweight",AND(B1487&gt;=18.5,B1487&lt;=24.99),"Normalweight",AND(B1487&gt;=25,B1487&lt;=29.99),"Overweight",B1487&gt;=30,"Obesity")</f>
        <v>Overweight</v>
      </c>
      <c r="J1487" t="str" cm="1">
        <f t="array" ref="J1487">_xlfn.IFS(C1487&lt;5.7,"Normal",AND(C1487&gt;=5.7,C1487&lt;=6.49),"Prediabetes",C1487&gt;=6.5,"Diabetes")</f>
        <v>Normal</v>
      </c>
    </row>
    <row r="1488" spans="1:10" x14ac:dyDescent="0.3">
      <c r="A1488" t="s">
        <v>884</v>
      </c>
      <c r="B1488" s="8">
        <v>25.3</v>
      </c>
      <c r="C1488">
        <v>5.12</v>
      </c>
      <c r="D1488" t="s">
        <v>2379</v>
      </c>
      <c r="E1488" t="s">
        <v>2379</v>
      </c>
      <c r="F1488" t="s">
        <v>2379</v>
      </c>
      <c r="G1488">
        <v>0</v>
      </c>
      <c r="H1488" t="s">
        <v>2379</v>
      </c>
      <c r="I1488" t="str" cm="1">
        <f t="array" ref="I1488">_xlfn.IFS(B1488&lt;18.5,"Underweight",AND(B1488&gt;=18.5,B1488&lt;=24.99),"Normalweight",AND(B1488&gt;=25,B1488&lt;=29.99),"Overweight",B1488&gt;=30,"Obesity")</f>
        <v>Overweight</v>
      </c>
      <c r="J1488" t="str" cm="1">
        <f t="array" ref="J1488">_xlfn.IFS(C1488&lt;5.7,"Normal",AND(C1488&gt;=5.7,C1488&lt;=6.49),"Prediabetes",C1488&gt;=6.5,"Diabetes")</f>
        <v>Normal</v>
      </c>
    </row>
    <row r="1489" spans="1:10" x14ac:dyDescent="0.3">
      <c r="A1489" t="s">
        <v>883</v>
      </c>
      <c r="B1489" s="8">
        <v>36.94</v>
      </c>
      <c r="C1489">
        <v>5.15</v>
      </c>
      <c r="D1489" t="s">
        <v>2381</v>
      </c>
      <c r="E1489" t="s">
        <v>2379</v>
      </c>
      <c r="F1489" t="s">
        <v>2379</v>
      </c>
      <c r="G1489">
        <v>1</v>
      </c>
      <c r="H1489" t="s">
        <v>2379</v>
      </c>
      <c r="I1489" t="str" cm="1">
        <f t="array" ref="I1489">_xlfn.IFS(B1489&lt;18.5,"Underweight",AND(B1489&gt;=18.5,B1489&lt;=24.99),"Normalweight",AND(B1489&gt;=25,B1489&lt;=29.99),"Overweight",B1489&gt;=30,"Obesity")</f>
        <v>Obesity</v>
      </c>
      <c r="J1489" t="str" cm="1">
        <f t="array" ref="J1489">_xlfn.IFS(C1489&lt;5.7,"Normal",AND(C1489&gt;=5.7,C1489&lt;=6.49),"Prediabetes",C1489&gt;=6.5,"Diabetes")</f>
        <v>Normal</v>
      </c>
    </row>
    <row r="1490" spans="1:10" x14ac:dyDescent="0.3">
      <c r="A1490" t="s">
        <v>882</v>
      </c>
      <c r="B1490" s="8">
        <v>22.86</v>
      </c>
      <c r="C1490">
        <v>7.5</v>
      </c>
      <c r="D1490" t="s">
        <v>2379</v>
      </c>
      <c r="E1490" t="s">
        <v>2379</v>
      </c>
      <c r="F1490" t="s">
        <v>2379</v>
      </c>
      <c r="G1490">
        <v>0</v>
      </c>
      <c r="H1490" t="s">
        <v>2379</v>
      </c>
      <c r="I1490" t="str" cm="1">
        <f t="array" ref="I1490">_xlfn.IFS(B1490&lt;18.5,"Underweight",AND(B1490&gt;=18.5,B1490&lt;=24.99),"Normalweight",AND(B1490&gt;=25,B1490&lt;=29.99),"Overweight",B1490&gt;=30,"Obesity")</f>
        <v>Normalweight</v>
      </c>
      <c r="J1490" t="str" cm="1">
        <f t="array" ref="J1490">_xlfn.IFS(C1490&lt;5.7,"Normal",AND(C1490&gt;=5.7,C1490&lt;=6.49),"Prediabetes",C1490&gt;=6.5,"Diabetes")</f>
        <v>Diabetes</v>
      </c>
    </row>
    <row r="1491" spans="1:10" x14ac:dyDescent="0.3">
      <c r="A1491" t="s">
        <v>881</v>
      </c>
      <c r="B1491" s="8">
        <v>18.760000000000002</v>
      </c>
      <c r="C1491">
        <v>4.88</v>
      </c>
      <c r="D1491" t="s">
        <v>2381</v>
      </c>
      <c r="E1491" t="s">
        <v>2379</v>
      </c>
      <c r="F1491" t="s">
        <v>2381</v>
      </c>
      <c r="G1491">
        <v>1</v>
      </c>
      <c r="H1491" t="s">
        <v>2379</v>
      </c>
      <c r="I1491" t="str" cm="1">
        <f t="array" ref="I1491">_xlfn.IFS(B1491&lt;18.5,"Underweight",AND(B1491&gt;=18.5,B1491&lt;=24.99),"Normalweight",AND(B1491&gt;=25,B1491&lt;=29.99),"Overweight",B1491&gt;=30,"Obesity")</f>
        <v>Normalweight</v>
      </c>
      <c r="J1491" t="str" cm="1">
        <f t="array" ref="J1491">_xlfn.IFS(C1491&lt;5.7,"Normal",AND(C1491&gt;=5.7,C1491&lt;=6.49),"Prediabetes",C1491&gt;=6.5,"Diabetes")</f>
        <v>Normal</v>
      </c>
    </row>
    <row r="1492" spans="1:10" x14ac:dyDescent="0.3">
      <c r="A1492" t="s">
        <v>880</v>
      </c>
      <c r="B1492" s="8">
        <v>24.36</v>
      </c>
      <c r="C1492">
        <v>5.57</v>
      </c>
      <c r="D1492" t="s">
        <v>2379</v>
      </c>
      <c r="E1492" t="s">
        <v>2379</v>
      </c>
      <c r="F1492" t="s">
        <v>2379</v>
      </c>
      <c r="G1492">
        <v>0</v>
      </c>
      <c r="H1492" t="s">
        <v>2379</v>
      </c>
      <c r="I1492" t="str" cm="1">
        <f t="array" ref="I1492">_xlfn.IFS(B1492&lt;18.5,"Underweight",AND(B1492&gt;=18.5,B1492&lt;=24.99),"Normalweight",AND(B1492&gt;=25,B1492&lt;=29.99),"Overweight",B1492&gt;=30,"Obesity")</f>
        <v>Normalweight</v>
      </c>
      <c r="J1492" t="str" cm="1">
        <f t="array" ref="J1492">_xlfn.IFS(C1492&lt;5.7,"Normal",AND(C1492&gt;=5.7,C1492&lt;=6.49),"Prediabetes",C1492&gt;=6.5,"Diabetes")</f>
        <v>Normal</v>
      </c>
    </row>
    <row r="1493" spans="1:10" x14ac:dyDescent="0.3">
      <c r="A1493" t="s">
        <v>879</v>
      </c>
      <c r="B1493" s="8">
        <v>32.299999999999997</v>
      </c>
      <c r="C1493">
        <v>5.31</v>
      </c>
      <c r="D1493" t="s">
        <v>2379</v>
      </c>
      <c r="E1493" t="s">
        <v>2379</v>
      </c>
      <c r="F1493" t="s">
        <v>2379</v>
      </c>
      <c r="G1493">
        <v>0</v>
      </c>
      <c r="H1493" t="s">
        <v>2379</v>
      </c>
      <c r="I1493" t="str" cm="1">
        <f t="array" ref="I1493">_xlfn.IFS(B1493&lt;18.5,"Underweight",AND(B1493&gt;=18.5,B1493&lt;=24.99),"Normalweight",AND(B1493&gt;=25,B1493&lt;=29.99),"Overweight",B1493&gt;=30,"Obesity")</f>
        <v>Obesity</v>
      </c>
      <c r="J1493" t="str" cm="1">
        <f t="array" ref="J1493">_xlfn.IFS(C1493&lt;5.7,"Normal",AND(C1493&gt;=5.7,C1493&lt;=6.49),"Prediabetes",C1493&gt;=6.5,"Diabetes")</f>
        <v>Normal</v>
      </c>
    </row>
    <row r="1494" spans="1:10" x14ac:dyDescent="0.3">
      <c r="A1494" t="s">
        <v>878</v>
      </c>
      <c r="B1494" s="8">
        <v>22.704999999999998</v>
      </c>
      <c r="C1494">
        <v>4.57</v>
      </c>
      <c r="D1494" t="s">
        <v>2381</v>
      </c>
      <c r="E1494" t="s">
        <v>2379</v>
      </c>
      <c r="F1494" t="s">
        <v>2379</v>
      </c>
      <c r="G1494">
        <v>0</v>
      </c>
      <c r="H1494" t="s">
        <v>2379</v>
      </c>
      <c r="I1494" t="str" cm="1">
        <f t="array" ref="I1494">_xlfn.IFS(B1494&lt;18.5,"Underweight",AND(B1494&gt;=18.5,B1494&lt;=24.99),"Normalweight",AND(B1494&gt;=25,B1494&lt;=29.99),"Overweight",B1494&gt;=30,"Obesity")</f>
        <v>Normalweight</v>
      </c>
      <c r="J1494" t="str" cm="1">
        <f t="array" ref="J1494">_xlfn.IFS(C1494&lt;5.7,"Normal",AND(C1494&gt;=5.7,C1494&lt;=6.49),"Prediabetes",C1494&gt;=6.5,"Diabetes")</f>
        <v>Normal</v>
      </c>
    </row>
    <row r="1495" spans="1:10" x14ac:dyDescent="0.3">
      <c r="A1495" t="s">
        <v>877</v>
      </c>
      <c r="B1495" s="8">
        <v>21.79</v>
      </c>
      <c r="C1495">
        <v>8.6999999999999993</v>
      </c>
      <c r="D1495" t="s">
        <v>2381</v>
      </c>
      <c r="E1495" t="s">
        <v>2379</v>
      </c>
      <c r="F1495" t="s">
        <v>2379</v>
      </c>
      <c r="G1495">
        <v>1</v>
      </c>
      <c r="H1495" t="s">
        <v>2379</v>
      </c>
      <c r="I1495" t="str" cm="1">
        <f t="array" ref="I1495">_xlfn.IFS(B1495&lt;18.5,"Underweight",AND(B1495&gt;=18.5,B1495&lt;=24.99),"Normalweight",AND(B1495&gt;=25,B1495&lt;=29.99),"Overweight",B1495&gt;=30,"Obesity")</f>
        <v>Normalweight</v>
      </c>
      <c r="J1495" t="str" cm="1">
        <f t="array" ref="J1495">_xlfn.IFS(C1495&lt;5.7,"Normal",AND(C1495&gt;=5.7,C1495&lt;=6.49),"Prediabetes",C1495&gt;=6.5,"Diabetes")</f>
        <v>Diabetes</v>
      </c>
    </row>
    <row r="1496" spans="1:10" x14ac:dyDescent="0.3">
      <c r="A1496" t="s">
        <v>876</v>
      </c>
      <c r="B1496" s="8">
        <v>24.52</v>
      </c>
      <c r="C1496">
        <v>4.76</v>
      </c>
      <c r="D1496" t="s">
        <v>2379</v>
      </c>
      <c r="E1496" t="s">
        <v>2379</v>
      </c>
      <c r="F1496" t="s">
        <v>2379</v>
      </c>
      <c r="G1496">
        <v>0</v>
      </c>
      <c r="H1496" t="s">
        <v>2379</v>
      </c>
      <c r="I1496" t="str" cm="1">
        <f t="array" ref="I1496">_xlfn.IFS(B1496&lt;18.5,"Underweight",AND(B1496&gt;=18.5,B1496&lt;=24.99),"Normalweight",AND(B1496&gt;=25,B1496&lt;=29.99),"Overweight",B1496&gt;=30,"Obesity")</f>
        <v>Normalweight</v>
      </c>
      <c r="J1496" t="str" cm="1">
        <f t="array" ref="J1496">_xlfn.IFS(C1496&lt;5.7,"Normal",AND(C1496&gt;=5.7,C1496&lt;=6.49),"Prediabetes",C1496&gt;=6.5,"Diabetes")</f>
        <v>Normal</v>
      </c>
    </row>
    <row r="1497" spans="1:10" x14ac:dyDescent="0.3">
      <c r="A1497" t="s">
        <v>875</v>
      </c>
      <c r="B1497" s="8">
        <v>39.520000000000003</v>
      </c>
      <c r="C1497">
        <v>11.81</v>
      </c>
      <c r="D1497" t="s">
        <v>2379</v>
      </c>
      <c r="E1497" t="s">
        <v>2379</v>
      </c>
      <c r="F1497" t="s">
        <v>2379</v>
      </c>
      <c r="G1497">
        <v>0</v>
      </c>
      <c r="H1497" t="s">
        <v>2379</v>
      </c>
      <c r="I1497" t="str" cm="1">
        <f t="array" ref="I1497">_xlfn.IFS(B1497&lt;18.5,"Underweight",AND(B1497&gt;=18.5,B1497&lt;=24.99),"Normalweight",AND(B1497&gt;=25,B1497&lt;=29.99),"Overweight",B1497&gt;=30,"Obesity")</f>
        <v>Obesity</v>
      </c>
      <c r="J1497" t="str" cm="1">
        <f t="array" ref="J1497">_xlfn.IFS(C1497&lt;5.7,"Normal",AND(C1497&gt;=5.7,C1497&lt;=6.49),"Prediabetes",C1497&gt;=6.5,"Diabetes")</f>
        <v>Diabetes</v>
      </c>
    </row>
    <row r="1498" spans="1:10" x14ac:dyDescent="0.3">
      <c r="A1498" t="s">
        <v>874</v>
      </c>
      <c r="B1498" s="8">
        <v>24.49</v>
      </c>
      <c r="C1498">
        <v>4.67</v>
      </c>
      <c r="D1498" t="s">
        <v>2379</v>
      </c>
      <c r="E1498" t="s">
        <v>2379</v>
      </c>
      <c r="F1498" t="s">
        <v>2379</v>
      </c>
      <c r="G1498">
        <v>0</v>
      </c>
      <c r="H1498" t="s">
        <v>2379</v>
      </c>
      <c r="I1498" t="str" cm="1">
        <f t="array" ref="I1498">_xlfn.IFS(B1498&lt;18.5,"Underweight",AND(B1498&gt;=18.5,B1498&lt;=24.99),"Normalweight",AND(B1498&gt;=25,B1498&lt;=29.99),"Overweight",B1498&gt;=30,"Obesity")</f>
        <v>Normalweight</v>
      </c>
      <c r="J1498" t="str" cm="1">
        <f t="array" ref="J1498">_xlfn.IFS(C1498&lt;5.7,"Normal",AND(C1498&gt;=5.7,C1498&lt;=6.49),"Prediabetes",C1498&gt;=6.5,"Diabetes")</f>
        <v>Normal</v>
      </c>
    </row>
    <row r="1499" spans="1:10" x14ac:dyDescent="0.3">
      <c r="A1499" t="s">
        <v>873</v>
      </c>
      <c r="B1499" s="8">
        <v>26.315000000000001</v>
      </c>
      <c r="C1499">
        <v>6.02</v>
      </c>
      <c r="D1499" t="s">
        <v>2379</v>
      </c>
      <c r="E1499" t="s">
        <v>2379</v>
      </c>
      <c r="F1499" t="s">
        <v>2379</v>
      </c>
      <c r="G1499">
        <v>0</v>
      </c>
      <c r="H1499" t="s">
        <v>2379</v>
      </c>
      <c r="I1499" t="str" cm="1">
        <f t="array" ref="I1499">_xlfn.IFS(B1499&lt;18.5,"Underweight",AND(B1499&gt;=18.5,B1499&lt;=24.99),"Normalweight",AND(B1499&gt;=25,B1499&lt;=29.99),"Overweight",B1499&gt;=30,"Obesity")</f>
        <v>Overweight</v>
      </c>
      <c r="J1499" t="str" cm="1">
        <f t="array" ref="J1499">_xlfn.IFS(C1499&lt;5.7,"Normal",AND(C1499&gt;=5.7,C1499&lt;=6.49),"Prediabetes",C1499&gt;=6.5,"Diabetes")</f>
        <v>Prediabetes</v>
      </c>
    </row>
    <row r="1500" spans="1:10" x14ac:dyDescent="0.3">
      <c r="A1500" t="s">
        <v>872</v>
      </c>
      <c r="B1500" s="8">
        <v>22.58</v>
      </c>
      <c r="C1500">
        <v>7.46</v>
      </c>
      <c r="D1500" t="s">
        <v>2379</v>
      </c>
      <c r="E1500" t="s">
        <v>2379</v>
      </c>
      <c r="F1500" t="s">
        <v>2379</v>
      </c>
      <c r="G1500">
        <v>0</v>
      </c>
      <c r="H1500" t="s">
        <v>2379</v>
      </c>
      <c r="I1500" t="str" cm="1">
        <f t="array" ref="I1500">_xlfn.IFS(B1500&lt;18.5,"Underweight",AND(B1500&gt;=18.5,B1500&lt;=24.99),"Normalweight",AND(B1500&gt;=25,B1500&lt;=29.99),"Overweight",B1500&gt;=30,"Obesity")</f>
        <v>Normalweight</v>
      </c>
      <c r="J1500" t="str" cm="1">
        <f t="array" ref="J1500">_xlfn.IFS(C1500&lt;5.7,"Normal",AND(C1500&gt;=5.7,C1500&lt;=6.49),"Prediabetes",C1500&gt;=6.5,"Diabetes")</f>
        <v>Diabetes</v>
      </c>
    </row>
    <row r="1501" spans="1:10" x14ac:dyDescent="0.3">
      <c r="A1501" t="s">
        <v>871</v>
      </c>
      <c r="B1501" s="8">
        <v>19.475000000000001</v>
      </c>
      <c r="C1501">
        <v>4.74</v>
      </c>
      <c r="D1501" t="s">
        <v>2379</v>
      </c>
      <c r="E1501" t="s">
        <v>2379</v>
      </c>
      <c r="F1501" t="s">
        <v>2379</v>
      </c>
      <c r="G1501">
        <v>1</v>
      </c>
      <c r="H1501" t="s">
        <v>2379</v>
      </c>
      <c r="I1501" t="str" cm="1">
        <f t="array" ref="I1501">_xlfn.IFS(B1501&lt;18.5,"Underweight",AND(B1501&gt;=18.5,B1501&lt;=24.99),"Normalweight",AND(B1501&gt;=25,B1501&lt;=29.99),"Overweight",B1501&gt;=30,"Obesity")</f>
        <v>Normalweight</v>
      </c>
      <c r="J1501" t="str" cm="1">
        <f t="array" ref="J1501">_xlfn.IFS(C1501&lt;5.7,"Normal",AND(C1501&gt;=5.7,C1501&lt;=6.49),"Prediabetes",C1501&gt;=6.5,"Diabetes")</f>
        <v>Normal</v>
      </c>
    </row>
    <row r="1502" spans="1:10" x14ac:dyDescent="0.3">
      <c r="A1502" t="s">
        <v>870</v>
      </c>
      <c r="B1502" s="8">
        <v>26.33</v>
      </c>
      <c r="C1502">
        <v>4.79</v>
      </c>
      <c r="D1502" t="s">
        <v>2379</v>
      </c>
      <c r="E1502" t="s">
        <v>2379</v>
      </c>
      <c r="F1502" t="s">
        <v>2379</v>
      </c>
      <c r="G1502">
        <v>0</v>
      </c>
      <c r="H1502" t="s">
        <v>2379</v>
      </c>
      <c r="I1502" t="str" cm="1">
        <f t="array" ref="I1502">_xlfn.IFS(B1502&lt;18.5,"Underweight",AND(B1502&gt;=18.5,B1502&lt;=24.99),"Normalweight",AND(B1502&gt;=25,B1502&lt;=29.99),"Overweight",B1502&gt;=30,"Obesity")</f>
        <v>Overweight</v>
      </c>
      <c r="J1502" t="str" cm="1">
        <f t="array" ref="J1502">_xlfn.IFS(C1502&lt;5.7,"Normal",AND(C1502&gt;=5.7,C1502&lt;=6.49),"Prediabetes",C1502&gt;=6.5,"Diabetes")</f>
        <v>Normal</v>
      </c>
    </row>
    <row r="1503" spans="1:10" x14ac:dyDescent="0.3">
      <c r="A1503" t="s">
        <v>869</v>
      </c>
      <c r="B1503" s="8">
        <v>17.29</v>
      </c>
      <c r="C1503">
        <v>5.35</v>
      </c>
      <c r="D1503" t="s">
        <v>2381</v>
      </c>
      <c r="E1503" t="s">
        <v>2379</v>
      </c>
      <c r="F1503" t="s">
        <v>2379</v>
      </c>
      <c r="G1503">
        <v>0</v>
      </c>
      <c r="H1503" t="s">
        <v>2379</v>
      </c>
      <c r="I1503" t="str" cm="1">
        <f t="array" ref="I1503">_xlfn.IFS(B1503&lt;18.5,"Underweight",AND(B1503&gt;=18.5,B1503&lt;=24.99),"Normalweight",AND(B1503&gt;=25,B1503&lt;=29.99),"Overweight",B1503&gt;=30,"Obesity")</f>
        <v>Underweight</v>
      </c>
      <c r="J1503" t="str" cm="1">
        <f t="array" ref="J1503">_xlfn.IFS(C1503&lt;5.7,"Normal",AND(C1503&gt;=5.7,C1503&lt;=6.49),"Prediabetes",C1503&gt;=6.5,"Diabetes")</f>
        <v>Normal</v>
      </c>
    </row>
    <row r="1504" spans="1:10" x14ac:dyDescent="0.3">
      <c r="A1504" t="s">
        <v>868</v>
      </c>
      <c r="B1504" s="8">
        <v>42.88</v>
      </c>
      <c r="C1504">
        <v>4.87</v>
      </c>
      <c r="D1504" t="s">
        <v>2379</v>
      </c>
      <c r="E1504" t="s">
        <v>2380</v>
      </c>
      <c r="F1504" t="s">
        <v>2379</v>
      </c>
      <c r="G1504">
        <v>1</v>
      </c>
      <c r="H1504" t="s">
        <v>2379</v>
      </c>
      <c r="I1504" t="str" cm="1">
        <f t="array" ref="I1504">_xlfn.IFS(B1504&lt;18.5,"Underweight",AND(B1504&gt;=18.5,B1504&lt;=24.99),"Normalweight",AND(B1504&gt;=25,B1504&lt;=29.99),"Overweight",B1504&gt;=30,"Obesity")</f>
        <v>Obesity</v>
      </c>
      <c r="J1504" t="str" cm="1">
        <f t="array" ref="J1504">_xlfn.IFS(C1504&lt;5.7,"Normal",AND(C1504&gt;=5.7,C1504&lt;=6.49),"Prediabetes",C1504&gt;=6.5,"Diabetes")</f>
        <v>Normal</v>
      </c>
    </row>
    <row r="1505" spans="1:10" x14ac:dyDescent="0.3">
      <c r="A1505" t="s">
        <v>867</v>
      </c>
      <c r="B1505" s="8">
        <v>32.200000000000003</v>
      </c>
      <c r="C1505">
        <v>10.09</v>
      </c>
      <c r="D1505" t="s">
        <v>2381</v>
      </c>
      <c r="E1505" t="s">
        <v>2379</v>
      </c>
      <c r="F1505" t="s">
        <v>2379</v>
      </c>
      <c r="G1505">
        <v>0</v>
      </c>
      <c r="H1505" t="s">
        <v>2379</v>
      </c>
      <c r="I1505" t="str" cm="1">
        <f t="array" ref="I1505">_xlfn.IFS(B1505&lt;18.5,"Underweight",AND(B1505&gt;=18.5,B1505&lt;=24.99),"Normalweight",AND(B1505&gt;=25,B1505&lt;=29.99),"Overweight",B1505&gt;=30,"Obesity")</f>
        <v>Obesity</v>
      </c>
      <c r="J1505" t="str" cm="1">
        <f t="array" ref="J1505">_xlfn.IFS(C1505&lt;5.7,"Normal",AND(C1505&gt;=5.7,C1505&lt;=6.49),"Prediabetes",C1505&gt;=6.5,"Diabetes")</f>
        <v>Diabetes</v>
      </c>
    </row>
    <row r="1506" spans="1:10" x14ac:dyDescent="0.3">
      <c r="A1506" t="s">
        <v>866</v>
      </c>
      <c r="B1506" s="8">
        <v>18.75</v>
      </c>
      <c r="C1506">
        <v>5.47</v>
      </c>
      <c r="D1506" t="s">
        <v>2381</v>
      </c>
      <c r="E1506" t="s">
        <v>2379</v>
      </c>
      <c r="F1506" t="s">
        <v>2381</v>
      </c>
      <c r="G1506">
        <v>1</v>
      </c>
      <c r="H1506" t="s">
        <v>2379</v>
      </c>
      <c r="I1506" t="str" cm="1">
        <f t="array" ref="I1506">_xlfn.IFS(B1506&lt;18.5,"Underweight",AND(B1506&gt;=18.5,B1506&lt;=24.99),"Normalweight",AND(B1506&gt;=25,B1506&lt;=29.99),"Overweight",B1506&gt;=30,"Obesity")</f>
        <v>Normalweight</v>
      </c>
      <c r="J1506" t="str" cm="1">
        <f t="array" ref="J1506">_xlfn.IFS(C1506&lt;5.7,"Normal",AND(C1506&gt;=5.7,C1506&lt;=6.49),"Prediabetes",C1506&gt;=6.5,"Diabetes")</f>
        <v>Normal</v>
      </c>
    </row>
    <row r="1507" spans="1:10" x14ac:dyDescent="0.3">
      <c r="A1507" t="s">
        <v>865</v>
      </c>
      <c r="B1507" s="8">
        <v>22.36</v>
      </c>
      <c r="C1507">
        <v>8.6</v>
      </c>
      <c r="D1507" t="s">
        <v>2379</v>
      </c>
      <c r="E1507" t="s">
        <v>2379</v>
      </c>
      <c r="F1507" t="s">
        <v>2379</v>
      </c>
      <c r="G1507">
        <v>0</v>
      </c>
      <c r="H1507" t="s">
        <v>2379</v>
      </c>
      <c r="I1507" t="str" cm="1">
        <f t="array" ref="I1507">_xlfn.IFS(B1507&lt;18.5,"Underweight",AND(B1507&gt;=18.5,B1507&lt;=24.99),"Normalweight",AND(B1507&gt;=25,B1507&lt;=29.99),"Overweight",B1507&gt;=30,"Obesity")</f>
        <v>Normalweight</v>
      </c>
      <c r="J1507" t="str" cm="1">
        <f t="array" ref="J1507">_xlfn.IFS(C1507&lt;5.7,"Normal",AND(C1507&gt;=5.7,C1507&lt;=6.49),"Prediabetes",C1507&gt;=6.5,"Diabetes")</f>
        <v>Diabetes</v>
      </c>
    </row>
    <row r="1508" spans="1:10" x14ac:dyDescent="0.3">
      <c r="A1508" t="s">
        <v>864</v>
      </c>
      <c r="B1508" s="8">
        <v>23.94</v>
      </c>
      <c r="C1508">
        <v>10.74</v>
      </c>
      <c r="D1508" t="s">
        <v>2381</v>
      </c>
      <c r="E1508" t="s">
        <v>2379</v>
      </c>
      <c r="F1508" t="s">
        <v>2379</v>
      </c>
      <c r="G1508">
        <v>0</v>
      </c>
      <c r="H1508" t="s">
        <v>2379</v>
      </c>
      <c r="I1508" t="str" cm="1">
        <f t="array" ref="I1508">_xlfn.IFS(B1508&lt;18.5,"Underweight",AND(B1508&gt;=18.5,B1508&lt;=24.99),"Normalweight",AND(B1508&gt;=25,B1508&lt;=29.99),"Overweight",B1508&gt;=30,"Obesity")</f>
        <v>Normalweight</v>
      </c>
      <c r="J1508" t="str" cm="1">
        <f t="array" ref="J1508">_xlfn.IFS(C1508&lt;5.7,"Normal",AND(C1508&gt;=5.7,C1508&lt;=6.49),"Prediabetes",C1508&gt;=6.5,"Diabetes")</f>
        <v>Diabetes</v>
      </c>
    </row>
    <row r="1509" spans="1:10" x14ac:dyDescent="0.3">
      <c r="A1509" t="s">
        <v>863</v>
      </c>
      <c r="B1509" s="8">
        <v>30.1</v>
      </c>
      <c r="C1509">
        <v>4.3899999999999997</v>
      </c>
      <c r="D1509" t="s">
        <v>2379</v>
      </c>
      <c r="E1509" t="s">
        <v>2379</v>
      </c>
      <c r="F1509" t="s">
        <v>2381</v>
      </c>
      <c r="G1509">
        <v>1</v>
      </c>
      <c r="H1509" t="s">
        <v>2379</v>
      </c>
      <c r="I1509" t="str" cm="1">
        <f t="array" ref="I1509">_xlfn.IFS(B1509&lt;18.5,"Underweight",AND(B1509&gt;=18.5,B1509&lt;=24.99),"Normalweight",AND(B1509&gt;=25,B1509&lt;=29.99),"Overweight",B1509&gt;=30,"Obesity")</f>
        <v>Obesity</v>
      </c>
      <c r="J1509" t="str" cm="1">
        <f t="array" ref="J1509">_xlfn.IFS(C1509&lt;5.7,"Normal",AND(C1509&gt;=5.7,C1509&lt;=6.49),"Prediabetes",C1509&gt;=6.5,"Diabetes")</f>
        <v>Normal</v>
      </c>
    </row>
    <row r="1510" spans="1:10" x14ac:dyDescent="0.3">
      <c r="A1510" t="s">
        <v>862</v>
      </c>
      <c r="B1510" s="8">
        <v>21.93</v>
      </c>
      <c r="C1510">
        <v>6.3</v>
      </c>
      <c r="D1510" t="s">
        <v>2379</v>
      </c>
      <c r="E1510" t="s">
        <v>2379</v>
      </c>
      <c r="F1510" t="s">
        <v>2379</v>
      </c>
      <c r="G1510">
        <v>0</v>
      </c>
      <c r="H1510" t="s">
        <v>2379</v>
      </c>
      <c r="I1510" t="str" cm="1">
        <f t="array" ref="I1510">_xlfn.IFS(B1510&lt;18.5,"Underweight",AND(B1510&gt;=18.5,B1510&lt;=24.99),"Normalweight",AND(B1510&gt;=25,B1510&lt;=29.99),"Overweight",B1510&gt;=30,"Obesity")</f>
        <v>Normalweight</v>
      </c>
      <c r="J1510" t="str" cm="1">
        <f t="array" ref="J1510">_xlfn.IFS(C1510&lt;5.7,"Normal",AND(C1510&gt;=5.7,C1510&lt;=6.49),"Prediabetes",C1510&gt;=6.5,"Diabetes")</f>
        <v>Prediabetes</v>
      </c>
    </row>
    <row r="1511" spans="1:10" x14ac:dyDescent="0.3">
      <c r="A1511" t="s">
        <v>861</v>
      </c>
      <c r="B1511" s="8">
        <v>39.75</v>
      </c>
      <c r="C1511">
        <v>5.41</v>
      </c>
      <c r="D1511" t="s">
        <v>2379</v>
      </c>
      <c r="E1511" t="s">
        <v>2380</v>
      </c>
      <c r="F1511" t="s">
        <v>2379</v>
      </c>
      <c r="G1511">
        <v>1</v>
      </c>
      <c r="H1511" t="s">
        <v>2379</v>
      </c>
      <c r="I1511" t="str" cm="1">
        <f t="array" ref="I1511">_xlfn.IFS(B1511&lt;18.5,"Underweight",AND(B1511&gt;=18.5,B1511&lt;=24.99),"Normalweight",AND(B1511&gt;=25,B1511&lt;=29.99),"Overweight",B1511&gt;=30,"Obesity")</f>
        <v>Obesity</v>
      </c>
      <c r="J1511" t="str" cm="1">
        <f t="array" ref="J1511">_xlfn.IFS(C1511&lt;5.7,"Normal",AND(C1511&gt;=5.7,C1511&lt;=6.49),"Prediabetes",C1511&gt;=6.5,"Diabetes")</f>
        <v>Normal</v>
      </c>
    </row>
    <row r="1512" spans="1:10" x14ac:dyDescent="0.3">
      <c r="A1512" t="s">
        <v>860</v>
      </c>
      <c r="B1512" s="8">
        <v>26.03</v>
      </c>
      <c r="C1512">
        <v>4.47</v>
      </c>
      <c r="D1512" t="s">
        <v>2379</v>
      </c>
      <c r="E1512" t="s">
        <v>2379</v>
      </c>
      <c r="F1512" t="s">
        <v>2381</v>
      </c>
      <c r="G1512">
        <v>1</v>
      </c>
      <c r="H1512" t="s">
        <v>2379</v>
      </c>
      <c r="I1512" t="str" cm="1">
        <f t="array" ref="I1512">_xlfn.IFS(B1512&lt;18.5,"Underweight",AND(B1512&gt;=18.5,B1512&lt;=24.99),"Normalweight",AND(B1512&gt;=25,B1512&lt;=29.99),"Overweight",B1512&gt;=30,"Obesity")</f>
        <v>Overweight</v>
      </c>
      <c r="J1512" t="str" cm="1">
        <f t="array" ref="J1512">_xlfn.IFS(C1512&lt;5.7,"Normal",AND(C1512&gt;=5.7,C1512&lt;=6.49),"Prediabetes",C1512&gt;=6.5,"Diabetes")</f>
        <v>Normal</v>
      </c>
    </row>
    <row r="1513" spans="1:10" x14ac:dyDescent="0.3">
      <c r="A1513" t="s">
        <v>859</v>
      </c>
      <c r="B1513" s="8">
        <v>34.51</v>
      </c>
      <c r="C1513">
        <v>6.26</v>
      </c>
      <c r="D1513" t="s">
        <v>2379</v>
      </c>
      <c r="E1513" t="s">
        <v>2379</v>
      </c>
      <c r="F1513" t="s">
        <v>2379</v>
      </c>
      <c r="G1513">
        <v>0</v>
      </c>
      <c r="H1513" t="s">
        <v>2379</v>
      </c>
      <c r="I1513" t="str" cm="1">
        <f t="array" ref="I1513">_xlfn.IFS(B1513&lt;18.5,"Underweight",AND(B1513&gt;=18.5,B1513&lt;=24.99),"Normalweight",AND(B1513&gt;=25,B1513&lt;=29.99),"Overweight",B1513&gt;=30,"Obesity")</f>
        <v>Obesity</v>
      </c>
      <c r="J1513" t="str" cm="1">
        <f t="array" ref="J1513">_xlfn.IFS(C1513&lt;5.7,"Normal",AND(C1513&gt;=5.7,C1513&lt;=6.49),"Prediabetes",C1513&gt;=6.5,"Diabetes")</f>
        <v>Prediabetes</v>
      </c>
    </row>
    <row r="1514" spans="1:10" x14ac:dyDescent="0.3">
      <c r="A1514" t="s">
        <v>858</v>
      </c>
      <c r="B1514" s="8">
        <v>19.32</v>
      </c>
      <c r="C1514">
        <v>11.58</v>
      </c>
      <c r="D1514" t="s">
        <v>2381</v>
      </c>
      <c r="E1514" t="s">
        <v>2379</v>
      </c>
      <c r="F1514" t="s">
        <v>2379</v>
      </c>
      <c r="G1514">
        <v>1</v>
      </c>
      <c r="H1514" t="s">
        <v>2379</v>
      </c>
      <c r="I1514" t="str" cm="1">
        <f t="array" ref="I1514">_xlfn.IFS(B1514&lt;18.5,"Underweight",AND(B1514&gt;=18.5,B1514&lt;=24.99),"Normalweight",AND(B1514&gt;=25,B1514&lt;=29.99),"Overweight",B1514&gt;=30,"Obesity")</f>
        <v>Normalweight</v>
      </c>
      <c r="J1514" t="str" cm="1">
        <f t="array" ref="J1514">_xlfn.IFS(C1514&lt;5.7,"Normal",AND(C1514&gt;=5.7,C1514&lt;=6.49),"Prediabetes",C1514&gt;=6.5,"Diabetes")</f>
        <v>Diabetes</v>
      </c>
    </row>
    <row r="1515" spans="1:10" x14ac:dyDescent="0.3">
      <c r="A1515" t="s">
        <v>857</v>
      </c>
      <c r="B1515" s="8">
        <v>28.5</v>
      </c>
      <c r="C1515">
        <v>4.3600000000000003</v>
      </c>
      <c r="D1515" t="s">
        <v>2379</v>
      </c>
      <c r="E1515" t="s">
        <v>2379</v>
      </c>
      <c r="F1515" t="s">
        <v>2379</v>
      </c>
      <c r="G1515">
        <v>0</v>
      </c>
      <c r="H1515" t="s">
        <v>2379</v>
      </c>
      <c r="I1515" t="str" cm="1">
        <f t="array" ref="I1515">_xlfn.IFS(B1515&lt;18.5,"Underweight",AND(B1515&gt;=18.5,B1515&lt;=24.99),"Normalweight",AND(B1515&gt;=25,B1515&lt;=29.99),"Overweight",B1515&gt;=30,"Obesity")</f>
        <v>Overweight</v>
      </c>
      <c r="J1515" t="str" cm="1">
        <f t="array" ref="J1515">_xlfn.IFS(C1515&lt;5.7,"Normal",AND(C1515&gt;=5.7,C1515&lt;=6.49),"Prediabetes",C1515&gt;=6.5,"Diabetes")</f>
        <v>Normal</v>
      </c>
    </row>
    <row r="1516" spans="1:10" x14ac:dyDescent="0.3">
      <c r="A1516" t="s">
        <v>856</v>
      </c>
      <c r="B1516" s="8">
        <v>30.875</v>
      </c>
      <c r="C1516">
        <v>4.1399999999999997</v>
      </c>
      <c r="D1516" t="s">
        <v>2381</v>
      </c>
      <c r="E1516" t="s">
        <v>2379</v>
      </c>
      <c r="F1516" t="s">
        <v>2379</v>
      </c>
      <c r="G1516">
        <v>0</v>
      </c>
      <c r="H1516" t="s">
        <v>2379</v>
      </c>
      <c r="I1516" t="str" cm="1">
        <f t="array" ref="I1516">_xlfn.IFS(B1516&lt;18.5,"Underweight",AND(B1516&gt;=18.5,B1516&lt;=24.99),"Normalweight",AND(B1516&gt;=25,B1516&lt;=29.99),"Overweight",B1516&gt;=30,"Obesity")</f>
        <v>Obesity</v>
      </c>
      <c r="J1516" t="str" cm="1">
        <f t="array" ref="J1516">_xlfn.IFS(C1516&lt;5.7,"Normal",AND(C1516&gt;=5.7,C1516&lt;=6.49),"Prediabetes",C1516&gt;=6.5,"Diabetes")</f>
        <v>Normal</v>
      </c>
    </row>
    <row r="1517" spans="1:10" x14ac:dyDescent="0.3">
      <c r="A1517" t="s">
        <v>855</v>
      </c>
      <c r="B1517" s="8">
        <v>24.02</v>
      </c>
      <c r="C1517">
        <v>4.38</v>
      </c>
      <c r="D1517" t="s">
        <v>2379</v>
      </c>
      <c r="E1517" t="s">
        <v>2379</v>
      </c>
      <c r="F1517" t="s">
        <v>2379</v>
      </c>
      <c r="G1517">
        <v>0</v>
      </c>
      <c r="H1517" t="s">
        <v>2379</v>
      </c>
      <c r="I1517" t="str" cm="1">
        <f t="array" ref="I1517">_xlfn.IFS(B1517&lt;18.5,"Underweight",AND(B1517&gt;=18.5,B1517&lt;=24.99),"Normalweight",AND(B1517&gt;=25,B1517&lt;=29.99),"Overweight",B1517&gt;=30,"Obesity")</f>
        <v>Normalweight</v>
      </c>
      <c r="J1517" t="str" cm="1">
        <f t="array" ref="J1517">_xlfn.IFS(C1517&lt;5.7,"Normal",AND(C1517&gt;=5.7,C1517&lt;=6.49),"Prediabetes",C1517&gt;=6.5,"Diabetes")</f>
        <v>Normal</v>
      </c>
    </row>
    <row r="1518" spans="1:10" x14ac:dyDescent="0.3">
      <c r="A1518" t="s">
        <v>854</v>
      </c>
      <c r="B1518" s="8">
        <v>36.08</v>
      </c>
      <c r="C1518">
        <v>11.61</v>
      </c>
      <c r="D1518" t="s">
        <v>2381</v>
      </c>
      <c r="E1518" t="s">
        <v>2379</v>
      </c>
      <c r="F1518" t="s">
        <v>2379</v>
      </c>
      <c r="G1518">
        <v>0</v>
      </c>
      <c r="H1518" t="s">
        <v>2379</v>
      </c>
      <c r="I1518" t="str" cm="1">
        <f t="array" ref="I1518">_xlfn.IFS(B1518&lt;18.5,"Underweight",AND(B1518&gt;=18.5,B1518&lt;=24.99),"Normalweight",AND(B1518&gt;=25,B1518&lt;=29.99),"Overweight",B1518&gt;=30,"Obesity")</f>
        <v>Obesity</v>
      </c>
      <c r="J1518" t="str" cm="1">
        <f t="array" ref="J1518">_xlfn.IFS(C1518&lt;5.7,"Normal",AND(C1518&gt;=5.7,C1518&lt;=6.49),"Prediabetes",C1518&gt;=6.5,"Diabetes")</f>
        <v>Diabetes</v>
      </c>
    </row>
    <row r="1519" spans="1:10" x14ac:dyDescent="0.3">
      <c r="A1519" t="s">
        <v>853</v>
      </c>
      <c r="B1519" s="8">
        <v>32.200000000000003</v>
      </c>
      <c r="C1519">
        <v>10.59</v>
      </c>
      <c r="D1519" t="s">
        <v>2381</v>
      </c>
      <c r="E1519" t="s">
        <v>2379</v>
      </c>
      <c r="F1519" t="s">
        <v>2379</v>
      </c>
      <c r="G1519">
        <v>0</v>
      </c>
      <c r="H1519" t="s">
        <v>2379</v>
      </c>
      <c r="I1519" t="str" cm="1">
        <f t="array" ref="I1519">_xlfn.IFS(B1519&lt;18.5,"Underweight",AND(B1519&gt;=18.5,B1519&lt;=24.99),"Normalweight",AND(B1519&gt;=25,B1519&lt;=29.99),"Overweight",B1519&gt;=30,"Obesity")</f>
        <v>Obesity</v>
      </c>
      <c r="J1519" t="str" cm="1">
        <f t="array" ref="J1519">_xlfn.IFS(C1519&lt;5.7,"Normal",AND(C1519&gt;=5.7,C1519&lt;=6.49),"Prediabetes",C1519&gt;=6.5,"Diabetes")</f>
        <v>Diabetes</v>
      </c>
    </row>
    <row r="1520" spans="1:10" x14ac:dyDescent="0.3">
      <c r="A1520" t="s">
        <v>852</v>
      </c>
      <c r="B1520" s="8">
        <v>28.05</v>
      </c>
      <c r="C1520">
        <v>11.85</v>
      </c>
      <c r="D1520" t="s">
        <v>2381</v>
      </c>
      <c r="E1520" t="s">
        <v>2379</v>
      </c>
      <c r="F1520" t="s">
        <v>2379</v>
      </c>
      <c r="G1520">
        <v>0</v>
      </c>
      <c r="H1520" t="s">
        <v>2379</v>
      </c>
      <c r="I1520" t="str" cm="1">
        <f t="array" ref="I1520">_xlfn.IFS(B1520&lt;18.5,"Underweight",AND(B1520&gt;=18.5,B1520&lt;=24.99),"Normalweight",AND(B1520&gt;=25,B1520&lt;=29.99),"Overweight",B1520&gt;=30,"Obesity")</f>
        <v>Overweight</v>
      </c>
      <c r="J1520" t="str" cm="1">
        <f t="array" ref="J1520">_xlfn.IFS(C1520&lt;5.7,"Normal",AND(C1520&gt;=5.7,C1520&lt;=6.49),"Prediabetes",C1520&gt;=6.5,"Diabetes")</f>
        <v>Diabetes</v>
      </c>
    </row>
    <row r="1521" spans="1:10" x14ac:dyDescent="0.3">
      <c r="A1521" t="s">
        <v>851</v>
      </c>
      <c r="B1521" s="8">
        <v>19</v>
      </c>
      <c r="C1521">
        <v>5.46</v>
      </c>
      <c r="D1521" t="s">
        <v>2381</v>
      </c>
      <c r="E1521" t="s">
        <v>2379</v>
      </c>
      <c r="F1521" t="s">
        <v>2379</v>
      </c>
      <c r="G1521">
        <v>1</v>
      </c>
      <c r="H1521" t="s">
        <v>2379</v>
      </c>
      <c r="I1521" t="str" cm="1">
        <f t="array" ref="I1521">_xlfn.IFS(B1521&lt;18.5,"Underweight",AND(B1521&gt;=18.5,B1521&lt;=24.99),"Normalweight",AND(B1521&gt;=25,B1521&lt;=29.99),"Overweight",B1521&gt;=30,"Obesity")</f>
        <v>Normalweight</v>
      </c>
      <c r="J1521" t="str" cm="1">
        <f t="array" ref="J1521">_xlfn.IFS(C1521&lt;5.7,"Normal",AND(C1521&gt;=5.7,C1521&lt;=6.49),"Prediabetes",C1521&gt;=6.5,"Diabetes")</f>
        <v>Normal</v>
      </c>
    </row>
    <row r="1522" spans="1:10" x14ac:dyDescent="0.3">
      <c r="A1522" t="s">
        <v>850</v>
      </c>
      <c r="B1522" s="8">
        <v>16.13</v>
      </c>
      <c r="C1522">
        <v>4.54</v>
      </c>
      <c r="D1522" t="s">
        <v>2381</v>
      </c>
      <c r="E1522" t="s">
        <v>2379</v>
      </c>
      <c r="F1522" t="s">
        <v>2379</v>
      </c>
      <c r="G1522">
        <v>2</v>
      </c>
      <c r="H1522" t="s">
        <v>2379</v>
      </c>
      <c r="I1522" t="str" cm="1">
        <f t="array" ref="I1522">_xlfn.IFS(B1522&lt;18.5,"Underweight",AND(B1522&gt;=18.5,B1522&lt;=24.99),"Normalweight",AND(B1522&gt;=25,B1522&lt;=29.99),"Overweight",B1522&gt;=30,"Obesity")</f>
        <v>Underweight</v>
      </c>
      <c r="J1522" t="str" cm="1">
        <f t="array" ref="J1522">_xlfn.IFS(C1522&lt;5.7,"Normal",AND(C1522&gt;=5.7,C1522&lt;=6.49),"Prediabetes",C1522&gt;=6.5,"Diabetes")</f>
        <v>Normal</v>
      </c>
    </row>
    <row r="1523" spans="1:10" x14ac:dyDescent="0.3">
      <c r="A1523" t="s">
        <v>849</v>
      </c>
      <c r="B1523" s="8">
        <v>18.77</v>
      </c>
      <c r="C1523">
        <v>11.98</v>
      </c>
      <c r="D1523" t="s">
        <v>2381</v>
      </c>
      <c r="E1523" t="s">
        <v>2379</v>
      </c>
      <c r="F1523" t="s">
        <v>2379</v>
      </c>
      <c r="G1523">
        <v>2</v>
      </c>
      <c r="H1523" t="s">
        <v>2379</v>
      </c>
      <c r="I1523" t="str" cm="1">
        <f t="array" ref="I1523">_xlfn.IFS(B1523&lt;18.5,"Underweight",AND(B1523&gt;=18.5,B1523&lt;=24.99),"Normalweight",AND(B1523&gt;=25,B1523&lt;=29.99),"Overweight",B1523&gt;=30,"Obesity")</f>
        <v>Normalweight</v>
      </c>
      <c r="J1523" t="str" cm="1">
        <f t="array" ref="J1523">_xlfn.IFS(C1523&lt;5.7,"Normal",AND(C1523&gt;=5.7,C1523&lt;=6.49),"Prediabetes",C1523&gt;=6.5,"Diabetes")</f>
        <v>Diabetes</v>
      </c>
    </row>
    <row r="1524" spans="1:10" x14ac:dyDescent="0.3">
      <c r="A1524" t="s">
        <v>848</v>
      </c>
      <c r="B1524" s="8">
        <v>28.88</v>
      </c>
      <c r="C1524">
        <v>6.59</v>
      </c>
      <c r="D1524" t="s">
        <v>2381</v>
      </c>
      <c r="E1524" t="s">
        <v>2379</v>
      </c>
      <c r="F1524" t="s">
        <v>2379</v>
      </c>
      <c r="G1524">
        <v>1</v>
      </c>
      <c r="H1524" t="s">
        <v>2379</v>
      </c>
      <c r="I1524" t="str" cm="1">
        <f t="array" ref="I1524">_xlfn.IFS(B1524&lt;18.5,"Underweight",AND(B1524&gt;=18.5,B1524&lt;=24.99),"Normalweight",AND(B1524&gt;=25,B1524&lt;=29.99),"Overweight",B1524&gt;=30,"Obesity")</f>
        <v>Overweight</v>
      </c>
      <c r="J1524" t="str" cm="1">
        <f t="array" ref="J1524">_xlfn.IFS(C1524&lt;5.7,"Normal",AND(C1524&gt;=5.7,C1524&lt;=6.49),"Prediabetes",C1524&gt;=6.5,"Diabetes")</f>
        <v>Diabetes</v>
      </c>
    </row>
    <row r="1525" spans="1:10" x14ac:dyDescent="0.3">
      <c r="A1525" t="s">
        <v>847</v>
      </c>
      <c r="B1525" s="8">
        <v>27.55</v>
      </c>
      <c r="C1525">
        <v>10.83</v>
      </c>
      <c r="D1525" t="s">
        <v>2381</v>
      </c>
      <c r="E1525" t="s">
        <v>2379</v>
      </c>
      <c r="F1525" t="s">
        <v>2379</v>
      </c>
      <c r="G1525">
        <v>1</v>
      </c>
      <c r="H1525" t="s">
        <v>2379</v>
      </c>
      <c r="I1525" t="str" cm="1">
        <f t="array" ref="I1525">_xlfn.IFS(B1525&lt;18.5,"Underweight",AND(B1525&gt;=18.5,B1525&lt;=24.99),"Normalweight",AND(B1525&gt;=25,B1525&lt;=29.99),"Overweight",B1525&gt;=30,"Obesity")</f>
        <v>Overweight</v>
      </c>
      <c r="J1525" t="str" cm="1">
        <f t="array" ref="J1525">_xlfn.IFS(C1525&lt;5.7,"Normal",AND(C1525&gt;=5.7,C1525&lt;=6.49),"Prediabetes",C1525&gt;=6.5,"Diabetes")</f>
        <v>Diabetes</v>
      </c>
    </row>
    <row r="1526" spans="1:10" x14ac:dyDescent="0.3">
      <c r="A1526" t="s">
        <v>846</v>
      </c>
      <c r="B1526" s="8">
        <v>15.6</v>
      </c>
      <c r="C1526">
        <v>8.6</v>
      </c>
      <c r="D1526" t="s">
        <v>2379</v>
      </c>
      <c r="E1526" t="s">
        <v>2379</v>
      </c>
      <c r="F1526" t="s">
        <v>2379</v>
      </c>
      <c r="G1526">
        <v>0</v>
      </c>
      <c r="H1526" t="s">
        <v>2379</v>
      </c>
      <c r="I1526" t="str" cm="1">
        <f t="array" ref="I1526">_xlfn.IFS(B1526&lt;18.5,"Underweight",AND(B1526&gt;=18.5,B1526&lt;=24.99),"Normalweight",AND(B1526&gt;=25,B1526&lt;=29.99),"Overweight",B1526&gt;=30,"Obesity")</f>
        <v>Underweight</v>
      </c>
      <c r="J1526" t="str" cm="1">
        <f t="array" ref="J1526">_xlfn.IFS(C1526&lt;5.7,"Normal",AND(C1526&gt;=5.7,C1526&lt;=6.49),"Prediabetes",C1526&gt;=6.5,"Diabetes")</f>
        <v>Diabetes</v>
      </c>
    </row>
    <row r="1527" spans="1:10" x14ac:dyDescent="0.3">
      <c r="A1527" t="s">
        <v>845</v>
      </c>
      <c r="B1527" s="8">
        <v>21.99</v>
      </c>
      <c r="C1527">
        <v>11.17</v>
      </c>
      <c r="D1527" t="s">
        <v>2379</v>
      </c>
      <c r="E1527" t="s">
        <v>2379</v>
      </c>
      <c r="F1527" t="s">
        <v>2379</v>
      </c>
      <c r="G1527">
        <v>0</v>
      </c>
      <c r="H1527" t="s">
        <v>2379</v>
      </c>
      <c r="I1527" t="str" cm="1">
        <f t="array" ref="I1527">_xlfn.IFS(B1527&lt;18.5,"Underweight",AND(B1527&gt;=18.5,B1527&lt;=24.99),"Normalweight",AND(B1527&gt;=25,B1527&lt;=29.99),"Overweight",B1527&gt;=30,"Obesity")</f>
        <v>Normalweight</v>
      </c>
      <c r="J1527" t="str" cm="1">
        <f t="array" ref="J1527">_xlfn.IFS(C1527&lt;5.7,"Normal",AND(C1527&gt;=5.7,C1527&lt;=6.49),"Prediabetes",C1527&gt;=6.5,"Diabetes")</f>
        <v>Diabetes</v>
      </c>
    </row>
    <row r="1528" spans="1:10" x14ac:dyDescent="0.3">
      <c r="A1528" t="s">
        <v>844</v>
      </c>
      <c r="B1528" s="8">
        <v>34.85</v>
      </c>
      <c r="C1528">
        <v>5.75</v>
      </c>
      <c r="D1528" t="s">
        <v>2379</v>
      </c>
      <c r="E1528" t="s">
        <v>2379</v>
      </c>
      <c r="F1528" t="s">
        <v>2379</v>
      </c>
      <c r="G1528">
        <v>0</v>
      </c>
      <c r="H1528" t="s">
        <v>2379</v>
      </c>
      <c r="I1528" t="str" cm="1">
        <f t="array" ref="I1528">_xlfn.IFS(B1528&lt;18.5,"Underweight",AND(B1528&gt;=18.5,B1528&lt;=24.99),"Normalweight",AND(B1528&gt;=25,B1528&lt;=29.99),"Overweight",B1528&gt;=30,"Obesity")</f>
        <v>Obesity</v>
      </c>
      <c r="J1528" t="str" cm="1">
        <f t="array" ref="J1528">_xlfn.IFS(C1528&lt;5.7,"Normal",AND(C1528&gt;=5.7,C1528&lt;=6.49),"Prediabetes",C1528&gt;=6.5,"Diabetes")</f>
        <v>Prediabetes</v>
      </c>
    </row>
    <row r="1529" spans="1:10" x14ac:dyDescent="0.3">
      <c r="A1529" t="s">
        <v>843</v>
      </c>
      <c r="B1529" s="8">
        <v>24.51</v>
      </c>
      <c r="C1529">
        <v>4.83</v>
      </c>
      <c r="D1529" t="s">
        <v>2381</v>
      </c>
      <c r="E1529" t="s">
        <v>2379</v>
      </c>
      <c r="F1529" t="s">
        <v>2381</v>
      </c>
      <c r="G1529">
        <v>1</v>
      </c>
      <c r="H1529" t="s">
        <v>2379</v>
      </c>
      <c r="I1529" t="str" cm="1">
        <f t="array" ref="I1529">_xlfn.IFS(B1529&lt;18.5,"Underweight",AND(B1529&gt;=18.5,B1529&lt;=24.99),"Normalweight",AND(B1529&gt;=25,B1529&lt;=29.99),"Overweight",B1529&gt;=30,"Obesity")</f>
        <v>Normalweight</v>
      </c>
      <c r="J1529" t="str" cm="1">
        <f t="array" ref="J1529">_xlfn.IFS(C1529&lt;5.7,"Normal",AND(C1529&gt;=5.7,C1529&lt;=6.49),"Prediabetes",C1529&gt;=6.5,"Diabetes")</f>
        <v>Normal</v>
      </c>
    </row>
    <row r="1530" spans="1:10" x14ac:dyDescent="0.3">
      <c r="A1530" t="s">
        <v>842</v>
      </c>
      <c r="B1530" s="8">
        <v>19.399999999999999</v>
      </c>
      <c r="C1530">
        <v>11.93</v>
      </c>
      <c r="D1530" t="s">
        <v>2379</v>
      </c>
      <c r="E1530" t="s">
        <v>2379</v>
      </c>
      <c r="F1530" t="s">
        <v>2379</v>
      </c>
      <c r="G1530">
        <v>0</v>
      </c>
      <c r="H1530" t="s">
        <v>2379</v>
      </c>
      <c r="I1530" t="str" cm="1">
        <f t="array" ref="I1530">_xlfn.IFS(B1530&lt;18.5,"Underweight",AND(B1530&gt;=18.5,B1530&lt;=24.99),"Normalweight",AND(B1530&gt;=25,B1530&lt;=29.99),"Overweight",B1530&gt;=30,"Obesity")</f>
        <v>Normalweight</v>
      </c>
      <c r="J1530" t="str" cm="1">
        <f t="array" ref="J1530">_xlfn.IFS(C1530&lt;5.7,"Normal",AND(C1530&gt;=5.7,C1530&lt;=6.49),"Prediabetes",C1530&gt;=6.5,"Diabetes")</f>
        <v>Diabetes</v>
      </c>
    </row>
    <row r="1531" spans="1:10" x14ac:dyDescent="0.3">
      <c r="A1531" t="s">
        <v>841</v>
      </c>
      <c r="B1531" s="8">
        <v>15.1</v>
      </c>
      <c r="C1531">
        <v>8.41</v>
      </c>
      <c r="D1531" t="s">
        <v>2379</v>
      </c>
      <c r="E1531" t="s">
        <v>2379</v>
      </c>
      <c r="F1531" t="s">
        <v>2379</v>
      </c>
      <c r="G1531">
        <v>0</v>
      </c>
      <c r="H1531" t="s">
        <v>2379</v>
      </c>
      <c r="I1531" t="str" cm="1">
        <f t="array" ref="I1531">_xlfn.IFS(B1531&lt;18.5,"Underweight",AND(B1531&gt;=18.5,B1531&lt;=24.99),"Normalweight",AND(B1531&gt;=25,B1531&lt;=29.99),"Overweight",B1531&gt;=30,"Obesity")</f>
        <v>Underweight</v>
      </c>
      <c r="J1531" t="str" cm="1">
        <f t="array" ref="J1531">_xlfn.IFS(C1531&lt;5.7,"Normal",AND(C1531&gt;=5.7,C1531&lt;=6.49),"Prediabetes",C1531&gt;=6.5,"Diabetes")</f>
        <v>Diabetes</v>
      </c>
    </row>
    <row r="1532" spans="1:10" x14ac:dyDescent="0.3">
      <c r="A1532" t="s">
        <v>840</v>
      </c>
      <c r="B1532" s="8">
        <v>23.37</v>
      </c>
      <c r="C1532">
        <v>5.59</v>
      </c>
      <c r="D1532" t="s">
        <v>2381</v>
      </c>
      <c r="E1532" t="s">
        <v>2379</v>
      </c>
      <c r="F1532" t="s">
        <v>2379</v>
      </c>
      <c r="G1532">
        <v>0</v>
      </c>
      <c r="H1532" t="s">
        <v>2379</v>
      </c>
      <c r="I1532" t="str" cm="1">
        <f t="array" ref="I1532">_xlfn.IFS(B1532&lt;18.5,"Underweight",AND(B1532&gt;=18.5,B1532&lt;=24.99),"Normalweight",AND(B1532&gt;=25,B1532&lt;=29.99),"Overweight",B1532&gt;=30,"Obesity")</f>
        <v>Normalweight</v>
      </c>
      <c r="J1532" t="str" cm="1">
        <f t="array" ref="J1532">_xlfn.IFS(C1532&lt;5.7,"Normal",AND(C1532&gt;=5.7,C1532&lt;=6.49),"Prediabetes",C1532&gt;=6.5,"Diabetes")</f>
        <v>Normal</v>
      </c>
    </row>
    <row r="1533" spans="1:10" x14ac:dyDescent="0.3">
      <c r="A1533" t="s">
        <v>839</v>
      </c>
      <c r="B1533" s="8">
        <v>42.4</v>
      </c>
      <c r="C1533">
        <v>4.0599999999999996</v>
      </c>
      <c r="D1533" t="s">
        <v>2379</v>
      </c>
      <c r="E1533" t="s">
        <v>2379</v>
      </c>
      <c r="F1533" t="s">
        <v>2379</v>
      </c>
      <c r="G1533">
        <v>0</v>
      </c>
      <c r="H1533" t="s">
        <v>2379</v>
      </c>
      <c r="I1533" t="str" cm="1">
        <f t="array" ref="I1533">_xlfn.IFS(B1533&lt;18.5,"Underweight",AND(B1533&gt;=18.5,B1533&lt;=24.99),"Normalweight",AND(B1533&gt;=25,B1533&lt;=29.99),"Overweight",B1533&gt;=30,"Obesity")</f>
        <v>Obesity</v>
      </c>
      <c r="J1533" t="str" cm="1">
        <f t="array" ref="J1533">_xlfn.IFS(C1533&lt;5.7,"Normal",AND(C1533&gt;=5.7,C1533&lt;=6.49),"Prediabetes",C1533&gt;=6.5,"Diabetes")</f>
        <v>Normal</v>
      </c>
    </row>
    <row r="1534" spans="1:10" x14ac:dyDescent="0.3">
      <c r="A1534" t="s">
        <v>838</v>
      </c>
      <c r="B1534" s="8">
        <v>28.405000000000001</v>
      </c>
      <c r="C1534">
        <v>7.02</v>
      </c>
      <c r="D1534" t="s">
        <v>2381</v>
      </c>
      <c r="E1534" t="s">
        <v>2379</v>
      </c>
      <c r="F1534" t="s">
        <v>2379</v>
      </c>
      <c r="G1534">
        <v>0</v>
      </c>
      <c r="H1534" t="s">
        <v>2379</v>
      </c>
      <c r="I1534" t="str" cm="1">
        <f t="array" ref="I1534">_xlfn.IFS(B1534&lt;18.5,"Underweight",AND(B1534&gt;=18.5,B1534&lt;=24.99),"Normalweight",AND(B1534&gt;=25,B1534&lt;=29.99),"Overweight",B1534&gt;=30,"Obesity")</f>
        <v>Overweight</v>
      </c>
      <c r="J1534" t="str" cm="1">
        <f t="array" ref="J1534">_xlfn.IFS(C1534&lt;5.7,"Normal",AND(C1534&gt;=5.7,C1534&lt;=6.49),"Prediabetes",C1534&gt;=6.5,"Diabetes")</f>
        <v>Diabetes</v>
      </c>
    </row>
    <row r="1535" spans="1:10" x14ac:dyDescent="0.3">
      <c r="A1535" t="s">
        <v>837</v>
      </c>
      <c r="B1535" s="8">
        <v>23.4</v>
      </c>
      <c r="C1535">
        <v>4.47</v>
      </c>
      <c r="D1535" t="s">
        <v>2379</v>
      </c>
      <c r="E1535" t="s">
        <v>2379</v>
      </c>
      <c r="F1535" t="s">
        <v>2379</v>
      </c>
      <c r="G1535">
        <v>0</v>
      </c>
      <c r="H1535" t="s">
        <v>2379</v>
      </c>
      <c r="I1535" t="str" cm="1">
        <f t="array" ref="I1535">_xlfn.IFS(B1535&lt;18.5,"Underweight",AND(B1535&gt;=18.5,B1535&lt;=24.99),"Normalweight",AND(B1535&gt;=25,B1535&lt;=29.99),"Overweight",B1535&gt;=30,"Obesity")</f>
        <v>Normalweight</v>
      </c>
      <c r="J1535" t="str" cm="1">
        <f t="array" ref="J1535">_xlfn.IFS(C1535&lt;5.7,"Normal",AND(C1535&gt;=5.7,C1535&lt;=6.49),"Prediabetes",C1535&gt;=6.5,"Diabetes")</f>
        <v>Normal</v>
      </c>
    </row>
    <row r="1536" spans="1:10" x14ac:dyDescent="0.3">
      <c r="A1536" t="s">
        <v>836</v>
      </c>
      <c r="B1536" s="8">
        <v>33.44</v>
      </c>
      <c r="C1536">
        <v>4.54</v>
      </c>
      <c r="D1536" t="s">
        <v>2379</v>
      </c>
      <c r="E1536" t="s">
        <v>2379</v>
      </c>
      <c r="F1536" t="s">
        <v>2379</v>
      </c>
      <c r="G1536">
        <v>0</v>
      </c>
      <c r="H1536" t="s">
        <v>2379</v>
      </c>
      <c r="I1536" t="str" cm="1">
        <f t="array" ref="I1536">_xlfn.IFS(B1536&lt;18.5,"Underweight",AND(B1536&gt;=18.5,B1536&lt;=24.99),"Normalweight",AND(B1536&gt;=25,B1536&lt;=29.99),"Overweight",B1536&gt;=30,"Obesity")</f>
        <v>Obesity</v>
      </c>
      <c r="J1536" t="str" cm="1">
        <f t="array" ref="J1536">_xlfn.IFS(C1536&lt;5.7,"Normal",AND(C1536&gt;=5.7,C1536&lt;=6.49),"Prediabetes",C1536&gt;=6.5,"Diabetes")</f>
        <v>Normal</v>
      </c>
    </row>
    <row r="1537" spans="1:10" x14ac:dyDescent="0.3">
      <c r="A1537" t="s">
        <v>835</v>
      </c>
      <c r="B1537" s="8">
        <v>21.12</v>
      </c>
      <c r="C1537">
        <v>4.99</v>
      </c>
      <c r="D1537" t="s">
        <v>2379</v>
      </c>
      <c r="E1537" t="s">
        <v>2379</v>
      </c>
      <c r="F1537" t="s">
        <v>2379</v>
      </c>
      <c r="G1537">
        <v>1</v>
      </c>
      <c r="H1537" t="s">
        <v>2379</v>
      </c>
      <c r="I1537" t="str" cm="1">
        <f t="array" ref="I1537">_xlfn.IFS(B1537&lt;18.5,"Underweight",AND(B1537&gt;=18.5,B1537&lt;=24.99),"Normalweight",AND(B1537&gt;=25,B1537&lt;=29.99),"Overweight",B1537&gt;=30,"Obesity")</f>
        <v>Normalweight</v>
      </c>
      <c r="J1537" t="str" cm="1">
        <f t="array" ref="J1537">_xlfn.IFS(C1537&lt;5.7,"Normal",AND(C1537&gt;=5.7,C1537&lt;=6.49),"Prediabetes",C1537&gt;=6.5,"Diabetes")</f>
        <v>Normal</v>
      </c>
    </row>
    <row r="1538" spans="1:10" x14ac:dyDescent="0.3">
      <c r="A1538" t="s">
        <v>834</v>
      </c>
      <c r="B1538" s="8">
        <v>18.48</v>
      </c>
      <c r="C1538">
        <v>10.84</v>
      </c>
      <c r="D1538" t="s">
        <v>2381</v>
      </c>
      <c r="E1538" t="s">
        <v>2379</v>
      </c>
      <c r="F1538" t="s">
        <v>2379</v>
      </c>
      <c r="G1538">
        <v>2</v>
      </c>
      <c r="H1538" t="s">
        <v>2379</v>
      </c>
      <c r="I1538" t="str" cm="1">
        <f t="array" ref="I1538">_xlfn.IFS(B1538&lt;18.5,"Underweight",AND(B1538&gt;=18.5,B1538&lt;=24.99),"Normalweight",AND(B1538&gt;=25,B1538&lt;=29.99),"Overweight",B1538&gt;=30,"Obesity")</f>
        <v>Underweight</v>
      </c>
      <c r="J1538" t="str" cm="1">
        <f t="array" ref="J1538">_xlfn.IFS(C1538&lt;5.7,"Normal",AND(C1538&gt;=5.7,C1538&lt;=6.49),"Prediabetes",C1538&gt;=6.5,"Diabetes")</f>
        <v>Diabetes</v>
      </c>
    </row>
    <row r="1539" spans="1:10" x14ac:dyDescent="0.3">
      <c r="A1539" t="s">
        <v>833</v>
      </c>
      <c r="B1539" s="8">
        <v>16.815000000000001</v>
      </c>
      <c r="C1539">
        <v>5.63</v>
      </c>
      <c r="D1539" t="s">
        <v>2379</v>
      </c>
      <c r="E1539" t="s">
        <v>2379</v>
      </c>
      <c r="F1539" t="s">
        <v>2379</v>
      </c>
      <c r="G1539">
        <v>1</v>
      </c>
      <c r="H1539" t="s">
        <v>2379</v>
      </c>
      <c r="I1539" t="str" cm="1">
        <f t="array" ref="I1539">_xlfn.IFS(B1539&lt;18.5,"Underweight",AND(B1539&gt;=18.5,B1539&lt;=24.99),"Normalweight",AND(B1539&gt;=25,B1539&lt;=29.99),"Overweight",B1539&gt;=30,"Obesity")</f>
        <v>Underweight</v>
      </c>
      <c r="J1539" t="str" cm="1">
        <f t="array" ref="J1539">_xlfn.IFS(C1539&lt;5.7,"Normal",AND(C1539&gt;=5.7,C1539&lt;=6.49),"Prediabetes",C1539&gt;=6.5,"Diabetes")</f>
        <v>Normal</v>
      </c>
    </row>
    <row r="1540" spans="1:10" x14ac:dyDescent="0.3">
      <c r="A1540" t="s">
        <v>832</v>
      </c>
      <c r="B1540" s="8">
        <v>26.72</v>
      </c>
      <c r="C1540">
        <v>4.1399999999999997</v>
      </c>
      <c r="D1540" t="s">
        <v>2379</v>
      </c>
      <c r="E1540" t="s">
        <v>2379</v>
      </c>
      <c r="F1540" t="s">
        <v>2379</v>
      </c>
      <c r="G1540">
        <v>0</v>
      </c>
      <c r="H1540" t="s">
        <v>2379</v>
      </c>
      <c r="I1540" t="str" cm="1">
        <f t="array" ref="I1540">_xlfn.IFS(B1540&lt;18.5,"Underweight",AND(B1540&gt;=18.5,B1540&lt;=24.99),"Normalweight",AND(B1540&gt;=25,B1540&lt;=29.99),"Overweight",B1540&gt;=30,"Obesity")</f>
        <v>Overweight</v>
      </c>
      <c r="J1540" t="str" cm="1">
        <f t="array" ref="J1540">_xlfn.IFS(C1540&lt;5.7,"Normal",AND(C1540&gt;=5.7,C1540&lt;=6.49),"Prediabetes",C1540&gt;=6.5,"Diabetes")</f>
        <v>Normal</v>
      </c>
    </row>
    <row r="1541" spans="1:10" x14ac:dyDescent="0.3">
      <c r="A1541" t="s">
        <v>831</v>
      </c>
      <c r="B1541" s="8">
        <v>41.42</v>
      </c>
      <c r="C1541">
        <v>5.17</v>
      </c>
      <c r="D1541" t="s">
        <v>2379</v>
      </c>
      <c r="E1541" t="s">
        <v>2379</v>
      </c>
      <c r="F1541" t="s">
        <v>2381</v>
      </c>
      <c r="G1541">
        <v>1</v>
      </c>
      <c r="H1541" t="s">
        <v>2379</v>
      </c>
      <c r="I1541" t="str" cm="1">
        <f t="array" ref="I1541">_xlfn.IFS(B1541&lt;18.5,"Underweight",AND(B1541&gt;=18.5,B1541&lt;=24.99),"Normalweight",AND(B1541&gt;=25,B1541&lt;=29.99),"Overweight",B1541&gt;=30,"Obesity")</f>
        <v>Obesity</v>
      </c>
      <c r="J1541" t="str" cm="1">
        <f t="array" ref="J1541">_xlfn.IFS(C1541&lt;5.7,"Normal",AND(C1541&gt;=5.7,C1541&lt;=6.49),"Prediabetes",C1541&gt;=6.5,"Diabetes")</f>
        <v>Normal</v>
      </c>
    </row>
    <row r="1542" spans="1:10" x14ac:dyDescent="0.3">
      <c r="A1542" t="s">
        <v>830</v>
      </c>
      <c r="B1542" s="8">
        <v>20.69</v>
      </c>
      <c r="C1542">
        <v>6.93</v>
      </c>
      <c r="D1542" t="s">
        <v>2379</v>
      </c>
      <c r="E1542" t="s">
        <v>2379</v>
      </c>
      <c r="F1542" t="s">
        <v>2379</v>
      </c>
      <c r="G1542">
        <v>2</v>
      </c>
      <c r="H1542" t="s">
        <v>2379</v>
      </c>
      <c r="I1542" t="str" cm="1">
        <f t="array" ref="I1542">_xlfn.IFS(B1542&lt;18.5,"Underweight",AND(B1542&gt;=18.5,B1542&lt;=24.99),"Normalweight",AND(B1542&gt;=25,B1542&lt;=29.99),"Overweight",B1542&gt;=30,"Obesity")</f>
        <v>Normalweight</v>
      </c>
      <c r="J1542" t="str" cm="1">
        <f t="array" ref="J1542">_xlfn.IFS(C1542&lt;5.7,"Normal",AND(C1542&gt;=5.7,C1542&lt;=6.49),"Prediabetes",C1542&gt;=6.5,"Diabetes")</f>
        <v>Diabetes</v>
      </c>
    </row>
    <row r="1543" spans="1:10" x14ac:dyDescent="0.3">
      <c r="A1543" t="s">
        <v>829</v>
      </c>
      <c r="B1543" s="8">
        <v>41.23</v>
      </c>
      <c r="C1543">
        <v>4.24</v>
      </c>
      <c r="D1543" t="s">
        <v>2379</v>
      </c>
      <c r="E1543" t="s">
        <v>2379</v>
      </c>
      <c r="F1543" t="s">
        <v>2379</v>
      </c>
      <c r="G1543">
        <v>0</v>
      </c>
      <c r="H1543" t="s">
        <v>2379</v>
      </c>
      <c r="I1543" t="str" cm="1">
        <f t="array" ref="I1543">_xlfn.IFS(B1543&lt;18.5,"Underweight",AND(B1543&gt;=18.5,B1543&lt;=24.99),"Normalweight",AND(B1543&gt;=25,B1543&lt;=29.99),"Overweight",B1543&gt;=30,"Obesity")</f>
        <v>Obesity</v>
      </c>
      <c r="J1543" t="str" cm="1">
        <f t="array" ref="J1543">_xlfn.IFS(C1543&lt;5.7,"Normal",AND(C1543&gt;=5.7,C1543&lt;=6.49),"Prediabetes",C1543&gt;=6.5,"Diabetes")</f>
        <v>Normal</v>
      </c>
    </row>
    <row r="1544" spans="1:10" x14ac:dyDescent="0.3">
      <c r="A1544" t="s">
        <v>828</v>
      </c>
      <c r="B1544" s="8">
        <v>29.9</v>
      </c>
      <c r="C1544">
        <v>5.91</v>
      </c>
      <c r="D1544" t="s">
        <v>2379</v>
      </c>
      <c r="E1544" t="s">
        <v>2379</v>
      </c>
      <c r="F1544" t="s">
        <v>2379</v>
      </c>
      <c r="G1544">
        <v>0</v>
      </c>
      <c r="H1544" t="s">
        <v>2379</v>
      </c>
      <c r="I1544" t="str" cm="1">
        <f t="array" ref="I1544">_xlfn.IFS(B1544&lt;18.5,"Underweight",AND(B1544&gt;=18.5,B1544&lt;=24.99),"Normalweight",AND(B1544&gt;=25,B1544&lt;=29.99),"Overweight",B1544&gt;=30,"Obesity")</f>
        <v>Overweight</v>
      </c>
      <c r="J1544" t="str" cm="1">
        <f t="array" ref="J1544">_xlfn.IFS(C1544&lt;5.7,"Normal",AND(C1544&gt;=5.7,C1544&lt;=6.49),"Prediabetes",C1544&gt;=6.5,"Diabetes")</f>
        <v>Prediabetes</v>
      </c>
    </row>
    <row r="1545" spans="1:10" x14ac:dyDescent="0.3">
      <c r="A1545" t="s">
        <v>827</v>
      </c>
      <c r="B1545" s="8">
        <v>34.104999999999997</v>
      </c>
      <c r="C1545">
        <v>5.93</v>
      </c>
      <c r="D1545" t="s">
        <v>2379</v>
      </c>
      <c r="E1545" t="s">
        <v>2379</v>
      </c>
      <c r="F1545" t="s">
        <v>2379</v>
      </c>
      <c r="G1545">
        <v>0</v>
      </c>
      <c r="H1545" t="s">
        <v>2379</v>
      </c>
      <c r="I1545" t="str" cm="1">
        <f t="array" ref="I1545">_xlfn.IFS(B1545&lt;18.5,"Underweight",AND(B1545&gt;=18.5,B1545&lt;=24.99),"Normalweight",AND(B1545&gt;=25,B1545&lt;=29.99),"Overweight",B1545&gt;=30,"Obesity")</f>
        <v>Obesity</v>
      </c>
      <c r="J1545" t="str" cm="1">
        <f t="array" ref="J1545">_xlfn.IFS(C1545&lt;5.7,"Normal",AND(C1545&gt;=5.7,C1545&lt;=6.49),"Prediabetes",C1545&gt;=6.5,"Diabetes")</f>
        <v>Prediabetes</v>
      </c>
    </row>
    <row r="1546" spans="1:10" x14ac:dyDescent="0.3">
      <c r="A1546" t="s">
        <v>826</v>
      </c>
      <c r="B1546" s="8">
        <v>24.97</v>
      </c>
      <c r="C1546">
        <v>5.66</v>
      </c>
      <c r="D1546" t="s">
        <v>2379</v>
      </c>
      <c r="E1546" t="s">
        <v>2379</v>
      </c>
      <c r="F1546" t="s">
        <v>2379</v>
      </c>
      <c r="G1546">
        <v>0</v>
      </c>
      <c r="H1546" t="s">
        <v>2379</v>
      </c>
      <c r="I1546" t="str" cm="1">
        <f t="array" ref="I1546">_xlfn.IFS(B1546&lt;18.5,"Underweight",AND(B1546&gt;=18.5,B1546&lt;=24.99),"Normalweight",AND(B1546&gt;=25,B1546&lt;=29.99),"Overweight",B1546&gt;=30,"Obesity")</f>
        <v>Normalweight</v>
      </c>
      <c r="J1546" t="str" cm="1">
        <f t="array" ref="J1546">_xlfn.IFS(C1546&lt;5.7,"Normal",AND(C1546&gt;=5.7,C1546&lt;=6.49),"Prediabetes",C1546&gt;=6.5,"Diabetes")</f>
        <v>Normal</v>
      </c>
    </row>
    <row r="1547" spans="1:10" x14ac:dyDescent="0.3">
      <c r="A1547" t="s">
        <v>825</v>
      </c>
      <c r="B1547" s="8">
        <v>34.799999999999997</v>
      </c>
      <c r="C1547">
        <v>4.1900000000000004</v>
      </c>
      <c r="D1547" t="s">
        <v>2379</v>
      </c>
      <c r="E1547" t="s">
        <v>2379</v>
      </c>
      <c r="F1547" t="s">
        <v>2379</v>
      </c>
      <c r="G1547">
        <v>1</v>
      </c>
      <c r="H1547" t="s">
        <v>2379</v>
      </c>
      <c r="I1547" t="str" cm="1">
        <f t="array" ref="I1547">_xlfn.IFS(B1547&lt;18.5,"Underweight",AND(B1547&gt;=18.5,B1547&lt;=24.99),"Normalweight",AND(B1547&gt;=25,B1547&lt;=29.99),"Overweight",B1547&gt;=30,"Obesity")</f>
        <v>Obesity</v>
      </c>
      <c r="J1547" t="str" cm="1">
        <f t="array" ref="J1547">_xlfn.IFS(C1547&lt;5.7,"Normal",AND(C1547&gt;=5.7,C1547&lt;=6.49),"Prediabetes",C1547&gt;=6.5,"Diabetes")</f>
        <v>Normal</v>
      </c>
    </row>
    <row r="1548" spans="1:10" x14ac:dyDescent="0.3">
      <c r="A1548" t="s">
        <v>824</v>
      </c>
      <c r="B1548" s="8">
        <v>32.965000000000003</v>
      </c>
      <c r="C1548">
        <v>9.2100000000000009</v>
      </c>
      <c r="D1548" t="s">
        <v>2381</v>
      </c>
      <c r="E1548" t="s">
        <v>2379</v>
      </c>
      <c r="F1548" t="s">
        <v>2379</v>
      </c>
      <c r="G1548">
        <v>0</v>
      </c>
      <c r="H1548" t="s">
        <v>2379</v>
      </c>
      <c r="I1548" t="str" cm="1">
        <f t="array" ref="I1548">_xlfn.IFS(B1548&lt;18.5,"Underweight",AND(B1548&gt;=18.5,B1548&lt;=24.99),"Normalweight",AND(B1548&gt;=25,B1548&lt;=29.99),"Overweight",B1548&gt;=30,"Obesity")</f>
        <v>Obesity</v>
      </c>
      <c r="J1548" t="str" cm="1">
        <f t="array" ref="J1548">_xlfn.IFS(C1548&lt;5.7,"Normal",AND(C1548&gt;=5.7,C1548&lt;=6.49),"Prediabetes",C1548&gt;=6.5,"Diabetes")</f>
        <v>Diabetes</v>
      </c>
    </row>
    <row r="1549" spans="1:10" x14ac:dyDescent="0.3">
      <c r="A1549" t="s">
        <v>823</v>
      </c>
      <c r="B1549" s="8">
        <v>27.265000000000001</v>
      </c>
      <c r="C1549">
        <v>5.51</v>
      </c>
      <c r="D1549" t="s">
        <v>2379</v>
      </c>
      <c r="E1549" t="s">
        <v>2379</v>
      </c>
      <c r="F1549" t="s">
        <v>2379</v>
      </c>
      <c r="G1549">
        <v>1</v>
      </c>
      <c r="H1549" t="s">
        <v>2379</v>
      </c>
      <c r="I1549" t="str" cm="1">
        <f t="array" ref="I1549">_xlfn.IFS(B1549&lt;18.5,"Underweight",AND(B1549&gt;=18.5,B1549&lt;=24.99),"Normalweight",AND(B1549&gt;=25,B1549&lt;=29.99),"Overweight",B1549&gt;=30,"Obesity")</f>
        <v>Overweight</v>
      </c>
      <c r="J1549" t="str" cm="1">
        <f t="array" ref="J1549">_xlfn.IFS(C1549&lt;5.7,"Normal",AND(C1549&gt;=5.7,C1549&lt;=6.49),"Prediabetes",C1549&gt;=6.5,"Diabetes")</f>
        <v>Normal</v>
      </c>
    </row>
    <row r="1550" spans="1:10" x14ac:dyDescent="0.3">
      <c r="A1550" t="s">
        <v>822</v>
      </c>
      <c r="B1550" s="8">
        <v>17.059999999999999</v>
      </c>
      <c r="C1550">
        <v>8.5</v>
      </c>
      <c r="D1550" t="s">
        <v>2379</v>
      </c>
      <c r="E1550" t="s">
        <v>2379</v>
      </c>
      <c r="F1550" t="s">
        <v>2379</v>
      </c>
      <c r="G1550">
        <v>0</v>
      </c>
      <c r="H1550" t="s">
        <v>2379</v>
      </c>
      <c r="I1550" t="str" cm="1">
        <f t="array" ref="I1550">_xlfn.IFS(B1550&lt;18.5,"Underweight",AND(B1550&gt;=18.5,B1550&lt;=24.99),"Normalweight",AND(B1550&gt;=25,B1550&lt;=29.99),"Overweight",B1550&gt;=30,"Obesity")</f>
        <v>Underweight</v>
      </c>
      <c r="J1550" t="str" cm="1">
        <f t="array" ref="J1550">_xlfn.IFS(C1550&lt;5.7,"Normal",AND(C1550&gt;=5.7,C1550&lt;=6.49),"Prediabetes",C1550&gt;=6.5,"Diabetes")</f>
        <v>Diabetes</v>
      </c>
    </row>
    <row r="1551" spans="1:10" x14ac:dyDescent="0.3">
      <c r="A1551" t="s">
        <v>821</v>
      </c>
      <c r="B1551" s="8">
        <v>36.29</v>
      </c>
      <c r="C1551">
        <v>6.23</v>
      </c>
      <c r="D1551" t="s">
        <v>2379</v>
      </c>
      <c r="E1551" t="s">
        <v>2379</v>
      </c>
      <c r="F1551" t="s">
        <v>2379</v>
      </c>
      <c r="G1551">
        <v>0</v>
      </c>
      <c r="H1551" t="s">
        <v>2379</v>
      </c>
      <c r="I1551" t="str" cm="1">
        <f t="array" ref="I1551">_xlfn.IFS(B1551&lt;18.5,"Underweight",AND(B1551&gt;=18.5,B1551&lt;=24.99),"Normalweight",AND(B1551&gt;=25,B1551&lt;=29.99),"Overweight",B1551&gt;=30,"Obesity")</f>
        <v>Obesity</v>
      </c>
      <c r="J1551" t="str" cm="1">
        <f t="array" ref="J1551">_xlfn.IFS(C1551&lt;5.7,"Normal",AND(C1551&gt;=5.7,C1551&lt;=6.49),"Prediabetes",C1551&gt;=6.5,"Diabetes")</f>
        <v>Prediabetes</v>
      </c>
    </row>
    <row r="1552" spans="1:10" x14ac:dyDescent="0.3">
      <c r="A1552" t="s">
        <v>820</v>
      </c>
      <c r="B1552" s="8">
        <v>28.594999999999999</v>
      </c>
      <c r="C1552">
        <v>8.5299999999999994</v>
      </c>
      <c r="D1552" t="s">
        <v>2381</v>
      </c>
      <c r="E1552" t="s">
        <v>2379</v>
      </c>
      <c r="F1552" t="s">
        <v>2379</v>
      </c>
      <c r="G1552">
        <v>1</v>
      </c>
      <c r="H1552" t="s">
        <v>2379</v>
      </c>
      <c r="I1552" t="str" cm="1">
        <f t="array" ref="I1552">_xlfn.IFS(B1552&lt;18.5,"Underweight",AND(B1552&gt;=18.5,B1552&lt;=24.99),"Normalweight",AND(B1552&gt;=25,B1552&lt;=29.99),"Overweight",B1552&gt;=30,"Obesity")</f>
        <v>Overweight</v>
      </c>
      <c r="J1552" t="str" cm="1">
        <f t="array" ref="J1552">_xlfn.IFS(C1552&lt;5.7,"Normal",AND(C1552&gt;=5.7,C1552&lt;=6.49),"Prediabetes",C1552&gt;=6.5,"Diabetes")</f>
        <v>Diabetes</v>
      </c>
    </row>
    <row r="1553" spans="1:10" x14ac:dyDescent="0.3">
      <c r="A1553" t="s">
        <v>819</v>
      </c>
      <c r="B1553" s="8">
        <v>17.8</v>
      </c>
      <c r="C1553">
        <v>5.75</v>
      </c>
      <c r="D1553" t="s">
        <v>2381</v>
      </c>
      <c r="E1553" t="s">
        <v>2379</v>
      </c>
      <c r="F1553" t="s">
        <v>2381</v>
      </c>
      <c r="G1553">
        <v>1</v>
      </c>
      <c r="H1553" t="s">
        <v>2379</v>
      </c>
      <c r="I1553" t="str" cm="1">
        <f t="array" ref="I1553">_xlfn.IFS(B1553&lt;18.5,"Underweight",AND(B1553&gt;=18.5,B1553&lt;=24.99),"Normalweight",AND(B1553&gt;=25,B1553&lt;=29.99),"Overweight",B1553&gt;=30,"Obesity")</f>
        <v>Underweight</v>
      </c>
      <c r="J1553" t="str" cm="1">
        <f t="array" ref="J1553">_xlfn.IFS(C1553&lt;5.7,"Normal",AND(C1553&gt;=5.7,C1553&lt;=6.49),"Prediabetes",C1553&gt;=6.5,"Diabetes")</f>
        <v>Prediabetes</v>
      </c>
    </row>
    <row r="1554" spans="1:10" x14ac:dyDescent="0.3">
      <c r="A1554" t="s">
        <v>818</v>
      </c>
      <c r="B1554" s="8">
        <v>21.4</v>
      </c>
      <c r="C1554">
        <v>5.6</v>
      </c>
      <c r="D1554" t="s">
        <v>2379</v>
      </c>
      <c r="E1554" t="s">
        <v>2379</v>
      </c>
      <c r="F1554" t="s">
        <v>2379</v>
      </c>
      <c r="G1554">
        <v>0</v>
      </c>
      <c r="H1554" t="s">
        <v>2379</v>
      </c>
      <c r="I1554" t="str" cm="1">
        <f t="array" ref="I1554">_xlfn.IFS(B1554&lt;18.5,"Underweight",AND(B1554&gt;=18.5,B1554&lt;=24.99),"Normalweight",AND(B1554&gt;=25,B1554&lt;=29.99),"Overweight",B1554&gt;=30,"Obesity")</f>
        <v>Normalweight</v>
      </c>
      <c r="J1554" t="str" cm="1">
        <f t="array" ref="J1554">_xlfn.IFS(C1554&lt;5.7,"Normal",AND(C1554&gt;=5.7,C1554&lt;=6.49),"Prediabetes",C1554&gt;=6.5,"Diabetes")</f>
        <v>Normal</v>
      </c>
    </row>
    <row r="1555" spans="1:10" x14ac:dyDescent="0.3">
      <c r="A1555" t="s">
        <v>817</v>
      </c>
      <c r="B1555" s="8">
        <v>23.01</v>
      </c>
      <c r="C1555">
        <v>4.68</v>
      </c>
      <c r="D1555" t="s">
        <v>2379</v>
      </c>
      <c r="E1555" t="s">
        <v>2379</v>
      </c>
      <c r="F1555" t="s">
        <v>2379</v>
      </c>
      <c r="G1555">
        <v>0</v>
      </c>
      <c r="H1555" t="s">
        <v>2379</v>
      </c>
      <c r="I1555" t="str" cm="1">
        <f t="array" ref="I1555">_xlfn.IFS(B1555&lt;18.5,"Underweight",AND(B1555&gt;=18.5,B1555&lt;=24.99),"Normalweight",AND(B1555&gt;=25,B1555&lt;=29.99),"Overweight",B1555&gt;=30,"Obesity")</f>
        <v>Normalweight</v>
      </c>
      <c r="J1555" t="str" cm="1">
        <f t="array" ref="J1555">_xlfn.IFS(C1555&lt;5.7,"Normal",AND(C1555&gt;=5.7,C1555&lt;=6.49),"Prediabetes",C1555&gt;=6.5,"Diabetes")</f>
        <v>Normal</v>
      </c>
    </row>
    <row r="1556" spans="1:10" x14ac:dyDescent="0.3">
      <c r="A1556" t="s">
        <v>816</v>
      </c>
      <c r="B1556" s="8">
        <v>19.86</v>
      </c>
      <c r="C1556">
        <v>5.62</v>
      </c>
      <c r="D1556" t="s">
        <v>2381</v>
      </c>
      <c r="E1556" t="s">
        <v>2379</v>
      </c>
      <c r="F1556" t="s">
        <v>2379</v>
      </c>
      <c r="G1556">
        <v>0</v>
      </c>
      <c r="H1556" t="s">
        <v>2379</v>
      </c>
      <c r="I1556" t="str" cm="1">
        <f t="array" ref="I1556">_xlfn.IFS(B1556&lt;18.5,"Underweight",AND(B1556&gt;=18.5,B1556&lt;=24.99),"Normalweight",AND(B1556&gt;=25,B1556&lt;=29.99),"Overweight",B1556&gt;=30,"Obesity")</f>
        <v>Normalweight</v>
      </c>
      <c r="J1556" t="str" cm="1">
        <f t="array" ref="J1556">_xlfn.IFS(C1556&lt;5.7,"Normal",AND(C1556&gt;=5.7,C1556&lt;=6.49),"Prediabetes",C1556&gt;=6.5,"Diabetes")</f>
        <v>Normal</v>
      </c>
    </row>
    <row r="1557" spans="1:10" x14ac:dyDescent="0.3">
      <c r="A1557" t="s">
        <v>815</v>
      </c>
      <c r="B1557" s="8">
        <v>33.58</v>
      </c>
      <c r="C1557">
        <v>5.08</v>
      </c>
      <c r="D1557" t="s">
        <v>2379</v>
      </c>
      <c r="E1557" t="s">
        <v>2379</v>
      </c>
      <c r="F1557" t="s">
        <v>2379</v>
      </c>
      <c r="G1557">
        <v>0</v>
      </c>
      <c r="H1557" t="s">
        <v>2379</v>
      </c>
      <c r="I1557" t="str" cm="1">
        <f t="array" ref="I1557">_xlfn.IFS(B1557&lt;18.5,"Underweight",AND(B1557&gt;=18.5,B1557&lt;=24.99),"Normalweight",AND(B1557&gt;=25,B1557&lt;=29.99),"Overweight",B1557&gt;=30,"Obesity")</f>
        <v>Obesity</v>
      </c>
      <c r="J1557" t="str" cm="1">
        <f t="array" ref="J1557">_xlfn.IFS(C1557&lt;5.7,"Normal",AND(C1557&gt;=5.7,C1557&lt;=6.49),"Prediabetes",C1557&gt;=6.5,"Diabetes")</f>
        <v>Normal</v>
      </c>
    </row>
    <row r="1558" spans="1:10" x14ac:dyDescent="0.3">
      <c r="A1558" t="s">
        <v>814</v>
      </c>
      <c r="B1558" s="8">
        <v>29.81</v>
      </c>
      <c r="C1558">
        <v>5.28</v>
      </c>
      <c r="D1558" t="s">
        <v>2379</v>
      </c>
      <c r="E1558" t="s">
        <v>2379</v>
      </c>
      <c r="F1558" t="s">
        <v>2379</v>
      </c>
      <c r="G1558">
        <v>0</v>
      </c>
      <c r="H1558" t="s">
        <v>2379</v>
      </c>
      <c r="I1558" t="str" cm="1">
        <f t="array" ref="I1558">_xlfn.IFS(B1558&lt;18.5,"Underweight",AND(B1558&gt;=18.5,B1558&lt;=24.99),"Normalweight",AND(B1558&gt;=25,B1558&lt;=29.99),"Overweight",B1558&gt;=30,"Obesity")</f>
        <v>Overweight</v>
      </c>
      <c r="J1558" t="str" cm="1">
        <f t="array" ref="J1558">_xlfn.IFS(C1558&lt;5.7,"Normal",AND(C1558&gt;=5.7,C1558&lt;=6.49),"Prediabetes",C1558&gt;=6.5,"Diabetes")</f>
        <v>Normal</v>
      </c>
    </row>
    <row r="1559" spans="1:10" x14ac:dyDescent="0.3">
      <c r="A1559" t="s">
        <v>813</v>
      </c>
      <c r="B1559" s="8">
        <v>27.4</v>
      </c>
      <c r="C1559">
        <v>4.6100000000000003</v>
      </c>
      <c r="D1559" t="s">
        <v>2379</v>
      </c>
      <c r="E1559" t="s">
        <v>2379</v>
      </c>
      <c r="F1559" t="s">
        <v>2379</v>
      </c>
      <c r="G1559">
        <v>0</v>
      </c>
      <c r="H1559" t="s">
        <v>2379</v>
      </c>
      <c r="I1559" t="str" cm="1">
        <f t="array" ref="I1559">_xlfn.IFS(B1559&lt;18.5,"Underweight",AND(B1559&gt;=18.5,B1559&lt;=24.99),"Normalweight",AND(B1559&gt;=25,B1559&lt;=29.99),"Overweight",B1559&gt;=30,"Obesity")</f>
        <v>Overweight</v>
      </c>
      <c r="J1559" t="str" cm="1">
        <f t="array" ref="J1559">_xlfn.IFS(C1559&lt;5.7,"Normal",AND(C1559&gt;=5.7,C1559&lt;=6.49),"Prediabetes",C1559&gt;=6.5,"Diabetes")</f>
        <v>Normal</v>
      </c>
    </row>
    <row r="1560" spans="1:10" x14ac:dyDescent="0.3">
      <c r="A1560" t="s">
        <v>812</v>
      </c>
      <c r="B1560" s="8">
        <v>17.98</v>
      </c>
      <c r="C1560">
        <v>6.57</v>
      </c>
      <c r="D1560" t="s">
        <v>2381</v>
      </c>
      <c r="E1560" t="s">
        <v>2379</v>
      </c>
      <c r="F1560" t="s">
        <v>2379</v>
      </c>
      <c r="G1560">
        <v>2</v>
      </c>
      <c r="H1560" t="s">
        <v>2379</v>
      </c>
      <c r="I1560" t="str" cm="1">
        <f t="array" ref="I1560">_xlfn.IFS(B1560&lt;18.5,"Underweight",AND(B1560&gt;=18.5,B1560&lt;=24.99),"Normalweight",AND(B1560&gt;=25,B1560&lt;=29.99),"Overweight",B1560&gt;=30,"Obesity")</f>
        <v>Underweight</v>
      </c>
      <c r="J1560" t="str" cm="1">
        <f t="array" ref="J1560">_xlfn.IFS(C1560&lt;5.7,"Normal",AND(C1560&gt;=5.7,C1560&lt;=6.49),"Prediabetes",C1560&gt;=6.5,"Diabetes")</f>
        <v>Diabetes</v>
      </c>
    </row>
    <row r="1561" spans="1:10" x14ac:dyDescent="0.3">
      <c r="A1561" t="s">
        <v>811</v>
      </c>
      <c r="B1561" s="8">
        <v>37.9</v>
      </c>
      <c r="C1561">
        <v>5.83</v>
      </c>
      <c r="D1561" t="s">
        <v>2379</v>
      </c>
      <c r="E1561" t="s">
        <v>2379</v>
      </c>
      <c r="F1561" t="s">
        <v>2379</v>
      </c>
      <c r="G1561">
        <v>0</v>
      </c>
      <c r="H1561" t="s">
        <v>2379</v>
      </c>
      <c r="I1561" t="str" cm="1">
        <f t="array" ref="I1561">_xlfn.IFS(B1561&lt;18.5,"Underweight",AND(B1561&gt;=18.5,B1561&lt;=24.99),"Normalweight",AND(B1561&gt;=25,B1561&lt;=29.99),"Overweight",B1561&gt;=30,"Obesity")</f>
        <v>Obesity</v>
      </c>
      <c r="J1561" t="str" cm="1">
        <f t="array" ref="J1561">_xlfn.IFS(C1561&lt;5.7,"Normal",AND(C1561&gt;=5.7,C1561&lt;=6.49),"Prediabetes",C1561&gt;=6.5,"Diabetes")</f>
        <v>Prediabetes</v>
      </c>
    </row>
    <row r="1562" spans="1:10" x14ac:dyDescent="0.3">
      <c r="A1562" t="s">
        <v>810</v>
      </c>
      <c r="B1562" s="8">
        <v>25.27</v>
      </c>
      <c r="C1562">
        <v>6.98</v>
      </c>
      <c r="D1562" t="s">
        <v>2381</v>
      </c>
      <c r="E1562" t="s">
        <v>2379</v>
      </c>
      <c r="F1562" t="s">
        <v>2379</v>
      </c>
      <c r="G1562">
        <v>0</v>
      </c>
      <c r="H1562" t="s">
        <v>2379</v>
      </c>
      <c r="I1562" t="str" cm="1">
        <f t="array" ref="I1562">_xlfn.IFS(B1562&lt;18.5,"Underweight",AND(B1562&gt;=18.5,B1562&lt;=24.99),"Normalweight",AND(B1562&gt;=25,B1562&lt;=29.99),"Overweight",B1562&gt;=30,"Obesity")</f>
        <v>Overweight</v>
      </c>
      <c r="J1562" t="str" cm="1">
        <f t="array" ref="J1562">_xlfn.IFS(C1562&lt;5.7,"Normal",AND(C1562&gt;=5.7,C1562&lt;=6.49),"Prediabetes",C1562&gt;=6.5,"Diabetes")</f>
        <v>Diabetes</v>
      </c>
    </row>
    <row r="1563" spans="1:10" x14ac:dyDescent="0.3">
      <c r="A1563" t="s">
        <v>809</v>
      </c>
      <c r="B1563" s="8">
        <v>29.26</v>
      </c>
      <c r="C1563">
        <v>4.03</v>
      </c>
      <c r="D1563" t="s">
        <v>2379</v>
      </c>
      <c r="E1563" t="s">
        <v>2379</v>
      </c>
      <c r="F1563" t="s">
        <v>2379</v>
      </c>
      <c r="G1563">
        <v>1</v>
      </c>
      <c r="H1563" t="s">
        <v>2379</v>
      </c>
      <c r="I1563" t="str" cm="1">
        <f t="array" ref="I1563">_xlfn.IFS(B1563&lt;18.5,"Underweight",AND(B1563&gt;=18.5,B1563&lt;=24.99),"Normalweight",AND(B1563&gt;=25,B1563&lt;=29.99),"Overweight",B1563&gt;=30,"Obesity")</f>
        <v>Overweight</v>
      </c>
      <c r="J1563" t="str" cm="1">
        <f t="array" ref="J1563">_xlfn.IFS(C1563&lt;5.7,"Normal",AND(C1563&gt;=5.7,C1563&lt;=6.49),"Prediabetes",C1563&gt;=6.5,"Diabetes")</f>
        <v>Normal</v>
      </c>
    </row>
    <row r="1564" spans="1:10" x14ac:dyDescent="0.3">
      <c r="A1564" t="s">
        <v>808</v>
      </c>
      <c r="B1564" s="8">
        <v>27.835000000000001</v>
      </c>
      <c r="C1564">
        <v>4.5599999999999996</v>
      </c>
      <c r="D1564" t="s">
        <v>2379</v>
      </c>
      <c r="E1564" t="s">
        <v>2379</v>
      </c>
      <c r="F1564" t="s">
        <v>2379</v>
      </c>
      <c r="G1564">
        <v>1</v>
      </c>
      <c r="H1564" t="s">
        <v>2379</v>
      </c>
      <c r="I1564" t="str" cm="1">
        <f t="array" ref="I1564">_xlfn.IFS(B1564&lt;18.5,"Underweight",AND(B1564&gt;=18.5,B1564&lt;=24.99),"Normalweight",AND(B1564&gt;=25,B1564&lt;=29.99),"Overweight",B1564&gt;=30,"Obesity")</f>
        <v>Overweight</v>
      </c>
      <c r="J1564" t="str" cm="1">
        <f t="array" ref="J1564">_xlfn.IFS(C1564&lt;5.7,"Normal",AND(C1564&gt;=5.7,C1564&lt;=6.49),"Prediabetes",C1564&gt;=6.5,"Diabetes")</f>
        <v>Normal</v>
      </c>
    </row>
    <row r="1565" spans="1:10" x14ac:dyDescent="0.3">
      <c r="A1565" t="s">
        <v>807</v>
      </c>
      <c r="B1565" s="8">
        <v>46.53</v>
      </c>
      <c r="C1565">
        <v>5.38</v>
      </c>
      <c r="D1565" t="s">
        <v>2381</v>
      </c>
      <c r="E1565" t="s">
        <v>2379</v>
      </c>
      <c r="F1565" t="s">
        <v>2379</v>
      </c>
      <c r="G1565">
        <v>0</v>
      </c>
      <c r="H1565" t="s">
        <v>2379</v>
      </c>
      <c r="I1565" t="str" cm="1">
        <f t="array" ref="I1565">_xlfn.IFS(B1565&lt;18.5,"Underweight",AND(B1565&gt;=18.5,B1565&lt;=24.99),"Normalweight",AND(B1565&gt;=25,B1565&lt;=29.99),"Overweight",B1565&gt;=30,"Obesity")</f>
        <v>Obesity</v>
      </c>
      <c r="J1565" t="str" cm="1">
        <f t="array" ref="J1565">_xlfn.IFS(C1565&lt;5.7,"Normal",AND(C1565&gt;=5.7,C1565&lt;=6.49),"Prediabetes",C1565&gt;=6.5,"Diabetes")</f>
        <v>Normal</v>
      </c>
    </row>
    <row r="1566" spans="1:10" x14ac:dyDescent="0.3">
      <c r="A1566" t="s">
        <v>806</v>
      </c>
      <c r="B1566" s="8">
        <v>20.58</v>
      </c>
      <c r="C1566">
        <v>11.04</v>
      </c>
      <c r="D1566" t="s">
        <v>2381</v>
      </c>
      <c r="E1566" t="s">
        <v>2379</v>
      </c>
      <c r="F1566" t="s">
        <v>2379</v>
      </c>
      <c r="G1566">
        <v>1</v>
      </c>
      <c r="H1566" t="s">
        <v>2379</v>
      </c>
      <c r="I1566" t="str" cm="1">
        <f t="array" ref="I1566">_xlfn.IFS(B1566&lt;18.5,"Underweight",AND(B1566&gt;=18.5,B1566&lt;=24.99),"Normalweight",AND(B1566&gt;=25,B1566&lt;=29.99),"Overweight",B1566&gt;=30,"Obesity")</f>
        <v>Normalweight</v>
      </c>
      <c r="J1566" t="str" cm="1">
        <f t="array" ref="J1566">_xlfn.IFS(C1566&lt;5.7,"Normal",AND(C1566&gt;=5.7,C1566&lt;=6.49),"Prediabetes",C1566&gt;=6.5,"Diabetes")</f>
        <v>Diabetes</v>
      </c>
    </row>
    <row r="1567" spans="1:10" x14ac:dyDescent="0.3">
      <c r="A1567" t="s">
        <v>805</v>
      </c>
      <c r="B1567" s="8">
        <v>19.53</v>
      </c>
      <c r="C1567">
        <v>6.09</v>
      </c>
      <c r="D1567" t="s">
        <v>2381</v>
      </c>
      <c r="E1567" t="s">
        <v>2379</v>
      </c>
      <c r="F1567" t="s">
        <v>2379</v>
      </c>
      <c r="G1567">
        <v>0</v>
      </c>
      <c r="H1567" t="s">
        <v>2379</v>
      </c>
      <c r="I1567" t="str" cm="1">
        <f t="array" ref="I1567">_xlfn.IFS(B1567&lt;18.5,"Underweight",AND(B1567&gt;=18.5,B1567&lt;=24.99),"Normalweight",AND(B1567&gt;=25,B1567&lt;=29.99),"Overweight",B1567&gt;=30,"Obesity")</f>
        <v>Normalweight</v>
      </c>
      <c r="J1567" t="str" cm="1">
        <f t="array" ref="J1567">_xlfn.IFS(C1567&lt;5.7,"Normal",AND(C1567&gt;=5.7,C1567&lt;=6.49),"Prediabetes",C1567&gt;=6.5,"Diabetes")</f>
        <v>Prediabetes</v>
      </c>
    </row>
    <row r="1568" spans="1:10" x14ac:dyDescent="0.3">
      <c r="A1568" t="s">
        <v>804</v>
      </c>
      <c r="B1568" s="8">
        <v>27.7</v>
      </c>
      <c r="C1568">
        <v>4.71</v>
      </c>
      <c r="D1568" t="s">
        <v>2379</v>
      </c>
      <c r="E1568" t="s">
        <v>2379</v>
      </c>
      <c r="F1568" t="s">
        <v>2379</v>
      </c>
      <c r="G1568">
        <v>1</v>
      </c>
      <c r="H1568" t="s">
        <v>2379</v>
      </c>
      <c r="I1568" t="str" cm="1">
        <f t="array" ref="I1568">_xlfn.IFS(B1568&lt;18.5,"Underweight",AND(B1568&gt;=18.5,B1568&lt;=24.99),"Normalweight",AND(B1568&gt;=25,B1568&lt;=29.99),"Overweight",B1568&gt;=30,"Obesity")</f>
        <v>Overweight</v>
      </c>
      <c r="J1568" t="str" cm="1">
        <f t="array" ref="J1568">_xlfn.IFS(C1568&lt;5.7,"Normal",AND(C1568&gt;=5.7,C1568&lt;=6.49),"Prediabetes",C1568&gt;=6.5,"Diabetes")</f>
        <v>Normal</v>
      </c>
    </row>
    <row r="1569" spans="1:10" x14ac:dyDescent="0.3">
      <c r="A1569" t="s">
        <v>803</v>
      </c>
      <c r="B1569" s="8">
        <v>18.920000000000002</v>
      </c>
      <c r="C1569">
        <v>8.18</v>
      </c>
      <c r="D1569" t="s">
        <v>2379</v>
      </c>
      <c r="E1569" t="s">
        <v>2379</v>
      </c>
      <c r="F1569" t="s">
        <v>2379</v>
      </c>
      <c r="G1569">
        <v>0</v>
      </c>
      <c r="H1569" t="s">
        <v>2379</v>
      </c>
      <c r="I1569" t="str" cm="1">
        <f t="array" ref="I1569">_xlfn.IFS(B1569&lt;18.5,"Underweight",AND(B1569&gt;=18.5,B1569&lt;=24.99),"Normalweight",AND(B1569&gt;=25,B1569&lt;=29.99),"Overweight",B1569&gt;=30,"Obesity")</f>
        <v>Normalweight</v>
      </c>
      <c r="J1569" t="str" cm="1">
        <f t="array" ref="J1569">_xlfn.IFS(C1569&lt;5.7,"Normal",AND(C1569&gt;=5.7,C1569&lt;=6.49),"Prediabetes",C1569&gt;=6.5,"Diabetes")</f>
        <v>Diabetes</v>
      </c>
    </row>
    <row r="1570" spans="1:10" x14ac:dyDescent="0.3">
      <c r="A1570" t="s">
        <v>802</v>
      </c>
      <c r="B1570" s="8">
        <v>17.760000000000002</v>
      </c>
      <c r="C1570">
        <v>11.18</v>
      </c>
      <c r="D1570" t="s">
        <v>2381</v>
      </c>
      <c r="E1570" t="s">
        <v>2379</v>
      </c>
      <c r="F1570" t="s">
        <v>2379</v>
      </c>
      <c r="G1570">
        <v>2</v>
      </c>
      <c r="H1570" t="s">
        <v>2379</v>
      </c>
      <c r="I1570" t="str" cm="1">
        <f t="array" ref="I1570">_xlfn.IFS(B1570&lt;18.5,"Underweight",AND(B1570&gt;=18.5,B1570&lt;=24.99),"Normalweight",AND(B1570&gt;=25,B1570&lt;=29.99),"Overweight",B1570&gt;=30,"Obesity")</f>
        <v>Underweight</v>
      </c>
      <c r="J1570" t="str" cm="1">
        <f t="array" ref="J1570">_xlfn.IFS(C1570&lt;5.7,"Normal",AND(C1570&gt;=5.7,C1570&lt;=6.49),"Prediabetes",C1570&gt;=6.5,"Diabetes")</f>
        <v>Diabetes</v>
      </c>
    </row>
    <row r="1571" spans="1:10" x14ac:dyDescent="0.3">
      <c r="A1571" t="s">
        <v>801</v>
      </c>
      <c r="B1571" s="8">
        <v>29.83</v>
      </c>
      <c r="C1571">
        <v>5.03</v>
      </c>
      <c r="D1571" t="s">
        <v>2381</v>
      </c>
      <c r="E1571" t="s">
        <v>2379</v>
      </c>
      <c r="F1571" t="s">
        <v>2379</v>
      </c>
      <c r="G1571">
        <v>0</v>
      </c>
      <c r="H1571" t="s">
        <v>2379</v>
      </c>
      <c r="I1571" t="str" cm="1">
        <f t="array" ref="I1571">_xlfn.IFS(B1571&lt;18.5,"Underweight",AND(B1571&gt;=18.5,B1571&lt;=24.99),"Normalweight",AND(B1571&gt;=25,B1571&lt;=29.99),"Overweight",B1571&gt;=30,"Obesity")</f>
        <v>Overweight</v>
      </c>
      <c r="J1571" t="str" cm="1">
        <f t="array" ref="J1571">_xlfn.IFS(C1571&lt;5.7,"Normal",AND(C1571&gt;=5.7,C1571&lt;=6.49),"Prediabetes",C1571&gt;=6.5,"Diabetes")</f>
        <v>Normal</v>
      </c>
    </row>
    <row r="1572" spans="1:10" x14ac:dyDescent="0.3">
      <c r="A1572" t="s">
        <v>800</v>
      </c>
      <c r="B1572" s="8">
        <v>23.465</v>
      </c>
      <c r="C1572">
        <v>5.56</v>
      </c>
      <c r="D1572" t="s">
        <v>2379</v>
      </c>
      <c r="E1572" t="s">
        <v>2379</v>
      </c>
      <c r="F1572" t="s">
        <v>2379</v>
      </c>
      <c r="G1572">
        <v>1</v>
      </c>
      <c r="H1572" t="s">
        <v>2379</v>
      </c>
      <c r="I1572" t="str" cm="1">
        <f t="array" ref="I1572">_xlfn.IFS(B1572&lt;18.5,"Underweight",AND(B1572&gt;=18.5,B1572&lt;=24.99),"Normalweight",AND(B1572&gt;=25,B1572&lt;=29.99),"Overweight",B1572&gt;=30,"Obesity")</f>
        <v>Normalweight</v>
      </c>
      <c r="J1572" t="str" cm="1">
        <f t="array" ref="J1572">_xlfn.IFS(C1572&lt;5.7,"Normal",AND(C1572&gt;=5.7,C1572&lt;=6.49),"Prediabetes",C1572&gt;=6.5,"Diabetes")</f>
        <v>Normal</v>
      </c>
    </row>
    <row r="1573" spans="1:10" x14ac:dyDescent="0.3">
      <c r="A1573" t="s">
        <v>799</v>
      </c>
      <c r="B1573" s="8">
        <v>29.355</v>
      </c>
      <c r="C1573">
        <v>4.33</v>
      </c>
      <c r="D1573" t="s">
        <v>2379</v>
      </c>
      <c r="E1573" t="s">
        <v>2379</v>
      </c>
      <c r="F1573" t="s">
        <v>2379</v>
      </c>
      <c r="G1573">
        <v>0</v>
      </c>
      <c r="H1573" t="s">
        <v>2379</v>
      </c>
      <c r="I1573" t="str" cm="1">
        <f t="array" ref="I1573">_xlfn.IFS(B1573&lt;18.5,"Underweight",AND(B1573&gt;=18.5,B1573&lt;=24.99),"Normalweight",AND(B1573&gt;=25,B1573&lt;=29.99),"Overweight",B1573&gt;=30,"Obesity")</f>
        <v>Overweight</v>
      </c>
      <c r="J1573" t="str" cm="1">
        <f t="array" ref="J1573">_xlfn.IFS(C1573&lt;5.7,"Normal",AND(C1573&gt;=5.7,C1573&lt;=6.49),"Prediabetes",C1573&gt;=6.5,"Diabetes")</f>
        <v>Normal</v>
      </c>
    </row>
    <row r="1574" spans="1:10" x14ac:dyDescent="0.3">
      <c r="A1574" t="s">
        <v>798</v>
      </c>
      <c r="B1574" s="8">
        <v>35.49</v>
      </c>
      <c r="C1574">
        <v>5.21</v>
      </c>
      <c r="D1574" t="s">
        <v>2381</v>
      </c>
      <c r="E1574" t="s">
        <v>2379</v>
      </c>
      <c r="F1574" t="s">
        <v>2381</v>
      </c>
      <c r="G1574">
        <v>1</v>
      </c>
      <c r="H1574" t="s">
        <v>2379</v>
      </c>
      <c r="I1574" t="str" cm="1">
        <f t="array" ref="I1574">_xlfn.IFS(B1574&lt;18.5,"Underweight",AND(B1574&gt;=18.5,B1574&lt;=24.99),"Normalweight",AND(B1574&gt;=25,B1574&lt;=29.99),"Overweight",B1574&gt;=30,"Obesity")</f>
        <v>Obesity</v>
      </c>
      <c r="J1574" t="str" cm="1">
        <f t="array" ref="J1574">_xlfn.IFS(C1574&lt;5.7,"Normal",AND(C1574&gt;=5.7,C1574&lt;=6.49),"Prediabetes",C1574&gt;=6.5,"Diabetes")</f>
        <v>Normal</v>
      </c>
    </row>
    <row r="1575" spans="1:10" x14ac:dyDescent="0.3">
      <c r="A1575" t="s">
        <v>797</v>
      </c>
      <c r="B1575" s="8">
        <v>26.315000000000001</v>
      </c>
      <c r="C1575">
        <v>5.89</v>
      </c>
      <c r="D1575" t="s">
        <v>2379</v>
      </c>
      <c r="E1575" t="s">
        <v>2379</v>
      </c>
      <c r="F1575" t="s">
        <v>2379</v>
      </c>
      <c r="G1575">
        <v>0</v>
      </c>
      <c r="H1575" t="s">
        <v>2379</v>
      </c>
      <c r="I1575" t="str" cm="1">
        <f t="array" ref="I1575">_xlfn.IFS(B1575&lt;18.5,"Underweight",AND(B1575&gt;=18.5,B1575&lt;=24.99),"Normalweight",AND(B1575&gt;=25,B1575&lt;=29.99),"Overweight",B1575&gt;=30,"Obesity")</f>
        <v>Overweight</v>
      </c>
      <c r="J1575" t="str" cm="1">
        <f t="array" ref="J1575">_xlfn.IFS(C1575&lt;5.7,"Normal",AND(C1575&gt;=5.7,C1575&lt;=6.49),"Prediabetes",C1575&gt;=6.5,"Diabetes")</f>
        <v>Prediabetes</v>
      </c>
    </row>
    <row r="1576" spans="1:10" x14ac:dyDescent="0.3">
      <c r="A1576" t="s">
        <v>796</v>
      </c>
      <c r="B1576" s="8">
        <v>19.79</v>
      </c>
      <c r="C1576">
        <v>4.8099999999999996</v>
      </c>
      <c r="D1576" t="s">
        <v>2381</v>
      </c>
      <c r="E1576" t="s">
        <v>2379</v>
      </c>
      <c r="F1576" t="s">
        <v>2379</v>
      </c>
      <c r="G1576">
        <v>0</v>
      </c>
      <c r="H1576" t="s">
        <v>2379</v>
      </c>
      <c r="I1576" t="str" cm="1">
        <f t="array" ref="I1576">_xlfn.IFS(B1576&lt;18.5,"Underweight",AND(B1576&gt;=18.5,B1576&lt;=24.99),"Normalweight",AND(B1576&gt;=25,B1576&lt;=29.99),"Overweight",B1576&gt;=30,"Obesity")</f>
        <v>Normalweight</v>
      </c>
      <c r="J1576" t="str" cm="1">
        <f t="array" ref="J1576">_xlfn.IFS(C1576&lt;5.7,"Normal",AND(C1576&gt;=5.7,C1576&lt;=6.49),"Prediabetes",C1576&gt;=6.5,"Diabetes")</f>
        <v>Normal</v>
      </c>
    </row>
    <row r="1577" spans="1:10" x14ac:dyDescent="0.3">
      <c r="A1577" t="s">
        <v>795</v>
      </c>
      <c r="B1577" s="8">
        <v>40.564999999999998</v>
      </c>
      <c r="C1577">
        <v>5.66</v>
      </c>
      <c r="D1577" t="s">
        <v>2379</v>
      </c>
      <c r="E1577" t="s">
        <v>2379</v>
      </c>
      <c r="F1577" t="s">
        <v>2379</v>
      </c>
      <c r="G1577">
        <v>1</v>
      </c>
      <c r="H1577" t="s">
        <v>2379</v>
      </c>
      <c r="I1577" t="str" cm="1">
        <f t="array" ref="I1577">_xlfn.IFS(B1577&lt;18.5,"Underweight",AND(B1577&gt;=18.5,B1577&lt;=24.99),"Normalweight",AND(B1577&gt;=25,B1577&lt;=29.99),"Overweight",B1577&gt;=30,"Obesity")</f>
        <v>Obesity</v>
      </c>
      <c r="J1577" t="str" cm="1">
        <f t="array" ref="J1577">_xlfn.IFS(C1577&lt;5.7,"Normal",AND(C1577&gt;=5.7,C1577&lt;=6.49),"Prediabetes",C1577&gt;=6.5,"Diabetes")</f>
        <v>Normal</v>
      </c>
    </row>
    <row r="1578" spans="1:10" x14ac:dyDescent="0.3">
      <c r="A1578" t="s">
        <v>794</v>
      </c>
      <c r="B1578" s="8">
        <v>18.03</v>
      </c>
      <c r="C1578">
        <v>10.66</v>
      </c>
      <c r="D1578" t="s">
        <v>2381</v>
      </c>
      <c r="E1578" t="s">
        <v>2379</v>
      </c>
      <c r="F1578" t="s">
        <v>2379</v>
      </c>
      <c r="G1578">
        <v>2</v>
      </c>
      <c r="H1578" t="s">
        <v>2379</v>
      </c>
      <c r="I1578" t="str" cm="1">
        <f t="array" ref="I1578">_xlfn.IFS(B1578&lt;18.5,"Underweight",AND(B1578&gt;=18.5,B1578&lt;=24.99),"Normalweight",AND(B1578&gt;=25,B1578&lt;=29.99),"Overweight",B1578&gt;=30,"Obesity")</f>
        <v>Underweight</v>
      </c>
      <c r="J1578" t="str" cm="1">
        <f t="array" ref="J1578">_xlfn.IFS(C1578&lt;5.7,"Normal",AND(C1578&gt;=5.7,C1578&lt;=6.49),"Prediabetes",C1578&gt;=6.5,"Diabetes")</f>
        <v>Diabetes</v>
      </c>
    </row>
    <row r="1579" spans="1:10" x14ac:dyDescent="0.3">
      <c r="A1579" t="s">
        <v>793</v>
      </c>
      <c r="B1579" s="8">
        <v>34.65</v>
      </c>
      <c r="C1579">
        <v>5.98</v>
      </c>
      <c r="D1579" t="s">
        <v>2381</v>
      </c>
      <c r="E1579" t="s">
        <v>2379</v>
      </c>
      <c r="F1579" t="s">
        <v>2379</v>
      </c>
      <c r="G1579">
        <v>0</v>
      </c>
      <c r="H1579" t="s">
        <v>2379</v>
      </c>
      <c r="I1579" t="str" cm="1">
        <f t="array" ref="I1579">_xlfn.IFS(B1579&lt;18.5,"Underweight",AND(B1579&gt;=18.5,B1579&lt;=24.99),"Normalweight",AND(B1579&gt;=25,B1579&lt;=29.99),"Overweight",B1579&gt;=30,"Obesity")</f>
        <v>Obesity</v>
      </c>
      <c r="J1579" t="str" cm="1">
        <f t="array" ref="J1579">_xlfn.IFS(C1579&lt;5.7,"Normal",AND(C1579&gt;=5.7,C1579&lt;=6.49),"Prediabetes",C1579&gt;=6.5,"Diabetes")</f>
        <v>Prediabetes</v>
      </c>
    </row>
    <row r="1580" spans="1:10" x14ac:dyDescent="0.3">
      <c r="A1580" t="s">
        <v>792</v>
      </c>
      <c r="B1580" s="8">
        <v>42.94</v>
      </c>
      <c r="C1580">
        <v>4.34</v>
      </c>
      <c r="D1580" t="s">
        <v>2379</v>
      </c>
      <c r="E1580" t="s">
        <v>2379</v>
      </c>
      <c r="F1580" t="s">
        <v>2379</v>
      </c>
      <c r="G1580">
        <v>0</v>
      </c>
      <c r="H1580" t="s">
        <v>2379</v>
      </c>
      <c r="I1580" t="str" cm="1">
        <f t="array" ref="I1580">_xlfn.IFS(B1580&lt;18.5,"Underweight",AND(B1580&gt;=18.5,B1580&lt;=24.99),"Normalweight",AND(B1580&gt;=25,B1580&lt;=29.99),"Overweight",B1580&gt;=30,"Obesity")</f>
        <v>Obesity</v>
      </c>
      <c r="J1580" t="str" cm="1">
        <f t="array" ref="J1580">_xlfn.IFS(C1580&lt;5.7,"Normal",AND(C1580&gt;=5.7,C1580&lt;=6.49),"Prediabetes",C1580&gt;=6.5,"Diabetes")</f>
        <v>Normal</v>
      </c>
    </row>
    <row r="1581" spans="1:10" x14ac:dyDescent="0.3">
      <c r="A1581" t="s">
        <v>791</v>
      </c>
      <c r="B1581" s="8">
        <v>31.254999999999999</v>
      </c>
      <c r="C1581">
        <v>5.17</v>
      </c>
      <c r="D1581" t="s">
        <v>2379</v>
      </c>
      <c r="E1581" t="s">
        <v>2379</v>
      </c>
      <c r="F1581" t="s">
        <v>2379</v>
      </c>
      <c r="G1581">
        <v>0</v>
      </c>
      <c r="H1581" t="s">
        <v>2379</v>
      </c>
      <c r="I1581" t="str" cm="1">
        <f t="array" ref="I1581">_xlfn.IFS(B1581&lt;18.5,"Underweight",AND(B1581&gt;=18.5,B1581&lt;=24.99),"Normalweight",AND(B1581&gt;=25,B1581&lt;=29.99),"Overweight",B1581&gt;=30,"Obesity")</f>
        <v>Obesity</v>
      </c>
      <c r="J1581" t="str" cm="1">
        <f t="array" ref="J1581">_xlfn.IFS(C1581&lt;5.7,"Normal",AND(C1581&gt;=5.7,C1581&lt;=6.49),"Prediabetes",C1581&gt;=6.5,"Diabetes")</f>
        <v>Normal</v>
      </c>
    </row>
    <row r="1582" spans="1:10" x14ac:dyDescent="0.3">
      <c r="A1582" t="s">
        <v>790</v>
      </c>
      <c r="B1582" s="8">
        <v>45.43</v>
      </c>
      <c r="C1582">
        <v>4.2300000000000004</v>
      </c>
      <c r="D1582" t="s">
        <v>2381</v>
      </c>
      <c r="E1582" t="s">
        <v>2379</v>
      </c>
      <c r="F1582" t="s">
        <v>2381</v>
      </c>
      <c r="G1582">
        <v>1</v>
      </c>
      <c r="H1582" t="s">
        <v>2379</v>
      </c>
      <c r="I1582" t="str" cm="1">
        <f t="array" ref="I1582">_xlfn.IFS(B1582&lt;18.5,"Underweight",AND(B1582&gt;=18.5,B1582&lt;=24.99),"Normalweight",AND(B1582&gt;=25,B1582&lt;=29.99),"Overweight",B1582&gt;=30,"Obesity")</f>
        <v>Obesity</v>
      </c>
      <c r="J1582" t="str" cm="1">
        <f t="array" ref="J1582">_xlfn.IFS(C1582&lt;5.7,"Normal",AND(C1582&gt;=5.7,C1582&lt;=6.49),"Prediabetes",C1582&gt;=6.5,"Diabetes")</f>
        <v>Normal</v>
      </c>
    </row>
    <row r="1583" spans="1:10" x14ac:dyDescent="0.3">
      <c r="A1583" t="s">
        <v>789</v>
      </c>
      <c r="B1583" s="8">
        <v>32.340000000000003</v>
      </c>
      <c r="C1583">
        <v>4.88</v>
      </c>
      <c r="D1583" t="s">
        <v>2381</v>
      </c>
      <c r="E1583" t="s">
        <v>2379</v>
      </c>
      <c r="F1583" t="s">
        <v>2381</v>
      </c>
      <c r="G1583">
        <v>1</v>
      </c>
      <c r="H1583" t="s">
        <v>2379</v>
      </c>
      <c r="I1583" t="str" cm="1">
        <f t="array" ref="I1583">_xlfn.IFS(B1583&lt;18.5,"Underweight",AND(B1583&gt;=18.5,B1583&lt;=24.99),"Normalweight",AND(B1583&gt;=25,B1583&lt;=29.99),"Overweight",B1583&gt;=30,"Obesity")</f>
        <v>Obesity</v>
      </c>
      <c r="J1583" t="str" cm="1">
        <f t="array" ref="J1583">_xlfn.IFS(C1583&lt;5.7,"Normal",AND(C1583&gt;=5.7,C1583&lt;=6.49),"Prediabetes",C1583&gt;=6.5,"Diabetes")</f>
        <v>Normal</v>
      </c>
    </row>
    <row r="1584" spans="1:10" x14ac:dyDescent="0.3">
      <c r="A1584" t="s">
        <v>788</v>
      </c>
      <c r="B1584" s="8">
        <v>25.46</v>
      </c>
      <c r="C1584">
        <v>9.7100000000000009</v>
      </c>
      <c r="D1584" t="s">
        <v>2381</v>
      </c>
      <c r="E1584" t="s">
        <v>2379</v>
      </c>
      <c r="F1584" t="s">
        <v>2379</v>
      </c>
      <c r="G1584">
        <v>1</v>
      </c>
      <c r="H1584" t="s">
        <v>2379</v>
      </c>
      <c r="I1584" t="str" cm="1">
        <f t="array" ref="I1584">_xlfn.IFS(B1584&lt;18.5,"Underweight",AND(B1584&gt;=18.5,B1584&lt;=24.99),"Normalweight",AND(B1584&gt;=25,B1584&lt;=29.99),"Overweight",B1584&gt;=30,"Obesity")</f>
        <v>Overweight</v>
      </c>
      <c r="J1584" t="str" cm="1">
        <f t="array" ref="J1584">_xlfn.IFS(C1584&lt;5.7,"Normal",AND(C1584&gt;=5.7,C1584&lt;=6.49),"Prediabetes",C1584&gt;=6.5,"Diabetes")</f>
        <v>Diabetes</v>
      </c>
    </row>
    <row r="1585" spans="1:10" x14ac:dyDescent="0.3">
      <c r="A1585" t="s">
        <v>787</v>
      </c>
      <c r="B1585" s="8">
        <v>37.145000000000003</v>
      </c>
      <c r="C1585">
        <v>5.32</v>
      </c>
      <c r="D1585" t="s">
        <v>2379</v>
      </c>
      <c r="E1585" t="s">
        <v>2379</v>
      </c>
      <c r="F1585" t="s">
        <v>2379</v>
      </c>
      <c r="G1585">
        <v>0</v>
      </c>
      <c r="H1585" t="s">
        <v>2379</v>
      </c>
      <c r="I1585" t="str" cm="1">
        <f t="array" ref="I1585">_xlfn.IFS(B1585&lt;18.5,"Underweight",AND(B1585&gt;=18.5,B1585&lt;=24.99),"Normalweight",AND(B1585&gt;=25,B1585&lt;=29.99),"Overweight",B1585&gt;=30,"Obesity")</f>
        <v>Obesity</v>
      </c>
      <c r="J1585" t="str" cm="1">
        <f t="array" ref="J1585">_xlfn.IFS(C1585&lt;5.7,"Normal",AND(C1585&gt;=5.7,C1585&lt;=6.49),"Prediabetes",C1585&gt;=6.5,"Diabetes")</f>
        <v>Normal</v>
      </c>
    </row>
    <row r="1586" spans="1:10" x14ac:dyDescent="0.3">
      <c r="A1586" t="s">
        <v>786</v>
      </c>
      <c r="B1586" s="8">
        <v>30.8</v>
      </c>
      <c r="C1586">
        <v>5.83</v>
      </c>
      <c r="D1586" t="s">
        <v>2381</v>
      </c>
      <c r="E1586" t="s">
        <v>2379</v>
      </c>
      <c r="F1586" t="s">
        <v>2379</v>
      </c>
      <c r="G1586">
        <v>0</v>
      </c>
      <c r="H1586" t="s">
        <v>2379</v>
      </c>
      <c r="I1586" t="str" cm="1">
        <f t="array" ref="I1586">_xlfn.IFS(B1586&lt;18.5,"Underweight",AND(B1586&gt;=18.5,B1586&lt;=24.99),"Normalweight",AND(B1586&gt;=25,B1586&lt;=29.99),"Overweight",B1586&gt;=30,"Obesity")</f>
        <v>Obesity</v>
      </c>
      <c r="J1586" t="str" cm="1">
        <f t="array" ref="J1586">_xlfn.IFS(C1586&lt;5.7,"Normal",AND(C1586&gt;=5.7,C1586&lt;=6.49),"Prediabetes",C1586&gt;=6.5,"Diabetes")</f>
        <v>Prediabetes</v>
      </c>
    </row>
    <row r="1587" spans="1:10" x14ac:dyDescent="0.3">
      <c r="A1587" t="s">
        <v>785</v>
      </c>
      <c r="B1587" s="8">
        <v>29.5</v>
      </c>
      <c r="C1587">
        <v>5.54</v>
      </c>
      <c r="D1587" t="s">
        <v>2381</v>
      </c>
      <c r="E1587" t="s">
        <v>2379</v>
      </c>
      <c r="F1587" t="s">
        <v>2379</v>
      </c>
      <c r="G1587">
        <v>0</v>
      </c>
      <c r="H1587" t="s">
        <v>2379</v>
      </c>
      <c r="I1587" t="str" cm="1">
        <f t="array" ref="I1587">_xlfn.IFS(B1587&lt;18.5,"Underweight",AND(B1587&gt;=18.5,B1587&lt;=24.99),"Normalweight",AND(B1587&gt;=25,B1587&lt;=29.99),"Overweight",B1587&gt;=30,"Obesity")</f>
        <v>Overweight</v>
      </c>
      <c r="J1587" t="str" cm="1">
        <f t="array" ref="J1587">_xlfn.IFS(C1587&lt;5.7,"Normal",AND(C1587&gt;=5.7,C1587&lt;=6.49),"Prediabetes",C1587&gt;=6.5,"Diabetes")</f>
        <v>Normal</v>
      </c>
    </row>
    <row r="1588" spans="1:10" x14ac:dyDescent="0.3">
      <c r="A1588" t="s">
        <v>784</v>
      </c>
      <c r="B1588" s="8">
        <v>43.39</v>
      </c>
      <c r="C1588">
        <v>5.85</v>
      </c>
      <c r="D1588" t="s">
        <v>2379</v>
      </c>
      <c r="E1588" t="s">
        <v>2380</v>
      </c>
      <c r="F1588" t="s">
        <v>2379</v>
      </c>
      <c r="G1588">
        <v>1</v>
      </c>
      <c r="H1588" t="s">
        <v>2379</v>
      </c>
      <c r="I1588" t="str" cm="1">
        <f t="array" ref="I1588">_xlfn.IFS(B1588&lt;18.5,"Underweight",AND(B1588&gt;=18.5,B1588&lt;=24.99),"Normalweight",AND(B1588&gt;=25,B1588&lt;=29.99),"Overweight",B1588&gt;=30,"Obesity")</f>
        <v>Obesity</v>
      </c>
      <c r="J1588" t="str" cm="1">
        <f t="array" ref="J1588">_xlfn.IFS(C1588&lt;5.7,"Normal",AND(C1588&gt;=5.7,C1588&lt;=6.49),"Prediabetes",C1588&gt;=6.5,"Diabetes")</f>
        <v>Prediabetes</v>
      </c>
    </row>
    <row r="1589" spans="1:10" x14ac:dyDescent="0.3">
      <c r="A1589" t="s">
        <v>783</v>
      </c>
      <c r="B1589" s="8">
        <v>15.08</v>
      </c>
      <c r="C1589">
        <v>4.8499999999999996</v>
      </c>
      <c r="D1589" t="s">
        <v>2381</v>
      </c>
      <c r="E1589" t="s">
        <v>2379</v>
      </c>
      <c r="F1589" t="s">
        <v>2381</v>
      </c>
      <c r="G1589">
        <v>1</v>
      </c>
      <c r="H1589" t="s">
        <v>2379</v>
      </c>
      <c r="I1589" t="str" cm="1">
        <f t="array" ref="I1589">_xlfn.IFS(B1589&lt;18.5,"Underweight",AND(B1589&gt;=18.5,B1589&lt;=24.99),"Normalweight",AND(B1589&gt;=25,B1589&lt;=29.99),"Overweight",B1589&gt;=30,"Obesity")</f>
        <v>Underweight</v>
      </c>
      <c r="J1589" t="str" cm="1">
        <f t="array" ref="J1589">_xlfn.IFS(C1589&lt;5.7,"Normal",AND(C1589&gt;=5.7,C1589&lt;=6.49),"Prediabetes",C1589&gt;=6.5,"Diabetes")</f>
        <v>Normal</v>
      </c>
    </row>
    <row r="1590" spans="1:10" x14ac:dyDescent="0.3">
      <c r="A1590" t="s">
        <v>782</v>
      </c>
      <c r="B1590" s="8">
        <v>20.48</v>
      </c>
      <c r="C1590">
        <v>11.09</v>
      </c>
      <c r="D1590" t="s">
        <v>2379</v>
      </c>
      <c r="E1590" t="s">
        <v>2379</v>
      </c>
      <c r="F1590" t="s">
        <v>2379</v>
      </c>
      <c r="G1590">
        <v>0</v>
      </c>
      <c r="H1590" t="s">
        <v>2379</v>
      </c>
      <c r="I1590" t="str" cm="1">
        <f t="array" ref="I1590">_xlfn.IFS(B1590&lt;18.5,"Underweight",AND(B1590&gt;=18.5,B1590&lt;=24.99),"Normalweight",AND(B1590&gt;=25,B1590&lt;=29.99),"Overweight",B1590&gt;=30,"Obesity")</f>
        <v>Normalweight</v>
      </c>
      <c r="J1590" t="str" cm="1">
        <f t="array" ref="J1590">_xlfn.IFS(C1590&lt;5.7,"Normal",AND(C1590&gt;=5.7,C1590&lt;=6.49),"Prediabetes",C1590&gt;=6.5,"Diabetes")</f>
        <v>Diabetes</v>
      </c>
    </row>
    <row r="1591" spans="1:10" x14ac:dyDescent="0.3">
      <c r="A1591" t="s">
        <v>781</v>
      </c>
      <c r="B1591" s="8">
        <v>34.450000000000003</v>
      </c>
      <c r="C1591">
        <v>5.58</v>
      </c>
      <c r="D1591" t="s">
        <v>2381</v>
      </c>
      <c r="E1591" t="s">
        <v>2379</v>
      </c>
      <c r="F1591" t="s">
        <v>2379</v>
      </c>
      <c r="G1591">
        <v>0</v>
      </c>
      <c r="H1591" t="s">
        <v>2379</v>
      </c>
      <c r="I1591" t="str" cm="1">
        <f t="array" ref="I1591">_xlfn.IFS(B1591&lt;18.5,"Underweight",AND(B1591&gt;=18.5,B1591&lt;=24.99),"Normalweight",AND(B1591&gt;=25,B1591&lt;=29.99),"Overweight",B1591&gt;=30,"Obesity")</f>
        <v>Obesity</v>
      </c>
      <c r="J1591" t="str" cm="1">
        <f t="array" ref="J1591">_xlfn.IFS(C1591&lt;5.7,"Normal",AND(C1591&gt;=5.7,C1591&lt;=6.49),"Prediabetes",C1591&gt;=6.5,"Diabetes")</f>
        <v>Normal</v>
      </c>
    </row>
    <row r="1592" spans="1:10" x14ac:dyDescent="0.3">
      <c r="A1592" t="s">
        <v>780</v>
      </c>
      <c r="B1592" s="8">
        <v>34.21</v>
      </c>
      <c r="C1592">
        <v>9.7200000000000006</v>
      </c>
      <c r="D1592" t="s">
        <v>2381</v>
      </c>
      <c r="E1592" t="s">
        <v>2379</v>
      </c>
      <c r="F1592" t="s">
        <v>2379</v>
      </c>
      <c r="G1592">
        <v>0</v>
      </c>
      <c r="H1592" t="s">
        <v>2379</v>
      </c>
      <c r="I1592" t="str" cm="1">
        <f t="array" ref="I1592">_xlfn.IFS(B1592&lt;18.5,"Underweight",AND(B1592&gt;=18.5,B1592&lt;=24.99),"Normalweight",AND(B1592&gt;=25,B1592&lt;=29.99),"Overweight",B1592&gt;=30,"Obesity")</f>
        <v>Obesity</v>
      </c>
      <c r="J1592" t="str" cm="1">
        <f t="array" ref="J1592">_xlfn.IFS(C1592&lt;5.7,"Normal",AND(C1592&gt;=5.7,C1592&lt;=6.49),"Prediabetes",C1592&gt;=6.5,"Diabetes")</f>
        <v>Diabetes</v>
      </c>
    </row>
    <row r="1593" spans="1:10" x14ac:dyDescent="0.3">
      <c r="A1593" t="s">
        <v>779</v>
      </c>
      <c r="B1593" s="8">
        <v>28.8</v>
      </c>
      <c r="C1593">
        <v>11.41</v>
      </c>
      <c r="D1593" t="s">
        <v>2381</v>
      </c>
      <c r="E1593" t="s">
        <v>2379</v>
      </c>
      <c r="F1593" t="s">
        <v>2379</v>
      </c>
      <c r="G1593">
        <v>0</v>
      </c>
      <c r="H1593" t="s">
        <v>2379</v>
      </c>
      <c r="I1593" t="str" cm="1">
        <f t="array" ref="I1593">_xlfn.IFS(B1593&lt;18.5,"Underweight",AND(B1593&gt;=18.5,B1593&lt;=24.99),"Normalweight",AND(B1593&gt;=25,B1593&lt;=29.99),"Overweight",B1593&gt;=30,"Obesity")</f>
        <v>Overweight</v>
      </c>
      <c r="J1593" t="str" cm="1">
        <f t="array" ref="J1593">_xlfn.IFS(C1593&lt;5.7,"Normal",AND(C1593&gt;=5.7,C1593&lt;=6.49),"Prediabetes",C1593&gt;=6.5,"Diabetes")</f>
        <v>Diabetes</v>
      </c>
    </row>
    <row r="1594" spans="1:10" x14ac:dyDescent="0.3">
      <c r="A1594" t="s">
        <v>778</v>
      </c>
      <c r="B1594" s="8">
        <v>31.74</v>
      </c>
      <c r="C1594">
        <v>4.46</v>
      </c>
      <c r="D1594" t="s">
        <v>2379</v>
      </c>
      <c r="E1594" t="s">
        <v>2379</v>
      </c>
      <c r="F1594" t="s">
        <v>2381</v>
      </c>
      <c r="G1594">
        <v>1</v>
      </c>
      <c r="H1594" t="s">
        <v>2379</v>
      </c>
      <c r="I1594" t="str" cm="1">
        <f t="array" ref="I1594">_xlfn.IFS(B1594&lt;18.5,"Underweight",AND(B1594&gt;=18.5,B1594&lt;=24.99),"Normalweight",AND(B1594&gt;=25,B1594&lt;=29.99),"Overweight",B1594&gt;=30,"Obesity")</f>
        <v>Obesity</v>
      </c>
      <c r="J1594" t="str" cm="1">
        <f t="array" ref="J1594">_xlfn.IFS(C1594&lt;5.7,"Normal",AND(C1594&gt;=5.7,C1594&lt;=6.49),"Prediabetes",C1594&gt;=6.5,"Diabetes")</f>
        <v>Normal</v>
      </c>
    </row>
    <row r="1595" spans="1:10" x14ac:dyDescent="0.3">
      <c r="A1595" t="s">
        <v>777</v>
      </c>
      <c r="B1595" s="8">
        <v>21.78</v>
      </c>
      <c r="C1595">
        <v>9.31</v>
      </c>
      <c r="D1595" t="s">
        <v>2381</v>
      </c>
      <c r="E1595" t="s">
        <v>2379</v>
      </c>
      <c r="F1595" t="s">
        <v>2379</v>
      </c>
      <c r="G1595">
        <v>0</v>
      </c>
      <c r="H1595" t="s">
        <v>2379</v>
      </c>
      <c r="I1595" t="str" cm="1">
        <f t="array" ref="I1595">_xlfn.IFS(B1595&lt;18.5,"Underweight",AND(B1595&gt;=18.5,B1595&lt;=24.99),"Normalweight",AND(B1595&gt;=25,B1595&lt;=29.99),"Overweight",B1595&gt;=30,"Obesity")</f>
        <v>Normalweight</v>
      </c>
      <c r="J1595" t="str" cm="1">
        <f t="array" ref="J1595">_xlfn.IFS(C1595&lt;5.7,"Normal",AND(C1595&gt;=5.7,C1595&lt;=6.49),"Prediabetes",C1595&gt;=6.5,"Diabetes")</f>
        <v>Diabetes</v>
      </c>
    </row>
    <row r="1596" spans="1:10" x14ac:dyDescent="0.3">
      <c r="A1596" t="s">
        <v>776</v>
      </c>
      <c r="B1596" s="8">
        <v>23.75</v>
      </c>
      <c r="C1596">
        <v>5.03</v>
      </c>
      <c r="D1596" t="s">
        <v>2379</v>
      </c>
      <c r="E1596" t="s">
        <v>2379</v>
      </c>
      <c r="F1596" t="s">
        <v>2379</v>
      </c>
      <c r="G1596">
        <v>1</v>
      </c>
      <c r="H1596" t="s">
        <v>2379</v>
      </c>
      <c r="I1596" t="str" cm="1">
        <f t="array" ref="I1596">_xlfn.IFS(B1596&lt;18.5,"Underweight",AND(B1596&gt;=18.5,B1596&lt;=24.99),"Normalweight",AND(B1596&gt;=25,B1596&lt;=29.99),"Overweight",B1596&gt;=30,"Obesity")</f>
        <v>Normalweight</v>
      </c>
      <c r="J1596" t="str" cm="1">
        <f t="array" ref="J1596">_xlfn.IFS(C1596&lt;5.7,"Normal",AND(C1596&gt;=5.7,C1596&lt;=6.49),"Prediabetes",C1596&gt;=6.5,"Diabetes")</f>
        <v>Normal</v>
      </c>
    </row>
    <row r="1597" spans="1:10" x14ac:dyDescent="0.3">
      <c r="A1597" t="s">
        <v>775</v>
      </c>
      <c r="B1597" s="8">
        <v>33.21</v>
      </c>
      <c r="C1597">
        <v>5.07</v>
      </c>
      <c r="D1597" t="s">
        <v>2381</v>
      </c>
      <c r="E1597" t="s">
        <v>2379</v>
      </c>
      <c r="F1597" t="s">
        <v>2379</v>
      </c>
      <c r="G1597">
        <v>1</v>
      </c>
      <c r="H1597" t="s">
        <v>2379</v>
      </c>
      <c r="I1597" t="str" cm="1">
        <f t="array" ref="I1597">_xlfn.IFS(B1597&lt;18.5,"Underweight",AND(B1597&gt;=18.5,B1597&lt;=24.99),"Normalweight",AND(B1597&gt;=25,B1597&lt;=29.99),"Overweight",B1597&gt;=30,"Obesity")</f>
        <v>Obesity</v>
      </c>
      <c r="J1597" t="str" cm="1">
        <f t="array" ref="J1597">_xlfn.IFS(C1597&lt;5.7,"Normal",AND(C1597&gt;=5.7,C1597&lt;=6.49),"Prediabetes",C1597&gt;=6.5,"Diabetes")</f>
        <v>Normal</v>
      </c>
    </row>
    <row r="1598" spans="1:10" x14ac:dyDescent="0.3">
      <c r="A1598" t="s">
        <v>774</v>
      </c>
      <c r="B1598" s="8">
        <v>17.7</v>
      </c>
      <c r="C1598">
        <v>10.42</v>
      </c>
      <c r="D1598" t="s">
        <v>2381</v>
      </c>
      <c r="E1598" t="s">
        <v>2379</v>
      </c>
      <c r="F1598" t="s">
        <v>2379</v>
      </c>
      <c r="G1598">
        <v>2</v>
      </c>
      <c r="H1598" t="s">
        <v>2379</v>
      </c>
      <c r="I1598" t="str" cm="1">
        <f t="array" ref="I1598">_xlfn.IFS(B1598&lt;18.5,"Underweight",AND(B1598&gt;=18.5,B1598&lt;=24.99),"Normalweight",AND(B1598&gt;=25,B1598&lt;=29.99),"Overweight",B1598&gt;=30,"Obesity")</f>
        <v>Underweight</v>
      </c>
      <c r="J1598" t="str" cm="1">
        <f t="array" ref="J1598">_xlfn.IFS(C1598&lt;5.7,"Normal",AND(C1598&gt;=5.7,C1598&lt;=6.49),"Prediabetes",C1598&gt;=6.5,"Diabetes")</f>
        <v>Diabetes</v>
      </c>
    </row>
    <row r="1599" spans="1:10" x14ac:dyDescent="0.3">
      <c r="A1599" t="s">
        <v>773</v>
      </c>
      <c r="B1599" s="8">
        <v>17.2</v>
      </c>
      <c r="C1599">
        <v>6.45</v>
      </c>
      <c r="D1599" t="s">
        <v>2379</v>
      </c>
      <c r="E1599" t="s">
        <v>2379</v>
      </c>
      <c r="F1599" t="s">
        <v>2379</v>
      </c>
      <c r="G1599">
        <v>2</v>
      </c>
      <c r="H1599" t="s">
        <v>2379</v>
      </c>
      <c r="I1599" t="str" cm="1">
        <f t="array" ref="I1599">_xlfn.IFS(B1599&lt;18.5,"Underweight",AND(B1599&gt;=18.5,B1599&lt;=24.99),"Normalweight",AND(B1599&gt;=25,B1599&lt;=29.99),"Overweight",B1599&gt;=30,"Obesity")</f>
        <v>Underweight</v>
      </c>
      <c r="J1599" t="str" cm="1">
        <f t="array" ref="J1599">_xlfn.IFS(C1599&lt;5.7,"Normal",AND(C1599&gt;=5.7,C1599&lt;=6.49),"Prediabetes",C1599&gt;=6.5,"Diabetes")</f>
        <v>Prediabetes</v>
      </c>
    </row>
    <row r="1600" spans="1:10" x14ac:dyDescent="0.3">
      <c r="A1600" t="s">
        <v>772</v>
      </c>
      <c r="B1600" s="8">
        <v>19.21</v>
      </c>
      <c r="C1600">
        <v>5.52</v>
      </c>
      <c r="D1600" t="s">
        <v>2379</v>
      </c>
      <c r="E1600" t="s">
        <v>2379</v>
      </c>
      <c r="F1600" t="s">
        <v>2379</v>
      </c>
      <c r="G1600">
        <v>2</v>
      </c>
      <c r="H1600" t="s">
        <v>2379</v>
      </c>
      <c r="I1600" t="str" cm="1">
        <f t="array" ref="I1600">_xlfn.IFS(B1600&lt;18.5,"Underweight",AND(B1600&gt;=18.5,B1600&lt;=24.99),"Normalweight",AND(B1600&gt;=25,B1600&lt;=29.99),"Overweight",B1600&gt;=30,"Obesity")</f>
        <v>Normalweight</v>
      </c>
      <c r="J1600" t="str" cm="1">
        <f t="array" ref="J1600">_xlfn.IFS(C1600&lt;5.7,"Normal",AND(C1600&gt;=5.7,C1600&lt;=6.49),"Prediabetes",C1600&gt;=6.5,"Diabetes")</f>
        <v>Normal</v>
      </c>
    </row>
    <row r="1601" spans="1:10" x14ac:dyDescent="0.3">
      <c r="A1601" t="s">
        <v>771</v>
      </c>
      <c r="B1601" s="8">
        <v>23.2</v>
      </c>
      <c r="C1601">
        <v>4.41</v>
      </c>
      <c r="D1601" t="s">
        <v>2379</v>
      </c>
      <c r="E1601" t="s">
        <v>2379</v>
      </c>
      <c r="F1601" t="s">
        <v>2381</v>
      </c>
      <c r="G1601">
        <v>1</v>
      </c>
      <c r="H1601" t="s">
        <v>2379</v>
      </c>
      <c r="I1601" t="str" cm="1">
        <f t="array" ref="I1601">_xlfn.IFS(B1601&lt;18.5,"Underweight",AND(B1601&gt;=18.5,B1601&lt;=24.99),"Normalweight",AND(B1601&gt;=25,B1601&lt;=29.99),"Overweight",B1601&gt;=30,"Obesity")</f>
        <v>Normalweight</v>
      </c>
      <c r="J1601" t="str" cm="1">
        <f t="array" ref="J1601">_xlfn.IFS(C1601&lt;5.7,"Normal",AND(C1601&gt;=5.7,C1601&lt;=6.49),"Prediabetes",C1601&gt;=6.5,"Diabetes")</f>
        <v>Normal</v>
      </c>
    </row>
    <row r="1602" spans="1:10" x14ac:dyDescent="0.3">
      <c r="A1602" t="s">
        <v>770</v>
      </c>
      <c r="B1602" s="8">
        <v>32.5</v>
      </c>
      <c r="C1602">
        <v>4.6900000000000004</v>
      </c>
      <c r="D1602" t="s">
        <v>2381</v>
      </c>
      <c r="E1602" t="s">
        <v>2379</v>
      </c>
      <c r="F1602" t="s">
        <v>2381</v>
      </c>
      <c r="G1602">
        <v>1</v>
      </c>
      <c r="H1602" t="s">
        <v>2379</v>
      </c>
      <c r="I1602" t="str" cm="1">
        <f t="array" ref="I1602">_xlfn.IFS(B1602&lt;18.5,"Underweight",AND(B1602&gt;=18.5,B1602&lt;=24.99),"Normalweight",AND(B1602&gt;=25,B1602&lt;=29.99),"Overweight",B1602&gt;=30,"Obesity")</f>
        <v>Obesity</v>
      </c>
      <c r="J1602" t="str" cm="1">
        <f t="array" ref="J1602">_xlfn.IFS(C1602&lt;5.7,"Normal",AND(C1602&gt;=5.7,C1602&lt;=6.49),"Prediabetes",C1602&gt;=6.5,"Diabetes")</f>
        <v>Normal</v>
      </c>
    </row>
    <row r="1603" spans="1:10" x14ac:dyDescent="0.3">
      <c r="A1603" t="s">
        <v>769</v>
      </c>
      <c r="B1603" s="8">
        <v>20.9</v>
      </c>
      <c r="C1603">
        <v>6.94</v>
      </c>
      <c r="D1603" t="s">
        <v>2379</v>
      </c>
      <c r="E1603" t="s">
        <v>2379</v>
      </c>
      <c r="F1603" t="s">
        <v>2379</v>
      </c>
      <c r="G1603">
        <v>0</v>
      </c>
      <c r="H1603" t="s">
        <v>2379</v>
      </c>
      <c r="I1603" t="str" cm="1">
        <f t="array" ref="I1603">_xlfn.IFS(B1603&lt;18.5,"Underweight",AND(B1603&gt;=18.5,B1603&lt;=24.99),"Normalweight",AND(B1603&gt;=25,B1603&lt;=29.99),"Overweight",B1603&gt;=30,"Obesity")</f>
        <v>Normalweight</v>
      </c>
      <c r="J1603" t="str" cm="1">
        <f t="array" ref="J1603">_xlfn.IFS(C1603&lt;5.7,"Normal",AND(C1603&gt;=5.7,C1603&lt;=6.49),"Prediabetes",C1603&gt;=6.5,"Diabetes")</f>
        <v>Diabetes</v>
      </c>
    </row>
    <row r="1604" spans="1:10" x14ac:dyDescent="0.3">
      <c r="A1604" t="s">
        <v>768</v>
      </c>
      <c r="B1604" s="8">
        <v>19.11</v>
      </c>
      <c r="C1604">
        <v>4.3499999999999996</v>
      </c>
      <c r="D1604" t="s">
        <v>2379</v>
      </c>
      <c r="E1604" t="s">
        <v>2379</v>
      </c>
      <c r="F1604" t="s">
        <v>2379</v>
      </c>
      <c r="G1604">
        <v>2</v>
      </c>
      <c r="H1604" t="s">
        <v>2379</v>
      </c>
      <c r="I1604" t="str" cm="1">
        <f t="array" ref="I1604">_xlfn.IFS(B1604&lt;18.5,"Underweight",AND(B1604&gt;=18.5,B1604&lt;=24.99),"Normalweight",AND(B1604&gt;=25,B1604&lt;=29.99),"Overweight",B1604&gt;=30,"Obesity")</f>
        <v>Normalweight</v>
      </c>
      <c r="J1604" t="str" cm="1">
        <f t="array" ref="J1604">_xlfn.IFS(C1604&lt;5.7,"Normal",AND(C1604&gt;=5.7,C1604&lt;=6.49),"Prediabetes",C1604&gt;=6.5,"Diabetes")</f>
        <v>Normal</v>
      </c>
    </row>
    <row r="1605" spans="1:10" x14ac:dyDescent="0.3">
      <c r="A1605" t="s">
        <v>767</v>
      </c>
      <c r="B1605" s="8">
        <v>31.17</v>
      </c>
      <c r="C1605">
        <v>5.28</v>
      </c>
      <c r="D1605" t="s">
        <v>2379</v>
      </c>
      <c r="E1605" t="s">
        <v>2379</v>
      </c>
      <c r="F1605" t="s">
        <v>2379</v>
      </c>
      <c r="G1605">
        <v>1</v>
      </c>
      <c r="H1605" t="s">
        <v>2379</v>
      </c>
      <c r="I1605" t="str" cm="1">
        <f t="array" ref="I1605">_xlfn.IFS(B1605&lt;18.5,"Underweight",AND(B1605&gt;=18.5,B1605&lt;=24.99),"Normalweight",AND(B1605&gt;=25,B1605&lt;=29.99),"Overweight",B1605&gt;=30,"Obesity")</f>
        <v>Obesity</v>
      </c>
      <c r="J1605" t="str" cm="1">
        <f t="array" ref="J1605">_xlfn.IFS(C1605&lt;5.7,"Normal",AND(C1605&gt;=5.7,C1605&lt;=6.49),"Prediabetes",C1605&gt;=6.5,"Diabetes")</f>
        <v>Normal</v>
      </c>
    </row>
    <row r="1606" spans="1:10" x14ac:dyDescent="0.3">
      <c r="A1606" t="s">
        <v>766</v>
      </c>
      <c r="B1606" s="8">
        <v>36.08</v>
      </c>
      <c r="C1606">
        <v>4.29</v>
      </c>
      <c r="D1606" t="s">
        <v>2379</v>
      </c>
      <c r="E1606" t="s">
        <v>2379</v>
      </c>
      <c r="F1606" t="s">
        <v>2379</v>
      </c>
      <c r="G1606">
        <v>0</v>
      </c>
      <c r="H1606" t="s">
        <v>2379</v>
      </c>
      <c r="I1606" t="str" cm="1">
        <f t="array" ref="I1606">_xlfn.IFS(B1606&lt;18.5,"Underweight",AND(B1606&gt;=18.5,B1606&lt;=24.99),"Normalweight",AND(B1606&gt;=25,B1606&lt;=29.99),"Overweight",B1606&gt;=30,"Obesity")</f>
        <v>Obesity</v>
      </c>
      <c r="J1606" t="str" cm="1">
        <f t="array" ref="J1606">_xlfn.IFS(C1606&lt;5.7,"Normal",AND(C1606&gt;=5.7,C1606&lt;=6.49),"Prediabetes",C1606&gt;=6.5,"Diabetes")</f>
        <v>Normal</v>
      </c>
    </row>
    <row r="1607" spans="1:10" x14ac:dyDescent="0.3">
      <c r="A1607" t="s">
        <v>765</v>
      </c>
      <c r="B1607" s="8">
        <v>28.024999999999999</v>
      </c>
      <c r="C1607">
        <v>5.69</v>
      </c>
      <c r="D1607" t="s">
        <v>2381</v>
      </c>
      <c r="E1607" t="s">
        <v>2379</v>
      </c>
      <c r="F1607" t="s">
        <v>2379</v>
      </c>
      <c r="G1607">
        <v>0</v>
      </c>
      <c r="H1607" t="s">
        <v>2379</v>
      </c>
      <c r="I1607" t="str" cm="1">
        <f t="array" ref="I1607">_xlfn.IFS(B1607&lt;18.5,"Underweight",AND(B1607&gt;=18.5,B1607&lt;=24.99),"Normalweight",AND(B1607&gt;=25,B1607&lt;=29.99),"Overweight",B1607&gt;=30,"Obesity")</f>
        <v>Overweight</v>
      </c>
      <c r="J1607" t="str" cm="1">
        <f t="array" ref="J1607">_xlfn.IFS(C1607&lt;5.7,"Normal",AND(C1607&gt;=5.7,C1607&lt;=6.49),"Prediabetes",C1607&gt;=6.5,"Diabetes")</f>
        <v>Normal</v>
      </c>
    </row>
    <row r="1608" spans="1:10" x14ac:dyDescent="0.3">
      <c r="A1608" t="s">
        <v>764</v>
      </c>
      <c r="B1608" s="8">
        <v>24.32</v>
      </c>
      <c r="C1608">
        <v>5.56</v>
      </c>
      <c r="D1608" t="s">
        <v>2381</v>
      </c>
      <c r="E1608" t="s">
        <v>2379</v>
      </c>
      <c r="F1608" t="s">
        <v>2379</v>
      </c>
      <c r="G1608">
        <v>0</v>
      </c>
      <c r="H1608" t="s">
        <v>2379</v>
      </c>
      <c r="I1608" t="str" cm="1">
        <f t="array" ref="I1608">_xlfn.IFS(B1608&lt;18.5,"Underweight",AND(B1608&gt;=18.5,B1608&lt;=24.99),"Normalweight",AND(B1608&gt;=25,B1608&lt;=29.99),"Overweight",B1608&gt;=30,"Obesity")</f>
        <v>Normalweight</v>
      </c>
      <c r="J1608" t="str" cm="1">
        <f t="array" ref="J1608">_xlfn.IFS(C1608&lt;5.7,"Normal",AND(C1608&gt;=5.7,C1608&lt;=6.49),"Prediabetes",C1608&gt;=6.5,"Diabetes")</f>
        <v>Normal</v>
      </c>
    </row>
    <row r="1609" spans="1:10" x14ac:dyDescent="0.3">
      <c r="A1609" t="s">
        <v>763</v>
      </c>
      <c r="B1609" s="8">
        <v>38</v>
      </c>
      <c r="C1609">
        <v>5.41</v>
      </c>
      <c r="D1609" t="s">
        <v>2381</v>
      </c>
      <c r="E1609" t="s">
        <v>2379</v>
      </c>
      <c r="F1609" t="s">
        <v>2379</v>
      </c>
      <c r="G1609">
        <v>1</v>
      </c>
      <c r="H1609" t="s">
        <v>2379</v>
      </c>
      <c r="I1609" t="str" cm="1">
        <f t="array" ref="I1609">_xlfn.IFS(B1609&lt;18.5,"Underweight",AND(B1609&gt;=18.5,B1609&lt;=24.99),"Normalweight",AND(B1609&gt;=25,B1609&lt;=29.99),"Overweight",B1609&gt;=30,"Obesity")</f>
        <v>Obesity</v>
      </c>
      <c r="J1609" t="str" cm="1">
        <f t="array" ref="J1609">_xlfn.IFS(C1609&lt;5.7,"Normal",AND(C1609&gt;=5.7,C1609&lt;=6.49),"Prediabetes",C1609&gt;=6.5,"Diabetes")</f>
        <v>Normal</v>
      </c>
    </row>
    <row r="1610" spans="1:10" x14ac:dyDescent="0.3">
      <c r="A1610" t="s">
        <v>762</v>
      </c>
      <c r="B1610" s="8">
        <v>31.6</v>
      </c>
      <c r="C1610">
        <v>10.85</v>
      </c>
      <c r="D1610" t="s">
        <v>2381</v>
      </c>
      <c r="E1610" t="s">
        <v>2379</v>
      </c>
      <c r="F1610" t="s">
        <v>2379</v>
      </c>
      <c r="G1610">
        <v>0</v>
      </c>
      <c r="H1610" t="s">
        <v>2379</v>
      </c>
      <c r="I1610" t="str" cm="1">
        <f t="array" ref="I1610">_xlfn.IFS(B1610&lt;18.5,"Underweight",AND(B1610&gt;=18.5,B1610&lt;=24.99),"Normalweight",AND(B1610&gt;=25,B1610&lt;=29.99),"Overweight",B1610&gt;=30,"Obesity")</f>
        <v>Obesity</v>
      </c>
      <c r="J1610" t="str" cm="1">
        <f t="array" ref="J1610">_xlfn.IFS(C1610&lt;5.7,"Normal",AND(C1610&gt;=5.7,C1610&lt;=6.49),"Prediabetes",C1610&gt;=6.5,"Diabetes")</f>
        <v>Diabetes</v>
      </c>
    </row>
    <row r="1611" spans="1:10" x14ac:dyDescent="0.3">
      <c r="A1611" t="s">
        <v>761</v>
      </c>
      <c r="B1611" s="8">
        <v>31.02</v>
      </c>
      <c r="C1611">
        <v>11.63</v>
      </c>
      <c r="D1611" t="s">
        <v>2381</v>
      </c>
      <c r="E1611" t="s">
        <v>2379</v>
      </c>
      <c r="F1611" t="s">
        <v>2379</v>
      </c>
      <c r="G1611">
        <v>0</v>
      </c>
      <c r="H1611" t="s">
        <v>2379</v>
      </c>
      <c r="I1611" t="str" cm="1">
        <f t="array" ref="I1611">_xlfn.IFS(B1611&lt;18.5,"Underweight",AND(B1611&gt;=18.5,B1611&lt;=24.99),"Normalweight",AND(B1611&gt;=25,B1611&lt;=29.99),"Overweight",B1611&gt;=30,"Obesity")</f>
        <v>Obesity</v>
      </c>
      <c r="J1611" t="str" cm="1">
        <f t="array" ref="J1611">_xlfn.IFS(C1611&lt;5.7,"Normal",AND(C1611&gt;=5.7,C1611&lt;=6.49),"Prediabetes",C1611&gt;=6.5,"Diabetes")</f>
        <v>Diabetes</v>
      </c>
    </row>
    <row r="1612" spans="1:10" x14ac:dyDescent="0.3">
      <c r="A1612" t="s">
        <v>760</v>
      </c>
      <c r="B1612" s="8">
        <v>29.26</v>
      </c>
      <c r="C1612">
        <v>5.68</v>
      </c>
      <c r="D1612" t="s">
        <v>2381</v>
      </c>
      <c r="E1612" t="s">
        <v>2379</v>
      </c>
      <c r="F1612" t="s">
        <v>2379</v>
      </c>
      <c r="G1612">
        <v>1</v>
      </c>
      <c r="H1612" t="s">
        <v>2379</v>
      </c>
      <c r="I1612" t="str" cm="1">
        <f t="array" ref="I1612">_xlfn.IFS(B1612&lt;18.5,"Underweight",AND(B1612&gt;=18.5,B1612&lt;=24.99),"Normalweight",AND(B1612&gt;=25,B1612&lt;=29.99),"Overweight",B1612&gt;=30,"Obesity")</f>
        <v>Overweight</v>
      </c>
      <c r="J1612" t="str" cm="1">
        <f t="array" ref="J1612">_xlfn.IFS(C1612&lt;5.7,"Normal",AND(C1612&gt;=5.7,C1612&lt;=6.49),"Prediabetes",C1612&gt;=6.5,"Diabetes")</f>
        <v>Normal</v>
      </c>
    </row>
    <row r="1613" spans="1:10" x14ac:dyDescent="0.3">
      <c r="A1613" t="s">
        <v>759</v>
      </c>
      <c r="B1613" s="8">
        <v>15.09</v>
      </c>
      <c r="C1613">
        <v>7.59</v>
      </c>
      <c r="D1613" t="s">
        <v>2381</v>
      </c>
      <c r="E1613" t="s">
        <v>2379</v>
      </c>
      <c r="F1613" t="s">
        <v>2379</v>
      </c>
      <c r="G1613">
        <v>2</v>
      </c>
      <c r="H1613" t="s">
        <v>2379</v>
      </c>
      <c r="I1613" t="str" cm="1">
        <f t="array" ref="I1613">_xlfn.IFS(B1613&lt;18.5,"Underweight",AND(B1613&gt;=18.5,B1613&lt;=24.99),"Normalweight",AND(B1613&gt;=25,B1613&lt;=29.99),"Overweight",B1613&gt;=30,"Obesity")</f>
        <v>Underweight</v>
      </c>
      <c r="J1613" t="str" cm="1">
        <f t="array" ref="J1613">_xlfn.IFS(C1613&lt;5.7,"Normal",AND(C1613&gt;=5.7,C1613&lt;=6.49),"Prediabetes",C1613&gt;=6.5,"Diabetes")</f>
        <v>Diabetes</v>
      </c>
    </row>
    <row r="1614" spans="1:10" x14ac:dyDescent="0.3">
      <c r="A1614" t="s">
        <v>758</v>
      </c>
      <c r="B1614" s="8">
        <v>22.63</v>
      </c>
      <c r="C1614">
        <v>5.09</v>
      </c>
      <c r="D1614" t="s">
        <v>2381</v>
      </c>
      <c r="E1614" t="s">
        <v>2379</v>
      </c>
      <c r="F1614" t="s">
        <v>2379</v>
      </c>
      <c r="G1614">
        <v>0</v>
      </c>
      <c r="H1614" t="s">
        <v>2379</v>
      </c>
      <c r="I1614" t="str" cm="1">
        <f t="array" ref="I1614">_xlfn.IFS(B1614&lt;18.5,"Underweight",AND(B1614&gt;=18.5,B1614&lt;=24.99),"Normalweight",AND(B1614&gt;=25,B1614&lt;=29.99),"Overweight",B1614&gt;=30,"Obesity")</f>
        <v>Normalweight</v>
      </c>
      <c r="J1614" t="str" cm="1">
        <f t="array" ref="J1614">_xlfn.IFS(C1614&lt;5.7,"Normal",AND(C1614&gt;=5.7,C1614&lt;=6.49),"Prediabetes",C1614&gt;=6.5,"Diabetes")</f>
        <v>Normal</v>
      </c>
    </row>
    <row r="1615" spans="1:10" x14ac:dyDescent="0.3">
      <c r="A1615" t="s">
        <v>757</v>
      </c>
      <c r="B1615" s="8">
        <v>23.46</v>
      </c>
      <c r="C1615">
        <v>4.21</v>
      </c>
      <c r="D1615" t="s">
        <v>2379</v>
      </c>
      <c r="E1615" t="s">
        <v>2379</v>
      </c>
      <c r="F1615" t="s">
        <v>2379</v>
      </c>
      <c r="G1615">
        <v>1</v>
      </c>
      <c r="H1615" t="s">
        <v>2379</v>
      </c>
      <c r="I1615" t="str" cm="1">
        <f t="array" ref="I1615">_xlfn.IFS(B1615&lt;18.5,"Underweight",AND(B1615&gt;=18.5,B1615&lt;=24.99),"Normalweight",AND(B1615&gt;=25,B1615&lt;=29.99),"Overweight",B1615&gt;=30,"Obesity")</f>
        <v>Normalweight</v>
      </c>
      <c r="J1615" t="str" cm="1">
        <f t="array" ref="J1615">_xlfn.IFS(C1615&lt;5.7,"Normal",AND(C1615&gt;=5.7,C1615&lt;=6.49),"Prediabetes",C1615&gt;=6.5,"Diabetes")</f>
        <v>Normal</v>
      </c>
    </row>
    <row r="1616" spans="1:10" x14ac:dyDescent="0.3">
      <c r="A1616" t="s">
        <v>756</v>
      </c>
      <c r="B1616" s="8">
        <v>22.56</v>
      </c>
      <c r="C1616">
        <v>4.34</v>
      </c>
      <c r="D1616" t="s">
        <v>2381</v>
      </c>
      <c r="E1616" t="s">
        <v>2379</v>
      </c>
      <c r="F1616" t="s">
        <v>2379</v>
      </c>
      <c r="G1616">
        <v>0</v>
      </c>
      <c r="H1616" t="s">
        <v>2379</v>
      </c>
      <c r="I1616" t="str" cm="1">
        <f t="array" ref="I1616">_xlfn.IFS(B1616&lt;18.5,"Underweight",AND(B1616&gt;=18.5,B1616&lt;=24.99),"Normalweight",AND(B1616&gt;=25,B1616&lt;=29.99),"Overweight",B1616&gt;=30,"Obesity")</f>
        <v>Normalweight</v>
      </c>
      <c r="J1616" t="str" cm="1">
        <f t="array" ref="J1616">_xlfn.IFS(C1616&lt;5.7,"Normal",AND(C1616&gt;=5.7,C1616&lt;=6.49),"Prediabetes",C1616&gt;=6.5,"Diabetes")</f>
        <v>Normal</v>
      </c>
    </row>
    <row r="1617" spans="1:10" x14ac:dyDescent="0.3">
      <c r="A1617" t="s">
        <v>755</v>
      </c>
      <c r="B1617" s="8">
        <v>19.28</v>
      </c>
      <c r="C1617">
        <v>11.85</v>
      </c>
      <c r="D1617" t="s">
        <v>2379</v>
      </c>
      <c r="E1617" t="s">
        <v>2379</v>
      </c>
      <c r="F1617" t="s">
        <v>2379</v>
      </c>
      <c r="G1617">
        <v>2</v>
      </c>
      <c r="H1617" t="s">
        <v>2379</v>
      </c>
      <c r="I1617" t="str" cm="1">
        <f t="array" ref="I1617">_xlfn.IFS(B1617&lt;18.5,"Underweight",AND(B1617&gt;=18.5,B1617&lt;=24.99),"Normalweight",AND(B1617&gt;=25,B1617&lt;=29.99),"Overweight",B1617&gt;=30,"Obesity")</f>
        <v>Normalweight</v>
      </c>
      <c r="J1617" t="str" cm="1">
        <f t="array" ref="J1617">_xlfn.IFS(C1617&lt;5.7,"Normal",AND(C1617&gt;=5.7,C1617&lt;=6.49),"Prediabetes",C1617&gt;=6.5,"Diabetes")</f>
        <v>Diabetes</v>
      </c>
    </row>
    <row r="1618" spans="1:10" x14ac:dyDescent="0.3">
      <c r="A1618" t="s">
        <v>754</v>
      </c>
      <c r="B1618" s="8">
        <v>15.37</v>
      </c>
      <c r="C1618">
        <v>9.61</v>
      </c>
      <c r="D1618" t="s">
        <v>2381</v>
      </c>
      <c r="E1618" t="s">
        <v>2379</v>
      </c>
      <c r="F1618" t="s">
        <v>2379</v>
      </c>
      <c r="G1618">
        <v>2</v>
      </c>
      <c r="H1618" t="s">
        <v>2379</v>
      </c>
      <c r="I1618" t="str" cm="1">
        <f t="array" ref="I1618">_xlfn.IFS(B1618&lt;18.5,"Underweight",AND(B1618&gt;=18.5,B1618&lt;=24.99),"Normalweight",AND(B1618&gt;=25,B1618&lt;=29.99),"Overweight",B1618&gt;=30,"Obesity")</f>
        <v>Underweight</v>
      </c>
      <c r="J1618" t="str" cm="1">
        <f t="array" ref="J1618">_xlfn.IFS(C1618&lt;5.7,"Normal",AND(C1618&gt;=5.7,C1618&lt;=6.49),"Prediabetes",C1618&gt;=6.5,"Diabetes")</f>
        <v>Diabetes</v>
      </c>
    </row>
    <row r="1619" spans="1:10" x14ac:dyDescent="0.3">
      <c r="A1619" t="s">
        <v>753</v>
      </c>
      <c r="B1619" s="8">
        <v>18.71</v>
      </c>
      <c r="C1619">
        <v>5.29</v>
      </c>
      <c r="D1619" t="s">
        <v>2381</v>
      </c>
      <c r="E1619" t="s">
        <v>2379</v>
      </c>
      <c r="F1619" t="s">
        <v>2379</v>
      </c>
      <c r="G1619">
        <v>0</v>
      </c>
      <c r="H1619" t="s">
        <v>2379</v>
      </c>
      <c r="I1619" t="str" cm="1">
        <f t="array" ref="I1619">_xlfn.IFS(B1619&lt;18.5,"Underweight",AND(B1619&gt;=18.5,B1619&lt;=24.99),"Normalweight",AND(B1619&gt;=25,B1619&lt;=29.99),"Overweight",B1619&gt;=30,"Obesity")</f>
        <v>Normalweight</v>
      </c>
      <c r="J1619" t="str" cm="1">
        <f t="array" ref="J1619">_xlfn.IFS(C1619&lt;5.7,"Normal",AND(C1619&gt;=5.7,C1619&lt;=6.49),"Prediabetes",C1619&gt;=6.5,"Diabetes")</f>
        <v>Normal</v>
      </c>
    </row>
    <row r="1620" spans="1:10" x14ac:dyDescent="0.3">
      <c r="A1620" t="s">
        <v>752</v>
      </c>
      <c r="B1620" s="8">
        <v>20.61</v>
      </c>
      <c r="C1620">
        <v>6.89</v>
      </c>
      <c r="D1620" t="s">
        <v>2379</v>
      </c>
      <c r="E1620" t="s">
        <v>2379</v>
      </c>
      <c r="F1620" t="s">
        <v>2379</v>
      </c>
      <c r="G1620">
        <v>0</v>
      </c>
      <c r="H1620" t="s">
        <v>2379</v>
      </c>
      <c r="I1620" t="str" cm="1">
        <f t="array" ref="I1620">_xlfn.IFS(B1620&lt;18.5,"Underweight",AND(B1620&gt;=18.5,B1620&lt;=24.99),"Normalweight",AND(B1620&gt;=25,B1620&lt;=29.99),"Overweight",B1620&gt;=30,"Obesity")</f>
        <v>Normalweight</v>
      </c>
      <c r="J1620" t="str" cm="1">
        <f t="array" ref="J1620">_xlfn.IFS(C1620&lt;5.7,"Normal",AND(C1620&gt;=5.7,C1620&lt;=6.49),"Prediabetes",C1620&gt;=6.5,"Diabetes")</f>
        <v>Diabetes</v>
      </c>
    </row>
    <row r="1621" spans="1:10" x14ac:dyDescent="0.3">
      <c r="A1621" t="s">
        <v>751</v>
      </c>
      <c r="B1621" s="8">
        <v>15.99</v>
      </c>
      <c r="C1621">
        <v>4.57</v>
      </c>
      <c r="D1621" t="s">
        <v>2381</v>
      </c>
      <c r="E1621" t="s">
        <v>2379</v>
      </c>
      <c r="F1621" t="s">
        <v>2381</v>
      </c>
      <c r="G1621">
        <v>1</v>
      </c>
      <c r="H1621" t="s">
        <v>2379</v>
      </c>
      <c r="I1621" t="str" cm="1">
        <f t="array" ref="I1621">_xlfn.IFS(B1621&lt;18.5,"Underweight",AND(B1621&gt;=18.5,B1621&lt;=24.99),"Normalweight",AND(B1621&gt;=25,B1621&lt;=29.99),"Overweight",B1621&gt;=30,"Obesity")</f>
        <v>Underweight</v>
      </c>
      <c r="J1621" t="str" cm="1">
        <f t="array" ref="J1621">_xlfn.IFS(C1621&lt;5.7,"Normal",AND(C1621&gt;=5.7,C1621&lt;=6.49),"Prediabetes",C1621&gt;=6.5,"Diabetes")</f>
        <v>Normal</v>
      </c>
    </row>
    <row r="1622" spans="1:10" x14ac:dyDescent="0.3">
      <c r="A1622" t="s">
        <v>750</v>
      </c>
      <c r="B1622" s="8">
        <v>33.155000000000001</v>
      </c>
      <c r="C1622">
        <v>4.32</v>
      </c>
      <c r="D1622" t="s">
        <v>2379</v>
      </c>
      <c r="E1622" t="s">
        <v>2379</v>
      </c>
      <c r="F1622" t="s">
        <v>2379</v>
      </c>
      <c r="G1622">
        <v>0</v>
      </c>
      <c r="H1622" t="s">
        <v>2379</v>
      </c>
      <c r="I1622" t="str" cm="1">
        <f t="array" ref="I1622">_xlfn.IFS(B1622&lt;18.5,"Underweight",AND(B1622&gt;=18.5,B1622&lt;=24.99),"Normalweight",AND(B1622&gt;=25,B1622&lt;=29.99),"Overweight",B1622&gt;=30,"Obesity")</f>
        <v>Obesity</v>
      </c>
      <c r="J1622" t="str" cm="1">
        <f t="array" ref="J1622">_xlfn.IFS(C1622&lt;5.7,"Normal",AND(C1622&gt;=5.7,C1622&lt;=6.49),"Prediabetes",C1622&gt;=6.5,"Diabetes")</f>
        <v>Normal</v>
      </c>
    </row>
    <row r="1623" spans="1:10" x14ac:dyDescent="0.3">
      <c r="A1623" t="s">
        <v>749</v>
      </c>
      <c r="B1623" s="8">
        <v>26.22</v>
      </c>
      <c r="C1623">
        <v>5.57</v>
      </c>
      <c r="D1623" t="s">
        <v>2381</v>
      </c>
      <c r="E1623" t="s">
        <v>2379</v>
      </c>
      <c r="F1623" t="s">
        <v>2381</v>
      </c>
      <c r="G1623">
        <v>1</v>
      </c>
      <c r="H1623" t="s">
        <v>2379</v>
      </c>
      <c r="I1623" t="str" cm="1">
        <f t="array" ref="I1623">_xlfn.IFS(B1623&lt;18.5,"Underweight",AND(B1623&gt;=18.5,B1623&lt;=24.99),"Normalweight",AND(B1623&gt;=25,B1623&lt;=29.99),"Overweight",B1623&gt;=30,"Obesity")</f>
        <v>Overweight</v>
      </c>
      <c r="J1623" t="str" cm="1">
        <f t="array" ref="J1623">_xlfn.IFS(C1623&lt;5.7,"Normal",AND(C1623&gt;=5.7,C1623&lt;=6.49),"Prediabetes",C1623&gt;=6.5,"Diabetes")</f>
        <v>Normal</v>
      </c>
    </row>
    <row r="1624" spans="1:10" x14ac:dyDescent="0.3">
      <c r="A1624" t="s">
        <v>748</v>
      </c>
      <c r="B1624" s="8">
        <v>21.85</v>
      </c>
      <c r="C1624">
        <v>5.26</v>
      </c>
      <c r="D1624" t="s">
        <v>2381</v>
      </c>
      <c r="E1624" t="s">
        <v>2379</v>
      </c>
      <c r="F1624" t="s">
        <v>2381</v>
      </c>
      <c r="G1624">
        <v>1</v>
      </c>
      <c r="H1624" t="s">
        <v>2379</v>
      </c>
      <c r="I1624" t="str" cm="1">
        <f t="array" ref="I1624">_xlfn.IFS(B1624&lt;18.5,"Underweight",AND(B1624&gt;=18.5,B1624&lt;=24.99),"Normalweight",AND(B1624&gt;=25,B1624&lt;=29.99),"Overweight",B1624&gt;=30,"Obesity")</f>
        <v>Normalweight</v>
      </c>
      <c r="J1624" t="str" cm="1">
        <f t="array" ref="J1624">_xlfn.IFS(C1624&lt;5.7,"Normal",AND(C1624&gt;=5.7,C1624&lt;=6.49),"Prediabetes",C1624&gt;=6.5,"Diabetes")</f>
        <v>Normal</v>
      </c>
    </row>
    <row r="1625" spans="1:10" x14ac:dyDescent="0.3">
      <c r="A1625" t="s">
        <v>747</v>
      </c>
      <c r="B1625" s="8">
        <v>30.495000000000001</v>
      </c>
      <c r="C1625">
        <v>6.25</v>
      </c>
      <c r="D1625" t="s">
        <v>2379</v>
      </c>
      <c r="E1625" t="s">
        <v>2379</v>
      </c>
      <c r="F1625" t="s">
        <v>2379</v>
      </c>
      <c r="G1625">
        <v>0</v>
      </c>
      <c r="H1625" t="s">
        <v>2379</v>
      </c>
      <c r="I1625" t="str" cm="1">
        <f t="array" ref="I1625">_xlfn.IFS(B1625&lt;18.5,"Underweight",AND(B1625&gt;=18.5,B1625&lt;=24.99),"Normalweight",AND(B1625&gt;=25,B1625&lt;=29.99),"Overweight",B1625&gt;=30,"Obesity")</f>
        <v>Obesity</v>
      </c>
      <c r="J1625" t="str" cm="1">
        <f t="array" ref="J1625">_xlfn.IFS(C1625&lt;5.7,"Normal",AND(C1625&gt;=5.7,C1625&lt;=6.49),"Prediabetes",C1625&gt;=6.5,"Diabetes")</f>
        <v>Prediabetes</v>
      </c>
    </row>
    <row r="1626" spans="1:10" x14ac:dyDescent="0.3">
      <c r="A1626" t="s">
        <v>746</v>
      </c>
      <c r="B1626" s="8">
        <v>34.104999999999997</v>
      </c>
      <c r="C1626">
        <v>5.67</v>
      </c>
      <c r="D1626" t="s">
        <v>2381</v>
      </c>
      <c r="E1626" t="s">
        <v>2379</v>
      </c>
      <c r="F1626" t="s">
        <v>2379</v>
      </c>
      <c r="G1626">
        <v>0</v>
      </c>
      <c r="H1626" t="s">
        <v>2379</v>
      </c>
      <c r="I1626" t="str" cm="1">
        <f t="array" ref="I1626">_xlfn.IFS(B1626&lt;18.5,"Underweight",AND(B1626&gt;=18.5,B1626&lt;=24.99),"Normalweight",AND(B1626&gt;=25,B1626&lt;=29.99),"Overweight",B1626&gt;=30,"Obesity")</f>
        <v>Obesity</v>
      </c>
      <c r="J1626" t="str" cm="1">
        <f t="array" ref="J1626">_xlfn.IFS(C1626&lt;5.7,"Normal",AND(C1626&gt;=5.7,C1626&lt;=6.49),"Prediabetes",C1626&gt;=6.5,"Diabetes")</f>
        <v>Normal</v>
      </c>
    </row>
    <row r="1627" spans="1:10" x14ac:dyDescent="0.3">
      <c r="A1627" t="s">
        <v>745</v>
      </c>
      <c r="B1627" s="8">
        <v>32.770000000000003</v>
      </c>
      <c r="C1627">
        <v>4.42</v>
      </c>
      <c r="D1627" t="s">
        <v>2381</v>
      </c>
      <c r="E1627" t="s">
        <v>2379</v>
      </c>
      <c r="F1627" t="s">
        <v>2379</v>
      </c>
      <c r="G1627">
        <v>1</v>
      </c>
      <c r="H1627" t="s">
        <v>2379</v>
      </c>
      <c r="I1627" t="str" cm="1">
        <f t="array" ref="I1627">_xlfn.IFS(B1627&lt;18.5,"Underweight",AND(B1627&gt;=18.5,B1627&lt;=24.99),"Normalweight",AND(B1627&gt;=25,B1627&lt;=29.99),"Overweight",B1627&gt;=30,"Obesity")</f>
        <v>Obesity</v>
      </c>
      <c r="J1627" t="str" cm="1">
        <f t="array" ref="J1627">_xlfn.IFS(C1627&lt;5.7,"Normal",AND(C1627&gt;=5.7,C1627&lt;=6.49),"Prediabetes",C1627&gt;=6.5,"Diabetes")</f>
        <v>Normal</v>
      </c>
    </row>
    <row r="1628" spans="1:10" x14ac:dyDescent="0.3">
      <c r="A1628" t="s">
        <v>744</v>
      </c>
      <c r="B1628" s="8">
        <v>16.850000000000001</v>
      </c>
      <c r="C1628">
        <v>11.75</v>
      </c>
      <c r="D1628" t="s">
        <v>2381</v>
      </c>
      <c r="E1628" t="s">
        <v>2379</v>
      </c>
      <c r="F1628" t="s">
        <v>2379</v>
      </c>
      <c r="G1628">
        <v>2</v>
      </c>
      <c r="H1628" t="s">
        <v>2379</v>
      </c>
      <c r="I1628" t="str" cm="1">
        <f t="array" ref="I1628">_xlfn.IFS(B1628&lt;18.5,"Underweight",AND(B1628&gt;=18.5,B1628&lt;=24.99),"Normalweight",AND(B1628&gt;=25,B1628&lt;=29.99),"Overweight",B1628&gt;=30,"Obesity")</f>
        <v>Underweight</v>
      </c>
      <c r="J1628" t="str" cm="1">
        <f t="array" ref="J1628">_xlfn.IFS(C1628&lt;5.7,"Normal",AND(C1628&gt;=5.7,C1628&lt;=6.49),"Prediabetes",C1628&gt;=6.5,"Diabetes")</f>
        <v>Diabetes</v>
      </c>
    </row>
    <row r="1629" spans="1:10" x14ac:dyDescent="0.3">
      <c r="A1629" t="s">
        <v>743</v>
      </c>
      <c r="B1629" s="8">
        <v>34.700000000000003</v>
      </c>
      <c r="C1629">
        <v>6.06</v>
      </c>
      <c r="D1629" t="s">
        <v>2379</v>
      </c>
      <c r="E1629" t="s">
        <v>2379</v>
      </c>
      <c r="F1629" t="s">
        <v>2379</v>
      </c>
      <c r="G1629">
        <v>1</v>
      </c>
      <c r="H1629" t="s">
        <v>2379</v>
      </c>
      <c r="I1629" t="str" cm="1">
        <f t="array" ref="I1629">_xlfn.IFS(B1629&lt;18.5,"Underweight",AND(B1629&gt;=18.5,B1629&lt;=24.99),"Normalweight",AND(B1629&gt;=25,B1629&lt;=29.99),"Overweight",B1629&gt;=30,"Obesity")</f>
        <v>Obesity</v>
      </c>
      <c r="J1629" t="str" cm="1">
        <f t="array" ref="J1629">_xlfn.IFS(C1629&lt;5.7,"Normal",AND(C1629&gt;=5.7,C1629&lt;=6.49),"Prediabetes",C1629&gt;=6.5,"Diabetes")</f>
        <v>Prediabetes</v>
      </c>
    </row>
    <row r="1630" spans="1:10" x14ac:dyDescent="0.3">
      <c r="A1630" t="s">
        <v>742</v>
      </c>
      <c r="B1630" s="8">
        <v>37.049999999999997</v>
      </c>
      <c r="C1630">
        <v>5.48</v>
      </c>
      <c r="D1630" t="s">
        <v>2379</v>
      </c>
      <c r="E1630" t="s">
        <v>2379</v>
      </c>
      <c r="F1630" t="s">
        <v>2379</v>
      </c>
      <c r="G1630">
        <v>1</v>
      </c>
      <c r="H1630" t="s">
        <v>2379</v>
      </c>
      <c r="I1630" t="str" cm="1">
        <f t="array" ref="I1630">_xlfn.IFS(B1630&lt;18.5,"Underweight",AND(B1630&gt;=18.5,B1630&lt;=24.99),"Normalweight",AND(B1630&gt;=25,B1630&lt;=29.99),"Overweight",B1630&gt;=30,"Obesity")</f>
        <v>Obesity</v>
      </c>
      <c r="J1630" t="str" cm="1">
        <f t="array" ref="J1630">_xlfn.IFS(C1630&lt;5.7,"Normal",AND(C1630&gt;=5.7,C1630&lt;=6.49),"Prediabetes",C1630&gt;=6.5,"Diabetes")</f>
        <v>Normal</v>
      </c>
    </row>
    <row r="1631" spans="1:10" x14ac:dyDescent="0.3">
      <c r="A1631" t="s">
        <v>741</v>
      </c>
      <c r="B1631" s="8">
        <v>18.78</v>
      </c>
      <c r="C1631">
        <v>4.45</v>
      </c>
      <c r="D1631" t="s">
        <v>2379</v>
      </c>
      <c r="E1631" t="s">
        <v>2379</v>
      </c>
      <c r="F1631" t="s">
        <v>2381</v>
      </c>
      <c r="G1631">
        <v>1</v>
      </c>
      <c r="H1631" t="s">
        <v>2379</v>
      </c>
      <c r="I1631" t="str" cm="1">
        <f t="array" ref="I1631">_xlfn.IFS(B1631&lt;18.5,"Underweight",AND(B1631&gt;=18.5,B1631&lt;=24.99),"Normalweight",AND(B1631&gt;=25,B1631&lt;=29.99),"Overweight",B1631&gt;=30,"Obesity")</f>
        <v>Normalweight</v>
      </c>
      <c r="J1631" t="str" cm="1">
        <f t="array" ref="J1631">_xlfn.IFS(C1631&lt;5.7,"Normal",AND(C1631&gt;=5.7,C1631&lt;=6.49),"Prediabetes",C1631&gt;=6.5,"Diabetes")</f>
        <v>Normal</v>
      </c>
    </row>
    <row r="1632" spans="1:10" x14ac:dyDescent="0.3">
      <c r="A1632" t="s">
        <v>740</v>
      </c>
      <c r="B1632" s="8">
        <v>28.024999999999999</v>
      </c>
      <c r="C1632">
        <v>5</v>
      </c>
      <c r="D1632" t="s">
        <v>2379</v>
      </c>
      <c r="E1632" t="s">
        <v>2379</v>
      </c>
      <c r="F1632" t="s">
        <v>2379</v>
      </c>
      <c r="G1632">
        <v>1</v>
      </c>
      <c r="H1632" t="s">
        <v>2379</v>
      </c>
      <c r="I1632" t="str" cm="1">
        <f t="array" ref="I1632">_xlfn.IFS(B1632&lt;18.5,"Underweight",AND(B1632&gt;=18.5,B1632&lt;=24.99),"Normalweight",AND(B1632&gt;=25,B1632&lt;=29.99),"Overweight",B1632&gt;=30,"Obesity")</f>
        <v>Overweight</v>
      </c>
      <c r="J1632" t="str" cm="1">
        <f t="array" ref="J1632">_xlfn.IFS(C1632&lt;5.7,"Normal",AND(C1632&gt;=5.7,C1632&lt;=6.49),"Prediabetes",C1632&gt;=6.5,"Diabetes")</f>
        <v>Normal</v>
      </c>
    </row>
    <row r="1633" spans="1:10" x14ac:dyDescent="0.3">
      <c r="A1633" t="s">
        <v>739</v>
      </c>
      <c r="B1633" s="8">
        <v>35.090000000000003</v>
      </c>
      <c r="C1633">
        <v>5.84</v>
      </c>
      <c r="D1633" t="s">
        <v>2379</v>
      </c>
      <c r="E1633" t="s">
        <v>2379</v>
      </c>
      <c r="F1633" t="s">
        <v>2379</v>
      </c>
      <c r="G1633">
        <v>0</v>
      </c>
      <c r="H1633" t="s">
        <v>2379</v>
      </c>
      <c r="I1633" t="str" cm="1">
        <f t="array" ref="I1633">_xlfn.IFS(B1633&lt;18.5,"Underweight",AND(B1633&gt;=18.5,B1633&lt;=24.99),"Normalweight",AND(B1633&gt;=25,B1633&lt;=29.99),"Overweight",B1633&gt;=30,"Obesity")</f>
        <v>Obesity</v>
      </c>
      <c r="J1633" t="str" cm="1">
        <f t="array" ref="J1633">_xlfn.IFS(C1633&lt;5.7,"Normal",AND(C1633&gt;=5.7,C1633&lt;=6.49),"Prediabetes",C1633&gt;=6.5,"Diabetes")</f>
        <v>Prediabetes</v>
      </c>
    </row>
    <row r="1634" spans="1:10" x14ac:dyDescent="0.3">
      <c r="A1634" t="s">
        <v>738</v>
      </c>
      <c r="B1634" s="8">
        <v>34.42</v>
      </c>
      <c r="C1634">
        <v>5.21</v>
      </c>
      <c r="D1634" t="s">
        <v>2381</v>
      </c>
      <c r="E1634" t="s">
        <v>2379</v>
      </c>
      <c r="F1634" t="s">
        <v>2379</v>
      </c>
      <c r="G1634">
        <v>0</v>
      </c>
      <c r="H1634" t="s">
        <v>2379</v>
      </c>
      <c r="I1634" t="str" cm="1">
        <f t="array" ref="I1634">_xlfn.IFS(B1634&lt;18.5,"Underweight",AND(B1634&gt;=18.5,B1634&lt;=24.99),"Normalweight",AND(B1634&gt;=25,B1634&lt;=29.99),"Overweight",B1634&gt;=30,"Obesity")</f>
        <v>Obesity</v>
      </c>
      <c r="J1634" t="str" cm="1">
        <f t="array" ref="J1634">_xlfn.IFS(C1634&lt;5.7,"Normal",AND(C1634&gt;=5.7,C1634&lt;=6.49),"Prediabetes",C1634&gt;=6.5,"Diabetes")</f>
        <v>Normal</v>
      </c>
    </row>
    <row r="1635" spans="1:10" x14ac:dyDescent="0.3">
      <c r="A1635" t="s">
        <v>737</v>
      </c>
      <c r="B1635" s="8">
        <v>29.4</v>
      </c>
      <c r="C1635">
        <v>4.26</v>
      </c>
      <c r="D1635" t="s">
        <v>2379</v>
      </c>
      <c r="E1635" t="s">
        <v>2379</v>
      </c>
      <c r="F1635" t="s">
        <v>2379</v>
      </c>
      <c r="G1635">
        <v>0</v>
      </c>
      <c r="H1635" t="s">
        <v>2379</v>
      </c>
      <c r="I1635" t="str" cm="1">
        <f t="array" ref="I1635">_xlfn.IFS(B1635&lt;18.5,"Underweight",AND(B1635&gt;=18.5,B1635&lt;=24.99),"Normalweight",AND(B1635&gt;=25,B1635&lt;=29.99),"Overweight",B1635&gt;=30,"Obesity")</f>
        <v>Overweight</v>
      </c>
      <c r="J1635" t="str" cm="1">
        <f t="array" ref="J1635">_xlfn.IFS(C1635&lt;5.7,"Normal",AND(C1635&gt;=5.7,C1635&lt;=6.49),"Prediabetes",C1635&gt;=6.5,"Diabetes")</f>
        <v>Normal</v>
      </c>
    </row>
    <row r="1636" spans="1:10" x14ac:dyDescent="0.3">
      <c r="A1636" t="s">
        <v>736</v>
      </c>
      <c r="B1636" s="8">
        <v>21.31</v>
      </c>
      <c r="C1636">
        <v>4.17</v>
      </c>
      <c r="D1636" t="s">
        <v>2379</v>
      </c>
      <c r="E1636" t="s">
        <v>2379</v>
      </c>
      <c r="F1636" t="s">
        <v>2379</v>
      </c>
      <c r="G1636">
        <v>0</v>
      </c>
      <c r="H1636" t="s">
        <v>2379</v>
      </c>
      <c r="I1636" t="str" cm="1">
        <f t="array" ref="I1636">_xlfn.IFS(B1636&lt;18.5,"Underweight",AND(B1636&gt;=18.5,B1636&lt;=24.99),"Normalweight",AND(B1636&gt;=25,B1636&lt;=29.99),"Overweight",B1636&gt;=30,"Obesity")</f>
        <v>Normalweight</v>
      </c>
      <c r="J1636" t="str" cm="1">
        <f t="array" ref="J1636">_xlfn.IFS(C1636&lt;5.7,"Normal",AND(C1636&gt;=5.7,C1636&lt;=6.49),"Prediabetes",C1636&gt;=6.5,"Diabetes")</f>
        <v>Normal</v>
      </c>
    </row>
    <row r="1637" spans="1:10" x14ac:dyDescent="0.3">
      <c r="A1637" t="s">
        <v>735</v>
      </c>
      <c r="B1637" s="8">
        <v>19.559999999999999</v>
      </c>
      <c r="C1637">
        <v>11.96</v>
      </c>
      <c r="D1637" t="s">
        <v>2379</v>
      </c>
      <c r="E1637" t="s">
        <v>2379</v>
      </c>
      <c r="F1637" t="s">
        <v>2379</v>
      </c>
      <c r="G1637">
        <v>0</v>
      </c>
      <c r="H1637" t="s">
        <v>2379</v>
      </c>
      <c r="I1637" t="str" cm="1">
        <f t="array" ref="I1637">_xlfn.IFS(B1637&lt;18.5,"Underweight",AND(B1637&gt;=18.5,B1637&lt;=24.99),"Normalweight",AND(B1637&gt;=25,B1637&lt;=29.99),"Overweight",B1637&gt;=30,"Obesity")</f>
        <v>Normalweight</v>
      </c>
      <c r="J1637" t="str" cm="1">
        <f t="array" ref="J1637">_xlfn.IFS(C1637&lt;5.7,"Normal",AND(C1637&gt;=5.7,C1637&lt;=6.49),"Prediabetes",C1637&gt;=6.5,"Diabetes")</f>
        <v>Diabetes</v>
      </c>
    </row>
    <row r="1638" spans="1:10" x14ac:dyDescent="0.3">
      <c r="A1638" t="s">
        <v>734</v>
      </c>
      <c r="B1638" s="8">
        <v>37.335000000000001</v>
      </c>
      <c r="C1638">
        <v>6.26</v>
      </c>
      <c r="D1638" t="s">
        <v>2381</v>
      </c>
      <c r="E1638" t="s">
        <v>2379</v>
      </c>
      <c r="F1638" t="s">
        <v>2379</v>
      </c>
      <c r="G1638">
        <v>1</v>
      </c>
      <c r="H1638" t="s">
        <v>2379</v>
      </c>
      <c r="I1638" t="str" cm="1">
        <f t="array" ref="I1638">_xlfn.IFS(B1638&lt;18.5,"Underweight",AND(B1638&gt;=18.5,B1638&lt;=24.99),"Normalweight",AND(B1638&gt;=25,B1638&lt;=29.99),"Overweight",B1638&gt;=30,"Obesity")</f>
        <v>Obesity</v>
      </c>
      <c r="J1638" t="str" cm="1">
        <f t="array" ref="J1638">_xlfn.IFS(C1638&lt;5.7,"Normal",AND(C1638&gt;=5.7,C1638&lt;=6.49),"Prediabetes",C1638&gt;=6.5,"Diabetes")</f>
        <v>Prediabetes</v>
      </c>
    </row>
    <row r="1639" spans="1:10" x14ac:dyDescent="0.3">
      <c r="A1639" t="s">
        <v>733</v>
      </c>
      <c r="B1639" s="8">
        <v>19.53</v>
      </c>
      <c r="C1639">
        <v>11.68</v>
      </c>
      <c r="D1639" t="s">
        <v>2379</v>
      </c>
      <c r="E1639" t="s">
        <v>2379</v>
      </c>
      <c r="F1639" t="s">
        <v>2379</v>
      </c>
      <c r="G1639">
        <v>0</v>
      </c>
      <c r="H1639" t="s">
        <v>2379</v>
      </c>
      <c r="I1639" t="str" cm="1">
        <f t="array" ref="I1639">_xlfn.IFS(B1639&lt;18.5,"Underweight",AND(B1639&gt;=18.5,B1639&lt;=24.99),"Normalweight",AND(B1639&gt;=25,B1639&lt;=29.99),"Overweight",B1639&gt;=30,"Obesity")</f>
        <v>Normalweight</v>
      </c>
      <c r="J1639" t="str" cm="1">
        <f t="array" ref="J1639">_xlfn.IFS(C1639&lt;5.7,"Normal",AND(C1639&gt;=5.7,C1639&lt;=6.49),"Prediabetes",C1639&gt;=6.5,"Diabetes")</f>
        <v>Diabetes</v>
      </c>
    </row>
    <row r="1640" spans="1:10" x14ac:dyDescent="0.3">
      <c r="A1640" t="s">
        <v>732</v>
      </c>
      <c r="B1640" s="8">
        <v>34.1</v>
      </c>
      <c r="C1640">
        <v>5.16</v>
      </c>
      <c r="D1640" t="s">
        <v>2379</v>
      </c>
      <c r="E1640" t="s">
        <v>2379</v>
      </c>
      <c r="F1640" t="s">
        <v>2379</v>
      </c>
      <c r="G1640">
        <v>0</v>
      </c>
      <c r="H1640" t="s">
        <v>2379</v>
      </c>
      <c r="I1640" t="str" cm="1">
        <f t="array" ref="I1640">_xlfn.IFS(B1640&lt;18.5,"Underweight",AND(B1640&gt;=18.5,B1640&lt;=24.99),"Normalweight",AND(B1640&gt;=25,B1640&lt;=29.99),"Overweight",B1640&gt;=30,"Obesity")</f>
        <v>Obesity</v>
      </c>
      <c r="J1640" t="str" cm="1">
        <f t="array" ref="J1640">_xlfn.IFS(C1640&lt;5.7,"Normal",AND(C1640&gt;=5.7,C1640&lt;=6.49),"Prediabetes",C1640&gt;=6.5,"Diabetes")</f>
        <v>Normal</v>
      </c>
    </row>
    <row r="1641" spans="1:10" x14ac:dyDescent="0.3">
      <c r="A1641" t="s">
        <v>731</v>
      </c>
      <c r="B1641" s="8">
        <v>16.5</v>
      </c>
      <c r="C1641">
        <v>6.9</v>
      </c>
      <c r="D1641" t="s">
        <v>2381</v>
      </c>
      <c r="E1641" t="s">
        <v>2379</v>
      </c>
      <c r="F1641" t="s">
        <v>2379</v>
      </c>
      <c r="G1641">
        <v>2</v>
      </c>
      <c r="H1641" t="s">
        <v>2379</v>
      </c>
      <c r="I1641" t="str" cm="1">
        <f t="array" ref="I1641">_xlfn.IFS(B1641&lt;18.5,"Underweight",AND(B1641&gt;=18.5,B1641&lt;=24.99),"Normalweight",AND(B1641&gt;=25,B1641&lt;=29.99),"Overweight",B1641&gt;=30,"Obesity")</f>
        <v>Underweight</v>
      </c>
      <c r="J1641" t="str" cm="1">
        <f t="array" ref="J1641">_xlfn.IFS(C1641&lt;5.7,"Normal",AND(C1641&gt;=5.7,C1641&lt;=6.49),"Prediabetes",C1641&gt;=6.5,"Diabetes")</f>
        <v>Diabetes</v>
      </c>
    </row>
    <row r="1642" spans="1:10" x14ac:dyDescent="0.3">
      <c r="A1642" t="s">
        <v>730</v>
      </c>
      <c r="B1642" s="8">
        <v>30.69</v>
      </c>
      <c r="C1642">
        <v>4.83</v>
      </c>
      <c r="D1642" t="s">
        <v>2379</v>
      </c>
      <c r="E1642" t="s">
        <v>2379</v>
      </c>
      <c r="F1642" t="s">
        <v>2379</v>
      </c>
      <c r="G1642">
        <v>1</v>
      </c>
      <c r="H1642" t="s">
        <v>2379</v>
      </c>
      <c r="I1642" t="str" cm="1">
        <f t="array" ref="I1642">_xlfn.IFS(B1642&lt;18.5,"Underweight",AND(B1642&gt;=18.5,B1642&lt;=24.99),"Normalweight",AND(B1642&gt;=25,B1642&lt;=29.99),"Overweight",B1642&gt;=30,"Obesity")</f>
        <v>Obesity</v>
      </c>
      <c r="J1642" t="str" cm="1">
        <f t="array" ref="J1642">_xlfn.IFS(C1642&lt;5.7,"Normal",AND(C1642&gt;=5.7,C1642&lt;=6.49),"Prediabetes",C1642&gt;=6.5,"Diabetes")</f>
        <v>Normal</v>
      </c>
    </row>
    <row r="1643" spans="1:10" x14ac:dyDescent="0.3">
      <c r="A1643" t="s">
        <v>729</v>
      </c>
      <c r="B1643" s="8">
        <v>28.93</v>
      </c>
      <c r="C1643">
        <v>4.87</v>
      </c>
      <c r="D1643" t="s">
        <v>2379</v>
      </c>
      <c r="E1643" t="s">
        <v>2379</v>
      </c>
      <c r="F1643" t="s">
        <v>2379</v>
      </c>
      <c r="G1643">
        <v>1</v>
      </c>
      <c r="H1643" t="s">
        <v>2379</v>
      </c>
      <c r="I1643" t="str" cm="1">
        <f t="array" ref="I1643">_xlfn.IFS(B1643&lt;18.5,"Underweight",AND(B1643&gt;=18.5,B1643&lt;=24.99),"Normalweight",AND(B1643&gt;=25,B1643&lt;=29.99),"Overweight",B1643&gt;=30,"Obesity")</f>
        <v>Overweight</v>
      </c>
      <c r="J1643" t="str" cm="1">
        <f t="array" ref="J1643">_xlfn.IFS(C1643&lt;5.7,"Normal",AND(C1643&gt;=5.7,C1643&lt;=6.49),"Prediabetes",C1643&gt;=6.5,"Diabetes")</f>
        <v>Normal</v>
      </c>
    </row>
    <row r="1644" spans="1:10" x14ac:dyDescent="0.3">
      <c r="A1644" t="s">
        <v>728</v>
      </c>
      <c r="B1644" s="8">
        <v>38.9</v>
      </c>
      <c r="C1644">
        <v>4.28</v>
      </c>
      <c r="D1644" t="s">
        <v>2379</v>
      </c>
      <c r="E1644" t="s">
        <v>2379</v>
      </c>
      <c r="F1644" t="s">
        <v>2379</v>
      </c>
      <c r="G1644">
        <v>0</v>
      </c>
      <c r="H1644" t="s">
        <v>2379</v>
      </c>
      <c r="I1644" t="str" cm="1">
        <f t="array" ref="I1644">_xlfn.IFS(B1644&lt;18.5,"Underweight",AND(B1644&gt;=18.5,B1644&lt;=24.99),"Normalweight",AND(B1644&gt;=25,B1644&lt;=29.99),"Overweight",B1644&gt;=30,"Obesity")</f>
        <v>Obesity</v>
      </c>
      <c r="J1644" t="str" cm="1">
        <f t="array" ref="J1644">_xlfn.IFS(C1644&lt;5.7,"Normal",AND(C1644&gt;=5.7,C1644&lt;=6.49),"Prediabetes",C1644&gt;=6.5,"Diabetes")</f>
        <v>Normal</v>
      </c>
    </row>
    <row r="1645" spans="1:10" x14ac:dyDescent="0.3">
      <c r="A1645" t="s">
        <v>727</v>
      </c>
      <c r="B1645" s="8">
        <v>26.9</v>
      </c>
      <c r="C1645">
        <v>4.07</v>
      </c>
      <c r="D1645" t="s">
        <v>2379</v>
      </c>
      <c r="E1645" t="s">
        <v>2379</v>
      </c>
      <c r="F1645" t="s">
        <v>2379</v>
      </c>
      <c r="G1645">
        <v>0</v>
      </c>
      <c r="H1645" t="s">
        <v>2379</v>
      </c>
      <c r="I1645" t="str" cm="1">
        <f t="array" ref="I1645">_xlfn.IFS(B1645&lt;18.5,"Underweight",AND(B1645&gt;=18.5,B1645&lt;=24.99),"Normalweight",AND(B1645&gt;=25,B1645&lt;=29.99),"Overweight",B1645&gt;=30,"Obesity")</f>
        <v>Overweight</v>
      </c>
      <c r="J1645" t="str" cm="1">
        <f t="array" ref="J1645">_xlfn.IFS(C1645&lt;5.7,"Normal",AND(C1645&gt;=5.7,C1645&lt;=6.49),"Prediabetes",C1645&gt;=6.5,"Diabetes")</f>
        <v>Normal</v>
      </c>
    </row>
    <row r="1646" spans="1:10" x14ac:dyDescent="0.3">
      <c r="A1646" t="s">
        <v>726</v>
      </c>
      <c r="B1646" s="8">
        <v>24.86</v>
      </c>
      <c r="C1646">
        <v>6.23</v>
      </c>
      <c r="D1646" t="s">
        <v>2379</v>
      </c>
      <c r="E1646" t="s">
        <v>2379</v>
      </c>
      <c r="F1646" t="s">
        <v>2379</v>
      </c>
      <c r="G1646">
        <v>0</v>
      </c>
      <c r="H1646" t="s">
        <v>2379</v>
      </c>
      <c r="I1646" t="str" cm="1">
        <f t="array" ref="I1646">_xlfn.IFS(B1646&lt;18.5,"Underweight",AND(B1646&gt;=18.5,B1646&lt;=24.99),"Normalweight",AND(B1646&gt;=25,B1646&lt;=29.99),"Overweight",B1646&gt;=30,"Obesity")</f>
        <v>Normalweight</v>
      </c>
      <c r="J1646" t="str" cm="1">
        <f t="array" ref="J1646">_xlfn.IFS(C1646&lt;5.7,"Normal",AND(C1646&gt;=5.7,C1646&lt;=6.49),"Prediabetes",C1646&gt;=6.5,"Diabetes")</f>
        <v>Prediabetes</v>
      </c>
    </row>
    <row r="1647" spans="1:10" x14ac:dyDescent="0.3">
      <c r="A1647" t="s">
        <v>725</v>
      </c>
      <c r="B1647" s="8">
        <v>39.14</v>
      </c>
      <c r="C1647">
        <v>6.24</v>
      </c>
      <c r="D1647" t="s">
        <v>2379</v>
      </c>
      <c r="E1647" t="s">
        <v>2380</v>
      </c>
      <c r="F1647" t="s">
        <v>2379</v>
      </c>
      <c r="G1647">
        <v>1</v>
      </c>
      <c r="H1647" t="s">
        <v>2379</v>
      </c>
      <c r="I1647" t="str" cm="1">
        <f t="array" ref="I1647">_xlfn.IFS(B1647&lt;18.5,"Underweight",AND(B1647&gt;=18.5,B1647&lt;=24.99),"Normalweight",AND(B1647&gt;=25,B1647&lt;=29.99),"Overweight",B1647&gt;=30,"Obesity")</f>
        <v>Obesity</v>
      </c>
      <c r="J1647" t="str" cm="1">
        <f t="array" ref="J1647">_xlfn.IFS(C1647&lt;5.7,"Normal",AND(C1647&gt;=5.7,C1647&lt;=6.49),"Prediabetes",C1647&gt;=6.5,"Diabetes")</f>
        <v>Prediabetes</v>
      </c>
    </row>
    <row r="1648" spans="1:10" x14ac:dyDescent="0.3">
      <c r="A1648" t="s">
        <v>724</v>
      </c>
      <c r="B1648" s="8">
        <v>39.799999999999997</v>
      </c>
      <c r="C1648">
        <v>6.17</v>
      </c>
      <c r="D1648" t="s">
        <v>2379</v>
      </c>
      <c r="E1648" t="s">
        <v>2379</v>
      </c>
      <c r="F1648" t="s">
        <v>2381</v>
      </c>
      <c r="G1648">
        <v>1</v>
      </c>
      <c r="H1648" t="s">
        <v>2379</v>
      </c>
      <c r="I1648" t="str" cm="1">
        <f t="array" ref="I1648">_xlfn.IFS(B1648&lt;18.5,"Underweight",AND(B1648&gt;=18.5,B1648&lt;=24.99),"Normalweight",AND(B1648&gt;=25,B1648&lt;=29.99),"Overweight",B1648&gt;=30,"Obesity")</f>
        <v>Obesity</v>
      </c>
      <c r="J1648" t="str" cm="1">
        <f t="array" ref="J1648">_xlfn.IFS(C1648&lt;5.7,"Normal",AND(C1648&gt;=5.7,C1648&lt;=6.49),"Prediabetes",C1648&gt;=6.5,"Diabetes")</f>
        <v>Prediabetes</v>
      </c>
    </row>
    <row r="1649" spans="1:10" x14ac:dyDescent="0.3">
      <c r="A1649" t="s">
        <v>723</v>
      </c>
      <c r="B1649" s="8">
        <v>34.32</v>
      </c>
      <c r="C1649">
        <v>5.16</v>
      </c>
      <c r="D1649" t="s">
        <v>2379</v>
      </c>
      <c r="E1649" t="s">
        <v>2379</v>
      </c>
      <c r="F1649" t="s">
        <v>2379</v>
      </c>
      <c r="G1649">
        <v>1</v>
      </c>
      <c r="H1649" t="s">
        <v>2379</v>
      </c>
      <c r="I1649" t="str" cm="1">
        <f t="array" ref="I1649">_xlfn.IFS(B1649&lt;18.5,"Underweight",AND(B1649&gt;=18.5,B1649&lt;=24.99),"Normalweight",AND(B1649&gt;=25,B1649&lt;=29.99),"Overweight",B1649&gt;=30,"Obesity")</f>
        <v>Obesity</v>
      </c>
      <c r="J1649" t="str" cm="1">
        <f t="array" ref="J1649">_xlfn.IFS(C1649&lt;5.7,"Normal",AND(C1649&gt;=5.7,C1649&lt;=6.49),"Prediabetes",C1649&gt;=6.5,"Diabetes")</f>
        <v>Normal</v>
      </c>
    </row>
    <row r="1650" spans="1:10" x14ac:dyDescent="0.3">
      <c r="A1650" t="s">
        <v>722</v>
      </c>
      <c r="B1650" s="8">
        <v>32.51</v>
      </c>
      <c r="C1650">
        <v>4.3</v>
      </c>
      <c r="D1650" t="s">
        <v>2379</v>
      </c>
      <c r="E1650" t="s">
        <v>2379</v>
      </c>
      <c r="F1650" t="s">
        <v>2379</v>
      </c>
      <c r="G1650">
        <v>0</v>
      </c>
      <c r="H1650" t="s">
        <v>2379</v>
      </c>
      <c r="I1650" t="str" cm="1">
        <f t="array" ref="I1650">_xlfn.IFS(B1650&lt;18.5,"Underweight",AND(B1650&gt;=18.5,B1650&lt;=24.99),"Normalweight",AND(B1650&gt;=25,B1650&lt;=29.99),"Overweight",B1650&gt;=30,"Obesity")</f>
        <v>Obesity</v>
      </c>
      <c r="J1650" t="str" cm="1">
        <f t="array" ref="J1650">_xlfn.IFS(C1650&lt;5.7,"Normal",AND(C1650&gt;=5.7,C1650&lt;=6.49),"Prediabetes",C1650&gt;=6.5,"Diabetes")</f>
        <v>Normal</v>
      </c>
    </row>
    <row r="1651" spans="1:10" x14ac:dyDescent="0.3">
      <c r="A1651" t="s">
        <v>721</v>
      </c>
      <c r="B1651" s="8">
        <v>30.71</v>
      </c>
      <c r="C1651">
        <v>6.14</v>
      </c>
      <c r="D1651" t="s">
        <v>2379</v>
      </c>
      <c r="E1651" t="s">
        <v>2379</v>
      </c>
      <c r="F1651" t="s">
        <v>2381</v>
      </c>
      <c r="G1651">
        <v>1</v>
      </c>
      <c r="H1651" t="s">
        <v>2379</v>
      </c>
      <c r="I1651" t="str" cm="1">
        <f t="array" ref="I1651">_xlfn.IFS(B1651&lt;18.5,"Underweight",AND(B1651&gt;=18.5,B1651&lt;=24.99),"Normalweight",AND(B1651&gt;=25,B1651&lt;=29.99),"Overweight",B1651&gt;=30,"Obesity")</f>
        <v>Obesity</v>
      </c>
      <c r="J1651" t="str" cm="1">
        <f t="array" ref="J1651">_xlfn.IFS(C1651&lt;5.7,"Normal",AND(C1651&gt;=5.7,C1651&lt;=6.49),"Prediabetes",C1651&gt;=6.5,"Diabetes")</f>
        <v>Prediabetes</v>
      </c>
    </row>
    <row r="1652" spans="1:10" x14ac:dyDescent="0.3">
      <c r="A1652" t="s">
        <v>720</v>
      </c>
      <c r="B1652" s="8">
        <v>28.9</v>
      </c>
      <c r="C1652">
        <v>5.36</v>
      </c>
      <c r="D1652" t="s">
        <v>2379</v>
      </c>
      <c r="E1652" t="s">
        <v>2379</v>
      </c>
      <c r="F1652" t="s">
        <v>2379</v>
      </c>
      <c r="G1652">
        <v>1</v>
      </c>
      <c r="H1652" t="s">
        <v>2379</v>
      </c>
      <c r="I1652" t="str" cm="1">
        <f t="array" ref="I1652">_xlfn.IFS(B1652&lt;18.5,"Underweight",AND(B1652&gt;=18.5,B1652&lt;=24.99),"Normalweight",AND(B1652&gt;=25,B1652&lt;=29.99),"Overweight",B1652&gt;=30,"Obesity")</f>
        <v>Overweight</v>
      </c>
      <c r="J1652" t="str" cm="1">
        <f t="array" ref="J1652">_xlfn.IFS(C1652&lt;5.7,"Normal",AND(C1652&gt;=5.7,C1652&lt;=6.49),"Prediabetes",C1652&gt;=6.5,"Diabetes")</f>
        <v>Normal</v>
      </c>
    </row>
    <row r="1653" spans="1:10" x14ac:dyDescent="0.3">
      <c r="A1653" t="s">
        <v>719</v>
      </c>
      <c r="B1653" s="8">
        <v>36.19</v>
      </c>
      <c r="C1653">
        <v>4.3</v>
      </c>
      <c r="D1653" t="s">
        <v>2379</v>
      </c>
      <c r="E1653" t="s">
        <v>2379</v>
      </c>
      <c r="F1653" t="s">
        <v>2379</v>
      </c>
      <c r="G1653">
        <v>0</v>
      </c>
      <c r="H1653" t="s">
        <v>2379</v>
      </c>
      <c r="I1653" t="str" cm="1">
        <f t="array" ref="I1653">_xlfn.IFS(B1653&lt;18.5,"Underweight",AND(B1653&gt;=18.5,B1653&lt;=24.99),"Normalweight",AND(B1653&gt;=25,B1653&lt;=29.99),"Overweight",B1653&gt;=30,"Obesity")</f>
        <v>Obesity</v>
      </c>
      <c r="J1653" t="str" cm="1">
        <f t="array" ref="J1653">_xlfn.IFS(C1653&lt;5.7,"Normal",AND(C1653&gt;=5.7,C1653&lt;=6.49),"Prediabetes",C1653&gt;=6.5,"Diabetes")</f>
        <v>Normal</v>
      </c>
    </row>
    <row r="1654" spans="1:10" x14ac:dyDescent="0.3">
      <c r="A1654" t="s">
        <v>718</v>
      </c>
      <c r="B1654" s="8">
        <v>29.6</v>
      </c>
      <c r="C1654">
        <v>4.09</v>
      </c>
      <c r="D1654" t="s">
        <v>2379</v>
      </c>
      <c r="E1654" t="s">
        <v>2379</v>
      </c>
      <c r="F1654" t="s">
        <v>2379</v>
      </c>
      <c r="G1654">
        <v>0</v>
      </c>
      <c r="H1654" t="s">
        <v>2379</v>
      </c>
      <c r="I1654" t="str" cm="1">
        <f t="array" ref="I1654">_xlfn.IFS(B1654&lt;18.5,"Underweight",AND(B1654&gt;=18.5,B1654&lt;=24.99),"Normalweight",AND(B1654&gt;=25,B1654&lt;=29.99),"Overweight",B1654&gt;=30,"Obesity")</f>
        <v>Overweight</v>
      </c>
      <c r="J1654" t="str" cm="1">
        <f t="array" ref="J1654">_xlfn.IFS(C1654&lt;5.7,"Normal",AND(C1654&gt;=5.7,C1654&lt;=6.49),"Prediabetes",C1654&gt;=6.5,"Diabetes")</f>
        <v>Normal</v>
      </c>
    </row>
    <row r="1655" spans="1:10" x14ac:dyDescent="0.3">
      <c r="A1655" t="s">
        <v>717</v>
      </c>
      <c r="B1655" s="8">
        <v>30.95</v>
      </c>
      <c r="C1655">
        <v>6.27</v>
      </c>
      <c r="D1655" t="s">
        <v>2379</v>
      </c>
      <c r="E1655" t="s">
        <v>2379</v>
      </c>
      <c r="F1655" t="s">
        <v>2381</v>
      </c>
      <c r="G1655">
        <v>1</v>
      </c>
      <c r="H1655" t="s">
        <v>2379</v>
      </c>
      <c r="I1655" t="str" cm="1">
        <f t="array" ref="I1655">_xlfn.IFS(B1655&lt;18.5,"Underweight",AND(B1655&gt;=18.5,B1655&lt;=24.99),"Normalweight",AND(B1655&gt;=25,B1655&lt;=29.99),"Overweight",B1655&gt;=30,"Obesity")</f>
        <v>Obesity</v>
      </c>
      <c r="J1655" t="str" cm="1">
        <f t="array" ref="J1655">_xlfn.IFS(C1655&lt;5.7,"Normal",AND(C1655&gt;=5.7,C1655&lt;=6.49),"Prediabetes",C1655&gt;=6.5,"Diabetes")</f>
        <v>Prediabetes</v>
      </c>
    </row>
    <row r="1656" spans="1:10" x14ac:dyDescent="0.3">
      <c r="A1656" t="s">
        <v>716</v>
      </c>
      <c r="B1656" s="8">
        <v>19.95</v>
      </c>
      <c r="C1656">
        <v>5.39</v>
      </c>
      <c r="D1656" t="s">
        <v>2379</v>
      </c>
      <c r="E1656" t="s">
        <v>2379</v>
      </c>
      <c r="F1656" t="s">
        <v>2379</v>
      </c>
      <c r="G1656">
        <v>1</v>
      </c>
      <c r="H1656" t="s">
        <v>2379</v>
      </c>
      <c r="I1656" t="str" cm="1">
        <f t="array" ref="I1656">_xlfn.IFS(B1656&lt;18.5,"Underweight",AND(B1656&gt;=18.5,B1656&lt;=24.99),"Normalweight",AND(B1656&gt;=25,B1656&lt;=29.99),"Overweight",B1656&gt;=30,"Obesity")</f>
        <v>Normalweight</v>
      </c>
      <c r="J1656" t="str" cm="1">
        <f t="array" ref="J1656">_xlfn.IFS(C1656&lt;5.7,"Normal",AND(C1656&gt;=5.7,C1656&lt;=6.49),"Prediabetes",C1656&gt;=6.5,"Diabetes")</f>
        <v>Normal</v>
      </c>
    </row>
    <row r="1657" spans="1:10" x14ac:dyDescent="0.3">
      <c r="A1657" t="s">
        <v>715</v>
      </c>
      <c r="B1657" s="8">
        <v>23.65</v>
      </c>
      <c r="C1657">
        <v>5.75</v>
      </c>
      <c r="D1657" t="s">
        <v>2381</v>
      </c>
      <c r="E1657" t="s">
        <v>2379</v>
      </c>
      <c r="F1657" t="s">
        <v>2379</v>
      </c>
      <c r="G1657">
        <v>0</v>
      </c>
      <c r="H1657" t="s">
        <v>2379</v>
      </c>
      <c r="I1657" t="str" cm="1">
        <f t="array" ref="I1657">_xlfn.IFS(B1657&lt;18.5,"Underweight",AND(B1657&gt;=18.5,B1657&lt;=24.99),"Normalweight",AND(B1657&gt;=25,B1657&lt;=29.99),"Overweight",B1657&gt;=30,"Obesity")</f>
        <v>Normalweight</v>
      </c>
      <c r="J1657" t="str" cm="1">
        <f t="array" ref="J1657">_xlfn.IFS(C1657&lt;5.7,"Normal",AND(C1657&gt;=5.7,C1657&lt;=6.49),"Prediabetes",C1657&gt;=6.5,"Diabetes")</f>
        <v>Prediabetes</v>
      </c>
    </row>
    <row r="1658" spans="1:10" x14ac:dyDescent="0.3">
      <c r="A1658" t="s">
        <v>714</v>
      </c>
      <c r="B1658" s="8">
        <v>43.34</v>
      </c>
      <c r="C1658">
        <v>4.91</v>
      </c>
      <c r="D1658" t="s">
        <v>2379</v>
      </c>
      <c r="E1658" t="s">
        <v>2379</v>
      </c>
      <c r="F1658" t="s">
        <v>2379</v>
      </c>
      <c r="G1658">
        <v>1</v>
      </c>
      <c r="H1658" t="s">
        <v>2379</v>
      </c>
      <c r="I1658" t="str" cm="1">
        <f t="array" ref="I1658">_xlfn.IFS(B1658&lt;18.5,"Underweight",AND(B1658&gt;=18.5,B1658&lt;=24.99),"Normalweight",AND(B1658&gt;=25,B1658&lt;=29.99),"Overweight",B1658&gt;=30,"Obesity")</f>
        <v>Obesity</v>
      </c>
      <c r="J1658" t="str" cm="1">
        <f t="array" ref="J1658">_xlfn.IFS(C1658&lt;5.7,"Normal",AND(C1658&gt;=5.7,C1658&lt;=6.49),"Prediabetes",C1658&gt;=6.5,"Diabetes")</f>
        <v>Normal</v>
      </c>
    </row>
    <row r="1659" spans="1:10" x14ac:dyDescent="0.3">
      <c r="A1659" t="s">
        <v>713</v>
      </c>
      <c r="B1659" s="8">
        <v>31.98</v>
      </c>
      <c r="C1659">
        <v>4.46</v>
      </c>
      <c r="D1659" t="s">
        <v>2381</v>
      </c>
      <c r="E1659" t="s">
        <v>2379</v>
      </c>
      <c r="F1659" t="s">
        <v>2379</v>
      </c>
      <c r="G1659">
        <v>1</v>
      </c>
      <c r="H1659" t="s">
        <v>2379</v>
      </c>
      <c r="I1659" t="str" cm="1">
        <f t="array" ref="I1659">_xlfn.IFS(B1659&lt;18.5,"Underweight",AND(B1659&gt;=18.5,B1659&lt;=24.99),"Normalweight",AND(B1659&gt;=25,B1659&lt;=29.99),"Overweight",B1659&gt;=30,"Obesity")</f>
        <v>Obesity</v>
      </c>
      <c r="J1659" t="str" cm="1">
        <f t="array" ref="J1659">_xlfn.IFS(C1659&lt;5.7,"Normal",AND(C1659&gt;=5.7,C1659&lt;=6.49),"Prediabetes",C1659&gt;=6.5,"Diabetes")</f>
        <v>Normal</v>
      </c>
    </row>
    <row r="1660" spans="1:10" x14ac:dyDescent="0.3">
      <c r="A1660" t="s">
        <v>712</v>
      </c>
      <c r="B1660" s="8">
        <v>35.86</v>
      </c>
      <c r="C1660">
        <v>6.22</v>
      </c>
      <c r="D1660" t="s">
        <v>2379</v>
      </c>
      <c r="E1660" t="s">
        <v>2379</v>
      </c>
      <c r="F1660" t="s">
        <v>2379</v>
      </c>
      <c r="G1660">
        <v>1</v>
      </c>
      <c r="H1660" t="s">
        <v>2379</v>
      </c>
      <c r="I1660" t="str" cm="1">
        <f t="array" ref="I1660">_xlfn.IFS(B1660&lt;18.5,"Underweight",AND(B1660&gt;=18.5,B1660&lt;=24.99),"Normalweight",AND(B1660&gt;=25,B1660&lt;=29.99),"Overweight",B1660&gt;=30,"Obesity")</f>
        <v>Obesity</v>
      </c>
      <c r="J1660" t="str" cm="1">
        <f t="array" ref="J1660">_xlfn.IFS(C1660&lt;5.7,"Normal",AND(C1660&gt;=5.7,C1660&lt;=6.49),"Prediabetes",C1660&gt;=6.5,"Diabetes")</f>
        <v>Prediabetes</v>
      </c>
    </row>
    <row r="1661" spans="1:10" x14ac:dyDescent="0.3">
      <c r="A1661" t="s">
        <v>711</v>
      </c>
      <c r="B1661" s="8">
        <v>15.2</v>
      </c>
      <c r="C1661">
        <v>8.82</v>
      </c>
      <c r="D1661" t="s">
        <v>2379</v>
      </c>
      <c r="E1661" t="s">
        <v>2379</v>
      </c>
      <c r="F1661" t="s">
        <v>2379</v>
      </c>
      <c r="G1661">
        <v>0</v>
      </c>
      <c r="H1661" t="s">
        <v>2379</v>
      </c>
      <c r="I1661" t="str" cm="1">
        <f t="array" ref="I1661">_xlfn.IFS(B1661&lt;18.5,"Underweight",AND(B1661&gt;=18.5,B1661&lt;=24.99),"Normalweight",AND(B1661&gt;=25,B1661&lt;=29.99),"Overweight",B1661&gt;=30,"Obesity")</f>
        <v>Underweight</v>
      </c>
      <c r="J1661" t="str" cm="1">
        <f t="array" ref="J1661">_xlfn.IFS(C1661&lt;5.7,"Normal",AND(C1661&gt;=5.7,C1661&lt;=6.49),"Prediabetes",C1661&gt;=6.5,"Diabetes")</f>
        <v>Diabetes</v>
      </c>
    </row>
    <row r="1662" spans="1:10" x14ac:dyDescent="0.3">
      <c r="A1662" t="s">
        <v>710</v>
      </c>
      <c r="B1662" s="8">
        <v>37.200000000000003</v>
      </c>
      <c r="C1662">
        <v>10.14</v>
      </c>
      <c r="D1662" t="s">
        <v>2379</v>
      </c>
      <c r="E1662" t="s">
        <v>2379</v>
      </c>
      <c r="F1662" t="s">
        <v>2379</v>
      </c>
      <c r="G1662">
        <v>0</v>
      </c>
      <c r="H1662" t="s">
        <v>2379</v>
      </c>
      <c r="I1662" t="str" cm="1">
        <f t="array" ref="I1662">_xlfn.IFS(B1662&lt;18.5,"Underweight",AND(B1662&gt;=18.5,B1662&lt;=24.99),"Normalweight",AND(B1662&gt;=25,B1662&lt;=29.99),"Overweight",B1662&gt;=30,"Obesity")</f>
        <v>Obesity</v>
      </c>
      <c r="J1662" t="str" cm="1">
        <f t="array" ref="J1662">_xlfn.IFS(C1662&lt;5.7,"Normal",AND(C1662&gt;=5.7,C1662&lt;=6.49),"Prediabetes",C1662&gt;=6.5,"Diabetes")</f>
        <v>Diabetes</v>
      </c>
    </row>
    <row r="1663" spans="1:10" x14ac:dyDescent="0.3">
      <c r="A1663" t="s">
        <v>709</v>
      </c>
      <c r="B1663" s="8">
        <v>17.91</v>
      </c>
      <c r="C1663">
        <v>4.66</v>
      </c>
      <c r="D1663" t="s">
        <v>2379</v>
      </c>
      <c r="E1663" t="s">
        <v>2379</v>
      </c>
      <c r="F1663" t="s">
        <v>2379</v>
      </c>
      <c r="G1663">
        <v>2</v>
      </c>
      <c r="H1663" t="s">
        <v>2379</v>
      </c>
      <c r="I1663" t="str" cm="1">
        <f t="array" ref="I1663">_xlfn.IFS(B1663&lt;18.5,"Underweight",AND(B1663&gt;=18.5,B1663&lt;=24.99),"Normalweight",AND(B1663&gt;=25,B1663&lt;=29.99),"Overweight",B1663&gt;=30,"Obesity")</f>
        <v>Underweight</v>
      </c>
      <c r="J1663" t="str" cm="1">
        <f t="array" ref="J1663">_xlfn.IFS(C1663&lt;5.7,"Normal",AND(C1663&gt;=5.7,C1663&lt;=6.49),"Prediabetes",C1663&gt;=6.5,"Diabetes")</f>
        <v>Normal</v>
      </c>
    </row>
    <row r="1664" spans="1:10" x14ac:dyDescent="0.3">
      <c r="A1664" t="s">
        <v>708</v>
      </c>
      <c r="B1664" s="8">
        <v>20.76</v>
      </c>
      <c r="C1664">
        <v>6.26</v>
      </c>
      <c r="D1664" t="s">
        <v>2379</v>
      </c>
      <c r="E1664" t="s">
        <v>2379</v>
      </c>
      <c r="F1664" t="s">
        <v>2379</v>
      </c>
      <c r="G1664">
        <v>0</v>
      </c>
      <c r="H1664" t="s">
        <v>2379</v>
      </c>
      <c r="I1664" t="str" cm="1">
        <f t="array" ref="I1664">_xlfn.IFS(B1664&lt;18.5,"Underweight",AND(B1664&gt;=18.5,B1664&lt;=24.99),"Normalweight",AND(B1664&gt;=25,B1664&lt;=29.99),"Overweight",B1664&gt;=30,"Obesity")</f>
        <v>Normalweight</v>
      </c>
      <c r="J1664" t="str" cm="1">
        <f t="array" ref="J1664">_xlfn.IFS(C1664&lt;5.7,"Normal",AND(C1664&gt;=5.7,C1664&lt;=6.49),"Prediabetes",C1664&gt;=6.5,"Diabetes")</f>
        <v>Prediabetes</v>
      </c>
    </row>
    <row r="1665" spans="1:10" x14ac:dyDescent="0.3">
      <c r="A1665" t="s">
        <v>707</v>
      </c>
      <c r="B1665" s="8">
        <v>38.99</v>
      </c>
      <c r="C1665">
        <v>5.21</v>
      </c>
      <c r="D1665" t="s">
        <v>2379</v>
      </c>
      <c r="E1665" t="s">
        <v>2380</v>
      </c>
      <c r="F1665" t="s">
        <v>2379</v>
      </c>
      <c r="G1665">
        <v>1</v>
      </c>
      <c r="H1665" t="s">
        <v>2379</v>
      </c>
      <c r="I1665" t="str" cm="1">
        <f t="array" ref="I1665">_xlfn.IFS(B1665&lt;18.5,"Underweight",AND(B1665&gt;=18.5,B1665&lt;=24.99),"Normalweight",AND(B1665&gt;=25,B1665&lt;=29.99),"Overweight",B1665&gt;=30,"Obesity")</f>
        <v>Obesity</v>
      </c>
      <c r="J1665" t="str" cm="1">
        <f t="array" ref="J1665">_xlfn.IFS(C1665&lt;5.7,"Normal",AND(C1665&gt;=5.7,C1665&lt;=6.49),"Prediabetes",C1665&gt;=6.5,"Diabetes")</f>
        <v>Normal</v>
      </c>
    </row>
    <row r="1666" spans="1:10" x14ac:dyDescent="0.3">
      <c r="A1666" t="s">
        <v>706</v>
      </c>
      <c r="B1666" s="8">
        <v>42.655000000000001</v>
      </c>
      <c r="C1666">
        <v>5.94</v>
      </c>
      <c r="D1666" t="s">
        <v>2381</v>
      </c>
      <c r="E1666" t="s">
        <v>2379</v>
      </c>
      <c r="F1666" t="s">
        <v>2381</v>
      </c>
      <c r="G1666">
        <v>1</v>
      </c>
      <c r="H1666" t="s">
        <v>2379</v>
      </c>
      <c r="I1666" t="str" cm="1">
        <f t="array" ref="I1666">_xlfn.IFS(B1666&lt;18.5,"Underweight",AND(B1666&gt;=18.5,B1666&lt;=24.99),"Normalweight",AND(B1666&gt;=25,B1666&lt;=29.99),"Overweight",B1666&gt;=30,"Obesity")</f>
        <v>Obesity</v>
      </c>
      <c r="J1666" t="str" cm="1">
        <f t="array" ref="J1666">_xlfn.IFS(C1666&lt;5.7,"Normal",AND(C1666&gt;=5.7,C1666&lt;=6.49),"Prediabetes",C1666&gt;=6.5,"Diabetes")</f>
        <v>Prediabetes</v>
      </c>
    </row>
    <row r="1667" spans="1:10" x14ac:dyDescent="0.3">
      <c r="A1667" t="s">
        <v>705</v>
      </c>
      <c r="B1667" s="8">
        <v>30.57</v>
      </c>
      <c r="C1667">
        <v>5.34</v>
      </c>
      <c r="D1667" t="s">
        <v>2379</v>
      </c>
      <c r="E1667" t="s">
        <v>2379</v>
      </c>
      <c r="F1667" t="s">
        <v>2381</v>
      </c>
      <c r="G1667">
        <v>1</v>
      </c>
      <c r="H1667" t="s">
        <v>2379</v>
      </c>
      <c r="I1667" t="str" cm="1">
        <f t="array" ref="I1667">_xlfn.IFS(B1667&lt;18.5,"Underweight",AND(B1667&gt;=18.5,B1667&lt;=24.99),"Normalweight",AND(B1667&gt;=25,B1667&lt;=29.99),"Overweight",B1667&gt;=30,"Obesity")</f>
        <v>Obesity</v>
      </c>
      <c r="J1667" t="str" cm="1">
        <f t="array" ref="J1667">_xlfn.IFS(C1667&lt;5.7,"Normal",AND(C1667&gt;=5.7,C1667&lt;=6.49),"Prediabetes",C1667&gt;=6.5,"Diabetes")</f>
        <v>Normal</v>
      </c>
    </row>
    <row r="1668" spans="1:10" x14ac:dyDescent="0.3">
      <c r="A1668" t="s">
        <v>704</v>
      </c>
      <c r="B1668" s="8">
        <v>17.7</v>
      </c>
      <c r="C1668">
        <v>6.38</v>
      </c>
      <c r="D1668" t="s">
        <v>2379</v>
      </c>
      <c r="E1668" t="s">
        <v>2379</v>
      </c>
      <c r="F1668" t="s">
        <v>2379</v>
      </c>
      <c r="G1668">
        <v>2</v>
      </c>
      <c r="H1668" t="s">
        <v>2379</v>
      </c>
      <c r="I1668" t="str" cm="1">
        <f t="array" ref="I1668">_xlfn.IFS(B1668&lt;18.5,"Underweight",AND(B1668&gt;=18.5,B1668&lt;=24.99),"Normalweight",AND(B1668&gt;=25,B1668&lt;=29.99),"Overweight",B1668&gt;=30,"Obesity")</f>
        <v>Underweight</v>
      </c>
      <c r="J1668" t="str" cm="1">
        <f t="array" ref="J1668">_xlfn.IFS(C1668&lt;5.7,"Normal",AND(C1668&gt;=5.7,C1668&lt;=6.49),"Prediabetes",C1668&gt;=6.5,"Diabetes")</f>
        <v>Prediabetes</v>
      </c>
    </row>
    <row r="1669" spans="1:10" x14ac:dyDescent="0.3">
      <c r="A1669" t="s">
        <v>703</v>
      </c>
      <c r="B1669" s="8">
        <v>34.770000000000003</v>
      </c>
      <c r="C1669">
        <v>4.47</v>
      </c>
      <c r="D1669" t="s">
        <v>2379</v>
      </c>
      <c r="E1669" t="s">
        <v>2379</v>
      </c>
      <c r="F1669" t="s">
        <v>2379</v>
      </c>
      <c r="G1669">
        <v>1</v>
      </c>
      <c r="H1669" t="s">
        <v>2379</v>
      </c>
      <c r="I1669" t="str" cm="1">
        <f t="array" ref="I1669">_xlfn.IFS(B1669&lt;18.5,"Underweight",AND(B1669&gt;=18.5,B1669&lt;=24.99),"Normalweight",AND(B1669&gt;=25,B1669&lt;=29.99),"Overweight",B1669&gt;=30,"Obesity")</f>
        <v>Obesity</v>
      </c>
      <c r="J1669" t="str" cm="1">
        <f t="array" ref="J1669">_xlfn.IFS(C1669&lt;5.7,"Normal",AND(C1669&gt;=5.7,C1669&lt;=6.49),"Prediabetes",C1669&gt;=6.5,"Diabetes")</f>
        <v>Normal</v>
      </c>
    </row>
    <row r="1670" spans="1:10" x14ac:dyDescent="0.3">
      <c r="A1670" t="s">
        <v>702</v>
      </c>
      <c r="B1670" s="8">
        <v>16.88</v>
      </c>
      <c r="C1670">
        <v>9.9600000000000009</v>
      </c>
      <c r="D1670" t="s">
        <v>2379</v>
      </c>
      <c r="E1670" t="s">
        <v>2379</v>
      </c>
      <c r="F1670" t="s">
        <v>2379</v>
      </c>
      <c r="G1670">
        <v>0</v>
      </c>
      <c r="H1670" t="s">
        <v>2379</v>
      </c>
      <c r="I1670" t="str" cm="1">
        <f t="array" ref="I1670">_xlfn.IFS(B1670&lt;18.5,"Underweight",AND(B1670&gt;=18.5,B1670&lt;=24.99),"Normalweight",AND(B1670&gt;=25,B1670&lt;=29.99),"Overweight",B1670&gt;=30,"Obesity")</f>
        <v>Underweight</v>
      </c>
      <c r="J1670" t="str" cm="1">
        <f t="array" ref="J1670">_xlfn.IFS(C1670&lt;5.7,"Normal",AND(C1670&gt;=5.7,C1670&lt;=6.49),"Prediabetes",C1670&gt;=6.5,"Diabetes")</f>
        <v>Diabetes</v>
      </c>
    </row>
    <row r="1671" spans="1:10" x14ac:dyDescent="0.3">
      <c r="A1671" t="s">
        <v>701</v>
      </c>
      <c r="B1671" s="8">
        <v>40.26</v>
      </c>
      <c r="C1671">
        <v>9.92</v>
      </c>
      <c r="D1671" t="s">
        <v>2381</v>
      </c>
      <c r="E1671" t="s">
        <v>2379</v>
      </c>
      <c r="F1671" t="s">
        <v>2379</v>
      </c>
      <c r="G1671">
        <v>0</v>
      </c>
      <c r="H1671" t="s">
        <v>2379</v>
      </c>
      <c r="I1671" t="str" cm="1">
        <f t="array" ref="I1671">_xlfn.IFS(B1671&lt;18.5,"Underweight",AND(B1671&gt;=18.5,B1671&lt;=24.99),"Normalweight",AND(B1671&gt;=25,B1671&lt;=29.99),"Overweight",B1671&gt;=30,"Obesity")</f>
        <v>Obesity</v>
      </c>
      <c r="J1671" t="str" cm="1">
        <f t="array" ref="J1671">_xlfn.IFS(C1671&lt;5.7,"Normal",AND(C1671&gt;=5.7,C1671&lt;=6.49),"Prediabetes",C1671&gt;=6.5,"Diabetes")</f>
        <v>Diabetes</v>
      </c>
    </row>
    <row r="1672" spans="1:10" x14ac:dyDescent="0.3">
      <c r="A1672" t="s">
        <v>700</v>
      </c>
      <c r="B1672" s="8">
        <v>25.6</v>
      </c>
      <c r="C1672">
        <v>6.03</v>
      </c>
      <c r="D1672" t="s">
        <v>2379</v>
      </c>
      <c r="E1672" t="s">
        <v>2379</v>
      </c>
      <c r="F1672" t="s">
        <v>2381</v>
      </c>
      <c r="G1672">
        <v>1</v>
      </c>
      <c r="H1672" t="s">
        <v>2379</v>
      </c>
      <c r="I1672" t="str" cm="1">
        <f t="array" ref="I1672">_xlfn.IFS(B1672&lt;18.5,"Underweight",AND(B1672&gt;=18.5,B1672&lt;=24.99),"Normalweight",AND(B1672&gt;=25,B1672&lt;=29.99),"Overweight",B1672&gt;=30,"Obesity")</f>
        <v>Overweight</v>
      </c>
      <c r="J1672" t="str" cm="1">
        <f t="array" ref="J1672">_xlfn.IFS(C1672&lt;5.7,"Normal",AND(C1672&gt;=5.7,C1672&lt;=6.49),"Prediabetes",C1672&gt;=6.5,"Diabetes")</f>
        <v>Prediabetes</v>
      </c>
    </row>
    <row r="1673" spans="1:10" x14ac:dyDescent="0.3">
      <c r="A1673" t="s">
        <v>699</v>
      </c>
      <c r="B1673" s="8">
        <v>33.549999999999997</v>
      </c>
      <c r="C1673">
        <v>10.9</v>
      </c>
      <c r="D1673" t="s">
        <v>2381</v>
      </c>
      <c r="E1673" t="s">
        <v>2379</v>
      </c>
      <c r="F1673" t="s">
        <v>2379</v>
      </c>
      <c r="G1673">
        <v>0</v>
      </c>
      <c r="H1673" t="s">
        <v>2379</v>
      </c>
      <c r="I1673" t="str" cm="1">
        <f t="array" ref="I1673">_xlfn.IFS(B1673&lt;18.5,"Underweight",AND(B1673&gt;=18.5,B1673&lt;=24.99),"Normalweight",AND(B1673&gt;=25,B1673&lt;=29.99),"Overweight",B1673&gt;=30,"Obesity")</f>
        <v>Obesity</v>
      </c>
      <c r="J1673" t="str" cm="1">
        <f t="array" ref="J1673">_xlfn.IFS(C1673&lt;5.7,"Normal",AND(C1673&gt;=5.7,C1673&lt;=6.49),"Prediabetes",C1673&gt;=6.5,"Diabetes")</f>
        <v>Diabetes</v>
      </c>
    </row>
    <row r="1674" spans="1:10" x14ac:dyDescent="0.3">
      <c r="A1674" t="s">
        <v>698</v>
      </c>
      <c r="B1674" s="8">
        <v>16.690000000000001</v>
      </c>
      <c r="C1674">
        <v>10.66</v>
      </c>
      <c r="D1674" t="s">
        <v>2379</v>
      </c>
      <c r="E1674" t="s">
        <v>2379</v>
      </c>
      <c r="F1674" t="s">
        <v>2379</v>
      </c>
      <c r="G1674">
        <v>0</v>
      </c>
      <c r="H1674" t="s">
        <v>2379</v>
      </c>
      <c r="I1674" t="str" cm="1">
        <f t="array" ref="I1674">_xlfn.IFS(B1674&lt;18.5,"Underweight",AND(B1674&gt;=18.5,B1674&lt;=24.99),"Normalweight",AND(B1674&gt;=25,B1674&lt;=29.99),"Overweight",B1674&gt;=30,"Obesity")</f>
        <v>Underweight</v>
      </c>
      <c r="J1674" t="str" cm="1">
        <f t="array" ref="J1674">_xlfn.IFS(C1674&lt;5.7,"Normal",AND(C1674&gt;=5.7,C1674&lt;=6.49),"Prediabetes",C1674&gt;=6.5,"Diabetes")</f>
        <v>Diabetes</v>
      </c>
    </row>
    <row r="1675" spans="1:10" x14ac:dyDescent="0.3">
      <c r="A1675" t="s">
        <v>697</v>
      </c>
      <c r="B1675" s="8">
        <v>19.95</v>
      </c>
      <c r="C1675">
        <v>4.05</v>
      </c>
      <c r="D1675" t="s">
        <v>2379</v>
      </c>
      <c r="E1675" t="s">
        <v>2379</v>
      </c>
      <c r="F1675" t="s">
        <v>2379</v>
      </c>
      <c r="G1675">
        <v>1</v>
      </c>
      <c r="H1675" t="s">
        <v>2379</v>
      </c>
      <c r="I1675" t="str" cm="1">
        <f t="array" ref="I1675">_xlfn.IFS(B1675&lt;18.5,"Underweight",AND(B1675&gt;=18.5,B1675&lt;=24.99),"Normalweight",AND(B1675&gt;=25,B1675&lt;=29.99),"Overweight",B1675&gt;=30,"Obesity")</f>
        <v>Normalweight</v>
      </c>
      <c r="J1675" t="str" cm="1">
        <f t="array" ref="J1675">_xlfn.IFS(C1675&lt;5.7,"Normal",AND(C1675&gt;=5.7,C1675&lt;=6.49),"Prediabetes",C1675&gt;=6.5,"Diabetes")</f>
        <v>Normal</v>
      </c>
    </row>
    <row r="1676" spans="1:10" x14ac:dyDescent="0.3">
      <c r="A1676" t="s">
        <v>696</v>
      </c>
      <c r="B1676" s="8">
        <v>17.55</v>
      </c>
      <c r="C1676">
        <v>4.2300000000000004</v>
      </c>
      <c r="D1676" t="s">
        <v>2379</v>
      </c>
      <c r="E1676" t="s">
        <v>2379</v>
      </c>
      <c r="F1676" t="s">
        <v>2379</v>
      </c>
      <c r="G1676">
        <v>2</v>
      </c>
      <c r="H1676" t="s">
        <v>2379</v>
      </c>
      <c r="I1676" t="str" cm="1">
        <f t="array" ref="I1676">_xlfn.IFS(B1676&lt;18.5,"Underweight",AND(B1676&gt;=18.5,B1676&lt;=24.99),"Normalweight",AND(B1676&gt;=25,B1676&lt;=29.99),"Overweight",B1676&gt;=30,"Obesity")</f>
        <v>Underweight</v>
      </c>
      <c r="J1676" t="str" cm="1">
        <f t="array" ref="J1676">_xlfn.IFS(C1676&lt;5.7,"Normal",AND(C1676&gt;=5.7,C1676&lt;=6.49),"Prediabetes",C1676&gt;=6.5,"Diabetes")</f>
        <v>Normal</v>
      </c>
    </row>
    <row r="1677" spans="1:10" x14ac:dyDescent="0.3">
      <c r="A1677" t="s">
        <v>695</v>
      </c>
      <c r="B1677" s="8">
        <v>22.01</v>
      </c>
      <c r="C1677">
        <v>5.01</v>
      </c>
      <c r="D1677" t="s">
        <v>2379</v>
      </c>
      <c r="E1677" t="s">
        <v>2379</v>
      </c>
      <c r="F1677" t="s">
        <v>2379</v>
      </c>
      <c r="G1677">
        <v>1</v>
      </c>
      <c r="H1677" t="s">
        <v>2379</v>
      </c>
      <c r="I1677" t="str" cm="1">
        <f t="array" ref="I1677">_xlfn.IFS(B1677&lt;18.5,"Underweight",AND(B1677&gt;=18.5,B1677&lt;=24.99),"Normalweight",AND(B1677&gt;=25,B1677&lt;=29.99),"Overweight",B1677&gt;=30,"Obesity")</f>
        <v>Normalweight</v>
      </c>
      <c r="J1677" t="str" cm="1">
        <f t="array" ref="J1677">_xlfn.IFS(C1677&lt;5.7,"Normal",AND(C1677&gt;=5.7,C1677&lt;=6.49),"Prediabetes",C1677&gt;=6.5,"Diabetes")</f>
        <v>Normal</v>
      </c>
    </row>
    <row r="1678" spans="1:10" x14ac:dyDescent="0.3">
      <c r="A1678" t="s">
        <v>694</v>
      </c>
      <c r="B1678" s="8">
        <v>41.8</v>
      </c>
      <c r="C1678">
        <v>5.82</v>
      </c>
      <c r="D1678" t="s">
        <v>2381</v>
      </c>
      <c r="E1678" t="s">
        <v>2379</v>
      </c>
      <c r="F1678" t="s">
        <v>2381</v>
      </c>
      <c r="G1678">
        <v>1</v>
      </c>
      <c r="H1678" t="s">
        <v>2379</v>
      </c>
      <c r="I1678" t="str" cm="1">
        <f t="array" ref="I1678">_xlfn.IFS(B1678&lt;18.5,"Underweight",AND(B1678&gt;=18.5,B1678&lt;=24.99),"Normalweight",AND(B1678&gt;=25,B1678&lt;=29.99),"Overweight",B1678&gt;=30,"Obesity")</f>
        <v>Obesity</v>
      </c>
      <c r="J1678" t="str" cm="1">
        <f t="array" ref="J1678">_xlfn.IFS(C1678&lt;5.7,"Normal",AND(C1678&gt;=5.7,C1678&lt;=6.49),"Prediabetes",C1678&gt;=6.5,"Diabetes")</f>
        <v>Prediabetes</v>
      </c>
    </row>
    <row r="1679" spans="1:10" x14ac:dyDescent="0.3">
      <c r="A1679" t="s">
        <v>693</v>
      </c>
      <c r="B1679" s="8">
        <v>19.170000000000002</v>
      </c>
      <c r="C1679">
        <v>7.94</v>
      </c>
      <c r="D1679" t="s">
        <v>2379</v>
      </c>
      <c r="E1679" t="s">
        <v>2379</v>
      </c>
      <c r="F1679" t="s">
        <v>2379</v>
      </c>
      <c r="G1679">
        <v>0</v>
      </c>
      <c r="H1679" t="s">
        <v>2379</v>
      </c>
      <c r="I1679" t="str" cm="1">
        <f t="array" ref="I1679">_xlfn.IFS(B1679&lt;18.5,"Underweight",AND(B1679&gt;=18.5,B1679&lt;=24.99),"Normalweight",AND(B1679&gt;=25,B1679&lt;=29.99),"Overweight",B1679&gt;=30,"Obesity")</f>
        <v>Normalweight</v>
      </c>
      <c r="J1679" t="str" cm="1">
        <f t="array" ref="J1679">_xlfn.IFS(C1679&lt;5.7,"Normal",AND(C1679&gt;=5.7,C1679&lt;=6.49),"Prediabetes",C1679&gt;=6.5,"Diabetes")</f>
        <v>Diabetes</v>
      </c>
    </row>
    <row r="1680" spans="1:10" x14ac:dyDescent="0.3">
      <c r="A1680" t="s">
        <v>692</v>
      </c>
      <c r="B1680" s="8">
        <v>32.799999999999997</v>
      </c>
      <c r="C1680">
        <v>6.16</v>
      </c>
      <c r="D1680" t="s">
        <v>2381</v>
      </c>
      <c r="E1680" t="s">
        <v>2379</v>
      </c>
      <c r="F1680" t="s">
        <v>2381</v>
      </c>
      <c r="G1680">
        <v>1</v>
      </c>
      <c r="H1680" t="s">
        <v>2379</v>
      </c>
      <c r="I1680" t="str" cm="1">
        <f t="array" ref="I1680">_xlfn.IFS(B1680&lt;18.5,"Underweight",AND(B1680&gt;=18.5,B1680&lt;=24.99),"Normalweight",AND(B1680&gt;=25,B1680&lt;=29.99),"Overweight",B1680&gt;=30,"Obesity")</f>
        <v>Obesity</v>
      </c>
      <c r="J1680" t="str" cm="1">
        <f t="array" ref="J1680">_xlfn.IFS(C1680&lt;5.7,"Normal",AND(C1680&gt;=5.7,C1680&lt;=6.49),"Prediabetes",C1680&gt;=6.5,"Diabetes")</f>
        <v>Prediabetes</v>
      </c>
    </row>
    <row r="1681" spans="1:10" x14ac:dyDescent="0.3">
      <c r="A1681" t="s">
        <v>691</v>
      </c>
      <c r="B1681" s="8">
        <v>35.814999999999998</v>
      </c>
      <c r="C1681">
        <v>4.1500000000000004</v>
      </c>
      <c r="D1681" t="s">
        <v>2379</v>
      </c>
      <c r="E1681" t="s">
        <v>2379</v>
      </c>
      <c r="F1681" t="s">
        <v>2379</v>
      </c>
      <c r="G1681">
        <v>1</v>
      </c>
      <c r="H1681" t="s">
        <v>2379</v>
      </c>
      <c r="I1681" t="str" cm="1">
        <f t="array" ref="I1681">_xlfn.IFS(B1681&lt;18.5,"Underweight",AND(B1681&gt;=18.5,B1681&lt;=24.99),"Normalweight",AND(B1681&gt;=25,B1681&lt;=29.99),"Overweight",B1681&gt;=30,"Obesity")</f>
        <v>Obesity</v>
      </c>
      <c r="J1681" t="str" cm="1">
        <f t="array" ref="J1681">_xlfn.IFS(C1681&lt;5.7,"Normal",AND(C1681&gt;=5.7,C1681&lt;=6.49),"Prediabetes",C1681&gt;=6.5,"Diabetes")</f>
        <v>Normal</v>
      </c>
    </row>
    <row r="1682" spans="1:10" x14ac:dyDescent="0.3">
      <c r="A1682" t="s">
        <v>690</v>
      </c>
      <c r="B1682" s="8">
        <v>24.3</v>
      </c>
      <c r="C1682">
        <v>6.23</v>
      </c>
      <c r="D1682" t="s">
        <v>2379</v>
      </c>
      <c r="E1682" t="s">
        <v>2379</v>
      </c>
      <c r="F1682" t="s">
        <v>2379</v>
      </c>
      <c r="G1682">
        <v>0</v>
      </c>
      <c r="H1682" t="s">
        <v>2379</v>
      </c>
      <c r="I1682" t="str" cm="1">
        <f t="array" ref="I1682">_xlfn.IFS(B1682&lt;18.5,"Underweight",AND(B1682&gt;=18.5,B1682&lt;=24.99),"Normalweight",AND(B1682&gt;=25,B1682&lt;=29.99),"Overweight",B1682&gt;=30,"Obesity")</f>
        <v>Normalweight</v>
      </c>
      <c r="J1682" t="str" cm="1">
        <f t="array" ref="J1682">_xlfn.IFS(C1682&lt;5.7,"Normal",AND(C1682&gt;=5.7,C1682&lt;=6.49),"Prediabetes",C1682&gt;=6.5,"Diabetes")</f>
        <v>Prediabetes</v>
      </c>
    </row>
    <row r="1683" spans="1:10" x14ac:dyDescent="0.3">
      <c r="A1683" t="s">
        <v>689</v>
      </c>
      <c r="B1683" s="8">
        <v>19.059999999999999</v>
      </c>
      <c r="C1683">
        <v>7.41</v>
      </c>
      <c r="D1683" t="s">
        <v>2379</v>
      </c>
      <c r="E1683" t="s">
        <v>2379</v>
      </c>
      <c r="F1683" t="s">
        <v>2379</v>
      </c>
      <c r="G1683">
        <v>0</v>
      </c>
      <c r="H1683" t="s">
        <v>2379</v>
      </c>
      <c r="I1683" t="str" cm="1">
        <f t="array" ref="I1683">_xlfn.IFS(B1683&lt;18.5,"Underweight",AND(B1683&gt;=18.5,B1683&lt;=24.99),"Normalweight",AND(B1683&gt;=25,B1683&lt;=29.99),"Overweight",B1683&gt;=30,"Obesity")</f>
        <v>Normalweight</v>
      </c>
      <c r="J1683" t="str" cm="1">
        <f t="array" ref="J1683">_xlfn.IFS(C1683&lt;5.7,"Normal",AND(C1683&gt;=5.7,C1683&lt;=6.49),"Prediabetes",C1683&gt;=6.5,"Diabetes")</f>
        <v>Diabetes</v>
      </c>
    </row>
    <row r="1684" spans="1:10" x14ac:dyDescent="0.3">
      <c r="A1684" t="s">
        <v>688</v>
      </c>
      <c r="B1684" s="8">
        <v>33.25</v>
      </c>
      <c r="C1684">
        <v>5.62</v>
      </c>
      <c r="D1684" t="s">
        <v>2381</v>
      </c>
      <c r="E1684" t="s">
        <v>2379</v>
      </c>
      <c r="F1684" t="s">
        <v>2379</v>
      </c>
      <c r="G1684">
        <v>1</v>
      </c>
      <c r="H1684" t="s">
        <v>2379</v>
      </c>
      <c r="I1684" t="str" cm="1">
        <f t="array" ref="I1684">_xlfn.IFS(B1684&lt;18.5,"Underweight",AND(B1684&gt;=18.5,B1684&lt;=24.99),"Normalweight",AND(B1684&gt;=25,B1684&lt;=29.99),"Overweight",B1684&gt;=30,"Obesity")</f>
        <v>Obesity</v>
      </c>
      <c r="J1684" t="str" cm="1">
        <f t="array" ref="J1684">_xlfn.IFS(C1684&lt;5.7,"Normal",AND(C1684&gt;=5.7,C1684&lt;=6.49),"Prediabetes",C1684&gt;=6.5,"Diabetes")</f>
        <v>Normal</v>
      </c>
    </row>
    <row r="1685" spans="1:10" x14ac:dyDescent="0.3">
      <c r="A1685" t="s">
        <v>687</v>
      </c>
      <c r="B1685" s="8">
        <v>21.37</v>
      </c>
      <c r="C1685">
        <v>4.54</v>
      </c>
      <c r="D1685" t="s">
        <v>2381</v>
      </c>
      <c r="E1685" t="s">
        <v>2379</v>
      </c>
      <c r="F1685" t="s">
        <v>2381</v>
      </c>
      <c r="G1685">
        <v>1</v>
      </c>
      <c r="H1685" t="s">
        <v>2379</v>
      </c>
      <c r="I1685" t="str" cm="1">
        <f t="array" ref="I1685">_xlfn.IFS(B1685&lt;18.5,"Underweight",AND(B1685&gt;=18.5,B1685&lt;=24.99),"Normalweight",AND(B1685&gt;=25,B1685&lt;=29.99),"Overweight",B1685&gt;=30,"Obesity")</f>
        <v>Normalweight</v>
      </c>
      <c r="J1685" t="str" cm="1">
        <f t="array" ref="J1685">_xlfn.IFS(C1685&lt;5.7,"Normal",AND(C1685&gt;=5.7,C1685&lt;=6.49),"Prediabetes",C1685&gt;=6.5,"Diabetes")</f>
        <v>Normal</v>
      </c>
    </row>
    <row r="1686" spans="1:10" x14ac:dyDescent="0.3">
      <c r="A1686" t="s">
        <v>686</v>
      </c>
      <c r="B1686" s="8">
        <v>34.43</v>
      </c>
      <c r="C1686">
        <v>8.6199999999999992</v>
      </c>
      <c r="D1686" t="s">
        <v>2381</v>
      </c>
      <c r="E1686" t="s">
        <v>2379</v>
      </c>
      <c r="F1686" t="s">
        <v>2379</v>
      </c>
      <c r="G1686">
        <v>1</v>
      </c>
      <c r="H1686" t="s">
        <v>2379</v>
      </c>
      <c r="I1686" t="str" cm="1">
        <f t="array" ref="I1686">_xlfn.IFS(B1686&lt;18.5,"Underweight",AND(B1686&gt;=18.5,B1686&lt;=24.99),"Normalweight",AND(B1686&gt;=25,B1686&lt;=29.99),"Overweight",B1686&gt;=30,"Obesity")</f>
        <v>Obesity</v>
      </c>
      <c r="J1686" t="str" cm="1">
        <f t="array" ref="J1686">_xlfn.IFS(C1686&lt;5.7,"Normal",AND(C1686&gt;=5.7,C1686&lt;=6.49),"Prediabetes",C1686&gt;=6.5,"Diabetes")</f>
        <v>Diabetes</v>
      </c>
    </row>
    <row r="1687" spans="1:10" x14ac:dyDescent="0.3">
      <c r="A1687" t="s">
        <v>685</v>
      </c>
      <c r="B1687" s="8">
        <v>20.86</v>
      </c>
      <c r="C1687">
        <v>4.3600000000000003</v>
      </c>
      <c r="D1687" t="s">
        <v>2381</v>
      </c>
      <c r="E1687" t="s">
        <v>2379</v>
      </c>
      <c r="F1687" t="s">
        <v>2379</v>
      </c>
      <c r="G1687">
        <v>0</v>
      </c>
      <c r="H1687" t="s">
        <v>2379</v>
      </c>
      <c r="I1687" t="str" cm="1">
        <f t="array" ref="I1687">_xlfn.IFS(B1687&lt;18.5,"Underweight",AND(B1687&gt;=18.5,B1687&lt;=24.99),"Normalweight",AND(B1687&gt;=25,B1687&lt;=29.99),"Overweight",B1687&gt;=30,"Obesity")</f>
        <v>Normalweight</v>
      </c>
      <c r="J1687" t="str" cm="1">
        <f t="array" ref="J1687">_xlfn.IFS(C1687&lt;5.7,"Normal",AND(C1687&gt;=5.7,C1687&lt;=6.49),"Prediabetes",C1687&gt;=6.5,"Diabetes")</f>
        <v>Normal</v>
      </c>
    </row>
    <row r="1688" spans="1:10" x14ac:dyDescent="0.3">
      <c r="A1688" t="s">
        <v>684</v>
      </c>
      <c r="B1688" s="8">
        <v>18.34</v>
      </c>
      <c r="C1688">
        <v>10.01</v>
      </c>
      <c r="D1688" t="s">
        <v>2379</v>
      </c>
      <c r="E1688" t="s">
        <v>2379</v>
      </c>
      <c r="F1688" t="s">
        <v>2379</v>
      </c>
      <c r="G1688">
        <v>0</v>
      </c>
      <c r="H1688" t="s">
        <v>2379</v>
      </c>
      <c r="I1688" t="str" cm="1">
        <f t="array" ref="I1688">_xlfn.IFS(B1688&lt;18.5,"Underweight",AND(B1688&gt;=18.5,B1688&lt;=24.99),"Normalweight",AND(B1688&gt;=25,B1688&lt;=29.99),"Overweight",B1688&gt;=30,"Obesity")</f>
        <v>Underweight</v>
      </c>
      <c r="J1688" t="str" cm="1">
        <f t="array" ref="J1688">_xlfn.IFS(C1688&lt;5.7,"Normal",AND(C1688&gt;=5.7,C1688&lt;=6.49),"Prediabetes",C1688&gt;=6.5,"Diabetes")</f>
        <v>Diabetes</v>
      </c>
    </row>
    <row r="1689" spans="1:10" x14ac:dyDescent="0.3">
      <c r="A1689" t="s">
        <v>683</v>
      </c>
      <c r="B1689" s="8">
        <v>34.15</v>
      </c>
      <c r="C1689">
        <v>5.42</v>
      </c>
      <c r="D1689" t="s">
        <v>2379</v>
      </c>
      <c r="E1689" t="s">
        <v>2379</v>
      </c>
      <c r="F1689" t="s">
        <v>2379</v>
      </c>
      <c r="G1689">
        <v>0</v>
      </c>
      <c r="H1689" t="s">
        <v>2379</v>
      </c>
      <c r="I1689" t="str" cm="1">
        <f t="array" ref="I1689">_xlfn.IFS(B1689&lt;18.5,"Underweight",AND(B1689&gt;=18.5,B1689&lt;=24.99),"Normalweight",AND(B1689&gt;=25,B1689&lt;=29.99),"Overweight",B1689&gt;=30,"Obesity")</f>
        <v>Obesity</v>
      </c>
      <c r="J1689" t="str" cm="1">
        <f t="array" ref="J1689">_xlfn.IFS(C1689&lt;5.7,"Normal",AND(C1689&gt;=5.7,C1689&lt;=6.49),"Prediabetes",C1689&gt;=6.5,"Diabetes")</f>
        <v>Normal</v>
      </c>
    </row>
    <row r="1690" spans="1:10" x14ac:dyDescent="0.3">
      <c r="A1690" t="s">
        <v>682</v>
      </c>
      <c r="B1690" s="8">
        <v>18.350000000000001</v>
      </c>
      <c r="C1690">
        <v>5.12</v>
      </c>
      <c r="D1690" t="s">
        <v>2379</v>
      </c>
      <c r="E1690" t="s">
        <v>2379</v>
      </c>
      <c r="F1690" t="s">
        <v>2379</v>
      </c>
      <c r="G1690">
        <v>0</v>
      </c>
      <c r="H1690" t="s">
        <v>2379</v>
      </c>
      <c r="I1690" t="str" cm="1">
        <f t="array" ref="I1690">_xlfn.IFS(B1690&lt;18.5,"Underweight",AND(B1690&gt;=18.5,B1690&lt;=24.99),"Normalweight",AND(B1690&gt;=25,B1690&lt;=29.99),"Overweight",B1690&gt;=30,"Obesity")</f>
        <v>Underweight</v>
      </c>
      <c r="J1690" t="str" cm="1">
        <f t="array" ref="J1690">_xlfn.IFS(C1690&lt;5.7,"Normal",AND(C1690&gt;=5.7,C1690&lt;=6.49),"Prediabetes",C1690&gt;=6.5,"Diabetes")</f>
        <v>Normal</v>
      </c>
    </row>
    <row r="1691" spans="1:10" x14ac:dyDescent="0.3">
      <c r="A1691" t="s">
        <v>681</v>
      </c>
      <c r="B1691" s="8">
        <v>22.13</v>
      </c>
      <c r="C1691">
        <v>9.1999999999999993</v>
      </c>
      <c r="D1691" t="s">
        <v>2381</v>
      </c>
      <c r="E1691" t="s">
        <v>2379</v>
      </c>
      <c r="F1691" t="s">
        <v>2379</v>
      </c>
      <c r="G1691">
        <v>0</v>
      </c>
      <c r="H1691" t="s">
        <v>2379</v>
      </c>
      <c r="I1691" t="str" cm="1">
        <f t="array" ref="I1691">_xlfn.IFS(B1691&lt;18.5,"Underweight",AND(B1691&gt;=18.5,B1691&lt;=24.99),"Normalweight",AND(B1691&gt;=25,B1691&lt;=29.99),"Overweight",B1691&gt;=30,"Obesity")</f>
        <v>Normalweight</v>
      </c>
      <c r="J1691" t="str" cm="1">
        <f t="array" ref="J1691">_xlfn.IFS(C1691&lt;5.7,"Normal",AND(C1691&gt;=5.7,C1691&lt;=6.49),"Prediabetes",C1691&gt;=6.5,"Diabetes")</f>
        <v>Diabetes</v>
      </c>
    </row>
    <row r="1692" spans="1:10" x14ac:dyDescent="0.3">
      <c r="A1692" t="s">
        <v>680</v>
      </c>
      <c r="B1692" s="8">
        <v>22.51</v>
      </c>
      <c r="C1692">
        <v>6.08</v>
      </c>
      <c r="D1692" t="s">
        <v>2381</v>
      </c>
      <c r="E1692" t="s">
        <v>2379</v>
      </c>
      <c r="F1692" t="s">
        <v>2379</v>
      </c>
      <c r="G1692">
        <v>1</v>
      </c>
      <c r="H1692" t="s">
        <v>2379</v>
      </c>
      <c r="I1692" t="str" cm="1">
        <f t="array" ref="I1692">_xlfn.IFS(B1692&lt;18.5,"Underweight",AND(B1692&gt;=18.5,B1692&lt;=24.99),"Normalweight",AND(B1692&gt;=25,B1692&lt;=29.99),"Overweight",B1692&gt;=30,"Obesity")</f>
        <v>Normalweight</v>
      </c>
      <c r="J1692" t="str" cm="1">
        <f t="array" ref="J1692">_xlfn.IFS(C1692&lt;5.7,"Normal",AND(C1692&gt;=5.7,C1692&lt;=6.49),"Prediabetes",C1692&gt;=6.5,"Diabetes")</f>
        <v>Prediabetes</v>
      </c>
    </row>
    <row r="1693" spans="1:10" x14ac:dyDescent="0.3">
      <c r="A1693" t="s">
        <v>679</v>
      </c>
      <c r="B1693" s="8">
        <v>31</v>
      </c>
      <c r="C1693">
        <v>4.7699999999999996</v>
      </c>
      <c r="D1693" t="s">
        <v>2379</v>
      </c>
      <c r="E1693" t="s">
        <v>2379</v>
      </c>
      <c r="F1693" t="s">
        <v>2379</v>
      </c>
      <c r="G1693">
        <v>1</v>
      </c>
      <c r="H1693" t="s">
        <v>2379</v>
      </c>
      <c r="I1693" t="str" cm="1">
        <f t="array" ref="I1693">_xlfn.IFS(B1693&lt;18.5,"Underweight",AND(B1693&gt;=18.5,B1693&lt;=24.99),"Normalweight",AND(B1693&gt;=25,B1693&lt;=29.99),"Overweight",B1693&gt;=30,"Obesity")</f>
        <v>Obesity</v>
      </c>
      <c r="J1693" t="str" cm="1">
        <f t="array" ref="J1693">_xlfn.IFS(C1693&lt;5.7,"Normal",AND(C1693&gt;=5.7,C1693&lt;=6.49),"Prediabetes",C1693&gt;=6.5,"Diabetes")</f>
        <v>Normal</v>
      </c>
    </row>
    <row r="1694" spans="1:10" x14ac:dyDescent="0.3">
      <c r="A1694" t="s">
        <v>678</v>
      </c>
      <c r="B1694" s="8">
        <v>28.27</v>
      </c>
      <c r="C1694">
        <v>4.62</v>
      </c>
      <c r="D1694" t="s">
        <v>2379</v>
      </c>
      <c r="E1694" t="s">
        <v>2379</v>
      </c>
      <c r="F1694" t="s">
        <v>2379</v>
      </c>
      <c r="G1694">
        <v>1</v>
      </c>
      <c r="H1694" t="s">
        <v>2379</v>
      </c>
      <c r="I1694" t="str" cm="1">
        <f t="array" ref="I1694">_xlfn.IFS(B1694&lt;18.5,"Underweight",AND(B1694&gt;=18.5,B1694&lt;=24.99),"Normalweight",AND(B1694&gt;=25,B1694&lt;=29.99),"Overweight",B1694&gt;=30,"Obesity")</f>
        <v>Overweight</v>
      </c>
      <c r="J1694" t="str" cm="1">
        <f t="array" ref="J1694">_xlfn.IFS(C1694&lt;5.7,"Normal",AND(C1694&gt;=5.7,C1694&lt;=6.49),"Prediabetes",C1694&gt;=6.5,"Diabetes")</f>
        <v>Normal</v>
      </c>
    </row>
    <row r="1695" spans="1:10" x14ac:dyDescent="0.3">
      <c r="A1695" t="s">
        <v>677</v>
      </c>
      <c r="B1695" s="8">
        <v>29.92</v>
      </c>
      <c r="C1695">
        <v>9.07</v>
      </c>
      <c r="D1695" t="s">
        <v>2381</v>
      </c>
      <c r="E1695" t="s">
        <v>2379</v>
      </c>
      <c r="F1695" t="s">
        <v>2379</v>
      </c>
      <c r="G1695">
        <v>1</v>
      </c>
      <c r="H1695" t="s">
        <v>2379</v>
      </c>
      <c r="I1695" t="str" cm="1">
        <f t="array" ref="I1695">_xlfn.IFS(B1695&lt;18.5,"Underweight",AND(B1695&gt;=18.5,B1695&lt;=24.99),"Normalweight",AND(B1695&gt;=25,B1695&lt;=29.99),"Overweight",B1695&gt;=30,"Obesity")</f>
        <v>Overweight</v>
      </c>
      <c r="J1695" t="str" cm="1">
        <f t="array" ref="J1695">_xlfn.IFS(C1695&lt;5.7,"Normal",AND(C1695&gt;=5.7,C1695&lt;=6.49),"Prediabetes",C1695&gt;=6.5,"Diabetes")</f>
        <v>Diabetes</v>
      </c>
    </row>
    <row r="1696" spans="1:10" x14ac:dyDescent="0.3">
      <c r="A1696" t="s">
        <v>676</v>
      </c>
      <c r="B1696" s="8">
        <v>25.9</v>
      </c>
      <c r="C1696">
        <v>9.1199999999999992</v>
      </c>
      <c r="D1696" t="s">
        <v>2381</v>
      </c>
      <c r="E1696" t="s">
        <v>2379</v>
      </c>
      <c r="F1696" t="s">
        <v>2379</v>
      </c>
      <c r="G1696">
        <v>1</v>
      </c>
      <c r="H1696" t="s">
        <v>2379</v>
      </c>
      <c r="I1696" t="str" cm="1">
        <f t="array" ref="I1696">_xlfn.IFS(B1696&lt;18.5,"Underweight",AND(B1696&gt;=18.5,B1696&lt;=24.99),"Normalweight",AND(B1696&gt;=25,B1696&lt;=29.99),"Overweight",B1696&gt;=30,"Obesity")</f>
        <v>Overweight</v>
      </c>
      <c r="J1696" t="str" cm="1">
        <f t="array" ref="J1696">_xlfn.IFS(C1696&lt;5.7,"Normal",AND(C1696&gt;=5.7,C1696&lt;=6.49),"Prediabetes",C1696&gt;=6.5,"Diabetes")</f>
        <v>Diabetes</v>
      </c>
    </row>
    <row r="1697" spans="1:10" x14ac:dyDescent="0.3">
      <c r="A1697" t="s">
        <v>675</v>
      </c>
      <c r="B1697" s="8">
        <v>27.74</v>
      </c>
      <c r="C1697">
        <v>7.32</v>
      </c>
      <c r="D1697" t="s">
        <v>2381</v>
      </c>
      <c r="E1697" t="s">
        <v>2379</v>
      </c>
      <c r="F1697" t="s">
        <v>2379</v>
      </c>
      <c r="G1697">
        <v>1</v>
      </c>
      <c r="H1697" t="s">
        <v>2379</v>
      </c>
      <c r="I1697" t="str" cm="1">
        <f t="array" ref="I1697">_xlfn.IFS(B1697&lt;18.5,"Underweight",AND(B1697&gt;=18.5,B1697&lt;=24.99),"Normalweight",AND(B1697&gt;=25,B1697&lt;=29.99),"Overweight",B1697&gt;=30,"Obesity")</f>
        <v>Overweight</v>
      </c>
      <c r="J1697" t="str" cm="1">
        <f t="array" ref="J1697">_xlfn.IFS(C1697&lt;5.7,"Normal",AND(C1697&gt;=5.7,C1697&lt;=6.49),"Prediabetes",C1697&gt;=6.5,"Diabetes")</f>
        <v>Diabetes</v>
      </c>
    </row>
    <row r="1698" spans="1:10" x14ac:dyDescent="0.3">
      <c r="A1698" t="s">
        <v>674</v>
      </c>
      <c r="B1698" s="8">
        <v>17.260000000000002</v>
      </c>
      <c r="C1698">
        <v>11.73</v>
      </c>
      <c r="D1698" t="s">
        <v>2379</v>
      </c>
      <c r="E1698" t="s">
        <v>2379</v>
      </c>
      <c r="F1698" t="s">
        <v>2379</v>
      </c>
      <c r="G1698">
        <v>2</v>
      </c>
      <c r="H1698" t="s">
        <v>2379</v>
      </c>
      <c r="I1698" t="str" cm="1">
        <f t="array" ref="I1698">_xlfn.IFS(B1698&lt;18.5,"Underweight",AND(B1698&gt;=18.5,B1698&lt;=24.99),"Normalweight",AND(B1698&gt;=25,B1698&lt;=29.99),"Overweight",B1698&gt;=30,"Obesity")</f>
        <v>Underweight</v>
      </c>
      <c r="J1698" t="str" cm="1">
        <f t="array" ref="J1698">_xlfn.IFS(C1698&lt;5.7,"Normal",AND(C1698&gt;=5.7,C1698&lt;=6.49),"Prediabetes",C1698&gt;=6.5,"Diabetes")</f>
        <v>Diabetes</v>
      </c>
    </row>
    <row r="1699" spans="1:10" x14ac:dyDescent="0.3">
      <c r="A1699" t="s">
        <v>673</v>
      </c>
      <c r="B1699" s="8">
        <v>19.855</v>
      </c>
      <c r="C1699">
        <v>6.64</v>
      </c>
      <c r="D1699" t="s">
        <v>2381</v>
      </c>
      <c r="E1699" t="s">
        <v>2379</v>
      </c>
      <c r="F1699" t="s">
        <v>2379</v>
      </c>
      <c r="G1699">
        <v>1</v>
      </c>
      <c r="H1699" t="s">
        <v>2379</v>
      </c>
      <c r="I1699" t="str" cm="1">
        <f t="array" ref="I1699">_xlfn.IFS(B1699&lt;18.5,"Underweight",AND(B1699&gt;=18.5,B1699&lt;=24.99),"Normalweight",AND(B1699&gt;=25,B1699&lt;=29.99),"Overweight",B1699&gt;=30,"Obesity")</f>
        <v>Normalweight</v>
      </c>
      <c r="J1699" t="str" cm="1">
        <f t="array" ref="J1699">_xlfn.IFS(C1699&lt;5.7,"Normal",AND(C1699&gt;=5.7,C1699&lt;=6.49),"Prediabetes",C1699&gt;=6.5,"Diabetes")</f>
        <v>Diabetes</v>
      </c>
    </row>
    <row r="1700" spans="1:10" x14ac:dyDescent="0.3">
      <c r="A1700" t="s">
        <v>672</v>
      </c>
      <c r="B1700" s="8">
        <v>41.69</v>
      </c>
      <c r="C1700">
        <v>5.78</v>
      </c>
      <c r="D1700" t="s">
        <v>2379</v>
      </c>
      <c r="E1700" t="s">
        <v>2379</v>
      </c>
      <c r="F1700" t="s">
        <v>2379</v>
      </c>
      <c r="G1700">
        <v>0</v>
      </c>
      <c r="H1700" t="s">
        <v>2379</v>
      </c>
      <c r="I1700" t="str" cm="1">
        <f t="array" ref="I1700">_xlfn.IFS(B1700&lt;18.5,"Underweight",AND(B1700&gt;=18.5,B1700&lt;=24.99),"Normalweight",AND(B1700&gt;=25,B1700&lt;=29.99),"Overweight",B1700&gt;=30,"Obesity")</f>
        <v>Obesity</v>
      </c>
      <c r="J1700" t="str" cm="1">
        <f t="array" ref="J1700">_xlfn.IFS(C1700&lt;5.7,"Normal",AND(C1700&gt;=5.7,C1700&lt;=6.49),"Prediabetes",C1700&gt;=6.5,"Diabetes")</f>
        <v>Prediabetes</v>
      </c>
    </row>
    <row r="1701" spans="1:10" x14ac:dyDescent="0.3">
      <c r="A1701" t="s">
        <v>671</v>
      </c>
      <c r="B1701" s="8">
        <v>16.12</v>
      </c>
      <c r="C1701">
        <v>10.45</v>
      </c>
      <c r="D1701" t="s">
        <v>2379</v>
      </c>
      <c r="E1701" t="s">
        <v>2379</v>
      </c>
      <c r="F1701" t="s">
        <v>2379</v>
      </c>
      <c r="G1701">
        <v>0</v>
      </c>
      <c r="H1701" t="s">
        <v>2379</v>
      </c>
      <c r="I1701" t="str" cm="1">
        <f t="array" ref="I1701">_xlfn.IFS(B1701&lt;18.5,"Underweight",AND(B1701&gt;=18.5,B1701&lt;=24.99),"Normalweight",AND(B1701&gt;=25,B1701&lt;=29.99),"Overweight",B1701&gt;=30,"Obesity")</f>
        <v>Underweight</v>
      </c>
      <c r="J1701" t="str" cm="1">
        <f t="array" ref="J1701">_xlfn.IFS(C1701&lt;5.7,"Normal",AND(C1701&gt;=5.7,C1701&lt;=6.49),"Prediabetes",C1701&gt;=6.5,"Diabetes")</f>
        <v>Diabetes</v>
      </c>
    </row>
    <row r="1702" spans="1:10" x14ac:dyDescent="0.3">
      <c r="A1702" t="s">
        <v>670</v>
      </c>
      <c r="B1702" s="8">
        <v>37.43</v>
      </c>
      <c r="C1702">
        <v>4.5199999999999996</v>
      </c>
      <c r="D1702" t="s">
        <v>2379</v>
      </c>
      <c r="E1702" t="s">
        <v>2379</v>
      </c>
      <c r="F1702" t="s">
        <v>2379</v>
      </c>
      <c r="G1702">
        <v>1</v>
      </c>
      <c r="H1702" t="s">
        <v>2379</v>
      </c>
      <c r="I1702" t="str" cm="1">
        <f t="array" ref="I1702">_xlfn.IFS(B1702&lt;18.5,"Underweight",AND(B1702&gt;=18.5,B1702&lt;=24.99),"Normalweight",AND(B1702&gt;=25,B1702&lt;=29.99),"Overweight",B1702&gt;=30,"Obesity")</f>
        <v>Obesity</v>
      </c>
      <c r="J1702" t="str" cm="1">
        <f t="array" ref="J1702">_xlfn.IFS(C1702&lt;5.7,"Normal",AND(C1702&gt;=5.7,C1702&lt;=6.49),"Prediabetes",C1702&gt;=6.5,"Diabetes")</f>
        <v>Normal</v>
      </c>
    </row>
    <row r="1703" spans="1:10" x14ac:dyDescent="0.3">
      <c r="A1703" t="s">
        <v>669</v>
      </c>
      <c r="B1703" s="8">
        <v>31.065000000000001</v>
      </c>
      <c r="C1703">
        <v>5.71</v>
      </c>
      <c r="D1703" t="s">
        <v>2379</v>
      </c>
      <c r="E1703" t="s">
        <v>2379</v>
      </c>
      <c r="F1703" t="s">
        <v>2379</v>
      </c>
      <c r="G1703">
        <v>0</v>
      </c>
      <c r="H1703" t="s">
        <v>2379</v>
      </c>
      <c r="I1703" t="str" cm="1">
        <f t="array" ref="I1703">_xlfn.IFS(B1703&lt;18.5,"Underweight",AND(B1703&gt;=18.5,B1703&lt;=24.99),"Normalweight",AND(B1703&gt;=25,B1703&lt;=29.99),"Overweight",B1703&gt;=30,"Obesity")</f>
        <v>Obesity</v>
      </c>
      <c r="J1703" t="str" cm="1">
        <f t="array" ref="J1703">_xlfn.IFS(C1703&lt;5.7,"Normal",AND(C1703&gt;=5.7,C1703&lt;=6.49),"Prediabetes",C1703&gt;=6.5,"Diabetes")</f>
        <v>Prediabetes</v>
      </c>
    </row>
    <row r="1704" spans="1:10" x14ac:dyDescent="0.3">
      <c r="A1704" t="s">
        <v>668</v>
      </c>
      <c r="B1704" s="8">
        <v>25.08</v>
      </c>
      <c r="C1704">
        <v>4.7699999999999996</v>
      </c>
      <c r="D1704" t="s">
        <v>2379</v>
      </c>
      <c r="E1704" t="s">
        <v>2379</v>
      </c>
      <c r="F1704" t="s">
        <v>2379</v>
      </c>
      <c r="G1704">
        <v>0</v>
      </c>
      <c r="H1704" t="s">
        <v>2379</v>
      </c>
      <c r="I1704" t="str" cm="1">
        <f t="array" ref="I1704">_xlfn.IFS(B1704&lt;18.5,"Underweight",AND(B1704&gt;=18.5,B1704&lt;=24.99),"Normalweight",AND(B1704&gt;=25,B1704&lt;=29.99),"Overweight",B1704&gt;=30,"Obesity")</f>
        <v>Overweight</v>
      </c>
      <c r="J1704" t="str" cm="1">
        <f t="array" ref="J1704">_xlfn.IFS(C1704&lt;5.7,"Normal",AND(C1704&gt;=5.7,C1704&lt;=6.49),"Prediabetes",C1704&gt;=6.5,"Diabetes")</f>
        <v>Normal</v>
      </c>
    </row>
    <row r="1705" spans="1:10" x14ac:dyDescent="0.3">
      <c r="A1705" t="s">
        <v>667</v>
      </c>
      <c r="B1705" s="8">
        <v>15.2</v>
      </c>
      <c r="C1705">
        <v>7.81</v>
      </c>
      <c r="D1705" t="s">
        <v>2381</v>
      </c>
      <c r="E1705" t="s">
        <v>2379</v>
      </c>
      <c r="F1705" t="s">
        <v>2379</v>
      </c>
      <c r="G1705">
        <v>1</v>
      </c>
      <c r="H1705" t="s">
        <v>2379</v>
      </c>
      <c r="I1705" t="str" cm="1">
        <f t="array" ref="I1705">_xlfn.IFS(B1705&lt;18.5,"Underweight",AND(B1705&gt;=18.5,B1705&lt;=24.99),"Normalweight",AND(B1705&gt;=25,B1705&lt;=29.99),"Overweight",B1705&gt;=30,"Obesity")</f>
        <v>Underweight</v>
      </c>
      <c r="J1705" t="str" cm="1">
        <f t="array" ref="J1705">_xlfn.IFS(C1705&lt;5.7,"Normal",AND(C1705&gt;=5.7,C1705&lt;=6.49),"Prediabetes",C1705&gt;=6.5,"Diabetes")</f>
        <v>Diabetes</v>
      </c>
    </row>
    <row r="1706" spans="1:10" x14ac:dyDescent="0.3">
      <c r="A1706" t="s">
        <v>666</v>
      </c>
      <c r="B1706" s="8">
        <v>22.34</v>
      </c>
      <c r="C1706">
        <v>5.19</v>
      </c>
      <c r="D1706" t="s">
        <v>2381</v>
      </c>
      <c r="E1706" t="s">
        <v>2379</v>
      </c>
      <c r="F1706" t="s">
        <v>2379</v>
      </c>
      <c r="G1706">
        <v>0</v>
      </c>
      <c r="H1706" t="s">
        <v>2379</v>
      </c>
      <c r="I1706" t="str" cm="1">
        <f t="array" ref="I1706">_xlfn.IFS(B1706&lt;18.5,"Underweight",AND(B1706&gt;=18.5,B1706&lt;=24.99),"Normalweight",AND(B1706&gt;=25,B1706&lt;=29.99),"Overweight",B1706&gt;=30,"Obesity")</f>
        <v>Normalweight</v>
      </c>
      <c r="J1706" t="str" cm="1">
        <f t="array" ref="J1706">_xlfn.IFS(C1706&lt;5.7,"Normal",AND(C1706&gt;=5.7,C1706&lt;=6.49),"Prediabetes",C1706&gt;=6.5,"Diabetes")</f>
        <v>Normal</v>
      </c>
    </row>
    <row r="1707" spans="1:10" x14ac:dyDescent="0.3">
      <c r="A1707" t="s">
        <v>665</v>
      </c>
      <c r="B1707" s="8">
        <v>40.15</v>
      </c>
      <c r="C1707">
        <v>5.93</v>
      </c>
      <c r="D1707" t="s">
        <v>2379</v>
      </c>
      <c r="E1707" t="s">
        <v>2379</v>
      </c>
      <c r="F1707" t="s">
        <v>2379</v>
      </c>
      <c r="G1707">
        <v>1</v>
      </c>
      <c r="H1707" t="s">
        <v>2379</v>
      </c>
      <c r="I1707" t="str" cm="1">
        <f t="array" ref="I1707">_xlfn.IFS(B1707&lt;18.5,"Underweight",AND(B1707&gt;=18.5,B1707&lt;=24.99),"Normalweight",AND(B1707&gt;=25,B1707&lt;=29.99),"Overweight",B1707&gt;=30,"Obesity")</f>
        <v>Obesity</v>
      </c>
      <c r="J1707" t="str" cm="1">
        <f t="array" ref="J1707">_xlfn.IFS(C1707&lt;5.7,"Normal",AND(C1707&gt;=5.7,C1707&lt;=6.49),"Prediabetes",C1707&gt;=6.5,"Diabetes")</f>
        <v>Prediabetes</v>
      </c>
    </row>
    <row r="1708" spans="1:10" x14ac:dyDescent="0.3">
      <c r="A1708" t="s">
        <v>664</v>
      </c>
      <c r="B1708" s="8">
        <v>37.729999999999997</v>
      </c>
      <c r="C1708">
        <v>6.29</v>
      </c>
      <c r="D1708" t="s">
        <v>2379</v>
      </c>
      <c r="E1708" t="s">
        <v>2379</v>
      </c>
      <c r="F1708" t="s">
        <v>2379</v>
      </c>
      <c r="G1708">
        <v>1</v>
      </c>
      <c r="H1708" t="s">
        <v>2379</v>
      </c>
      <c r="I1708" t="str" cm="1">
        <f t="array" ref="I1708">_xlfn.IFS(B1708&lt;18.5,"Underweight",AND(B1708&gt;=18.5,B1708&lt;=24.99),"Normalweight",AND(B1708&gt;=25,B1708&lt;=29.99),"Overweight",B1708&gt;=30,"Obesity")</f>
        <v>Obesity</v>
      </c>
      <c r="J1708" t="str" cm="1">
        <f t="array" ref="J1708">_xlfn.IFS(C1708&lt;5.7,"Normal",AND(C1708&gt;=5.7,C1708&lt;=6.49),"Prediabetes",C1708&gt;=6.5,"Diabetes")</f>
        <v>Prediabetes</v>
      </c>
    </row>
    <row r="1709" spans="1:10" x14ac:dyDescent="0.3">
      <c r="A1709" t="s">
        <v>663</v>
      </c>
      <c r="B1709" s="8">
        <v>25.35</v>
      </c>
      <c r="C1709">
        <v>4.9000000000000004</v>
      </c>
      <c r="D1709" t="s">
        <v>2379</v>
      </c>
      <c r="E1709" t="s">
        <v>2379</v>
      </c>
      <c r="F1709" t="s">
        <v>2379</v>
      </c>
      <c r="G1709">
        <v>0</v>
      </c>
      <c r="H1709" t="s">
        <v>2379</v>
      </c>
      <c r="I1709" t="str" cm="1">
        <f t="array" ref="I1709">_xlfn.IFS(B1709&lt;18.5,"Underweight",AND(B1709&gt;=18.5,B1709&lt;=24.99),"Normalweight",AND(B1709&gt;=25,B1709&lt;=29.99),"Overweight",B1709&gt;=30,"Obesity")</f>
        <v>Overweight</v>
      </c>
      <c r="J1709" t="str" cm="1">
        <f t="array" ref="J1709">_xlfn.IFS(C1709&lt;5.7,"Normal",AND(C1709&gt;=5.7,C1709&lt;=6.49),"Prediabetes",C1709&gt;=6.5,"Diabetes")</f>
        <v>Normal</v>
      </c>
    </row>
    <row r="1710" spans="1:10" x14ac:dyDescent="0.3">
      <c r="A1710" t="s">
        <v>662</v>
      </c>
      <c r="B1710" s="8">
        <v>26.41</v>
      </c>
      <c r="C1710">
        <v>5.07</v>
      </c>
      <c r="D1710" t="s">
        <v>2381</v>
      </c>
      <c r="E1710" t="s">
        <v>2379</v>
      </c>
      <c r="F1710" t="s">
        <v>2379</v>
      </c>
      <c r="G1710">
        <v>1</v>
      </c>
      <c r="H1710" t="s">
        <v>2379</v>
      </c>
      <c r="I1710" t="str" cm="1">
        <f t="array" ref="I1710">_xlfn.IFS(B1710&lt;18.5,"Underweight",AND(B1710&gt;=18.5,B1710&lt;=24.99),"Normalweight",AND(B1710&gt;=25,B1710&lt;=29.99),"Overweight",B1710&gt;=30,"Obesity")</f>
        <v>Overweight</v>
      </c>
      <c r="J1710" t="str" cm="1">
        <f t="array" ref="J1710">_xlfn.IFS(C1710&lt;5.7,"Normal",AND(C1710&gt;=5.7,C1710&lt;=6.49),"Prediabetes",C1710&gt;=6.5,"Diabetes")</f>
        <v>Normal</v>
      </c>
    </row>
    <row r="1711" spans="1:10" x14ac:dyDescent="0.3">
      <c r="A1711" t="s">
        <v>661</v>
      </c>
      <c r="B1711" s="8">
        <v>27.6</v>
      </c>
      <c r="C1711">
        <v>5.33</v>
      </c>
      <c r="D1711" t="s">
        <v>2379</v>
      </c>
      <c r="E1711" t="s">
        <v>2379</v>
      </c>
      <c r="F1711" t="s">
        <v>2379</v>
      </c>
      <c r="G1711">
        <v>1</v>
      </c>
      <c r="H1711" t="s">
        <v>2379</v>
      </c>
      <c r="I1711" t="str" cm="1">
        <f t="array" ref="I1711">_xlfn.IFS(B1711&lt;18.5,"Underweight",AND(B1711&gt;=18.5,B1711&lt;=24.99),"Normalweight",AND(B1711&gt;=25,B1711&lt;=29.99),"Overweight",B1711&gt;=30,"Obesity")</f>
        <v>Overweight</v>
      </c>
      <c r="J1711" t="str" cm="1">
        <f t="array" ref="J1711">_xlfn.IFS(C1711&lt;5.7,"Normal",AND(C1711&gt;=5.7,C1711&lt;=6.49),"Prediabetes",C1711&gt;=6.5,"Diabetes")</f>
        <v>Normal</v>
      </c>
    </row>
    <row r="1712" spans="1:10" x14ac:dyDescent="0.3">
      <c r="A1712" t="s">
        <v>660</v>
      </c>
      <c r="B1712" s="8">
        <v>33.82</v>
      </c>
      <c r="C1712">
        <v>8.93</v>
      </c>
      <c r="D1712" t="s">
        <v>2381</v>
      </c>
      <c r="E1712" t="s">
        <v>2379</v>
      </c>
      <c r="F1712" t="s">
        <v>2379</v>
      </c>
      <c r="G1712">
        <v>1</v>
      </c>
      <c r="H1712" t="s">
        <v>2379</v>
      </c>
      <c r="I1712" t="str" cm="1">
        <f t="array" ref="I1712">_xlfn.IFS(B1712&lt;18.5,"Underweight",AND(B1712&gt;=18.5,B1712&lt;=24.99),"Normalweight",AND(B1712&gt;=25,B1712&lt;=29.99),"Overweight",B1712&gt;=30,"Obesity")</f>
        <v>Obesity</v>
      </c>
      <c r="J1712" t="str" cm="1">
        <f t="array" ref="J1712">_xlfn.IFS(C1712&lt;5.7,"Normal",AND(C1712&gt;=5.7,C1712&lt;=6.49),"Prediabetes",C1712&gt;=6.5,"Diabetes")</f>
        <v>Diabetes</v>
      </c>
    </row>
    <row r="1713" spans="1:10" x14ac:dyDescent="0.3">
      <c r="A1713" t="s">
        <v>659</v>
      </c>
      <c r="B1713" s="8">
        <v>32.9</v>
      </c>
      <c r="C1713">
        <v>4.3499999999999996</v>
      </c>
      <c r="D1713" t="s">
        <v>2379</v>
      </c>
      <c r="E1713" t="s">
        <v>2379</v>
      </c>
      <c r="F1713" t="s">
        <v>2379</v>
      </c>
      <c r="G1713">
        <v>0</v>
      </c>
      <c r="H1713" t="s">
        <v>2379</v>
      </c>
      <c r="I1713" t="str" cm="1">
        <f t="array" ref="I1713">_xlfn.IFS(B1713&lt;18.5,"Underweight",AND(B1713&gt;=18.5,B1713&lt;=24.99),"Normalweight",AND(B1713&gt;=25,B1713&lt;=29.99),"Overweight",B1713&gt;=30,"Obesity")</f>
        <v>Obesity</v>
      </c>
      <c r="J1713" t="str" cm="1">
        <f t="array" ref="J1713">_xlfn.IFS(C1713&lt;5.7,"Normal",AND(C1713&gt;=5.7,C1713&lt;=6.49),"Prediabetes",C1713&gt;=6.5,"Diabetes")</f>
        <v>Normal</v>
      </c>
    </row>
    <row r="1714" spans="1:10" x14ac:dyDescent="0.3">
      <c r="A1714" t="s">
        <v>658</v>
      </c>
      <c r="B1714" s="8">
        <v>30.875</v>
      </c>
      <c r="C1714">
        <v>9.5399999999999991</v>
      </c>
      <c r="D1714" t="s">
        <v>2381</v>
      </c>
      <c r="E1714" t="s">
        <v>2379</v>
      </c>
      <c r="F1714" t="s">
        <v>2379</v>
      </c>
      <c r="G1714">
        <v>1</v>
      </c>
      <c r="H1714" t="s">
        <v>2379</v>
      </c>
      <c r="I1714" t="str" cm="1">
        <f t="array" ref="I1714">_xlfn.IFS(B1714&lt;18.5,"Underweight",AND(B1714&gt;=18.5,B1714&lt;=24.99),"Normalweight",AND(B1714&gt;=25,B1714&lt;=29.99),"Overweight",B1714&gt;=30,"Obesity")</f>
        <v>Obesity</v>
      </c>
      <c r="J1714" t="str" cm="1">
        <f t="array" ref="J1714">_xlfn.IFS(C1714&lt;5.7,"Normal",AND(C1714&gt;=5.7,C1714&lt;=6.49),"Prediabetes",C1714&gt;=6.5,"Diabetes")</f>
        <v>Diabetes</v>
      </c>
    </row>
    <row r="1715" spans="1:10" x14ac:dyDescent="0.3">
      <c r="A1715" t="s">
        <v>657</v>
      </c>
      <c r="B1715" s="8">
        <v>32.64</v>
      </c>
      <c r="C1715">
        <v>5.91</v>
      </c>
      <c r="D1715" t="s">
        <v>2379</v>
      </c>
      <c r="E1715" t="s">
        <v>2379</v>
      </c>
      <c r="F1715" t="s">
        <v>2379</v>
      </c>
      <c r="G1715">
        <v>0</v>
      </c>
      <c r="H1715" t="s">
        <v>2379</v>
      </c>
      <c r="I1715" t="str" cm="1">
        <f t="array" ref="I1715">_xlfn.IFS(B1715&lt;18.5,"Underweight",AND(B1715&gt;=18.5,B1715&lt;=24.99),"Normalweight",AND(B1715&gt;=25,B1715&lt;=29.99),"Overweight",B1715&gt;=30,"Obesity")</f>
        <v>Obesity</v>
      </c>
      <c r="J1715" t="str" cm="1">
        <f t="array" ref="J1715">_xlfn.IFS(C1715&lt;5.7,"Normal",AND(C1715&gt;=5.7,C1715&lt;=6.49),"Prediabetes",C1715&gt;=6.5,"Diabetes")</f>
        <v>Prediabetes</v>
      </c>
    </row>
    <row r="1716" spans="1:10" x14ac:dyDescent="0.3">
      <c r="A1716" t="s">
        <v>656</v>
      </c>
      <c r="B1716" s="8">
        <v>22.135000000000002</v>
      </c>
      <c r="C1716">
        <v>5.0999999999999996</v>
      </c>
      <c r="D1716" t="s">
        <v>2379</v>
      </c>
      <c r="E1716" t="s">
        <v>2379</v>
      </c>
      <c r="F1716" t="s">
        <v>2379</v>
      </c>
      <c r="G1716">
        <v>0</v>
      </c>
      <c r="H1716" t="s">
        <v>2379</v>
      </c>
      <c r="I1716" t="str" cm="1">
        <f t="array" ref="I1716">_xlfn.IFS(B1716&lt;18.5,"Underweight",AND(B1716&gt;=18.5,B1716&lt;=24.99),"Normalweight",AND(B1716&gt;=25,B1716&lt;=29.99),"Overweight",B1716&gt;=30,"Obesity")</f>
        <v>Normalweight</v>
      </c>
      <c r="J1716" t="str" cm="1">
        <f t="array" ref="J1716">_xlfn.IFS(C1716&lt;5.7,"Normal",AND(C1716&gt;=5.7,C1716&lt;=6.49),"Prediabetes",C1716&gt;=6.5,"Diabetes")</f>
        <v>Normal</v>
      </c>
    </row>
    <row r="1717" spans="1:10" x14ac:dyDescent="0.3">
      <c r="A1717" t="s">
        <v>655</v>
      </c>
      <c r="B1717" s="8">
        <v>16.53</v>
      </c>
      <c r="C1717">
        <v>5.08</v>
      </c>
      <c r="D1717" t="s">
        <v>2379</v>
      </c>
      <c r="E1717" t="s">
        <v>2379</v>
      </c>
      <c r="F1717" t="s">
        <v>2379</v>
      </c>
      <c r="G1717">
        <v>2</v>
      </c>
      <c r="H1717" t="s">
        <v>2379</v>
      </c>
      <c r="I1717" t="str" cm="1">
        <f t="array" ref="I1717">_xlfn.IFS(B1717&lt;18.5,"Underweight",AND(B1717&gt;=18.5,B1717&lt;=24.99),"Normalweight",AND(B1717&gt;=25,B1717&lt;=29.99),"Overweight",B1717&gt;=30,"Obesity")</f>
        <v>Underweight</v>
      </c>
      <c r="J1717" t="str" cm="1">
        <f t="array" ref="J1717">_xlfn.IFS(C1717&lt;5.7,"Normal",AND(C1717&gt;=5.7,C1717&lt;=6.49),"Prediabetes",C1717&gt;=6.5,"Diabetes")</f>
        <v>Normal</v>
      </c>
    </row>
    <row r="1718" spans="1:10" x14ac:dyDescent="0.3">
      <c r="A1718" t="s">
        <v>654</v>
      </c>
      <c r="B1718" s="8">
        <v>32.774999999999999</v>
      </c>
      <c r="C1718">
        <v>4.75</v>
      </c>
      <c r="D1718" t="s">
        <v>2379</v>
      </c>
      <c r="E1718" t="s">
        <v>2379</v>
      </c>
      <c r="F1718" t="s">
        <v>2379</v>
      </c>
      <c r="G1718">
        <v>0</v>
      </c>
      <c r="H1718" t="s">
        <v>2379</v>
      </c>
      <c r="I1718" t="str" cm="1">
        <f t="array" ref="I1718">_xlfn.IFS(B1718&lt;18.5,"Underweight",AND(B1718&gt;=18.5,B1718&lt;=24.99),"Normalweight",AND(B1718&gt;=25,B1718&lt;=29.99),"Overweight",B1718&gt;=30,"Obesity")</f>
        <v>Obesity</v>
      </c>
      <c r="J1718" t="str" cm="1">
        <f t="array" ref="J1718">_xlfn.IFS(C1718&lt;5.7,"Normal",AND(C1718&gt;=5.7,C1718&lt;=6.49),"Prediabetes",C1718&gt;=6.5,"Diabetes")</f>
        <v>Normal</v>
      </c>
    </row>
    <row r="1719" spans="1:10" x14ac:dyDescent="0.3">
      <c r="A1719" t="s">
        <v>653</v>
      </c>
      <c r="B1719" s="8">
        <v>30.9</v>
      </c>
      <c r="C1719">
        <v>6.05</v>
      </c>
      <c r="D1719" t="s">
        <v>2379</v>
      </c>
      <c r="E1719" t="s">
        <v>2379</v>
      </c>
      <c r="F1719" t="s">
        <v>2379</v>
      </c>
      <c r="G1719">
        <v>1</v>
      </c>
      <c r="H1719" t="s">
        <v>2379</v>
      </c>
      <c r="I1719" t="str" cm="1">
        <f t="array" ref="I1719">_xlfn.IFS(B1719&lt;18.5,"Underweight",AND(B1719&gt;=18.5,B1719&lt;=24.99),"Normalweight",AND(B1719&gt;=25,B1719&lt;=29.99),"Overweight",B1719&gt;=30,"Obesity")</f>
        <v>Obesity</v>
      </c>
      <c r="J1719" t="str" cm="1">
        <f t="array" ref="J1719">_xlfn.IFS(C1719&lt;5.7,"Normal",AND(C1719&gt;=5.7,C1719&lt;=6.49),"Prediabetes",C1719&gt;=6.5,"Diabetes")</f>
        <v>Prediabetes</v>
      </c>
    </row>
    <row r="1720" spans="1:10" x14ac:dyDescent="0.3">
      <c r="A1720" t="s">
        <v>652</v>
      </c>
      <c r="B1720" s="8">
        <v>15.58</v>
      </c>
      <c r="C1720">
        <v>11.56</v>
      </c>
      <c r="D1720" t="s">
        <v>2379</v>
      </c>
      <c r="E1720" t="s">
        <v>2379</v>
      </c>
      <c r="F1720" t="s">
        <v>2379</v>
      </c>
      <c r="G1720">
        <v>0</v>
      </c>
      <c r="H1720" t="s">
        <v>2379</v>
      </c>
      <c r="I1720" t="str" cm="1">
        <f t="array" ref="I1720">_xlfn.IFS(B1720&lt;18.5,"Underweight",AND(B1720&gt;=18.5,B1720&lt;=24.99),"Normalweight",AND(B1720&gt;=25,B1720&lt;=29.99),"Overweight",B1720&gt;=30,"Obesity")</f>
        <v>Underweight</v>
      </c>
      <c r="J1720" t="str" cm="1">
        <f t="array" ref="J1720">_xlfn.IFS(C1720&lt;5.7,"Normal",AND(C1720&gt;=5.7,C1720&lt;=6.49),"Prediabetes",C1720&gt;=6.5,"Diabetes")</f>
        <v>Diabetes</v>
      </c>
    </row>
    <row r="1721" spans="1:10" x14ac:dyDescent="0.3">
      <c r="A1721" t="s">
        <v>651</v>
      </c>
      <c r="B1721" s="8">
        <v>26.315000000000001</v>
      </c>
      <c r="C1721">
        <v>5.76</v>
      </c>
      <c r="D1721" t="s">
        <v>2379</v>
      </c>
      <c r="E1721" t="s">
        <v>2379</v>
      </c>
      <c r="F1721" t="s">
        <v>2379</v>
      </c>
      <c r="G1721">
        <v>0</v>
      </c>
      <c r="H1721" t="s">
        <v>2379</v>
      </c>
      <c r="I1721" t="str" cm="1">
        <f t="array" ref="I1721">_xlfn.IFS(B1721&lt;18.5,"Underweight",AND(B1721&gt;=18.5,B1721&lt;=24.99),"Normalweight",AND(B1721&gt;=25,B1721&lt;=29.99),"Overweight",B1721&gt;=30,"Obesity")</f>
        <v>Overweight</v>
      </c>
      <c r="J1721" t="str" cm="1">
        <f t="array" ref="J1721">_xlfn.IFS(C1721&lt;5.7,"Normal",AND(C1721&gt;=5.7,C1721&lt;=6.49),"Prediabetes",C1721&gt;=6.5,"Diabetes")</f>
        <v>Prediabetes</v>
      </c>
    </row>
    <row r="1722" spans="1:10" x14ac:dyDescent="0.3">
      <c r="A1722" t="s">
        <v>650</v>
      </c>
      <c r="B1722" s="8">
        <v>35.61</v>
      </c>
      <c r="C1722">
        <v>5.65</v>
      </c>
      <c r="D1722" t="s">
        <v>2379</v>
      </c>
      <c r="E1722" t="s">
        <v>2380</v>
      </c>
      <c r="F1722" t="s">
        <v>2379</v>
      </c>
      <c r="G1722">
        <v>1</v>
      </c>
      <c r="H1722" t="s">
        <v>2379</v>
      </c>
      <c r="I1722" t="str" cm="1">
        <f t="array" ref="I1722">_xlfn.IFS(B1722&lt;18.5,"Underweight",AND(B1722&gt;=18.5,B1722&lt;=24.99),"Normalweight",AND(B1722&gt;=25,B1722&lt;=29.99),"Overweight",B1722&gt;=30,"Obesity")</f>
        <v>Obesity</v>
      </c>
      <c r="J1722" t="str" cm="1">
        <f t="array" ref="J1722">_xlfn.IFS(C1722&lt;5.7,"Normal",AND(C1722&gt;=5.7,C1722&lt;=6.49),"Prediabetes",C1722&gt;=6.5,"Diabetes")</f>
        <v>Normal</v>
      </c>
    </row>
    <row r="1723" spans="1:10" x14ac:dyDescent="0.3">
      <c r="A1723" t="s">
        <v>649</v>
      </c>
      <c r="B1723" s="8">
        <v>37.56</v>
      </c>
      <c r="C1723">
        <v>5.88</v>
      </c>
      <c r="D1723" t="s">
        <v>2379</v>
      </c>
      <c r="E1723" t="s">
        <v>2380</v>
      </c>
      <c r="F1723" t="s">
        <v>2379</v>
      </c>
      <c r="G1723">
        <v>1</v>
      </c>
      <c r="H1723" t="s">
        <v>2379</v>
      </c>
      <c r="I1723" t="str" cm="1">
        <f t="array" ref="I1723">_xlfn.IFS(B1723&lt;18.5,"Underweight",AND(B1723&gt;=18.5,B1723&lt;=24.99),"Normalweight",AND(B1723&gt;=25,B1723&lt;=29.99),"Overweight",B1723&gt;=30,"Obesity")</f>
        <v>Obesity</v>
      </c>
      <c r="J1723" t="str" cm="1">
        <f t="array" ref="J1723">_xlfn.IFS(C1723&lt;5.7,"Normal",AND(C1723&gt;=5.7,C1723&lt;=6.49),"Prediabetes",C1723&gt;=6.5,"Diabetes")</f>
        <v>Prediabetes</v>
      </c>
    </row>
    <row r="1724" spans="1:10" x14ac:dyDescent="0.3">
      <c r="A1724" t="s">
        <v>648</v>
      </c>
      <c r="B1724" s="8">
        <v>15.49</v>
      </c>
      <c r="C1724">
        <v>9.6</v>
      </c>
      <c r="D1724" t="s">
        <v>2379</v>
      </c>
      <c r="E1724" t="s">
        <v>2379</v>
      </c>
      <c r="F1724" t="s">
        <v>2379</v>
      </c>
      <c r="G1724">
        <v>0</v>
      </c>
      <c r="H1724" t="s">
        <v>2379</v>
      </c>
      <c r="I1724" t="str" cm="1">
        <f t="array" ref="I1724">_xlfn.IFS(B1724&lt;18.5,"Underweight",AND(B1724&gt;=18.5,B1724&lt;=24.99),"Normalweight",AND(B1724&gt;=25,B1724&lt;=29.99),"Overweight",B1724&gt;=30,"Obesity")</f>
        <v>Underweight</v>
      </c>
      <c r="J1724" t="str" cm="1">
        <f t="array" ref="J1724">_xlfn.IFS(C1724&lt;5.7,"Normal",AND(C1724&gt;=5.7,C1724&lt;=6.49),"Prediabetes",C1724&gt;=6.5,"Diabetes")</f>
        <v>Diabetes</v>
      </c>
    </row>
    <row r="1725" spans="1:10" x14ac:dyDescent="0.3">
      <c r="A1725" t="s">
        <v>647</v>
      </c>
      <c r="B1725" s="8">
        <v>23.48</v>
      </c>
      <c r="C1725">
        <v>6.24</v>
      </c>
      <c r="D1725" t="s">
        <v>2379</v>
      </c>
      <c r="E1725" t="s">
        <v>2379</v>
      </c>
      <c r="F1725" t="s">
        <v>2379</v>
      </c>
      <c r="G1725">
        <v>1</v>
      </c>
      <c r="H1725" t="s">
        <v>2379</v>
      </c>
      <c r="I1725" t="str" cm="1">
        <f t="array" ref="I1725">_xlfn.IFS(B1725&lt;18.5,"Underweight",AND(B1725&gt;=18.5,B1725&lt;=24.99),"Normalweight",AND(B1725&gt;=25,B1725&lt;=29.99),"Overweight",B1725&gt;=30,"Obesity")</f>
        <v>Normalweight</v>
      </c>
      <c r="J1725" t="str" cm="1">
        <f t="array" ref="J1725">_xlfn.IFS(C1725&lt;5.7,"Normal",AND(C1725&gt;=5.7,C1725&lt;=6.49),"Prediabetes",C1725&gt;=6.5,"Diabetes")</f>
        <v>Prediabetes</v>
      </c>
    </row>
    <row r="1726" spans="1:10" x14ac:dyDescent="0.3">
      <c r="A1726" t="s">
        <v>646</v>
      </c>
      <c r="B1726" s="8">
        <v>30.02</v>
      </c>
      <c r="C1726">
        <v>7.63</v>
      </c>
      <c r="D1726" t="s">
        <v>2381</v>
      </c>
      <c r="E1726" t="s">
        <v>2379</v>
      </c>
      <c r="F1726" t="s">
        <v>2379</v>
      </c>
      <c r="G1726">
        <v>1</v>
      </c>
      <c r="H1726" t="s">
        <v>2379</v>
      </c>
      <c r="I1726" t="str" cm="1">
        <f t="array" ref="I1726">_xlfn.IFS(B1726&lt;18.5,"Underweight",AND(B1726&gt;=18.5,B1726&lt;=24.99),"Normalweight",AND(B1726&gt;=25,B1726&lt;=29.99),"Overweight",B1726&gt;=30,"Obesity")</f>
        <v>Obesity</v>
      </c>
      <c r="J1726" t="str" cm="1">
        <f t="array" ref="J1726">_xlfn.IFS(C1726&lt;5.7,"Normal",AND(C1726&gt;=5.7,C1726&lt;=6.49),"Prediabetes",C1726&gt;=6.5,"Diabetes")</f>
        <v>Diabetes</v>
      </c>
    </row>
    <row r="1727" spans="1:10" x14ac:dyDescent="0.3">
      <c r="A1727" t="s">
        <v>645</v>
      </c>
      <c r="B1727" s="8">
        <v>26.885000000000002</v>
      </c>
      <c r="C1727">
        <v>8.66</v>
      </c>
      <c r="D1727" t="s">
        <v>2381</v>
      </c>
      <c r="E1727" t="s">
        <v>2379</v>
      </c>
      <c r="F1727" t="s">
        <v>2379</v>
      </c>
      <c r="G1727">
        <v>1</v>
      </c>
      <c r="H1727" t="s">
        <v>2379</v>
      </c>
      <c r="I1727" t="str" cm="1">
        <f t="array" ref="I1727">_xlfn.IFS(B1727&lt;18.5,"Underweight",AND(B1727&gt;=18.5,B1727&lt;=24.99),"Normalweight",AND(B1727&gt;=25,B1727&lt;=29.99),"Overweight",B1727&gt;=30,"Obesity")</f>
        <v>Overweight</v>
      </c>
      <c r="J1727" t="str" cm="1">
        <f t="array" ref="J1727">_xlfn.IFS(C1727&lt;5.7,"Normal",AND(C1727&gt;=5.7,C1727&lt;=6.49),"Prediabetes",C1727&gt;=6.5,"Diabetes")</f>
        <v>Diabetes</v>
      </c>
    </row>
    <row r="1728" spans="1:10" x14ac:dyDescent="0.3">
      <c r="A1728" t="s">
        <v>644</v>
      </c>
      <c r="B1728" s="8">
        <v>25.84</v>
      </c>
      <c r="C1728">
        <v>8.5500000000000007</v>
      </c>
      <c r="D1728" t="s">
        <v>2381</v>
      </c>
      <c r="E1728" t="s">
        <v>2379</v>
      </c>
      <c r="F1728" t="s">
        <v>2379</v>
      </c>
      <c r="G1728">
        <v>1</v>
      </c>
      <c r="H1728" t="s">
        <v>2379</v>
      </c>
      <c r="I1728" t="str" cm="1">
        <f t="array" ref="I1728">_xlfn.IFS(B1728&lt;18.5,"Underweight",AND(B1728&gt;=18.5,B1728&lt;=24.99),"Normalweight",AND(B1728&gt;=25,B1728&lt;=29.99),"Overweight",B1728&gt;=30,"Obesity")</f>
        <v>Overweight</v>
      </c>
      <c r="J1728" t="str" cm="1">
        <f t="array" ref="J1728">_xlfn.IFS(C1728&lt;5.7,"Normal",AND(C1728&gt;=5.7,C1728&lt;=6.49),"Prediabetes",C1728&gt;=6.5,"Diabetes")</f>
        <v>Diabetes</v>
      </c>
    </row>
    <row r="1729" spans="1:10" x14ac:dyDescent="0.3">
      <c r="A1729" t="s">
        <v>643</v>
      </c>
      <c r="B1729" s="8">
        <v>27.454999999999998</v>
      </c>
      <c r="C1729">
        <v>4.54</v>
      </c>
      <c r="D1729" t="s">
        <v>2379</v>
      </c>
      <c r="E1729" t="s">
        <v>2379</v>
      </c>
      <c r="F1729" t="s">
        <v>2379</v>
      </c>
      <c r="G1729">
        <v>0</v>
      </c>
      <c r="H1729" t="s">
        <v>2379</v>
      </c>
      <c r="I1729" t="str" cm="1">
        <f t="array" ref="I1729">_xlfn.IFS(B1729&lt;18.5,"Underweight",AND(B1729&gt;=18.5,B1729&lt;=24.99),"Normalweight",AND(B1729&gt;=25,B1729&lt;=29.99),"Overweight",B1729&gt;=30,"Obesity")</f>
        <v>Overweight</v>
      </c>
      <c r="J1729" t="str" cm="1">
        <f t="array" ref="J1729">_xlfn.IFS(C1729&lt;5.7,"Normal",AND(C1729&gt;=5.7,C1729&lt;=6.49),"Prediabetes",C1729&gt;=6.5,"Diabetes")</f>
        <v>Normal</v>
      </c>
    </row>
    <row r="1730" spans="1:10" x14ac:dyDescent="0.3">
      <c r="A1730" t="s">
        <v>642</v>
      </c>
      <c r="B1730" s="8">
        <v>24.605</v>
      </c>
      <c r="C1730">
        <v>5.7</v>
      </c>
      <c r="D1730" t="s">
        <v>2379</v>
      </c>
      <c r="E1730" t="s">
        <v>2379</v>
      </c>
      <c r="F1730" t="s">
        <v>2379</v>
      </c>
      <c r="G1730">
        <v>0</v>
      </c>
      <c r="H1730" t="s">
        <v>2379</v>
      </c>
      <c r="I1730" t="str" cm="1">
        <f t="array" ref="I1730">_xlfn.IFS(B1730&lt;18.5,"Underweight",AND(B1730&gt;=18.5,B1730&lt;=24.99),"Normalweight",AND(B1730&gt;=25,B1730&lt;=29.99),"Overweight",B1730&gt;=30,"Obesity")</f>
        <v>Normalweight</v>
      </c>
      <c r="J1730" t="str" cm="1">
        <f t="array" ref="J1730">_xlfn.IFS(C1730&lt;5.7,"Normal",AND(C1730&gt;=5.7,C1730&lt;=6.49),"Prediabetes",C1730&gt;=6.5,"Diabetes")</f>
        <v>Prediabetes</v>
      </c>
    </row>
    <row r="1731" spans="1:10" x14ac:dyDescent="0.3">
      <c r="A1731" t="s">
        <v>641</v>
      </c>
      <c r="B1731" s="8">
        <v>30.8</v>
      </c>
      <c r="C1731">
        <v>5.07</v>
      </c>
      <c r="D1731" t="s">
        <v>2379</v>
      </c>
      <c r="E1731" t="s">
        <v>2379</v>
      </c>
      <c r="F1731" t="s">
        <v>2379</v>
      </c>
      <c r="G1731">
        <v>0</v>
      </c>
      <c r="H1731" t="s">
        <v>2379</v>
      </c>
      <c r="I1731" t="str" cm="1">
        <f t="array" ref="I1731">_xlfn.IFS(B1731&lt;18.5,"Underweight",AND(B1731&gt;=18.5,B1731&lt;=24.99),"Normalweight",AND(B1731&gt;=25,B1731&lt;=29.99),"Overweight",B1731&gt;=30,"Obesity")</f>
        <v>Obesity</v>
      </c>
      <c r="J1731" t="str" cm="1">
        <f t="array" ref="J1731">_xlfn.IFS(C1731&lt;5.7,"Normal",AND(C1731&gt;=5.7,C1731&lt;=6.49),"Prediabetes",C1731&gt;=6.5,"Diabetes")</f>
        <v>Normal</v>
      </c>
    </row>
    <row r="1732" spans="1:10" x14ac:dyDescent="0.3">
      <c r="A1732" t="s">
        <v>640</v>
      </c>
      <c r="B1732" s="8">
        <v>34.799999999999997</v>
      </c>
      <c r="C1732">
        <v>4.38</v>
      </c>
      <c r="D1732" t="s">
        <v>2379</v>
      </c>
      <c r="E1732" t="s">
        <v>2379</v>
      </c>
      <c r="F1732" t="s">
        <v>2379</v>
      </c>
      <c r="G1732">
        <v>1</v>
      </c>
      <c r="H1732" t="s">
        <v>2379</v>
      </c>
      <c r="I1732" t="str" cm="1">
        <f t="array" ref="I1732">_xlfn.IFS(B1732&lt;18.5,"Underweight",AND(B1732&gt;=18.5,B1732&lt;=24.99),"Normalweight",AND(B1732&gt;=25,B1732&lt;=29.99),"Overweight",B1732&gt;=30,"Obesity")</f>
        <v>Obesity</v>
      </c>
      <c r="J1732" t="str" cm="1">
        <f t="array" ref="J1732">_xlfn.IFS(C1732&lt;5.7,"Normal",AND(C1732&gt;=5.7,C1732&lt;=6.49),"Prediabetes",C1732&gt;=6.5,"Diabetes")</f>
        <v>Normal</v>
      </c>
    </row>
    <row r="1733" spans="1:10" x14ac:dyDescent="0.3">
      <c r="A1733" t="s">
        <v>639</v>
      </c>
      <c r="B1733" s="8">
        <v>34.21</v>
      </c>
      <c r="C1733">
        <v>4.54</v>
      </c>
      <c r="D1733" t="s">
        <v>2379</v>
      </c>
      <c r="E1733" t="s">
        <v>2379</v>
      </c>
      <c r="F1733" t="s">
        <v>2379</v>
      </c>
      <c r="G1733">
        <v>1</v>
      </c>
      <c r="H1733" t="s">
        <v>2379</v>
      </c>
      <c r="I1733" t="str" cm="1">
        <f t="array" ref="I1733">_xlfn.IFS(B1733&lt;18.5,"Underweight",AND(B1733&gt;=18.5,B1733&lt;=24.99),"Normalweight",AND(B1733&gt;=25,B1733&lt;=29.99),"Overweight",B1733&gt;=30,"Obesity")</f>
        <v>Obesity</v>
      </c>
      <c r="J1733" t="str" cm="1">
        <f t="array" ref="J1733">_xlfn.IFS(C1733&lt;5.7,"Normal",AND(C1733&gt;=5.7,C1733&lt;=6.49),"Prediabetes",C1733&gt;=6.5,"Diabetes")</f>
        <v>Normal</v>
      </c>
    </row>
    <row r="1734" spans="1:10" x14ac:dyDescent="0.3">
      <c r="A1734" t="s">
        <v>638</v>
      </c>
      <c r="B1734" s="8">
        <v>31</v>
      </c>
      <c r="C1734">
        <v>5.38</v>
      </c>
      <c r="D1734" t="s">
        <v>2379</v>
      </c>
      <c r="E1734" t="s">
        <v>2379</v>
      </c>
      <c r="F1734" t="s">
        <v>2379</v>
      </c>
      <c r="G1734">
        <v>1</v>
      </c>
      <c r="H1734" t="s">
        <v>2379</v>
      </c>
      <c r="I1734" t="str" cm="1">
        <f t="array" ref="I1734">_xlfn.IFS(B1734&lt;18.5,"Underweight",AND(B1734&gt;=18.5,B1734&lt;=24.99),"Normalweight",AND(B1734&gt;=25,B1734&lt;=29.99),"Overweight",B1734&gt;=30,"Obesity")</f>
        <v>Obesity</v>
      </c>
      <c r="J1734" t="str" cm="1">
        <f t="array" ref="J1734">_xlfn.IFS(C1734&lt;5.7,"Normal",AND(C1734&gt;=5.7,C1734&lt;=6.49),"Prediabetes",C1734&gt;=6.5,"Diabetes")</f>
        <v>Normal</v>
      </c>
    </row>
    <row r="1735" spans="1:10" x14ac:dyDescent="0.3">
      <c r="A1735" t="s">
        <v>637</v>
      </c>
      <c r="B1735" s="8">
        <v>26.125</v>
      </c>
      <c r="C1735">
        <v>5.55</v>
      </c>
      <c r="D1735" t="s">
        <v>2379</v>
      </c>
      <c r="E1735" t="s">
        <v>2379</v>
      </c>
      <c r="F1735" t="s">
        <v>2379</v>
      </c>
      <c r="G1735">
        <v>1</v>
      </c>
      <c r="H1735" t="s">
        <v>2379</v>
      </c>
      <c r="I1735" t="str" cm="1">
        <f t="array" ref="I1735">_xlfn.IFS(B1735&lt;18.5,"Underweight",AND(B1735&gt;=18.5,B1735&lt;=24.99),"Normalweight",AND(B1735&gt;=25,B1735&lt;=29.99),"Overweight",B1735&gt;=30,"Obesity")</f>
        <v>Overweight</v>
      </c>
      <c r="J1735" t="str" cm="1">
        <f t="array" ref="J1735">_xlfn.IFS(C1735&lt;5.7,"Normal",AND(C1735&gt;=5.7,C1735&lt;=6.49),"Prediabetes",C1735&gt;=6.5,"Diabetes")</f>
        <v>Normal</v>
      </c>
    </row>
    <row r="1736" spans="1:10" x14ac:dyDescent="0.3">
      <c r="A1736" t="s">
        <v>636</v>
      </c>
      <c r="B1736" s="8">
        <v>30.13</v>
      </c>
      <c r="C1736">
        <v>4.03</v>
      </c>
      <c r="D1736" t="s">
        <v>2381</v>
      </c>
      <c r="E1736" t="s">
        <v>2379</v>
      </c>
      <c r="F1736" t="s">
        <v>2379</v>
      </c>
      <c r="G1736">
        <v>1</v>
      </c>
      <c r="H1736" t="s">
        <v>2379</v>
      </c>
      <c r="I1736" t="str" cm="1">
        <f t="array" ref="I1736">_xlfn.IFS(B1736&lt;18.5,"Underweight",AND(B1736&gt;=18.5,B1736&lt;=24.99),"Normalweight",AND(B1736&gt;=25,B1736&lt;=29.99),"Overweight",B1736&gt;=30,"Obesity")</f>
        <v>Obesity</v>
      </c>
      <c r="J1736" t="str" cm="1">
        <f t="array" ref="J1736">_xlfn.IFS(C1736&lt;5.7,"Normal",AND(C1736&gt;=5.7,C1736&lt;=6.49),"Prediabetes",C1736&gt;=6.5,"Diabetes")</f>
        <v>Normal</v>
      </c>
    </row>
    <row r="1737" spans="1:10" x14ac:dyDescent="0.3">
      <c r="A1737" t="s">
        <v>635</v>
      </c>
      <c r="B1737" s="8">
        <v>34.19</v>
      </c>
      <c r="C1737">
        <v>4.1900000000000004</v>
      </c>
      <c r="D1737" t="s">
        <v>2379</v>
      </c>
      <c r="E1737" t="s">
        <v>2379</v>
      </c>
      <c r="F1737" t="s">
        <v>2379</v>
      </c>
      <c r="G1737">
        <v>0</v>
      </c>
      <c r="H1737" t="s">
        <v>2379</v>
      </c>
      <c r="I1737" t="str" cm="1">
        <f t="array" ref="I1737">_xlfn.IFS(B1737&lt;18.5,"Underweight",AND(B1737&gt;=18.5,B1737&lt;=24.99),"Normalweight",AND(B1737&gt;=25,B1737&lt;=29.99),"Overweight",B1737&gt;=30,"Obesity")</f>
        <v>Obesity</v>
      </c>
      <c r="J1737" t="str" cm="1">
        <f t="array" ref="J1737">_xlfn.IFS(C1737&lt;5.7,"Normal",AND(C1737&gt;=5.7,C1737&lt;=6.49),"Prediabetes",C1737&gt;=6.5,"Diabetes")</f>
        <v>Normal</v>
      </c>
    </row>
    <row r="1738" spans="1:10" x14ac:dyDescent="0.3">
      <c r="A1738" t="s">
        <v>634</v>
      </c>
      <c r="B1738" s="8">
        <v>22.515000000000001</v>
      </c>
      <c r="C1738">
        <v>4.37</v>
      </c>
      <c r="D1738" t="s">
        <v>2379</v>
      </c>
      <c r="E1738" t="s">
        <v>2379</v>
      </c>
      <c r="F1738" t="s">
        <v>2381</v>
      </c>
      <c r="G1738">
        <v>1</v>
      </c>
      <c r="H1738" t="s">
        <v>2379</v>
      </c>
      <c r="I1738" t="str" cm="1">
        <f t="array" ref="I1738">_xlfn.IFS(B1738&lt;18.5,"Underweight",AND(B1738&gt;=18.5,B1738&lt;=24.99),"Normalweight",AND(B1738&gt;=25,B1738&lt;=29.99),"Overweight",B1738&gt;=30,"Obesity")</f>
        <v>Normalweight</v>
      </c>
      <c r="J1738" t="str" cm="1">
        <f t="array" ref="J1738">_xlfn.IFS(C1738&lt;5.7,"Normal",AND(C1738&gt;=5.7,C1738&lt;=6.49),"Prediabetes",C1738&gt;=6.5,"Diabetes")</f>
        <v>Normal</v>
      </c>
    </row>
    <row r="1739" spans="1:10" x14ac:dyDescent="0.3">
      <c r="A1739" t="s">
        <v>633</v>
      </c>
      <c r="B1739" s="8">
        <v>18.239999999999998</v>
      </c>
      <c r="C1739">
        <v>5.31</v>
      </c>
      <c r="D1739" t="s">
        <v>2381</v>
      </c>
      <c r="E1739" t="s">
        <v>2379</v>
      </c>
      <c r="F1739" t="s">
        <v>2381</v>
      </c>
      <c r="G1739">
        <v>1</v>
      </c>
      <c r="H1739" t="s">
        <v>2379</v>
      </c>
      <c r="I1739" t="str" cm="1">
        <f t="array" ref="I1739">_xlfn.IFS(B1739&lt;18.5,"Underweight",AND(B1739&gt;=18.5,B1739&lt;=24.99),"Normalweight",AND(B1739&gt;=25,B1739&lt;=29.99),"Overweight",B1739&gt;=30,"Obesity")</f>
        <v>Underweight</v>
      </c>
      <c r="J1739" t="str" cm="1">
        <f t="array" ref="J1739">_xlfn.IFS(C1739&lt;5.7,"Normal",AND(C1739&gt;=5.7,C1739&lt;=6.49),"Prediabetes",C1739&gt;=6.5,"Diabetes")</f>
        <v>Normal</v>
      </c>
    </row>
    <row r="1740" spans="1:10" x14ac:dyDescent="0.3">
      <c r="A1740" t="s">
        <v>631</v>
      </c>
      <c r="B1740" s="8">
        <v>37.28</v>
      </c>
      <c r="C1740">
        <v>4.66</v>
      </c>
      <c r="D1740" t="s">
        <v>2379</v>
      </c>
      <c r="E1740" t="s">
        <v>2380</v>
      </c>
      <c r="F1740" t="s">
        <v>2379</v>
      </c>
      <c r="G1740">
        <v>1</v>
      </c>
      <c r="H1740" t="s">
        <v>2379</v>
      </c>
      <c r="I1740" t="str" cm="1">
        <f t="array" ref="I1740">_xlfn.IFS(B1740&lt;18.5,"Underweight",AND(B1740&gt;=18.5,B1740&lt;=24.99),"Normalweight",AND(B1740&gt;=25,B1740&lt;=29.99),"Overweight",B1740&gt;=30,"Obesity")</f>
        <v>Obesity</v>
      </c>
      <c r="J1740" t="str" cm="1">
        <f t="array" ref="J1740">_xlfn.IFS(C1740&lt;5.7,"Normal",AND(C1740&gt;=5.7,C1740&lt;=6.49),"Prediabetes",C1740&gt;=6.5,"Diabetes")</f>
        <v>Normal</v>
      </c>
    </row>
    <row r="1741" spans="1:10" x14ac:dyDescent="0.3">
      <c r="A1741" t="s">
        <v>630</v>
      </c>
      <c r="B1741" s="8">
        <v>18.2</v>
      </c>
      <c r="C1741">
        <v>6.19</v>
      </c>
      <c r="D1741" t="s">
        <v>2379</v>
      </c>
      <c r="E1741" t="s">
        <v>2379</v>
      </c>
      <c r="F1741" t="s">
        <v>2381</v>
      </c>
      <c r="G1741">
        <v>1</v>
      </c>
      <c r="H1741" t="s">
        <v>2379</v>
      </c>
      <c r="I1741" t="str" cm="1">
        <f t="array" ref="I1741">_xlfn.IFS(B1741&lt;18.5,"Underweight",AND(B1741&gt;=18.5,B1741&lt;=24.99),"Normalweight",AND(B1741&gt;=25,B1741&lt;=29.99),"Overweight",B1741&gt;=30,"Obesity")</f>
        <v>Underweight</v>
      </c>
      <c r="J1741" t="str" cm="1">
        <f t="array" ref="J1741">_xlfn.IFS(C1741&lt;5.7,"Normal",AND(C1741&gt;=5.7,C1741&lt;=6.49),"Prediabetes",C1741&gt;=6.5,"Diabetes")</f>
        <v>Prediabetes</v>
      </c>
    </row>
    <row r="1742" spans="1:10" x14ac:dyDescent="0.3">
      <c r="A1742" t="s">
        <v>629</v>
      </c>
      <c r="B1742" s="8">
        <v>20.53</v>
      </c>
      <c r="C1742">
        <v>4.8600000000000003</v>
      </c>
      <c r="D1742" t="s">
        <v>2379</v>
      </c>
      <c r="E1742" t="s">
        <v>2379</v>
      </c>
      <c r="F1742" t="s">
        <v>2379</v>
      </c>
      <c r="G1742">
        <v>1</v>
      </c>
      <c r="H1742" t="s">
        <v>2379</v>
      </c>
      <c r="I1742" t="str" cm="1">
        <f t="array" ref="I1742">_xlfn.IFS(B1742&lt;18.5,"Underweight",AND(B1742&gt;=18.5,B1742&lt;=24.99),"Normalweight",AND(B1742&gt;=25,B1742&lt;=29.99),"Overweight",B1742&gt;=30,"Obesity")</f>
        <v>Normalweight</v>
      </c>
      <c r="J1742" t="str" cm="1">
        <f t="array" ref="J1742">_xlfn.IFS(C1742&lt;5.7,"Normal",AND(C1742&gt;=5.7,C1742&lt;=6.49),"Prediabetes",C1742&gt;=6.5,"Diabetes")</f>
        <v>Normal</v>
      </c>
    </row>
    <row r="1743" spans="1:10" x14ac:dyDescent="0.3">
      <c r="A1743" t="s">
        <v>628</v>
      </c>
      <c r="B1743" s="8">
        <v>23.79</v>
      </c>
      <c r="C1743">
        <v>4.74</v>
      </c>
      <c r="D1743" t="s">
        <v>2379</v>
      </c>
      <c r="E1743" t="s">
        <v>2379</v>
      </c>
      <c r="F1743" t="s">
        <v>2379</v>
      </c>
      <c r="G1743">
        <v>0</v>
      </c>
      <c r="H1743" t="s">
        <v>2379</v>
      </c>
      <c r="I1743" t="str" cm="1">
        <f t="array" ref="I1743">_xlfn.IFS(B1743&lt;18.5,"Underweight",AND(B1743&gt;=18.5,B1743&lt;=24.99),"Normalweight",AND(B1743&gt;=25,B1743&lt;=29.99),"Overweight",B1743&gt;=30,"Obesity")</f>
        <v>Normalweight</v>
      </c>
      <c r="J1743" t="str" cm="1">
        <f t="array" ref="J1743">_xlfn.IFS(C1743&lt;5.7,"Normal",AND(C1743&gt;=5.7,C1743&lt;=6.49),"Prediabetes",C1743&gt;=6.5,"Diabetes")</f>
        <v>Normal</v>
      </c>
    </row>
    <row r="1744" spans="1:10" x14ac:dyDescent="0.3">
      <c r="A1744" t="s">
        <v>627</v>
      </c>
      <c r="B1744" s="8">
        <v>29.8</v>
      </c>
      <c r="C1744">
        <v>6.03</v>
      </c>
      <c r="D1744" t="s">
        <v>2379</v>
      </c>
      <c r="E1744" t="s">
        <v>2379</v>
      </c>
      <c r="F1744" t="s">
        <v>2379</v>
      </c>
      <c r="G1744">
        <v>0</v>
      </c>
      <c r="H1744" t="s">
        <v>2379</v>
      </c>
      <c r="I1744" t="str" cm="1">
        <f t="array" ref="I1744">_xlfn.IFS(B1744&lt;18.5,"Underweight",AND(B1744&gt;=18.5,B1744&lt;=24.99),"Normalweight",AND(B1744&gt;=25,B1744&lt;=29.99),"Overweight",B1744&gt;=30,"Obesity")</f>
        <v>Overweight</v>
      </c>
      <c r="J1744" t="str" cm="1">
        <f t="array" ref="J1744">_xlfn.IFS(C1744&lt;5.7,"Normal",AND(C1744&gt;=5.7,C1744&lt;=6.49),"Prediabetes",C1744&gt;=6.5,"Diabetes")</f>
        <v>Prediabetes</v>
      </c>
    </row>
    <row r="1745" spans="1:10" x14ac:dyDescent="0.3">
      <c r="A1745" t="s">
        <v>626</v>
      </c>
      <c r="B1745" s="8">
        <v>31.54</v>
      </c>
      <c r="C1745">
        <v>4.71</v>
      </c>
      <c r="D1745" t="s">
        <v>2379</v>
      </c>
      <c r="E1745" t="s">
        <v>2379</v>
      </c>
      <c r="F1745" t="s">
        <v>2379</v>
      </c>
      <c r="G1745">
        <v>0</v>
      </c>
      <c r="H1745" t="s">
        <v>2379</v>
      </c>
      <c r="I1745" t="str" cm="1">
        <f t="array" ref="I1745">_xlfn.IFS(B1745&lt;18.5,"Underweight",AND(B1745&gt;=18.5,B1745&lt;=24.99),"Normalweight",AND(B1745&gt;=25,B1745&lt;=29.99),"Overweight",B1745&gt;=30,"Obesity")</f>
        <v>Obesity</v>
      </c>
      <c r="J1745" t="str" cm="1">
        <f t="array" ref="J1745">_xlfn.IFS(C1745&lt;5.7,"Normal",AND(C1745&gt;=5.7,C1745&lt;=6.49),"Prediabetes",C1745&gt;=6.5,"Diabetes")</f>
        <v>Normal</v>
      </c>
    </row>
    <row r="1746" spans="1:10" x14ac:dyDescent="0.3">
      <c r="A1746" t="s">
        <v>625</v>
      </c>
      <c r="B1746" s="8">
        <v>20.82</v>
      </c>
      <c r="C1746">
        <v>5.55</v>
      </c>
      <c r="D1746" t="s">
        <v>2379</v>
      </c>
      <c r="E1746" t="s">
        <v>2379</v>
      </c>
      <c r="F1746" t="s">
        <v>2379</v>
      </c>
      <c r="G1746">
        <v>1</v>
      </c>
      <c r="H1746" t="s">
        <v>2379</v>
      </c>
      <c r="I1746" t="str" cm="1">
        <f t="array" ref="I1746">_xlfn.IFS(B1746&lt;18.5,"Underweight",AND(B1746&gt;=18.5,B1746&lt;=24.99),"Normalweight",AND(B1746&gt;=25,B1746&lt;=29.99),"Overweight",B1746&gt;=30,"Obesity")</f>
        <v>Normalweight</v>
      </c>
      <c r="J1746" t="str" cm="1">
        <f t="array" ref="J1746">_xlfn.IFS(C1746&lt;5.7,"Normal",AND(C1746&gt;=5.7,C1746&lt;=6.49),"Prediabetes",C1746&gt;=6.5,"Diabetes")</f>
        <v>Normal</v>
      </c>
    </row>
    <row r="1747" spans="1:10" x14ac:dyDescent="0.3">
      <c r="A1747" t="s">
        <v>624</v>
      </c>
      <c r="B1747" s="8">
        <v>38.83</v>
      </c>
      <c r="C1747">
        <v>4.78</v>
      </c>
      <c r="D1747" t="s">
        <v>2379</v>
      </c>
      <c r="E1747" t="s">
        <v>2379</v>
      </c>
      <c r="F1747" t="s">
        <v>2381</v>
      </c>
      <c r="G1747">
        <v>1</v>
      </c>
      <c r="H1747" t="s">
        <v>2379</v>
      </c>
      <c r="I1747" t="str" cm="1">
        <f t="array" ref="I1747">_xlfn.IFS(B1747&lt;18.5,"Underweight",AND(B1747&gt;=18.5,B1747&lt;=24.99),"Normalweight",AND(B1747&gt;=25,B1747&lt;=29.99),"Overweight",B1747&gt;=30,"Obesity")</f>
        <v>Obesity</v>
      </c>
      <c r="J1747" t="str" cm="1">
        <f t="array" ref="J1747">_xlfn.IFS(C1747&lt;5.7,"Normal",AND(C1747&gt;=5.7,C1747&lt;=6.49),"Prediabetes",C1747&gt;=6.5,"Diabetes")</f>
        <v>Normal</v>
      </c>
    </row>
    <row r="1748" spans="1:10" x14ac:dyDescent="0.3">
      <c r="A1748" t="s">
        <v>623</v>
      </c>
      <c r="B1748" s="8">
        <v>23.44</v>
      </c>
      <c r="C1748">
        <v>4.6500000000000004</v>
      </c>
      <c r="D1748" t="s">
        <v>2381</v>
      </c>
      <c r="E1748" t="s">
        <v>2379</v>
      </c>
      <c r="F1748" t="s">
        <v>2379</v>
      </c>
      <c r="G1748">
        <v>1</v>
      </c>
      <c r="H1748" t="s">
        <v>2379</v>
      </c>
      <c r="I1748" t="str" cm="1">
        <f t="array" ref="I1748">_xlfn.IFS(B1748&lt;18.5,"Underweight",AND(B1748&gt;=18.5,B1748&lt;=24.99),"Normalweight",AND(B1748&gt;=25,B1748&lt;=29.99),"Overweight",B1748&gt;=30,"Obesity")</f>
        <v>Normalweight</v>
      </c>
      <c r="J1748" t="str" cm="1">
        <f t="array" ref="J1748">_xlfn.IFS(C1748&lt;5.7,"Normal",AND(C1748&gt;=5.7,C1748&lt;=6.49),"Prediabetes",C1748&gt;=6.5,"Diabetes")</f>
        <v>Normal</v>
      </c>
    </row>
    <row r="1749" spans="1:10" x14ac:dyDescent="0.3">
      <c r="A1749" t="s">
        <v>622</v>
      </c>
      <c r="B1749" s="8">
        <v>24.13</v>
      </c>
      <c r="C1749">
        <v>5.2</v>
      </c>
      <c r="D1749" t="s">
        <v>2379</v>
      </c>
      <c r="E1749" t="s">
        <v>2379</v>
      </c>
      <c r="F1749" t="s">
        <v>2379</v>
      </c>
      <c r="G1749">
        <v>1</v>
      </c>
      <c r="H1749" t="s">
        <v>2379</v>
      </c>
      <c r="I1749" t="str" cm="1">
        <f t="array" ref="I1749">_xlfn.IFS(B1749&lt;18.5,"Underweight",AND(B1749&gt;=18.5,B1749&lt;=24.99),"Normalweight",AND(B1749&gt;=25,B1749&lt;=29.99),"Overweight",B1749&gt;=30,"Obesity")</f>
        <v>Normalweight</v>
      </c>
      <c r="J1749" t="str" cm="1">
        <f t="array" ref="J1749">_xlfn.IFS(C1749&lt;5.7,"Normal",AND(C1749&gt;=5.7,C1749&lt;=6.49),"Prediabetes",C1749&gt;=6.5,"Diabetes")</f>
        <v>Normal</v>
      </c>
    </row>
    <row r="1750" spans="1:10" x14ac:dyDescent="0.3">
      <c r="A1750" t="s">
        <v>621</v>
      </c>
      <c r="B1750" s="8">
        <v>42.13</v>
      </c>
      <c r="C1750">
        <v>4.54</v>
      </c>
      <c r="D1750" t="s">
        <v>2381</v>
      </c>
      <c r="E1750" t="s">
        <v>2379</v>
      </c>
      <c r="F1750" t="s">
        <v>2379</v>
      </c>
      <c r="G1750">
        <v>1</v>
      </c>
      <c r="H1750" t="s">
        <v>2379</v>
      </c>
      <c r="I1750" t="str" cm="1">
        <f t="array" ref="I1750">_xlfn.IFS(B1750&lt;18.5,"Underweight",AND(B1750&gt;=18.5,B1750&lt;=24.99),"Normalweight",AND(B1750&gt;=25,B1750&lt;=29.99),"Overweight",B1750&gt;=30,"Obesity")</f>
        <v>Obesity</v>
      </c>
      <c r="J1750" t="str" cm="1">
        <f t="array" ref="J1750">_xlfn.IFS(C1750&lt;5.7,"Normal",AND(C1750&gt;=5.7,C1750&lt;=6.49),"Prediabetes",C1750&gt;=6.5,"Diabetes")</f>
        <v>Normal</v>
      </c>
    </row>
    <row r="1751" spans="1:10" x14ac:dyDescent="0.3">
      <c r="A1751" t="s">
        <v>620</v>
      </c>
      <c r="B1751" s="8">
        <v>17.86</v>
      </c>
      <c r="C1751">
        <v>4.1100000000000003</v>
      </c>
      <c r="D1751" t="s">
        <v>2379</v>
      </c>
      <c r="E1751" t="s">
        <v>2379</v>
      </c>
      <c r="F1751" t="s">
        <v>2379</v>
      </c>
      <c r="G1751">
        <v>1</v>
      </c>
      <c r="H1751" t="s">
        <v>2379</v>
      </c>
      <c r="I1751" t="str" cm="1">
        <f t="array" ref="I1751">_xlfn.IFS(B1751&lt;18.5,"Underweight",AND(B1751&gt;=18.5,B1751&lt;=24.99),"Normalweight",AND(B1751&gt;=25,B1751&lt;=29.99),"Overweight",B1751&gt;=30,"Obesity")</f>
        <v>Underweight</v>
      </c>
      <c r="J1751" t="str" cm="1">
        <f t="array" ref="J1751">_xlfn.IFS(C1751&lt;5.7,"Normal",AND(C1751&gt;=5.7,C1751&lt;=6.49),"Prediabetes",C1751&gt;=6.5,"Diabetes")</f>
        <v>Normal</v>
      </c>
    </row>
    <row r="1752" spans="1:10" x14ac:dyDescent="0.3">
      <c r="A1752" t="s">
        <v>619</v>
      </c>
      <c r="B1752" s="8">
        <v>32.78</v>
      </c>
      <c r="C1752">
        <v>4.63</v>
      </c>
      <c r="D1752" t="s">
        <v>2379</v>
      </c>
      <c r="E1752" t="s">
        <v>2379</v>
      </c>
      <c r="F1752" t="s">
        <v>2379</v>
      </c>
      <c r="G1752">
        <v>0</v>
      </c>
      <c r="H1752" t="s">
        <v>2379</v>
      </c>
      <c r="I1752" t="str" cm="1">
        <f t="array" ref="I1752">_xlfn.IFS(B1752&lt;18.5,"Underweight",AND(B1752&gt;=18.5,B1752&lt;=24.99),"Normalweight",AND(B1752&gt;=25,B1752&lt;=29.99),"Overweight",B1752&gt;=30,"Obesity")</f>
        <v>Obesity</v>
      </c>
      <c r="J1752" t="str" cm="1">
        <f t="array" ref="J1752">_xlfn.IFS(C1752&lt;5.7,"Normal",AND(C1752&gt;=5.7,C1752&lt;=6.49),"Prediabetes",C1752&gt;=6.5,"Diabetes")</f>
        <v>Normal</v>
      </c>
    </row>
    <row r="1753" spans="1:10" x14ac:dyDescent="0.3">
      <c r="A1753" t="s">
        <v>618</v>
      </c>
      <c r="B1753" s="8">
        <v>23.9</v>
      </c>
      <c r="C1753">
        <v>6.06</v>
      </c>
      <c r="D1753" t="s">
        <v>2381</v>
      </c>
      <c r="E1753" t="s">
        <v>2379</v>
      </c>
      <c r="F1753" t="s">
        <v>2381</v>
      </c>
      <c r="G1753">
        <v>1</v>
      </c>
      <c r="H1753" t="s">
        <v>2379</v>
      </c>
      <c r="I1753" t="str" cm="1">
        <f t="array" ref="I1753">_xlfn.IFS(B1753&lt;18.5,"Underweight",AND(B1753&gt;=18.5,B1753&lt;=24.99),"Normalweight",AND(B1753&gt;=25,B1753&lt;=29.99),"Overweight",B1753&gt;=30,"Obesity")</f>
        <v>Normalweight</v>
      </c>
      <c r="J1753" t="str" cm="1">
        <f t="array" ref="J1753">_xlfn.IFS(C1753&lt;5.7,"Normal",AND(C1753&gt;=5.7,C1753&lt;=6.49),"Prediabetes",C1753&gt;=6.5,"Diabetes")</f>
        <v>Prediabetes</v>
      </c>
    </row>
    <row r="1754" spans="1:10" x14ac:dyDescent="0.3">
      <c r="A1754" t="s">
        <v>617</v>
      </c>
      <c r="B1754" s="8">
        <v>15.47</v>
      </c>
      <c r="C1754">
        <v>8.43</v>
      </c>
      <c r="D1754" t="s">
        <v>2379</v>
      </c>
      <c r="E1754" t="s">
        <v>2379</v>
      </c>
      <c r="F1754" t="s">
        <v>2379</v>
      </c>
      <c r="G1754">
        <v>0</v>
      </c>
      <c r="H1754" t="s">
        <v>2379</v>
      </c>
      <c r="I1754" t="str" cm="1">
        <f t="array" ref="I1754">_xlfn.IFS(B1754&lt;18.5,"Underweight",AND(B1754&gt;=18.5,B1754&lt;=24.99),"Normalweight",AND(B1754&gt;=25,B1754&lt;=29.99),"Overweight",B1754&gt;=30,"Obesity")</f>
        <v>Underweight</v>
      </c>
      <c r="J1754" t="str" cm="1">
        <f t="array" ref="J1754">_xlfn.IFS(C1754&lt;5.7,"Normal",AND(C1754&gt;=5.7,C1754&lt;=6.49),"Prediabetes",C1754&gt;=6.5,"Diabetes")</f>
        <v>Diabetes</v>
      </c>
    </row>
    <row r="1755" spans="1:10" x14ac:dyDescent="0.3">
      <c r="A1755" t="s">
        <v>616</v>
      </c>
      <c r="B1755" s="8">
        <v>28.54</v>
      </c>
      <c r="C1755">
        <v>5.51</v>
      </c>
      <c r="D1755" t="s">
        <v>2379</v>
      </c>
      <c r="E1755" t="s">
        <v>2379</v>
      </c>
      <c r="F1755" t="s">
        <v>2381</v>
      </c>
      <c r="G1755">
        <v>1</v>
      </c>
      <c r="H1755" t="s">
        <v>2379</v>
      </c>
      <c r="I1755" t="str" cm="1">
        <f t="array" ref="I1755">_xlfn.IFS(B1755&lt;18.5,"Underweight",AND(B1755&gt;=18.5,B1755&lt;=24.99),"Normalweight",AND(B1755&gt;=25,B1755&lt;=29.99),"Overweight",B1755&gt;=30,"Obesity")</f>
        <v>Overweight</v>
      </c>
      <c r="J1755" t="str" cm="1">
        <f t="array" ref="J1755">_xlfn.IFS(C1755&lt;5.7,"Normal",AND(C1755&gt;=5.7,C1755&lt;=6.49),"Prediabetes",C1755&gt;=6.5,"Diabetes")</f>
        <v>Normal</v>
      </c>
    </row>
    <row r="1756" spans="1:10" x14ac:dyDescent="0.3">
      <c r="A1756" t="s">
        <v>615</v>
      </c>
      <c r="B1756" s="8">
        <v>18.54</v>
      </c>
      <c r="C1756">
        <v>4.95</v>
      </c>
      <c r="D1756" t="s">
        <v>2379</v>
      </c>
      <c r="E1756" t="s">
        <v>2379</v>
      </c>
      <c r="F1756" t="s">
        <v>2379</v>
      </c>
      <c r="G1756">
        <v>0</v>
      </c>
      <c r="H1756" t="s">
        <v>2379</v>
      </c>
      <c r="I1756" t="str" cm="1">
        <f t="array" ref="I1756">_xlfn.IFS(B1756&lt;18.5,"Underweight",AND(B1756&gt;=18.5,B1756&lt;=24.99),"Normalweight",AND(B1756&gt;=25,B1756&lt;=29.99),"Overweight",B1756&gt;=30,"Obesity")</f>
        <v>Normalweight</v>
      </c>
      <c r="J1756" t="str" cm="1">
        <f t="array" ref="J1756">_xlfn.IFS(C1756&lt;5.7,"Normal",AND(C1756&gt;=5.7,C1756&lt;=6.49),"Prediabetes",C1756&gt;=6.5,"Diabetes")</f>
        <v>Normal</v>
      </c>
    </row>
    <row r="1757" spans="1:10" x14ac:dyDescent="0.3">
      <c r="A1757" t="s">
        <v>614</v>
      </c>
      <c r="B1757" s="8">
        <v>32.18</v>
      </c>
      <c r="C1757">
        <v>6.44</v>
      </c>
      <c r="D1757" t="s">
        <v>2381</v>
      </c>
      <c r="E1757" t="s">
        <v>2379</v>
      </c>
      <c r="F1757" t="s">
        <v>2381</v>
      </c>
      <c r="G1757">
        <v>1</v>
      </c>
      <c r="H1757" t="s">
        <v>2379</v>
      </c>
      <c r="I1757" t="str" cm="1">
        <f t="array" ref="I1757">_xlfn.IFS(B1757&lt;18.5,"Underweight",AND(B1757&gt;=18.5,B1757&lt;=24.99),"Normalweight",AND(B1757&gt;=25,B1757&lt;=29.99),"Overweight",B1757&gt;=30,"Obesity")</f>
        <v>Obesity</v>
      </c>
      <c r="J1757" t="str" cm="1">
        <f t="array" ref="J1757">_xlfn.IFS(C1757&lt;5.7,"Normal",AND(C1757&gt;=5.7,C1757&lt;=6.49),"Prediabetes",C1757&gt;=6.5,"Diabetes")</f>
        <v>Prediabetes</v>
      </c>
    </row>
    <row r="1758" spans="1:10" x14ac:dyDescent="0.3">
      <c r="A1758" t="s">
        <v>613</v>
      </c>
      <c r="B1758" s="8">
        <v>37.380000000000003</v>
      </c>
      <c r="C1758">
        <v>6.05</v>
      </c>
      <c r="D1758" t="s">
        <v>2381</v>
      </c>
      <c r="E1758" t="s">
        <v>2379</v>
      </c>
      <c r="F1758" t="s">
        <v>2379</v>
      </c>
      <c r="G1758">
        <v>0</v>
      </c>
      <c r="H1758" t="s">
        <v>2379</v>
      </c>
      <c r="I1758" t="str" cm="1">
        <f t="array" ref="I1758">_xlfn.IFS(B1758&lt;18.5,"Underweight",AND(B1758&gt;=18.5,B1758&lt;=24.99),"Normalweight",AND(B1758&gt;=25,B1758&lt;=29.99),"Overweight",B1758&gt;=30,"Obesity")</f>
        <v>Obesity</v>
      </c>
      <c r="J1758" t="str" cm="1">
        <f t="array" ref="J1758">_xlfn.IFS(C1758&lt;5.7,"Normal",AND(C1758&gt;=5.7,C1758&lt;=6.49),"Prediabetes",C1758&gt;=6.5,"Diabetes")</f>
        <v>Prediabetes</v>
      </c>
    </row>
    <row r="1759" spans="1:10" x14ac:dyDescent="0.3">
      <c r="A1759" t="s">
        <v>612</v>
      </c>
      <c r="B1759" s="8">
        <v>31.12</v>
      </c>
      <c r="C1759">
        <v>4.76</v>
      </c>
      <c r="D1759" t="s">
        <v>2381</v>
      </c>
      <c r="E1759" t="s">
        <v>2379</v>
      </c>
      <c r="F1759" t="s">
        <v>2381</v>
      </c>
      <c r="G1759">
        <v>1</v>
      </c>
      <c r="H1759" t="s">
        <v>2379</v>
      </c>
      <c r="I1759" t="str" cm="1">
        <f t="array" ref="I1759">_xlfn.IFS(B1759&lt;18.5,"Underweight",AND(B1759&gt;=18.5,B1759&lt;=24.99),"Normalweight",AND(B1759&gt;=25,B1759&lt;=29.99),"Overweight",B1759&gt;=30,"Obesity")</f>
        <v>Obesity</v>
      </c>
      <c r="J1759" t="str" cm="1">
        <f t="array" ref="J1759">_xlfn.IFS(C1759&lt;5.7,"Normal",AND(C1759&gt;=5.7,C1759&lt;=6.49),"Prediabetes",C1759&gt;=6.5,"Diabetes")</f>
        <v>Normal</v>
      </c>
    </row>
    <row r="1760" spans="1:10" x14ac:dyDescent="0.3">
      <c r="A1760" t="s">
        <v>611</v>
      </c>
      <c r="B1760" s="8">
        <v>22.01</v>
      </c>
      <c r="C1760">
        <v>6.72</v>
      </c>
      <c r="D1760" t="s">
        <v>2381</v>
      </c>
      <c r="E1760" t="s">
        <v>2379</v>
      </c>
      <c r="F1760" t="s">
        <v>2379</v>
      </c>
      <c r="G1760">
        <v>1</v>
      </c>
      <c r="H1760" t="s">
        <v>2379</v>
      </c>
      <c r="I1760" t="str" cm="1">
        <f t="array" ref="I1760">_xlfn.IFS(B1760&lt;18.5,"Underweight",AND(B1760&gt;=18.5,B1760&lt;=24.99),"Normalweight",AND(B1760&gt;=25,B1760&lt;=29.99),"Overweight",B1760&gt;=30,"Obesity")</f>
        <v>Normalweight</v>
      </c>
      <c r="J1760" t="str" cm="1">
        <f t="array" ref="J1760">_xlfn.IFS(C1760&lt;5.7,"Normal",AND(C1760&gt;=5.7,C1760&lt;=6.49),"Prediabetes",C1760&gt;=6.5,"Diabetes")</f>
        <v>Diabetes</v>
      </c>
    </row>
    <row r="1761" spans="1:10" x14ac:dyDescent="0.3">
      <c r="A1761" t="s">
        <v>610</v>
      </c>
      <c r="B1761" s="8">
        <v>27.645</v>
      </c>
      <c r="C1761">
        <v>5.7</v>
      </c>
      <c r="D1761" t="s">
        <v>2379</v>
      </c>
      <c r="E1761" t="s">
        <v>2379</v>
      </c>
      <c r="F1761" t="s">
        <v>2379</v>
      </c>
      <c r="G1761">
        <v>0</v>
      </c>
      <c r="H1761" t="s">
        <v>2379</v>
      </c>
      <c r="I1761" t="str" cm="1">
        <f t="array" ref="I1761">_xlfn.IFS(B1761&lt;18.5,"Underweight",AND(B1761&gt;=18.5,B1761&lt;=24.99),"Normalweight",AND(B1761&gt;=25,B1761&lt;=29.99),"Overweight",B1761&gt;=30,"Obesity")</f>
        <v>Overweight</v>
      </c>
      <c r="J1761" t="str" cm="1">
        <f t="array" ref="J1761">_xlfn.IFS(C1761&lt;5.7,"Normal",AND(C1761&gt;=5.7,C1761&lt;=6.49),"Prediabetes",C1761&gt;=6.5,"Diabetes")</f>
        <v>Prediabetes</v>
      </c>
    </row>
    <row r="1762" spans="1:10" x14ac:dyDescent="0.3">
      <c r="A1762" t="s">
        <v>609</v>
      </c>
      <c r="B1762" s="8">
        <v>29.64</v>
      </c>
      <c r="C1762">
        <v>5.31</v>
      </c>
      <c r="D1762" t="s">
        <v>2381</v>
      </c>
      <c r="E1762" t="s">
        <v>2379</v>
      </c>
      <c r="F1762" t="s">
        <v>2379</v>
      </c>
      <c r="G1762">
        <v>0</v>
      </c>
      <c r="H1762" t="s">
        <v>2379</v>
      </c>
      <c r="I1762" t="str" cm="1">
        <f t="array" ref="I1762">_xlfn.IFS(B1762&lt;18.5,"Underweight",AND(B1762&gt;=18.5,B1762&lt;=24.99),"Normalweight",AND(B1762&gt;=25,B1762&lt;=29.99),"Overweight",B1762&gt;=30,"Obesity")</f>
        <v>Overweight</v>
      </c>
      <c r="J1762" t="str" cm="1">
        <f t="array" ref="J1762">_xlfn.IFS(C1762&lt;5.7,"Normal",AND(C1762&gt;=5.7,C1762&lt;=6.49),"Prediabetes",C1762&gt;=6.5,"Diabetes")</f>
        <v>Normal</v>
      </c>
    </row>
    <row r="1763" spans="1:10" x14ac:dyDescent="0.3">
      <c r="A1763" t="s">
        <v>608</v>
      </c>
      <c r="B1763" s="8">
        <v>33.700000000000003</v>
      </c>
      <c r="C1763">
        <v>4.32</v>
      </c>
      <c r="D1763" t="s">
        <v>2381</v>
      </c>
      <c r="E1763" t="s">
        <v>2379</v>
      </c>
      <c r="F1763" t="s">
        <v>2379</v>
      </c>
      <c r="G1763">
        <v>1</v>
      </c>
      <c r="H1763" t="s">
        <v>2379</v>
      </c>
      <c r="I1763" t="str" cm="1">
        <f t="array" ref="I1763">_xlfn.IFS(B1763&lt;18.5,"Underweight",AND(B1763&gt;=18.5,B1763&lt;=24.99),"Normalweight",AND(B1763&gt;=25,B1763&lt;=29.99),"Overweight",B1763&gt;=30,"Obesity")</f>
        <v>Obesity</v>
      </c>
      <c r="J1763" t="str" cm="1">
        <f t="array" ref="J1763">_xlfn.IFS(C1763&lt;5.7,"Normal",AND(C1763&gt;=5.7,C1763&lt;=6.49),"Prediabetes",C1763&gt;=6.5,"Diabetes")</f>
        <v>Normal</v>
      </c>
    </row>
    <row r="1764" spans="1:10" x14ac:dyDescent="0.3">
      <c r="A1764" t="s">
        <v>607</v>
      </c>
      <c r="B1764" s="8">
        <v>27.5</v>
      </c>
      <c r="C1764">
        <v>4.2300000000000004</v>
      </c>
      <c r="D1764" t="s">
        <v>2381</v>
      </c>
      <c r="E1764" t="s">
        <v>2379</v>
      </c>
      <c r="F1764" t="s">
        <v>2379</v>
      </c>
      <c r="G1764">
        <v>1</v>
      </c>
      <c r="H1764" t="s">
        <v>2379</v>
      </c>
      <c r="I1764" t="str" cm="1">
        <f t="array" ref="I1764">_xlfn.IFS(B1764&lt;18.5,"Underweight",AND(B1764&gt;=18.5,B1764&lt;=24.99),"Normalweight",AND(B1764&gt;=25,B1764&lt;=29.99),"Overweight",B1764&gt;=30,"Obesity")</f>
        <v>Overweight</v>
      </c>
      <c r="J1764" t="str" cm="1">
        <f t="array" ref="J1764">_xlfn.IFS(C1764&lt;5.7,"Normal",AND(C1764&gt;=5.7,C1764&lt;=6.49),"Prediabetes",C1764&gt;=6.5,"Diabetes")</f>
        <v>Normal</v>
      </c>
    </row>
    <row r="1765" spans="1:10" x14ac:dyDescent="0.3">
      <c r="A1765" t="s">
        <v>606</v>
      </c>
      <c r="B1765" s="8">
        <v>16.12</v>
      </c>
      <c r="C1765">
        <v>6.09</v>
      </c>
      <c r="D1765" t="s">
        <v>2379</v>
      </c>
      <c r="E1765" t="s">
        <v>2379</v>
      </c>
      <c r="F1765" t="s">
        <v>2379</v>
      </c>
      <c r="G1765">
        <v>0</v>
      </c>
      <c r="H1765" t="s">
        <v>2379</v>
      </c>
      <c r="I1765" t="str" cm="1">
        <f t="array" ref="I1765">_xlfn.IFS(B1765&lt;18.5,"Underweight",AND(B1765&gt;=18.5,B1765&lt;=24.99),"Normalweight",AND(B1765&gt;=25,B1765&lt;=29.99),"Overweight",B1765&gt;=30,"Obesity")</f>
        <v>Underweight</v>
      </c>
      <c r="J1765" t="str" cm="1">
        <f t="array" ref="J1765">_xlfn.IFS(C1765&lt;5.7,"Normal",AND(C1765&gt;=5.7,C1765&lt;=6.49),"Prediabetes",C1765&gt;=6.5,"Diabetes")</f>
        <v>Prediabetes</v>
      </c>
    </row>
    <row r="1766" spans="1:10" x14ac:dyDescent="0.3">
      <c r="A1766" t="s">
        <v>605</v>
      </c>
      <c r="B1766" s="8">
        <v>26.73</v>
      </c>
      <c r="C1766">
        <v>4.74</v>
      </c>
      <c r="D1766" t="s">
        <v>2381</v>
      </c>
      <c r="E1766" t="s">
        <v>2379</v>
      </c>
      <c r="F1766" t="s">
        <v>2379</v>
      </c>
      <c r="G1766">
        <v>1</v>
      </c>
      <c r="H1766" t="s">
        <v>2379</v>
      </c>
      <c r="I1766" t="str" cm="1">
        <f t="array" ref="I1766">_xlfn.IFS(B1766&lt;18.5,"Underweight",AND(B1766&gt;=18.5,B1766&lt;=24.99),"Normalweight",AND(B1766&gt;=25,B1766&lt;=29.99),"Overweight",B1766&gt;=30,"Obesity")</f>
        <v>Overweight</v>
      </c>
      <c r="J1766" t="str" cm="1">
        <f t="array" ref="J1766">_xlfn.IFS(C1766&lt;5.7,"Normal",AND(C1766&gt;=5.7,C1766&lt;=6.49),"Prediabetes",C1766&gt;=6.5,"Diabetes")</f>
        <v>Normal</v>
      </c>
    </row>
    <row r="1767" spans="1:10" x14ac:dyDescent="0.3">
      <c r="A1767" t="s">
        <v>604</v>
      </c>
      <c r="B1767" s="8">
        <v>37.25</v>
      </c>
      <c r="C1767">
        <v>6.23</v>
      </c>
      <c r="D1767" t="s">
        <v>2381</v>
      </c>
      <c r="E1767" t="s">
        <v>2379</v>
      </c>
      <c r="F1767" t="s">
        <v>2379</v>
      </c>
      <c r="G1767">
        <v>0</v>
      </c>
      <c r="H1767" t="s">
        <v>2379</v>
      </c>
      <c r="I1767" t="str" cm="1">
        <f t="array" ref="I1767">_xlfn.IFS(B1767&lt;18.5,"Underweight",AND(B1767&gt;=18.5,B1767&lt;=24.99),"Normalweight",AND(B1767&gt;=25,B1767&lt;=29.99),"Overweight",B1767&gt;=30,"Obesity")</f>
        <v>Obesity</v>
      </c>
      <c r="J1767" t="str" cm="1">
        <f t="array" ref="J1767">_xlfn.IFS(C1767&lt;5.7,"Normal",AND(C1767&gt;=5.7,C1767&lt;=6.49),"Prediabetes",C1767&gt;=6.5,"Diabetes")</f>
        <v>Prediabetes</v>
      </c>
    </row>
    <row r="1768" spans="1:10" x14ac:dyDescent="0.3">
      <c r="A1768" t="s">
        <v>603</v>
      </c>
      <c r="B1768" s="8">
        <v>23.56</v>
      </c>
      <c r="C1768">
        <v>5.45</v>
      </c>
      <c r="D1768" t="s">
        <v>2381</v>
      </c>
      <c r="E1768" t="s">
        <v>2379</v>
      </c>
      <c r="F1768" t="s">
        <v>2379</v>
      </c>
      <c r="G1768">
        <v>1</v>
      </c>
      <c r="H1768" t="s">
        <v>2379</v>
      </c>
      <c r="I1768" t="str" cm="1">
        <f t="array" ref="I1768">_xlfn.IFS(B1768&lt;18.5,"Underweight",AND(B1768&gt;=18.5,B1768&lt;=24.99),"Normalweight",AND(B1768&gt;=25,B1768&lt;=29.99),"Overweight",B1768&gt;=30,"Obesity")</f>
        <v>Normalweight</v>
      </c>
      <c r="J1768" t="str" cm="1">
        <f t="array" ref="J1768">_xlfn.IFS(C1768&lt;5.7,"Normal",AND(C1768&gt;=5.7,C1768&lt;=6.49),"Prediabetes",C1768&gt;=6.5,"Diabetes")</f>
        <v>Normal</v>
      </c>
    </row>
    <row r="1769" spans="1:10" x14ac:dyDescent="0.3">
      <c r="A1769" t="s">
        <v>602</v>
      </c>
      <c r="B1769" s="8">
        <v>15.84</v>
      </c>
      <c r="C1769">
        <v>10.34</v>
      </c>
      <c r="D1769" t="s">
        <v>2379</v>
      </c>
      <c r="E1769" t="s">
        <v>2379</v>
      </c>
      <c r="F1769" t="s">
        <v>2379</v>
      </c>
      <c r="G1769">
        <v>2</v>
      </c>
      <c r="H1769" t="s">
        <v>2379</v>
      </c>
      <c r="I1769" t="str" cm="1">
        <f t="array" ref="I1769">_xlfn.IFS(B1769&lt;18.5,"Underweight",AND(B1769&gt;=18.5,B1769&lt;=24.99),"Normalweight",AND(B1769&gt;=25,B1769&lt;=29.99),"Overweight",B1769&gt;=30,"Obesity")</f>
        <v>Underweight</v>
      </c>
      <c r="J1769" t="str" cm="1">
        <f t="array" ref="J1769">_xlfn.IFS(C1769&lt;5.7,"Normal",AND(C1769&gt;=5.7,C1769&lt;=6.49),"Prediabetes",C1769&gt;=6.5,"Diabetes")</f>
        <v>Diabetes</v>
      </c>
    </row>
    <row r="1770" spans="1:10" x14ac:dyDescent="0.3">
      <c r="A1770" t="s">
        <v>601</v>
      </c>
      <c r="B1770" s="8">
        <v>36.630000000000003</v>
      </c>
      <c r="C1770">
        <v>5.15</v>
      </c>
      <c r="D1770" t="s">
        <v>2379</v>
      </c>
      <c r="E1770" t="s">
        <v>2379</v>
      </c>
      <c r="F1770" t="s">
        <v>2379</v>
      </c>
      <c r="G1770">
        <v>0</v>
      </c>
      <c r="H1770" t="s">
        <v>2379</v>
      </c>
      <c r="I1770" t="str" cm="1">
        <f t="array" ref="I1770">_xlfn.IFS(B1770&lt;18.5,"Underweight",AND(B1770&gt;=18.5,B1770&lt;=24.99),"Normalweight",AND(B1770&gt;=25,B1770&lt;=29.99),"Overweight",B1770&gt;=30,"Obesity")</f>
        <v>Obesity</v>
      </c>
      <c r="J1770" t="str" cm="1">
        <f t="array" ref="J1770">_xlfn.IFS(C1770&lt;5.7,"Normal",AND(C1770&gt;=5.7,C1770&lt;=6.49),"Prediabetes",C1770&gt;=6.5,"Diabetes")</f>
        <v>Normal</v>
      </c>
    </row>
    <row r="1771" spans="1:10" x14ac:dyDescent="0.3">
      <c r="A1771" t="s">
        <v>600</v>
      </c>
      <c r="B1771" s="8">
        <v>16.47</v>
      </c>
      <c r="C1771">
        <v>11.72</v>
      </c>
      <c r="D1771" t="s">
        <v>2379</v>
      </c>
      <c r="E1771" t="s">
        <v>2379</v>
      </c>
      <c r="F1771" t="s">
        <v>2379</v>
      </c>
      <c r="G1771">
        <v>0</v>
      </c>
      <c r="H1771" t="s">
        <v>2379</v>
      </c>
      <c r="I1771" t="str" cm="1">
        <f t="array" ref="I1771">_xlfn.IFS(B1771&lt;18.5,"Underweight",AND(B1771&gt;=18.5,B1771&lt;=24.99),"Normalweight",AND(B1771&gt;=25,B1771&lt;=29.99),"Overweight",B1771&gt;=30,"Obesity")</f>
        <v>Underweight</v>
      </c>
      <c r="J1771" t="str" cm="1">
        <f t="array" ref="J1771">_xlfn.IFS(C1771&lt;5.7,"Normal",AND(C1771&gt;=5.7,C1771&lt;=6.49),"Prediabetes",C1771&gt;=6.5,"Diabetes")</f>
        <v>Diabetes</v>
      </c>
    </row>
    <row r="1772" spans="1:10" x14ac:dyDescent="0.3">
      <c r="A1772" t="s">
        <v>599</v>
      </c>
      <c r="B1772" s="8">
        <v>25.8</v>
      </c>
      <c r="C1772">
        <v>5.29</v>
      </c>
      <c r="D1772" t="s">
        <v>2379</v>
      </c>
      <c r="E1772" t="s">
        <v>2379</v>
      </c>
      <c r="F1772" t="s">
        <v>2379</v>
      </c>
      <c r="G1772">
        <v>0</v>
      </c>
      <c r="H1772" t="s">
        <v>2379</v>
      </c>
      <c r="I1772" t="str" cm="1">
        <f t="array" ref="I1772">_xlfn.IFS(B1772&lt;18.5,"Underweight",AND(B1772&gt;=18.5,B1772&lt;=24.99),"Normalweight",AND(B1772&gt;=25,B1772&lt;=29.99),"Overweight",B1772&gt;=30,"Obesity")</f>
        <v>Overweight</v>
      </c>
      <c r="J1772" t="str" cm="1">
        <f t="array" ref="J1772">_xlfn.IFS(C1772&lt;5.7,"Normal",AND(C1772&gt;=5.7,C1772&lt;=6.49),"Prediabetes",C1772&gt;=6.5,"Diabetes")</f>
        <v>Normal</v>
      </c>
    </row>
    <row r="1773" spans="1:10" x14ac:dyDescent="0.3">
      <c r="A1773" t="s">
        <v>598</v>
      </c>
      <c r="B1773" s="8">
        <v>23.6</v>
      </c>
      <c r="C1773">
        <v>4.33</v>
      </c>
      <c r="D1773" t="s">
        <v>2379</v>
      </c>
      <c r="E1773" t="s">
        <v>2379</v>
      </c>
      <c r="F1773" t="s">
        <v>2379</v>
      </c>
      <c r="G1773">
        <v>0</v>
      </c>
      <c r="H1773" t="s">
        <v>2379</v>
      </c>
      <c r="I1773" t="str" cm="1">
        <f t="array" ref="I1773">_xlfn.IFS(B1773&lt;18.5,"Underweight",AND(B1773&gt;=18.5,B1773&lt;=24.99),"Normalweight",AND(B1773&gt;=25,B1773&lt;=29.99),"Overweight",B1773&gt;=30,"Obesity")</f>
        <v>Normalweight</v>
      </c>
      <c r="J1773" t="str" cm="1">
        <f t="array" ref="J1773">_xlfn.IFS(C1773&lt;5.7,"Normal",AND(C1773&gt;=5.7,C1773&lt;=6.49),"Prediabetes",C1773&gt;=6.5,"Diabetes")</f>
        <v>Normal</v>
      </c>
    </row>
    <row r="1774" spans="1:10" x14ac:dyDescent="0.3">
      <c r="A1774" t="s">
        <v>597</v>
      </c>
      <c r="B1774" s="8">
        <v>32.11</v>
      </c>
      <c r="C1774">
        <v>6.24</v>
      </c>
      <c r="D1774" t="s">
        <v>2379</v>
      </c>
      <c r="E1774" t="s">
        <v>2379</v>
      </c>
      <c r="F1774" t="s">
        <v>2381</v>
      </c>
      <c r="G1774">
        <v>1</v>
      </c>
      <c r="H1774" t="s">
        <v>2379</v>
      </c>
      <c r="I1774" t="str" cm="1">
        <f t="array" ref="I1774">_xlfn.IFS(B1774&lt;18.5,"Underweight",AND(B1774&gt;=18.5,B1774&lt;=24.99),"Normalweight",AND(B1774&gt;=25,B1774&lt;=29.99),"Overweight",B1774&gt;=30,"Obesity")</f>
        <v>Obesity</v>
      </c>
      <c r="J1774" t="str" cm="1">
        <f t="array" ref="J1774">_xlfn.IFS(C1774&lt;5.7,"Normal",AND(C1774&gt;=5.7,C1774&lt;=6.49),"Prediabetes",C1774&gt;=6.5,"Diabetes")</f>
        <v>Prediabetes</v>
      </c>
    </row>
    <row r="1775" spans="1:10" x14ac:dyDescent="0.3">
      <c r="A1775" t="s">
        <v>596</v>
      </c>
      <c r="B1775" s="8">
        <v>30.114999999999998</v>
      </c>
      <c r="C1775">
        <v>11.61</v>
      </c>
      <c r="D1775" t="s">
        <v>2379</v>
      </c>
      <c r="E1775" t="s">
        <v>2379</v>
      </c>
      <c r="F1775" t="s">
        <v>2379</v>
      </c>
      <c r="G1775">
        <v>0</v>
      </c>
      <c r="H1775" t="s">
        <v>2379</v>
      </c>
      <c r="I1775" t="str" cm="1">
        <f t="array" ref="I1775">_xlfn.IFS(B1775&lt;18.5,"Underweight",AND(B1775&gt;=18.5,B1775&lt;=24.99),"Normalweight",AND(B1775&gt;=25,B1775&lt;=29.99),"Overweight",B1775&gt;=30,"Obesity")</f>
        <v>Obesity</v>
      </c>
      <c r="J1775" t="str" cm="1">
        <f t="array" ref="J1775">_xlfn.IFS(C1775&lt;5.7,"Normal",AND(C1775&gt;=5.7,C1775&lt;=6.49),"Prediabetes",C1775&gt;=6.5,"Diabetes")</f>
        <v>Diabetes</v>
      </c>
    </row>
    <row r="1776" spans="1:10" x14ac:dyDescent="0.3">
      <c r="A1776" t="s">
        <v>595</v>
      </c>
      <c r="B1776" s="8">
        <v>20.28</v>
      </c>
      <c r="C1776">
        <v>11.07</v>
      </c>
      <c r="D1776" t="s">
        <v>2381</v>
      </c>
      <c r="E1776" t="s">
        <v>2379</v>
      </c>
      <c r="F1776" t="s">
        <v>2379</v>
      </c>
      <c r="G1776">
        <v>0</v>
      </c>
      <c r="H1776" t="s">
        <v>2379</v>
      </c>
      <c r="I1776" t="str" cm="1">
        <f t="array" ref="I1776">_xlfn.IFS(B1776&lt;18.5,"Underweight",AND(B1776&gt;=18.5,B1776&lt;=24.99),"Normalweight",AND(B1776&gt;=25,B1776&lt;=29.99),"Overweight",B1776&gt;=30,"Obesity")</f>
        <v>Normalweight</v>
      </c>
      <c r="J1776" t="str" cm="1">
        <f t="array" ref="J1776">_xlfn.IFS(C1776&lt;5.7,"Normal",AND(C1776&gt;=5.7,C1776&lt;=6.49),"Prediabetes",C1776&gt;=6.5,"Diabetes")</f>
        <v>Diabetes</v>
      </c>
    </row>
    <row r="1777" spans="1:10" x14ac:dyDescent="0.3">
      <c r="A1777" t="s">
        <v>594</v>
      </c>
      <c r="B1777" s="8">
        <v>20.234999999999999</v>
      </c>
      <c r="C1777">
        <v>5.19</v>
      </c>
      <c r="D1777" t="s">
        <v>2379</v>
      </c>
      <c r="E1777" t="s">
        <v>2379</v>
      </c>
      <c r="F1777" t="s">
        <v>2381</v>
      </c>
      <c r="G1777">
        <v>1</v>
      </c>
      <c r="H1777" t="s">
        <v>2379</v>
      </c>
      <c r="I1777" t="str" cm="1">
        <f t="array" ref="I1777">_xlfn.IFS(B1777&lt;18.5,"Underweight",AND(B1777&gt;=18.5,B1777&lt;=24.99),"Normalweight",AND(B1777&gt;=25,B1777&lt;=29.99),"Overweight",B1777&gt;=30,"Obesity")</f>
        <v>Normalweight</v>
      </c>
      <c r="J1777" t="str" cm="1">
        <f t="array" ref="J1777">_xlfn.IFS(C1777&lt;5.7,"Normal",AND(C1777&gt;=5.7,C1777&lt;=6.49),"Prediabetes",C1777&gt;=6.5,"Diabetes")</f>
        <v>Normal</v>
      </c>
    </row>
    <row r="1778" spans="1:10" x14ac:dyDescent="0.3">
      <c r="A1778" t="s">
        <v>593</v>
      </c>
      <c r="B1778" s="8">
        <v>25.27</v>
      </c>
      <c r="C1778">
        <v>5.7</v>
      </c>
      <c r="D1778" t="s">
        <v>2381</v>
      </c>
      <c r="E1778" t="s">
        <v>2379</v>
      </c>
      <c r="F1778" t="s">
        <v>2379</v>
      </c>
      <c r="G1778">
        <v>1</v>
      </c>
      <c r="H1778" t="s">
        <v>2379</v>
      </c>
      <c r="I1778" t="str" cm="1">
        <f t="array" ref="I1778">_xlfn.IFS(B1778&lt;18.5,"Underweight",AND(B1778&gt;=18.5,B1778&lt;=24.99),"Normalweight",AND(B1778&gt;=25,B1778&lt;=29.99),"Overweight",B1778&gt;=30,"Obesity")</f>
        <v>Overweight</v>
      </c>
      <c r="J1778" t="str" cm="1">
        <f t="array" ref="J1778">_xlfn.IFS(C1778&lt;5.7,"Normal",AND(C1778&gt;=5.7,C1778&lt;=6.49),"Prediabetes",C1778&gt;=6.5,"Diabetes")</f>
        <v>Prediabetes</v>
      </c>
    </row>
    <row r="1779" spans="1:10" x14ac:dyDescent="0.3">
      <c r="A1779" t="s">
        <v>592</v>
      </c>
      <c r="B1779" s="8">
        <v>24.24</v>
      </c>
      <c r="C1779">
        <v>6.15</v>
      </c>
      <c r="D1779" t="s">
        <v>2379</v>
      </c>
      <c r="E1779" t="s">
        <v>2379</v>
      </c>
      <c r="F1779" t="s">
        <v>2379</v>
      </c>
      <c r="G1779">
        <v>0</v>
      </c>
      <c r="H1779" t="s">
        <v>2379</v>
      </c>
      <c r="I1779" t="str" cm="1">
        <f t="array" ref="I1779">_xlfn.IFS(B1779&lt;18.5,"Underweight",AND(B1779&gt;=18.5,B1779&lt;=24.99),"Normalweight",AND(B1779&gt;=25,B1779&lt;=29.99),"Overweight",B1779&gt;=30,"Obesity")</f>
        <v>Normalweight</v>
      </c>
      <c r="J1779" t="str" cm="1">
        <f t="array" ref="J1779">_xlfn.IFS(C1779&lt;5.7,"Normal",AND(C1779&gt;=5.7,C1779&lt;=6.49),"Prediabetes",C1779&gt;=6.5,"Diabetes")</f>
        <v>Prediabetes</v>
      </c>
    </row>
    <row r="1780" spans="1:10" x14ac:dyDescent="0.3">
      <c r="A1780" t="s">
        <v>591</v>
      </c>
      <c r="B1780" s="8">
        <v>35.75</v>
      </c>
      <c r="C1780">
        <v>5.07</v>
      </c>
      <c r="D1780" t="s">
        <v>2379</v>
      </c>
      <c r="E1780" t="s">
        <v>2379</v>
      </c>
      <c r="F1780" t="s">
        <v>2379</v>
      </c>
      <c r="G1780">
        <v>0</v>
      </c>
      <c r="H1780" t="s">
        <v>2379</v>
      </c>
      <c r="I1780" t="str" cm="1">
        <f t="array" ref="I1780">_xlfn.IFS(B1780&lt;18.5,"Underweight",AND(B1780&gt;=18.5,B1780&lt;=24.99),"Normalweight",AND(B1780&gt;=25,B1780&lt;=29.99),"Overweight",B1780&gt;=30,"Obesity")</f>
        <v>Obesity</v>
      </c>
      <c r="J1780" t="str" cm="1">
        <f t="array" ref="J1780">_xlfn.IFS(C1780&lt;5.7,"Normal",AND(C1780&gt;=5.7,C1780&lt;=6.49),"Prediabetes",C1780&gt;=6.5,"Diabetes")</f>
        <v>Normal</v>
      </c>
    </row>
    <row r="1781" spans="1:10" x14ac:dyDescent="0.3">
      <c r="A1781" t="s">
        <v>590</v>
      </c>
      <c r="B1781" s="8">
        <v>29.92</v>
      </c>
      <c r="C1781">
        <v>10.97</v>
      </c>
      <c r="D1781" t="s">
        <v>2381</v>
      </c>
      <c r="E1781" t="s">
        <v>2379</v>
      </c>
      <c r="F1781" t="s">
        <v>2379</v>
      </c>
      <c r="G1781">
        <v>1</v>
      </c>
      <c r="H1781" t="s">
        <v>2379</v>
      </c>
      <c r="I1781" t="str" cm="1">
        <f t="array" ref="I1781">_xlfn.IFS(B1781&lt;18.5,"Underweight",AND(B1781&gt;=18.5,B1781&lt;=24.99),"Normalweight",AND(B1781&gt;=25,B1781&lt;=29.99),"Overweight",B1781&gt;=30,"Obesity")</f>
        <v>Overweight</v>
      </c>
      <c r="J1781" t="str" cm="1">
        <f t="array" ref="J1781">_xlfn.IFS(C1781&lt;5.7,"Normal",AND(C1781&gt;=5.7,C1781&lt;=6.49),"Prediabetes",C1781&gt;=6.5,"Diabetes")</f>
        <v>Diabetes</v>
      </c>
    </row>
    <row r="1782" spans="1:10" x14ac:dyDescent="0.3">
      <c r="A1782" t="s">
        <v>589</v>
      </c>
      <c r="B1782" s="8">
        <v>26.2</v>
      </c>
      <c r="C1782">
        <v>10.93</v>
      </c>
      <c r="D1782" t="s">
        <v>2381</v>
      </c>
      <c r="E1782" t="s">
        <v>2379</v>
      </c>
      <c r="F1782" t="s">
        <v>2379</v>
      </c>
      <c r="G1782">
        <v>1</v>
      </c>
      <c r="H1782" t="s">
        <v>2379</v>
      </c>
      <c r="I1782" t="str" cm="1">
        <f t="array" ref="I1782">_xlfn.IFS(B1782&lt;18.5,"Underweight",AND(B1782&gt;=18.5,B1782&lt;=24.99),"Normalweight",AND(B1782&gt;=25,B1782&lt;=29.99),"Overweight",B1782&gt;=30,"Obesity")</f>
        <v>Overweight</v>
      </c>
      <c r="J1782" t="str" cm="1">
        <f t="array" ref="J1782">_xlfn.IFS(C1782&lt;5.7,"Normal",AND(C1782&gt;=5.7,C1782&lt;=6.49),"Prediabetes",C1782&gt;=6.5,"Diabetes")</f>
        <v>Diabetes</v>
      </c>
    </row>
    <row r="1783" spans="1:10" x14ac:dyDescent="0.3">
      <c r="A1783" t="s">
        <v>588</v>
      </c>
      <c r="B1783" s="8">
        <v>26.695</v>
      </c>
      <c r="C1783">
        <v>4.21</v>
      </c>
      <c r="D1783" t="s">
        <v>2381</v>
      </c>
      <c r="E1783" t="s">
        <v>2379</v>
      </c>
      <c r="F1783" t="s">
        <v>2381</v>
      </c>
      <c r="G1783">
        <v>1</v>
      </c>
      <c r="H1783" t="s">
        <v>2379</v>
      </c>
      <c r="I1783" t="str" cm="1">
        <f t="array" ref="I1783">_xlfn.IFS(B1783&lt;18.5,"Underweight",AND(B1783&gt;=18.5,B1783&lt;=24.99),"Normalweight",AND(B1783&gt;=25,B1783&lt;=29.99),"Overweight",B1783&gt;=30,"Obesity")</f>
        <v>Overweight</v>
      </c>
      <c r="J1783" t="str" cm="1">
        <f t="array" ref="J1783">_xlfn.IFS(C1783&lt;5.7,"Normal",AND(C1783&gt;=5.7,C1783&lt;=6.49),"Prediabetes",C1783&gt;=6.5,"Diabetes")</f>
        <v>Normal</v>
      </c>
    </row>
    <row r="1784" spans="1:10" x14ac:dyDescent="0.3">
      <c r="A1784" t="s">
        <v>587</v>
      </c>
      <c r="B1784" s="8">
        <v>23.16</v>
      </c>
      <c r="C1784">
        <v>5.5</v>
      </c>
      <c r="D1784" t="s">
        <v>2379</v>
      </c>
      <c r="E1784" t="s">
        <v>2379</v>
      </c>
      <c r="F1784" t="s">
        <v>2379</v>
      </c>
      <c r="G1784">
        <v>0</v>
      </c>
      <c r="H1784" t="s">
        <v>2379</v>
      </c>
      <c r="I1784" t="str" cm="1">
        <f t="array" ref="I1784">_xlfn.IFS(B1784&lt;18.5,"Underweight",AND(B1784&gt;=18.5,B1784&lt;=24.99),"Normalweight",AND(B1784&gt;=25,B1784&lt;=29.99),"Overweight",B1784&gt;=30,"Obesity")</f>
        <v>Normalweight</v>
      </c>
      <c r="J1784" t="str" cm="1">
        <f t="array" ref="J1784">_xlfn.IFS(C1784&lt;5.7,"Normal",AND(C1784&gt;=5.7,C1784&lt;=6.49),"Prediabetes",C1784&gt;=6.5,"Diabetes")</f>
        <v>Normal</v>
      </c>
    </row>
    <row r="1785" spans="1:10" x14ac:dyDescent="0.3">
      <c r="A1785" t="s">
        <v>586</v>
      </c>
      <c r="B1785" s="8">
        <v>32.585000000000001</v>
      </c>
      <c r="C1785">
        <v>4.93</v>
      </c>
      <c r="D1785" t="s">
        <v>2381</v>
      </c>
      <c r="E1785" t="s">
        <v>2379</v>
      </c>
      <c r="F1785" t="s">
        <v>2379</v>
      </c>
      <c r="G1785">
        <v>1</v>
      </c>
      <c r="H1785" t="s">
        <v>2379</v>
      </c>
      <c r="I1785" t="str" cm="1">
        <f t="array" ref="I1785">_xlfn.IFS(B1785&lt;18.5,"Underweight",AND(B1785&gt;=18.5,B1785&lt;=24.99),"Normalweight",AND(B1785&gt;=25,B1785&lt;=29.99),"Overweight",B1785&gt;=30,"Obesity")</f>
        <v>Obesity</v>
      </c>
      <c r="J1785" t="str" cm="1">
        <f t="array" ref="J1785">_xlfn.IFS(C1785&lt;5.7,"Normal",AND(C1785&gt;=5.7,C1785&lt;=6.49),"Prediabetes",C1785&gt;=6.5,"Diabetes")</f>
        <v>Normal</v>
      </c>
    </row>
    <row r="1786" spans="1:10" x14ac:dyDescent="0.3">
      <c r="A1786" t="s">
        <v>585</v>
      </c>
      <c r="B1786" s="8">
        <v>33.97</v>
      </c>
      <c r="C1786">
        <v>5.6</v>
      </c>
      <c r="D1786" t="s">
        <v>2381</v>
      </c>
      <c r="E1786" t="s">
        <v>2379</v>
      </c>
      <c r="F1786" t="s">
        <v>2379</v>
      </c>
      <c r="G1786">
        <v>0</v>
      </c>
      <c r="H1786" t="s">
        <v>2379</v>
      </c>
      <c r="I1786" t="str" cm="1">
        <f t="array" ref="I1786">_xlfn.IFS(B1786&lt;18.5,"Underweight",AND(B1786&gt;=18.5,B1786&lt;=24.99),"Normalweight",AND(B1786&gt;=25,B1786&lt;=29.99),"Overweight",B1786&gt;=30,"Obesity")</f>
        <v>Obesity</v>
      </c>
      <c r="J1786" t="str" cm="1">
        <f t="array" ref="J1786">_xlfn.IFS(C1786&lt;5.7,"Normal",AND(C1786&gt;=5.7,C1786&lt;=6.49),"Prediabetes",C1786&gt;=6.5,"Diabetes")</f>
        <v>Normal</v>
      </c>
    </row>
    <row r="1787" spans="1:10" x14ac:dyDescent="0.3">
      <c r="A1787" t="s">
        <v>584</v>
      </c>
      <c r="B1787" s="8">
        <v>16.57</v>
      </c>
      <c r="C1787">
        <v>9.99</v>
      </c>
      <c r="D1787" t="s">
        <v>2379</v>
      </c>
      <c r="E1787" t="s">
        <v>2379</v>
      </c>
      <c r="F1787" t="s">
        <v>2379</v>
      </c>
      <c r="G1787">
        <v>0</v>
      </c>
      <c r="H1787" t="s">
        <v>2379</v>
      </c>
      <c r="I1787" t="str" cm="1">
        <f t="array" ref="I1787">_xlfn.IFS(B1787&lt;18.5,"Underweight",AND(B1787&gt;=18.5,B1787&lt;=24.99),"Normalweight",AND(B1787&gt;=25,B1787&lt;=29.99),"Overweight",B1787&gt;=30,"Obesity")</f>
        <v>Underweight</v>
      </c>
      <c r="J1787" t="str" cm="1">
        <f t="array" ref="J1787">_xlfn.IFS(C1787&lt;5.7,"Normal",AND(C1787&gt;=5.7,C1787&lt;=6.49),"Prediabetes",C1787&gt;=6.5,"Diabetes")</f>
        <v>Diabetes</v>
      </c>
    </row>
    <row r="1788" spans="1:10" x14ac:dyDescent="0.3">
      <c r="A1788" t="s">
        <v>583</v>
      </c>
      <c r="B1788" s="8">
        <v>17.55</v>
      </c>
      <c r="C1788">
        <v>5.93</v>
      </c>
      <c r="D1788" t="s">
        <v>2379</v>
      </c>
      <c r="E1788" t="s">
        <v>2379</v>
      </c>
      <c r="F1788" t="s">
        <v>2381</v>
      </c>
      <c r="G1788">
        <v>1</v>
      </c>
      <c r="H1788" t="s">
        <v>2379</v>
      </c>
      <c r="I1788" t="str" cm="1">
        <f t="array" ref="I1788">_xlfn.IFS(B1788&lt;18.5,"Underweight",AND(B1788&gt;=18.5,B1788&lt;=24.99),"Normalweight",AND(B1788&gt;=25,B1788&lt;=29.99),"Overweight",B1788&gt;=30,"Obesity")</f>
        <v>Underweight</v>
      </c>
      <c r="J1788" t="str" cm="1">
        <f t="array" ref="J1788">_xlfn.IFS(C1788&lt;5.7,"Normal",AND(C1788&gt;=5.7,C1788&lt;=6.49),"Prediabetes",C1788&gt;=6.5,"Diabetes")</f>
        <v>Prediabetes</v>
      </c>
    </row>
    <row r="1789" spans="1:10" x14ac:dyDescent="0.3">
      <c r="A1789" t="s">
        <v>582</v>
      </c>
      <c r="B1789" s="8">
        <v>29.41</v>
      </c>
      <c r="C1789">
        <v>6.29</v>
      </c>
      <c r="D1789" t="s">
        <v>2381</v>
      </c>
      <c r="E1789" t="s">
        <v>2379</v>
      </c>
      <c r="F1789" t="s">
        <v>2379</v>
      </c>
      <c r="G1789">
        <v>1</v>
      </c>
      <c r="H1789" t="s">
        <v>2379</v>
      </c>
      <c r="I1789" t="str" cm="1">
        <f t="array" ref="I1789">_xlfn.IFS(B1789&lt;18.5,"Underweight",AND(B1789&gt;=18.5,B1789&lt;=24.99),"Normalweight",AND(B1789&gt;=25,B1789&lt;=29.99),"Overweight",B1789&gt;=30,"Obesity")</f>
        <v>Overweight</v>
      </c>
      <c r="J1789" t="str" cm="1">
        <f t="array" ref="J1789">_xlfn.IFS(C1789&lt;5.7,"Normal",AND(C1789&gt;=5.7,C1789&lt;=6.49),"Prediabetes",C1789&gt;=6.5,"Diabetes")</f>
        <v>Prediabetes</v>
      </c>
    </row>
    <row r="1790" spans="1:10" x14ac:dyDescent="0.3">
      <c r="A1790" t="s">
        <v>581</v>
      </c>
      <c r="B1790" s="8">
        <v>17.91</v>
      </c>
      <c r="C1790">
        <v>5.65</v>
      </c>
      <c r="D1790" t="s">
        <v>2379</v>
      </c>
      <c r="E1790" t="s">
        <v>2379</v>
      </c>
      <c r="F1790" t="s">
        <v>2379</v>
      </c>
      <c r="G1790">
        <v>1</v>
      </c>
      <c r="H1790" t="s">
        <v>2379</v>
      </c>
      <c r="I1790" t="str" cm="1">
        <f t="array" ref="I1790">_xlfn.IFS(B1790&lt;18.5,"Underweight",AND(B1790&gt;=18.5,B1790&lt;=24.99),"Normalweight",AND(B1790&gt;=25,B1790&lt;=29.99),"Overweight",B1790&gt;=30,"Obesity")</f>
        <v>Underweight</v>
      </c>
      <c r="J1790" t="str" cm="1">
        <f t="array" ref="J1790">_xlfn.IFS(C1790&lt;5.7,"Normal",AND(C1790&gt;=5.7,C1790&lt;=6.49),"Prediabetes",C1790&gt;=6.5,"Diabetes")</f>
        <v>Normal</v>
      </c>
    </row>
    <row r="1791" spans="1:10" x14ac:dyDescent="0.3">
      <c r="A1791" t="s">
        <v>580</v>
      </c>
      <c r="B1791" s="8">
        <v>31.57</v>
      </c>
      <c r="C1791">
        <v>6.15</v>
      </c>
      <c r="D1791" t="s">
        <v>2379</v>
      </c>
      <c r="E1791" t="s">
        <v>2379</v>
      </c>
      <c r="F1791" t="s">
        <v>2379</v>
      </c>
      <c r="G1791">
        <v>1</v>
      </c>
      <c r="H1791" t="s">
        <v>2379</v>
      </c>
      <c r="I1791" t="str" cm="1">
        <f t="array" ref="I1791">_xlfn.IFS(B1791&lt;18.5,"Underweight",AND(B1791&gt;=18.5,B1791&lt;=24.99),"Normalweight",AND(B1791&gt;=25,B1791&lt;=29.99),"Overweight",B1791&gt;=30,"Obesity")</f>
        <v>Obesity</v>
      </c>
      <c r="J1791" t="str" cm="1">
        <f t="array" ref="J1791">_xlfn.IFS(C1791&lt;5.7,"Normal",AND(C1791&gt;=5.7,C1791&lt;=6.49),"Prediabetes",C1791&gt;=6.5,"Diabetes")</f>
        <v>Prediabetes</v>
      </c>
    </row>
    <row r="1792" spans="1:10" x14ac:dyDescent="0.3">
      <c r="A1792" t="s">
        <v>579</v>
      </c>
      <c r="B1792" s="8">
        <v>33.18</v>
      </c>
      <c r="C1792">
        <v>5.22</v>
      </c>
      <c r="D1792" t="s">
        <v>2379</v>
      </c>
      <c r="E1792" t="s">
        <v>2380</v>
      </c>
      <c r="F1792" t="s">
        <v>2379</v>
      </c>
      <c r="G1792">
        <v>1</v>
      </c>
      <c r="H1792" t="s">
        <v>2379</v>
      </c>
      <c r="I1792" t="str" cm="1">
        <f t="array" ref="I1792">_xlfn.IFS(B1792&lt;18.5,"Underweight",AND(B1792&gt;=18.5,B1792&lt;=24.99),"Normalweight",AND(B1792&gt;=25,B1792&lt;=29.99),"Overweight",B1792&gt;=30,"Obesity")</f>
        <v>Obesity</v>
      </c>
      <c r="J1792" t="str" cm="1">
        <f t="array" ref="J1792">_xlfn.IFS(C1792&lt;5.7,"Normal",AND(C1792&gt;=5.7,C1792&lt;=6.49),"Prediabetes",C1792&gt;=6.5,"Diabetes")</f>
        <v>Normal</v>
      </c>
    </row>
    <row r="1793" spans="1:10" x14ac:dyDescent="0.3">
      <c r="A1793" t="s">
        <v>578</v>
      </c>
      <c r="B1793" s="8">
        <v>37</v>
      </c>
      <c r="C1793">
        <v>11.66</v>
      </c>
      <c r="D1793" t="s">
        <v>2379</v>
      </c>
      <c r="E1793" t="s">
        <v>2379</v>
      </c>
      <c r="F1793" t="s">
        <v>2379</v>
      </c>
      <c r="G1793">
        <v>0</v>
      </c>
      <c r="H1793" t="s">
        <v>2379</v>
      </c>
      <c r="I1793" t="str" cm="1">
        <f t="array" ref="I1793">_xlfn.IFS(B1793&lt;18.5,"Underweight",AND(B1793&gt;=18.5,B1793&lt;=24.99),"Normalweight",AND(B1793&gt;=25,B1793&lt;=29.99),"Overweight",B1793&gt;=30,"Obesity")</f>
        <v>Obesity</v>
      </c>
      <c r="J1793" t="str" cm="1">
        <f t="array" ref="J1793">_xlfn.IFS(C1793&lt;5.7,"Normal",AND(C1793&gt;=5.7,C1793&lt;=6.49),"Prediabetes",C1793&gt;=6.5,"Diabetes")</f>
        <v>Diabetes</v>
      </c>
    </row>
    <row r="1794" spans="1:10" x14ac:dyDescent="0.3">
      <c r="A1794" t="s">
        <v>577</v>
      </c>
      <c r="B1794" s="8">
        <v>18.905000000000001</v>
      </c>
      <c r="C1794">
        <v>4.91</v>
      </c>
      <c r="D1794" t="s">
        <v>2381</v>
      </c>
      <c r="E1794" t="s">
        <v>2379</v>
      </c>
      <c r="F1794" t="s">
        <v>2379</v>
      </c>
      <c r="G1794">
        <v>1</v>
      </c>
      <c r="H1794" t="s">
        <v>2379</v>
      </c>
      <c r="I1794" t="str" cm="1">
        <f t="array" ref="I1794">_xlfn.IFS(B1794&lt;18.5,"Underweight",AND(B1794&gt;=18.5,B1794&lt;=24.99),"Normalweight",AND(B1794&gt;=25,B1794&lt;=29.99),"Overweight",B1794&gt;=30,"Obesity")</f>
        <v>Normalweight</v>
      </c>
      <c r="J1794" t="str" cm="1">
        <f t="array" ref="J1794">_xlfn.IFS(C1794&lt;5.7,"Normal",AND(C1794&gt;=5.7,C1794&lt;=6.49),"Prediabetes",C1794&gt;=6.5,"Diabetes")</f>
        <v>Normal</v>
      </c>
    </row>
    <row r="1795" spans="1:10" x14ac:dyDescent="0.3">
      <c r="A1795" t="s">
        <v>576</v>
      </c>
      <c r="B1795" s="8">
        <v>20.03</v>
      </c>
      <c r="C1795">
        <v>9.25</v>
      </c>
      <c r="D1795" t="s">
        <v>2381</v>
      </c>
      <c r="E1795" t="s">
        <v>2379</v>
      </c>
      <c r="F1795" t="s">
        <v>2379</v>
      </c>
      <c r="G1795">
        <v>0</v>
      </c>
      <c r="H1795" t="s">
        <v>2379</v>
      </c>
      <c r="I1795" t="str" cm="1">
        <f t="array" ref="I1795">_xlfn.IFS(B1795&lt;18.5,"Underweight",AND(B1795&gt;=18.5,B1795&lt;=24.99),"Normalweight",AND(B1795&gt;=25,B1795&lt;=29.99),"Overweight",B1795&gt;=30,"Obesity")</f>
        <v>Normalweight</v>
      </c>
      <c r="J1795" t="str" cm="1">
        <f t="array" ref="J1795">_xlfn.IFS(C1795&lt;5.7,"Normal",AND(C1795&gt;=5.7,C1795&lt;=6.49),"Prediabetes",C1795&gt;=6.5,"Diabetes")</f>
        <v>Diabetes</v>
      </c>
    </row>
    <row r="1796" spans="1:10" x14ac:dyDescent="0.3">
      <c r="A1796" t="s">
        <v>575</v>
      </c>
      <c r="B1796" s="8">
        <v>16.7</v>
      </c>
      <c r="C1796">
        <v>11.48</v>
      </c>
      <c r="D1796" t="s">
        <v>2379</v>
      </c>
      <c r="E1796" t="s">
        <v>2379</v>
      </c>
      <c r="F1796" t="s">
        <v>2379</v>
      </c>
      <c r="G1796">
        <v>0</v>
      </c>
      <c r="H1796" t="s">
        <v>2379</v>
      </c>
      <c r="I1796" t="str" cm="1">
        <f t="array" ref="I1796">_xlfn.IFS(B1796&lt;18.5,"Underweight",AND(B1796&gt;=18.5,B1796&lt;=24.99),"Normalweight",AND(B1796&gt;=25,B1796&lt;=29.99),"Overweight",B1796&gt;=30,"Obesity")</f>
        <v>Underweight</v>
      </c>
      <c r="J1796" t="str" cm="1">
        <f t="array" ref="J1796">_xlfn.IFS(C1796&lt;5.7,"Normal",AND(C1796&gt;=5.7,C1796&lt;=6.49),"Prediabetes",C1796&gt;=6.5,"Diabetes")</f>
        <v>Diabetes</v>
      </c>
    </row>
    <row r="1797" spans="1:10" x14ac:dyDescent="0.3">
      <c r="A1797" t="s">
        <v>574</v>
      </c>
      <c r="B1797" s="8">
        <v>39.82</v>
      </c>
      <c r="C1797">
        <v>6.06</v>
      </c>
      <c r="D1797" t="s">
        <v>2379</v>
      </c>
      <c r="E1797" t="s">
        <v>2379</v>
      </c>
      <c r="F1797" t="s">
        <v>2379</v>
      </c>
      <c r="G1797">
        <v>0</v>
      </c>
      <c r="H1797" t="s">
        <v>2379</v>
      </c>
      <c r="I1797" t="str" cm="1">
        <f t="array" ref="I1797">_xlfn.IFS(B1797&lt;18.5,"Underweight",AND(B1797&gt;=18.5,B1797&lt;=24.99),"Normalweight",AND(B1797&gt;=25,B1797&lt;=29.99),"Overweight",B1797&gt;=30,"Obesity")</f>
        <v>Obesity</v>
      </c>
      <c r="J1797" t="str" cm="1">
        <f t="array" ref="J1797">_xlfn.IFS(C1797&lt;5.7,"Normal",AND(C1797&gt;=5.7,C1797&lt;=6.49),"Prediabetes",C1797&gt;=6.5,"Diabetes")</f>
        <v>Prediabetes</v>
      </c>
    </row>
    <row r="1798" spans="1:10" x14ac:dyDescent="0.3">
      <c r="A1798" t="s">
        <v>573</v>
      </c>
      <c r="B1798" s="8">
        <v>22.04</v>
      </c>
      <c r="C1798">
        <v>5.86</v>
      </c>
      <c r="D1798" t="s">
        <v>2379</v>
      </c>
      <c r="E1798" t="s">
        <v>2379</v>
      </c>
      <c r="F1798" t="s">
        <v>2379</v>
      </c>
      <c r="G1798">
        <v>1</v>
      </c>
      <c r="H1798" t="s">
        <v>2379</v>
      </c>
      <c r="I1798" t="str" cm="1">
        <f t="array" ref="I1798">_xlfn.IFS(B1798&lt;18.5,"Underweight",AND(B1798&gt;=18.5,B1798&lt;=24.99),"Normalweight",AND(B1798&gt;=25,B1798&lt;=29.99),"Overweight",B1798&gt;=30,"Obesity")</f>
        <v>Normalweight</v>
      </c>
      <c r="J1798" t="str" cm="1">
        <f t="array" ref="J1798">_xlfn.IFS(C1798&lt;5.7,"Normal",AND(C1798&gt;=5.7,C1798&lt;=6.49),"Prediabetes",C1798&gt;=6.5,"Diabetes")</f>
        <v>Prediabetes</v>
      </c>
    </row>
    <row r="1799" spans="1:10" x14ac:dyDescent="0.3">
      <c r="A1799" t="s">
        <v>572</v>
      </c>
      <c r="B1799" s="8">
        <v>28.27</v>
      </c>
      <c r="C1799">
        <v>5.33</v>
      </c>
      <c r="D1799" t="s">
        <v>2379</v>
      </c>
      <c r="E1799" t="s">
        <v>2379</v>
      </c>
      <c r="F1799" t="s">
        <v>2379</v>
      </c>
      <c r="G1799">
        <v>0</v>
      </c>
      <c r="H1799" t="s">
        <v>2379</v>
      </c>
      <c r="I1799" t="str" cm="1">
        <f t="array" ref="I1799">_xlfn.IFS(B1799&lt;18.5,"Underweight",AND(B1799&gt;=18.5,B1799&lt;=24.99),"Normalweight",AND(B1799&gt;=25,B1799&lt;=29.99),"Overweight",B1799&gt;=30,"Obesity")</f>
        <v>Overweight</v>
      </c>
      <c r="J1799" t="str" cm="1">
        <f t="array" ref="J1799">_xlfn.IFS(C1799&lt;5.7,"Normal",AND(C1799&gt;=5.7,C1799&lt;=6.49),"Prediabetes",C1799&gt;=6.5,"Diabetes")</f>
        <v>Normal</v>
      </c>
    </row>
    <row r="1800" spans="1:10" x14ac:dyDescent="0.3">
      <c r="A1800" t="s">
        <v>571</v>
      </c>
      <c r="B1800" s="8">
        <v>18.5</v>
      </c>
      <c r="C1800">
        <v>5.33</v>
      </c>
      <c r="D1800" t="s">
        <v>2379</v>
      </c>
      <c r="E1800" t="s">
        <v>2379</v>
      </c>
      <c r="F1800" t="s">
        <v>2379</v>
      </c>
      <c r="G1800">
        <v>0</v>
      </c>
      <c r="H1800" t="s">
        <v>2379</v>
      </c>
      <c r="I1800" t="str" cm="1">
        <f t="array" ref="I1800">_xlfn.IFS(B1800&lt;18.5,"Underweight",AND(B1800&gt;=18.5,B1800&lt;=24.99),"Normalweight",AND(B1800&gt;=25,B1800&lt;=29.99),"Overweight",B1800&gt;=30,"Obesity")</f>
        <v>Normalweight</v>
      </c>
      <c r="J1800" t="str" cm="1">
        <f t="array" ref="J1800">_xlfn.IFS(C1800&lt;5.7,"Normal",AND(C1800&gt;=5.7,C1800&lt;=6.49),"Prediabetes",C1800&gt;=6.5,"Diabetes")</f>
        <v>Normal</v>
      </c>
    </row>
    <row r="1801" spans="1:10" x14ac:dyDescent="0.3">
      <c r="A1801" t="s">
        <v>570</v>
      </c>
      <c r="B1801" s="8">
        <v>38.6</v>
      </c>
      <c r="C1801">
        <v>6.02</v>
      </c>
      <c r="D1801" t="s">
        <v>2379</v>
      </c>
      <c r="E1801" t="s">
        <v>2379</v>
      </c>
      <c r="F1801" t="s">
        <v>2379</v>
      </c>
      <c r="G1801">
        <v>1</v>
      </c>
      <c r="H1801" t="s">
        <v>2379</v>
      </c>
      <c r="I1801" t="str" cm="1">
        <f t="array" ref="I1801">_xlfn.IFS(B1801&lt;18.5,"Underweight",AND(B1801&gt;=18.5,B1801&lt;=24.99),"Normalweight",AND(B1801&gt;=25,B1801&lt;=29.99),"Overweight",B1801&gt;=30,"Obesity")</f>
        <v>Obesity</v>
      </c>
      <c r="J1801" t="str" cm="1">
        <f t="array" ref="J1801">_xlfn.IFS(C1801&lt;5.7,"Normal",AND(C1801&gt;=5.7,C1801&lt;=6.49),"Prediabetes",C1801&gt;=6.5,"Diabetes")</f>
        <v>Prediabetes</v>
      </c>
    </row>
    <row r="1802" spans="1:10" x14ac:dyDescent="0.3">
      <c r="A1802" t="s">
        <v>569</v>
      </c>
      <c r="B1802" s="8">
        <v>43.12</v>
      </c>
      <c r="C1802">
        <v>6.25</v>
      </c>
      <c r="D1802" t="s">
        <v>2379</v>
      </c>
      <c r="E1802" t="s">
        <v>2379</v>
      </c>
      <c r="F1802" t="s">
        <v>2379</v>
      </c>
      <c r="G1802">
        <v>1</v>
      </c>
      <c r="H1802" t="s">
        <v>2379</v>
      </c>
      <c r="I1802" t="str" cm="1">
        <f t="array" ref="I1802">_xlfn.IFS(B1802&lt;18.5,"Underweight",AND(B1802&gt;=18.5,B1802&lt;=24.99),"Normalweight",AND(B1802&gt;=25,B1802&lt;=29.99),"Overweight",B1802&gt;=30,"Obesity")</f>
        <v>Obesity</v>
      </c>
      <c r="J1802" t="str" cm="1">
        <f t="array" ref="J1802">_xlfn.IFS(C1802&lt;5.7,"Normal",AND(C1802&gt;=5.7,C1802&lt;=6.49),"Prediabetes",C1802&gt;=6.5,"Diabetes")</f>
        <v>Prediabetes</v>
      </c>
    </row>
    <row r="1803" spans="1:10" x14ac:dyDescent="0.3">
      <c r="A1803" t="s">
        <v>568</v>
      </c>
      <c r="B1803" s="8">
        <v>30.5</v>
      </c>
      <c r="C1803">
        <v>4.8099999999999996</v>
      </c>
      <c r="D1803" t="s">
        <v>2379</v>
      </c>
      <c r="E1803" t="s">
        <v>2379</v>
      </c>
      <c r="F1803" t="s">
        <v>2379</v>
      </c>
      <c r="G1803">
        <v>1</v>
      </c>
      <c r="H1803" t="s">
        <v>2379</v>
      </c>
      <c r="I1803" t="str" cm="1">
        <f t="array" ref="I1803">_xlfn.IFS(B1803&lt;18.5,"Underweight",AND(B1803&gt;=18.5,B1803&lt;=24.99),"Normalweight",AND(B1803&gt;=25,B1803&lt;=29.99),"Overweight",B1803&gt;=30,"Obesity")</f>
        <v>Obesity</v>
      </c>
      <c r="J1803" t="str" cm="1">
        <f t="array" ref="J1803">_xlfn.IFS(C1803&lt;5.7,"Normal",AND(C1803&gt;=5.7,C1803&lt;=6.49),"Prediabetes",C1803&gt;=6.5,"Diabetes")</f>
        <v>Normal</v>
      </c>
    </row>
    <row r="1804" spans="1:10" x14ac:dyDescent="0.3">
      <c r="A1804" t="s">
        <v>567</v>
      </c>
      <c r="B1804" s="8">
        <v>27.61</v>
      </c>
      <c r="C1804">
        <v>4.5999999999999996</v>
      </c>
      <c r="D1804" t="s">
        <v>2379</v>
      </c>
      <c r="E1804" t="s">
        <v>2379</v>
      </c>
      <c r="F1804" t="s">
        <v>2379</v>
      </c>
      <c r="G1804">
        <v>1</v>
      </c>
      <c r="H1804" t="s">
        <v>2379</v>
      </c>
      <c r="I1804" t="str" cm="1">
        <f t="array" ref="I1804">_xlfn.IFS(B1804&lt;18.5,"Underweight",AND(B1804&gt;=18.5,B1804&lt;=24.99),"Normalweight",AND(B1804&gt;=25,B1804&lt;=29.99),"Overweight",B1804&gt;=30,"Obesity")</f>
        <v>Overweight</v>
      </c>
      <c r="J1804" t="str" cm="1">
        <f t="array" ref="J1804">_xlfn.IFS(C1804&lt;5.7,"Normal",AND(C1804&gt;=5.7,C1804&lt;=6.49),"Prediabetes",C1804&gt;=6.5,"Diabetes")</f>
        <v>Normal</v>
      </c>
    </row>
    <row r="1805" spans="1:10" x14ac:dyDescent="0.3">
      <c r="A1805" t="s">
        <v>566</v>
      </c>
      <c r="B1805" s="8">
        <v>27.1</v>
      </c>
      <c r="C1805">
        <v>5.08</v>
      </c>
      <c r="D1805" t="s">
        <v>2379</v>
      </c>
      <c r="E1805" t="s">
        <v>2379</v>
      </c>
      <c r="F1805" t="s">
        <v>2379</v>
      </c>
      <c r="G1805">
        <v>1</v>
      </c>
      <c r="H1805" t="s">
        <v>2379</v>
      </c>
      <c r="I1805" t="str" cm="1">
        <f t="array" ref="I1805">_xlfn.IFS(B1805&lt;18.5,"Underweight",AND(B1805&gt;=18.5,B1805&lt;=24.99),"Normalweight",AND(B1805&gt;=25,B1805&lt;=29.99),"Overweight",B1805&gt;=30,"Obesity")</f>
        <v>Overweight</v>
      </c>
      <c r="J1805" t="str" cm="1">
        <f t="array" ref="J1805">_xlfn.IFS(C1805&lt;5.7,"Normal",AND(C1805&gt;=5.7,C1805&lt;=6.49),"Prediabetes",C1805&gt;=6.5,"Diabetes")</f>
        <v>Normal</v>
      </c>
    </row>
    <row r="1806" spans="1:10" x14ac:dyDescent="0.3">
      <c r="A1806" t="s">
        <v>565</v>
      </c>
      <c r="B1806" s="8">
        <v>35.93</v>
      </c>
      <c r="C1806">
        <v>5.43</v>
      </c>
      <c r="D1806" t="s">
        <v>2379</v>
      </c>
      <c r="E1806" t="s">
        <v>2380</v>
      </c>
      <c r="F1806" t="s">
        <v>2379</v>
      </c>
      <c r="G1806">
        <v>1</v>
      </c>
      <c r="H1806" t="s">
        <v>2379</v>
      </c>
      <c r="I1806" t="str" cm="1">
        <f t="array" ref="I1806">_xlfn.IFS(B1806&lt;18.5,"Underweight",AND(B1806&gt;=18.5,B1806&lt;=24.99),"Normalweight",AND(B1806&gt;=25,B1806&lt;=29.99),"Overweight",B1806&gt;=30,"Obesity")</f>
        <v>Obesity</v>
      </c>
      <c r="J1806" t="str" cm="1">
        <f t="array" ref="J1806">_xlfn.IFS(C1806&lt;5.7,"Normal",AND(C1806&gt;=5.7,C1806&lt;=6.49),"Prediabetes",C1806&gt;=6.5,"Diabetes")</f>
        <v>Normal</v>
      </c>
    </row>
    <row r="1807" spans="1:10" x14ac:dyDescent="0.3">
      <c r="A1807" t="s">
        <v>564</v>
      </c>
      <c r="B1807" s="8">
        <v>32.68</v>
      </c>
      <c r="C1807">
        <v>5.44</v>
      </c>
      <c r="D1807" t="s">
        <v>2379</v>
      </c>
      <c r="E1807" t="s">
        <v>2379</v>
      </c>
      <c r="F1807" t="s">
        <v>2379</v>
      </c>
      <c r="G1807">
        <v>0</v>
      </c>
      <c r="H1807" t="s">
        <v>2379</v>
      </c>
      <c r="I1807" t="str" cm="1">
        <f t="array" ref="I1807">_xlfn.IFS(B1807&lt;18.5,"Underweight",AND(B1807&gt;=18.5,B1807&lt;=24.99),"Normalweight",AND(B1807&gt;=25,B1807&lt;=29.99),"Overweight",B1807&gt;=30,"Obesity")</f>
        <v>Obesity</v>
      </c>
      <c r="J1807" t="str" cm="1">
        <f t="array" ref="J1807">_xlfn.IFS(C1807&lt;5.7,"Normal",AND(C1807&gt;=5.7,C1807&lt;=6.49),"Prediabetes",C1807&gt;=6.5,"Diabetes")</f>
        <v>Normal</v>
      </c>
    </row>
    <row r="1808" spans="1:10" x14ac:dyDescent="0.3">
      <c r="A1808" t="s">
        <v>563</v>
      </c>
      <c r="B1808" s="8">
        <v>20.74</v>
      </c>
      <c r="C1808">
        <v>11.69</v>
      </c>
      <c r="D1808" t="s">
        <v>2381</v>
      </c>
      <c r="E1808" t="s">
        <v>2379</v>
      </c>
      <c r="F1808" t="s">
        <v>2379</v>
      </c>
      <c r="G1808">
        <v>1</v>
      </c>
      <c r="H1808" t="s">
        <v>2379</v>
      </c>
      <c r="I1808" t="str" cm="1">
        <f t="array" ref="I1808">_xlfn.IFS(B1808&lt;18.5,"Underweight",AND(B1808&gt;=18.5,B1808&lt;=24.99),"Normalweight",AND(B1808&gt;=25,B1808&lt;=29.99),"Overweight",B1808&gt;=30,"Obesity")</f>
        <v>Normalweight</v>
      </c>
      <c r="J1808" t="str" cm="1">
        <f t="array" ref="J1808">_xlfn.IFS(C1808&lt;5.7,"Normal",AND(C1808&gt;=5.7,C1808&lt;=6.49),"Prediabetes",C1808&gt;=6.5,"Diabetes")</f>
        <v>Diabetes</v>
      </c>
    </row>
    <row r="1809" spans="1:10" x14ac:dyDescent="0.3">
      <c r="A1809" t="s">
        <v>562</v>
      </c>
      <c r="B1809" s="8">
        <v>15.57</v>
      </c>
      <c r="C1809">
        <v>6.07</v>
      </c>
      <c r="D1809" t="s">
        <v>2379</v>
      </c>
      <c r="E1809" t="s">
        <v>2379</v>
      </c>
      <c r="F1809" t="s">
        <v>2379</v>
      </c>
      <c r="G1809">
        <v>0</v>
      </c>
      <c r="H1809" t="s">
        <v>2379</v>
      </c>
      <c r="I1809" t="str" cm="1">
        <f t="array" ref="I1809">_xlfn.IFS(B1809&lt;18.5,"Underweight",AND(B1809&gt;=18.5,B1809&lt;=24.99),"Normalweight",AND(B1809&gt;=25,B1809&lt;=29.99),"Overweight",B1809&gt;=30,"Obesity")</f>
        <v>Underweight</v>
      </c>
      <c r="J1809" t="str" cm="1">
        <f t="array" ref="J1809">_xlfn.IFS(C1809&lt;5.7,"Normal",AND(C1809&gt;=5.7,C1809&lt;=6.49),"Prediabetes",C1809&gt;=6.5,"Diabetes")</f>
        <v>Prediabetes</v>
      </c>
    </row>
    <row r="1810" spans="1:10" x14ac:dyDescent="0.3">
      <c r="A1810" t="s">
        <v>561</v>
      </c>
      <c r="B1810" s="8">
        <v>23.844999999999999</v>
      </c>
      <c r="C1810">
        <v>4.3600000000000003</v>
      </c>
      <c r="D1810" t="s">
        <v>2379</v>
      </c>
      <c r="E1810" t="s">
        <v>2379</v>
      </c>
      <c r="F1810" t="s">
        <v>2379</v>
      </c>
      <c r="G1810">
        <v>0</v>
      </c>
      <c r="H1810" t="s">
        <v>2379</v>
      </c>
      <c r="I1810" t="str" cm="1">
        <f t="array" ref="I1810">_xlfn.IFS(B1810&lt;18.5,"Underweight",AND(B1810&gt;=18.5,B1810&lt;=24.99),"Normalweight",AND(B1810&gt;=25,B1810&lt;=29.99),"Overweight",B1810&gt;=30,"Obesity")</f>
        <v>Normalweight</v>
      </c>
      <c r="J1810" t="str" cm="1">
        <f t="array" ref="J1810">_xlfn.IFS(C1810&lt;5.7,"Normal",AND(C1810&gt;=5.7,C1810&lt;=6.49),"Prediabetes",C1810&gt;=6.5,"Diabetes")</f>
        <v>Normal</v>
      </c>
    </row>
    <row r="1811" spans="1:10" x14ac:dyDescent="0.3">
      <c r="A1811" t="s">
        <v>560</v>
      </c>
      <c r="B1811" s="8">
        <v>22.895</v>
      </c>
      <c r="C1811">
        <v>5.24</v>
      </c>
      <c r="D1811" t="s">
        <v>2379</v>
      </c>
      <c r="E1811" t="s">
        <v>2379</v>
      </c>
      <c r="F1811" t="s">
        <v>2379</v>
      </c>
      <c r="G1811">
        <v>1</v>
      </c>
      <c r="H1811" t="s">
        <v>2379</v>
      </c>
      <c r="I1811" t="str" cm="1">
        <f t="array" ref="I1811">_xlfn.IFS(B1811&lt;18.5,"Underweight",AND(B1811&gt;=18.5,B1811&lt;=24.99),"Normalweight",AND(B1811&gt;=25,B1811&lt;=29.99),"Overweight",B1811&gt;=30,"Obesity")</f>
        <v>Normalweight</v>
      </c>
      <c r="J1811" t="str" cm="1">
        <f t="array" ref="J1811">_xlfn.IFS(C1811&lt;5.7,"Normal",AND(C1811&gt;=5.7,C1811&lt;=6.49),"Prediabetes",C1811&gt;=6.5,"Diabetes")</f>
        <v>Normal</v>
      </c>
    </row>
    <row r="1812" spans="1:10" x14ac:dyDescent="0.3">
      <c r="A1812" t="s">
        <v>559</v>
      </c>
      <c r="B1812" s="8">
        <v>21.945</v>
      </c>
      <c r="C1812">
        <v>5.37</v>
      </c>
      <c r="D1812" t="s">
        <v>2379</v>
      </c>
      <c r="E1812" t="s">
        <v>2379</v>
      </c>
      <c r="F1812" t="s">
        <v>2379</v>
      </c>
      <c r="G1812">
        <v>1</v>
      </c>
      <c r="H1812" t="s">
        <v>2379</v>
      </c>
      <c r="I1812" t="str" cm="1">
        <f t="array" ref="I1812">_xlfn.IFS(B1812&lt;18.5,"Underweight",AND(B1812&gt;=18.5,B1812&lt;=24.99),"Normalweight",AND(B1812&gt;=25,B1812&lt;=29.99),"Overweight",B1812&gt;=30,"Obesity")</f>
        <v>Normalweight</v>
      </c>
      <c r="J1812" t="str" cm="1">
        <f t="array" ref="J1812">_xlfn.IFS(C1812&lt;5.7,"Normal",AND(C1812&gt;=5.7,C1812&lt;=6.49),"Prediabetes",C1812&gt;=6.5,"Diabetes")</f>
        <v>Normal</v>
      </c>
    </row>
    <row r="1813" spans="1:10" x14ac:dyDescent="0.3">
      <c r="A1813" t="s">
        <v>558</v>
      </c>
      <c r="B1813" s="8">
        <v>19.47</v>
      </c>
      <c r="C1813">
        <v>6.6</v>
      </c>
      <c r="D1813" t="s">
        <v>2381</v>
      </c>
      <c r="E1813" t="s">
        <v>2379</v>
      </c>
      <c r="F1813" t="s">
        <v>2379</v>
      </c>
      <c r="G1813">
        <v>0</v>
      </c>
      <c r="H1813" t="s">
        <v>2379</v>
      </c>
      <c r="I1813" t="str" cm="1">
        <f t="array" ref="I1813">_xlfn.IFS(B1813&lt;18.5,"Underweight",AND(B1813&gt;=18.5,B1813&lt;=24.99),"Normalweight",AND(B1813&gt;=25,B1813&lt;=29.99),"Overweight",B1813&gt;=30,"Obesity")</f>
        <v>Normalweight</v>
      </c>
      <c r="J1813" t="str" cm="1">
        <f t="array" ref="J1813">_xlfn.IFS(C1813&lt;5.7,"Normal",AND(C1813&gt;=5.7,C1813&lt;=6.49),"Prediabetes",C1813&gt;=6.5,"Diabetes")</f>
        <v>Diabetes</v>
      </c>
    </row>
    <row r="1814" spans="1:10" x14ac:dyDescent="0.3">
      <c r="A1814" t="s">
        <v>557</v>
      </c>
      <c r="B1814" s="8">
        <v>15.61</v>
      </c>
      <c r="C1814">
        <v>5.77</v>
      </c>
      <c r="D1814" t="s">
        <v>2379</v>
      </c>
      <c r="E1814" t="s">
        <v>2379</v>
      </c>
      <c r="F1814" t="s">
        <v>2379</v>
      </c>
      <c r="G1814">
        <v>0</v>
      </c>
      <c r="H1814" t="s">
        <v>2379</v>
      </c>
      <c r="I1814" t="str" cm="1">
        <f t="array" ref="I1814">_xlfn.IFS(B1814&lt;18.5,"Underweight",AND(B1814&gt;=18.5,B1814&lt;=24.99),"Normalweight",AND(B1814&gt;=25,B1814&lt;=29.99),"Overweight",B1814&gt;=30,"Obesity")</f>
        <v>Underweight</v>
      </c>
      <c r="J1814" t="str" cm="1">
        <f t="array" ref="J1814">_xlfn.IFS(C1814&lt;5.7,"Normal",AND(C1814&gt;=5.7,C1814&lt;=6.49),"Prediabetes",C1814&gt;=6.5,"Diabetes")</f>
        <v>Prediabetes</v>
      </c>
    </row>
    <row r="1815" spans="1:10" x14ac:dyDescent="0.3">
      <c r="A1815" t="s">
        <v>556</v>
      </c>
      <c r="B1815" s="8">
        <v>28.6</v>
      </c>
      <c r="C1815">
        <v>6.08</v>
      </c>
      <c r="D1815" t="s">
        <v>2379</v>
      </c>
      <c r="E1815" t="s">
        <v>2379</v>
      </c>
      <c r="F1815" t="s">
        <v>2381</v>
      </c>
      <c r="G1815">
        <v>1</v>
      </c>
      <c r="H1815" t="s">
        <v>2379</v>
      </c>
      <c r="I1815" t="str" cm="1">
        <f t="array" ref="I1815">_xlfn.IFS(B1815&lt;18.5,"Underweight",AND(B1815&gt;=18.5,B1815&lt;=24.99),"Normalweight",AND(B1815&gt;=25,B1815&lt;=29.99),"Overweight",B1815&gt;=30,"Obesity")</f>
        <v>Overweight</v>
      </c>
      <c r="J1815" t="str" cm="1">
        <f t="array" ref="J1815">_xlfn.IFS(C1815&lt;5.7,"Normal",AND(C1815&gt;=5.7,C1815&lt;=6.49),"Prediabetes",C1815&gt;=6.5,"Diabetes")</f>
        <v>Prediabetes</v>
      </c>
    </row>
    <row r="1816" spans="1:10" x14ac:dyDescent="0.3">
      <c r="A1816" t="s">
        <v>555</v>
      </c>
      <c r="B1816" s="8">
        <v>46.53</v>
      </c>
      <c r="C1816">
        <v>4.16</v>
      </c>
      <c r="D1816" t="s">
        <v>2379</v>
      </c>
      <c r="E1816" t="s">
        <v>2379</v>
      </c>
      <c r="F1816" t="s">
        <v>2379</v>
      </c>
      <c r="G1816">
        <v>0</v>
      </c>
      <c r="H1816" t="s">
        <v>2379</v>
      </c>
      <c r="I1816" t="str" cm="1">
        <f t="array" ref="I1816">_xlfn.IFS(B1816&lt;18.5,"Underweight",AND(B1816&gt;=18.5,B1816&lt;=24.99),"Normalweight",AND(B1816&gt;=25,B1816&lt;=29.99),"Overweight",B1816&gt;=30,"Obesity")</f>
        <v>Obesity</v>
      </c>
      <c r="J1816" t="str" cm="1">
        <f t="array" ref="J1816">_xlfn.IFS(C1816&lt;5.7,"Normal",AND(C1816&gt;=5.7,C1816&lt;=6.49),"Prediabetes",C1816&gt;=6.5,"Diabetes")</f>
        <v>Normal</v>
      </c>
    </row>
    <row r="1817" spans="1:10" x14ac:dyDescent="0.3">
      <c r="A1817" t="s">
        <v>554</v>
      </c>
      <c r="B1817" s="8">
        <v>34.99</v>
      </c>
      <c r="C1817">
        <v>5.0999999999999996</v>
      </c>
      <c r="D1817" t="s">
        <v>2379</v>
      </c>
      <c r="E1817" t="s">
        <v>2379</v>
      </c>
      <c r="F1817" t="s">
        <v>2381</v>
      </c>
      <c r="G1817">
        <v>1</v>
      </c>
      <c r="H1817" t="s">
        <v>2379</v>
      </c>
      <c r="I1817" t="str" cm="1">
        <f t="array" ref="I1817">_xlfn.IFS(B1817&lt;18.5,"Underweight",AND(B1817&gt;=18.5,B1817&lt;=24.99),"Normalweight",AND(B1817&gt;=25,B1817&lt;=29.99),"Overweight",B1817&gt;=30,"Obesity")</f>
        <v>Obesity</v>
      </c>
      <c r="J1817" t="str" cm="1">
        <f t="array" ref="J1817">_xlfn.IFS(C1817&lt;5.7,"Normal",AND(C1817&gt;=5.7,C1817&lt;=6.49),"Prediabetes",C1817&gt;=6.5,"Diabetes")</f>
        <v>Normal</v>
      </c>
    </row>
    <row r="1818" spans="1:10" x14ac:dyDescent="0.3">
      <c r="A1818" t="s">
        <v>553</v>
      </c>
      <c r="B1818" s="8">
        <v>17.05</v>
      </c>
      <c r="C1818">
        <v>5.3</v>
      </c>
      <c r="D1818" t="s">
        <v>2379</v>
      </c>
      <c r="E1818" t="s">
        <v>2379</v>
      </c>
      <c r="F1818" t="s">
        <v>2381</v>
      </c>
      <c r="G1818">
        <v>1</v>
      </c>
      <c r="H1818" t="s">
        <v>2379</v>
      </c>
      <c r="I1818" t="str" cm="1">
        <f t="array" ref="I1818">_xlfn.IFS(B1818&lt;18.5,"Underweight",AND(B1818&gt;=18.5,B1818&lt;=24.99),"Normalweight",AND(B1818&gt;=25,B1818&lt;=29.99),"Overweight",B1818&gt;=30,"Obesity")</f>
        <v>Underweight</v>
      </c>
      <c r="J1818" t="str" cm="1">
        <f t="array" ref="J1818">_xlfn.IFS(C1818&lt;5.7,"Normal",AND(C1818&gt;=5.7,C1818&lt;=6.49),"Prediabetes",C1818&gt;=6.5,"Diabetes")</f>
        <v>Normal</v>
      </c>
    </row>
    <row r="1819" spans="1:10" x14ac:dyDescent="0.3">
      <c r="A1819" t="s">
        <v>552</v>
      </c>
      <c r="B1819" s="8">
        <v>37.18</v>
      </c>
      <c r="C1819">
        <v>4.9000000000000004</v>
      </c>
      <c r="D1819" t="s">
        <v>2379</v>
      </c>
      <c r="E1819" t="s">
        <v>2379</v>
      </c>
      <c r="F1819" t="s">
        <v>2379</v>
      </c>
      <c r="G1819">
        <v>0</v>
      </c>
      <c r="H1819" t="s">
        <v>2379</v>
      </c>
      <c r="I1819" t="str" cm="1">
        <f t="array" ref="I1819">_xlfn.IFS(B1819&lt;18.5,"Underweight",AND(B1819&gt;=18.5,B1819&lt;=24.99),"Normalweight",AND(B1819&gt;=25,B1819&lt;=29.99),"Overweight",B1819&gt;=30,"Obesity")</f>
        <v>Obesity</v>
      </c>
      <c r="J1819" t="str" cm="1">
        <f t="array" ref="J1819">_xlfn.IFS(C1819&lt;5.7,"Normal",AND(C1819&gt;=5.7,C1819&lt;=6.49),"Prediabetes",C1819&gt;=6.5,"Diabetes")</f>
        <v>Normal</v>
      </c>
    </row>
    <row r="1820" spans="1:10" x14ac:dyDescent="0.3">
      <c r="A1820" t="s">
        <v>551</v>
      </c>
      <c r="B1820" s="8">
        <v>35.200000000000003</v>
      </c>
      <c r="C1820">
        <v>5.55</v>
      </c>
      <c r="D1820" t="s">
        <v>2379</v>
      </c>
      <c r="E1820" t="s">
        <v>2379</v>
      </c>
      <c r="F1820" t="s">
        <v>2379</v>
      </c>
      <c r="G1820">
        <v>0</v>
      </c>
      <c r="H1820" t="s">
        <v>2379</v>
      </c>
      <c r="I1820" t="str" cm="1">
        <f t="array" ref="I1820">_xlfn.IFS(B1820&lt;18.5,"Underweight",AND(B1820&gt;=18.5,B1820&lt;=24.99),"Normalweight",AND(B1820&gt;=25,B1820&lt;=29.99),"Overweight",B1820&gt;=30,"Obesity")</f>
        <v>Obesity</v>
      </c>
      <c r="J1820" t="str" cm="1">
        <f t="array" ref="J1820">_xlfn.IFS(C1820&lt;5.7,"Normal",AND(C1820&gt;=5.7,C1820&lt;=6.49),"Prediabetes",C1820&gt;=6.5,"Diabetes")</f>
        <v>Normal</v>
      </c>
    </row>
    <row r="1821" spans="1:10" x14ac:dyDescent="0.3">
      <c r="A1821" t="s">
        <v>550</v>
      </c>
      <c r="B1821" s="8">
        <v>37.335000000000001</v>
      </c>
      <c r="C1821">
        <v>4.95</v>
      </c>
      <c r="D1821" t="s">
        <v>2379</v>
      </c>
      <c r="E1821" t="s">
        <v>2379</v>
      </c>
      <c r="F1821" t="s">
        <v>2379</v>
      </c>
      <c r="G1821">
        <v>0</v>
      </c>
      <c r="H1821" t="s">
        <v>2379</v>
      </c>
      <c r="I1821" t="str" cm="1">
        <f t="array" ref="I1821">_xlfn.IFS(B1821&lt;18.5,"Underweight",AND(B1821&gt;=18.5,B1821&lt;=24.99),"Normalweight",AND(B1821&gt;=25,B1821&lt;=29.99),"Overweight",B1821&gt;=30,"Obesity")</f>
        <v>Obesity</v>
      </c>
      <c r="J1821" t="str" cm="1">
        <f t="array" ref="J1821">_xlfn.IFS(C1821&lt;5.7,"Normal",AND(C1821&gt;=5.7,C1821&lt;=6.49),"Prediabetes",C1821&gt;=6.5,"Diabetes")</f>
        <v>Normal</v>
      </c>
    </row>
    <row r="1822" spans="1:10" x14ac:dyDescent="0.3">
      <c r="A1822" t="s">
        <v>549</v>
      </c>
      <c r="B1822" s="8">
        <v>27.265000000000001</v>
      </c>
      <c r="C1822">
        <v>6.46</v>
      </c>
      <c r="D1822" t="s">
        <v>2381</v>
      </c>
      <c r="E1822" t="s">
        <v>2379</v>
      </c>
      <c r="F1822" t="s">
        <v>2379</v>
      </c>
      <c r="G1822">
        <v>0</v>
      </c>
      <c r="H1822" t="s">
        <v>2379</v>
      </c>
      <c r="I1822" t="str" cm="1">
        <f t="array" ref="I1822">_xlfn.IFS(B1822&lt;18.5,"Underweight",AND(B1822&gt;=18.5,B1822&lt;=24.99),"Normalweight",AND(B1822&gt;=25,B1822&lt;=29.99),"Overweight",B1822&gt;=30,"Obesity")</f>
        <v>Overweight</v>
      </c>
      <c r="J1822" t="str" cm="1">
        <f t="array" ref="J1822">_xlfn.IFS(C1822&lt;5.7,"Normal",AND(C1822&gt;=5.7,C1822&lt;=6.49),"Prediabetes",C1822&gt;=6.5,"Diabetes")</f>
        <v>Prediabetes</v>
      </c>
    </row>
    <row r="1823" spans="1:10" x14ac:dyDescent="0.3">
      <c r="A1823" t="s">
        <v>548</v>
      </c>
      <c r="B1823" s="8">
        <v>30.8</v>
      </c>
      <c r="C1823">
        <v>4.9000000000000004</v>
      </c>
      <c r="D1823" t="s">
        <v>2381</v>
      </c>
      <c r="E1823" t="s">
        <v>2379</v>
      </c>
      <c r="F1823" t="s">
        <v>2379</v>
      </c>
      <c r="G1823">
        <v>0</v>
      </c>
      <c r="H1823" t="s">
        <v>2379</v>
      </c>
      <c r="I1823" t="str" cm="1">
        <f t="array" ref="I1823">_xlfn.IFS(B1823&lt;18.5,"Underweight",AND(B1823&gt;=18.5,B1823&lt;=24.99),"Normalweight",AND(B1823&gt;=25,B1823&lt;=29.99),"Overweight",B1823&gt;=30,"Obesity")</f>
        <v>Obesity</v>
      </c>
      <c r="J1823" t="str" cm="1">
        <f t="array" ref="J1823">_xlfn.IFS(C1823&lt;5.7,"Normal",AND(C1823&gt;=5.7,C1823&lt;=6.49),"Prediabetes",C1823&gt;=6.5,"Diabetes")</f>
        <v>Normal</v>
      </c>
    </row>
    <row r="1824" spans="1:10" x14ac:dyDescent="0.3">
      <c r="A1824" t="s">
        <v>547</v>
      </c>
      <c r="B1824" s="8">
        <v>30.21</v>
      </c>
      <c r="C1824">
        <v>5.21</v>
      </c>
      <c r="D1824" t="s">
        <v>2379</v>
      </c>
      <c r="E1824" t="s">
        <v>2379</v>
      </c>
      <c r="F1824" t="s">
        <v>2379</v>
      </c>
      <c r="G1824">
        <v>1</v>
      </c>
      <c r="H1824" t="s">
        <v>2379</v>
      </c>
      <c r="I1824" t="str" cm="1">
        <f t="array" ref="I1824">_xlfn.IFS(B1824&lt;18.5,"Underweight",AND(B1824&gt;=18.5,B1824&lt;=24.99),"Normalweight",AND(B1824&gt;=25,B1824&lt;=29.99),"Overweight",B1824&gt;=30,"Obesity")</f>
        <v>Obesity</v>
      </c>
      <c r="J1824" t="str" cm="1">
        <f t="array" ref="J1824">_xlfn.IFS(C1824&lt;5.7,"Normal",AND(C1824&gt;=5.7,C1824&lt;=6.49),"Prediabetes",C1824&gt;=6.5,"Diabetes")</f>
        <v>Normal</v>
      </c>
    </row>
    <row r="1825" spans="1:10" x14ac:dyDescent="0.3">
      <c r="A1825" t="s">
        <v>546</v>
      </c>
      <c r="B1825" s="8">
        <v>35.340000000000003</v>
      </c>
      <c r="C1825">
        <v>4.13</v>
      </c>
      <c r="D1825" t="s">
        <v>2379</v>
      </c>
      <c r="E1825" t="s">
        <v>2380</v>
      </c>
      <c r="F1825" t="s">
        <v>2379</v>
      </c>
      <c r="G1825">
        <v>1</v>
      </c>
      <c r="H1825" t="s">
        <v>2379</v>
      </c>
      <c r="I1825" t="str" cm="1">
        <f t="array" ref="I1825">_xlfn.IFS(B1825&lt;18.5,"Underweight",AND(B1825&gt;=18.5,B1825&lt;=24.99),"Normalweight",AND(B1825&gt;=25,B1825&lt;=29.99),"Overweight",B1825&gt;=30,"Obesity")</f>
        <v>Obesity</v>
      </c>
      <c r="J1825" t="str" cm="1">
        <f t="array" ref="J1825">_xlfn.IFS(C1825&lt;5.7,"Normal",AND(C1825&gt;=5.7,C1825&lt;=6.49),"Prediabetes",C1825&gt;=6.5,"Diabetes")</f>
        <v>Normal</v>
      </c>
    </row>
    <row r="1826" spans="1:10" x14ac:dyDescent="0.3">
      <c r="A1826" t="s">
        <v>545</v>
      </c>
      <c r="B1826" s="8">
        <v>26.695</v>
      </c>
      <c r="C1826">
        <v>5.28</v>
      </c>
      <c r="D1826" t="s">
        <v>2379</v>
      </c>
      <c r="E1826" t="s">
        <v>2379</v>
      </c>
      <c r="F1826" t="s">
        <v>2379</v>
      </c>
      <c r="G1826">
        <v>0</v>
      </c>
      <c r="H1826" t="s">
        <v>2379</v>
      </c>
      <c r="I1826" t="str" cm="1">
        <f t="array" ref="I1826">_xlfn.IFS(B1826&lt;18.5,"Underweight",AND(B1826&gt;=18.5,B1826&lt;=24.99),"Normalweight",AND(B1826&gt;=25,B1826&lt;=29.99),"Overweight",B1826&gt;=30,"Obesity")</f>
        <v>Overweight</v>
      </c>
      <c r="J1826" t="str" cm="1">
        <f t="array" ref="J1826">_xlfn.IFS(C1826&lt;5.7,"Normal",AND(C1826&gt;=5.7,C1826&lt;=6.49),"Prediabetes",C1826&gt;=6.5,"Diabetes")</f>
        <v>Normal</v>
      </c>
    </row>
    <row r="1827" spans="1:10" x14ac:dyDescent="0.3">
      <c r="A1827" t="s">
        <v>544</v>
      </c>
      <c r="B1827" s="8">
        <v>29.355</v>
      </c>
      <c r="C1827">
        <v>4.68</v>
      </c>
      <c r="D1827" t="s">
        <v>2381</v>
      </c>
      <c r="E1827" t="s">
        <v>2379</v>
      </c>
      <c r="F1827" t="s">
        <v>2379</v>
      </c>
      <c r="G1827">
        <v>0</v>
      </c>
      <c r="H1827" t="s">
        <v>2379</v>
      </c>
      <c r="I1827" t="str" cm="1">
        <f t="array" ref="I1827">_xlfn.IFS(B1827&lt;18.5,"Underweight",AND(B1827&gt;=18.5,B1827&lt;=24.99),"Normalweight",AND(B1827&gt;=25,B1827&lt;=29.99),"Overweight",B1827&gt;=30,"Obesity")</f>
        <v>Overweight</v>
      </c>
      <c r="J1827" t="str" cm="1">
        <f t="array" ref="J1827">_xlfn.IFS(C1827&lt;5.7,"Normal",AND(C1827&gt;=5.7,C1827&lt;=6.49),"Prediabetes",C1827&gt;=6.5,"Diabetes")</f>
        <v>Normal</v>
      </c>
    </row>
    <row r="1828" spans="1:10" x14ac:dyDescent="0.3">
      <c r="A1828" t="s">
        <v>543</v>
      </c>
      <c r="B1828" s="8">
        <v>29.59</v>
      </c>
      <c r="C1828">
        <v>4.0599999999999996</v>
      </c>
      <c r="D1828" t="s">
        <v>2379</v>
      </c>
      <c r="E1828" t="s">
        <v>2379</v>
      </c>
      <c r="F1828" t="s">
        <v>2379</v>
      </c>
      <c r="G1828">
        <v>0</v>
      </c>
      <c r="H1828" t="s">
        <v>2379</v>
      </c>
      <c r="I1828" t="str" cm="1">
        <f t="array" ref="I1828">_xlfn.IFS(B1828&lt;18.5,"Underweight",AND(B1828&gt;=18.5,B1828&lt;=24.99),"Normalweight",AND(B1828&gt;=25,B1828&lt;=29.99),"Overweight",B1828&gt;=30,"Obesity")</f>
        <v>Overweight</v>
      </c>
      <c r="J1828" t="str" cm="1">
        <f t="array" ref="J1828">_xlfn.IFS(C1828&lt;5.7,"Normal",AND(C1828&gt;=5.7,C1828&lt;=6.49),"Prediabetes",C1828&gt;=6.5,"Diabetes")</f>
        <v>Normal</v>
      </c>
    </row>
    <row r="1829" spans="1:10" x14ac:dyDescent="0.3">
      <c r="A1829" t="s">
        <v>542</v>
      </c>
      <c r="B1829" s="8">
        <v>31.35</v>
      </c>
      <c r="C1829">
        <v>4.2</v>
      </c>
      <c r="D1829" t="s">
        <v>2379</v>
      </c>
      <c r="E1829" t="s">
        <v>2380</v>
      </c>
      <c r="F1829" t="s">
        <v>2379</v>
      </c>
      <c r="G1829">
        <v>1</v>
      </c>
      <c r="H1829" t="s">
        <v>2379</v>
      </c>
      <c r="I1829" t="str" cm="1">
        <f t="array" ref="I1829">_xlfn.IFS(B1829&lt;18.5,"Underweight",AND(B1829&gt;=18.5,B1829&lt;=24.99),"Normalweight",AND(B1829&gt;=25,B1829&lt;=29.99),"Overweight",B1829&gt;=30,"Obesity")</f>
        <v>Obesity</v>
      </c>
      <c r="J1829" t="str" cm="1">
        <f t="array" ref="J1829">_xlfn.IFS(C1829&lt;5.7,"Normal",AND(C1829&gt;=5.7,C1829&lt;=6.49),"Prediabetes",C1829&gt;=6.5,"Diabetes")</f>
        <v>Normal</v>
      </c>
    </row>
    <row r="1830" spans="1:10" x14ac:dyDescent="0.3">
      <c r="A1830" t="s">
        <v>541</v>
      </c>
      <c r="B1830" s="8">
        <v>20.52</v>
      </c>
      <c r="C1830">
        <v>4.83</v>
      </c>
      <c r="D1830" t="s">
        <v>2379</v>
      </c>
      <c r="E1830" t="s">
        <v>2379</v>
      </c>
      <c r="F1830" t="s">
        <v>2379</v>
      </c>
      <c r="G1830">
        <v>0</v>
      </c>
      <c r="H1830" t="s">
        <v>2379</v>
      </c>
      <c r="I1830" t="str" cm="1">
        <f t="array" ref="I1830">_xlfn.IFS(B1830&lt;18.5,"Underweight",AND(B1830&gt;=18.5,B1830&lt;=24.99),"Normalweight",AND(B1830&gt;=25,B1830&lt;=29.99),"Overweight",B1830&gt;=30,"Obesity")</f>
        <v>Normalweight</v>
      </c>
      <c r="J1830" t="str" cm="1">
        <f t="array" ref="J1830">_xlfn.IFS(C1830&lt;5.7,"Normal",AND(C1830&gt;=5.7,C1830&lt;=6.49),"Prediabetes",C1830&gt;=6.5,"Diabetes")</f>
        <v>Normal</v>
      </c>
    </row>
    <row r="1831" spans="1:10" x14ac:dyDescent="0.3">
      <c r="A1831" t="s">
        <v>540</v>
      </c>
      <c r="B1831" s="8">
        <v>42.9</v>
      </c>
      <c r="C1831">
        <v>4.87</v>
      </c>
      <c r="D1831" t="s">
        <v>2381</v>
      </c>
      <c r="E1831" t="s">
        <v>2379</v>
      </c>
      <c r="F1831" t="s">
        <v>2379</v>
      </c>
      <c r="G1831">
        <v>1</v>
      </c>
      <c r="H1831" t="s">
        <v>2379</v>
      </c>
      <c r="I1831" t="str" cm="1">
        <f t="array" ref="I1831">_xlfn.IFS(B1831&lt;18.5,"Underweight",AND(B1831&gt;=18.5,B1831&lt;=24.99),"Normalweight",AND(B1831&gt;=25,B1831&lt;=29.99),"Overweight",B1831&gt;=30,"Obesity")</f>
        <v>Obesity</v>
      </c>
      <c r="J1831" t="str" cm="1">
        <f t="array" ref="J1831">_xlfn.IFS(C1831&lt;5.7,"Normal",AND(C1831&gt;=5.7,C1831&lt;=6.49),"Prediabetes",C1831&gt;=6.5,"Diabetes")</f>
        <v>Normal</v>
      </c>
    </row>
    <row r="1832" spans="1:10" x14ac:dyDescent="0.3">
      <c r="A1832" t="s">
        <v>539</v>
      </c>
      <c r="B1832" s="8">
        <v>24.6</v>
      </c>
      <c r="C1832">
        <v>5.86</v>
      </c>
      <c r="D1832" t="s">
        <v>2379</v>
      </c>
      <c r="E1832" t="s">
        <v>2379</v>
      </c>
      <c r="F1832" t="s">
        <v>2381</v>
      </c>
      <c r="G1832">
        <v>1</v>
      </c>
      <c r="H1832" t="s">
        <v>2379</v>
      </c>
      <c r="I1832" t="str" cm="1">
        <f t="array" ref="I1832">_xlfn.IFS(B1832&lt;18.5,"Underweight",AND(B1832&gt;=18.5,B1832&lt;=24.99),"Normalweight",AND(B1832&gt;=25,B1832&lt;=29.99),"Overweight",B1832&gt;=30,"Obesity")</f>
        <v>Normalweight</v>
      </c>
      <c r="J1832" t="str" cm="1">
        <f t="array" ref="J1832">_xlfn.IFS(C1832&lt;5.7,"Normal",AND(C1832&gt;=5.7,C1832&lt;=6.49),"Prediabetes",C1832&gt;=6.5,"Diabetes")</f>
        <v>Prediabetes</v>
      </c>
    </row>
    <row r="1833" spans="1:10" x14ac:dyDescent="0.3">
      <c r="A1833" t="s">
        <v>538</v>
      </c>
      <c r="B1833" s="8">
        <v>28.405000000000001</v>
      </c>
      <c r="C1833">
        <v>4.12</v>
      </c>
      <c r="D1833" t="s">
        <v>2379</v>
      </c>
      <c r="E1833" t="s">
        <v>2379</v>
      </c>
      <c r="F1833" t="s">
        <v>2379</v>
      </c>
      <c r="G1833">
        <v>1</v>
      </c>
      <c r="H1833" t="s">
        <v>2379</v>
      </c>
      <c r="I1833" t="str" cm="1">
        <f t="array" ref="I1833">_xlfn.IFS(B1833&lt;18.5,"Underweight",AND(B1833&gt;=18.5,B1833&lt;=24.99),"Normalweight",AND(B1833&gt;=25,B1833&lt;=29.99),"Overweight",B1833&gt;=30,"Obesity")</f>
        <v>Overweight</v>
      </c>
      <c r="J1833" t="str" cm="1">
        <f t="array" ref="J1833">_xlfn.IFS(C1833&lt;5.7,"Normal",AND(C1833&gt;=5.7,C1833&lt;=6.49),"Prediabetes",C1833&gt;=6.5,"Diabetes")</f>
        <v>Normal</v>
      </c>
    </row>
    <row r="1834" spans="1:10" x14ac:dyDescent="0.3">
      <c r="A1834" t="s">
        <v>537</v>
      </c>
      <c r="B1834" s="8">
        <v>34.674999999999997</v>
      </c>
      <c r="C1834">
        <v>5.71</v>
      </c>
      <c r="D1834" t="s">
        <v>2381</v>
      </c>
      <c r="E1834" t="s">
        <v>2379</v>
      </c>
      <c r="F1834" t="s">
        <v>2379</v>
      </c>
      <c r="G1834">
        <v>1</v>
      </c>
      <c r="H1834" t="s">
        <v>2379</v>
      </c>
      <c r="I1834" t="str" cm="1">
        <f t="array" ref="I1834">_xlfn.IFS(B1834&lt;18.5,"Underweight",AND(B1834&gt;=18.5,B1834&lt;=24.99),"Normalweight",AND(B1834&gt;=25,B1834&lt;=29.99),"Overweight",B1834&gt;=30,"Obesity")</f>
        <v>Obesity</v>
      </c>
      <c r="J1834" t="str" cm="1">
        <f t="array" ref="J1834">_xlfn.IFS(C1834&lt;5.7,"Normal",AND(C1834&gt;=5.7,C1834&lt;=6.49),"Prediabetes",C1834&gt;=6.5,"Diabetes")</f>
        <v>Prediabetes</v>
      </c>
    </row>
    <row r="1835" spans="1:10" x14ac:dyDescent="0.3">
      <c r="A1835" t="s">
        <v>536</v>
      </c>
      <c r="B1835" s="8">
        <v>18.850000000000001</v>
      </c>
      <c r="C1835">
        <v>6.03</v>
      </c>
      <c r="D1835" t="s">
        <v>2379</v>
      </c>
      <c r="E1835" t="s">
        <v>2379</v>
      </c>
      <c r="F1835" t="s">
        <v>2379</v>
      </c>
      <c r="G1835">
        <v>1</v>
      </c>
      <c r="H1835" t="s">
        <v>2379</v>
      </c>
      <c r="I1835" t="str" cm="1">
        <f t="array" ref="I1835">_xlfn.IFS(B1835&lt;18.5,"Underweight",AND(B1835&gt;=18.5,B1835&lt;=24.99),"Normalweight",AND(B1835&gt;=25,B1835&lt;=29.99),"Overweight",B1835&gt;=30,"Obesity")</f>
        <v>Normalweight</v>
      </c>
      <c r="J1835" t="str" cm="1">
        <f t="array" ref="J1835">_xlfn.IFS(C1835&lt;5.7,"Normal",AND(C1835&gt;=5.7,C1835&lt;=6.49),"Prediabetes",C1835&gt;=6.5,"Diabetes")</f>
        <v>Prediabetes</v>
      </c>
    </row>
    <row r="1836" spans="1:10" x14ac:dyDescent="0.3">
      <c r="A1836" t="s">
        <v>534</v>
      </c>
      <c r="B1836" s="8">
        <v>34.130000000000003</v>
      </c>
      <c r="C1836">
        <v>5.65</v>
      </c>
      <c r="D1836" t="s">
        <v>2379</v>
      </c>
      <c r="E1836" t="s">
        <v>2379</v>
      </c>
      <c r="F1836" t="s">
        <v>2381</v>
      </c>
      <c r="G1836">
        <v>1</v>
      </c>
      <c r="H1836" t="s">
        <v>2379</v>
      </c>
      <c r="I1836" t="str" cm="1">
        <f t="array" ref="I1836">_xlfn.IFS(B1836&lt;18.5,"Underweight",AND(B1836&gt;=18.5,B1836&lt;=24.99),"Normalweight",AND(B1836&gt;=25,B1836&lt;=29.99),"Overweight",B1836&gt;=30,"Obesity")</f>
        <v>Obesity</v>
      </c>
      <c r="J1836" t="str" cm="1">
        <f t="array" ref="J1836">_xlfn.IFS(C1836&lt;5.7,"Normal",AND(C1836&gt;=5.7,C1836&lt;=6.49),"Prediabetes",C1836&gt;=6.5,"Diabetes")</f>
        <v>Normal</v>
      </c>
    </row>
    <row r="1837" spans="1:10" x14ac:dyDescent="0.3">
      <c r="A1837" t="s">
        <v>533</v>
      </c>
      <c r="B1837" s="8">
        <v>17.34</v>
      </c>
      <c r="C1837">
        <v>5.05</v>
      </c>
      <c r="D1837" t="s">
        <v>2379</v>
      </c>
      <c r="E1837" t="s">
        <v>2379</v>
      </c>
      <c r="F1837" t="s">
        <v>2379</v>
      </c>
      <c r="G1837">
        <v>0</v>
      </c>
      <c r="H1837" t="s">
        <v>2379</v>
      </c>
      <c r="I1837" t="str" cm="1">
        <f t="array" ref="I1837">_xlfn.IFS(B1837&lt;18.5,"Underweight",AND(B1837&gt;=18.5,B1837&lt;=24.99),"Normalweight",AND(B1837&gt;=25,B1837&lt;=29.99),"Overweight",B1837&gt;=30,"Obesity")</f>
        <v>Underweight</v>
      </c>
      <c r="J1837" t="str" cm="1">
        <f t="array" ref="J1837">_xlfn.IFS(C1837&lt;5.7,"Normal",AND(C1837&gt;=5.7,C1837&lt;=6.49),"Prediabetes",C1837&gt;=6.5,"Diabetes")</f>
        <v>Normal</v>
      </c>
    </row>
    <row r="1838" spans="1:10" x14ac:dyDescent="0.3">
      <c r="A1838" t="s">
        <v>532</v>
      </c>
      <c r="B1838" s="8">
        <v>17.440000000000001</v>
      </c>
      <c r="C1838">
        <v>6.26</v>
      </c>
      <c r="D1838" t="s">
        <v>2379</v>
      </c>
      <c r="E1838" t="s">
        <v>2379</v>
      </c>
      <c r="F1838" t="s">
        <v>2379</v>
      </c>
      <c r="G1838">
        <v>0</v>
      </c>
      <c r="H1838" t="s">
        <v>2379</v>
      </c>
      <c r="I1838" t="str" cm="1">
        <f t="array" ref="I1838">_xlfn.IFS(B1838&lt;18.5,"Underweight",AND(B1838&gt;=18.5,B1838&lt;=24.99),"Normalweight",AND(B1838&gt;=25,B1838&lt;=29.99),"Overweight",B1838&gt;=30,"Obesity")</f>
        <v>Underweight</v>
      </c>
      <c r="J1838" t="str" cm="1">
        <f t="array" ref="J1838">_xlfn.IFS(C1838&lt;5.7,"Normal",AND(C1838&gt;=5.7,C1838&lt;=6.49),"Prediabetes",C1838&gt;=6.5,"Diabetes")</f>
        <v>Prediabetes</v>
      </c>
    </row>
    <row r="1839" spans="1:10" x14ac:dyDescent="0.3">
      <c r="A1839" t="s">
        <v>531</v>
      </c>
      <c r="B1839" s="8">
        <v>33.659999999999997</v>
      </c>
      <c r="C1839">
        <v>4.08</v>
      </c>
      <c r="D1839" t="s">
        <v>2381</v>
      </c>
      <c r="E1839" t="s">
        <v>2379</v>
      </c>
      <c r="F1839" t="s">
        <v>2381</v>
      </c>
      <c r="G1839">
        <v>1</v>
      </c>
      <c r="H1839" t="s">
        <v>2379</v>
      </c>
      <c r="I1839" t="str" cm="1">
        <f t="array" ref="I1839">_xlfn.IFS(B1839&lt;18.5,"Underweight",AND(B1839&gt;=18.5,B1839&lt;=24.99),"Normalweight",AND(B1839&gt;=25,B1839&lt;=29.99),"Overweight",B1839&gt;=30,"Obesity")</f>
        <v>Obesity</v>
      </c>
      <c r="J1839" t="str" cm="1">
        <f t="array" ref="J1839">_xlfn.IFS(C1839&lt;5.7,"Normal",AND(C1839&gt;=5.7,C1839&lt;=6.49),"Prediabetes",C1839&gt;=6.5,"Diabetes")</f>
        <v>Normal</v>
      </c>
    </row>
    <row r="1840" spans="1:10" x14ac:dyDescent="0.3">
      <c r="A1840" t="s">
        <v>530</v>
      </c>
      <c r="B1840" s="8">
        <v>21.375</v>
      </c>
      <c r="C1840">
        <v>6.19</v>
      </c>
      <c r="D1840" t="s">
        <v>2381</v>
      </c>
      <c r="E1840" t="s">
        <v>2379</v>
      </c>
      <c r="F1840" t="s">
        <v>2379</v>
      </c>
      <c r="G1840">
        <v>1</v>
      </c>
      <c r="H1840" t="s">
        <v>2379</v>
      </c>
      <c r="I1840" t="str" cm="1">
        <f t="array" ref="I1840">_xlfn.IFS(B1840&lt;18.5,"Underweight",AND(B1840&gt;=18.5,B1840&lt;=24.99),"Normalweight",AND(B1840&gt;=25,B1840&lt;=29.99),"Overweight",B1840&gt;=30,"Obesity")</f>
        <v>Normalweight</v>
      </c>
      <c r="J1840" t="str" cm="1">
        <f t="array" ref="J1840">_xlfn.IFS(C1840&lt;5.7,"Normal",AND(C1840&gt;=5.7,C1840&lt;=6.49),"Prediabetes",C1840&gt;=6.5,"Diabetes")</f>
        <v>Prediabetes</v>
      </c>
    </row>
    <row r="1841" spans="1:10" x14ac:dyDescent="0.3">
      <c r="A1841" t="s">
        <v>529</v>
      </c>
      <c r="B1841" s="8">
        <v>27.14</v>
      </c>
      <c r="C1841">
        <v>6.01</v>
      </c>
      <c r="D1841" t="s">
        <v>2379</v>
      </c>
      <c r="E1841" t="s">
        <v>2379</v>
      </c>
      <c r="F1841" t="s">
        <v>2379</v>
      </c>
      <c r="G1841">
        <v>1</v>
      </c>
      <c r="H1841" t="s">
        <v>2379</v>
      </c>
      <c r="I1841" t="str" cm="1">
        <f t="array" ref="I1841">_xlfn.IFS(B1841&lt;18.5,"Underweight",AND(B1841&gt;=18.5,B1841&lt;=24.99),"Normalweight",AND(B1841&gt;=25,B1841&lt;=29.99),"Overweight",B1841&gt;=30,"Obesity")</f>
        <v>Overweight</v>
      </c>
      <c r="J1841" t="str" cm="1">
        <f t="array" ref="J1841">_xlfn.IFS(C1841&lt;5.7,"Normal",AND(C1841&gt;=5.7,C1841&lt;=6.49),"Prediabetes",C1841&gt;=6.5,"Diabetes")</f>
        <v>Prediabetes</v>
      </c>
    </row>
    <row r="1842" spans="1:10" x14ac:dyDescent="0.3">
      <c r="A1842" t="s">
        <v>528</v>
      </c>
      <c r="B1842" s="8">
        <v>35.78</v>
      </c>
      <c r="C1842">
        <v>6.07</v>
      </c>
      <c r="D1842" t="s">
        <v>2379</v>
      </c>
      <c r="E1842" t="s">
        <v>2380</v>
      </c>
      <c r="F1842" t="s">
        <v>2379</v>
      </c>
      <c r="G1842">
        <v>1</v>
      </c>
      <c r="H1842" t="s">
        <v>2379</v>
      </c>
      <c r="I1842" t="str" cm="1">
        <f t="array" ref="I1842">_xlfn.IFS(B1842&lt;18.5,"Underweight",AND(B1842&gt;=18.5,B1842&lt;=24.99),"Normalweight",AND(B1842&gt;=25,B1842&lt;=29.99),"Overweight",B1842&gt;=30,"Obesity")</f>
        <v>Obesity</v>
      </c>
      <c r="J1842" t="str" cm="1">
        <f t="array" ref="J1842">_xlfn.IFS(C1842&lt;5.7,"Normal",AND(C1842&gt;=5.7,C1842&lt;=6.49),"Prediabetes",C1842&gt;=6.5,"Diabetes")</f>
        <v>Prediabetes</v>
      </c>
    </row>
    <row r="1843" spans="1:10" x14ac:dyDescent="0.3">
      <c r="A1843" t="s">
        <v>527</v>
      </c>
      <c r="B1843" s="8">
        <v>34.96</v>
      </c>
      <c r="C1843">
        <v>5.63</v>
      </c>
      <c r="D1843" t="s">
        <v>2379</v>
      </c>
      <c r="E1843" t="s">
        <v>2379</v>
      </c>
      <c r="F1843" t="s">
        <v>2379</v>
      </c>
      <c r="G1843">
        <v>0</v>
      </c>
      <c r="H1843" t="s">
        <v>2379</v>
      </c>
      <c r="I1843" t="str" cm="1">
        <f t="array" ref="I1843">_xlfn.IFS(B1843&lt;18.5,"Underweight",AND(B1843&gt;=18.5,B1843&lt;=24.99),"Normalweight",AND(B1843&gt;=25,B1843&lt;=29.99),"Overweight",B1843&gt;=30,"Obesity")</f>
        <v>Obesity</v>
      </c>
      <c r="J1843" t="str" cm="1">
        <f t="array" ref="J1843">_xlfn.IFS(C1843&lt;5.7,"Normal",AND(C1843&gt;=5.7,C1843&lt;=6.49),"Prediabetes",C1843&gt;=6.5,"Diabetes")</f>
        <v>Normal</v>
      </c>
    </row>
    <row r="1844" spans="1:10" x14ac:dyDescent="0.3">
      <c r="A1844" t="s">
        <v>526</v>
      </c>
      <c r="B1844" s="8">
        <v>38.39</v>
      </c>
      <c r="C1844">
        <v>6.05</v>
      </c>
      <c r="D1844" t="s">
        <v>2379</v>
      </c>
      <c r="E1844" t="s">
        <v>2379</v>
      </c>
      <c r="F1844" t="s">
        <v>2379</v>
      </c>
      <c r="G1844">
        <v>0</v>
      </c>
      <c r="H1844" t="s">
        <v>2379</v>
      </c>
      <c r="I1844" t="str" cm="1">
        <f t="array" ref="I1844">_xlfn.IFS(B1844&lt;18.5,"Underweight",AND(B1844&gt;=18.5,B1844&lt;=24.99),"Normalweight",AND(B1844&gt;=25,B1844&lt;=29.99),"Overweight",B1844&gt;=30,"Obesity")</f>
        <v>Obesity</v>
      </c>
      <c r="J1844" t="str" cm="1">
        <f t="array" ref="J1844">_xlfn.IFS(C1844&lt;5.7,"Normal",AND(C1844&gt;=5.7,C1844&lt;=6.49),"Prediabetes",C1844&gt;=6.5,"Diabetes")</f>
        <v>Prediabetes</v>
      </c>
    </row>
    <row r="1845" spans="1:10" x14ac:dyDescent="0.3">
      <c r="A1845" t="s">
        <v>525</v>
      </c>
      <c r="B1845" s="8">
        <v>33.82</v>
      </c>
      <c r="C1845">
        <v>4.6500000000000004</v>
      </c>
      <c r="D1845" t="s">
        <v>2379</v>
      </c>
      <c r="E1845" t="s">
        <v>2379</v>
      </c>
      <c r="F1845" t="s">
        <v>2379</v>
      </c>
      <c r="G1845">
        <v>0</v>
      </c>
      <c r="H1845" t="s">
        <v>2379</v>
      </c>
      <c r="I1845" t="str" cm="1">
        <f t="array" ref="I1845">_xlfn.IFS(B1845&lt;18.5,"Underweight",AND(B1845&gt;=18.5,B1845&lt;=24.99),"Normalweight",AND(B1845&gt;=25,B1845&lt;=29.99),"Overweight",B1845&gt;=30,"Obesity")</f>
        <v>Obesity</v>
      </c>
      <c r="J1845" t="str" cm="1">
        <f t="array" ref="J1845">_xlfn.IFS(C1845&lt;5.7,"Normal",AND(C1845&gt;=5.7,C1845&lt;=6.49),"Prediabetes",C1845&gt;=6.5,"Diabetes")</f>
        <v>Normal</v>
      </c>
    </row>
    <row r="1846" spans="1:10" x14ac:dyDescent="0.3">
      <c r="A1846" t="s">
        <v>524</v>
      </c>
      <c r="B1846" s="8">
        <v>27.835000000000001</v>
      </c>
      <c r="C1846">
        <v>5.37</v>
      </c>
      <c r="D1846" t="s">
        <v>2379</v>
      </c>
      <c r="E1846" t="s">
        <v>2379</v>
      </c>
      <c r="F1846" t="s">
        <v>2379</v>
      </c>
      <c r="G1846">
        <v>0</v>
      </c>
      <c r="H1846" t="s">
        <v>2379</v>
      </c>
      <c r="I1846" t="str" cm="1">
        <f t="array" ref="I1846">_xlfn.IFS(B1846&lt;18.5,"Underweight",AND(B1846&gt;=18.5,B1846&lt;=24.99),"Normalweight",AND(B1846&gt;=25,B1846&lt;=29.99),"Overweight",B1846&gt;=30,"Obesity")</f>
        <v>Overweight</v>
      </c>
      <c r="J1846" t="str" cm="1">
        <f t="array" ref="J1846">_xlfn.IFS(C1846&lt;5.7,"Normal",AND(C1846&gt;=5.7,C1846&lt;=6.49),"Prediabetes",C1846&gt;=6.5,"Diabetes")</f>
        <v>Normal</v>
      </c>
    </row>
    <row r="1847" spans="1:10" x14ac:dyDescent="0.3">
      <c r="A1847" t="s">
        <v>523</v>
      </c>
      <c r="B1847" s="8">
        <v>33</v>
      </c>
      <c r="C1847">
        <v>5.39</v>
      </c>
      <c r="D1847" t="s">
        <v>2379</v>
      </c>
      <c r="E1847" t="s">
        <v>2379</v>
      </c>
      <c r="F1847" t="s">
        <v>2379</v>
      </c>
      <c r="G1847">
        <v>0</v>
      </c>
      <c r="H1847" t="s">
        <v>2379</v>
      </c>
      <c r="I1847" t="str" cm="1">
        <f t="array" ref="I1847">_xlfn.IFS(B1847&lt;18.5,"Underweight",AND(B1847&gt;=18.5,B1847&lt;=24.99),"Normalweight",AND(B1847&gt;=25,B1847&lt;=29.99),"Overweight",B1847&gt;=30,"Obesity")</f>
        <v>Obesity</v>
      </c>
      <c r="J1847" t="str" cm="1">
        <f t="array" ref="J1847">_xlfn.IFS(C1847&lt;5.7,"Normal",AND(C1847&gt;=5.7,C1847&lt;=6.49),"Prediabetes",C1847&gt;=6.5,"Diabetes")</f>
        <v>Normal</v>
      </c>
    </row>
    <row r="1848" spans="1:10" x14ac:dyDescent="0.3">
      <c r="A1848" t="s">
        <v>522</v>
      </c>
      <c r="B1848" s="8">
        <v>26.885000000000002</v>
      </c>
      <c r="C1848">
        <v>5.86</v>
      </c>
      <c r="D1848" t="s">
        <v>2379</v>
      </c>
      <c r="E1848" t="s">
        <v>2379</v>
      </c>
      <c r="F1848" t="s">
        <v>2379</v>
      </c>
      <c r="G1848">
        <v>0</v>
      </c>
      <c r="H1848" t="s">
        <v>2379</v>
      </c>
      <c r="I1848" t="str" cm="1">
        <f t="array" ref="I1848">_xlfn.IFS(B1848&lt;18.5,"Underweight",AND(B1848&gt;=18.5,B1848&lt;=24.99),"Normalweight",AND(B1848&gt;=25,B1848&lt;=29.99),"Overweight",B1848&gt;=30,"Obesity")</f>
        <v>Overweight</v>
      </c>
      <c r="J1848" t="str" cm="1">
        <f t="array" ref="J1848">_xlfn.IFS(C1848&lt;5.7,"Normal",AND(C1848&gt;=5.7,C1848&lt;=6.49),"Prediabetes",C1848&gt;=6.5,"Diabetes")</f>
        <v>Prediabetes</v>
      </c>
    </row>
    <row r="1849" spans="1:10" x14ac:dyDescent="0.3">
      <c r="A1849" t="s">
        <v>521</v>
      </c>
      <c r="B1849" s="8">
        <v>29.26</v>
      </c>
      <c r="C1849">
        <v>4.4400000000000004</v>
      </c>
      <c r="D1849" t="s">
        <v>2379</v>
      </c>
      <c r="E1849" t="s">
        <v>2379</v>
      </c>
      <c r="F1849" t="s">
        <v>2379</v>
      </c>
      <c r="G1849">
        <v>0</v>
      </c>
      <c r="H1849" t="s">
        <v>2379</v>
      </c>
      <c r="I1849" t="str" cm="1">
        <f t="array" ref="I1849">_xlfn.IFS(B1849&lt;18.5,"Underweight",AND(B1849&gt;=18.5,B1849&lt;=24.99),"Normalweight",AND(B1849&gt;=25,B1849&lt;=29.99),"Overweight",B1849&gt;=30,"Obesity")</f>
        <v>Overweight</v>
      </c>
      <c r="J1849" t="str" cm="1">
        <f t="array" ref="J1849">_xlfn.IFS(C1849&lt;5.7,"Normal",AND(C1849&gt;=5.7,C1849&lt;=6.49),"Prediabetes",C1849&gt;=6.5,"Diabetes")</f>
        <v>Normal</v>
      </c>
    </row>
    <row r="1850" spans="1:10" x14ac:dyDescent="0.3">
      <c r="A1850" t="s">
        <v>520</v>
      </c>
      <c r="B1850" s="8">
        <v>26.98</v>
      </c>
      <c r="C1850">
        <v>4.41</v>
      </c>
      <c r="D1850" t="s">
        <v>2379</v>
      </c>
      <c r="E1850" t="s">
        <v>2379</v>
      </c>
      <c r="F1850" t="s">
        <v>2379</v>
      </c>
      <c r="G1850">
        <v>0</v>
      </c>
      <c r="H1850" t="s">
        <v>2379</v>
      </c>
      <c r="I1850" t="str" cm="1">
        <f t="array" ref="I1850">_xlfn.IFS(B1850&lt;18.5,"Underweight",AND(B1850&gt;=18.5,B1850&lt;=24.99),"Normalweight",AND(B1850&gt;=25,B1850&lt;=29.99),"Overweight",B1850&gt;=30,"Obesity")</f>
        <v>Overweight</v>
      </c>
      <c r="J1850" t="str" cm="1">
        <f t="array" ref="J1850">_xlfn.IFS(C1850&lt;5.7,"Normal",AND(C1850&gt;=5.7,C1850&lt;=6.49),"Prediabetes",C1850&gt;=6.5,"Diabetes")</f>
        <v>Normal</v>
      </c>
    </row>
    <row r="1851" spans="1:10" x14ac:dyDescent="0.3">
      <c r="A1851" t="s">
        <v>519</v>
      </c>
      <c r="B1851" s="8">
        <v>32.11</v>
      </c>
      <c r="C1851">
        <v>5.19</v>
      </c>
      <c r="D1851" t="s">
        <v>2379</v>
      </c>
      <c r="E1851" t="s">
        <v>2379</v>
      </c>
      <c r="F1851" t="s">
        <v>2381</v>
      </c>
      <c r="G1851">
        <v>1</v>
      </c>
      <c r="H1851" t="s">
        <v>2379</v>
      </c>
      <c r="I1851" t="str" cm="1">
        <f t="array" ref="I1851">_xlfn.IFS(B1851&lt;18.5,"Underweight",AND(B1851&gt;=18.5,B1851&lt;=24.99),"Normalweight",AND(B1851&gt;=25,B1851&lt;=29.99),"Overweight",B1851&gt;=30,"Obesity")</f>
        <v>Obesity</v>
      </c>
      <c r="J1851" t="str" cm="1">
        <f t="array" ref="J1851">_xlfn.IFS(C1851&lt;5.7,"Normal",AND(C1851&gt;=5.7,C1851&lt;=6.49),"Prediabetes",C1851&gt;=6.5,"Diabetes")</f>
        <v>Normal</v>
      </c>
    </row>
    <row r="1852" spans="1:10" x14ac:dyDescent="0.3">
      <c r="A1852" t="s">
        <v>518</v>
      </c>
      <c r="B1852" s="8">
        <v>31.73</v>
      </c>
      <c r="C1852">
        <v>5.16</v>
      </c>
      <c r="D1852" t="s">
        <v>2379</v>
      </c>
      <c r="E1852" t="s">
        <v>2379</v>
      </c>
      <c r="F1852" t="s">
        <v>2381</v>
      </c>
      <c r="G1852">
        <v>1</v>
      </c>
      <c r="H1852" t="s">
        <v>2379</v>
      </c>
      <c r="I1852" t="str" cm="1">
        <f t="array" ref="I1852">_xlfn.IFS(B1852&lt;18.5,"Underweight",AND(B1852&gt;=18.5,B1852&lt;=24.99),"Normalweight",AND(B1852&gt;=25,B1852&lt;=29.99),"Overweight",B1852&gt;=30,"Obesity")</f>
        <v>Obesity</v>
      </c>
      <c r="J1852" t="str" cm="1">
        <f t="array" ref="J1852">_xlfn.IFS(C1852&lt;5.7,"Normal",AND(C1852&gt;=5.7,C1852&lt;=6.49),"Prediabetes",C1852&gt;=6.5,"Diabetes")</f>
        <v>Normal</v>
      </c>
    </row>
    <row r="1853" spans="1:10" x14ac:dyDescent="0.3">
      <c r="A1853" t="s">
        <v>517</v>
      </c>
      <c r="B1853" s="8">
        <v>22.515000000000001</v>
      </c>
      <c r="C1853">
        <v>4.24</v>
      </c>
      <c r="D1853" t="s">
        <v>2379</v>
      </c>
      <c r="E1853" t="s">
        <v>2379</v>
      </c>
      <c r="F1853" t="s">
        <v>2379</v>
      </c>
      <c r="G1853">
        <v>0</v>
      </c>
      <c r="H1853" t="s">
        <v>2379</v>
      </c>
      <c r="I1853" t="str" cm="1">
        <f t="array" ref="I1853">_xlfn.IFS(B1853&lt;18.5,"Underweight",AND(B1853&gt;=18.5,B1853&lt;=24.99),"Normalweight",AND(B1853&gt;=25,B1853&lt;=29.99),"Overweight",B1853&gt;=30,"Obesity")</f>
        <v>Normalweight</v>
      </c>
      <c r="J1853" t="str" cm="1">
        <f t="array" ref="J1853">_xlfn.IFS(C1853&lt;5.7,"Normal",AND(C1853&gt;=5.7,C1853&lt;=6.49),"Prediabetes",C1853&gt;=6.5,"Diabetes")</f>
        <v>Normal</v>
      </c>
    </row>
    <row r="1854" spans="1:10" x14ac:dyDescent="0.3">
      <c r="A1854" t="s">
        <v>515</v>
      </c>
      <c r="B1854" s="8">
        <v>25.9</v>
      </c>
      <c r="C1854">
        <v>5.45</v>
      </c>
      <c r="D1854" t="s">
        <v>2379</v>
      </c>
      <c r="E1854" t="s">
        <v>2379</v>
      </c>
      <c r="F1854" t="s">
        <v>2379</v>
      </c>
      <c r="G1854">
        <v>1</v>
      </c>
      <c r="H1854" t="s">
        <v>2379</v>
      </c>
      <c r="I1854" t="str" cm="1">
        <f t="array" ref="I1854">_xlfn.IFS(B1854&lt;18.5,"Underweight",AND(B1854&gt;=18.5,B1854&lt;=24.99),"Normalweight",AND(B1854&gt;=25,B1854&lt;=29.99),"Overweight",B1854&gt;=30,"Obesity")</f>
        <v>Overweight</v>
      </c>
      <c r="J1854" t="str" cm="1">
        <f t="array" ref="J1854">_xlfn.IFS(C1854&lt;5.7,"Normal",AND(C1854&gt;=5.7,C1854&lt;=6.49),"Prediabetes",C1854&gt;=6.5,"Diabetes")</f>
        <v>Normal</v>
      </c>
    </row>
    <row r="1855" spans="1:10" x14ac:dyDescent="0.3">
      <c r="A1855" t="s">
        <v>514</v>
      </c>
      <c r="B1855" s="8">
        <v>27.72</v>
      </c>
      <c r="C1855">
        <v>5.03</v>
      </c>
      <c r="D1855" t="s">
        <v>2381</v>
      </c>
      <c r="E1855" t="s">
        <v>2379</v>
      </c>
      <c r="F1855" t="s">
        <v>2379</v>
      </c>
      <c r="G1855">
        <v>1</v>
      </c>
      <c r="H1855" t="s">
        <v>2379</v>
      </c>
      <c r="I1855" t="str" cm="1">
        <f t="array" ref="I1855">_xlfn.IFS(B1855&lt;18.5,"Underweight",AND(B1855&gt;=18.5,B1855&lt;=24.99),"Normalweight",AND(B1855&gt;=25,B1855&lt;=29.99),"Overweight",B1855&gt;=30,"Obesity")</f>
        <v>Overweight</v>
      </c>
      <c r="J1855" t="str" cm="1">
        <f t="array" ref="J1855">_xlfn.IFS(C1855&lt;5.7,"Normal",AND(C1855&gt;=5.7,C1855&lt;=6.49),"Prediabetes",C1855&gt;=6.5,"Diabetes")</f>
        <v>Normal</v>
      </c>
    </row>
    <row r="1856" spans="1:10" x14ac:dyDescent="0.3">
      <c r="A1856" t="s">
        <v>513</v>
      </c>
      <c r="B1856" s="8">
        <v>31.5</v>
      </c>
      <c r="C1856">
        <v>9.6199999999999992</v>
      </c>
      <c r="D1856" t="s">
        <v>2381</v>
      </c>
      <c r="E1856" t="s">
        <v>2379</v>
      </c>
      <c r="F1856" t="s">
        <v>2379</v>
      </c>
      <c r="G1856">
        <v>1</v>
      </c>
      <c r="H1856" t="s">
        <v>2379</v>
      </c>
      <c r="I1856" t="str" cm="1">
        <f t="array" ref="I1856">_xlfn.IFS(B1856&lt;18.5,"Underweight",AND(B1856&gt;=18.5,B1856&lt;=24.99),"Normalweight",AND(B1856&gt;=25,B1856&lt;=29.99),"Overweight",B1856&gt;=30,"Obesity")</f>
        <v>Obesity</v>
      </c>
      <c r="J1856" t="str" cm="1">
        <f t="array" ref="J1856">_xlfn.IFS(C1856&lt;5.7,"Normal",AND(C1856&gt;=5.7,C1856&lt;=6.49),"Prediabetes",C1856&gt;=6.5,"Diabetes")</f>
        <v>Diabetes</v>
      </c>
    </row>
    <row r="1857" spans="1:10" x14ac:dyDescent="0.3">
      <c r="A1857" t="s">
        <v>512</v>
      </c>
      <c r="B1857" s="8">
        <v>29.7</v>
      </c>
      <c r="C1857">
        <v>6.77</v>
      </c>
      <c r="D1857" t="s">
        <v>2381</v>
      </c>
      <c r="E1857" t="s">
        <v>2379</v>
      </c>
      <c r="F1857" t="s">
        <v>2379</v>
      </c>
      <c r="G1857">
        <v>1</v>
      </c>
      <c r="H1857" t="s">
        <v>2379</v>
      </c>
      <c r="I1857" t="str" cm="1">
        <f t="array" ref="I1857">_xlfn.IFS(B1857&lt;18.5,"Underweight",AND(B1857&gt;=18.5,B1857&lt;=24.99),"Normalweight",AND(B1857&gt;=25,B1857&lt;=29.99),"Overweight",B1857&gt;=30,"Obesity")</f>
        <v>Overweight</v>
      </c>
      <c r="J1857" t="str" cm="1">
        <f t="array" ref="J1857">_xlfn.IFS(C1857&lt;5.7,"Normal",AND(C1857&gt;=5.7,C1857&lt;=6.49),"Prediabetes",C1857&gt;=6.5,"Diabetes")</f>
        <v>Diabetes</v>
      </c>
    </row>
    <row r="1858" spans="1:10" x14ac:dyDescent="0.3">
      <c r="A1858" t="s">
        <v>511</v>
      </c>
      <c r="B1858" s="8">
        <v>21.26</v>
      </c>
      <c r="C1858">
        <v>5.36</v>
      </c>
      <c r="D1858" t="s">
        <v>2381</v>
      </c>
      <c r="E1858" t="s">
        <v>2379</v>
      </c>
      <c r="F1858" t="s">
        <v>2379</v>
      </c>
      <c r="G1858">
        <v>1</v>
      </c>
      <c r="H1858" t="s">
        <v>2379</v>
      </c>
      <c r="I1858" t="str" cm="1">
        <f t="array" ref="I1858">_xlfn.IFS(B1858&lt;18.5,"Underweight",AND(B1858&gt;=18.5,B1858&lt;=24.99),"Normalweight",AND(B1858&gt;=25,B1858&lt;=29.99),"Overweight",B1858&gt;=30,"Obesity")</f>
        <v>Normalweight</v>
      </c>
      <c r="J1858" t="str" cm="1">
        <f t="array" ref="J1858">_xlfn.IFS(C1858&lt;5.7,"Normal",AND(C1858&gt;=5.7,C1858&lt;=6.49),"Prediabetes",C1858&gt;=6.5,"Diabetes")</f>
        <v>Normal</v>
      </c>
    </row>
    <row r="1859" spans="1:10" x14ac:dyDescent="0.3">
      <c r="A1859" t="s">
        <v>510</v>
      </c>
      <c r="B1859" s="8">
        <v>17.09</v>
      </c>
      <c r="C1859">
        <v>5.69</v>
      </c>
      <c r="D1859" t="s">
        <v>2379</v>
      </c>
      <c r="E1859" t="s">
        <v>2379</v>
      </c>
      <c r="F1859" t="s">
        <v>2379</v>
      </c>
      <c r="G1859">
        <v>0</v>
      </c>
      <c r="H1859" t="s">
        <v>2379</v>
      </c>
      <c r="I1859" t="str" cm="1">
        <f t="array" ref="I1859">_xlfn.IFS(B1859&lt;18.5,"Underweight",AND(B1859&gt;=18.5,B1859&lt;=24.99),"Normalweight",AND(B1859&gt;=25,B1859&lt;=29.99),"Overweight",B1859&gt;=30,"Obesity")</f>
        <v>Underweight</v>
      </c>
      <c r="J1859" t="str" cm="1">
        <f t="array" ref="J1859">_xlfn.IFS(C1859&lt;5.7,"Normal",AND(C1859&gt;=5.7,C1859&lt;=6.49),"Prediabetes",C1859&gt;=6.5,"Diabetes")</f>
        <v>Normal</v>
      </c>
    </row>
    <row r="1860" spans="1:10" x14ac:dyDescent="0.3">
      <c r="A1860" t="s">
        <v>509</v>
      </c>
      <c r="B1860" s="8">
        <v>24.3</v>
      </c>
      <c r="C1860">
        <v>4.9000000000000004</v>
      </c>
      <c r="D1860" t="s">
        <v>2381</v>
      </c>
      <c r="E1860" t="s">
        <v>2379</v>
      </c>
      <c r="F1860" t="s">
        <v>2381</v>
      </c>
      <c r="G1860">
        <v>1</v>
      </c>
      <c r="H1860" t="s">
        <v>2379</v>
      </c>
      <c r="I1860" t="str" cm="1">
        <f t="array" ref="I1860">_xlfn.IFS(B1860&lt;18.5,"Underweight",AND(B1860&gt;=18.5,B1860&lt;=24.99),"Normalweight",AND(B1860&gt;=25,B1860&lt;=29.99),"Overweight",B1860&gt;=30,"Obesity")</f>
        <v>Normalweight</v>
      </c>
      <c r="J1860" t="str" cm="1">
        <f t="array" ref="J1860">_xlfn.IFS(C1860&lt;5.7,"Normal",AND(C1860&gt;=5.7,C1860&lt;=6.49),"Prediabetes",C1860&gt;=6.5,"Diabetes")</f>
        <v>Normal</v>
      </c>
    </row>
    <row r="1861" spans="1:10" x14ac:dyDescent="0.3">
      <c r="A1861" t="s">
        <v>508</v>
      </c>
      <c r="B1861" s="8">
        <v>29.734999999999999</v>
      </c>
      <c r="C1861">
        <v>5.78</v>
      </c>
      <c r="D1861" t="s">
        <v>2379</v>
      </c>
      <c r="E1861" t="s">
        <v>2379</v>
      </c>
      <c r="F1861" t="s">
        <v>2379</v>
      </c>
      <c r="G1861">
        <v>0</v>
      </c>
      <c r="H1861" t="s">
        <v>2379</v>
      </c>
      <c r="I1861" t="str" cm="1">
        <f t="array" ref="I1861">_xlfn.IFS(B1861&lt;18.5,"Underweight",AND(B1861&gt;=18.5,B1861&lt;=24.99),"Normalweight",AND(B1861&gt;=25,B1861&lt;=29.99),"Overweight",B1861&gt;=30,"Obesity")</f>
        <v>Overweight</v>
      </c>
      <c r="J1861" t="str" cm="1">
        <f t="array" ref="J1861">_xlfn.IFS(C1861&lt;5.7,"Normal",AND(C1861&gt;=5.7,C1861&lt;=6.49),"Prediabetes",C1861&gt;=6.5,"Diabetes")</f>
        <v>Prediabetes</v>
      </c>
    </row>
    <row r="1862" spans="1:10" x14ac:dyDescent="0.3">
      <c r="A1862" t="s">
        <v>507</v>
      </c>
      <c r="B1862" s="8">
        <v>29.26</v>
      </c>
      <c r="C1862">
        <v>4.7</v>
      </c>
      <c r="D1862" t="s">
        <v>2379</v>
      </c>
      <c r="E1862" t="s">
        <v>2379</v>
      </c>
      <c r="F1862" t="s">
        <v>2379</v>
      </c>
      <c r="G1862">
        <v>0</v>
      </c>
      <c r="H1862" t="s">
        <v>2379</v>
      </c>
      <c r="I1862" t="str" cm="1">
        <f t="array" ref="I1862">_xlfn.IFS(B1862&lt;18.5,"Underweight",AND(B1862&gt;=18.5,B1862&lt;=24.99),"Normalweight",AND(B1862&gt;=25,B1862&lt;=29.99),"Overweight",B1862&gt;=30,"Obesity")</f>
        <v>Overweight</v>
      </c>
      <c r="J1862" t="str" cm="1">
        <f t="array" ref="J1862">_xlfn.IFS(C1862&lt;5.7,"Normal",AND(C1862&gt;=5.7,C1862&lt;=6.49),"Prediabetes",C1862&gt;=6.5,"Diabetes")</f>
        <v>Normal</v>
      </c>
    </row>
    <row r="1863" spans="1:10" x14ac:dyDescent="0.3">
      <c r="A1863" t="s">
        <v>506</v>
      </c>
      <c r="B1863" s="8">
        <v>33</v>
      </c>
      <c r="C1863">
        <v>6.28</v>
      </c>
      <c r="D1863" t="s">
        <v>2379</v>
      </c>
      <c r="E1863" t="s">
        <v>2379</v>
      </c>
      <c r="F1863" t="s">
        <v>2379</v>
      </c>
      <c r="G1863">
        <v>0</v>
      </c>
      <c r="H1863" t="s">
        <v>2379</v>
      </c>
      <c r="I1863" t="str" cm="1">
        <f t="array" ref="I1863">_xlfn.IFS(B1863&lt;18.5,"Underweight",AND(B1863&gt;=18.5,B1863&lt;=24.99),"Normalweight",AND(B1863&gt;=25,B1863&lt;=29.99),"Overweight",B1863&gt;=30,"Obesity")</f>
        <v>Obesity</v>
      </c>
      <c r="J1863" t="str" cm="1">
        <f t="array" ref="J1863">_xlfn.IFS(C1863&lt;5.7,"Normal",AND(C1863&gt;=5.7,C1863&lt;=6.49),"Prediabetes",C1863&gt;=6.5,"Diabetes")</f>
        <v>Prediabetes</v>
      </c>
    </row>
    <row r="1864" spans="1:10" x14ac:dyDescent="0.3">
      <c r="A1864" t="s">
        <v>505</v>
      </c>
      <c r="B1864" s="8">
        <v>31.065000000000001</v>
      </c>
      <c r="C1864">
        <v>4.2300000000000004</v>
      </c>
      <c r="D1864" t="s">
        <v>2379</v>
      </c>
      <c r="E1864" t="s">
        <v>2379</v>
      </c>
      <c r="F1864" t="s">
        <v>2379</v>
      </c>
      <c r="G1864">
        <v>0</v>
      </c>
      <c r="H1864" t="s">
        <v>2379</v>
      </c>
      <c r="I1864" t="str" cm="1">
        <f t="array" ref="I1864">_xlfn.IFS(B1864&lt;18.5,"Underweight",AND(B1864&gt;=18.5,B1864&lt;=24.99),"Normalweight",AND(B1864&gt;=25,B1864&lt;=29.99),"Overweight",B1864&gt;=30,"Obesity")</f>
        <v>Obesity</v>
      </c>
      <c r="J1864" t="str" cm="1">
        <f t="array" ref="J1864">_xlfn.IFS(C1864&lt;5.7,"Normal",AND(C1864&gt;=5.7,C1864&lt;=6.49),"Prediabetes",C1864&gt;=6.5,"Diabetes")</f>
        <v>Normal</v>
      </c>
    </row>
    <row r="1865" spans="1:10" x14ac:dyDescent="0.3">
      <c r="A1865" t="s">
        <v>504</v>
      </c>
      <c r="B1865" s="8">
        <v>26.51</v>
      </c>
      <c r="C1865">
        <v>6.17</v>
      </c>
      <c r="D1865" t="s">
        <v>2379</v>
      </c>
      <c r="E1865" t="s">
        <v>2379</v>
      </c>
      <c r="F1865" t="s">
        <v>2379</v>
      </c>
      <c r="G1865">
        <v>0</v>
      </c>
      <c r="H1865" t="s">
        <v>2379</v>
      </c>
      <c r="I1865" t="str" cm="1">
        <f t="array" ref="I1865">_xlfn.IFS(B1865&lt;18.5,"Underweight",AND(B1865&gt;=18.5,B1865&lt;=24.99),"Normalweight",AND(B1865&gt;=25,B1865&lt;=29.99),"Overweight",B1865&gt;=30,"Obesity")</f>
        <v>Overweight</v>
      </c>
      <c r="J1865" t="str" cm="1">
        <f t="array" ref="J1865">_xlfn.IFS(C1865&lt;5.7,"Normal",AND(C1865&gt;=5.7,C1865&lt;=6.49),"Prediabetes",C1865&gt;=6.5,"Diabetes")</f>
        <v>Prediabetes</v>
      </c>
    </row>
    <row r="1866" spans="1:10" x14ac:dyDescent="0.3">
      <c r="A1866" t="s">
        <v>503</v>
      </c>
      <c r="B1866" s="8">
        <v>28.88</v>
      </c>
      <c r="C1866">
        <v>4.96</v>
      </c>
      <c r="D1866" t="s">
        <v>2379</v>
      </c>
      <c r="E1866" t="s">
        <v>2379</v>
      </c>
      <c r="F1866" t="s">
        <v>2379</v>
      </c>
      <c r="G1866">
        <v>0</v>
      </c>
      <c r="H1866" t="s">
        <v>2379</v>
      </c>
      <c r="I1866" t="str" cm="1">
        <f t="array" ref="I1866">_xlfn.IFS(B1866&lt;18.5,"Underweight",AND(B1866&gt;=18.5,B1866&lt;=24.99),"Normalweight",AND(B1866&gt;=25,B1866&lt;=29.99),"Overweight",B1866&gt;=30,"Obesity")</f>
        <v>Overweight</v>
      </c>
      <c r="J1866" t="str" cm="1">
        <f t="array" ref="J1866">_xlfn.IFS(C1866&lt;5.7,"Normal",AND(C1866&gt;=5.7,C1866&lt;=6.49),"Prediabetes",C1866&gt;=6.5,"Diabetes")</f>
        <v>Normal</v>
      </c>
    </row>
    <row r="1867" spans="1:10" x14ac:dyDescent="0.3">
      <c r="A1867" t="s">
        <v>502</v>
      </c>
      <c r="B1867" s="8">
        <v>35.814999999999998</v>
      </c>
      <c r="C1867">
        <v>5.1100000000000003</v>
      </c>
      <c r="D1867" t="s">
        <v>2381</v>
      </c>
      <c r="E1867" t="s">
        <v>2379</v>
      </c>
      <c r="F1867" t="s">
        <v>2379</v>
      </c>
      <c r="G1867">
        <v>1</v>
      </c>
      <c r="H1867" t="s">
        <v>2379</v>
      </c>
      <c r="I1867" t="str" cm="1">
        <f t="array" ref="I1867">_xlfn.IFS(B1867&lt;18.5,"Underweight",AND(B1867&gt;=18.5,B1867&lt;=24.99),"Normalweight",AND(B1867&gt;=25,B1867&lt;=29.99),"Overweight",B1867&gt;=30,"Obesity")</f>
        <v>Obesity</v>
      </c>
      <c r="J1867" t="str" cm="1">
        <f t="array" ref="J1867">_xlfn.IFS(C1867&lt;5.7,"Normal",AND(C1867&gt;=5.7,C1867&lt;=6.49),"Prediabetes",C1867&gt;=6.5,"Diabetes")</f>
        <v>Normal</v>
      </c>
    </row>
    <row r="1868" spans="1:10" x14ac:dyDescent="0.3">
      <c r="A1868" t="s">
        <v>501</v>
      </c>
      <c r="B1868" s="8">
        <v>21.28</v>
      </c>
      <c r="C1868">
        <v>4.05</v>
      </c>
      <c r="D1868" t="s">
        <v>2379</v>
      </c>
      <c r="E1868" t="s">
        <v>2380</v>
      </c>
      <c r="F1868" t="s">
        <v>2379</v>
      </c>
      <c r="G1868">
        <v>1</v>
      </c>
      <c r="H1868" t="s">
        <v>2379</v>
      </c>
      <c r="I1868" t="str" cm="1">
        <f t="array" ref="I1868">_xlfn.IFS(B1868&lt;18.5,"Underweight",AND(B1868&gt;=18.5,B1868&lt;=24.99),"Normalweight",AND(B1868&gt;=25,B1868&lt;=29.99),"Overweight",B1868&gt;=30,"Obesity")</f>
        <v>Normalweight</v>
      </c>
      <c r="J1868" t="str" cm="1">
        <f t="array" ref="J1868">_xlfn.IFS(C1868&lt;5.7,"Normal",AND(C1868&gt;=5.7,C1868&lt;=6.49),"Prediabetes",C1868&gt;=6.5,"Diabetes")</f>
        <v>Normal</v>
      </c>
    </row>
    <row r="1869" spans="1:10" x14ac:dyDescent="0.3">
      <c r="A1869" t="s">
        <v>500</v>
      </c>
      <c r="B1869" s="8">
        <v>33.81</v>
      </c>
      <c r="C1869">
        <v>6.49</v>
      </c>
      <c r="D1869" t="s">
        <v>2379</v>
      </c>
      <c r="E1869" t="s">
        <v>2379</v>
      </c>
      <c r="F1869" t="s">
        <v>2381</v>
      </c>
      <c r="G1869">
        <v>1</v>
      </c>
      <c r="H1869" t="s">
        <v>2379</v>
      </c>
      <c r="I1869" t="str" cm="1">
        <f t="array" ref="I1869">_xlfn.IFS(B1869&lt;18.5,"Underweight",AND(B1869&gt;=18.5,B1869&lt;=24.99),"Normalweight",AND(B1869&gt;=25,B1869&lt;=29.99),"Overweight",B1869&gt;=30,"Obesity")</f>
        <v>Obesity</v>
      </c>
      <c r="J1869" t="str" cm="1">
        <f t="array" ref="J1869">_xlfn.IFS(C1869&lt;5.7,"Normal",AND(C1869&gt;=5.7,C1869&lt;=6.49),"Prediabetes",C1869&gt;=6.5,"Diabetes")</f>
        <v>Prediabetes</v>
      </c>
    </row>
    <row r="1870" spans="1:10" x14ac:dyDescent="0.3">
      <c r="A1870" t="s">
        <v>499</v>
      </c>
      <c r="B1870" s="8">
        <v>44.22</v>
      </c>
      <c r="C1870">
        <v>4.1900000000000004</v>
      </c>
      <c r="D1870" t="s">
        <v>2379</v>
      </c>
      <c r="E1870" t="s">
        <v>2379</v>
      </c>
      <c r="F1870" t="s">
        <v>2379</v>
      </c>
      <c r="G1870">
        <v>1</v>
      </c>
      <c r="H1870" t="s">
        <v>2379</v>
      </c>
      <c r="I1870" t="str" cm="1">
        <f t="array" ref="I1870">_xlfn.IFS(B1870&lt;18.5,"Underweight",AND(B1870&gt;=18.5,B1870&lt;=24.99),"Normalweight",AND(B1870&gt;=25,B1870&lt;=29.99),"Overweight",B1870&gt;=30,"Obesity")</f>
        <v>Obesity</v>
      </c>
      <c r="J1870" t="str" cm="1">
        <f t="array" ref="J1870">_xlfn.IFS(C1870&lt;5.7,"Normal",AND(C1870&gt;=5.7,C1870&lt;=6.49),"Prediabetes",C1870&gt;=6.5,"Diabetes")</f>
        <v>Normal</v>
      </c>
    </row>
    <row r="1871" spans="1:10" x14ac:dyDescent="0.3">
      <c r="A1871" t="s">
        <v>498</v>
      </c>
      <c r="B1871" s="8">
        <v>15.46</v>
      </c>
      <c r="C1871">
        <v>4.99</v>
      </c>
      <c r="D1871" t="s">
        <v>2381</v>
      </c>
      <c r="E1871" t="s">
        <v>2379</v>
      </c>
      <c r="F1871" t="s">
        <v>2381</v>
      </c>
      <c r="G1871">
        <v>1</v>
      </c>
      <c r="H1871" t="s">
        <v>2379</v>
      </c>
      <c r="I1871" t="str" cm="1">
        <f t="array" ref="I1871">_xlfn.IFS(B1871&lt;18.5,"Underweight",AND(B1871&gt;=18.5,B1871&lt;=24.99),"Normalweight",AND(B1871&gt;=25,B1871&lt;=29.99),"Overweight",B1871&gt;=30,"Obesity")</f>
        <v>Underweight</v>
      </c>
      <c r="J1871" t="str" cm="1">
        <f t="array" ref="J1871">_xlfn.IFS(C1871&lt;5.7,"Normal",AND(C1871&gt;=5.7,C1871&lt;=6.49),"Prediabetes",C1871&gt;=6.5,"Diabetes")</f>
        <v>Normal</v>
      </c>
    </row>
    <row r="1872" spans="1:10" x14ac:dyDescent="0.3">
      <c r="A1872" t="s">
        <v>497</v>
      </c>
      <c r="B1872" s="8">
        <v>30.3</v>
      </c>
      <c r="C1872">
        <v>4.7699999999999996</v>
      </c>
      <c r="D1872" t="s">
        <v>2381</v>
      </c>
      <c r="E1872" t="s">
        <v>2379</v>
      </c>
      <c r="F1872" t="s">
        <v>2379</v>
      </c>
      <c r="G1872">
        <v>1</v>
      </c>
      <c r="H1872" t="s">
        <v>2379</v>
      </c>
      <c r="I1872" t="str" cm="1">
        <f t="array" ref="I1872">_xlfn.IFS(B1872&lt;18.5,"Underweight",AND(B1872&gt;=18.5,B1872&lt;=24.99),"Normalweight",AND(B1872&gt;=25,B1872&lt;=29.99),"Overweight",B1872&gt;=30,"Obesity")</f>
        <v>Obesity</v>
      </c>
      <c r="J1872" t="str" cm="1">
        <f t="array" ref="J1872">_xlfn.IFS(C1872&lt;5.7,"Normal",AND(C1872&gt;=5.7,C1872&lt;=6.49),"Prediabetes",C1872&gt;=6.5,"Diabetes")</f>
        <v>Normal</v>
      </c>
    </row>
    <row r="1873" spans="1:10" x14ac:dyDescent="0.3">
      <c r="A1873" t="s">
        <v>496</v>
      </c>
      <c r="B1873" s="8">
        <v>16.670000000000002</v>
      </c>
      <c r="C1873">
        <v>5.46</v>
      </c>
      <c r="D1873" t="s">
        <v>2379</v>
      </c>
      <c r="E1873" t="s">
        <v>2379</v>
      </c>
      <c r="F1873" t="s">
        <v>2379</v>
      </c>
      <c r="G1873">
        <v>0</v>
      </c>
      <c r="H1873" t="s">
        <v>2379</v>
      </c>
      <c r="I1873" t="str" cm="1">
        <f t="array" ref="I1873">_xlfn.IFS(B1873&lt;18.5,"Underweight",AND(B1873&gt;=18.5,B1873&lt;=24.99),"Normalweight",AND(B1873&gt;=25,B1873&lt;=29.99),"Overweight",B1873&gt;=30,"Obesity")</f>
        <v>Underweight</v>
      </c>
      <c r="J1873" t="str" cm="1">
        <f t="array" ref="J1873">_xlfn.IFS(C1873&lt;5.7,"Normal",AND(C1873&gt;=5.7,C1873&lt;=6.49),"Prediabetes",C1873&gt;=6.5,"Diabetes")</f>
        <v>Normal</v>
      </c>
    </row>
    <row r="1874" spans="1:10" x14ac:dyDescent="0.3">
      <c r="A1874" t="s">
        <v>495</v>
      </c>
      <c r="B1874" s="8">
        <v>28.594999999999999</v>
      </c>
      <c r="C1874">
        <v>5.43</v>
      </c>
      <c r="D1874" t="s">
        <v>2379</v>
      </c>
      <c r="E1874" t="s">
        <v>2379</v>
      </c>
      <c r="F1874" t="s">
        <v>2379</v>
      </c>
      <c r="G1874">
        <v>0</v>
      </c>
      <c r="H1874" t="s">
        <v>2379</v>
      </c>
      <c r="I1874" t="str" cm="1">
        <f t="array" ref="I1874">_xlfn.IFS(B1874&lt;18.5,"Underweight",AND(B1874&gt;=18.5,B1874&lt;=24.99),"Normalweight",AND(B1874&gt;=25,B1874&lt;=29.99),"Overweight",B1874&gt;=30,"Obesity")</f>
        <v>Overweight</v>
      </c>
      <c r="J1874" t="str" cm="1">
        <f t="array" ref="J1874">_xlfn.IFS(C1874&lt;5.7,"Normal",AND(C1874&gt;=5.7,C1874&lt;=6.49),"Prediabetes",C1874&gt;=6.5,"Diabetes")</f>
        <v>Normal</v>
      </c>
    </row>
    <row r="1875" spans="1:10" x14ac:dyDescent="0.3">
      <c r="A1875" t="s">
        <v>494</v>
      </c>
      <c r="B1875" s="8">
        <v>25.934999999999999</v>
      </c>
      <c r="C1875">
        <v>4.29</v>
      </c>
      <c r="D1875" t="s">
        <v>2379</v>
      </c>
      <c r="E1875" t="s">
        <v>2379</v>
      </c>
      <c r="F1875" t="s">
        <v>2379</v>
      </c>
      <c r="G1875">
        <v>0</v>
      </c>
      <c r="H1875" t="s">
        <v>2379</v>
      </c>
      <c r="I1875" t="str" cm="1">
        <f t="array" ref="I1875">_xlfn.IFS(B1875&lt;18.5,"Underweight",AND(B1875&gt;=18.5,B1875&lt;=24.99),"Normalweight",AND(B1875&gt;=25,B1875&lt;=29.99),"Overweight",B1875&gt;=30,"Obesity")</f>
        <v>Overweight</v>
      </c>
      <c r="J1875" t="str" cm="1">
        <f t="array" ref="J1875">_xlfn.IFS(C1875&lt;5.7,"Normal",AND(C1875&gt;=5.7,C1875&lt;=6.49),"Prediabetes",C1875&gt;=6.5,"Diabetes")</f>
        <v>Normal</v>
      </c>
    </row>
    <row r="1876" spans="1:10" x14ac:dyDescent="0.3">
      <c r="A1876" t="s">
        <v>493</v>
      </c>
      <c r="B1876" s="8">
        <v>27.645</v>
      </c>
      <c r="C1876">
        <v>5.25</v>
      </c>
      <c r="D1876" t="s">
        <v>2379</v>
      </c>
      <c r="E1876" t="s">
        <v>2379</v>
      </c>
      <c r="F1876" t="s">
        <v>2379</v>
      </c>
      <c r="G1876">
        <v>1</v>
      </c>
      <c r="H1876" t="s">
        <v>2379</v>
      </c>
      <c r="I1876" t="str" cm="1">
        <f t="array" ref="I1876">_xlfn.IFS(B1876&lt;18.5,"Underweight",AND(B1876&gt;=18.5,B1876&lt;=24.99),"Normalweight",AND(B1876&gt;=25,B1876&lt;=29.99),"Overweight",B1876&gt;=30,"Obesity")</f>
        <v>Overweight</v>
      </c>
      <c r="J1876" t="str" cm="1">
        <f t="array" ref="J1876">_xlfn.IFS(C1876&lt;5.7,"Normal",AND(C1876&gt;=5.7,C1876&lt;=6.49),"Prediabetes",C1876&gt;=6.5,"Diabetes")</f>
        <v>Normal</v>
      </c>
    </row>
    <row r="1877" spans="1:10" x14ac:dyDescent="0.3">
      <c r="A1877" t="s">
        <v>492</v>
      </c>
      <c r="B1877" s="8">
        <v>30.1</v>
      </c>
      <c r="C1877">
        <v>4.04</v>
      </c>
      <c r="D1877" t="s">
        <v>2379</v>
      </c>
      <c r="E1877" t="s">
        <v>2379</v>
      </c>
      <c r="F1877" t="s">
        <v>2379</v>
      </c>
      <c r="G1877">
        <v>1</v>
      </c>
      <c r="H1877" t="s">
        <v>2379</v>
      </c>
      <c r="I1877" t="str" cm="1">
        <f t="array" ref="I1877">_xlfn.IFS(B1877&lt;18.5,"Underweight",AND(B1877&gt;=18.5,B1877&lt;=24.99),"Normalweight",AND(B1877&gt;=25,B1877&lt;=29.99),"Overweight",B1877&gt;=30,"Obesity")</f>
        <v>Obesity</v>
      </c>
      <c r="J1877" t="str" cm="1">
        <f t="array" ref="J1877">_xlfn.IFS(C1877&lt;5.7,"Normal",AND(C1877&gt;=5.7,C1877&lt;=6.49),"Prediabetes",C1877&gt;=6.5,"Diabetes")</f>
        <v>Normal</v>
      </c>
    </row>
    <row r="1878" spans="1:10" x14ac:dyDescent="0.3">
      <c r="A1878" t="s">
        <v>491</v>
      </c>
      <c r="B1878" s="8">
        <v>26.79</v>
      </c>
      <c r="C1878">
        <v>5</v>
      </c>
      <c r="D1878" t="s">
        <v>2381</v>
      </c>
      <c r="E1878" t="s">
        <v>2379</v>
      </c>
      <c r="F1878" t="s">
        <v>2381</v>
      </c>
      <c r="G1878">
        <v>1</v>
      </c>
      <c r="H1878" t="s">
        <v>2379</v>
      </c>
      <c r="I1878" t="str" cm="1">
        <f t="array" ref="I1878">_xlfn.IFS(B1878&lt;18.5,"Underweight",AND(B1878&gt;=18.5,B1878&lt;=24.99),"Normalweight",AND(B1878&gt;=25,B1878&lt;=29.99),"Overweight",B1878&gt;=30,"Obesity")</f>
        <v>Overweight</v>
      </c>
      <c r="J1878" t="str" cm="1">
        <f t="array" ref="J1878">_xlfn.IFS(C1878&lt;5.7,"Normal",AND(C1878&gt;=5.7,C1878&lt;=6.49),"Prediabetes",C1878&gt;=6.5,"Diabetes")</f>
        <v>Normal</v>
      </c>
    </row>
    <row r="1879" spans="1:10" x14ac:dyDescent="0.3">
      <c r="A1879" t="s">
        <v>490</v>
      </c>
      <c r="B1879" s="8">
        <v>27.1</v>
      </c>
      <c r="C1879">
        <v>4.01</v>
      </c>
      <c r="D1879" t="s">
        <v>2381</v>
      </c>
      <c r="E1879" t="s">
        <v>2379</v>
      </c>
      <c r="F1879" t="s">
        <v>2379</v>
      </c>
      <c r="G1879">
        <v>1</v>
      </c>
      <c r="H1879" t="s">
        <v>2379</v>
      </c>
      <c r="I1879" t="str" cm="1">
        <f t="array" ref="I1879">_xlfn.IFS(B1879&lt;18.5,"Underweight",AND(B1879&gt;=18.5,B1879&lt;=24.99),"Normalweight",AND(B1879&gt;=25,B1879&lt;=29.99),"Overweight",B1879&gt;=30,"Obesity")</f>
        <v>Overweight</v>
      </c>
      <c r="J1879" t="str" cm="1">
        <f t="array" ref="J1879">_xlfn.IFS(C1879&lt;5.7,"Normal",AND(C1879&gt;=5.7,C1879&lt;=6.49),"Prediabetes",C1879&gt;=6.5,"Diabetes")</f>
        <v>Normal</v>
      </c>
    </row>
    <row r="1880" spans="1:10" x14ac:dyDescent="0.3">
      <c r="A1880" t="s">
        <v>489</v>
      </c>
      <c r="B1880" s="8">
        <v>24.31</v>
      </c>
      <c r="C1880">
        <v>5.4</v>
      </c>
      <c r="D1880" t="s">
        <v>2379</v>
      </c>
      <c r="E1880" t="s">
        <v>2379</v>
      </c>
      <c r="F1880" t="s">
        <v>2379</v>
      </c>
      <c r="G1880">
        <v>0</v>
      </c>
      <c r="H1880" t="s">
        <v>2379</v>
      </c>
      <c r="I1880" t="str" cm="1">
        <f t="array" ref="I1880">_xlfn.IFS(B1880&lt;18.5,"Underweight",AND(B1880&gt;=18.5,B1880&lt;=24.99),"Normalweight",AND(B1880&gt;=25,B1880&lt;=29.99),"Overweight",B1880&gt;=30,"Obesity")</f>
        <v>Normalweight</v>
      </c>
      <c r="J1880" t="str" cm="1">
        <f t="array" ref="J1880">_xlfn.IFS(C1880&lt;5.7,"Normal",AND(C1880&gt;=5.7,C1880&lt;=6.49),"Prediabetes",C1880&gt;=6.5,"Diabetes")</f>
        <v>Normal</v>
      </c>
    </row>
    <row r="1881" spans="1:10" x14ac:dyDescent="0.3">
      <c r="A1881" t="s">
        <v>488</v>
      </c>
      <c r="B1881" s="8">
        <v>15.53</v>
      </c>
      <c r="C1881">
        <v>5.81</v>
      </c>
      <c r="D1881" t="s">
        <v>2379</v>
      </c>
      <c r="E1881" t="s">
        <v>2379</v>
      </c>
      <c r="F1881" t="s">
        <v>2379</v>
      </c>
      <c r="G1881">
        <v>1</v>
      </c>
      <c r="H1881" t="s">
        <v>2379</v>
      </c>
      <c r="I1881" t="str" cm="1">
        <f t="array" ref="I1881">_xlfn.IFS(B1881&lt;18.5,"Underweight",AND(B1881&gt;=18.5,B1881&lt;=24.99),"Normalweight",AND(B1881&gt;=25,B1881&lt;=29.99),"Overweight",B1881&gt;=30,"Obesity")</f>
        <v>Underweight</v>
      </c>
      <c r="J1881" t="str" cm="1">
        <f t="array" ref="J1881">_xlfn.IFS(C1881&lt;5.7,"Normal",AND(C1881&gt;=5.7,C1881&lt;=6.49),"Prediabetes",C1881&gt;=6.5,"Diabetes")</f>
        <v>Prediabetes</v>
      </c>
    </row>
    <row r="1882" spans="1:10" x14ac:dyDescent="0.3">
      <c r="A1882" t="s">
        <v>487</v>
      </c>
      <c r="B1882" s="8">
        <v>30.7</v>
      </c>
      <c r="C1882">
        <v>5.82</v>
      </c>
      <c r="D1882" t="s">
        <v>2379</v>
      </c>
      <c r="E1882" t="s">
        <v>2379</v>
      </c>
      <c r="F1882" t="s">
        <v>2379</v>
      </c>
      <c r="G1882">
        <v>1</v>
      </c>
      <c r="H1882" t="s">
        <v>2379</v>
      </c>
      <c r="I1882" t="str" cm="1">
        <f t="array" ref="I1882">_xlfn.IFS(B1882&lt;18.5,"Underweight",AND(B1882&gt;=18.5,B1882&lt;=24.99),"Normalweight",AND(B1882&gt;=25,B1882&lt;=29.99),"Overweight",B1882&gt;=30,"Obesity")</f>
        <v>Obesity</v>
      </c>
      <c r="J1882" t="str" cm="1">
        <f t="array" ref="J1882">_xlfn.IFS(C1882&lt;5.7,"Normal",AND(C1882&gt;=5.7,C1882&lt;=6.49),"Prediabetes",C1882&gt;=6.5,"Diabetes")</f>
        <v>Prediabetes</v>
      </c>
    </row>
    <row r="1883" spans="1:10" x14ac:dyDescent="0.3">
      <c r="A1883" t="s">
        <v>486</v>
      </c>
      <c r="B1883" s="8">
        <v>33.33</v>
      </c>
      <c r="C1883">
        <v>4.82</v>
      </c>
      <c r="D1883" t="s">
        <v>2379</v>
      </c>
      <c r="E1883" t="s">
        <v>2379</v>
      </c>
      <c r="F1883" t="s">
        <v>2379</v>
      </c>
      <c r="G1883">
        <v>1</v>
      </c>
      <c r="H1883" t="s">
        <v>2379</v>
      </c>
      <c r="I1883" t="str" cm="1">
        <f t="array" ref="I1883">_xlfn.IFS(B1883&lt;18.5,"Underweight",AND(B1883&gt;=18.5,B1883&lt;=24.99),"Normalweight",AND(B1883&gt;=25,B1883&lt;=29.99),"Overweight",B1883&gt;=30,"Obesity")</f>
        <v>Obesity</v>
      </c>
      <c r="J1883" t="str" cm="1">
        <f t="array" ref="J1883">_xlfn.IFS(C1883&lt;5.7,"Normal",AND(C1883&gt;=5.7,C1883&lt;=6.49),"Prediabetes",C1883&gt;=6.5,"Diabetes")</f>
        <v>Normal</v>
      </c>
    </row>
    <row r="1884" spans="1:10" x14ac:dyDescent="0.3">
      <c r="A1884" t="s">
        <v>485</v>
      </c>
      <c r="B1884" s="8">
        <v>32.4</v>
      </c>
      <c r="C1884">
        <v>5.08</v>
      </c>
      <c r="D1884" t="s">
        <v>2379</v>
      </c>
      <c r="E1884" t="s">
        <v>2379</v>
      </c>
      <c r="F1884" t="s">
        <v>2379</v>
      </c>
      <c r="G1884">
        <v>1</v>
      </c>
      <c r="H1884" t="s">
        <v>2379</v>
      </c>
      <c r="I1884" t="str" cm="1">
        <f t="array" ref="I1884">_xlfn.IFS(B1884&lt;18.5,"Underweight",AND(B1884&gt;=18.5,B1884&lt;=24.99),"Normalweight",AND(B1884&gt;=25,B1884&lt;=29.99),"Overweight",B1884&gt;=30,"Obesity")</f>
        <v>Obesity</v>
      </c>
      <c r="J1884" t="str" cm="1">
        <f t="array" ref="J1884">_xlfn.IFS(C1884&lt;5.7,"Normal",AND(C1884&gt;=5.7,C1884&lt;=6.49),"Prediabetes",C1884&gt;=6.5,"Diabetes")</f>
        <v>Normal</v>
      </c>
    </row>
    <row r="1885" spans="1:10" x14ac:dyDescent="0.3">
      <c r="A1885" t="s">
        <v>484</v>
      </c>
      <c r="B1885" s="8">
        <v>27.93</v>
      </c>
      <c r="C1885">
        <v>5.59</v>
      </c>
      <c r="D1885" t="s">
        <v>2379</v>
      </c>
      <c r="E1885" t="s">
        <v>2379</v>
      </c>
      <c r="F1885" t="s">
        <v>2379</v>
      </c>
      <c r="G1885">
        <v>1</v>
      </c>
      <c r="H1885" t="s">
        <v>2379</v>
      </c>
      <c r="I1885" t="str" cm="1">
        <f t="array" ref="I1885">_xlfn.IFS(B1885&lt;18.5,"Underweight",AND(B1885&gt;=18.5,B1885&lt;=24.99),"Normalweight",AND(B1885&gt;=25,B1885&lt;=29.99),"Overweight",B1885&gt;=30,"Obesity")</f>
        <v>Overweight</v>
      </c>
      <c r="J1885" t="str" cm="1">
        <f t="array" ref="J1885">_xlfn.IFS(C1885&lt;5.7,"Normal",AND(C1885&gt;=5.7,C1885&lt;=6.49),"Prediabetes",C1885&gt;=6.5,"Diabetes")</f>
        <v>Normal</v>
      </c>
    </row>
    <row r="1886" spans="1:10" x14ac:dyDescent="0.3">
      <c r="A1886" t="s">
        <v>483</v>
      </c>
      <c r="B1886" s="8">
        <v>21.754999999999999</v>
      </c>
      <c r="C1886">
        <v>5.12</v>
      </c>
      <c r="D1886" t="s">
        <v>2379</v>
      </c>
      <c r="E1886" t="s">
        <v>2379</v>
      </c>
      <c r="F1886" t="s">
        <v>2379</v>
      </c>
      <c r="G1886">
        <v>0</v>
      </c>
      <c r="H1886" t="s">
        <v>2379</v>
      </c>
      <c r="I1886" t="str" cm="1">
        <f t="array" ref="I1886">_xlfn.IFS(B1886&lt;18.5,"Underweight",AND(B1886&gt;=18.5,B1886&lt;=24.99),"Normalweight",AND(B1886&gt;=25,B1886&lt;=29.99),"Overweight",B1886&gt;=30,"Obesity")</f>
        <v>Normalweight</v>
      </c>
      <c r="J1886" t="str" cm="1">
        <f t="array" ref="J1886">_xlfn.IFS(C1886&lt;5.7,"Normal",AND(C1886&gt;=5.7,C1886&lt;=6.49),"Prediabetes",C1886&gt;=6.5,"Diabetes")</f>
        <v>Normal</v>
      </c>
    </row>
    <row r="1887" spans="1:10" x14ac:dyDescent="0.3">
      <c r="A1887" t="s">
        <v>482</v>
      </c>
      <c r="B1887" s="8">
        <v>25.934999999999999</v>
      </c>
      <c r="C1887">
        <v>4.95</v>
      </c>
      <c r="D1887" t="s">
        <v>2379</v>
      </c>
      <c r="E1887" t="s">
        <v>2379</v>
      </c>
      <c r="F1887" t="s">
        <v>2379</v>
      </c>
      <c r="G1887">
        <v>0</v>
      </c>
      <c r="H1887" t="s">
        <v>2379</v>
      </c>
      <c r="I1887" t="str" cm="1">
        <f t="array" ref="I1887">_xlfn.IFS(B1887&lt;18.5,"Underweight",AND(B1887&gt;=18.5,B1887&lt;=24.99),"Normalweight",AND(B1887&gt;=25,B1887&lt;=29.99),"Overweight",B1887&gt;=30,"Obesity")</f>
        <v>Overweight</v>
      </c>
      <c r="J1887" t="str" cm="1">
        <f t="array" ref="J1887">_xlfn.IFS(C1887&lt;5.7,"Normal",AND(C1887&gt;=5.7,C1887&lt;=6.49),"Prediabetes",C1887&gt;=6.5,"Diabetes")</f>
        <v>Normal</v>
      </c>
    </row>
    <row r="1888" spans="1:10" x14ac:dyDescent="0.3">
      <c r="A1888" t="s">
        <v>481</v>
      </c>
      <c r="B1888" s="8">
        <v>31.5</v>
      </c>
      <c r="C1888">
        <v>6.16</v>
      </c>
      <c r="D1888" t="s">
        <v>2379</v>
      </c>
      <c r="E1888" t="s">
        <v>2379</v>
      </c>
      <c r="F1888" t="s">
        <v>2379</v>
      </c>
      <c r="G1888">
        <v>0</v>
      </c>
      <c r="H1888" t="s">
        <v>2379</v>
      </c>
      <c r="I1888" t="str" cm="1">
        <f t="array" ref="I1888">_xlfn.IFS(B1888&lt;18.5,"Underweight",AND(B1888&gt;=18.5,B1888&lt;=24.99),"Normalweight",AND(B1888&gt;=25,B1888&lt;=29.99),"Overweight",B1888&gt;=30,"Obesity")</f>
        <v>Obesity</v>
      </c>
      <c r="J1888" t="str" cm="1">
        <f t="array" ref="J1888">_xlfn.IFS(C1888&lt;5.7,"Normal",AND(C1888&gt;=5.7,C1888&lt;=6.49),"Prediabetes",C1888&gt;=6.5,"Diabetes")</f>
        <v>Prediabetes</v>
      </c>
    </row>
    <row r="1889" spans="1:10" x14ac:dyDescent="0.3">
      <c r="A1889" t="s">
        <v>480</v>
      </c>
      <c r="B1889" s="8">
        <v>30.03</v>
      </c>
      <c r="C1889">
        <v>6.41</v>
      </c>
      <c r="D1889" t="s">
        <v>2379</v>
      </c>
      <c r="E1889" t="s">
        <v>2379</v>
      </c>
      <c r="F1889" t="s">
        <v>2379</v>
      </c>
      <c r="G1889">
        <v>0</v>
      </c>
      <c r="H1889" t="s">
        <v>2379</v>
      </c>
      <c r="I1889" t="str" cm="1">
        <f t="array" ref="I1889">_xlfn.IFS(B1889&lt;18.5,"Underweight",AND(B1889&gt;=18.5,B1889&lt;=24.99),"Normalweight",AND(B1889&gt;=25,B1889&lt;=29.99),"Overweight",B1889&gt;=30,"Obesity")</f>
        <v>Obesity</v>
      </c>
      <c r="J1889" t="str" cm="1">
        <f t="array" ref="J1889">_xlfn.IFS(C1889&lt;5.7,"Normal",AND(C1889&gt;=5.7,C1889&lt;=6.49),"Prediabetes",C1889&gt;=6.5,"Diabetes")</f>
        <v>Prediabetes</v>
      </c>
    </row>
    <row r="1890" spans="1:10" x14ac:dyDescent="0.3">
      <c r="A1890" t="s">
        <v>479</v>
      </c>
      <c r="B1890" s="8">
        <v>33.479999999999997</v>
      </c>
      <c r="C1890">
        <v>8.94</v>
      </c>
      <c r="D1890" t="s">
        <v>2379</v>
      </c>
      <c r="E1890" t="s">
        <v>2379</v>
      </c>
      <c r="F1890" t="s">
        <v>2379</v>
      </c>
      <c r="G1890">
        <v>0</v>
      </c>
      <c r="H1890" t="s">
        <v>2379</v>
      </c>
      <c r="I1890" t="str" cm="1">
        <f t="array" ref="I1890">_xlfn.IFS(B1890&lt;18.5,"Underweight",AND(B1890&gt;=18.5,B1890&lt;=24.99),"Normalweight",AND(B1890&gt;=25,B1890&lt;=29.99),"Overweight",B1890&gt;=30,"Obesity")</f>
        <v>Obesity</v>
      </c>
      <c r="J1890" t="str" cm="1">
        <f t="array" ref="J1890">_xlfn.IFS(C1890&lt;5.7,"Normal",AND(C1890&gt;=5.7,C1890&lt;=6.49),"Prediabetes",C1890&gt;=6.5,"Diabetes")</f>
        <v>Diabetes</v>
      </c>
    </row>
    <row r="1891" spans="1:10" x14ac:dyDescent="0.3">
      <c r="A1891" t="s">
        <v>478</v>
      </c>
      <c r="B1891" s="8">
        <v>16.510000000000002</v>
      </c>
      <c r="C1891">
        <v>4.42</v>
      </c>
      <c r="D1891" t="s">
        <v>2381</v>
      </c>
      <c r="E1891" t="s">
        <v>2379</v>
      </c>
      <c r="F1891" t="s">
        <v>2381</v>
      </c>
      <c r="G1891">
        <v>1</v>
      </c>
      <c r="H1891" t="s">
        <v>2379</v>
      </c>
      <c r="I1891" t="str" cm="1">
        <f t="array" ref="I1891">_xlfn.IFS(B1891&lt;18.5,"Underweight",AND(B1891&gt;=18.5,B1891&lt;=24.99),"Normalweight",AND(B1891&gt;=25,B1891&lt;=29.99),"Overweight",B1891&gt;=30,"Obesity")</f>
        <v>Underweight</v>
      </c>
      <c r="J1891" t="str" cm="1">
        <f t="array" ref="J1891">_xlfn.IFS(C1891&lt;5.7,"Normal",AND(C1891&gt;=5.7,C1891&lt;=6.49),"Prediabetes",C1891&gt;=6.5,"Diabetes")</f>
        <v>Normal</v>
      </c>
    </row>
    <row r="1892" spans="1:10" x14ac:dyDescent="0.3">
      <c r="A1892" t="s">
        <v>477</v>
      </c>
      <c r="B1892" s="8">
        <v>33.155000000000001</v>
      </c>
      <c r="C1892">
        <v>5.3</v>
      </c>
      <c r="D1892" t="s">
        <v>2381</v>
      </c>
      <c r="E1892" t="s">
        <v>2379</v>
      </c>
      <c r="F1892" t="s">
        <v>2379</v>
      </c>
      <c r="G1892">
        <v>1</v>
      </c>
      <c r="H1892" t="s">
        <v>2379</v>
      </c>
      <c r="I1892" t="str" cm="1">
        <f t="array" ref="I1892">_xlfn.IFS(B1892&lt;18.5,"Underweight",AND(B1892&gt;=18.5,B1892&lt;=24.99),"Normalweight",AND(B1892&gt;=25,B1892&lt;=29.99),"Overweight",B1892&gt;=30,"Obesity")</f>
        <v>Obesity</v>
      </c>
      <c r="J1892" t="str" cm="1">
        <f t="array" ref="J1892">_xlfn.IFS(C1892&lt;5.7,"Normal",AND(C1892&gt;=5.7,C1892&lt;=6.49),"Prediabetes",C1892&gt;=6.5,"Diabetes")</f>
        <v>Normal</v>
      </c>
    </row>
    <row r="1893" spans="1:10" x14ac:dyDescent="0.3">
      <c r="A1893" t="s">
        <v>476</v>
      </c>
      <c r="B1893" s="8">
        <v>37.29</v>
      </c>
      <c r="C1893">
        <v>4.6399999999999997</v>
      </c>
      <c r="D1893" t="s">
        <v>2379</v>
      </c>
      <c r="E1893" t="s">
        <v>2379</v>
      </c>
      <c r="F1893" t="s">
        <v>2381</v>
      </c>
      <c r="G1893">
        <v>1</v>
      </c>
      <c r="H1893" t="s">
        <v>2379</v>
      </c>
      <c r="I1893" t="str" cm="1">
        <f t="array" ref="I1893">_xlfn.IFS(B1893&lt;18.5,"Underweight",AND(B1893&gt;=18.5,B1893&lt;=24.99),"Normalweight",AND(B1893&gt;=25,B1893&lt;=29.99),"Overweight",B1893&gt;=30,"Obesity")</f>
        <v>Obesity</v>
      </c>
      <c r="J1893" t="str" cm="1">
        <f t="array" ref="J1893">_xlfn.IFS(C1893&lt;5.7,"Normal",AND(C1893&gt;=5.7,C1893&lt;=6.49),"Prediabetes",C1893&gt;=6.5,"Diabetes")</f>
        <v>Normal</v>
      </c>
    </row>
    <row r="1894" spans="1:10" x14ac:dyDescent="0.3">
      <c r="A1894" t="s">
        <v>475</v>
      </c>
      <c r="B1894" s="8">
        <v>20.23</v>
      </c>
      <c r="C1894">
        <v>6.16</v>
      </c>
      <c r="D1894" t="s">
        <v>2381</v>
      </c>
      <c r="E1894" t="s">
        <v>2379</v>
      </c>
      <c r="F1894" t="s">
        <v>2379</v>
      </c>
      <c r="G1894">
        <v>1</v>
      </c>
      <c r="H1894" t="s">
        <v>2379</v>
      </c>
      <c r="I1894" t="str" cm="1">
        <f t="array" ref="I1894">_xlfn.IFS(B1894&lt;18.5,"Underweight",AND(B1894&gt;=18.5,B1894&lt;=24.99),"Normalweight",AND(B1894&gt;=25,B1894&lt;=29.99),"Overweight",B1894&gt;=30,"Obesity")</f>
        <v>Normalweight</v>
      </c>
      <c r="J1894" t="str" cm="1">
        <f t="array" ref="J1894">_xlfn.IFS(C1894&lt;5.7,"Normal",AND(C1894&gt;=5.7,C1894&lt;=6.49),"Prediabetes",C1894&gt;=6.5,"Diabetes")</f>
        <v>Prediabetes</v>
      </c>
    </row>
    <row r="1895" spans="1:10" x14ac:dyDescent="0.3">
      <c r="A1895" t="s">
        <v>474</v>
      </c>
      <c r="B1895" s="8">
        <v>28.975000000000001</v>
      </c>
      <c r="C1895">
        <v>4.12</v>
      </c>
      <c r="D1895" t="s">
        <v>2379</v>
      </c>
      <c r="E1895" t="s">
        <v>2379</v>
      </c>
      <c r="F1895" t="s">
        <v>2381</v>
      </c>
      <c r="G1895">
        <v>1</v>
      </c>
      <c r="H1895" t="s">
        <v>2379</v>
      </c>
      <c r="I1895" t="str" cm="1">
        <f t="array" ref="I1895">_xlfn.IFS(B1895&lt;18.5,"Underweight",AND(B1895&gt;=18.5,B1895&lt;=24.99),"Normalweight",AND(B1895&gt;=25,B1895&lt;=29.99),"Overweight",B1895&gt;=30,"Obesity")</f>
        <v>Overweight</v>
      </c>
      <c r="J1895" t="str" cm="1">
        <f t="array" ref="J1895">_xlfn.IFS(C1895&lt;5.7,"Normal",AND(C1895&gt;=5.7,C1895&lt;=6.49),"Prediabetes",C1895&gt;=6.5,"Diabetes")</f>
        <v>Normal</v>
      </c>
    </row>
    <row r="1896" spans="1:10" x14ac:dyDescent="0.3">
      <c r="A1896" t="s">
        <v>473</v>
      </c>
      <c r="B1896" s="8">
        <v>16.420000000000002</v>
      </c>
      <c r="C1896">
        <v>5.77</v>
      </c>
      <c r="D1896" t="s">
        <v>2381</v>
      </c>
      <c r="E1896" t="s">
        <v>2379</v>
      </c>
      <c r="F1896" t="s">
        <v>2381</v>
      </c>
      <c r="G1896">
        <v>1</v>
      </c>
      <c r="H1896" t="s">
        <v>2379</v>
      </c>
      <c r="I1896" t="str" cm="1">
        <f t="array" ref="I1896">_xlfn.IFS(B1896&lt;18.5,"Underweight",AND(B1896&gt;=18.5,B1896&lt;=24.99),"Normalweight",AND(B1896&gt;=25,B1896&lt;=29.99),"Overweight",B1896&gt;=30,"Obesity")</f>
        <v>Underweight</v>
      </c>
      <c r="J1896" t="str" cm="1">
        <f t="array" ref="J1896">_xlfn.IFS(C1896&lt;5.7,"Normal",AND(C1896&gt;=5.7,C1896&lt;=6.49),"Prediabetes",C1896&gt;=6.5,"Diabetes")</f>
        <v>Prediabetes</v>
      </c>
    </row>
    <row r="1897" spans="1:10" x14ac:dyDescent="0.3">
      <c r="A1897" t="s">
        <v>472</v>
      </c>
      <c r="B1897" s="8">
        <v>17.559999999999999</v>
      </c>
      <c r="C1897">
        <v>6.2</v>
      </c>
      <c r="D1897" t="s">
        <v>2379</v>
      </c>
      <c r="E1897" t="s">
        <v>2379</v>
      </c>
      <c r="F1897" t="s">
        <v>2379</v>
      </c>
      <c r="G1897">
        <v>1</v>
      </c>
      <c r="H1897" t="s">
        <v>2379</v>
      </c>
      <c r="I1897" t="str" cm="1">
        <f t="array" ref="I1897">_xlfn.IFS(B1897&lt;18.5,"Underweight",AND(B1897&gt;=18.5,B1897&lt;=24.99),"Normalweight",AND(B1897&gt;=25,B1897&lt;=29.99),"Overweight",B1897&gt;=30,"Obesity")</f>
        <v>Underweight</v>
      </c>
      <c r="J1897" t="str" cm="1">
        <f t="array" ref="J1897">_xlfn.IFS(C1897&lt;5.7,"Normal",AND(C1897&gt;=5.7,C1897&lt;=6.49),"Prediabetes",C1897&gt;=6.5,"Diabetes")</f>
        <v>Prediabetes</v>
      </c>
    </row>
    <row r="1898" spans="1:10" x14ac:dyDescent="0.3">
      <c r="A1898" t="s">
        <v>471</v>
      </c>
      <c r="B1898" s="8">
        <v>24.13</v>
      </c>
      <c r="C1898">
        <v>4.3899999999999997</v>
      </c>
      <c r="D1898" t="s">
        <v>2379</v>
      </c>
      <c r="E1898" t="s">
        <v>2379</v>
      </c>
      <c r="F1898" t="s">
        <v>2379</v>
      </c>
      <c r="G1898">
        <v>1</v>
      </c>
      <c r="H1898" t="s">
        <v>2379</v>
      </c>
      <c r="I1898" t="str" cm="1">
        <f t="array" ref="I1898">_xlfn.IFS(B1898&lt;18.5,"Underweight",AND(B1898&gt;=18.5,B1898&lt;=24.99),"Normalweight",AND(B1898&gt;=25,B1898&lt;=29.99),"Overweight",B1898&gt;=30,"Obesity")</f>
        <v>Normalweight</v>
      </c>
      <c r="J1898" t="str" cm="1">
        <f t="array" ref="J1898">_xlfn.IFS(C1898&lt;5.7,"Normal",AND(C1898&gt;=5.7,C1898&lt;=6.49),"Prediabetes",C1898&gt;=6.5,"Diabetes")</f>
        <v>Normal</v>
      </c>
    </row>
    <row r="1899" spans="1:10" x14ac:dyDescent="0.3">
      <c r="A1899" t="s">
        <v>470</v>
      </c>
      <c r="B1899" s="8">
        <v>19.95</v>
      </c>
      <c r="C1899">
        <v>5.13</v>
      </c>
      <c r="D1899" t="s">
        <v>2379</v>
      </c>
      <c r="E1899" t="s">
        <v>2380</v>
      </c>
      <c r="F1899" t="s">
        <v>2379</v>
      </c>
      <c r="G1899">
        <v>2</v>
      </c>
      <c r="H1899" t="s">
        <v>2379</v>
      </c>
      <c r="I1899" t="str" cm="1">
        <f t="array" ref="I1899">_xlfn.IFS(B1899&lt;18.5,"Underweight",AND(B1899&gt;=18.5,B1899&lt;=24.99),"Normalweight",AND(B1899&gt;=25,B1899&lt;=29.99),"Overweight",B1899&gt;=30,"Obesity")</f>
        <v>Normalweight</v>
      </c>
      <c r="J1899" t="str" cm="1">
        <f t="array" ref="J1899">_xlfn.IFS(C1899&lt;5.7,"Normal",AND(C1899&gt;=5.7,C1899&lt;=6.49),"Prediabetes",C1899&gt;=6.5,"Diabetes")</f>
        <v>Normal</v>
      </c>
    </row>
    <row r="1900" spans="1:10" x14ac:dyDescent="0.3">
      <c r="A1900" t="s">
        <v>469</v>
      </c>
      <c r="B1900" s="8">
        <v>21.24</v>
      </c>
      <c r="C1900">
        <v>4.49</v>
      </c>
      <c r="D1900" t="s">
        <v>2379</v>
      </c>
      <c r="E1900" t="s">
        <v>2379</v>
      </c>
      <c r="F1900" t="s">
        <v>2379</v>
      </c>
      <c r="G1900">
        <v>0</v>
      </c>
      <c r="H1900" t="s">
        <v>2379</v>
      </c>
      <c r="I1900" t="str" cm="1">
        <f t="array" ref="I1900">_xlfn.IFS(B1900&lt;18.5,"Underweight",AND(B1900&gt;=18.5,B1900&lt;=24.99),"Normalweight",AND(B1900&gt;=25,B1900&lt;=29.99),"Overweight",B1900&gt;=30,"Obesity")</f>
        <v>Normalweight</v>
      </c>
      <c r="J1900" t="str" cm="1">
        <f t="array" ref="J1900">_xlfn.IFS(C1900&lt;5.7,"Normal",AND(C1900&gt;=5.7,C1900&lt;=6.49),"Prediabetes",C1900&gt;=6.5,"Diabetes")</f>
        <v>Normal</v>
      </c>
    </row>
    <row r="1901" spans="1:10" x14ac:dyDescent="0.3">
      <c r="A1901" t="s">
        <v>468</v>
      </c>
      <c r="B1901" s="8">
        <v>44.22</v>
      </c>
      <c r="C1901">
        <v>6.35</v>
      </c>
      <c r="D1901" t="s">
        <v>2379</v>
      </c>
      <c r="E1901" t="s">
        <v>2379</v>
      </c>
      <c r="F1901" t="s">
        <v>2379</v>
      </c>
      <c r="G1901">
        <v>0</v>
      </c>
      <c r="H1901" t="s">
        <v>2379</v>
      </c>
      <c r="I1901" t="str" cm="1">
        <f t="array" ref="I1901">_xlfn.IFS(B1901&lt;18.5,"Underweight",AND(B1901&gt;=18.5,B1901&lt;=24.99),"Normalweight",AND(B1901&gt;=25,B1901&lt;=29.99),"Overweight",B1901&gt;=30,"Obesity")</f>
        <v>Obesity</v>
      </c>
      <c r="J1901" t="str" cm="1">
        <f t="array" ref="J1901">_xlfn.IFS(C1901&lt;5.7,"Normal",AND(C1901&gt;=5.7,C1901&lt;=6.49),"Prediabetes",C1901&gt;=6.5,"Diabetes")</f>
        <v>Prediabetes</v>
      </c>
    </row>
    <row r="1902" spans="1:10" x14ac:dyDescent="0.3">
      <c r="A1902" t="s">
        <v>467</v>
      </c>
      <c r="B1902" s="8">
        <v>41.1</v>
      </c>
      <c r="C1902">
        <v>5.79</v>
      </c>
      <c r="D1902" t="s">
        <v>2379</v>
      </c>
      <c r="E1902" t="s">
        <v>2379</v>
      </c>
      <c r="F1902" t="s">
        <v>2379</v>
      </c>
      <c r="G1902">
        <v>0</v>
      </c>
      <c r="H1902" t="s">
        <v>2379</v>
      </c>
      <c r="I1902" t="str" cm="1">
        <f t="array" ref="I1902">_xlfn.IFS(B1902&lt;18.5,"Underweight",AND(B1902&gt;=18.5,B1902&lt;=24.99),"Normalweight",AND(B1902&gt;=25,B1902&lt;=29.99),"Overweight",B1902&gt;=30,"Obesity")</f>
        <v>Obesity</v>
      </c>
      <c r="J1902" t="str" cm="1">
        <f t="array" ref="J1902">_xlfn.IFS(C1902&lt;5.7,"Normal",AND(C1902&gt;=5.7,C1902&lt;=6.49),"Prediabetes",C1902&gt;=6.5,"Diabetes")</f>
        <v>Prediabetes</v>
      </c>
    </row>
    <row r="1903" spans="1:10" x14ac:dyDescent="0.3">
      <c r="A1903" t="s">
        <v>466</v>
      </c>
      <c r="B1903" s="8">
        <v>34.200000000000003</v>
      </c>
      <c r="C1903">
        <v>4.78</v>
      </c>
      <c r="D1903" t="s">
        <v>2381</v>
      </c>
      <c r="E1903" t="s">
        <v>2379</v>
      </c>
      <c r="F1903" t="s">
        <v>2379</v>
      </c>
      <c r="G1903">
        <v>0</v>
      </c>
      <c r="H1903" t="s">
        <v>2379</v>
      </c>
      <c r="I1903" t="str" cm="1">
        <f t="array" ref="I1903">_xlfn.IFS(B1903&lt;18.5,"Underweight",AND(B1903&gt;=18.5,B1903&lt;=24.99),"Normalweight",AND(B1903&gt;=25,B1903&lt;=29.99),"Overweight",B1903&gt;=30,"Obesity")</f>
        <v>Obesity</v>
      </c>
      <c r="J1903" t="str" cm="1">
        <f t="array" ref="J1903">_xlfn.IFS(C1903&lt;5.7,"Normal",AND(C1903&gt;=5.7,C1903&lt;=6.49),"Prediabetes",C1903&gt;=6.5,"Diabetes")</f>
        <v>Normal</v>
      </c>
    </row>
    <row r="1904" spans="1:10" x14ac:dyDescent="0.3">
      <c r="A1904" t="s">
        <v>465</v>
      </c>
      <c r="B1904" s="8">
        <v>29.92</v>
      </c>
      <c r="C1904">
        <v>6.02</v>
      </c>
      <c r="D1904" t="s">
        <v>2381</v>
      </c>
      <c r="E1904" t="s">
        <v>2379</v>
      </c>
      <c r="F1904" t="s">
        <v>2379</v>
      </c>
      <c r="G1904">
        <v>0</v>
      </c>
      <c r="H1904" t="s">
        <v>2379</v>
      </c>
      <c r="I1904" t="str" cm="1">
        <f t="array" ref="I1904">_xlfn.IFS(B1904&lt;18.5,"Underweight",AND(B1904&gt;=18.5,B1904&lt;=24.99),"Normalweight",AND(B1904&gt;=25,B1904&lt;=29.99),"Overweight",B1904&gt;=30,"Obesity")</f>
        <v>Overweight</v>
      </c>
      <c r="J1904" t="str" cm="1">
        <f t="array" ref="J1904">_xlfn.IFS(C1904&lt;5.7,"Normal",AND(C1904&gt;=5.7,C1904&lt;=6.49),"Prediabetes",C1904&gt;=6.5,"Diabetes")</f>
        <v>Prediabetes</v>
      </c>
    </row>
    <row r="1905" spans="1:10" x14ac:dyDescent="0.3">
      <c r="A1905" t="s">
        <v>464</v>
      </c>
      <c r="B1905" s="8">
        <v>28.93</v>
      </c>
      <c r="C1905">
        <v>4.4400000000000004</v>
      </c>
      <c r="D1905" t="s">
        <v>2379</v>
      </c>
      <c r="E1905" t="s">
        <v>2379</v>
      </c>
      <c r="F1905" t="s">
        <v>2379</v>
      </c>
      <c r="G1905">
        <v>0</v>
      </c>
      <c r="H1905" t="s">
        <v>2379</v>
      </c>
      <c r="I1905" t="str" cm="1">
        <f t="array" ref="I1905">_xlfn.IFS(B1905&lt;18.5,"Underweight",AND(B1905&gt;=18.5,B1905&lt;=24.99),"Normalweight",AND(B1905&gt;=25,B1905&lt;=29.99),"Overweight",B1905&gt;=30,"Obesity")</f>
        <v>Overweight</v>
      </c>
      <c r="J1905" t="str" cm="1">
        <f t="array" ref="J1905">_xlfn.IFS(C1905&lt;5.7,"Normal",AND(C1905&gt;=5.7,C1905&lt;=6.49),"Prediabetes",C1905&gt;=6.5,"Diabetes")</f>
        <v>Normal</v>
      </c>
    </row>
    <row r="1906" spans="1:10" x14ac:dyDescent="0.3">
      <c r="A1906" t="s">
        <v>463</v>
      </c>
      <c r="B1906" s="8">
        <v>31.254999999999999</v>
      </c>
      <c r="C1906">
        <v>5.84</v>
      </c>
      <c r="D1906" t="s">
        <v>2381</v>
      </c>
      <c r="E1906" t="s">
        <v>2379</v>
      </c>
      <c r="F1906" t="s">
        <v>2379</v>
      </c>
      <c r="G1906">
        <v>1</v>
      </c>
      <c r="H1906" t="s">
        <v>2379</v>
      </c>
      <c r="I1906" t="str" cm="1">
        <f t="array" ref="I1906">_xlfn.IFS(B1906&lt;18.5,"Underweight",AND(B1906&gt;=18.5,B1906&lt;=24.99),"Normalweight",AND(B1906&gt;=25,B1906&lt;=29.99),"Overweight",B1906&gt;=30,"Obesity")</f>
        <v>Obesity</v>
      </c>
      <c r="J1906" t="str" cm="1">
        <f t="array" ref="J1906">_xlfn.IFS(C1906&lt;5.7,"Normal",AND(C1906&gt;=5.7,C1906&lt;=6.49),"Prediabetes",C1906&gt;=6.5,"Diabetes")</f>
        <v>Prediabetes</v>
      </c>
    </row>
    <row r="1907" spans="1:10" x14ac:dyDescent="0.3">
      <c r="A1907" t="s">
        <v>462</v>
      </c>
      <c r="B1907" s="8">
        <v>29.83</v>
      </c>
      <c r="C1907">
        <v>5.39</v>
      </c>
      <c r="D1907" t="s">
        <v>2379</v>
      </c>
      <c r="E1907" t="s">
        <v>2379</v>
      </c>
      <c r="F1907" t="s">
        <v>2379</v>
      </c>
      <c r="G1907">
        <v>0</v>
      </c>
      <c r="H1907" t="s">
        <v>2379</v>
      </c>
      <c r="I1907" t="str" cm="1">
        <f t="array" ref="I1907">_xlfn.IFS(B1907&lt;18.5,"Underweight",AND(B1907&gt;=18.5,B1907&lt;=24.99),"Normalweight",AND(B1907&gt;=25,B1907&lt;=29.99),"Overweight",B1907&gt;=30,"Obesity")</f>
        <v>Overweight</v>
      </c>
      <c r="J1907" t="str" cm="1">
        <f t="array" ref="J1907">_xlfn.IFS(C1907&lt;5.7,"Normal",AND(C1907&gt;=5.7,C1907&lt;=6.49),"Prediabetes",C1907&gt;=6.5,"Diabetes")</f>
        <v>Normal</v>
      </c>
    </row>
    <row r="1908" spans="1:10" x14ac:dyDescent="0.3">
      <c r="A1908" t="s">
        <v>461</v>
      </c>
      <c r="B1908" s="8">
        <v>29.59</v>
      </c>
      <c r="C1908">
        <v>6.16</v>
      </c>
      <c r="D1908" t="s">
        <v>2379</v>
      </c>
      <c r="E1908" t="s">
        <v>2379</v>
      </c>
      <c r="F1908" t="s">
        <v>2381</v>
      </c>
      <c r="G1908">
        <v>1</v>
      </c>
      <c r="H1908" t="s">
        <v>2379</v>
      </c>
      <c r="I1908" t="str" cm="1">
        <f t="array" ref="I1908">_xlfn.IFS(B1908&lt;18.5,"Underweight",AND(B1908&gt;=18.5,B1908&lt;=24.99),"Normalweight",AND(B1908&gt;=25,B1908&lt;=29.99),"Overweight",B1908&gt;=30,"Obesity")</f>
        <v>Overweight</v>
      </c>
      <c r="J1908" t="str" cm="1">
        <f t="array" ref="J1908">_xlfn.IFS(C1908&lt;5.7,"Normal",AND(C1908&gt;=5.7,C1908&lt;=6.49),"Prediabetes",C1908&gt;=6.5,"Diabetes")</f>
        <v>Prediabetes</v>
      </c>
    </row>
    <row r="1909" spans="1:10" x14ac:dyDescent="0.3">
      <c r="A1909" t="s">
        <v>460</v>
      </c>
      <c r="B1909" s="8">
        <v>31.16</v>
      </c>
      <c r="C1909">
        <v>4.49</v>
      </c>
      <c r="D1909" t="s">
        <v>2379</v>
      </c>
      <c r="E1909" t="s">
        <v>2379</v>
      </c>
      <c r="F1909" t="s">
        <v>2381</v>
      </c>
      <c r="G1909">
        <v>1</v>
      </c>
      <c r="H1909" t="s">
        <v>2379</v>
      </c>
      <c r="I1909" t="str" cm="1">
        <f t="array" ref="I1909">_xlfn.IFS(B1909&lt;18.5,"Underweight",AND(B1909&gt;=18.5,B1909&lt;=24.99),"Normalweight",AND(B1909&gt;=25,B1909&lt;=29.99),"Overweight",B1909&gt;=30,"Obesity")</f>
        <v>Obesity</v>
      </c>
      <c r="J1909" t="str" cm="1">
        <f t="array" ref="J1909">_xlfn.IFS(C1909&lt;5.7,"Normal",AND(C1909&gt;=5.7,C1909&lt;=6.49),"Prediabetes",C1909&gt;=6.5,"Diabetes")</f>
        <v>Normal</v>
      </c>
    </row>
    <row r="1910" spans="1:10" x14ac:dyDescent="0.3">
      <c r="A1910" t="s">
        <v>459</v>
      </c>
      <c r="B1910" s="8">
        <v>34.21</v>
      </c>
      <c r="C1910">
        <v>4.4800000000000004</v>
      </c>
      <c r="D1910" t="s">
        <v>2381</v>
      </c>
      <c r="E1910" t="s">
        <v>2379</v>
      </c>
      <c r="F1910" t="s">
        <v>2379</v>
      </c>
      <c r="G1910">
        <v>1</v>
      </c>
      <c r="H1910" t="s">
        <v>2379</v>
      </c>
      <c r="I1910" t="str" cm="1">
        <f t="array" ref="I1910">_xlfn.IFS(B1910&lt;18.5,"Underweight",AND(B1910&gt;=18.5,B1910&lt;=24.99),"Normalweight",AND(B1910&gt;=25,B1910&lt;=29.99),"Overweight",B1910&gt;=30,"Obesity")</f>
        <v>Obesity</v>
      </c>
      <c r="J1910" t="str" cm="1">
        <f t="array" ref="J1910">_xlfn.IFS(C1910&lt;5.7,"Normal",AND(C1910&gt;=5.7,C1910&lt;=6.49),"Prediabetes",C1910&gt;=6.5,"Diabetes")</f>
        <v>Normal</v>
      </c>
    </row>
    <row r="1911" spans="1:10" x14ac:dyDescent="0.3">
      <c r="A1911" t="s">
        <v>458</v>
      </c>
      <c r="B1911" s="8">
        <v>34.86</v>
      </c>
      <c r="C1911">
        <v>10.97</v>
      </c>
      <c r="D1911" t="s">
        <v>2379</v>
      </c>
      <c r="E1911" t="s">
        <v>2379</v>
      </c>
      <c r="F1911" t="s">
        <v>2379</v>
      </c>
      <c r="G1911">
        <v>0</v>
      </c>
      <c r="H1911" t="s">
        <v>2379</v>
      </c>
      <c r="I1911" t="str" cm="1">
        <f t="array" ref="I1911">_xlfn.IFS(B1911&lt;18.5,"Underweight",AND(B1911&gt;=18.5,B1911&lt;=24.99),"Normalweight",AND(B1911&gt;=25,B1911&lt;=29.99),"Overweight",B1911&gt;=30,"Obesity")</f>
        <v>Obesity</v>
      </c>
      <c r="J1911" t="str" cm="1">
        <f t="array" ref="J1911">_xlfn.IFS(C1911&lt;5.7,"Normal",AND(C1911&gt;=5.7,C1911&lt;=6.49),"Prediabetes",C1911&gt;=6.5,"Diabetes")</f>
        <v>Diabetes</v>
      </c>
    </row>
    <row r="1912" spans="1:10" x14ac:dyDescent="0.3">
      <c r="A1912" t="s">
        <v>457</v>
      </c>
      <c r="B1912" s="8">
        <v>34.58</v>
      </c>
      <c r="C1912">
        <v>5.14</v>
      </c>
      <c r="D1912" t="s">
        <v>2379</v>
      </c>
      <c r="E1912" t="s">
        <v>2380</v>
      </c>
      <c r="F1912" t="s">
        <v>2379</v>
      </c>
      <c r="G1912">
        <v>2</v>
      </c>
      <c r="H1912" t="s">
        <v>2379</v>
      </c>
      <c r="I1912" t="str" cm="1">
        <f t="array" ref="I1912">_xlfn.IFS(B1912&lt;18.5,"Underweight",AND(B1912&gt;=18.5,B1912&lt;=24.99),"Normalweight",AND(B1912&gt;=25,B1912&lt;=29.99),"Overweight",B1912&gt;=30,"Obesity")</f>
        <v>Obesity</v>
      </c>
      <c r="J1912" t="str" cm="1">
        <f t="array" ref="J1912">_xlfn.IFS(C1912&lt;5.7,"Normal",AND(C1912&gt;=5.7,C1912&lt;=6.49),"Prediabetes",C1912&gt;=6.5,"Diabetes")</f>
        <v>Normal</v>
      </c>
    </row>
    <row r="1913" spans="1:10" x14ac:dyDescent="0.3">
      <c r="A1913" t="s">
        <v>456</v>
      </c>
      <c r="B1913" s="8">
        <v>17.940000000000001</v>
      </c>
      <c r="C1913">
        <v>5.17</v>
      </c>
      <c r="D1913" t="s">
        <v>2381</v>
      </c>
      <c r="E1913" t="s">
        <v>2379</v>
      </c>
      <c r="F1913" t="s">
        <v>2379</v>
      </c>
      <c r="G1913">
        <v>0</v>
      </c>
      <c r="H1913" t="s">
        <v>2379</v>
      </c>
      <c r="I1913" t="str" cm="1">
        <f t="array" ref="I1913">_xlfn.IFS(B1913&lt;18.5,"Underweight",AND(B1913&gt;=18.5,B1913&lt;=24.99),"Normalweight",AND(B1913&gt;=25,B1913&lt;=29.99),"Overweight",B1913&gt;=30,"Obesity")</f>
        <v>Underweight</v>
      </c>
      <c r="J1913" t="str" cm="1">
        <f t="array" ref="J1913">_xlfn.IFS(C1913&lt;5.7,"Normal",AND(C1913&gt;=5.7,C1913&lt;=6.49),"Prediabetes",C1913&gt;=6.5,"Diabetes")</f>
        <v>Normal</v>
      </c>
    </row>
    <row r="1914" spans="1:10" x14ac:dyDescent="0.3">
      <c r="A1914" t="s">
        <v>455</v>
      </c>
      <c r="B1914" s="8">
        <v>26.8</v>
      </c>
      <c r="C1914">
        <v>6.18</v>
      </c>
      <c r="D1914" t="s">
        <v>2381</v>
      </c>
      <c r="E1914" t="s">
        <v>2379</v>
      </c>
      <c r="F1914" t="s">
        <v>2381</v>
      </c>
      <c r="G1914">
        <v>1</v>
      </c>
      <c r="H1914" t="s">
        <v>2379</v>
      </c>
      <c r="I1914" t="str" cm="1">
        <f t="array" ref="I1914">_xlfn.IFS(B1914&lt;18.5,"Underweight",AND(B1914&gt;=18.5,B1914&lt;=24.99),"Normalweight",AND(B1914&gt;=25,B1914&lt;=29.99),"Overweight",B1914&gt;=30,"Obesity")</f>
        <v>Overweight</v>
      </c>
      <c r="J1914" t="str" cm="1">
        <f t="array" ref="J1914">_xlfn.IFS(C1914&lt;5.7,"Normal",AND(C1914&gt;=5.7,C1914&lt;=6.49),"Prediabetes",C1914&gt;=6.5,"Diabetes")</f>
        <v>Prediabetes</v>
      </c>
    </row>
    <row r="1915" spans="1:10" x14ac:dyDescent="0.3">
      <c r="A1915" t="s">
        <v>454</v>
      </c>
      <c r="B1915" s="8">
        <v>17.690000000000001</v>
      </c>
      <c r="C1915">
        <v>9.07</v>
      </c>
      <c r="D1915" t="s">
        <v>2381</v>
      </c>
      <c r="E1915" t="s">
        <v>2379</v>
      </c>
      <c r="F1915" t="s">
        <v>2379</v>
      </c>
      <c r="G1915">
        <v>0</v>
      </c>
      <c r="H1915" t="s">
        <v>2379</v>
      </c>
      <c r="I1915" t="str" cm="1">
        <f t="array" ref="I1915">_xlfn.IFS(B1915&lt;18.5,"Underweight",AND(B1915&gt;=18.5,B1915&lt;=24.99),"Normalweight",AND(B1915&gt;=25,B1915&lt;=29.99),"Overweight",B1915&gt;=30,"Obesity")</f>
        <v>Underweight</v>
      </c>
      <c r="J1915" t="str" cm="1">
        <f t="array" ref="J1915">_xlfn.IFS(C1915&lt;5.7,"Normal",AND(C1915&gt;=5.7,C1915&lt;=6.49),"Prediabetes",C1915&gt;=6.5,"Diabetes")</f>
        <v>Diabetes</v>
      </c>
    </row>
    <row r="1916" spans="1:10" x14ac:dyDescent="0.3">
      <c r="A1916" t="s">
        <v>453</v>
      </c>
      <c r="B1916" s="8">
        <v>25.77</v>
      </c>
      <c r="C1916">
        <v>4.43</v>
      </c>
      <c r="D1916" t="s">
        <v>2379</v>
      </c>
      <c r="E1916" t="s">
        <v>2379</v>
      </c>
      <c r="F1916" t="s">
        <v>2381</v>
      </c>
      <c r="G1916">
        <v>1</v>
      </c>
      <c r="H1916" t="s">
        <v>2379</v>
      </c>
      <c r="I1916" t="str" cm="1">
        <f t="array" ref="I1916">_xlfn.IFS(B1916&lt;18.5,"Underweight",AND(B1916&gt;=18.5,B1916&lt;=24.99),"Normalweight",AND(B1916&gt;=25,B1916&lt;=29.99),"Overweight",B1916&gt;=30,"Obesity")</f>
        <v>Overweight</v>
      </c>
      <c r="J1916" t="str" cm="1">
        <f t="array" ref="J1916">_xlfn.IFS(C1916&lt;5.7,"Normal",AND(C1916&gt;=5.7,C1916&lt;=6.49),"Prediabetes",C1916&gt;=6.5,"Diabetes")</f>
        <v>Normal</v>
      </c>
    </row>
    <row r="1917" spans="1:10" x14ac:dyDescent="0.3">
      <c r="A1917" t="s">
        <v>452</v>
      </c>
      <c r="B1917" s="8">
        <v>34.46</v>
      </c>
      <c r="C1917">
        <v>4.17</v>
      </c>
      <c r="D1917" t="s">
        <v>2379</v>
      </c>
      <c r="E1917" t="s">
        <v>2380</v>
      </c>
      <c r="F1917" t="s">
        <v>2379</v>
      </c>
      <c r="G1917">
        <v>1</v>
      </c>
      <c r="H1917" t="s">
        <v>2379</v>
      </c>
      <c r="I1917" t="str" cm="1">
        <f t="array" ref="I1917">_xlfn.IFS(B1917&lt;18.5,"Underweight",AND(B1917&gt;=18.5,B1917&lt;=24.99),"Normalweight",AND(B1917&gt;=25,B1917&lt;=29.99),"Overweight",B1917&gt;=30,"Obesity")</f>
        <v>Obesity</v>
      </c>
      <c r="J1917" t="str" cm="1">
        <f t="array" ref="J1917">_xlfn.IFS(C1917&lt;5.7,"Normal",AND(C1917&gt;=5.7,C1917&lt;=6.49),"Prediabetes",C1917&gt;=6.5,"Diabetes")</f>
        <v>Normal</v>
      </c>
    </row>
    <row r="1918" spans="1:10" x14ac:dyDescent="0.3">
      <c r="A1918" t="s">
        <v>451</v>
      </c>
      <c r="B1918" s="8">
        <v>30.875</v>
      </c>
      <c r="C1918">
        <v>4.95</v>
      </c>
      <c r="D1918" t="s">
        <v>2381</v>
      </c>
      <c r="E1918" t="s">
        <v>2379</v>
      </c>
      <c r="F1918" t="s">
        <v>2379</v>
      </c>
      <c r="G1918">
        <v>0</v>
      </c>
      <c r="H1918" t="s">
        <v>2379</v>
      </c>
      <c r="I1918" t="str" cm="1">
        <f t="array" ref="I1918">_xlfn.IFS(B1918&lt;18.5,"Underweight",AND(B1918&gt;=18.5,B1918&lt;=24.99),"Normalweight",AND(B1918&gt;=25,B1918&lt;=29.99),"Overweight",B1918&gt;=30,"Obesity")</f>
        <v>Obesity</v>
      </c>
      <c r="J1918" t="str" cm="1">
        <f t="array" ref="J1918">_xlfn.IFS(C1918&lt;5.7,"Normal",AND(C1918&gt;=5.7,C1918&lt;=6.49),"Prediabetes",C1918&gt;=6.5,"Diabetes")</f>
        <v>Normal</v>
      </c>
    </row>
    <row r="1919" spans="1:10" x14ac:dyDescent="0.3">
      <c r="A1919" t="s">
        <v>450</v>
      </c>
      <c r="B1919" s="8">
        <v>39.49</v>
      </c>
      <c r="C1919">
        <v>5.13</v>
      </c>
      <c r="D1919" t="s">
        <v>2379</v>
      </c>
      <c r="E1919" t="s">
        <v>2379</v>
      </c>
      <c r="F1919" t="s">
        <v>2379</v>
      </c>
      <c r="G1919">
        <v>0</v>
      </c>
      <c r="H1919" t="s">
        <v>2379</v>
      </c>
      <c r="I1919" t="str" cm="1">
        <f t="array" ref="I1919">_xlfn.IFS(B1919&lt;18.5,"Underweight",AND(B1919&gt;=18.5,B1919&lt;=24.99),"Normalweight",AND(B1919&gt;=25,B1919&lt;=29.99),"Overweight",B1919&gt;=30,"Obesity")</f>
        <v>Obesity</v>
      </c>
      <c r="J1919" t="str" cm="1">
        <f t="array" ref="J1919">_xlfn.IFS(C1919&lt;5.7,"Normal",AND(C1919&gt;=5.7,C1919&lt;=6.49),"Prediabetes",C1919&gt;=6.5,"Diabetes")</f>
        <v>Normal</v>
      </c>
    </row>
    <row r="1920" spans="1:10" x14ac:dyDescent="0.3">
      <c r="A1920" t="s">
        <v>449</v>
      </c>
      <c r="B1920" s="8">
        <v>28.88</v>
      </c>
      <c r="C1920">
        <v>4.0999999999999996</v>
      </c>
      <c r="D1920" t="s">
        <v>2379</v>
      </c>
      <c r="E1920" t="s">
        <v>2379</v>
      </c>
      <c r="F1920" t="s">
        <v>2379</v>
      </c>
      <c r="G1920">
        <v>0</v>
      </c>
      <c r="H1920" t="s">
        <v>2379</v>
      </c>
      <c r="I1920" t="str" cm="1">
        <f t="array" ref="I1920">_xlfn.IFS(B1920&lt;18.5,"Underweight",AND(B1920&gt;=18.5,B1920&lt;=24.99),"Normalweight",AND(B1920&gt;=25,B1920&lt;=29.99),"Overweight",B1920&gt;=30,"Obesity")</f>
        <v>Overweight</v>
      </c>
      <c r="J1920" t="str" cm="1">
        <f t="array" ref="J1920">_xlfn.IFS(C1920&lt;5.7,"Normal",AND(C1920&gt;=5.7,C1920&lt;=6.49),"Prediabetes",C1920&gt;=6.5,"Diabetes")</f>
        <v>Normal</v>
      </c>
    </row>
    <row r="1921" spans="1:10" x14ac:dyDescent="0.3">
      <c r="A1921" t="s">
        <v>448</v>
      </c>
      <c r="B1921" s="8">
        <v>20.234999999999999</v>
      </c>
      <c r="C1921">
        <v>5.01</v>
      </c>
      <c r="D1921" t="s">
        <v>2381</v>
      </c>
      <c r="E1921" t="s">
        <v>2379</v>
      </c>
      <c r="F1921" t="s">
        <v>2379</v>
      </c>
      <c r="G1921">
        <v>0</v>
      </c>
      <c r="H1921" t="s">
        <v>2379</v>
      </c>
      <c r="I1921" t="str" cm="1">
        <f t="array" ref="I1921">_xlfn.IFS(B1921&lt;18.5,"Underweight",AND(B1921&gt;=18.5,B1921&lt;=24.99),"Normalweight",AND(B1921&gt;=25,B1921&lt;=29.99),"Overweight",B1921&gt;=30,"Obesity")</f>
        <v>Normalweight</v>
      </c>
      <c r="J1921" t="str" cm="1">
        <f t="array" ref="J1921">_xlfn.IFS(C1921&lt;5.7,"Normal",AND(C1921&gt;=5.7,C1921&lt;=6.49),"Prediabetes",C1921&gt;=6.5,"Diabetes")</f>
        <v>Normal</v>
      </c>
    </row>
    <row r="1922" spans="1:10" x14ac:dyDescent="0.3">
      <c r="A1922" t="s">
        <v>447</v>
      </c>
      <c r="B1922" s="8">
        <v>30.67</v>
      </c>
      <c r="C1922">
        <v>5.09</v>
      </c>
      <c r="D1922" t="s">
        <v>2381</v>
      </c>
      <c r="E1922" t="s">
        <v>2379</v>
      </c>
      <c r="F1922" t="s">
        <v>2379</v>
      </c>
      <c r="G1922">
        <v>0</v>
      </c>
      <c r="H1922" t="s">
        <v>2379</v>
      </c>
      <c r="I1922" t="str" cm="1">
        <f t="array" ref="I1922">_xlfn.IFS(B1922&lt;18.5,"Underweight",AND(B1922&gt;=18.5,B1922&lt;=24.99),"Normalweight",AND(B1922&gt;=25,B1922&lt;=29.99),"Overweight",B1922&gt;=30,"Obesity")</f>
        <v>Obesity</v>
      </c>
      <c r="J1922" t="str" cm="1">
        <f t="array" ref="J1922">_xlfn.IFS(C1922&lt;5.7,"Normal",AND(C1922&gt;=5.7,C1922&lt;=6.49),"Prediabetes",C1922&gt;=6.5,"Diabetes")</f>
        <v>Normal</v>
      </c>
    </row>
    <row r="1923" spans="1:10" x14ac:dyDescent="0.3">
      <c r="A1923" t="s">
        <v>446</v>
      </c>
      <c r="B1923" s="8">
        <v>30.875</v>
      </c>
      <c r="C1923">
        <v>6.49</v>
      </c>
      <c r="D1923" t="s">
        <v>2379</v>
      </c>
      <c r="E1923" t="s">
        <v>2379</v>
      </c>
      <c r="F1923" t="s">
        <v>2379</v>
      </c>
      <c r="G1923">
        <v>0</v>
      </c>
      <c r="H1923" t="s">
        <v>2379</v>
      </c>
      <c r="I1923" t="str" cm="1">
        <f t="array" ref="I1923">_xlfn.IFS(B1923&lt;18.5,"Underweight",AND(B1923&gt;=18.5,B1923&lt;=24.99),"Normalweight",AND(B1923&gt;=25,B1923&lt;=29.99),"Overweight",B1923&gt;=30,"Obesity")</f>
        <v>Obesity</v>
      </c>
      <c r="J1923" t="str" cm="1">
        <f t="array" ref="J1923">_xlfn.IFS(C1923&lt;5.7,"Normal",AND(C1923&gt;=5.7,C1923&lt;=6.49),"Prediabetes",C1923&gt;=6.5,"Diabetes")</f>
        <v>Prediabetes</v>
      </c>
    </row>
    <row r="1924" spans="1:10" x14ac:dyDescent="0.3">
      <c r="A1924" t="s">
        <v>445</v>
      </c>
      <c r="B1924" s="8">
        <v>23.8</v>
      </c>
      <c r="C1924">
        <v>4.08</v>
      </c>
      <c r="D1924" t="s">
        <v>2379</v>
      </c>
      <c r="E1924" t="s">
        <v>2379</v>
      </c>
      <c r="F1924" t="s">
        <v>2379</v>
      </c>
      <c r="G1924">
        <v>0</v>
      </c>
      <c r="H1924" t="s">
        <v>2379</v>
      </c>
      <c r="I1924" t="str" cm="1">
        <f t="array" ref="I1924">_xlfn.IFS(B1924&lt;18.5,"Underweight",AND(B1924&gt;=18.5,B1924&lt;=24.99),"Normalweight",AND(B1924&gt;=25,B1924&lt;=29.99),"Overweight",B1924&gt;=30,"Obesity")</f>
        <v>Normalweight</v>
      </c>
      <c r="J1924" t="str" cm="1">
        <f t="array" ref="J1924">_xlfn.IFS(C1924&lt;5.7,"Normal",AND(C1924&gt;=5.7,C1924&lt;=6.49),"Prediabetes",C1924&gt;=6.5,"Diabetes")</f>
        <v>Normal</v>
      </c>
    </row>
    <row r="1925" spans="1:10" x14ac:dyDescent="0.3">
      <c r="A1925" t="s">
        <v>444</v>
      </c>
      <c r="B1925" s="8">
        <v>15.37</v>
      </c>
      <c r="C1925">
        <v>8.6300000000000008</v>
      </c>
      <c r="D1925" t="s">
        <v>2381</v>
      </c>
      <c r="E1925" t="s">
        <v>2379</v>
      </c>
      <c r="F1925" t="s">
        <v>2379</v>
      </c>
      <c r="G1925">
        <v>0</v>
      </c>
      <c r="H1925" t="s">
        <v>2379</v>
      </c>
      <c r="I1925" t="str" cm="1">
        <f t="array" ref="I1925">_xlfn.IFS(B1925&lt;18.5,"Underweight",AND(B1925&gt;=18.5,B1925&lt;=24.99),"Normalweight",AND(B1925&gt;=25,B1925&lt;=29.99),"Overweight",B1925&gt;=30,"Obesity")</f>
        <v>Underweight</v>
      </c>
      <c r="J1925" t="str" cm="1">
        <f t="array" ref="J1925">_xlfn.IFS(C1925&lt;5.7,"Normal",AND(C1925&gt;=5.7,C1925&lt;=6.49),"Prediabetes",C1925&gt;=6.5,"Diabetes")</f>
        <v>Diabetes</v>
      </c>
    </row>
    <row r="1926" spans="1:10" x14ac:dyDescent="0.3">
      <c r="A1926" t="s">
        <v>443</v>
      </c>
      <c r="B1926" s="8">
        <v>30.4</v>
      </c>
      <c r="C1926">
        <v>5.28</v>
      </c>
      <c r="D1926" t="s">
        <v>2379</v>
      </c>
      <c r="E1926" t="s">
        <v>2379</v>
      </c>
      <c r="F1926" t="s">
        <v>2379</v>
      </c>
      <c r="G1926">
        <v>0</v>
      </c>
      <c r="H1926" t="s">
        <v>2379</v>
      </c>
      <c r="I1926" t="str" cm="1">
        <f t="array" ref="I1926">_xlfn.IFS(B1926&lt;18.5,"Underweight",AND(B1926&gt;=18.5,B1926&lt;=24.99),"Normalweight",AND(B1926&gt;=25,B1926&lt;=29.99),"Overweight",B1926&gt;=30,"Obesity")</f>
        <v>Obesity</v>
      </c>
      <c r="J1926" t="str" cm="1">
        <f t="array" ref="J1926">_xlfn.IFS(C1926&lt;5.7,"Normal",AND(C1926&gt;=5.7,C1926&lt;=6.49),"Prediabetes",C1926&gt;=6.5,"Diabetes")</f>
        <v>Normal</v>
      </c>
    </row>
    <row r="1927" spans="1:10" x14ac:dyDescent="0.3">
      <c r="A1927" t="s">
        <v>442</v>
      </c>
      <c r="B1927" s="8">
        <v>19.48</v>
      </c>
      <c r="C1927">
        <v>5.63</v>
      </c>
      <c r="D1927" t="s">
        <v>2381</v>
      </c>
      <c r="E1927" t="s">
        <v>2379</v>
      </c>
      <c r="F1927" t="s">
        <v>2379</v>
      </c>
      <c r="G1927">
        <v>1</v>
      </c>
      <c r="H1927" t="s">
        <v>2379</v>
      </c>
      <c r="I1927" t="str" cm="1">
        <f t="array" ref="I1927">_xlfn.IFS(B1927&lt;18.5,"Underweight",AND(B1927&gt;=18.5,B1927&lt;=24.99),"Normalweight",AND(B1927&gt;=25,B1927&lt;=29.99),"Overweight",B1927&gt;=30,"Obesity")</f>
        <v>Normalweight</v>
      </c>
      <c r="J1927" t="str" cm="1">
        <f t="array" ref="J1927">_xlfn.IFS(C1927&lt;5.7,"Normal",AND(C1927&gt;=5.7,C1927&lt;=6.49),"Prediabetes",C1927&gt;=6.5,"Diabetes")</f>
        <v>Normal</v>
      </c>
    </row>
    <row r="1928" spans="1:10" x14ac:dyDescent="0.3">
      <c r="A1928" t="s">
        <v>441</v>
      </c>
      <c r="B1928" s="8">
        <v>16.96</v>
      </c>
      <c r="C1928">
        <v>11.47</v>
      </c>
      <c r="D1928" t="s">
        <v>2381</v>
      </c>
      <c r="E1928" t="s">
        <v>2379</v>
      </c>
      <c r="F1928" t="s">
        <v>2379</v>
      </c>
      <c r="G1928">
        <v>0</v>
      </c>
      <c r="H1928" t="s">
        <v>2379</v>
      </c>
      <c r="I1928" t="str" cm="1">
        <f t="array" ref="I1928">_xlfn.IFS(B1928&lt;18.5,"Underweight",AND(B1928&gt;=18.5,B1928&lt;=24.99),"Normalweight",AND(B1928&gt;=25,B1928&lt;=29.99),"Overweight",B1928&gt;=30,"Obesity")</f>
        <v>Underweight</v>
      </c>
      <c r="J1928" t="str" cm="1">
        <f t="array" ref="J1928">_xlfn.IFS(C1928&lt;5.7,"Normal",AND(C1928&gt;=5.7,C1928&lt;=6.49),"Prediabetes",C1928&gt;=6.5,"Diabetes")</f>
        <v>Diabetes</v>
      </c>
    </row>
    <row r="1929" spans="1:10" x14ac:dyDescent="0.3">
      <c r="A1929" t="s">
        <v>440</v>
      </c>
      <c r="B1929" s="8">
        <v>19.05</v>
      </c>
      <c r="C1929">
        <v>4.92</v>
      </c>
      <c r="D1929" t="s">
        <v>2379</v>
      </c>
      <c r="E1929" t="s">
        <v>2379</v>
      </c>
      <c r="F1929" t="s">
        <v>2379</v>
      </c>
      <c r="G1929">
        <v>1</v>
      </c>
      <c r="H1929" t="s">
        <v>2379</v>
      </c>
      <c r="I1929" t="str" cm="1">
        <f t="array" ref="I1929">_xlfn.IFS(B1929&lt;18.5,"Underweight",AND(B1929&gt;=18.5,B1929&lt;=24.99),"Normalweight",AND(B1929&gt;=25,B1929&lt;=29.99),"Overweight",B1929&gt;=30,"Obesity")</f>
        <v>Normalweight</v>
      </c>
      <c r="J1929" t="str" cm="1">
        <f t="array" ref="J1929">_xlfn.IFS(C1929&lt;5.7,"Normal",AND(C1929&gt;=5.7,C1929&lt;=6.49),"Prediabetes",C1929&gt;=6.5,"Diabetes")</f>
        <v>Normal</v>
      </c>
    </row>
    <row r="1930" spans="1:10" x14ac:dyDescent="0.3">
      <c r="A1930" t="s">
        <v>439</v>
      </c>
      <c r="B1930" s="8">
        <v>37.619999999999997</v>
      </c>
      <c r="C1930">
        <v>4.18</v>
      </c>
      <c r="D1930" t="s">
        <v>2379</v>
      </c>
      <c r="E1930" t="s">
        <v>2379</v>
      </c>
      <c r="F1930" t="s">
        <v>2379</v>
      </c>
      <c r="G1930">
        <v>0</v>
      </c>
      <c r="H1930" t="s">
        <v>2379</v>
      </c>
      <c r="I1930" t="str" cm="1">
        <f t="array" ref="I1930">_xlfn.IFS(B1930&lt;18.5,"Underweight",AND(B1930&gt;=18.5,B1930&lt;=24.99),"Normalweight",AND(B1930&gt;=25,B1930&lt;=29.99),"Overweight",B1930&gt;=30,"Obesity")</f>
        <v>Obesity</v>
      </c>
      <c r="J1930" t="str" cm="1">
        <f t="array" ref="J1930">_xlfn.IFS(C1930&lt;5.7,"Normal",AND(C1930&gt;=5.7,C1930&lt;=6.49),"Prediabetes",C1930&gt;=6.5,"Diabetes")</f>
        <v>Normal</v>
      </c>
    </row>
    <row r="1931" spans="1:10" x14ac:dyDescent="0.3">
      <c r="A1931" t="s">
        <v>438</v>
      </c>
      <c r="B1931" s="8">
        <v>29.1</v>
      </c>
      <c r="C1931">
        <v>4.67</v>
      </c>
      <c r="D1931" t="s">
        <v>2379</v>
      </c>
      <c r="E1931" t="s">
        <v>2379</v>
      </c>
      <c r="F1931" t="s">
        <v>2379</v>
      </c>
      <c r="G1931">
        <v>0</v>
      </c>
      <c r="H1931" t="s">
        <v>2379</v>
      </c>
      <c r="I1931" t="str" cm="1">
        <f t="array" ref="I1931">_xlfn.IFS(B1931&lt;18.5,"Underweight",AND(B1931&gt;=18.5,B1931&lt;=24.99),"Normalweight",AND(B1931&gt;=25,B1931&lt;=29.99),"Overweight",B1931&gt;=30,"Obesity")</f>
        <v>Overweight</v>
      </c>
      <c r="J1931" t="str" cm="1">
        <f t="array" ref="J1931">_xlfn.IFS(C1931&lt;5.7,"Normal",AND(C1931&gt;=5.7,C1931&lt;=6.49),"Prediabetes",C1931&gt;=6.5,"Diabetes")</f>
        <v>Normal</v>
      </c>
    </row>
    <row r="1932" spans="1:10" x14ac:dyDescent="0.3">
      <c r="A1932" t="s">
        <v>437</v>
      </c>
      <c r="B1932" s="8">
        <v>26.62</v>
      </c>
      <c r="C1932">
        <v>6.24</v>
      </c>
      <c r="D1932" t="s">
        <v>2379</v>
      </c>
      <c r="E1932" t="s">
        <v>2379</v>
      </c>
      <c r="F1932" t="s">
        <v>2379</v>
      </c>
      <c r="G1932">
        <v>0</v>
      </c>
      <c r="H1932" t="s">
        <v>2379</v>
      </c>
      <c r="I1932" t="str" cm="1">
        <f t="array" ref="I1932">_xlfn.IFS(B1932&lt;18.5,"Underweight",AND(B1932&gt;=18.5,B1932&lt;=24.99),"Normalweight",AND(B1932&gt;=25,B1932&lt;=29.99),"Overweight",B1932&gt;=30,"Obesity")</f>
        <v>Overweight</v>
      </c>
      <c r="J1932" t="str" cm="1">
        <f t="array" ref="J1932">_xlfn.IFS(C1932&lt;5.7,"Normal",AND(C1932&gt;=5.7,C1932&lt;=6.49),"Prediabetes",C1932&gt;=6.5,"Diabetes")</f>
        <v>Prediabetes</v>
      </c>
    </row>
    <row r="1933" spans="1:10" x14ac:dyDescent="0.3">
      <c r="A1933" t="s">
        <v>436</v>
      </c>
      <c r="B1933" s="8">
        <v>25.74</v>
      </c>
      <c r="C1933">
        <v>5.99</v>
      </c>
      <c r="D1933" t="s">
        <v>2379</v>
      </c>
      <c r="E1933" t="s">
        <v>2379</v>
      </c>
      <c r="F1933" t="s">
        <v>2379</v>
      </c>
      <c r="G1933">
        <v>0</v>
      </c>
      <c r="H1933" t="s">
        <v>2379</v>
      </c>
      <c r="I1933" t="str" cm="1">
        <f t="array" ref="I1933">_xlfn.IFS(B1933&lt;18.5,"Underweight",AND(B1933&gt;=18.5,B1933&lt;=24.99),"Normalweight",AND(B1933&gt;=25,B1933&lt;=29.99),"Overweight",B1933&gt;=30,"Obesity")</f>
        <v>Overweight</v>
      </c>
      <c r="J1933" t="str" cm="1">
        <f t="array" ref="J1933">_xlfn.IFS(C1933&lt;5.7,"Normal",AND(C1933&gt;=5.7,C1933&lt;=6.49),"Prediabetes",C1933&gt;=6.5,"Diabetes")</f>
        <v>Prediabetes</v>
      </c>
    </row>
    <row r="1934" spans="1:10" x14ac:dyDescent="0.3">
      <c r="A1934" t="s">
        <v>435</v>
      </c>
      <c r="B1934" s="8">
        <v>18.22</v>
      </c>
      <c r="C1934">
        <v>10.27</v>
      </c>
      <c r="D1934" t="s">
        <v>2381</v>
      </c>
      <c r="E1934" t="s">
        <v>2379</v>
      </c>
      <c r="F1934" t="s">
        <v>2379</v>
      </c>
      <c r="G1934">
        <v>1</v>
      </c>
      <c r="H1934" t="s">
        <v>2379</v>
      </c>
      <c r="I1934" t="str" cm="1">
        <f t="array" ref="I1934">_xlfn.IFS(B1934&lt;18.5,"Underweight",AND(B1934&gt;=18.5,B1934&lt;=24.99),"Normalweight",AND(B1934&gt;=25,B1934&lt;=29.99),"Overweight",B1934&gt;=30,"Obesity")</f>
        <v>Underweight</v>
      </c>
      <c r="J1934" t="str" cm="1">
        <f t="array" ref="J1934">_xlfn.IFS(C1934&lt;5.7,"Normal",AND(C1934&gt;=5.7,C1934&lt;=6.49),"Prediabetes",C1934&gt;=6.5,"Diabetes")</f>
        <v>Diabetes</v>
      </c>
    </row>
    <row r="1935" spans="1:10" x14ac:dyDescent="0.3">
      <c r="A1935" t="s">
        <v>434</v>
      </c>
      <c r="B1935" s="8">
        <v>26.03</v>
      </c>
      <c r="C1935">
        <v>5.97</v>
      </c>
      <c r="D1935" t="s">
        <v>2379</v>
      </c>
      <c r="E1935" t="s">
        <v>2379</v>
      </c>
      <c r="F1935" t="s">
        <v>2381</v>
      </c>
      <c r="G1935">
        <v>1</v>
      </c>
      <c r="H1935" t="s">
        <v>2379</v>
      </c>
      <c r="I1935" t="str" cm="1">
        <f t="array" ref="I1935">_xlfn.IFS(B1935&lt;18.5,"Underweight",AND(B1935&gt;=18.5,B1935&lt;=24.99),"Normalweight",AND(B1935&gt;=25,B1935&lt;=29.99),"Overweight",B1935&gt;=30,"Obesity")</f>
        <v>Overweight</v>
      </c>
      <c r="J1935" t="str" cm="1">
        <f t="array" ref="J1935">_xlfn.IFS(C1935&lt;5.7,"Normal",AND(C1935&gt;=5.7,C1935&lt;=6.49),"Prediabetes",C1935&gt;=6.5,"Diabetes")</f>
        <v>Prediabetes</v>
      </c>
    </row>
    <row r="1936" spans="1:10" x14ac:dyDescent="0.3">
      <c r="A1936" t="s">
        <v>433</v>
      </c>
      <c r="B1936" s="8">
        <v>17.29</v>
      </c>
      <c r="C1936">
        <v>4.9800000000000004</v>
      </c>
      <c r="D1936" t="s">
        <v>2379</v>
      </c>
      <c r="E1936" t="s">
        <v>2379</v>
      </c>
      <c r="F1936" t="s">
        <v>2379</v>
      </c>
      <c r="G1936">
        <v>0</v>
      </c>
      <c r="H1936" t="s">
        <v>2379</v>
      </c>
      <c r="I1936" t="str" cm="1">
        <f t="array" ref="I1936">_xlfn.IFS(B1936&lt;18.5,"Underweight",AND(B1936&gt;=18.5,B1936&lt;=24.99),"Normalweight",AND(B1936&gt;=25,B1936&lt;=29.99),"Overweight",B1936&gt;=30,"Obesity")</f>
        <v>Underweight</v>
      </c>
      <c r="J1936" t="str" cm="1">
        <f t="array" ref="J1936">_xlfn.IFS(C1936&lt;5.7,"Normal",AND(C1936&gt;=5.7,C1936&lt;=6.49),"Prediabetes",C1936&gt;=6.5,"Diabetes")</f>
        <v>Normal</v>
      </c>
    </row>
    <row r="1937" spans="1:10" x14ac:dyDescent="0.3">
      <c r="A1937" t="s">
        <v>432</v>
      </c>
      <c r="B1937" s="8">
        <v>18.170000000000002</v>
      </c>
      <c r="C1937">
        <v>6.91</v>
      </c>
      <c r="D1937" t="s">
        <v>2381</v>
      </c>
      <c r="E1937" t="s">
        <v>2379</v>
      </c>
      <c r="F1937" t="s">
        <v>2379</v>
      </c>
      <c r="G1937">
        <v>1</v>
      </c>
      <c r="H1937" t="s">
        <v>2379</v>
      </c>
      <c r="I1937" t="str" cm="1">
        <f t="array" ref="I1937">_xlfn.IFS(B1937&lt;18.5,"Underweight",AND(B1937&gt;=18.5,B1937&lt;=24.99),"Normalweight",AND(B1937&gt;=25,B1937&lt;=29.99),"Overweight",B1937&gt;=30,"Obesity")</f>
        <v>Underweight</v>
      </c>
      <c r="J1937" t="str" cm="1">
        <f t="array" ref="J1937">_xlfn.IFS(C1937&lt;5.7,"Normal",AND(C1937&gt;=5.7,C1937&lt;=6.49),"Prediabetes",C1937&gt;=6.5,"Diabetes")</f>
        <v>Diabetes</v>
      </c>
    </row>
    <row r="1938" spans="1:10" x14ac:dyDescent="0.3">
      <c r="A1938" t="s">
        <v>431</v>
      </c>
      <c r="B1938" s="8">
        <v>32.54</v>
      </c>
      <c r="C1938">
        <v>6.38</v>
      </c>
      <c r="D1938" t="s">
        <v>2379</v>
      </c>
      <c r="E1938" t="s">
        <v>2380</v>
      </c>
      <c r="F1938" t="s">
        <v>2379</v>
      </c>
      <c r="G1938">
        <v>1</v>
      </c>
      <c r="H1938" t="s">
        <v>2379</v>
      </c>
      <c r="I1938" t="str" cm="1">
        <f t="array" ref="I1938">_xlfn.IFS(B1938&lt;18.5,"Underweight",AND(B1938&gt;=18.5,B1938&lt;=24.99),"Normalweight",AND(B1938&gt;=25,B1938&lt;=29.99),"Overweight",B1938&gt;=30,"Obesity")</f>
        <v>Obesity</v>
      </c>
      <c r="J1938" t="str" cm="1">
        <f t="array" ref="J1938">_xlfn.IFS(C1938&lt;5.7,"Normal",AND(C1938&gt;=5.7,C1938&lt;=6.49),"Prediabetes",C1938&gt;=6.5,"Diabetes")</f>
        <v>Prediabetes</v>
      </c>
    </row>
    <row r="1939" spans="1:10" x14ac:dyDescent="0.3">
      <c r="A1939" t="s">
        <v>430</v>
      </c>
      <c r="B1939" s="8">
        <v>30.25</v>
      </c>
      <c r="C1939">
        <v>4.7699999999999996</v>
      </c>
      <c r="D1939" t="s">
        <v>2379</v>
      </c>
      <c r="E1939" t="s">
        <v>2379</v>
      </c>
      <c r="F1939" t="s">
        <v>2379</v>
      </c>
      <c r="G1939">
        <v>0</v>
      </c>
      <c r="H1939" t="s">
        <v>2379</v>
      </c>
      <c r="I1939" t="str" cm="1">
        <f t="array" ref="I1939">_xlfn.IFS(B1939&lt;18.5,"Underweight",AND(B1939&gt;=18.5,B1939&lt;=24.99),"Normalweight",AND(B1939&gt;=25,B1939&lt;=29.99),"Overweight",B1939&gt;=30,"Obesity")</f>
        <v>Obesity</v>
      </c>
      <c r="J1939" t="str" cm="1">
        <f t="array" ref="J1939">_xlfn.IFS(C1939&lt;5.7,"Normal",AND(C1939&gt;=5.7,C1939&lt;=6.49),"Prediabetes",C1939&gt;=6.5,"Diabetes")</f>
        <v>Normal</v>
      </c>
    </row>
    <row r="1940" spans="1:10" x14ac:dyDescent="0.3">
      <c r="A1940" t="s">
        <v>429</v>
      </c>
      <c r="B1940" s="8">
        <v>19.59</v>
      </c>
      <c r="C1940">
        <v>6.04</v>
      </c>
      <c r="D1940" t="s">
        <v>2381</v>
      </c>
      <c r="E1940" t="s">
        <v>2379</v>
      </c>
      <c r="F1940" t="s">
        <v>2379</v>
      </c>
      <c r="G1940">
        <v>1</v>
      </c>
      <c r="H1940" t="s">
        <v>2379</v>
      </c>
      <c r="I1940" t="str" cm="1">
        <f t="array" ref="I1940">_xlfn.IFS(B1940&lt;18.5,"Underweight",AND(B1940&gt;=18.5,B1940&lt;=24.99),"Normalweight",AND(B1940&gt;=25,B1940&lt;=29.99),"Overweight",B1940&gt;=30,"Obesity")</f>
        <v>Normalweight</v>
      </c>
      <c r="J1940" t="str" cm="1">
        <f t="array" ref="J1940">_xlfn.IFS(C1940&lt;5.7,"Normal",AND(C1940&gt;=5.7,C1940&lt;=6.49),"Prediabetes",C1940&gt;=6.5,"Diabetes")</f>
        <v>Prediabetes</v>
      </c>
    </row>
    <row r="1941" spans="1:10" x14ac:dyDescent="0.3">
      <c r="A1941" t="s">
        <v>428</v>
      </c>
      <c r="B1941" s="8">
        <v>45.9</v>
      </c>
      <c r="C1941">
        <v>4.3</v>
      </c>
      <c r="D1941" t="s">
        <v>2381</v>
      </c>
      <c r="E1941" t="s">
        <v>2379</v>
      </c>
      <c r="F1941" t="s">
        <v>2379</v>
      </c>
      <c r="G1941">
        <v>1</v>
      </c>
      <c r="H1941" t="s">
        <v>2379</v>
      </c>
      <c r="I1941" t="str" cm="1">
        <f t="array" ref="I1941">_xlfn.IFS(B1941&lt;18.5,"Underweight",AND(B1941&gt;=18.5,B1941&lt;=24.99),"Normalweight",AND(B1941&gt;=25,B1941&lt;=29.99),"Overweight",B1941&gt;=30,"Obesity")</f>
        <v>Obesity</v>
      </c>
      <c r="J1941" t="str" cm="1">
        <f t="array" ref="J1941">_xlfn.IFS(C1941&lt;5.7,"Normal",AND(C1941&gt;=5.7,C1941&lt;=6.49),"Prediabetes",C1941&gt;=6.5,"Diabetes")</f>
        <v>Normal</v>
      </c>
    </row>
    <row r="1942" spans="1:10" x14ac:dyDescent="0.3">
      <c r="A1942" t="s">
        <v>427</v>
      </c>
      <c r="B1942" s="8">
        <v>17.059999999999999</v>
      </c>
      <c r="C1942">
        <v>8.75</v>
      </c>
      <c r="D1942" t="s">
        <v>2381</v>
      </c>
      <c r="E1942" t="s">
        <v>2379</v>
      </c>
      <c r="F1942" t="s">
        <v>2379</v>
      </c>
      <c r="G1942">
        <v>0</v>
      </c>
      <c r="H1942" t="s">
        <v>2379</v>
      </c>
      <c r="I1942" t="str" cm="1">
        <f t="array" ref="I1942">_xlfn.IFS(B1942&lt;18.5,"Underweight",AND(B1942&gt;=18.5,B1942&lt;=24.99),"Normalweight",AND(B1942&gt;=25,B1942&lt;=29.99),"Overweight",B1942&gt;=30,"Obesity")</f>
        <v>Underweight</v>
      </c>
      <c r="J1942" t="str" cm="1">
        <f t="array" ref="J1942">_xlfn.IFS(C1942&lt;5.7,"Normal",AND(C1942&gt;=5.7,C1942&lt;=6.49),"Prediabetes",C1942&gt;=6.5,"Diabetes")</f>
        <v>Diabetes</v>
      </c>
    </row>
    <row r="1943" spans="1:10" x14ac:dyDescent="0.3">
      <c r="A1943" t="s">
        <v>426</v>
      </c>
      <c r="B1943" s="8">
        <v>32.07</v>
      </c>
      <c r="C1943">
        <v>5.25</v>
      </c>
      <c r="D1943" t="s">
        <v>2379</v>
      </c>
      <c r="E1943" t="s">
        <v>2379</v>
      </c>
      <c r="F1943" t="s">
        <v>2381</v>
      </c>
      <c r="G1943">
        <v>1</v>
      </c>
      <c r="H1943" t="s">
        <v>2379</v>
      </c>
      <c r="I1943" t="str" cm="1">
        <f t="array" ref="I1943">_xlfn.IFS(B1943&lt;18.5,"Underweight",AND(B1943&gt;=18.5,B1943&lt;=24.99),"Normalweight",AND(B1943&gt;=25,B1943&lt;=29.99),"Overweight",B1943&gt;=30,"Obesity")</f>
        <v>Obesity</v>
      </c>
      <c r="J1943" t="str" cm="1">
        <f t="array" ref="J1943">_xlfn.IFS(C1943&lt;5.7,"Normal",AND(C1943&gt;=5.7,C1943&lt;=6.49),"Prediabetes",C1943&gt;=6.5,"Diabetes")</f>
        <v>Normal</v>
      </c>
    </row>
    <row r="1944" spans="1:10" x14ac:dyDescent="0.3">
      <c r="A1944" t="s">
        <v>425</v>
      </c>
      <c r="B1944" s="8">
        <v>16.5</v>
      </c>
      <c r="C1944">
        <v>5.03</v>
      </c>
      <c r="D1944" t="s">
        <v>2379</v>
      </c>
      <c r="E1944" t="s">
        <v>2379</v>
      </c>
      <c r="F1944" t="s">
        <v>2379</v>
      </c>
      <c r="G1944">
        <v>1</v>
      </c>
      <c r="H1944" t="s">
        <v>2379</v>
      </c>
      <c r="I1944" t="str" cm="1">
        <f t="array" ref="I1944">_xlfn.IFS(B1944&lt;18.5,"Underweight",AND(B1944&gt;=18.5,B1944&lt;=24.99),"Normalweight",AND(B1944&gt;=25,B1944&lt;=29.99),"Overweight",B1944&gt;=30,"Obesity")</f>
        <v>Underweight</v>
      </c>
      <c r="J1944" t="str" cm="1">
        <f t="array" ref="J1944">_xlfn.IFS(C1944&lt;5.7,"Normal",AND(C1944&gt;=5.7,C1944&lt;=6.49),"Prediabetes",C1944&gt;=6.5,"Diabetes")</f>
        <v>Normal</v>
      </c>
    </row>
    <row r="1945" spans="1:10" x14ac:dyDescent="0.3">
      <c r="A1945" t="s">
        <v>424</v>
      </c>
      <c r="B1945" s="8">
        <v>31.4</v>
      </c>
      <c r="C1945">
        <v>5.88</v>
      </c>
      <c r="D1945" t="s">
        <v>2379</v>
      </c>
      <c r="E1945" t="s">
        <v>2379</v>
      </c>
      <c r="F1945" t="s">
        <v>2379</v>
      </c>
      <c r="G1945">
        <v>1</v>
      </c>
      <c r="H1945" t="s">
        <v>2379</v>
      </c>
      <c r="I1945" t="str" cm="1">
        <f t="array" ref="I1945">_xlfn.IFS(B1945&lt;18.5,"Underweight",AND(B1945&gt;=18.5,B1945&lt;=24.99),"Normalweight",AND(B1945&gt;=25,B1945&lt;=29.99),"Overweight",B1945&gt;=30,"Obesity")</f>
        <v>Obesity</v>
      </c>
      <c r="J1945" t="str" cm="1">
        <f t="array" ref="J1945">_xlfn.IFS(C1945&lt;5.7,"Normal",AND(C1945&gt;=5.7,C1945&lt;=6.49),"Prediabetes",C1945&gt;=6.5,"Diabetes")</f>
        <v>Prediabetes</v>
      </c>
    </row>
    <row r="1946" spans="1:10" x14ac:dyDescent="0.3">
      <c r="A1946" t="s">
        <v>423</v>
      </c>
      <c r="B1946" s="8">
        <v>20.36</v>
      </c>
      <c r="C1946">
        <v>4.49</v>
      </c>
      <c r="D1946" t="s">
        <v>2379</v>
      </c>
      <c r="E1946" t="s">
        <v>2379</v>
      </c>
      <c r="F1946" t="s">
        <v>2379</v>
      </c>
      <c r="G1946">
        <v>0</v>
      </c>
      <c r="H1946" t="s">
        <v>2379</v>
      </c>
      <c r="I1946" t="str" cm="1">
        <f t="array" ref="I1946">_xlfn.IFS(B1946&lt;18.5,"Underweight",AND(B1946&gt;=18.5,B1946&lt;=24.99),"Normalweight",AND(B1946&gt;=25,B1946&lt;=29.99),"Overweight",B1946&gt;=30,"Obesity")</f>
        <v>Normalweight</v>
      </c>
      <c r="J1946" t="str" cm="1">
        <f t="array" ref="J1946">_xlfn.IFS(C1946&lt;5.7,"Normal",AND(C1946&gt;=5.7,C1946&lt;=6.49),"Prediabetes",C1946&gt;=6.5,"Diabetes")</f>
        <v>Normal</v>
      </c>
    </row>
    <row r="1947" spans="1:10" x14ac:dyDescent="0.3">
      <c r="A1947" t="s">
        <v>422</v>
      </c>
      <c r="B1947" s="8">
        <v>25.46</v>
      </c>
      <c r="C1947">
        <v>4.1399999999999997</v>
      </c>
      <c r="D1947" t="s">
        <v>2379</v>
      </c>
      <c r="E1947" t="s">
        <v>2379</v>
      </c>
      <c r="F1947" t="s">
        <v>2379</v>
      </c>
      <c r="G1947">
        <v>1</v>
      </c>
      <c r="H1947" t="s">
        <v>2379</v>
      </c>
      <c r="I1947" t="str" cm="1">
        <f t="array" ref="I1947">_xlfn.IFS(B1947&lt;18.5,"Underweight",AND(B1947&gt;=18.5,B1947&lt;=24.99),"Normalweight",AND(B1947&gt;=25,B1947&lt;=29.99),"Overweight",B1947&gt;=30,"Obesity")</f>
        <v>Overweight</v>
      </c>
      <c r="J1947" t="str" cm="1">
        <f t="array" ref="J1947">_xlfn.IFS(C1947&lt;5.7,"Normal",AND(C1947&gt;=5.7,C1947&lt;=6.49),"Prediabetes",C1947&gt;=6.5,"Diabetes")</f>
        <v>Normal</v>
      </c>
    </row>
    <row r="1948" spans="1:10" x14ac:dyDescent="0.3">
      <c r="A1948" t="s">
        <v>421</v>
      </c>
      <c r="B1948" s="8">
        <v>17.09</v>
      </c>
      <c r="C1948">
        <v>5.8</v>
      </c>
      <c r="D1948" t="s">
        <v>2381</v>
      </c>
      <c r="E1948" t="s">
        <v>2379</v>
      </c>
      <c r="F1948" t="s">
        <v>2379</v>
      </c>
      <c r="G1948">
        <v>0</v>
      </c>
      <c r="H1948" t="s">
        <v>2379</v>
      </c>
      <c r="I1948" t="str" cm="1">
        <f t="array" ref="I1948">_xlfn.IFS(B1948&lt;18.5,"Underweight",AND(B1948&gt;=18.5,B1948&lt;=24.99),"Normalweight",AND(B1948&gt;=25,B1948&lt;=29.99),"Overweight",B1948&gt;=30,"Obesity")</f>
        <v>Underweight</v>
      </c>
      <c r="J1948" t="str" cm="1">
        <f t="array" ref="J1948">_xlfn.IFS(C1948&lt;5.7,"Normal",AND(C1948&gt;=5.7,C1948&lt;=6.49),"Prediabetes",C1948&gt;=6.5,"Diabetes")</f>
        <v>Prediabetes</v>
      </c>
    </row>
    <row r="1949" spans="1:10" x14ac:dyDescent="0.3">
      <c r="A1949" t="s">
        <v>420</v>
      </c>
      <c r="B1949" s="8">
        <v>20.83</v>
      </c>
      <c r="C1949">
        <v>5.12</v>
      </c>
      <c r="D1949" t="s">
        <v>2379</v>
      </c>
      <c r="E1949" t="s">
        <v>2379</v>
      </c>
      <c r="F1949" t="s">
        <v>2379</v>
      </c>
      <c r="G1949">
        <v>0</v>
      </c>
      <c r="H1949" t="s">
        <v>2379</v>
      </c>
      <c r="I1949" t="str" cm="1">
        <f t="array" ref="I1949">_xlfn.IFS(B1949&lt;18.5,"Underweight",AND(B1949&gt;=18.5,B1949&lt;=24.99),"Normalweight",AND(B1949&gt;=25,B1949&lt;=29.99),"Overweight",B1949&gt;=30,"Obesity")</f>
        <v>Normalweight</v>
      </c>
      <c r="J1949" t="str" cm="1">
        <f t="array" ref="J1949">_xlfn.IFS(C1949&lt;5.7,"Normal",AND(C1949&gt;=5.7,C1949&lt;=6.49),"Prediabetes",C1949&gt;=6.5,"Diabetes")</f>
        <v>Normal</v>
      </c>
    </row>
    <row r="1950" spans="1:10" x14ac:dyDescent="0.3">
      <c r="A1950" t="s">
        <v>419</v>
      </c>
      <c r="B1950" s="8">
        <v>18.920000000000002</v>
      </c>
      <c r="C1950">
        <v>5.98</v>
      </c>
      <c r="D1950" t="s">
        <v>2381</v>
      </c>
      <c r="E1950" t="s">
        <v>2379</v>
      </c>
      <c r="F1950" t="s">
        <v>2379</v>
      </c>
      <c r="G1950">
        <v>1</v>
      </c>
      <c r="H1950" t="s">
        <v>2379</v>
      </c>
      <c r="I1950" t="str" cm="1">
        <f t="array" ref="I1950">_xlfn.IFS(B1950&lt;18.5,"Underweight",AND(B1950&gt;=18.5,B1950&lt;=24.99),"Normalweight",AND(B1950&gt;=25,B1950&lt;=29.99),"Overweight",B1950&gt;=30,"Obesity")</f>
        <v>Normalweight</v>
      </c>
      <c r="J1950" t="str" cm="1">
        <f t="array" ref="J1950">_xlfn.IFS(C1950&lt;5.7,"Normal",AND(C1950&gt;=5.7,C1950&lt;=6.49),"Prediabetes",C1950&gt;=6.5,"Diabetes")</f>
        <v>Prediabetes</v>
      </c>
    </row>
    <row r="1951" spans="1:10" x14ac:dyDescent="0.3">
      <c r="A1951" t="s">
        <v>418</v>
      </c>
      <c r="B1951" s="8">
        <v>37.1</v>
      </c>
      <c r="C1951">
        <v>5.46</v>
      </c>
      <c r="D1951" t="s">
        <v>2379</v>
      </c>
      <c r="E1951" t="s">
        <v>2379</v>
      </c>
      <c r="F1951" t="s">
        <v>2379</v>
      </c>
      <c r="G1951">
        <v>0</v>
      </c>
      <c r="H1951" t="s">
        <v>2379</v>
      </c>
      <c r="I1951" t="str" cm="1">
        <f t="array" ref="I1951">_xlfn.IFS(B1951&lt;18.5,"Underweight",AND(B1951&gt;=18.5,B1951&lt;=24.99),"Normalweight",AND(B1951&gt;=25,B1951&lt;=29.99),"Overweight",B1951&gt;=30,"Obesity")</f>
        <v>Obesity</v>
      </c>
      <c r="J1951" t="str" cm="1">
        <f t="array" ref="J1951">_xlfn.IFS(C1951&lt;5.7,"Normal",AND(C1951&gt;=5.7,C1951&lt;=6.49),"Prediabetes",C1951&gt;=6.5,"Diabetes")</f>
        <v>Normal</v>
      </c>
    </row>
    <row r="1952" spans="1:10" x14ac:dyDescent="0.3">
      <c r="A1952" t="s">
        <v>417</v>
      </c>
      <c r="B1952" s="8">
        <v>22.515000000000001</v>
      </c>
      <c r="C1952">
        <v>4.91</v>
      </c>
      <c r="D1952" t="s">
        <v>2381</v>
      </c>
      <c r="E1952" t="s">
        <v>2379</v>
      </c>
      <c r="F1952" t="s">
        <v>2381</v>
      </c>
      <c r="G1952">
        <v>1</v>
      </c>
      <c r="H1952" t="s">
        <v>2379</v>
      </c>
      <c r="I1952" t="str" cm="1">
        <f t="array" ref="I1952">_xlfn.IFS(B1952&lt;18.5,"Underweight",AND(B1952&gt;=18.5,B1952&lt;=24.99),"Normalweight",AND(B1952&gt;=25,B1952&lt;=29.99),"Overweight",B1952&gt;=30,"Obesity")</f>
        <v>Normalweight</v>
      </c>
      <c r="J1952" t="str" cm="1">
        <f t="array" ref="J1952">_xlfn.IFS(C1952&lt;5.7,"Normal",AND(C1952&gt;=5.7,C1952&lt;=6.49),"Prediabetes",C1952&gt;=6.5,"Diabetes")</f>
        <v>Normal</v>
      </c>
    </row>
    <row r="1953" spans="1:10" x14ac:dyDescent="0.3">
      <c r="A1953" t="s">
        <v>416</v>
      </c>
      <c r="B1953" s="8">
        <v>32.700000000000003</v>
      </c>
      <c r="C1953">
        <v>4.66</v>
      </c>
      <c r="D1953" t="s">
        <v>2379</v>
      </c>
      <c r="E1953" t="s">
        <v>2379</v>
      </c>
      <c r="F1953" t="s">
        <v>2379</v>
      </c>
      <c r="G1953">
        <v>0</v>
      </c>
      <c r="H1953" t="s">
        <v>2379</v>
      </c>
      <c r="I1953" t="str" cm="1">
        <f t="array" ref="I1953">_xlfn.IFS(B1953&lt;18.5,"Underweight",AND(B1953&gt;=18.5,B1953&lt;=24.99),"Normalweight",AND(B1953&gt;=25,B1953&lt;=29.99),"Overweight",B1953&gt;=30,"Obesity")</f>
        <v>Obesity</v>
      </c>
      <c r="J1953" t="str" cm="1">
        <f t="array" ref="J1953">_xlfn.IFS(C1953&lt;5.7,"Normal",AND(C1953&gt;=5.7,C1953&lt;=6.49),"Prediabetes",C1953&gt;=6.5,"Diabetes")</f>
        <v>Normal</v>
      </c>
    </row>
    <row r="1954" spans="1:10" x14ac:dyDescent="0.3">
      <c r="A1954" t="s">
        <v>415</v>
      </c>
      <c r="B1954" s="8">
        <v>17.75</v>
      </c>
      <c r="C1954">
        <v>6.8</v>
      </c>
      <c r="D1954" t="s">
        <v>2381</v>
      </c>
      <c r="E1954" t="s">
        <v>2379</v>
      </c>
      <c r="F1954" t="s">
        <v>2379</v>
      </c>
      <c r="G1954">
        <v>1</v>
      </c>
      <c r="H1954" t="s">
        <v>2379</v>
      </c>
      <c r="I1954" t="str" cm="1">
        <f t="array" ref="I1954">_xlfn.IFS(B1954&lt;18.5,"Underweight",AND(B1954&gt;=18.5,B1954&lt;=24.99),"Normalweight",AND(B1954&gt;=25,B1954&lt;=29.99),"Overweight",B1954&gt;=30,"Obesity")</f>
        <v>Underweight</v>
      </c>
      <c r="J1954" t="str" cm="1">
        <f t="array" ref="J1954">_xlfn.IFS(C1954&lt;5.7,"Normal",AND(C1954&gt;=5.7,C1954&lt;=6.49),"Prediabetes",C1954&gt;=6.5,"Diabetes")</f>
        <v>Diabetes</v>
      </c>
    </row>
    <row r="1955" spans="1:10" x14ac:dyDescent="0.3">
      <c r="A1955" t="s">
        <v>414</v>
      </c>
      <c r="B1955" s="8">
        <v>33.630000000000003</v>
      </c>
      <c r="C1955">
        <v>4.47</v>
      </c>
      <c r="D1955" t="s">
        <v>2381</v>
      </c>
      <c r="E1955" t="s">
        <v>2379</v>
      </c>
      <c r="F1955" t="s">
        <v>2379</v>
      </c>
      <c r="G1955">
        <v>0</v>
      </c>
      <c r="H1955" t="s">
        <v>2379</v>
      </c>
      <c r="I1955" t="str" cm="1">
        <f t="array" ref="I1955">_xlfn.IFS(B1955&lt;18.5,"Underweight",AND(B1955&gt;=18.5,B1955&lt;=24.99),"Normalweight",AND(B1955&gt;=25,B1955&lt;=29.99),"Overweight",B1955&gt;=30,"Obesity")</f>
        <v>Obesity</v>
      </c>
      <c r="J1955" t="str" cm="1">
        <f t="array" ref="J1955">_xlfn.IFS(C1955&lt;5.7,"Normal",AND(C1955&gt;=5.7,C1955&lt;=6.49),"Prediabetes",C1955&gt;=6.5,"Diabetes")</f>
        <v>Normal</v>
      </c>
    </row>
    <row r="1956" spans="1:10" x14ac:dyDescent="0.3">
      <c r="A1956" t="s">
        <v>413</v>
      </c>
      <c r="B1956" s="8">
        <v>34.799999999999997</v>
      </c>
      <c r="C1956">
        <v>4.08</v>
      </c>
      <c r="D1956" t="s">
        <v>2381</v>
      </c>
      <c r="E1956" t="s">
        <v>2379</v>
      </c>
      <c r="F1956" t="s">
        <v>2379</v>
      </c>
      <c r="G1956">
        <v>1</v>
      </c>
      <c r="H1956" t="s">
        <v>2379</v>
      </c>
      <c r="I1956" t="str" cm="1">
        <f t="array" ref="I1956">_xlfn.IFS(B1956&lt;18.5,"Underweight",AND(B1956&gt;=18.5,B1956&lt;=24.99),"Normalweight",AND(B1956&gt;=25,B1956&lt;=29.99),"Overweight",B1956&gt;=30,"Obesity")</f>
        <v>Obesity</v>
      </c>
      <c r="J1956" t="str" cm="1">
        <f t="array" ref="J1956">_xlfn.IFS(C1956&lt;5.7,"Normal",AND(C1956&gt;=5.7,C1956&lt;=6.49),"Prediabetes",C1956&gt;=6.5,"Diabetes")</f>
        <v>Normal</v>
      </c>
    </row>
    <row r="1957" spans="1:10" x14ac:dyDescent="0.3">
      <c r="A1957" t="s">
        <v>412</v>
      </c>
      <c r="B1957" s="8">
        <v>16.809999999999999</v>
      </c>
      <c r="C1957">
        <v>5.51</v>
      </c>
      <c r="D1957" t="s">
        <v>2381</v>
      </c>
      <c r="E1957" t="s">
        <v>2379</v>
      </c>
      <c r="F1957" t="s">
        <v>2379</v>
      </c>
      <c r="G1957">
        <v>1</v>
      </c>
      <c r="H1957" t="s">
        <v>2379</v>
      </c>
      <c r="I1957" t="str" cm="1">
        <f t="array" ref="I1957">_xlfn.IFS(B1957&lt;18.5,"Underweight",AND(B1957&gt;=18.5,B1957&lt;=24.99),"Normalweight",AND(B1957&gt;=25,B1957&lt;=29.99),"Overweight",B1957&gt;=30,"Obesity")</f>
        <v>Underweight</v>
      </c>
      <c r="J1957" t="str" cm="1">
        <f t="array" ref="J1957">_xlfn.IFS(C1957&lt;5.7,"Normal",AND(C1957&gt;=5.7,C1957&lt;=6.49),"Prediabetes",C1957&gt;=6.5,"Diabetes")</f>
        <v>Normal</v>
      </c>
    </row>
    <row r="1958" spans="1:10" x14ac:dyDescent="0.3">
      <c r="A1958" t="s">
        <v>411</v>
      </c>
      <c r="B1958" s="8">
        <v>16.690000000000001</v>
      </c>
      <c r="C1958">
        <v>8.4</v>
      </c>
      <c r="D1958" t="s">
        <v>2381</v>
      </c>
      <c r="E1958" t="s">
        <v>2379</v>
      </c>
      <c r="F1958" t="s">
        <v>2379</v>
      </c>
      <c r="G1958">
        <v>0</v>
      </c>
      <c r="H1958" t="s">
        <v>2379</v>
      </c>
      <c r="I1958" t="str" cm="1">
        <f t="array" ref="I1958">_xlfn.IFS(B1958&lt;18.5,"Underweight",AND(B1958&gt;=18.5,B1958&lt;=24.99),"Normalweight",AND(B1958&gt;=25,B1958&lt;=29.99),"Overweight",B1958&gt;=30,"Obesity")</f>
        <v>Underweight</v>
      </c>
      <c r="J1958" t="str" cm="1">
        <f t="array" ref="J1958">_xlfn.IFS(C1958&lt;5.7,"Normal",AND(C1958&gt;=5.7,C1958&lt;=6.49),"Prediabetes",C1958&gt;=6.5,"Diabetes")</f>
        <v>Diabetes</v>
      </c>
    </row>
    <row r="1959" spans="1:10" x14ac:dyDescent="0.3">
      <c r="A1959" t="s">
        <v>410</v>
      </c>
      <c r="B1959" s="8">
        <v>23.21</v>
      </c>
      <c r="C1959">
        <v>5.14</v>
      </c>
      <c r="D1959" t="s">
        <v>2381</v>
      </c>
      <c r="E1959" t="s">
        <v>2379</v>
      </c>
      <c r="F1959" t="s">
        <v>2379</v>
      </c>
      <c r="G1959">
        <v>1</v>
      </c>
      <c r="H1959" t="s">
        <v>2379</v>
      </c>
      <c r="I1959" t="str" cm="1">
        <f t="array" ref="I1959">_xlfn.IFS(B1959&lt;18.5,"Underweight",AND(B1959&gt;=18.5,B1959&lt;=24.99),"Normalweight",AND(B1959&gt;=25,B1959&lt;=29.99),"Overweight",B1959&gt;=30,"Obesity")</f>
        <v>Normalweight</v>
      </c>
      <c r="J1959" t="str" cm="1">
        <f t="array" ref="J1959">_xlfn.IFS(C1959&lt;5.7,"Normal",AND(C1959&gt;=5.7,C1959&lt;=6.49),"Prediabetes",C1959&gt;=6.5,"Diabetes")</f>
        <v>Normal</v>
      </c>
    </row>
    <row r="1960" spans="1:10" x14ac:dyDescent="0.3">
      <c r="A1960" t="s">
        <v>409</v>
      </c>
      <c r="B1960" s="8">
        <v>25.175000000000001</v>
      </c>
      <c r="C1960">
        <v>5.21</v>
      </c>
      <c r="D1960" t="s">
        <v>2381</v>
      </c>
      <c r="E1960" t="s">
        <v>2379</v>
      </c>
      <c r="F1960" t="s">
        <v>2379</v>
      </c>
      <c r="G1960">
        <v>1</v>
      </c>
      <c r="H1960" t="s">
        <v>2379</v>
      </c>
      <c r="I1960" t="str" cm="1">
        <f t="array" ref="I1960">_xlfn.IFS(B1960&lt;18.5,"Underweight",AND(B1960&gt;=18.5,B1960&lt;=24.99),"Normalweight",AND(B1960&gt;=25,B1960&lt;=29.99),"Overweight",B1960&gt;=30,"Obesity")</f>
        <v>Overweight</v>
      </c>
      <c r="J1960" t="str" cm="1">
        <f t="array" ref="J1960">_xlfn.IFS(C1960&lt;5.7,"Normal",AND(C1960&gt;=5.7,C1960&lt;=6.49),"Prediabetes",C1960&gt;=6.5,"Diabetes")</f>
        <v>Normal</v>
      </c>
    </row>
    <row r="1961" spans="1:10" x14ac:dyDescent="0.3">
      <c r="A1961" t="s">
        <v>408</v>
      </c>
      <c r="B1961" s="8">
        <v>34.770000000000003</v>
      </c>
      <c r="C1961">
        <v>6.23</v>
      </c>
      <c r="D1961" t="s">
        <v>2379</v>
      </c>
      <c r="E1961" t="s">
        <v>2379</v>
      </c>
      <c r="F1961" t="s">
        <v>2379</v>
      </c>
      <c r="G1961">
        <v>0</v>
      </c>
      <c r="H1961" t="s">
        <v>2379</v>
      </c>
      <c r="I1961" t="str" cm="1">
        <f t="array" ref="I1961">_xlfn.IFS(B1961&lt;18.5,"Underweight",AND(B1961&gt;=18.5,B1961&lt;=24.99),"Normalweight",AND(B1961&gt;=25,B1961&lt;=29.99),"Overweight",B1961&gt;=30,"Obesity")</f>
        <v>Obesity</v>
      </c>
      <c r="J1961" t="str" cm="1">
        <f t="array" ref="J1961">_xlfn.IFS(C1961&lt;5.7,"Normal",AND(C1961&gt;=5.7,C1961&lt;=6.49),"Prediabetes",C1961&gt;=6.5,"Diabetes")</f>
        <v>Prediabetes</v>
      </c>
    </row>
    <row r="1962" spans="1:10" x14ac:dyDescent="0.3">
      <c r="A1962" t="s">
        <v>407</v>
      </c>
      <c r="B1962" s="8">
        <v>27.7</v>
      </c>
      <c r="C1962">
        <v>5.6</v>
      </c>
      <c r="D1962" t="s">
        <v>2379</v>
      </c>
      <c r="E1962" t="s">
        <v>2379</v>
      </c>
      <c r="F1962" t="s">
        <v>2379</v>
      </c>
      <c r="G1962">
        <v>1</v>
      </c>
      <c r="H1962" t="s">
        <v>2379</v>
      </c>
      <c r="I1962" t="str" cm="1">
        <f t="array" ref="I1962">_xlfn.IFS(B1962&lt;18.5,"Underweight",AND(B1962&gt;=18.5,B1962&lt;=24.99),"Normalweight",AND(B1962&gt;=25,B1962&lt;=29.99),"Overweight",B1962&gt;=30,"Obesity")</f>
        <v>Overweight</v>
      </c>
      <c r="J1962" t="str" cm="1">
        <f t="array" ref="J1962">_xlfn.IFS(C1962&lt;5.7,"Normal",AND(C1962&gt;=5.7,C1962&lt;=6.49),"Prediabetes",C1962&gt;=6.5,"Diabetes")</f>
        <v>Normal</v>
      </c>
    </row>
    <row r="1963" spans="1:10" x14ac:dyDescent="0.3">
      <c r="A1963" t="s">
        <v>406</v>
      </c>
      <c r="B1963" s="8">
        <v>19.12</v>
      </c>
      <c r="C1963">
        <v>4.72</v>
      </c>
      <c r="D1963" t="s">
        <v>2381</v>
      </c>
      <c r="E1963" t="s">
        <v>2379</v>
      </c>
      <c r="F1963" t="s">
        <v>2379</v>
      </c>
      <c r="G1963">
        <v>1</v>
      </c>
      <c r="H1963" t="s">
        <v>2379</v>
      </c>
      <c r="I1963" t="str" cm="1">
        <f t="array" ref="I1963">_xlfn.IFS(B1963&lt;18.5,"Underweight",AND(B1963&gt;=18.5,B1963&lt;=24.99),"Normalweight",AND(B1963&gt;=25,B1963&lt;=29.99),"Overweight",B1963&gt;=30,"Obesity")</f>
        <v>Normalweight</v>
      </c>
      <c r="J1963" t="str" cm="1">
        <f t="array" ref="J1963">_xlfn.IFS(C1963&lt;5.7,"Normal",AND(C1963&gt;=5.7,C1963&lt;=6.49),"Prediabetes",C1963&gt;=6.5,"Diabetes")</f>
        <v>Normal</v>
      </c>
    </row>
    <row r="1964" spans="1:10" x14ac:dyDescent="0.3">
      <c r="A1964" t="s">
        <v>405</v>
      </c>
      <c r="B1964" s="8">
        <v>32.67</v>
      </c>
      <c r="C1964">
        <v>4.67</v>
      </c>
      <c r="D1964" t="s">
        <v>2379</v>
      </c>
      <c r="E1964" t="s">
        <v>2379</v>
      </c>
      <c r="F1964" t="s">
        <v>2381</v>
      </c>
      <c r="G1964">
        <v>1</v>
      </c>
      <c r="H1964" t="s">
        <v>2379</v>
      </c>
      <c r="I1964" t="str" cm="1">
        <f t="array" ref="I1964">_xlfn.IFS(B1964&lt;18.5,"Underweight",AND(B1964&gt;=18.5,B1964&lt;=24.99),"Normalweight",AND(B1964&gt;=25,B1964&lt;=29.99),"Overweight",B1964&gt;=30,"Obesity")</f>
        <v>Obesity</v>
      </c>
      <c r="J1964" t="str" cm="1">
        <f t="array" ref="J1964">_xlfn.IFS(C1964&lt;5.7,"Normal",AND(C1964&gt;=5.7,C1964&lt;=6.49),"Prediabetes",C1964&gt;=6.5,"Diabetes")</f>
        <v>Normal</v>
      </c>
    </row>
    <row r="1965" spans="1:10" x14ac:dyDescent="0.3">
      <c r="A1965" t="s">
        <v>404</v>
      </c>
      <c r="B1965" s="8">
        <v>28.5</v>
      </c>
      <c r="C1965">
        <v>6.11</v>
      </c>
      <c r="D1965" t="s">
        <v>2379</v>
      </c>
      <c r="E1965" t="s">
        <v>2379</v>
      </c>
      <c r="F1965" t="s">
        <v>2379</v>
      </c>
      <c r="G1965">
        <v>1</v>
      </c>
      <c r="H1965" t="s">
        <v>2379</v>
      </c>
      <c r="I1965" t="str" cm="1">
        <f t="array" ref="I1965">_xlfn.IFS(B1965&lt;18.5,"Underweight",AND(B1965&gt;=18.5,B1965&lt;=24.99),"Normalweight",AND(B1965&gt;=25,B1965&lt;=29.99),"Overweight",B1965&gt;=30,"Obesity")</f>
        <v>Overweight</v>
      </c>
      <c r="J1965" t="str" cm="1">
        <f t="array" ref="J1965">_xlfn.IFS(C1965&lt;5.7,"Normal",AND(C1965&gt;=5.7,C1965&lt;=6.49),"Prediabetes",C1965&gt;=6.5,"Diabetes")</f>
        <v>Prediabetes</v>
      </c>
    </row>
    <row r="1966" spans="1:10" x14ac:dyDescent="0.3">
      <c r="A1966" t="s">
        <v>403</v>
      </c>
      <c r="B1966" s="8">
        <v>39.270000000000003</v>
      </c>
      <c r="C1966">
        <v>6.25</v>
      </c>
      <c r="D1966" t="s">
        <v>2379</v>
      </c>
      <c r="E1966" t="s">
        <v>2379</v>
      </c>
      <c r="F1966" t="s">
        <v>2379</v>
      </c>
      <c r="G1966">
        <v>0</v>
      </c>
      <c r="H1966" t="s">
        <v>2379</v>
      </c>
      <c r="I1966" t="str" cm="1">
        <f t="array" ref="I1966">_xlfn.IFS(B1966&lt;18.5,"Underweight",AND(B1966&gt;=18.5,B1966&lt;=24.99),"Normalweight",AND(B1966&gt;=25,B1966&lt;=29.99),"Overweight",B1966&gt;=30,"Obesity")</f>
        <v>Obesity</v>
      </c>
      <c r="J1966" t="str" cm="1">
        <f t="array" ref="J1966">_xlfn.IFS(C1966&lt;5.7,"Normal",AND(C1966&gt;=5.7,C1966&lt;=6.49),"Prediabetes",C1966&gt;=6.5,"Diabetes")</f>
        <v>Prediabetes</v>
      </c>
    </row>
    <row r="1967" spans="1:10" x14ac:dyDescent="0.3">
      <c r="A1967" t="s">
        <v>402</v>
      </c>
      <c r="B1967" s="8">
        <v>32.49</v>
      </c>
      <c r="C1967">
        <v>4</v>
      </c>
      <c r="D1967" t="s">
        <v>2381</v>
      </c>
      <c r="E1967" t="s">
        <v>2379</v>
      </c>
      <c r="F1967" t="s">
        <v>2379</v>
      </c>
      <c r="G1967">
        <v>0</v>
      </c>
      <c r="H1967" t="s">
        <v>2379</v>
      </c>
      <c r="I1967" t="str" cm="1">
        <f t="array" ref="I1967">_xlfn.IFS(B1967&lt;18.5,"Underweight",AND(B1967&gt;=18.5,B1967&lt;=24.99),"Normalweight",AND(B1967&gt;=25,B1967&lt;=29.99),"Overweight",B1967&gt;=30,"Obesity")</f>
        <v>Obesity</v>
      </c>
      <c r="J1967" t="str" cm="1">
        <f t="array" ref="J1967">_xlfn.IFS(C1967&lt;5.7,"Normal",AND(C1967&gt;=5.7,C1967&lt;=6.49),"Prediabetes",C1967&gt;=6.5,"Diabetes")</f>
        <v>Normal</v>
      </c>
    </row>
    <row r="1968" spans="1:10" x14ac:dyDescent="0.3">
      <c r="A1968" t="s">
        <v>401</v>
      </c>
      <c r="B1968" s="8">
        <v>23.7</v>
      </c>
      <c r="C1968">
        <v>5.55</v>
      </c>
      <c r="D1968" t="s">
        <v>2381</v>
      </c>
      <c r="E1968" t="s">
        <v>2379</v>
      </c>
      <c r="F1968" t="s">
        <v>2379</v>
      </c>
      <c r="G1968">
        <v>0</v>
      </c>
      <c r="H1968" t="s">
        <v>2379</v>
      </c>
      <c r="I1968" t="str" cm="1">
        <f t="array" ref="I1968">_xlfn.IFS(B1968&lt;18.5,"Underweight",AND(B1968&gt;=18.5,B1968&lt;=24.99),"Normalweight",AND(B1968&gt;=25,B1968&lt;=29.99),"Overweight",B1968&gt;=30,"Obesity")</f>
        <v>Normalweight</v>
      </c>
      <c r="J1968" t="str" cm="1">
        <f t="array" ref="J1968">_xlfn.IFS(C1968&lt;5.7,"Normal",AND(C1968&gt;=5.7,C1968&lt;=6.49),"Prediabetes",C1968&gt;=6.5,"Diabetes")</f>
        <v>Normal</v>
      </c>
    </row>
    <row r="1969" spans="1:10" x14ac:dyDescent="0.3">
      <c r="A1969" t="s">
        <v>400</v>
      </c>
      <c r="B1969" s="8">
        <v>30.4</v>
      </c>
      <c r="C1969">
        <v>5.95</v>
      </c>
      <c r="D1969" t="s">
        <v>2379</v>
      </c>
      <c r="E1969" t="s">
        <v>2380</v>
      </c>
      <c r="F1969" t="s">
        <v>2379</v>
      </c>
      <c r="G1969">
        <v>1</v>
      </c>
      <c r="H1969" t="s">
        <v>2379</v>
      </c>
      <c r="I1969" t="str" cm="1">
        <f t="array" ref="I1969">_xlfn.IFS(B1969&lt;18.5,"Underweight",AND(B1969&gt;=18.5,B1969&lt;=24.99),"Normalweight",AND(B1969&gt;=25,B1969&lt;=29.99),"Overweight",B1969&gt;=30,"Obesity")</f>
        <v>Obesity</v>
      </c>
      <c r="J1969" t="str" cm="1">
        <f t="array" ref="J1969">_xlfn.IFS(C1969&lt;5.7,"Normal",AND(C1969&gt;=5.7,C1969&lt;=6.49),"Prediabetes",C1969&gt;=6.5,"Diabetes")</f>
        <v>Prediabetes</v>
      </c>
    </row>
    <row r="1970" spans="1:10" x14ac:dyDescent="0.3">
      <c r="A1970" t="s">
        <v>399</v>
      </c>
      <c r="B1970" s="8">
        <v>38.94</v>
      </c>
      <c r="C1970">
        <v>4.3600000000000003</v>
      </c>
      <c r="D1970" t="s">
        <v>2379</v>
      </c>
      <c r="E1970" t="s">
        <v>2379</v>
      </c>
      <c r="F1970" t="s">
        <v>2381</v>
      </c>
      <c r="G1970">
        <v>1</v>
      </c>
      <c r="H1970" t="s">
        <v>2379</v>
      </c>
      <c r="I1970" t="str" cm="1">
        <f t="array" ref="I1970">_xlfn.IFS(B1970&lt;18.5,"Underweight",AND(B1970&gt;=18.5,B1970&lt;=24.99),"Normalweight",AND(B1970&gt;=25,B1970&lt;=29.99),"Overweight",B1970&gt;=30,"Obesity")</f>
        <v>Obesity</v>
      </c>
      <c r="J1970" t="str" cm="1">
        <f t="array" ref="J1970">_xlfn.IFS(C1970&lt;5.7,"Normal",AND(C1970&gt;=5.7,C1970&lt;=6.49),"Prediabetes",C1970&gt;=6.5,"Diabetes")</f>
        <v>Normal</v>
      </c>
    </row>
    <row r="1971" spans="1:10" x14ac:dyDescent="0.3">
      <c r="A1971" t="s">
        <v>398</v>
      </c>
      <c r="B1971" s="8">
        <v>31.02</v>
      </c>
      <c r="C1971">
        <v>4.84</v>
      </c>
      <c r="D1971" t="s">
        <v>2379</v>
      </c>
      <c r="E1971" t="s">
        <v>2379</v>
      </c>
      <c r="F1971" t="s">
        <v>2381</v>
      </c>
      <c r="G1971">
        <v>1</v>
      </c>
      <c r="H1971" t="s">
        <v>2379</v>
      </c>
      <c r="I1971" t="str" cm="1">
        <f t="array" ref="I1971">_xlfn.IFS(B1971&lt;18.5,"Underweight",AND(B1971&gt;=18.5,B1971&lt;=24.99),"Normalweight",AND(B1971&gt;=25,B1971&lt;=29.99),"Overweight",B1971&gt;=30,"Obesity")</f>
        <v>Obesity</v>
      </c>
      <c r="J1971" t="str" cm="1">
        <f t="array" ref="J1971">_xlfn.IFS(C1971&lt;5.7,"Normal",AND(C1971&gt;=5.7,C1971&lt;=6.49),"Prediabetes",C1971&gt;=6.5,"Diabetes")</f>
        <v>Normal</v>
      </c>
    </row>
    <row r="1972" spans="1:10" x14ac:dyDescent="0.3">
      <c r="A1972" t="s">
        <v>397</v>
      </c>
      <c r="B1972" s="8">
        <v>17.5</v>
      </c>
      <c r="C1972">
        <v>4.5599999999999996</v>
      </c>
      <c r="D1972" t="s">
        <v>2379</v>
      </c>
      <c r="E1972" t="s">
        <v>2379</v>
      </c>
      <c r="F1972" t="s">
        <v>2379</v>
      </c>
      <c r="G1972">
        <v>1</v>
      </c>
      <c r="H1972" t="s">
        <v>2379</v>
      </c>
      <c r="I1972" t="str" cm="1">
        <f t="array" ref="I1972">_xlfn.IFS(B1972&lt;18.5,"Underweight",AND(B1972&gt;=18.5,B1972&lt;=24.99),"Normalweight",AND(B1972&gt;=25,B1972&lt;=29.99),"Overweight",B1972&gt;=30,"Obesity")</f>
        <v>Underweight</v>
      </c>
      <c r="J1972" t="str" cm="1">
        <f t="array" ref="J1972">_xlfn.IFS(C1972&lt;5.7,"Normal",AND(C1972&gt;=5.7,C1972&lt;=6.49),"Prediabetes",C1972&gt;=6.5,"Diabetes")</f>
        <v>Normal</v>
      </c>
    </row>
    <row r="1973" spans="1:10" x14ac:dyDescent="0.3">
      <c r="A1973" t="s">
        <v>396</v>
      </c>
      <c r="B1973" s="8">
        <v>34.799999999999997</v>
      </c>
      <c r="C1973">
        <v>4.42</v>
      </c>
      <c r="D1973" t="s">
        <v>2381</v>
      </c>
      <c r="E1973" t="s">
        <v>2380</v>
      </c>
      <c r="F1973" t="s">
        <v>2379</v>
      </c>
      <c r="G1973">
        <v>2</v>
      </c>
      <c r="H1973" t="s">
        <v>2379</v>
      </c>
      <c r="I1973" t="str" cm="1">
        <f t="array" ref="I1973">_xlfn.IFS(B1973&lt;18.5,"Underweight",AND(B1973&gt;=18.5,B1973&lt;=24.99),"Normalweight",AND(B1973&gt;=25,B1973&lt;=29.99),"Overweight",B1973&gt;=30,"Obesity")</f>
        <v>Obesity</v>
      </c>
      <c r="J1973" t="str" cm="1">
        <f t="array" ref="J1973">_xlfn.IFS(C1973&lt;5.7,"Normal",AND(C1973&gt;=5.7,C1973&lt;=6.49),"Prediabetes",C1973&gt;=6.5,"Diabetes")</f>
        <v>Normal</v>
      </c>
    </row>
    <row r="1974" spans="1:10" x14ac:dyDescent="0.3">
      <c r="A1974" t="s">
        <v>395</v>
      </c>
      <c r="B1974" s="8">
        <v>17.3</v>
      </c>
      <c r="C1974">
        <v>7.66</v>
      </c>
      <c r="D1974" t="s">
        <v>2381</v>
      </c>
      <c r="E1974" t="s">
        <v>2379</v>
      </c>
      <c r="F1974" t="s">
        <v>2379</v>
      </c>
      <c r="G1974">
        <v>1</v>
      </c>
      <c r="H1974" t="s">
        <v>2379</v>
      </c>
      <c r="I1974" t="str" cm="1">
        <f t="array" ref="I1974">_xlfn.IFS(B1974&lt;18.5,"Underweight",AND(B1974&gt;=18.5,B1974&lt;=24.99),"Normalweight",AND(B1974&gt;=25,B1974&lt;=29.99),"Overweight",B1974&gt;=30,"Obesity")</f>
        <v>Underweight</v>
      </c>
      <c r="J1974" t="str" cm="1">
        <f t="array" ref="J1974">_xlfn.IFS(C1974&lt;5.7,"Normal",AND(C1974&gt;=5.7,C1974&lt;=6.49),"Prediabetes",C1974&gt;=6.5,"Diabetes")</f>
        <v>Diabetes</v>
      </c>
    </row>
    <row r="1975" spans="1:10" x14ac:dyDescent="0.3">
      <c r="A1975" t="s">
        <v>394</v>
      </c>
      <c r="B1975" s="8">
        <v>32.25</v>
      </c>
      <c r="C1975">
        <v>5.2</v>
      </c>
      <c r="D1975" t="s">
        <v>2381</v>
      </c>
      <c r="E1975" t="s">
        <v>2379</v>
      </c>
      <c r="F1975" t="s">
        <v>2379</v>
      </c>
      <c r="G1975">
        <v>0</v>
      </c>
      <c r="H1975" t="s">
        <v>2379</v>
      </c>
      <c r="I1975" t="str" cm="1">
        <f t="array" ref="I1975">_xlfn.IFS(B1975&lt;18.5,"Underweight",AND(B1975&gt;=18.5,B1975&lt;=24.99),"Normalweight",AND(B1975&gt;=25,B1975&lt;=29.99),"Overweight",B1975&gt;=30,"Obesity")</f>
        <v>Obesity</v>
      </c>
      <c r="J1975" t="str" cm="1">
        <f t="array" ref="J1975">_xlfn.IFS(C1975&lt;5.7,"Normal",AND(C1975&gt;=5.7,C1975&lt;=6.49),"Prediabetes",C1975&gt;=6.5,"Diabetes")</f>
        <v>Normal</v>
      </c>
    </row>
    <row r="1976" spans="1:10" x14ac:dyDescent="0.3">
      <c r="A1976" t="s">
        <v>393</v>
      </c>
      <c r="B1976" s="8">
        <v>42.4</v>
      </c>
      <c r="C1976">
        <v>5.53</v>
      </c>
      <c r="D1976" t="s">
        <v>2381</v>
      </c>
      <c r="E1976" t="s">
        <v>2379</v>
      </c>
      <c r="F1976" t="s">
        <v>2379</v>
      </c>
      <c r="G1976">
        <v>0</v>
      </c>
      <c r="H1976" t="s">
        <v>2379</v>
      </c>
      <c r="I1976" t="str" cm="1">
        <f t="array" ref="I1976">_xlfn.IFS(B1976&lt;18.5,"Underweight",AND(B1976&gt;=18.5,B1976&lt;=24.99),"Normalweight",AND(B1976&gt;=25,B1976&lt;=29.99),"Overweight",B1976&gt;=30,"Obesity")</f>
        <v>Obesity</v>
      </c>
      <c r="J1976" t="str" cm="1">
        <f t="array" ref="J1976">_xlfn.IFS(C1976&lt;5.7,"Normal",AND(C1976&gt;=5.7,C1976&lt;=6.49),"Prediabetes",C1976&gt;=6.5,"Diabetes")</f>
        <v>Normal</v>
      </c>
    </row>
    <row r="1977" spans="1:10" x14ac:dyDescent="0.3">
      <c r="A1977" t="s">
        <v>392</v>
      </c>
      <c r="B1977" s="8">
        <v>38.664999999999999</v>
      </c>
      <c r="C1977">
        <v>4.8600000000000003</v>
      </c>
      <c r="D1977" t="s">
        <v>2379</v>
      </c>
      <c r="E1977" t="s">
        <v>2380</v>
      </c>
      <c r="F1977" t="s">
        <v>2379</v>
      </c>
      <c r="G1977">
        <v>1</v>
      </c>
      <c r="H1977" t="s">
        <v>2379</v>
      </c>
      <c r="I1977" t="str" cm="1">
        <f t="array" ref="I1977">_xlfn.IFS(B1977&lt;18.5,"Underweight",AND(B1977&gt;=18.5,B1977&lt;=24.99),"Normalweight",AND(B1977&gt;=25,B1977&lt;=29.99),"Overweight",B1977&gt;=30,"Obesity")</f>
        <v>Obesity</v>
      </c>
      <c r="J1977" t="str" cm="1">
        <f t="array" ref="J1977">_xlfn.IFS(C1977&lt;5.7,"Normal",AND(C1977&gt;=5.7,C1977&lt;=6.49),"Prediabetes",C1977&gt;=6.5,"Diabetes")</f>
        <v>Normal</v>
      </c>
    </row>
    <row r="1978" spans="1:10" x14ac:dyDescent="0.3">
      <c r="A1978" t="s">
        <v>391</v>
      </c>
      <c r="B1978" s="8">
        <v>29.92</v>
      </c>
      <c r="C1978">
        <v>5.49</v>
      </c>
      <c r="D1978" t="s">
        <v>2381</v>
      </c>
      <c r="E1978" t="s">
        <v>2379</v>
      </c>
      <c r="F1978" t="s">
        <v>2379</v>
      </c>
      <c r="G1978">
        <v>0</v>
      </c>
      <c r="H1978" t="s">
        <v>2379</v>
      </c>
      <c r="I1978" t="str" cm="1">
        <f t="array" ref="I1978">_xlfn.IFS(B1978&lt;18.5,"Underweight",AND(B1978&gt;=18.5,B1978&lt;=24.99),"Normalweight",AND(B1978&gt;=25,B1978&lt;=29.99),"Overweight",B1978&gt;=30,"Obesity")</f>
        <v>Overweight</v>
      </c>
      <c r="J1978" t="str" cm="1">
        <f t="array" ref="J1978">_xlfn.IFS(C1978&lt;5.7,"Normal",AND(C1978&gt;=5.7,C1978&lt;=6.49),"Prediabetes",C1978&gt;=6.5,"Diabetes")</f>
        <v>Normal</v>
      </c>
    </row>
    <row r="1979" spans="1:10" x14ac:dyDescent="0.3">
      <c r="A1979" t="s">
        <v>390</v>
      </c>
      <c r="B1979" s="8">
        <v>29.48</v>
      </c>
      <c r="C1979">
        <v>4.09</v>
      </c>
      <c r="D1979" t="s">
        <v>2381</v>
      </c>
      <c r="E1979" t="s">
        <v>2379</v>
      </c>
      <c r="F1979" t="s">
        <v>2379</v>
      </c>
      <c r="G1979">
        <v>0</v>
      </c>
      <c r="H1979" t="s">
        <v>2379</v>
      </c>
      <c r="I1979" t="str" cm="1">
        <f t="array" ref="I1979">_xlfn.IFS(B1979&lt;18.5,"Underweight",AND(B1979&gt;=18.5,B1979&lt;=24.99),"Normalweight",AND(B1979&gt;=25,B1979&lt;=29.99),"Overweight",B1979&gt;=30,"Obesity")</f>
        <v>Overweight</v>
      </c>
      <c r="J1979" t="str" cm="1">
        <f t="array" ref="J1979">_xlfn.IFS(C1979&lt;5.7,"Normal",AND(C1979&gt;=5.7,C1979&lt;=6.49),"Prediabetes",C1979&gt;=6.5,"Diabetes")</f>
        <v>Normal</v>
      </c>
    </row>
    <row r="1980" spans="1:10" x14ac:dyDescent="0.3">
      <c r="A1980" t="s">
        <v>389</v>
      </c>
      <c r="B1980" s="8">
        <v>28.785</v>
      </c>
      <c r="C1980">
        <v>4.3099999999999996</v>
      </c>
      <c r="D1980" t="s">
        <v>2381</v>
      </c>
      <c r="E1980" t="s">
        <v>2379</v>
      </c>
      <c r="F1980" t="s">
        <v>2379</v>
      </c>
      <c r="G1980">
        <v>0</v>
      </c>
      <c r="H1980" t="s">
        <v>2379</v>
      </c>
      <c r="I1980" t="str" cm="1">
        <f t="array" ref="I1980">_xlfn.IFS(B1980&lt;18.5,"Underweight",AND(B1980&gt;=18.5,B1980&lt;=24.99),"Normalweight",AND(B1980&gt;=25,B1980&lt;=29.99),"Overweight",B1980&gt;=30,"Obesity")</f>
        <v>Overweight</v>
      </c>
      <c r="J1980" t="str" cm="1">
        <f t="array" ref="J1980">_xlfn.IFS(C1980&lt;5.7,"Normal",AND(C1980&gt;=5.7,C1980&lt;=6.49),"Prediabetes",C1980&gt;=6.5,"Diabetes")</f>
        <v>Normal</v>
      </c>
    </row>
    <row r="1981" spans="1:10" x14ac:dyDescent="0.3">
      <c r="A1981" t="s">
        <v>388</v>
      </c>
      <c r="B1981" s="8">
        <v>19.8</v>
      </c>
      <c r="C1981">
        <v>4</v>
      </c>
      <c r="D1981" t="s">
        <v>2381</v>
      </c>
      <c r="E1981" t="s">
        <v>2379</v>
      </c>
      <c r="F1981" t="s">
        <v>2379</v>
      </c>
      <c r="G1981">
        <v>0</v>
      </c>
      <c r="H1981" t="s">
        <v>2379</v>
      </c>
      <c r="I1981" t="str" cm="1">
        <f t="array" ref="I1981">_xlfn.IFS(B1981&lt;18.5,"Underweight",AND(B1981&gt;=18.5,B1981&lt;=24.99),"Normalweight",AND(B1981&gt;=25,B1981&lt;=29.99),"Overweight",B1981&gt;=30,"Obesity")</f>
        <v>Normalweight</v>
      </c>
      <c r="J1981" t="str" cm="1">
        <f t="array" ref="J1981">_xlfn.IFS(C1981&lt;5.7,"Normal",AND(C1981&gt;=5.7,C1981&lt;=6.49),"Prediabetes",C1981&gt;=6.5,"Diabetes")</f>
        <v>Normal</v>
      </c>
    </row>
    <row r="1982" spans="1:10" x14ac:dyDescent="0.3">
      <c r="A1982" t="s">
        <v>387</v>
      </c>
      <c r="B1982" s="8">
        <v>35.53</v>
      </c>
      <c r="C1982">
        <v>4.68</v>
      </c>
      <c r="D1982" t="s">
        <v>2379</v>
      </c>
      <c r="E1982" t="s">
        <v>2379</v>
      </c>
      <c r="F1982" t="s">
        <v>2381</v>
      </c>
      <c r="G1982">
        <v>1</v>
      </c>
      <c r="H1982" t="s">
        <v>2379</v>
      </c>
      <c r="I1982" t="str" cm="1">
        <f t="array" ref="I1982">_xlfn.IFS(B1982&lt;18.5,"Underweight",AND(B1982&gt;=18.5,B1982&lt;=24.99),"Normalweight",AND(B1982&gt;=25,B1982&lt;=29.99),"Overweight",B1982&gt;=30,"Obesity")</f>
        <v>Obesity</v>
      </c>
      <c r="J1982" t="str" cm="1">
        <f t="array" ref="J1982">_xlfn.IFS(C1982&lt;5.7,"Normal",AND(C1982&gt;=5.7,C1982&lt;=6.49),"Prediabetes",C1982&gt;=6.5,"Diabetes")</f>
        <v>Normal</v>
      </c>
    </row>
    <row r="1983" spans="1:10" x14ac:dyDescent="0.3">
      <c r="A1983" t="s">
        <v>386</v>
      </c>
      <c r="B1983" s="8">
        <v>21.47</v>
      </c>
      <c r="C1983">
        <v>4.0199999999999996</v>
      </c>
      <c r="D1983" t="s">
        <v>2381</v>
      </c>
      <c r="E1983" t="s">
        <v>2379</v>
      </c>
      <c r="F1983" t="s">
        <v>2379</v>
      </c>
      <c r="G1983">
        <v>1</v>
      </c>
      <c r="H1983" t="s">
        <v>2379</v>
      </c>
      <c r="I1983" t="str" cm="1">
        <f t="array" ref="I1983">_xlfn.IFS(B1983&lt;18.5,"Underweight",AND(B1983&gt;=18.5,B1983&lt;=24.99),"Normalweight",AND(B1983&gt;=25,B1983&lt;=29.99),"Overweight",B1983&gt;=30,"Obesity")</f>
        <v>Normalweight</v>
      </c>
      <c r="J1983" t="str" cm="1">
        <f t="array" ref="J1983">_xlfn.IFS(C1983&lt;5.7,"Normal",AND(C1983&gt;=5.7,C1983&lt;=6.49),"Prediabetes",C1983&gt;=6.5,"Diabetes")</f>
        <v>Normal</v>
      </c>
    </row>
    <row r="1984" spans="1:10" x14ac:dyDescent="0.3">
      <c r="A1984" t="s">
        <v>385</v>
      </c>
      <c r="B1984" s="8">
        <v>25.9</v>
      </c>
      <c r="C1984">
        <v>5.12</v>
      </c>
      <c r="D1984" t="s">
        <v>2379</v>
      </c>
      <c r="E1984" t="s">
        <v>2379</v>
      </c>
      <c r="F1984" t="s">
        <v>2381</v>
      </c>
      <c r="G1984">
        <v>1</v>
      </c>
      <c r="H1984" t="s">
        <v>2379</v>
      </c>
      <c r="I1984" t="str" cm="1">
        <f t="array" ref="I1984">_xlfn.IFS(B1984&lt;18.5,"Underweight",AND(B1984&gt;=18.5,B1984&lt;=24.99),"Normalweight",AND(B1984&gt;=25,B1984&lt;=29.99),"Overweight",B1984&gt;=30,"Obesity")</f>
        <v>Overweight</v>
      </c>
      <c r="J1984" t="str" cm="1">
        <f t="array" ref="J1984">_xlfn.IFS(C1984&lt;5.7,"Normal",AND(C1984&gt;=5.7,C1984&lt;=6.49),"Prediabetes",C1984&gt;=6.5,"Diabetes")</f>
        <v>Normal</v>
      </c>
    </row>
    <row r="1985" spans="1:10" x14ac:dyDescent="0.3">
      <c r="A1985" t="s">
        <v>384</v>
      </c>
      <c r="B1985" s="8">
        <v>20.81</v>
      </c>
      <c r="C1985">
        <v>5.52</v>
      </c>
      <c r="D1985" t="s">
        <v>2379</v>
      </c>
      <c r="E1985" t="s">
        <v>2379</v>
      </c>
      <c r="F1985" t="s">
        <v>2379</v>
      </c>
      <c r="G1985">
        <v>0</v>
      </c>
      <c r="H1985" t="s">
        <v>2379</v>
      </c>
      <c r="I1985" t="str" cm="1">
        <f t="array" ref="I1985">_xlfn.IFS(B1985&lt;18.5,"Underweight",AND(B1985&gt;=18.5,B1985&lt;=24.99),"Normalweight",AND(B1985&gt;=25,B1985&lt;=29.99),"Overweight",B1985&gt;=30,"Obesity")</f>
        <v>Normalweight</v>
      </c>
      <c r="J1985" t="str" cm="1">
        <f t="array" ref="J1985">_xlfn.IFS(C1985&lt;5.7,"Normal",AND(C1985&gt;=5.7,C1985&lt;=6.49),"Prediabetes",C1985&gt;=6.5,"Diabetes")</f>
        <v>Normal</v>
      </c>
    </row>
    <row r="1986" spans="1:10" x14ac:dyDescent="0.3">
      <c r="A1986" t="s">
        <v>383</v>
      </c>
      <c r="B1986" s="8">
        <v>25.84</v>
      </c>
      <c r="C1986">
        <v>5.81</v>
      </c>
      <c r="D1986" t="s">
        <v>2381</v>
      </c>
      <c r="E1986" t="s">
        <v>2379</v>
      </c>
      <c r="F1986" t="s">
        <v>2381</v>
      </c>
      <c r="G1986">
        <v>1</v>
      </c>
      <c r="H1986" t="s">
        <v>2379</v>
      </c>
      <c r="I1986" t="str" cm="1">
        <f t="array" ref="I1986">_xlfn.IFS(B1986&lt;18.5,"Underweight",AND(B1986&gt;=18.5,B1986&lt;=24.99),"Normalweight",AND(B1986&gt;=25,B1986&lt;=29.99),"Overweight",B1986&gt;=30,"Obesity")</f>
        <v>Overweight</v>
      </c>
      <c r="J1986" t="str" cm="1">
        <f t="array" ref="J1986">_xlfn.IFS(C1986&lt;5.7,"Normal",AND(C1986&gt;=5.7,C1986&lt;=6.49),"Prediabetes",C1986&gt;=6.5,"Diabetes")</f>
        <v>Prediabetes</v>
      </c>
    </row>
    <row r="1987" spans="1:10" x14ac:dyDescent="0.3">
      <c r="A1987" t="s">
        <v>382</v>
      </c>
      <c r="B1987" s="8">
        <v>30.95</v>
      </c>
      <c r="C1987">
        <v>5.16</v>
      </c>
      <c r="D1987" t="s">
        <v>2379</v>
      </c>
      <c r="E1987" t="s">
        <v>2379</v>
      </c>
      <c r="F1987" t="s">
        <v>2381</v>
      </c>
      <c r="G1987">
        <v>1</v>
      </c>
      <c r="H1987" t="s">
        <v>2379</v>
      </c>
      <c r="I1987" t="str" cm="1">
        <f t="array" ref="I1987">_xlfn.IFS(B1987&lt;18.5,"Underweight",AND(B1987&gt;=18.5,B1987&lt;=24.99),"Normalweight",AND(B1987&gt;=25,B1987&lt;=29.99),"Overweight",B1987&gt;=30,"Obesity")</f>
        <v>Obesity</v>
      </c>
      <c r="J1987" t="str" cm="1">
        <f t="array" ref="J1987">_xlfn.IFS(C1987&lt;5.7,"Normal",AND(C1987&gt;=5.7,C1987&lt;=6.49),"Prediabetes",C1987&gt;=6.5,"Diabetes")</f>
        <v>Normal</v>
      </c>
    </row>
    <row r="1988" spans="1:10" x14ac:dyDescent="0.3">
      <c r="A1988" t="s">
        <v>381</v>
      </c>
      <c r="B1988" s="8">
        <v>30.54</v>
      </c>
      <c r="C1988">
        <v>5</v>
      </c>
      <c r="D1988" t="s">
        <v>2379</v>
      </c>
      <c r="E1988" t="s">
        <v>2379</v>
      </c>
      <c r="F1988" t="s">
        <v>2381</v>
      </c>
      <c r="G1988">
        <v>1</v>
      </c>
      <c r="H1988" t="s">
        <v>2379</v>
      </c>
      <c r="I1988" t="str" cm="1">
        <f t="array" ref="I1988">_xlfn.IFS(B1988&lt;18.5,"Underweight",AND(B1988&gt;=18.5,B1988&lt;=24.99),"Normalweight",AND(B1988&gt;=25,B1988&lt;=29.99),"Overweight",B1988&gt;=30,"Obesity")</f>
        <v>Obesity</v>
      </c>
      <c r="J1988" t="str" cm="1">
        <f t="array" ref="J1988">_xlfn.IFS(C1988&lt;5.7,"Normal",AND(C1988&gt;=5.7,C1988&lt;=6.49),"Prediabetes",C1988&gt;=6.5,"Diabetes")</f>
        <v>Normal</v>
      </c>
    </row>
    <row r="1989" spans="1:10" x14ac:dyDescent="0.3">
      <c r="A1989" t="s">
        <v>380</v>
      </c>
      <c r="B1989" s="8">
        <v>33.914999999999999</v>
      </c>
      <c r="C1989">
        <v>5.84</v>
      </c>
      <c r="D1989" t="s">
        <v>2381</v>
      </c>
      <c r="E1989" t="s">
        <v>2379</v>
      </c>
      <c r="F1989" t="s">
        <v>2379</v>
      </c>
      <c r="G1989">
        <v>0</v>
      </c>
      <c r="H1989" t="s">
        <v>2379</v>
      </c>
      <c r="I1989" t="str" cm="1">
        <f t="array" ref="I1989">_xlfn.IFS(B1989&lt;18.5,"Underweight",AND(B1989&gt;=18.5,B1989&lt;=24.99),"Normalweight",AND(B1989&gt;=25,B1989&lt;=29.99),"Overweight",B1989&gt;=30,"Obesity")</f>
        <v>Obesity</v>
      </c>
      <c r="J1989" t="str" cm="1">
        <f t="array" ref="J1989">_xlfn.IFS(C1989&lt;5.7,"Normal",AND(C1989&gt;=5.7,C1989&lt;=6.49),"Prediabetes",C1989&gt;=6.5,"Diabetes")</f>
        <v>Prediabetes</v>
      </c>
    </row>
    <row r="1990" spans="1:10" x14ac:dyDescent="0.3">
      <c r="A1990" t="s">
        <v>379</v>
      </c>
      <c r="B1990" s="8">
        <v>33.31</v>
      </c>
      <c r="C1990">
        <v>4.1900000000000004</v>
      </c>
      <c r="D1990" t="s">
        <v>2379</v>
      </c>
      <c r="E1990" t="s">
        <v>2379</v>
      </c>
      <c r="F1990" t="s">
        <v>2381</v>
      </c>
      <c r="G1990">
        <v>1</v>
      </c>
      <c r="H1990" t="s">
        <v>2379</v>
      </c>
      <c r="I1990" t="str" cm="1">
        <f t="array" ref="I1990">_xlfn.IFS(B1990&lt;18.5,"Underweight",AND(B1990&gt;=18.5,B1990&lt;=24.99),"Normalweight",AND(B1990&gt;=25,B1990&lt;=29.99),"Overweight",B1990&gt;=30,"Obesity")</f>
        <v>Obesity</v>
      </c>
      <c r="J1990" t="str" cm="1">
        <f t="array" ref="J1990">_xlfn.IFS(C1990&lt;5.7,"Normal",AND(C1990&gt;=5.7,C1990&lt;=6.49),"Prediabetes",C1990&gt;=6.5,"Diabetes")</f>
        <v>Normal</v>
      </c>
    </row>
    <row r="1991" spans="1:10" x14ac:dyDescent="0.3">
      <c r="A1991" t="s">
        <v>378</v>
      </c>
      <c r="B1991" s="8">
        <v>25.745000000000001</v>
      </c>
      <c r="C1991">
        <v>4.62</v>
      </c>
      <c r="D1991" t="s">
        <v>2381</v>
      </c>
      <c r="E1991" t="s">
        <v>2379</v>
      </c>
      <c r="F1991" t="s">
        <v>2379</v>
      </c>
      <c r="G1991">
        <v>0</v>
      </c>
      <c r="H1991" t="s">
        <v>2379</v>
      </c>
      <c r="I1991" t="str" cm="1">
        <f t="array" ref="I1991">_xlfn.IFS(B1991&lt;18.5,"Underweight",AND(B1991&gt;=18.5,B1991&lt;=24.99),"Normalweight",AND(B1991&gt;=25,B1991&lt;=29.99),"Overweight",B1991&gt;=30,"Obesity")</f>
        <v>Overweight</v>
      </c>
      <c r="J1991" t="str" cm="1">
        <f t="array" ref="J1991">_xlfn.IFS(C1991&lt;5.7,"Normal",AND(C1991&gt;=5.7,C1991&lt;=6.49),"Prediabetes",C1991&gt;=6.5,"Diabetes")</f>
        <v>Normal</v>
      </c>
    </row>
    <row r="1992" spans="1:10" x14ac:dyDescent="0.3">
      <c r="A1992" t="s">
        <v>377</v>
      </c>
      <c r="B1992" s="8">
        <v>37.1</v>
      </c>
      <c r="C1992">
        <v>6.24</v>
      </c>
      <c r="D1992" t="s">
        <v>2379</v>
      </c>
      <c r="E1992" t="s">
        <v>2379</v>
      </c>
      <c r="F1992" t="s">
        <v>2379</v>
      </c>
      <c r="G1992">
        <v>0</v>
      </c>
      <c r="H1992" t="s">
        <v>2379</v>
      </c>
      <c r="I1992" t="str" cm="1">
        <f t="array" ref="I1992">_xlfn.IFS(B1992&lt;18.5,"Underweight",AND(B1992&gt;=18.5,B1992&lt;=24.99),"Normalweight",AND(B1992&gt;=25,B1992&lt;=29.99),"Overweight",B1992&gt;=30,"Obesity")</f>
        <v>Obesity</v>
      </c>
      <c r="J1992" t="str" cm="1">
        <f t="array" ref="J1992">_xlfn.IFS(C1992&lt;5.7,"Normal",AND(C1992&gt;=5.7,C1992&lt;=6.49),"Prediabetes",C1992&gt;=6.5,"Diabetes")</f>
        <v>Prediabetes</v>
      </c>
    </row>
    <row r="1993" spans="1:10" x14ac:dyDescent="0.3">
      <c r="A1993" t="s">
        <v>376</v>
      </c>
      <c r="B1993" s="8">
        <v>35.435000000000002</v>
      </c>
      <c r="C1993">
        <v>5.81</v>
      </c>
      <c r="D1993" t="s">
        <v>2379</v>
      </c>
      <c r="E1993" t="s">
        <v>2379</v>
      </c>
      <c r="F1993" t="s">
        <v>2379</v>
      </c>
      <c r="G1993">
        <v>0</v>
      </c>
      <c r="H1993" t="s">
        <v>2379</v>
      </c>
      <c r="I1993" t="str" cm="1">
        <f t="array" ref="I1993">_xlfn.IFS(B1993&lt;18.5,"Underweight",AND(B1993&gt;=18.5,B1993&lt;=24.99),"Normalweight",AND(B1993&gt;=25,B1993&lt;=29.99),"Overweight",B1993&gt;=30,"Obesity")</f>
        <v>Obesity</v>
      </c>
      <c r="J1993" t="str" cm="1">
        <f t="array" ref="J1993">_xlfn.IFS(C1993&lt;5.7,"Normal",AND(C1993&gt;=5.7,C1993&lt;=6.49),"Prediabetes",C1993&gt;=6.5,"Diabetes")</f>
        <v>Prediabetes</v>
      </c>
    </row>
    <row r="1994" spans="1:10" x14ac:dyDescent="0.3">
      <c r="A1994" t="s">
        <v>375</v>
      </c>
      <c r="B1994" s="8">
        <v>20.399999999999999</v>
      </c>
      <c r="C1994">
        <v>4.83</v>
      </c>
      <c r="D1994" t="s">
        <v>2379</v>
      </c>
      <c r="E1994" t="s">
        <v>2379</v>
      </c>
      <c r="F1994" t="s">
        <v>2379</v>
      </c>
      <c r="G1994">
        <v>0</v>
      </c>
      <c r="H1994" t="s">
        <v>2379</v>
      </c>
      <c r="I1994" t="str" cm="1">
        <f t="array" ref="I1994">_xlfn.IFS(B1994&lt;18.5,"Underweight",AND(B1994&gt;=18.5,B1994&lt;=24.99),"Normalweight",AND(B1994&gt;=25,B1994&lt;=29.99),"Overweight",B1994&gt;=30,"Obesity")</f>
        <v>Normalweight</v>
      </c>
      <c r="J1994" t="str" cm="1">
        <f t="array" ref="J1994">_xlfn.IFS(C1994&lt;5.7,"Normal",AND(C1994&gt;=5.7,C1994&lt;=6.49),"Prediabetes",C1994&gt;=6.5,"Diabetes")</f>
        <v>Normal</v>
      </c>
    </row>
    <row r="1995" spans="1:10" x14ac:dyDescent="0.3">
      <c r="A1995" t="s">
        <v>374</v>
      </c>
      <c r="B1995" s="8">
        <v>42.13</v>
      </c>
      <c r="C1995">
        <v>5.72</v>
      </c>
      <c r="D1995" t="s">
        <v>2381</v>
      </c>
      <c r="E1995" t="s">
        <v>2379</v>
      </c>
      <c r="F1995" t="s">
        <v>2381</v>
      </c>
      <c r="G1995">
        <v>1</v>
      </c>
      <c r="H1995" t="s">
        <v>2379</v>
      </c>
      <c r="I1995" t="str" cm="1">
        <f t="array" ref="I1995">_xlfn.IFS(B1995&lt;18.5,"Underweight",AND(B1995&gt;=18.5,B1995&lt;=24.99),"Normalweight",AND(B1995&gt;=25,B1995&lt;=29.99),"Overweight",B1995&gt;=30,"Obesity")</f>
        <v>Obesity</v>
      </c>
      <c r="J1995" t="str" cm="1">
        <f t="array" ref="J1995">_xlfn.IFS(C1995&lt;5.7,"Normal",AND(C1995&gt;=5.7,C1995&lt;=6.49),"Prediabetes",C1995&gt;=6.5,"Diabetes")</f>
        <v>Prediabetes</v>
      </c>
    </row>
    <row r="1996" spans="1:10" x14ac:dyDescent="0.3">
      <c r="A1996" t="s">
        <v>373</v>
      </c>
      <c r="B1996" s="8">
        <v>33.99</v>
      </c>
      <c r="C1996">
        <v>4.83</v>
      </c>
      <c r="D1996" t="s">
        <v>2381</v>
      </c>
      <c r="E1996" t="s">
        <v>2379</v>
      </c>
      <c r="F1996" t="s">
        <v>2381</v>
      </c>
      <c r="G1996">
        <v>1</v>
      </c>
      <c r="H1996" t="s">
        <v>2379</v>
      </c>
      <c r="I1996" t="str" cm="1">
        <f t="array" ref="I1996">_xlfn.IFS(B1996&lt;18.5,"Underweight",AND(B1996&gt;=18.5,B1996&lt;=24.99),"Normalweight",AND(B1996&gt;=25,B1996&lt;=29.99),"Overweight",B1996&gt;=30,"Obesity")</f>
        <v>Obesity</v>
      </c>
      <c r="J1996" t="str" cm="1">
        <f t="array" ref="J1996">_xlfn.IFS(C1996&lt;5.7,"Normal",AND(C1996&gt;=5.7,C1996&lt;=6.49),"Prediabetes",C1996&gt;=6.5,"Diabetes")</f>
        <v>Normal</v>
      </c>
    </row>
    <row r="1997" spans="1:10" x14ac:dyDescent="0.3">
      <c r="A1997" t="s">
        <v>372</v>
      </c>
      <c r="B1997" s="8">
        <v>28.594999999999999</v>
      </c>
      <c r="C1997">
        <v>4.1399999999999997</v>
      </c>
      <c r="D1997" t="s">
        <v>2381</v>
      </c>
      <c r="E1997" t="s">
        <v>2379</v>
      </c>
      <c r="F1997" t="s">
        <v>2381</v>
      </c>
      <c r="G1997">
        <v>1</v>
      </c>
      <c r="H1997" t="s">
        <v>2379</v>
      </c>
      <c r="I1997" t="str" cm="1">
        <f t="array" ref="I1997">_xlfn.IFS(B1997&lt;18.5,"Underweight",AND(B1997&gt;=18.5,B1997&lt;=24.99),"Normalweight",AND(B1997&gt;=25,B1997&lt;=29.99),"Overweight",B1997&gt;=30,"Obesity")</f>
        <v>Overweight</v>
      </c>
      <c r="J1997" t="str" cm="1">
        <f t="array" ref="J1997">_xlfn.IFS(C1997&lt;5.7,"Normal",AND(C1997&gt;=5.7,C1997&lt;=6.49),"Prediabetes",C1997&gt;=6.5,"Diabetes")</f>
        <v>Normal</v>
      </c>
    </row>
    <row r="1998" spans="1:10" x14ac:dyDescent="0.3">
      <c r="A1998" t="s">
        <v>371</v>
      </c>
      <c r="B1998" s="8">
        <v>20.8</v>
      </c>
      <c r="C1998">
        <v>4.07</v>
      </c>
      <c r="D1998" t="s">
        <v>2381</v>
      </c>
      <c r="E1998" t="s">
        <v>2379</v>
      </c>
      <c r="F1998" t="s">
        <v>2381</v>
      </c>
      <c r="G1998">
        <v>1</v>
      </c>
      <c r="H1998" t="s">
        <v>2379</v>
      </c>
      <c r="I1998" t="str" cm="1">
        <f t="array" ref="I1998">_xlfn.IFS(B1998&lt;18.5,"Underweight",AND(B1998&gt;=18.5,B1998&lt;=24.99),"Normalweight",AND(B1998&gt;=25,B1998&lt;=29.99),"Overweight",B1998&gt;=30,"Obesity")</f>
        <v>Normalweight</v>
      </c>
      <c r="J1998" t="str" cm="1">
        <f t="array" ref="J1998">_xlfn.IFS(C1998&lt;5.7,"Normal",AND(C1998&gt;=5.7,C1998&lt;=6.49),"Prediabetes",C1998&gt;=6.5,"Diabetes")</f>
        <v>Normal</v>
      </c>
    </row>
    <row r="1999" spans="1:10" x14ac:dyDescent="0.3">
      <c r="A1999" t="s">
        <v>370</v>
      </c>
      <c r="B1999" s="8">
        <v>23.465</v>
      </c>
      <c r="C1999">
        <v>6.26</v>
      </c>
      <c r="D1999" t="s">
        <v>2381</v>
      </c>
      <c r="E1999" t="s">
        <v>2379</v>
      </c>
      <c r="F1999" t="s">
        <v>2381</v>
      </c>
      <c r="G1999">
        <v>1</v>
      </c>
      <c r="H1999" t="s">
        <v>2379</v>
      </c>
      <c r="I1999" t="str" cm="1">
        <f t="array" ref="I1999">_xlfn.IFS(B1999&lt;18.5,"Underweight",AND(B1999&gt;=18.5,B1999&lt;=24.99),"Normalweight",AND(B1999&gt;=25,B1999&lt;=29.99),"Overweight",B1999&gt;=30,"Obesity")</f>
        <v>Normalweight</v>
      </c>
      <c r="J1999" t="str" cm="1">
        <f t="array" ref="J1999">_xlfn.IFS(C1999&lt;5.7,"Normal",AND(C1999&gt;=5.7,C1999&lt;=6.49),"Prediabetes",C1999&gt;=6.5,"Diabetes")</f>
        <v>Prediabetes</v>
      </c>
    </row>
    <row r="2000" spans="1:10" x14ac:dyDescent="0.3">
      <c r="A2000" t="s">
        <v>369</v>
      </c>
      <c r="B2000" s="8">
        <v>40.185000000000002</v>
      </c>
      <c r="C2000">
        <v>5.88</v>
      </c>
      <c r="D2000" t="s">
        <v>2381</v>
      </c>
      <c r="E2000" t="s">
        <v>2379</v>
      </c>
      <c r="F2000" t="s">
        <v>2379</v>
      </c>
      <c r="G2000">
        <v>0</v>
      </c>
      <c r="H2000" t="s">
        <v>2379</v>
      </c>
      <c r="I2000" t="str" cm="1">
        <f t="array" ref="I2000">_xlfn.IFS(B2000&lt;18.5,"Underweight",AND(B2000&gt;=18.5,B2000&lt;=24.99),"Normalweight",AND(B2000&gt;=25,B2000&lt;=29.99),"Overweight",B2000&gt;=30,"Obesity")</f>
        <v>Obesity</v>
      </c>
      <c r="J2000" t="str" cm="1">
        <f t="array" ref="J2000">_xlfn.IFS(C2000&lt;5.7,"Normal",AND(C2000&gt;=5.7,C2000&lt;=6.49),"Prediabetes",C2000&gt;=6.5,"Diabetes")</f>
        <v>Prediabetes</v>
      </c>
    </row>
    <row r="2001" spans="1:10" x14ac:dyDescent="0.3">
      <c r="A2001" t="s">
        <v>368</v>
      </c>
      <c r="B2001" s="8">
        <v>21.89</v>
      </c>
      <c r="C2001">
        <v>5.72</v>
      </c>
      <c r="D2001" t="s">
        <v>2381</v>
      </c>
      <c r="E2001" t="s">
        <v>2379</v>
      </c>
      <c r="F2001" t="s">
        <v>2379</v>
      </c>
      <c r="G2001">
        <v>0</v>
      </c>
      <c r="H2001" t="s">
        <v>2379</v>
      </c>
      <c r="I2001" t="str" cm="1">
        <f t="array" ref="I2001">_xlfn.IFS(B2001&lt;18.5,"Underweight",AND(B2001&gt;=18.5,B2001&lt;=24.99),"Normalweight",AND(B2001&gt;=25,B2001&lt;=29.99),"Overweight",B2001&gt;=30,"Obesity")</f>
        <v>Normalweight</v>
      </c>
      <c r="J2001" t="str" cm="1">
        <f t="array" ref="J2001">_xlfn.IFS(C2001&lt;5.7,"Normal",AND(C2001&gt;=5.7,C2001&lt;=6.49),"Prediabetes",C2001&gt;=6.5,"Diabetes")</f>
        <v>Prediabetes</v>
      </c>
    </row>
    <row r="2002" spans="1:10" x14ac:dyDescent="0.3">
      <c r="A2002" t="s">
        <v>367</v>
      </c>
      <c r="B2002" s="8">
        <v>29.34</v>
      </c>
      <c r="C2002">
        <v>6.09</v>
      </c>
      <c r="D2002" t="s">
        <v>2381</v>
      </c>
      <c r="E2002" t="s">
        <v>2380</v>
      </c>
      <c r="F2002" t="s">
        <v>2379</v>
      </c>
      <c r="G2002">
        <v>2</v>
      </c>
      <c r="H2002" t="s">
        <v>2379</v>
      </c>
      <c r="I2002" t="str" cm="1">
        <f t="array" ref="I2002">_xlfn.IFS(B2002&lt;18.5,"Underweight",AND(B2002&gt;=18.5,B2002&lt;=24.99),"Normalweight",AND(B2002&gt;=25,B2002&lt;=29.99),"Overweight",B2002&gt;=30,"Obesity")</f>
        <v>Overweight</v>
      </c>
      <c r="J2002" t="str" cm="1">
        <f t="array" ref="J2002">_xlfn.IFS(C2002&lt;5.7,"Normal",AND(C2002&gt;=5.7,C2002&lt;=6.49),"Prediabetes",C2002&gt;=6.5,"Diabetes")</f>
        <v>Prediabetes</v>
      </c>
    </row>
    <row r="2003" spans="1:10" x14ac:dyDescent="0.3">
      <c r="A2003" t="s">
        <v>366</v>
      </c>
      <c r="B2003" s="8">
        <v>22.61</v>
      </c>
      <c r="C2003">
        <v>4.25</v>
      </c>
      <c r="D2003" t="s">
        <v>2381</v>
      </c>
      <c r="E2003" t="s">
        <v>2379</v>
      </c>
      <c r="F2003" t="s">
        <v>2379</v>
      </c>
      <c r="G2003">
        <v>0</v>
      </c>
      <c r="H2003" t="s">
        <v>2379</v>
      </c>
      <c r="I2003" t="str" cm="1">
        <f t="array" ref="I2003">_xlfn.IFS(B2003&lt;18.5,"Underweight",AND(B2003&gt;=18.5,B2003&lt;=24.99),"Normalweight",AND(B2003&gt;=25,B2003&lt;=29.99),"Overweight",B2003&gt;=30,"Obesity")</f>
        <v>Normalweight</v>
      </c>
      <c r="J2003" t="str" cm="1">
        <f t="array" ref="J2003">_xlfn.IFS(C2003&lt;5.7,"Normal",AND(C2003&gt;=5.7,C2003&lt;=6.49),"Prediabetes",C2003&gt;=6.5,"Diabetes")</f>
        <v>Normal</v>
      </c>
    </row>
    <row r="2004" spans="1:10" x14ac:dyDescent="0.3">
      <c r="A2004" t="s">
        <v>365</v>
      </c>
      <c r="B2004" s="8">
        <v>22.23</v>
      </c>
      <c r="C2004">
        <v>6.09</v>
      </c>
      <c r="D2004" t="s">
        <v>2381</v>
      </c>
      <c r="E2004" t="s">
        <v>2379</v>
      </c>
      <c r="F2004" t="s">
        <v>2379</v>
      </c>
      <c r="G2004">
        <v>0</v>
      </c>
      <c r="H2004" t="s">
        <v>2379</v>
      </c>
      <c r="I2004" t="str" cm="1">
        <f t="array" ref="I2004">_xlfn.IFS(B2004&lt;18.5,"Underweight",AND(B2004&gt;=18.5,B2004&lt;=24.99),"Normalweight",AND(B2004&gt;=25,B2004&lt;=29.99),"Overweight",B2004&gt;=30,"Obesity")</f>
        <v>Normalweight</v>
      </c>
      <c r="J2004" t="str" cm="1">
        <f t="array" ref="J2004">_xlfn.IFS(C2004&lt;5.7,"Normal",AND(C2004&gt;=5.7,C2004&lt;=6.49),"Prediabetes",C2004&gt;=6.5,"Diabetes")</f>
        <v>Prediabetes</v>
      </c>
    </row>
    <row r="2005" spans="1:10" x14ac:dyDescent="0.3">
      <c r="A2005" t="s">
        <v>364</v>
      </c>
      <c r="B2005" s="8">
        <v>33.4</v>
      </c>
      <c r="C2005">
        <v>5.51</v>
      </c>
      <c r="D2005" t="s">
        <v>2379</v>
      </c>
      <c r="E2005" t="s">
        <v>2379</v>
      </c>
      <c r="F2005" t="s">
        <v>2379</v>
      </c>
      <c r="G2005">
        <v>0</v>
      </c>
      <c r="H2005" t="s">
        <v>2379</v>
      </c>
      <c r="I2005" t="str" cm="1">
        <f t="array" ref="I2005">_xlfn.IFS(B2005&lt;18.5,"Underweight",AND(B2005&gt;=18.5,B2005&lt;=24.99),"Normalweight",AND(B2005&gt;=25,B2005&lt;=29.99),"Overweight",B2005&gt;=30,"Obesity")</f>
        <v>Obesity</v>
      </c>
      <c r="J2005" t="str" cm="1">
        <f t="array" ref="J2005">_xlfn.IFS(C2005&lt;5.7,"Normal",AND(C2005&gt;=5.7,C2005&lt;=6.49),"Prediabetes",C2005&gt;=6.5,"Diabetes")</f>
        <v>Normal</v>
      </c>
    </row>
    <row r="2006" spans="1:10" x14ac:dyDescent="0.3">
      <c r="A2006" t="s">
        <v>363</v>
      </c>
      <c r="B2006" s="8">
        <v>33.11</v>
      </c>
      <c r="C2006">
        <v>5.63</v>
      </c>
      <c r="D2006" t="s">
        <v>2379</v>
      </c>
      <c r="E2006" t="s">
        <v>2379</v>
      </c>
      <c r="F2006" t="s">
        <v>2379</v>
      </c>
      <c r="G2006">
        <v>0</v>
      </c>
      <c r="H2006" t="s">
        <v>2379</v>
      </c>
      <c r="I2006" t="str" cm="1">
        <f t="array" ref="I2006">_xlfn.IFS(B2006&lt;18.5,"Underweight",AND(B2006&gt;=18.5,B2006&lt;=24.99),"Normalweight",AND(B2006&gt;=25,B2006&lt;=29.99),"Overweight",B2006&gt;=30,"Obesity")</f>
        <v>Obesity</v>
      </c>
      <c r="J2006" t="str" cm="1">
        <f t="array" ref="J2006">_xlfn.IFS(C2006&lt;5.7,"Normal",AND(C2006&gt;=5.7,C2006&lt;=6.49),"Prediabetes",C2006&gt;=6.5,"Diabetes")</f>
        <v>Normal</v>
      </c>
    </row>
    <row r="2007" spans="1:10" x14ac:dyDescent="0.3">
      <c r="A2007" t="s">
        <v>362</v>
      </c>
      <c r="B2007" s="8">
        <v>16.815000000000001</v>
      </c>
      <c r="C2007">
        <v>5.29</v>
      </c>
      <c r="D2007" t="s">
        <v>2381</v>
      </c>
      <c r="E2007" t="s">
        <v>2379</v>
      </c>
      <c r="F2007" t="s">
        <v>2379</v>
      </c>
      <c r="G2007">
        <v>0</v>
      </c>
      <c r="H2007" t="s">
        <v>2379</v>
      </c>
      <c r="I2007" t="str" cm="1">
        <f t="array" ref="I2007">_xlfn.IFS(B2007&lt;18.5,"Underweight",AND(B2007&gt;=18.5,B2007&lt;=24.99),"Normalweight",AND(B2007&gt;=25,B2007&lt;=29.99),"Overweight",B2007&gt;=30,"Obesity")</f>
        <v>Underweight</v>
      </c>
      <c r="J2007" t="str" cm="1">
        <f t="array" ref="J2007">_xlfn.IFS(C2007&lt;5.7,"Normal",AND(C2007&gt;=5.7,C2007&lt;=6.49),"Prediabetes",C2007&gt;=6.5,"Diabetes")</f>
        <v>Normal</v>
      </c>
    </row>
    <row r="2008" spans="1:10" x14ac:dyDescent="0.3">
      <c r="A2008" t="s">
        <v>361</v>
      </c>
      <c r="B2008" s="8">
        <v>25.61</v>
      </c>
      <c r="C2008">
        <v>4</v>
      </c>
      <c r="D2008" t="s">
        <v>2379</v>
      </c>
      <c r="E2008" t="s">
        <v>2379</v>
      </c>
      <c r="F2008" t="s">
        <v>2381</v>
      </c>
      <c r="G2008">
        <v>1</v>
      </c>
      <c r="H2008" t="s">
        <v>2379</v>
      </c>
      <c r="I2008" t="str" cm="1">
        <f t="array" ref="I2008">_xlfn.IFS(B2008&lt;18.5,"Underweight",AND(B2008&gt;=18.5,B2008&lt;=24.99),"Normalweight",AND(B2008&gt;=25,B2008&lt;=29.99),"Overweight",B2008&gt;=30,"Obesity")</f>
        <v>Overweight</v>
      </c>
      <c r="J2008" t="str" cm="1">
        <f t="array" ref="J2008">_xlfn.IFS(C2008&lt;5.7,"Normal",AND(C2008&gt;=5.7,C2008&lt;=6.49),"Prediabetes",C2008&gt;=6.5,"Diabetes")</f>
        <v>Normal</v>
      </c>
    </row>
    <row r="2009" spans="1:10" x14ac:dyDescent="0.3">
      <c r="A2009" t="s">
        <v>360</v>
      </c>
      <c r="B2009" s="8">
        <v>25.8</v>
      </c>
      <c r="C2009">
        <v>5.49</v>
      </c>
      <c r="D2009" t="s">
        <v>2379</v>
      </c>
      <c r="E2009" t="s">
        <v>2379</v>
      </c>
      <c r="F2009" t="s">
        <v>2379</v>
      </c>
      <c r="G2009">
        <v>0</v>
      </c>
      <c r="H2009" t="s">
        <v>2379</v>
      </c>
      <c r="I2009" t="str" cm="1">
        <f t="array" ref="I2009">_xlfn.IFS(B2009&lt;18.5,"Underweight",AND(B2009&gt;=18.5,B2009&lt;=24.99),"Normalweight",AND(B2009&gt;=25,B2009&lt;=29.99),"Overweight",B2009&gt;=30,"Obesity")</f>
        <v>Overweight</v>
      </c>
      <c r="J2009" t="str" cm="1">
        <f t="array" ref="J2009">_xlfn.IFS(C2009&lt;5.7,"Normal",AND(C2009&gt;=5.7,C2009&lt;=6.49),"Prediabetes",C2009&gt;=6.5,"Diabetes")</f>
        <v>Normal</v>
      </c>
    </row>
    <row r="2010" spans="1:10" x14ac:dyDescent="0.3">
      <c r="A2010" t="s">
        <v>359</v>
      </c>
      <c r="B2010" s="8">
        <v>27.39</v>
      </c>
      <c r="C2010">
        <v>5.34</v>
      </c>
      <c r="D2010" t="s">
        <v>2379</v>
      </c>
      <c r="E2010" t="s">
        <v>2379</v>
      </c>
      <c r="F2010" t="s">
        <v>2379</v>
      </c>
      <c r="G2010">
        <v>0</v>
      </c>
      <c r="H2010" t="s">
        <v>2379</v>
      </c>
      <c r="I2010" t="str" cm="1">
        <f t="array" ref="I2010">_xlfn.IFS(B2010&lt;18.5,"Underweight",AND(B2010&gt;=18.5,B2010&lt;=24.99),"Normalweight",AND(B2010&gt;=25,B2010&lt;=29.99),"Overweight",B2010&gt;=30,"Obesity")</f>
        <v>Overweight</v>
      </c>
      <c r="J2010" t="str" cm="1">
        <f t="array" ref="J2010">_xlfn.IFS(C2010&lt;5.7,"Normal",AND(C2010&gt;=5.7,C2010&lt;=6.49),"Prediabetes",C2010&gt;=6.5,"Diabetes")</f>
        <v>Normal</v>
      </c>
    </row>
    <row r="2011" spans="1:10" x14ac:dyDescent="0.3">
      <c r="A2011" t="s">
        <v>358</v>
      </c>
      <c r="B2011" s="8">
        <v>17.03</v>
      </c>
      <c r="C2011">
        <v>4.12</v>
      </c>
      <c r="D2011" t="s">
        <v>2379</v>
      </c>
      <c r="E2011" t="s">
        <v>2379</v>
      </c>
      <c r="F2011" t="s">
        <v>2379</v>
      </c>
      <c r="G2011">
        <v>1</v>
      </c>
      <c r="H2011" t="s">
        <v>2379</v>
      </c>
      <c r="I2011" t="str" cm="1">
        <f t="array" ref="I2011">_xlfn.IFS(B2011&lt;18.5,"Underweight",AND(B2011&gt;=18.5,B2011&lt;=24.99),"Normalweight",AND(B2011&gt;=25,B2011&lt;=29.99),"Overweight",B2011&gt;=30,"Obesity")</f>
        <v>Underweight</v>
      </c>
      <c r="J2011" t="str" cm="1">
        <f t="array" ref="J2011">_xlfn.IFS(C2011&lt;5.7,"Normal",AND(C2011&gt;=5.7,C2011&lt;=6.49),"Prediabetes",C2011&gt;=6.5,"Diabetes")</f>
        <v>Normal</v>
      </c>
    </row>
    <row r="2012" spans="1:10" x14ac:dyDescent="0.3">
      <c r="A2012" t="s">
        <v>357</v>
      </c>
      <c r="B2012" s="8">
        <v>23.75</v>
      </c>
      <c r="C2012">
        <v>5.49</v>
      </c>
      <c r="D2012" t="s">
        <v>2381</v>
      </c>
      <c r="E2012" t="s">
        <v>2379</v>
      </c>
      <c r="F2012" t="s">
        <v>2379</v>
      </c>
      <c r="G2012">
        <v>0</v>
      </c>
      <c r="H2012" t="s">
        <v>2379</v>
      </c>
      <c r="I2012" t="str" cm="1">
        <f t="array" ref="I2012">_xlfn.IFS(B2012&lt;18.5,"Underweight",AND(B2012&gt;=18.5,B2012&lt;=24.99),"Normalweight",AND(B2012&gt;=25,B2012&lt;=29.99),"Overweight",B2012&gt;=30,"Obesity")</f>
        <v>Normalweight</v>
      </c>
      <c r="J2012" t="str" cm="1">
        <f t="array" ref="J2012">_xlfn.IFS(C2012&lt;5.7,"Normal",AND(C2012&gt;=5.7,C2012&lt;=6.49),"Prediabetes",C2012&gt;=6.5,"Diabetes")</f>
        <v>Normal</v>
      </c>
    </row>
    <row r="2013" spans="1:10" x14ac:dyDescent="0.3">
      <c r="A2013" t="s">
        <v>355</v>
      </c>
      <c r="B2013" s="8">
        <v>26.03</v>
      </c>
      <c r="C2013">
        <v>5.1100000000000003</v>
      </c>
      <c r="D2013" t="s">
        <v>2381</v>
      </c>
      <c r="E2013" t="s">
        <v>2379</v>
      </c>
      <c r="F2013" t="s">
        <v>2379</v>
      </c>
      <c r="G2013">
        <v>1</v>
      </c>
      <c r="H2013" t="s">
        <v>2379</v>
      </c>
      <c r="I2013" t="str" cm="1">
        <f t="array" ref="I2013">_xlfn.IFS(B2013&lt;18.5,"Underweight",AND(B2013&gt;=18.5,B2013&lt;=24.99),"Normalweight",AND(B2013&gt;=25,B2013&lt;=29.99),"Overweight",B2013&gt;=30,"Obesity")</f>
        <v>Overweight</v>
      </c>
      <c r="J2013" t="str" cm="1">
        <f t="array" ref="J2013">_xlfn.IFS(C2013&lt;5.7,"Normal",AND(C2013&gt;=5.7,C2013&lt;=6.49),"Prediabetes",C2013&gt;=6.5,"Diabetes")</f>
        <v>Normal</v>
      </c>
    </row>
    <row r="2014" spans="1:10" x14ac:dyDescent="0.3">
      <c r="A2014" t="s">
        <v>354</v>
      </c>
      <c r="B2014" s="8">
        <v>16.079999999999998</v>
      </c>
      <c r="C2014">
        <v>5.94</v>
      </c>
      <c r="D2014" t="s">
        <v>2379</v>
      </c>
      <c r="E2014" t="s">
        <v>2379</v>
      </c>
      <c r="F2014" t="s">
        <v>2379</v>
      </c>
      <c r="G2014">
        <v>0</v>
      </c>
      <c r="H2014" t="s">
        <v>2379</v>
      </c>
      <c r="I2014" t="str" cm="1">
        <f t="array" ref="I2014">_xlfn.IFS(B2014&lt;18.5,"Underweight",AND(B2014&gt;=18.5,B2014&lt;=24.99),"Normalweight",AND(B2014&gt;=25,B2014&lt;=29.99),"Overweight",B2014&gt;=30,"Obesity")</f>
        <v>Underweight</v>
      </c>
      <c r="J2014" t="str" cm="1">
        <f t="array" ref="J2014">_xlfn.IFS(C2014&lt;5.7,"Normal",AND(C2014&gt;=5.7,C2014&lt;=6.49),"Prediabetes",C2014&gt;=6.5,"Diabetes")</f>
        <v>Prediabetes</v>
      </c>
    </row>
    <row r="2015" spans="1:10" x14ac:dyDescent="0.3">
      <c r="A2015" t="s">
        <v>353</v>
      </c>
      <c r="B2015" s="8">
        <v>30.875</v>
      </c>
      <c r="C2015">
        <v>5.54</v>
      </c>
      <c r="D2015" t="s">
        <v>2379</v>
      </c>
      <c r="E2015" t="s">
        <v>2379</v>
      </c>
      <c r="F2015" t="s">
        <v>2379</v>
      </c>
      <c r="G2015">
        <v>0</v>
      </c>
      <c r="H2015" t="s">
        <v>2379</v>
      </c>
      <c r="I2015" t="str" cm="1">
        <f t="array" ref="I2015">_xlfn.IFS(B2015&lt;18.5,"Underweight",AND(B2015&gt;=18.5,B2015&lt;=24.99),"Normalweight",AND(B2015&gt;=25,B2015&lt;=29.99),"Overweight",B2015&gt;=30,"Obesity")</f>
        <v>Obesity</v>
      </c>
      <c r="J2015" t="str" cm="1">
        <f t="array" ref="J2015">_xlfn.IFS(C2015&lt;5.7,"Normal",AND(C2015&gt;=5.7,C2015&lt;=6.49),"Prediabetes",C2015&gt;=6.5,"Diabetes")</f>
        <v>Normal</v>
      </c>
    </row>
    <row r="2016" spans="1:10" x14ac:dyDescent="0.3">
      <c r="A2016" t="s">
        <v>352</v>
      </c>
      <c r="B2016" s="8">
        <v>31.79</v>
      </c>
      <c r="C2016">
        <v>7.09</v>
      </c>
      <c r="D2016" t="s">
        <v>2379</v>
      </c>
      <c r="E2016" t="s">
        <v>2379</v>
      </c>
      <c r="F2016" t="s">
        <v>2379</v>
      </c>
      <c r="G2016">
        <v>0</v>
      </c>
      <c r="H2016" t="s">
        <v>2379</v>
      </c>
      <c r="I2016" t="str" cm="1">
        <f t="array" ref="I2016">_xlfn.IFS(B2016&lt;18.5,"Underweight",AND(B2016&gt;=18.5,B2016&lt;=24.99),"Normalweight",AND(B2016&gt;=25,B2016&lt;=29.99),"Overweight",B2016&gt;=30,"Obesity")</f>
        <v>Obesity</v>
      </c>
      <c r="J2016" t="str" cm="1">
        <f t="array" ref="J2016">_xlfn.IFS(C2016&lt;5.7,"Normal",AND(C2016&gt;=5.7,C2016&lt;=6.49),"Prediabetes",C2016&gt;=6.5,"Diabetes")</f>
        <v>Diabetes</v>
      </c>
    </row>
    <row r="2017" spans="1:10" x14ac:dyDescent="0.3">
      <c r="A2017" t="s">
        <v>351</v>
      </c>
      <c r="B2017" s="8">
        <v>28.48</v>
      </c>
      <c r="C2017">
        <v>6.22</v>
      </c>
      <c r="D2017" t="s">
        <v>2381</v>
      </c>
      <c r="E2017" t="s">
        <v>2379</v>
      </c>
      <c r="F2017" t="s">
        <v>2381</v>
      </c>
      <c r="G2017">
        <v>1</v>
      </c>
      <c r="H2017" t="s">
        <v>2379</v>
      </c>
      <c r="I2017" t="str" cm="1">
        <f t="array" ref="I2017">_xlfn.IFS(B2017&lt;18.5,"Underweight",AND(B2017&gt;=18.5,B2017&lt;=24.99),"Normalweight",AND(B2017&gt;=25,B2017&lt;=29.99),"Overweight",B2017&gt;=30,"Obesity")</f>
        <v>Overweight</v>
      </c>
      <c r="J2017" t="str" cm="1">
        <f t="array" ref="J2017">_xlfn.IFS(C2017&lt;5.7,"Normal",AND(C2017&gt;=5.7,C2017&lt;=6.49),"Prediabetes",C2017&gt;=6.5,"Diabetes")</f>
        <v>Prediabetes</v>
      </c>
    </row>
    <row r="2018" spans="1:10" x14ac:dyDescent="0.3">
      <c r="A2018" t="s">
        <v>350</v>
      </c>
      <c r="B2018" s="8">
        <v>26.6</v>
      </c>
      <c r="C2018">
        <v>4.33</v>
      </c>
      <c r="D2018" t="s">
        <v>2379</v>
      </c>
      <c r="E2018" t="s">
        <v>2379</v>
      </c>
      <c r="F2018" t="s">
        <v>2379</v>
      </c>
      <c r="G2018">
        <v>1</v>
      </c>
      <c r="H2018" t="s">
        <v>2379</v>
      </c>
      <c r="I2018" t="str" cm="1">
        <f t="array" ref="I2018">_xlfn.IFS(B2018&lt;18.5,"Underweight",AND(B2018&gt;=18.5,B2018&lt;=24.99),"Normalweight",AND(B2018&gt;=25,B2018&lt;=29.99),"Overweight",B2018&gt;=30,"Obesity")</f>
        <v>Overweight</v>
      </c>
      <c r="J2018" t="str" cm="1">
        <f t="array" ref="J2018">_xlfn.IFS(C2018&lt;5.7,"Normal",AND(C2018&gt;=5.7,C2018&lt;=6.49),"Prediabetes",C2018&gt;=6.5,"Diabetes")</f>
        <v>Normal</v>
      </c>
    </row>
    <row r="2019" spans="1:10" x14ac:dyDescent="0.3">
      <c r="A2019" t="s">
        <v>349</v>
      </c>
      <c r="B2019" s="8">
        <v>25.27</v>
      </c>
      <c r="C2019">
        <v>5.83</v>
      </c>
      <c r="D2019" t="s">
        <v>2379</v>
      </c>
      <c r="E2019" t="s">
        <v>2379</v>
      </c>
      <c r="F2019" t="s">
        <v>2379</v>
      </c>
      <c r="G2019">
        <v>1</v>
      </c>
      <c r="H2019" t="s">
        <v>2379</v>
      </c>
      <c r="I2019" t="str" cm="1">
        <f t="array" ref="I2019">_xlfn.IFS(B2019&lt;18.5,"Underweight",AND(B2019&gt;=18.5,B2019&lt;=24.99),"Normalweight",AND(B2019&gt;=25,B2019&lt;=29.99),"Overweight",B2019&gt;=30,"Obesity")</f>
        <v>Overweight</v>
      </c>
      <c r="J2019" t="str" cm="1">
        <f t="array" ref="J2019">_xlfn.IFS(C2019&lt;5.7,"Normal",AND(C2019&gt;=5.7,C2019&lt;=6.49),"Prediabetes",C2019&gt;=6.5,"Diabetes")</f>
        <v>Prediabetes</v>
      </c>
    </row>
    <row r="2020" spans="1:10" x14ac:dyDescent="0.3">
      <c r="A2020" t="s">
        <v>348</v>
      </c>
      <c r="B2020" s="8">
        <v>34.484999999999999</v>
      </c>
      <c r="C2020">
        <v>4.7</v>
      </c>
      <c r="D2020" t="s">
        <v>2381</v>
      </c>
      <c r="E2020" t="s">
        <v>2379</v>
      </c>
      <c r="F2020" t="s">
        <v>2381</v>
      </c>
      <c r="G2020">
        <v>1</v>
      </c>
      <c r="H2020" t="s">
        <v>2379</v>
      </c>
      <c r="I2020" t="str" cm="1">
        <f t="array" ref="I2020">_xlfn.IFS(B2020&lt;18.5,"Underweight",AND(B2020&gt;=18.5,B2020&lt;=24.99),"Normalweight",AND(B2020&gt;=25,B2020&lt;=29.99),"Overweight",B2020&gt;=30,"Obesity")</f>
        <v>Obesity</v>
      </c>
      <c r="J2020" t="str" cm="1">
        <f t="array" ref="J2020">_xlfn.IFS(C2020&lt;5.7,"Normal",AND(C2020&gt;=5.7,C2020&lt;=6.49),"Prediabetes",C2020&gt;=6.5,"Diabetes")</f>
        <v>Normal</v>
      </c>
    </row>
    <row r="2021" spans="1:10" x14ac:dyDescent="0.3">
      <c r="A2021" t="s">
        <v>347</v>
      </c>
      <c r="B2021" s="8">
        <v>15.57</v>
      </c>
      <c r="C2021">
        <v>4.07</v>
      </c>
      <c r="D2021" t="s">
        <v>2381</v>
      </c>
      <c r="E2021" t="s">
        <v>2379</v>
      </c>
      <c r="F2021" t="s">
        <v>2379</v>
      </c>
      <c r="G2021">
        <v>1</v>
      </c>
      <c r="H2021" t="s">
        <v>2379</v>
      </c>
      <c r="I2021" t="str" cm="1">
        <f t="array" ref="I2021">_xlfn.IFS(B2021&lt;18.5,"Underweight",AND(B2021&gt;=18.5,B2021&lt;=24.99),"Normalweight",AND(B2021&gt;=25,B2021&lt;=29.99),"Overweight",B2021&gt;=30,"Obesity")</f>
        <v>Underweight</v>
      </c>
      <c r="J2021" t="str" cm="1">
        <f t="array" ref="J2021">_xlfn.IFS(C2021&lt;5.7,"Normal",AND(C2021&gt;=5.7,C2021&lt;=6.49),"Prediabetes",C2021&gt;=6.5,"Diabetes")</f>
        <v>Normal</v>
      </c>
    </row>
    <row r="2022" spans="1:10" x14ac:dyDescent="0.3">
      <c r="A2022" t="s">
        <v>346</v>
      </c>
      <c r="B2022" s="8">
        <v>30.36</v>
      </c>
      <c r="C2022">
        <v>9.39</v>
      </c>
      <c r="D2022" t="s">
        <v>2379</v>
      </c>
      <c r="E2022" t="s">
        <v>2379</v>
      </c>
      <c r="F2022" t="s">
        <v>2379</v>
      </c>
      <c r="G2022">
        <v>0</v>
      </c>
      <c r="H2022" t="s">
        <v>2379</v>
      </c>
      <c r="I2022" t="str" cm="1">
        <f t="array" ref="I2022">_xlfn.IFS(B2022&lt;18.5,"Underweight",AND(B2022&gt;=18.5,B2022&lt;=24.99),"Normalweight",AND(B2022&gt;=25,B2022&lt;=29.99),"Overweight",B2022&gt;=30,"Obesity")</f>
        <v>Obesity</v>
      </c>
      <c r="J2022" t="str" cm="1">
        <f t="array" ref="J2022">_xlfn.IFS(C2022&lt;5.7,"Normal",AND(C2022&gt;=5.7,C2022&lt;=6.49),"Prediabetes",C2022&gt;=6.5,"Diabetes")</f>
        <v>Diabetes</v>
      </c>
    </row>
    <row r="2023" spans="1:10" x14ac:dyDescent="0.3">
      <c r="A2023" t="s">
        <v>345</v>
      </c>
      <c r="B2023" s="8">
        <v>19.37</v>
      </c>
      <c r="C2023">
        <v>4.18</v>
      </c>
      <c r="D2023" t="s">
        <v>2379</v>
      </c>
      <c r="E2023" t="s">
        <v>2379</v>
      </c>
      <c r="F2023" t="s">
        <v>2379</v>
      </c>
      <c r="G2023">
        <v>0</v>
      </c>
      <c r="H2023" t="s">
        <v>2379</v>
      </c>
      <c r="I2023" t="str" cm="1">
        <f t="array" ref="I2023">_xlfn.IFS(B2023&lt;18.5,"Underweight",AND(B2023&gt;=18.5,B2023&lt;=24.99),"Normalweight",AND(B2023&gt;=25,B2023&lt;=29.99),"Overweight",B2023&gt;=30,"Obesity")</f>
        <v>Normalweight</v>
      </c>
      <c r="J2023" t="str" cm="1">
        <f t="array" ref="J2023">_xlfn.IFS(C2023&lt;5.7,"Normal",AND(C2023&gt;=5.7,C2023&lt;=6.49),"Prediabetes",C2023&gt;=6.5,"Diabetes")</f>
        <v>Normal</v>
      </c>
    </row>
    <row r="2024" spans="1:10" x14ac:dyDescent="0.3">
      <c r="A2024" t="s">
        <v>344</v>
      </c>
      <c r="B2024" s="8">
        <v>16.71</v>
      </c>
      <c r="C2024">
        <v>4.18</v>
      </c>
      <c r="D2024" t="s">
        <v>2379</v>
      </c>
      <c r="E2024" t="s">
        <v>2379</v>
      </c>
      <c r="F2024" t="s">
        <v>2379</v>
      </c>
      <c r="G2024">
        <v>1</v>
      </c>
      <c r="H2024" t="s">
        <v>2379</v>
      </c>
      <c r="I2024" t="str" cm="1">
        <f t="array" ref="I2024">_xlfn.IFS(B2024&lt;18.5,"Underweight",AND(B2024&gt;=18.5,B2024&lt;=24.99),"Normalweight",AND(B2024&gt;=25,B2024&lt;=29.99),"Overweight",B2024&gt;=30,"Obesity")</f>
        <v>Underweight</v>
      </c>
      <c r="J2024" t="str" cm="1">
        <f t="array" ref="J2024">_xlfn.IFS(C2024&lt;5.7,"Normal",AND(C2024&gt;=5.7,C2024&lt;=6.49),"Prediabetes",C2024&gt;=6.5,"Diabetes")</f>
        <v>Normal</v>
      </c>
    </row>
    <row r="2025" spans="1:10" x14ac:dyDescent="0.3">
      <c r="A2025" t="s">
        <v>343</v>
      </c>
      <c r="B2025" s="8">
        <v>24.1</v>
      </c>
      <c r="C2025">
        <v>4.4000000000000004</v>
      </c>
      <c r="D2025" t="s">
        <v>2381</v>
      </c>
      <c r="E2025" t="s">
        <v>2379</v>
      </c>
      <c r="F2025" t="s">
        <v>2379</v>
      </c>
      <c r="G2025">
        <v>1</v>
      </c>
      <c r="H2025" t="s">
        <v>2379</v>
      </c>
      <c r="I2025" t="str" cm="1">
        <f t="array" ref="I2025">_xlfn.IFS(B2025&lt;18.5,"Underweight",AND(B2025&gt;=18.5,B2025&lt;=24.99),"Normalweight",AND(B2025&gt;=25,B2025&lt;=29.99),"Overweight",B2025&gt;=30,"Obesity")</f>
        <v>Normalweight</v>
      </c>
      <c r="J2025" t="str" cm="1">
        <f t="array" ref="J2025">_xlfn.IFS(C2025&lt;5.7,"Normal",AND(C2025&gt;=5.7,C2025&lt;=6.49),"Prediabetes",C2025&gt;=6.5,"Diabetes")</f>
        <v>Normal</v>
      </c>
    </row>
    <row r="2026" spans="1:10" x14ac:dyDescent="0.3">
      <c r="A2026" t="s">
        <v>342</v>
      </c>
      <c r="B2026" s="8">
        <v>29.77</v>
      </c>
      <c r="C2026">
        <v>9.9</v>
      </c>
      <c r="D2026" t="s">
        <v>2379</v>
      </c>
      <c r="E2026" t="s">
        <v>2379</v>
      </c>
      <c r="F2026" t="s">
        <v>2379</v>
      </c>
      <c r="G2026">
        <v>0</v>
      </c>
      <c r="H2026" t="s">
        <v>2379</v>
      </c>
      <c r="I2026" t="str" cm="1">
        <f t="array" ref="I2026">_xlfn.IFS(B2026&lt;18.5,"Underweight",AND(B2026&gt;=18.5,B2026&lt;=24.99),"Normalweight",AND(B2026&gt;=25,B2026&lt;=29.99),"Overweight",B2026&gt;=30,"Obesity")</f>
        <v>Overweight</v>
      </c>
      <c r="J2026" t="str" cm="1">
        <f t="array" ref="J2026">_xlfn.IFS(C2026&lt;5.7,"Normal",AND(C2026&gt;=5.7,C2026&lt;=6.49),"Prediabetes",C2026&gt;=6.5,"Diabetes")</f>
        <v>Diabetes</v>
      </c>
    </row>
    <row r="2027" spans="1:10" x14ac:dyDescent="0.3">
      <c r="A2027" t="s">
        <v>341</v>
      </c>
      <c r="B2027" s="8">
        <v>46.53</v>
      </c>
      <c r="C2027">
        <v>4.84</v>
      </c>
      <c r="D2027" t="s">
        <v>2381</v>
      </c>
      <c r="E2027" t="s">
        <v>2379</v>
      </c>
      <c r="F2027" t="s">
        <v>2379</v>
      </c>
      <c r="G2027">
        <v>0</v>
      </c>
      <c r="H2027" t="s">
        <v>2379</v>
      </c>
      <c r="I2027" t="str" cm="1">
        <f t="array" ref="I2027">_xlfn.IFS(B2027&lt;18.5,"Underweight",AND(B2027&gt;=18.5,B2027&lt;=24.99),"Normalweight",AND(B2027&gt;=25,B2027&lt;=29.99),"Overweight",B2027&gt;=30,"Obesity")</f>
        <v>Obesity</v>
      </c>
      <c r="J2027" t="str" cm="1">
        <f t="array" ref="J2027">_xlfn.IFS(C2027&lt;5.7,"Normal",AND(C2027&gt;=5.7,C2027&lt;=6.49),"Prediabetes",C2027&gt;=6.5,"Diabetes")</f>
        <v>Normal</v>
      </c>
    </row>
    <row r="2028" spans="1:10" x14ac:dyDescent="0.3">
      <c r="A2028" t="s">
        <v>340</v>
      </c>
      <c r="B2028" s="8">
        <v>23.4</v>
      </c>
      <c r="C2028">
        <v>5.53</v>
      </c>
      <c r="D2028" t="s">
        <v>2379</v>
      </c>
      <c r="E2028" t="s">
        <v>2379</v>
      </c>
      <c r="F2028" t="s">
        <v>2381</v>
      </c>
      <c r="G2028">
        <v>1</v>
      </c>
      <c r="H2028" t="s">
        <v>2379</v>
      </c>
      <c r="I2028" t="str" cm="1">
        <f t="array" ref="I2028">_xlfn.IFS(B2028&lt;18.5,"Underweight",AND(B2028&gt;=18.5,B2028&lt;=24.99),"Normalweight",AND(B2028&gt;=25,B2028&lt;=29.99),"Overweight",B2028&gt;=30,"Obesity")</f>
        <v>Normalweight</v>
      </c>
      <c r="J2028" t="str" cm="1">
        <f t="array" ref="J2028">_xlfn.IFS(C2028&lt;5.7,"Normal",AND(C2028&gt;=5.7,C2028&lt;=6.49),"Prediabetes",C2028&gt;=6.5,"Diabetes")</f>
        <v>Normal</v>
      </c>
    </row>
    <row r="2029" spans="1:10" x14ac:dyDescent="0.3">
      <c r="A2029" t="s">
        <v>339</v>
      </c>
      <c r="B2029" s="8">
        <v>30</v>
      </c>
      <c r="C2029">
        <v>4.33</v>
      </c>
      <c r="D2029" t="s">
        <v>2381</v>
      </c>
      <c r="E2029" t="s">
        <v>2379</v>
      </c>
      <c r="F2029" t="s">
        <v>2379</v>
      </c>
      <c r="G2029">
        <v>0</v>
      </c>
      <c r="H2029" t="s">
        <v>2379</v>
      </c>
      <c r="I2029" t="str" cm="1">
        <f t="array" ref="I2029">_xlfn.IFS(B2029&lt;18.5,"Underweight",AND(B2029&gt;=18.5,B2029&lt;=24.99),"Normalweight",AND(B2029&gt;=25,B2029&lt;=29.99),"Overweight",B2029&gt;=30,"Obesity")</f>
        <v>Obesity</v>
      </c>
      <c r="J2029" t="str" cm="1">
        <f t="array" ref="J2029">_xlfn.IFS(C2029&lt;5.7,"Normal",AND(C2029&gt;=5.7,C2029&lt;=6.49),"Prediabetes",C2029&gt;=6.5,"Diabetes")</f>
        <v>Normal</v>
      </c>
    </row>
    <row r="2030" spans="1:10" x14ac:dyDescent="0.3">
      <c r="A2030" t="s">
        <v>338</v>
      </c>
      <c r="B2030" s="8">
        <v>29.15</v>
      </c>
      <c r="C2030">
        <v>4.91</v>
      </c>
      <c r="D2030" t="s">
        <v>2381</v>
      </c>
      <c r="E2030" t="s">
        <v>2379</v>
      </c>
      <c r="F2030" t="s">
        <v>2379</v>
      </c>
      <c r="G2030">
        <v>0</v>
      </c>
      <c r="H2030" t="s">
        <v>2379</v>
      </c>
      <c r="I2030" t="str" cm="1">
        <f t="array" ref="I2030">_xlfn.IFS(B2030&lt;18.5,"Underweight",AND(B2030&gt;=18.5,B2030&lt;=24.99),"Normalweight",AND(B2030&gt;=25,B2030&lt;=29.99),"Overweight",B2030&gt;=30,"Obesity")</f>
        <v>Overweight</v>
      </c>
      <c r="J2030" t="str" cm="1">
        <f t="array" ref="J2030">_xlfn.IFS(C2030&lt;5.7,"Normal",AND(C2030&gt;=5.7,C2030&lt;=6.49),"Prediabetes",C2030&gt;=6.5,"Diabetes")</f>
        <v>Normal</v>
      </c>
    </row>
    <row r="2031" spans="1:10" x14ac:dyDescent="0.3">
      <c r="A2031" t="s">
        <v>337</v>
      </c>
      <c r="B2031" s="8">
        <v>34.865000000000002</v>
      </c>
      <c r="C2031">
        <v>4.8</v>
      </c>
      <c r="D2031" t="s">
        <v>2379</v>
      </c>
      <c r="E2031" t="s">
        <v>2379</v>
      </c>
      <c r="F2031" t="s">
        <v>2379</v>
      </c>
      <c r="G2031">
        <v>0</v>
      </c>
      <c r="H2031" t="s">
        <v>2379</v>
      </c>
      <c r="I2031" t="str" cm="1">
        <f t="array" ref="I2031">_xlfn.IFS(B2031&lt;18.5,"Underweight",AND(B2031&gt;=18.5,B2031&lt;=24.99),"Normalweight",AND(B2031&gt;=25,B2031&lt;=29.99),"Overweight",B2031&gt;=30,"Obesity")</f>
        <v>Obesity</v>
      </c>
      <c r="J2031" t="str" cm="1">
        <f t="array" ref="J2031">_xlfn.IFS(C2031&lt;5.7,"Normal",AND(C2031&gt;=5.7,C2031&lt;=6.49),"Prediabetes",C2031&gt;=6.5,"Diabetes")</f>
        <v>Normal</v>
      </c>
    </row>
    <row r="2032" spans="1:10" x14ac:dyDescent="0.3">
      <c r="A2032" t="s">
        <v>336</v>
      </c>
      <c r="B2032" s="8">
        <v>28.12</v>
      </c>
      <c r="C2032">
        <v>5.55</v>
      </c>
      <c r="D2032" t="s">
        <v>2381</v>
      </c>
      <c r="E2032" t="s">
        <v>2380</v>
      </c>
      <c r="F2032" t="s">
        <v>2379</v>
      </c>
      <c r="G2032">
        <v>2</v>
      </c>
      <c r="H2032" t="s">
        <v>2379</v>
      </c>
      <c r="I2032" t="str" cm="1">
        <f t="array" ref="I2032">_xlfn.IFS(B2032&lt;18.5,"Underweight",AND(B2032&gt;=18.5,B2032&lt;=24.99),"Normalweight",AND(B2032&gt;=25,B2032&lt;=29.99),"Overweight",B2032&gt;=30,"Obesity")</f>
        <v>Overweight</v>
      </c>
      <c r="J2032" t="str" cm="1">
        <f t="array" ref="J2032">_xlfn.IFS(C2032&lt;5.7,"Normal",AND(C2032&gt;=5.7,C2032&lt;=6.49),"Prediabetes",C2032&gt;=6.5,"Diabetes")</f>
        <v>Normal</v>
      </c>
    </row>
    <row r="2033" spans="1:10" x14ac:dyDescent="0.3">
      <c r="A2033" t="s">
        <v>335</v>
      </c>
      <c r="B2033" s="8">
        <v>29.45</v>
      </c>
      <c r="C2033">
        <v>5.24</v>
      </c>
      <c r="D2033" t="s">
        <v>2381</v>
      </c>
      <c r="E2033" t="s">
        <v>2379</v>
      </c>
      <c r="F2033" t="s">
        <v>2379</v>
      </c>
      <c r="G2033">
        <v>0</v>
      </c>
      <c r="H2033" t="s">
        <v>2379</v>
      </c>
      <c r="I2033" t="str" cm="1">
        <f t="array" ref="I2033">_xlfn.IFS(B2033&lt;18.5,"Underweight",AND(B2033&gt;=18.5,B2033&lt;=24.99),"Normalweight",AND(B2033&gt;=25,B2033&lt;=29.99),"Overweight",B2033&gt;=30,"Obesity")</f>
        <v>Overweight</v>
      </c>
      <c r="J2033" t="str" cm="1">
        <f t="array" ref="J2033">_xlfn.IFS(C2033&lt;5.7,"Normal",AND(C2033&gt;=5.7,C2033&lt;=6.49),"Prediabetes",C2033&gt;=6.5,"Diabetes")</f>
        <v>Normal</v>
      </c>
    </row>
    <row r="2034" spans="1:10" x14ac:dyDescent="0.3">
      <c r="A2034" t="s">
        <v>334</v>
      </c>
      <c r="B2034" s="8">
        <v>27.94</v>
      </c>
      <c r="C2034">
        <v>6.08</v>
      </c>
      <c r="D2034" t="s">
        <v>2379</v>
      </c>
      <c r="E2034" t="s">
        <v>2379</v>
      </c>
      <c r="F2034" t="s">
        <v>2381</v>
      </c>
      <c r="G2034">
        <v>1</v>
      </c>
      <c r="H2034" t="s">
        <v>2379</v>
      </c>
      <c r="I2034" t="str" cm="1">
        <f t="array" ref="I2034">_xlfn.IFS(B2034&lt;18.5,"Underweight",AND(B2034&gt;=18.5,B2034&lt;=24.99),"Normalweight",AND(B2034&gt;=25,B2034&lt;=29.99),"Overweight",B2034&gt;=30,"Obesity")</f>
        <v>Overweight</v>
      </c>
      <c r="J2034" t="str" cm="1">
        <f t="array" ref="J2034">_xlfn.IFS(C2034&lt;5.7,"Normal",AND(C2034&gt;=5.7,C2034&lt;=6.49),"Prediabetes",C2034&gt;=6.5,"Diabetes")</f>
        <v>Prediabetes</v>
      </c>
    </row>
    <row r="2035" spans="1:10" x14ac:dyDescent="0.3">
      <c r="A2035" t="s">
        <v>333</v>
      </c>
      <c r="B2035" s="8">
        <v>27.2</v>
      </c>
      <c r="C2035">
        <v>5.83</v>
      </c>
      <c r="D2035" t="s">
        <v>2379</v>
      </c>
      <c r="E2035" t="s">
        <v>2379</v>
      </c>
      <c r="F2035" t="s">
        <v>2381</v>
      </c>
      <c r="G2035">
        <v>1</v>
      </c>
      <c r="H2035" t="s">
        <v>2379</v>
      </c>
      <c r="I2035" t="str" cm="1">
        <f t="array" ref="I2035">_xlfn.IFS(B2035&lt;18.5,"Underweight",AND(B2035&gt;=18.5,B2035&lt;=24.99),"Normalweight",AND(B2035&gt;=25,B2035&lt;=29.99),"Overweight",B2035&gt;=30,"Obesity")</f>
        <v>Overweight</v>
      </c>
      <c r="J2035" t="str" cm="1">
        <f t="array" ref="J2035">_xlfn.IFS(C2035&lt;5.7,"Normal",AND(C2035&gt;=5.7,C2035&lt;=6.49),"Prediabetes",C2035&gt;=6.5,"Diabetes")</f>
        <v>Prediabetes</v>
      </c>
    </row>
    <row r="2036" spans="1:10" x14ac:dyDescent="0.3">
      <c r="A2036" t="s">
        <v>332</v>
      </c>
      <c r="B2036" s="8">
        <v>33.344999999999999</v>
      </c>
      <c r="C2036">
        <v>4.29</v>
      </c>
      <c r="D2036" t="s">
        <v>2379</v>
      </c>
      <c r="E2036" t="s">
        <v>2379</v>
      </c>
      <c r="F2036" t="s">
        <v>2379</v>
      </c>
      <c r="G2036">
        <v>1</v>
      </c>
      <c r="H2036" t="s">
        <v>2379</v>
      </c>
      <c r="I2036" t="str" cm="1">
        <f t="array" ref="I2036">_xlfn.IFS(B2036&lt;18.5,"Underweight",AND(B2036&gt;=18.5,B2036&lt;=24.99),"Normalweight",AND(B2036&gt;=25,B2036&lt;=29.99),"Overweight",B2036&gt;=30,"Obesity")</f>
        <v>Obesity</v>
      </c>
      <c r="J2036" t="str" cm="1">
        <f t="array" ref="J2036">_xlfn.IFS(C2036&lt;5.7,"Normal",AND(C2036&gt;=5.7,C2036&lt;=6.49),"Prediabetes",C2036&gt;=6.5,"Diabetes")</f>
        <v>Normal</v>
      </c>
    </row>
    <row r="2037" spans="1:10" x14ac:dyDescent="0.3">
      <c r="A2037" t="s">
        <v>331</v>
      </c>
      <c r="B2037" s="8">
        <v>29.925000000000001</v>
      </c>
      <c r="C2037">
        <v>5.3</v>
      </c>
      <c r="D2037" t="s">
        <v>2379</v>
      </c>
      <c r="E2037" t="s">
        <v>2379</v>
      </c>
      <c r="F2037" t="s">
        <v>2379</v>
      </c>
      <c r="G2037">
        <v>1</v>
      </c>
      <c r="H2037" t="s">
        <v>2379</v>
      </c>
      <c r="I2037" t="str" cm="1">
        <f t="array" ref="I2037">_xlfn.IFS(B2037&lt;18.5,"Underweight",AND(B2037&gt;=18.5,B2037&lt;=24.99),"Normalweight",AND(B2037&gt;=25,B2037&lt;=29.99),"Overweight",B2037&gt;=30,"Obesity")</f>
        <v>Overweight</v>
      </c>
      <c r="J2037" t="str" cm="1">
        <f t="array" ref="J2037">_xlfn.IFS(C2037&lt;5.7,"Normal",AND(C2037&gt;=5.7,C2037&lt;=6.49),"Prediabetes",C2037&gt;=6.5,"Diabetes")</f>
        <v>Normal</v>
      </c>
    </row>
    <row r="2038" spans="1:10" x14ac:dyDescent="0.3">
      <c r="A2038" t="s">
        <v>330</v>
      </c>
      <c r="B2038" s="8">
        <v>24.225000000000001</v>
      </c>
      <c r="C2038">
        <v>4.42</v>
      </c>
      <c r="D2038" t="s">
        <v>2379</v>
      </c>
      <c r="E2038" t="s">
        <v>2379</v>
      </c>
      <c r="F2038" t="s">
        <v>2379</v>
      </c>
      <c r="G2038">
        <v>1</v>
      </c>
      <c r="H2038" t="s">
        <v>2379</v>
      </c>
      <c r="I2038" t="str" cm="1">
        <f t="array" ref="I2038">_xlfn.IFS(B2038&lt;18.5,"Underweight",AND(B2038&gt;=18.5,B2038&lt;=24.99),"Normalweight",AND(B2038&gt;=25,B2038&lt;=29.99),"Overweight",B2038&gt;=30,"Obesity")</f>
        <v>Normalweight</v>
      </c>
      <c r="J2038" t="str" cm="1">
        <f t="array" ref="J2038">_xlfn.IFS(C2038&lt;5.7,"Normal",AND(C2038&gt;=5.7,C2038&lt;=6.49),"Prediabetes",C2038&gt;=6.5,"Diabetes")</f>
        <v>Normal</v>
      </c>
    </row>
    <row r="2039" spans="1:10" x14ac:dyDescent="0.3">
      <c r="A2039" t="s">
        <v>329</v>
      </c>
      <c r="B2039" s="8">
        <v>29.68</v>
      </c>
      <c r="C2039">
        <v>5.68</v>
      </c>
      <c r="D2039" t="s">
        <v>2379</v>
      </c>
      <c r="E2039" t="s">
        <v>2380</v>
      </c>
      <c r="F2039" t="s">
        <v>2379</v>
      </c>
      <c r="G2039">
        <v>1</v>
      </c>
      <c r="H2039" t="s">
        <v>2379</v>
      </c>
      <c r="I2039" t="str" cm="1">
        <f t="array" ref="I2039">_xlfn.IFS(B2039&lt;18.5,"Underweight",AND(B2039&gt;=18.5,B2039&lt;=24.99),"Normalweight",AND(B2039&gt;=25,B2039&lt;=29.99),"Overweight",B2039&gt;=30,"Obesity")</f>
        <v>Overweight</v>
      </c>
      <c r="J2039" t="str" cm="1">
        <f t="array" ref="J2039">_xlfn.IFS(C2039&lt;5.7,"Normal",AND(C2039&gt;=5.7,C2039&lt;=6.49),"Prediabetes",C2039&gt;=6.5,"Diabetes")</f>
        <v>Normal</v>
      </c>
    </row>
    <row r="2040" spans="1:10" x14ac:dyDescent="0.3">
      <c r="A2040" t="s">
        <v>328</v>
      </c>
      <c r="B2040" s="8">
        <v>20.614999999999998</v>
      </c>
      <c r="C2040">
        <v>6.05</v>
      </c>
      <c r="D2040" t="s">
        <v>2379</v>
      </c>
      <c r="E2040" t="s">
        <v>2379</v>
      </c>
      <c r="F2040" t="s">
        <v>2381</v>
      </c>
      <c r="G2040">
        <v>1</v>
      </c>
      <c r="H2040" t="s">
        <v>2379</v>
      </c>
      <c r="I2040" t="str" cm="1">
        <f t="array" ref="I2040">_xlfn.IFS(B2040&lt;18.5,"Underweight",AND(B2040&gt;=18.5,B2040&lt;=24.99),"Normalweight",AND(B2040&gt;=25,B2040&lt;=29.99),"Overweight",B2040&gt;=30,"Obesity")</f>
        <v>Normalweight</v>
      </c>
      <c r="J2040" t="str" cm="1">
        <f t="array" ref="J2040">_xlfn.IFS(C2040&lt;5.7,"Normal",AND(C2040&gt;=5.7,C2040&lt;=6.49),"Prediabetes",C2040&gt;=6.5,"Diabetes")</f>
        <v>Prediabetes</v>
      </c>
    </row>
    <row r="2041" spans="1:10" x14ac:dyDescent="0.3">
      <c r="A2041" t="s">
        <v>327</v>
      </c>
      <c r="B2041" s="8">
        <v>32.119999999999997</v>
      </c>
      <c r="C2041">
        <v>5.33</v>
      </c>
      <c r="D2041" t="s">
        <v>2379</v>
      </c>
      <c r="E2041" t="s">
        <v>2380</v>
      </c>
      <c r="F2041" t="s">
        <v>2379</v>
      </c>
      <c r="G2041">
        <v>1</v>
      </c>
      <c r="H2041" t="s">
        <v>2379</v>
      </c>
      <c r="I2041" t="str" cm="1">
        <f t="array" ref="I2041">_xlfn.IFS(B2041&lt;18.5,"Underweight",AND(B2041&gt;=18.5,B2041&lt;=24.99),"Normalweight",AND(B2041&gt;=25,B2041&lt;=29.99),"Overweight",B2041&gt;=30,"Obesity")</f>
        <v>Obesity</v>
      </c>
      <c r="J2041" t="str" cm="1">
        <f t="array" ref="J2041">_xlfn.IFS(C2041&lt;5.7,"Normal",AND(C2041&gt;=5.7,C2041&lt;=6.49),"Prediabetes",C2041&gt;=6.5,"Diabetes")</f>
        <v>Normal</v>
      </c>
    </row>
    <row r="2042" spans="1:10" x14ac:dyDescent="0.3">
      <c r="A2042" t="s">
        <v>326</v>
      </c>
      <c r="B2042" s="8">
        <v>27.36</v>
      </c>
      <c r="C2042">
        <v>6.22</v>
      </c>
      <c r="D2042" t="s">
        <v>2379</v>
      </c>
      <c r="E2042" t="s">
        <v>2379</v>
      </c>
      <c r="F2042" t="s">
        <v>2379</v>
      </c>
      <c r="G2042">
        <v>0</v>
      </c>
      <c r="H2042" t="s">
        <v>2379</v>
      </c>
      <c r="I2042" t="str" cm="1">
        <f t="array" ref="I2042">_xlfn.IFS(B2042&lt;18.5,"Underweight",AND(B2042&gt;=18.5,B2042&lt;=24.99),"Normalweight",AND(B2042&gt;=25,B2042&lt;=29.99),"Overweight",B2042&gt;=30,"Obesity")</f>
        <v>Overweight</v>
      </c>
      <c r="J2042" t="str" cm="1">
        <f t="array" ref="J2042">_xlfn.IFS(C2042&lt;5.7,"Normal",AND(C2042&gt;=5.7,C2042&lt;=6.49),"Prediabetes",C2042&gt;=6.5,"Diabetes")</f>
        <v>Prediabetes</v>
      </c>
    </row>
    <row r="2043" spans="1:10" x14ac:dyDescent="0.3">
      <c r="A2043" t="s">
        <v>325</v>
      </c>
      <c r="B2043" s="8">
        <v>17.385000000000002</v>
      </c>
      <c r="C2043">
        <v>5.84</v>
      </c>
      <c r="D2043" t="s">
        <v>2379</v>
      </c>
      <c r="E2043" t="s">
        <v>2379</v>
      </c>
      <c r="F2043" t="s">
        <v>2379</v>
      </c>
      <c r="G2043">
        <v>0</v>
      </c>
      <c r="H2043" t="s">
        <v>2379</v>
      </c>
      <c r="I2043" t="str" cm="1">
        <f t="array" ref="I2043">_xlfn.IFS(B2043&lt;18.5,"Underweight",AND(B2043&gt;=18.5,B2043&lt;=24.99),"Normalweight",AND(B2043&gt;=25,B2043&lt;=29.99),"Overweight",B2043&gt;=30,"Obesity")</f>
        <v>Underweight</v>
      </c>
      <c r="J2043" t="str" cm="1">
        <f t="array" ref="J2043">_xlfn.IFS(C2043&lt;5.7,"Normal",AND(C2043&gt;=5.7,C2043&lt;=6.49),"Prediabetes",C2043&gt;=6.5,"Diabetes")</f>
        <v>Prediabetes</v>
      </c>
    </row>
    <row r="2044" spans="1:10" x14ac:dyDescent="0.3">
      <c r="A2044" t="s">
        <v>324</v>
      </c>
      <c r="B2044" s="8">
        <v>30.13</v>
      </c>
      <c r="C2044">
        <v>5.71</v>
      </c>
      <c r="D2044" t="s">
        <v>2379</v>
      </c>
      <c r="E2044" t="s">
        <v>2380</v>
      </c>
      <c r="F2044" t="s">
        <v>2379</v>
      </c>
      <c r="G2044">
        <v>1</v>
      </c>
      <c r="H2044" t="s">
        <v>2379</v>
      </c>
      <c r="I2044" t="str" cm="1">
        <f t="array" ref="I2044">_xlfn.IFS(B2044&lt;18.5,"Underweight",AND(B2044&gt;=18.5,B2044&lt;=24.99),"Normalweight",AND(B2044&gt;=25,B2044&lt;=29.99),"Overweight",B2044&gt;=30,"Obesity")</f>
        <v>Obesity</v>
      </c>
      <c r="J2044" t="str" cm="1">
        <f t="array" ref="J2044">_xlfn.IFS(C2044&lt;5.7,"Normal",AND(C2044&gt;=5.7,C2044&lt;=6.49),"Prediabetes",C2044&gt;=6.5,"Diabetes")</f>
        <v>Prediabetes</v>
      </c>
    </row>
    <row r="2045" spans="1:10" x14ac:dyDescent="0.3">
      <c r="A2045" t="s">
        <v>323</v>
      </c>
      <c r="B2045" s="8">
        <v>25.44</v>
      </c>
      <c r="C2045">
        <v>6.04</v>
      </c>
      <c r="D2045" t="s">
        <v>2381</v>
      </c>
      <c r="E2045" t="s">
        <v>2379</v>
      </c>
      <c r="F2045" t="s">
        <v>2381</v>
      </c>
      <c r="G2045">
        <v>1</v>
      </c>
      <c r="H2045" t="s">
        <v>2379</v>
      </c>
      <c r="I2045" t="str" cm="1">
        <f t="array" ref="I2045">_xlfn.IFS(B2045&lt;18.5,"Underweight",AND(B2045&gt;=18.5,B2045&lt;=24.99),"Normalweight",AND(B2045&gt;=25,B2045&lt;=29.99),"Overweight",B2045&gt;=30,"Obesity")</f>
        <v>Overweight</v>
      </c>
      <c r="J2045" t="str" cm="1">
        <f t="array" ref="J2045">_xlfn.IFS(C2045&lt;5.7,"Normal",AND(C2045&gt;=5.7,C2045&lt;=6.49),"Prediabetes",C2045&gt;=6.5,"Diabetes")</f>
        <v>Prediabetes</v>
      </c>
    </row>
    <row r="2046" spans="1:10" x14ac:dyDescent="0.3">
      <c r="A2046" t="s">
        <v>322</v>
      </c>
      <c r="B2046" s="8">
        <v>39.805</v>
      </c>
      <c r="C2046">
        <v>4.38</v>
      </c>
      <c r="D2046" t="s">
        <v>2379</v>
      </c>
      <c r="E2046" t="s">
        <v>2380</v>
      </c>
      <c r="F2046" t="s">
        <v>2379</v>
      </c>
      <c r="G2046">
        <v>1</v>
      </c>
      <c r="H2046" t="s">
        <v>2379</v>
      </c>
      <c r="I2046" t="str" cm="1">
        <f t="array" ref="I2046">_xlfn.IFS(B2046&lt;18.5,"Underweight",AND(B2046&gt;=18.5,B2046&lt;=24.99),"Normalweight",AND(B2046&gt;=25,B2046&lt;=29.99),"Overweight",B2046&gt;=30,"Obesity")</f>
        <v>Obesity</v>
      </c>
      <c r="J2046" t="str" cm="1">
        <f t="array" ref="J2046">_xlfn.IFS(C2046&lt;5.7,"Normal",AND(C2046&gt;=5.7,C2046&lt;=6.49),"Prediabetes",C2046&gt;=6.5,"Diabetes")</f>
        <v>Normal</v>
      </c>
    </row>
    <row r="2047" spans="1:10" x14ac:dyDescent="0.3">
      <c r="A2047" t="s">
        <v>321</v>
      </c>
      <c r="B2047" s="8">
        <v>30.4</v>
      </c>
      <c r="C2047">
        <v>5.56</v>
      </c>
      <c r="D2047" t="s">
        <v>2381</v>
      </c>
      <c r="E2047" t="s">
        <v>2380</v>
      </c>
      <c r="F2047" t="s">
        <v>2379</v>
      </c>
      <c r="G2047">
        <v>1</v>
      </c>
      <c r="H2047" t="s">
        <v>2379</v>
      </c>
      <c r="I2047" t="str" cm="1">
        <f t="array" ref="I2047">_xlfn.IFS(B2047&lt;18.5,"Underweight",AND(B2047&gt;=18.5,B2047&lt;=24.99),"Normalweight",AND(B2047&gt;=25,B2047&lt;=29.99),"Overweight",B2047&gt;=30,"Obesity")</f>
        <v>Obesity</v>
      </c>
      <c r="J2047" t="str" cm="1">
        <f t="array" ref="J2047">_xlfn.IFS(C2047&lt;5.7,"Normal",AND(C2047&gt;=5.7,C2047&lt;=6.49),"Prediabetes",C2047&gt;=6.5,"Diabetes")</f>
        <v>Normal</v>
      </c>
    </row>
    <row r="2048" spans="1:10" x14ac:dyDescent="0.3">
      <c r="A2048" t="s">
        <v>320</v>
      </c>
      <c r="B2048" s="8">
        <v>23.18</v>
      </c>
      <c r="C2048">
        <v>4.24</v>
      </c>
      <c r="D2048" t="s">
        <v>2379</v>
      </c>
      <c r="E2048" t="s">
        <v>2380</v>
      </c>
      <c r="F2048" t="s">
        <v>2379</v>
      </c>
      <c r="G2048">
        <v>1</v>
      </c>
      <c r="H2048" t="s">
        <v>2379</v>
      </c>
      <c r="I2048" t="str" cm="1">
        <f t="array" ref="I2048">_xlfn.IFS(B2048&lt;18.5,"Underweight",AND(B2048&gt;=18.5,B2048&lt;=24.99),"Normalweight",AND(B2048&gt;=25,B2048&lt;=29.99),"Overweight",B2048&gt;=30,"Obesity")</f>
        <v>Normalweight</v>
      </c>
      <c r="J2048" t="str" cm="1">
        <f t="array" ref="J2048">_xlfn.IFS(C2048&lt;5.7,"Normal",AND(C2048&gt;=5.7,C2048&lt;=6.49),"Prediabetes",C2048&gt;=6.5,"Diabetes")</f>
        <v>Normal</v>
      </c>
    </row>
    <row r="2049" spans="1:10" x14ac:dyDescent="0.3">
      <c r="A2049" t="s">
        <v>319</v>
      </c>
      <c r="B2049" s="8">
        <v>39.615000000000002</v>
      </c>
      <c r="C2049">
        <v>6.32</v>
      </c>
      <c r="D2049" t="s">
        <v>2379</v>
      </c>
      <c r="E2049" t="s">
        <v>2379</v>
      </c>
      <c r="F2049" t="s">
        <v>2381</v>
      </c>
      <c r="G2049">
        <v>1</v>
      </c>
      <c r="H2049" t="s">
        <v>2379</v>
      </c>
      <c r="I2049" t="str" cm="1">
        <f t="array" ref="I2049">_xlfn.IFS(B2049&lt;18.5,"Underweight",AND(B2049&gt;=18.5,B2049&lt;=24.99),"Normalweight",AND(B2049&gt;=25,B2049&lt;=29.99),"Overweight",B2049&gt;=30,"Obesity")</f>
        <v>Obesity</v>
      </c>
      <c r="J2049" t="str" cm="1">
        <f t="array" ref="J2049">_xlfn.IFS(C2049&lt;5.7,"Normal",AND(C2049&gt;=5.7,C2049&lt;=6.49),"Prediabetes",C2049&gt;=6.5,"Diabetes")</f>
        <v>Prediabetes</v>
      </c>
    </row>
    <row r="2050" spans="1:10" x14ac:dyDescent="0.3">
      <c r="A2050" t="s">
        <v>318</v>
      </c>
      <c r="B2050" s="8">
        <v>30.59</v>
      </c>
      <c r="C2050">
        <v>6.3</v>
      </c>
      <c r="D2050" t="s">
        <v>2381</v>
      </c>
      <c r="E2050" t="s">
        <v>2379</v>
      </c>
      <c r="F2050" t="s">
        <v>2381</v>
      </c>
      <c r="G2050">
        <v>1</v>
      </c>
      <c r="H2050" t="s">
        <v>2379</v>
      </c>
      <c r="I2050" t="str" cm="1">
        <f t="array" ref="I2050">_xlfn.IFS(B2050&lt;18.5,"Underweight",AND(B2050&gt;=18.5,B2050&lt;=24.99),"Normalweight",AND(B2050&gt;=25,B2050&lt;=29.99),"Overweight",B2050&gt;=30,"Obesity")</f>
        <v>Obesity</v>
      </c>
      <c r="J2050" t="str" cm="1">
        <f t="array" ref="J2050">_xlfn.IFS(C2050&lt;5.7,"Normal",AND(C2050&gt;=5.7,C2050&lt;=6.49),"Prediabetes",C2050&gt;=6.5,"Diabetes")</f>
        <v>Prediabetes</v>
      </c>
    </row>
    <row r="2051" spans="1:10" x14ac:dyDescent="0.3">
      <c r="A2051" t="s">
        <v>317</v>
      </c>
      <c r="B2051" s="8">
        <v>16.72</v>
      </c>
      <c r="C2051">
        <v>4.38</v>
      </c>
      <c r="D2051" t="s">
        <v>2381</v>
      </c>
      <c r="E2051" t="s">
        <v>2379</v>
      </c>
      <c r="F2051" t="s">
        <v>2379</v>
      </c>
      <c r="G2051">
        <v>1</v>
      </c>
      <c r="H2051" t="s">
        <v>2379</v>
      </c>
      <c r="I2051" t="str" cm="1">
        <f t="array" ref="I2051">_xlfn.IFS(B2051&lt;18.5,"Underweight",AND(B2051&gt;=18.5,B2051&lt;=24.99),"Normalweight",AND(B2051&gt;=25,B2051&lt;=29.99),"Overweight",B2051&gt;=30,"Obesity")</f>
        <v>Underweight</v>
      </c>
      <c r="J2051" t="str" cm="1">
        <f t="array" ref="J2051">_xlfn.IFS(C2051&lt;5.7,"Normal",AND(C2051&gt;=5.7,C2051&lt;=6.49),"Prediabetes",C2051&gt;=6.5,"Diabetes")</f>
        <v>Normal</v>
      </c>
    </row>
    <row r="2052" spans="1:10" x14ac:dyDescent="0.3">
      <c r="A2052" t="s">
        <v>316</v>
      </c>
      <c r="B2052" s="8">
        <v>26.22</v>
      </c>
      <c r="C2052">
        <v>4.6500000000000004</v>
      </c>
      <c r="D2052" t="s">
        <v>2381</v>
      </c>
      <c r="E2052" t="s">
        <v>2379</v>
      </c>
      <c r="F2052" t="s">
        <v>2381</v>
      </c>
      <c r="G2052">
        <v>1</v>
      </c>
      <c r="H2052" t="s">
        <v>2379</v>
      </c>
      <c r="I2052" t="str" cm="1">
        <f t="array" ref="I2052">_xlfn.IFS(B2052&lt;18.5,"Underweight",AND(B2052&gt;=18.5,B2052&lt;=24.99),"Normalweight",AND(B2052&gt;=25,B2052&lt;=29.99),"Overweight",B2052&gt;=30,"Obesity")</f>
        <v>Overweight</v>
      </c>
      <c r="J2052" t="str" cm="1">
        <f t="array" ref="J2052">_xlfn.IFS(C2052&lt;5.7,"Normal",AND(C2052&gt;=5.7,C2052&lt;=6.49),"Prediabetes",C2052&gt;=6.5,"Diabetes")</f>
        <v>Normal</v>
      </c>
    </row>
    <row r="2053" spans="1:10" x14ac:dyDescent="0.3">
      <c r="A2053" t="s">
        <v>315</v>
      </c>
      <c r="B2053" s="8">
        <v>31.824999999999999</v>
      </c>
      <c r="C2053">
        <v>4.7</v>
      </c>
      <c r="D2053" t="s">
        <v>2379</v>
      </c>
      <c r="E2053" t="s">
        <v>2379</v>
      </c>
      <c r="F2053" t="s">
        <v>2381</v>
      </c>
      <c r="G2053">
        <v>1</v>
      </c>
      <c r="H2053" t="s">
        <v>2379</v>
      </c>
      <c r="I2053" t="str" cm="1">
        <f t="array" ref="I2053">_xlfn.IFS(B2053&lt;18.5,"Underweight",AND(B2053&gt;=18.5,B2053&lt;=24.99),"Normalweight",AND(B2053&gt;=25,B2053&lt;=29.99),"Overweight",B2053&gt;=30,"Obesity")</f>
        <v>Obesity</v>
      </c>
      <c r="J2053" t="str" cm="1">
        <f t="array" ref="J2053">_xlfn.IFS(C2053&lt;5.7,"Normal",AND(C2053&gt;=5.7,C2053&lt;=6.49),"Prediabetes",C2053&gt;=6.5,"Diabetes")</f>
        <v>Normal</v>
      </c>
    </row>
    <row r="2054" spans="1:10" x14ac:dyDescent="0.3">
      <c r="A2054" t="s">
        <v>314</v>
      </c>
      <c r="B2054" s="8">
        <v>25.745000000000001</v>
      </c>
      <c r="C2054">
        <v>4.34</v>
      </c>
      <c r="D2054" t="s">
        <v>2379</v>
      </c>
      <c r="E2054" t="s">
        <v>2379</v>
      </c>
      <c r="F2054" t="s">
        <v>2381</v>
      </c>
      <c r="G2054">
        <v>1</v>
      </c>
      <c r="H2054" t="s">
        <v>2379</v>
      </c>
      <c r="I2054" t="str" cm="1">
        <f t="array" ref="I2054">_xlfn.IFS(B2054&lt;18.5,"Underweight",AND(B2054&gt;=18.5,B2054&lt;=24.99),"Normalweight",AND(B2054&gt;=25,B2054&lt;=29.99),"Overweight",B2054&gt;=30,"Obesity")</f>
        <v>Overweight</v>
      </c>
      <c r="J2054" t="str" cm="1">
        <f t="array" ref="J2054">_xlfn.IFS(C2054&lt;5.7,"Normal",AND(C2054&gt;=5.7,C2054&lt;=6.49),"Prediabetes",C2054&gt;=6.5,"Diabetes")</f>
        <v>Normal</v>
      </c>
    </row>
    <row r="2055" spans="1:10" x14ac:dyDescent="0.3">
      <c r="A2055" t="s">
        <v>313</v>
      </c>
      <c r="B2055" s="8">
        <v>24.605</v>
      </c>
      <c r="C2055">
        <v>5.62</v>
      </c>
      <c r="D2055" t="s">
        <v>2379</v>
      </c>
      <c r="E2055" t="s">
        <v>2379</v>
      </c>
      <c r="F2055" t="s">
        <v>2381</v>
      </c>
      <c r="G2055">
        <v>1</v>
      </c>
      <c r="H2055" t="s">
        <v>2379</v>
      </c>
      <c r="I2055" t="str" cm="1">
        <f t="array" ref="I2055">_xlfn.IFS(B2055&lt;18.5,"Underweight",AND(B2055&gt;=18.5,B2055&lt;=24.99),"Normalweight",AND(B2055&gt;=25,B2055&lt;=29.99),"Overweight",B2055&gt;=30,"Obesity")</f>
        <v>Normalweight</v>
      </c>
      <c r="J2055" t="str" cm="1">
        <f t="array" ref="J2055">_xlfn.IFS(C2055&lt;5.7,"Normal",AND(C2055&gt;=5.7,C2055&lt;=6.49),"Prediabetes",C2055&gt;=6.5,"Diabetes")</f>
        <v>Normal</v>
      </c>
    </row>
    <row r="2056" spans="1:10" x14ac:dyDescent="0.3">
      <c r="A2056" t="s">
        <v>312</v>
      </c>
      <c r="B2056" s="8">
        <v>24.51</v>
      </c>
      <c r="C2056">
        <v>4.24</v>
      </c>
      <c r="D2056" t="s">
        <v>2379</v>
      </c>
      <c r="E2056" t="s">
        <v>2379</v>
      </c>
      <c r="F2056" t="s">
        <v>2381</v>
      </c>
      <c r="G2056">
        <v>1</v>
      </c>
      <c r="H2056" t="s">
        <v>2379</v>
      </c>
      <c r="I2056" t="str" cm="1">
        <f t="array" ref="I2056">_xlfn.IFS(B2056&lt;18.5,"Underweight",AND(B2056&gt;=18.5,B2056&lt;=24.99),"Normalweight",AND(B2056&gt;=25,B2056&lt;=29.99),"Overweight",B2056&gt;=30,"Obesity")</f>
        <v>Normalweight</v>
      </c>
      <c r="J2056" t="str" cm="1">
        <f t="array" ref="J2056">_xlfn.IFS(C2056&lt;5.7,"Normal",AND(C2056&gt;=5.7,C2056&lt;=6.49),"Prediabetes",C2056&gt;=6.5,"Diabetes")</f>
        <v>Normal</v>
      </c>
    </row>
    <row r="2057" spans="1:10" x14ac:dyDescent="0.3">
      <c r="A2057" t="s">
        <v>311</v>
      </c>
      <c r="B2057" s="8">
        <v>31.065000000000001</v>
      </c>
      <c r="C2057">
        <v>4.57</v>
      </c>
      <c r="D2057" t="s">
        <v>2381</v>
      </c>
      <c r="E2057" t="s">
        <v>2379</v>
      </c>
      <c r="F2057" t="s">
        <v>2379</v>
      </c>
      <c r="G2057">
        <v>0</v>
      </c>
      <c r="H2057" t="s">
        <v>2379</v>
      </c>
      <c r="I2057" t="str" cm="1">
        <f t="array" ref="I2057">_xlfn.IFS(B2057&lt;18.5,"Underweight",AND(B2057&gt;=18.5,B2057&lt;=24.99),"Normalweight",AND(B2057&gt;=25,B2057&lt;=29.99),"Overweight",B2057&gt;=30,"Obesity")</f>
        <v>Obesity</v>
      </c>
      <c r="J2057" t="str" cm="1">
        <f t="array" ref="J2057">_xlfn.IFS(C2057&lt;5.7,"Normal",AND(C2057&gt;=5.7,C2057&lt;=6.49),"Prediabetes",C2057&gt;=6.5,"Diabetes")</f>
        <v>Normal</v>
      </c>
    </row>
    <row r="2058" spans="1:10" x14ac:dyDescent="0.3">
      <c r="A2058" t="s">
        <v>310</v>
      </c>
      <c r="B2058" s="8">
        <v>28.12</v>
      </c>
      <c r="C2058">
        <v>5.05</v>
      </c>
      <c r="D2058" t="s">
        <v>2379</v>
      </c>
      <c r="E2058" t="s">
        <v>2379</v>
      </c>
      <c r="F2058" t="s">
        <v>2379</v>
      </c>
      <c r="G2058">
        <v>0</v>
      </c>
      <c r="H2058" t="s">
        <v>2379</v>
      </c>
      <c r="I2058" t="str" cm="1">
        <f t="array" ref="I2058">_xlfn.IFS(B2058&lt;18.5,"Underweight",AND(B2058&gt;=18.5,B2058&lt;=24.99),"Normalweight",AND(B2058&gt;=25,B2058&lt;=29.99),"Overweight",B2058&gt;=30,"Obesity")</f>
        <v>Overweight</v>
      </c>
      <c r="J2058" t="str" cm="1">
        <f t="array" ref="J2058">_xlfn.IFS(C2058&lt;5.7,"Normal",AND(C2058&gt;=5.7,C2058&lt;=6.49),"Prediabetes",C2058&gt;=6.5,"Diabetes")</f>
        <v>Normal</v>
      </c>
    </row>
    <row r="2059" spans="1:10" x14ac:dyDescent="0.3">
      <c r="A2059" t="s">
        <v>309</v>
      </c>
      <c r="B2059" s="8">
        <v>38.06</v>
      </c>
      <c r="C2059">
        <v>6.16</v>
      </c>
      <c r="D2059" t="s">
        <v>2379</v>
      </c>
      <c r="E2059" t="s">
        <v>2379</v>
      </c>
      <c r="F2059" t="s">
        <v>2379</v>
      </c>
      <c r="G2059">
        <v>0</v>
      </c>
      <c r="H2059" t="s">
        <v>2379</v>
      </c>
      <c r="I2059" t="str" cm="1">
        <f t="array" ref="I2059">_xlfn.IFS(B2059&lt;18.5,"Underweight",AND(B2059&gt;=18.5,B2059&lt;=24.99),"Normalweight",AND(B2059&gt;=25,B2059&lt;=29.99),"Overweight",B2059&gt;=30,"Obesity")</f>
        <v>Obesity</v>
      </c>
      <c r="J2059" t="str" cm="1">
        <f t="array" ref="J2059">_xlfn.IFS(C2059&lt;5.7,"Normal",AND(C2059&gt;=5.7,C2059&lt;=6.49),"Prediabetes",C2059&gt;=6.5,"Diabetes")</f>
        <v>Prediabetes</v>
      </c>
    </row>
    <row r="2060" spans="1:10" x14ac:dyDescent="0.3">
      <c r="A2060" t="s">
        <v>308</v>
      </c>
      <c r="B2060" s="8">
        <v>24.96</v>
      </c>
      <c r="C2060">
        <v>4.57</v>
      </c>
      <c r="D2060" t="s">
        <v>2379</v>
      </c>
      <c r="E2060" t="s">
        <v>2379</v>
      </c>
      <c r="F2060" t="s">
        <v>2379</v>
      </c>
      <c r="G2060">
        <v>0</v>
      </c>
      <c r="H2060" t="s">
        <v>2379</v>
      </c>
      <c r="I2060" t="str" cm="1">
        <f t="array" ref="I2060">_xlfn.IFS(B2060&lt;18.5,"Underweight",AND(B2060&gt;=18.5,B2060&lt;=24.99),"Normalweight",AND(B2060&gt;=25,B2060&lt;=29.99),"Overweight",B2060&gt;=30,"Obesity")</f>
        <v>Normalweight</v>
      </c>
      <c r="J2060" t="str" cm="1">
        <f t="array" ref="J2060">_xlfn.IFS(C2060&lt;5.7,"Normal",AND(C2060&gt;=5.7,C2060&lt;=6.49),"Prediabetes",C2060&gt;=6.5,"Diabetes")</f>
        <v>Normal</v>
      </c>
    </row>
    <row r="2061" spans="1:10" x14ac:dyDescent="0.3">
      <c r="A2061" t="s">
        <v>307</v>
      </c>
      <c r="B2061" s="8">
        <v>17.670000000000002</v>
      </c>
      <c r="C2061">
        <v>5.53</v>
      </c>
      <c r="D2061" t="s">
        <v>2381</v>
      </c>
      <c r="E2061" t="s">
        <v>2379</v>
      </c>
      <c r="F2061" t="s">
        <v>2379</v>
      </c>
      <c r="G2061">
        <v>0</v>
      </c>
      <c r="H2061" t="s">
        <v>2379</v>
      </c>
      <c r="I2061" t="str" cm="1">
        <f t="array" ref="I2061">_xlfn.IFS(B2061&lt;18.5,"Underweight",AND(B2061&gt;=18.5,B2061&lt;=24.99),"Normalweight",AND(B2061&gt;=25,B2061&lt;=29.99),"Overweight",B2061&gt;=30,"Obesity")</f>
        <v>Underweight</v>
      </c>
      <c r="J2061" t="str" cm="1">
        <f t="array" ref="J2061">_xlfn.IFS(C2061&lt;5.7,"Normal",AND(C2061&gt;=5.7,C2061&lt;=6.49),"Prediabetes",C2061&gt;=6.5,"Diabetes")</f>
        <v>Normal</v>
      </c>
    </row>
    <row r="2062" spans="1:10" x14ac:dyDescent="0.3">
      <c r="A2062" t="s">
        <v>306</v>
      </c>
      <c r="B2062" s="8">
        <v>31.35</v>
      </c>
      <c r="C2062">
        <v>5.84</v>
      </c>
      <c r="D2062" t="s">
        <v>2379</v>
      </c>
      <c r="E2062" t="s">
        <v>2380</v>
      </c>
      <c r="F2062" t="s">
        <v>2379</v>
      </c>
      <c r="G2062">
        <v>1</v>
      </c>
      <c r="H2062" t="s">
        <v>2379</v>
      </c>
      <c r="I2062" t="str" cm="1">
        <f t="array" ref="I2062">_xlfn.IFS(B2062&lt;18.5,"Underweight",AND(B2062&gt;=18.5,B2062&lt;=24.99),"Normalweight",AND(B2062&gt;=25,B2062&lt;=29.99),"Overweight",B2062&gt;=30,"Obesity")</f>
        <v>Obesity</v>
      </c>
      <c r="J2062" t="str" cm="1">
        <f t="array" ref="J2062">_xlfn.IFS(C2062&lt;5.7,"Normal",AND(C2062&gt;=5.7,C2062&lt;=6.49),"Prediabetes",C2062&gt;=6.5,"Diabetes")</f>
        <v>Prediabetes</v>
      </c>
    </row>
    <row r="2063" spans="1:10" x14ac:dyDescent="0.3">
      <c r="A2063" t="s">
        <v>305</v>
      </c>
      <c r="B2063" s="8">
        <v>28.31</v>
      </c>
      <c r="C2063">
        <v>6.41</v>
      </c>
      <c r="D2063" t="s">
        <v>2379</v>
      </c>
      <c r="E2063" t="s">
        <v>2380</v>
      </c>
      <c r="F2063" t="s">
        <v>2379</v>
      </c>
      <c r="G2063">
        <v>1</v>
      </c>
      <c r="H2063" t="s">
        <v>2379</v>
      </c>
      <c r="I2063" t="str" cm="1">
        <f t="array" ref="I2063">_xlfn.IFS(B2063&lt;18.5,"Underweight",AND(B2063&gt;=18.5,B2063&lt;=24.99),"Normalweight",AND(B2063&gt;=25,B2063&lt;=29.99),"Overweight",B2063&gt;=30,"Obesity")</f>
        <v>Overweight</v>
      </c>
      <c r="J2063" t="str" cm="1">
        <f t="array" ref="J2063">_xlfn.IFS(C2063&lt;5.7,"Normal",AND(C2063&gt;=5.7,C2063&lt;=6.49),"Prediabetes",C2063&gt;=6.5,"Diabetes")</f>
        <v>Prediabetes</v>
      </c>
    </row>
    <row r="2064" spans="1:10" x14ac:dyDescent="0.3">
      <c r="A2064" t="s">
        <v>304</v>
      </c>
      <c r="B2064" s="8">
        <v>30.3</v>
      </c>
      <c r="C2064">
        <v>4.7300000000000004</v>
      </c>
      <c r="D2064" t="s">
        <v>2381</v>
      </c>
      <c r="E2064" t="s">
        <v>2379</v>
      </c>
      <c r="F2064" t="s">
        <v>2381</v>
      </c>
      <c r="G2064">
        <v>1</v>
      </c>
      <c r="H2064" t="s">
        <v>2379</v>
      </c>
      <c r="I2064" t="str" cm="1">
        <f t="array" ref="I2064">_xlfn.IFS(B2064&lt;18.5,"Underweight",AND(B2064&gt;=18.5,B2064&lt;=24.99),"Normalweight",AND(B2064&gt;=25,B2064&lt;=29.99),"Overweight",B2064&gt;=30,"Obesity")</f>
        <v>Obesity</v>
      </c>
      <c r="J2064" t="str" cm="1">
        <f t="array" ref="J2064">_xlfn.IFS(C2064&lt;5.7,"Normal",AND(C2064&gt;=5.7,C2064&lt;=6.49),"Prediabetes",C2064&gt;=6.5,"Diabetes")</f>
        <v>Normal</v>
      </c>
    </row>
    <row r="2065" spans="1:10" x14ac:dyDescent="0.3">
      <c r="A2065" t="s">
        <v>303</v>
      </c>
      <c r="B2065" s="8">
        <v>26.4</v>
      </c>
      <c r="C2065">
        <v>6.22</v>
      </c>
      <c r="D2065" t="s">
        <v>2381</v>
      </c>
      <c r="E2065" t="s">
        <v>2379</v>
      </c>
      <c r="F2065" t="s">
        <v>2379</v>
      </c>
      <c r="G2065">
        <v>0</v>
      </c>
      <c r="H2065" t="s">
        <v>2379</v>
      </c>
      <c r="I2065" t="str" cm="1">
        <f t="array" ref="I2065">_xlfn.IFS(B2065&lt;18.5,"Underweight",AND(B2065&gt;=18.5,B2065&lt;=24.99),"Normalweight",AND(B2065&gt;=25,B2065&lt;=29.99),"Overweight",B2065&gt;=30,"Obesity")</f>
        <v>Overweight</v>
      </c>
      <c r="J2065" t="str" cm="1">
        <f t="array" ref="J2065">_xlfn.IFS(C2065&lt;5.7,"Normal",AND(C2065&gt;=5.7,C2065&lt;=6.49),"Prediabetes",C2065&gt;=6.5,"Diabetes")</f>
        <v>Prediabetes</v>
      </c>
    </row>
    <row r="2066" spans="1:10" x14ac:dyDescent="0.3">
      <c r="A2066" t="s">
        <v>302</v>
      </c>
      <c r="B2066" s="8">
        <v>22.135000000000002</v>
      </c>
      <c r="C2066">
        <v>4.46</v>
      </c>
      <c r="D2066" t="s">
        <v>2381</v>
      </c>
      <c r="E2066" t="s">
        <v>2379</v>
      </c>
      <c r="F2066" t="s">
        <v>2379</v>
      </c>
      <c r="G2066">
        <v>0</v>
      </c>
      <c r="H2066" t="s">
        <v>2379</v>
      </c>
      <c r="I2066" t="str" cm="1">
        <f t="array" ref="I2066">_xlfn.IFS(B2066&lt;18.5,"Underweight",AND(B2066&gt;=18.5,B2066&lt;=24.99),"Normalweight",AND(B2066&gt;=25,B2066&lt;=29.99),"Overweight",B2066&gt;=30,"Obesity")</f>
        <v>Normalweight</v>
      </c>
      <c r="J2066" t="str" cm="1">
        <f t="array" ref="J2066">_xlfn.IFS(C2066&lt;5.7,"Normal",AND(C2066&gt;=5.7,C2066&lt;=6.49),"Prediabetes",C2066&gt;=6.5,"Diabetes")</f>
        <v>Normal</v>
      </c>
    </row>
    <row r="2067" spans="1:10" x14ac:dyDescent="0.3">
      <c r="A2067" t="s">
        <v>301</v>
      </c>
      <c r="B2067" s="8">
        <v>17.399999999999999</v>
      </c>
      <c r="C2067">
        <v>4.5</v>
      </c>
      <c r="D2067" t="s">
        <v>2381</v>
      </c>
      <c r="E2067" t="s">
        <v>2379</v>
      </c>
      <c r="F2067" t="s">
        <v>2379</v>
      </c>
      <c r="G2067">
        <v>0</v>
      </c>
      <c r="H2067" t="s">
        <v>2379</v>
      </c>
      <c r="I2067" t="str" cm="1">
        <f t="array" ref="I2067">_xlfn.IFS(B2067&lt;18.5,"Underweight",AND(B2067&gt;=18.5,B2067&lt;=24.99),"Normalweight",AND(B2067&gt;=25,B2067&lt;=29.99),"Overweight",B2067&gt;=30,"Obesity")</f>
        <v>Underweight</v>
      </c>
      <c r="J2067" t="str" cm="1">
        <f t="array" ref="J2067">_xlfn.IFS(C2067&lt;5.7,"Normal",AND(C2067&gt;=5.7,C2067&lt;=6.49),"Prediabetes",C2067&gt;=6.5,"Diabetes")</f>
        <v>Normal</v>
      </c>
    </row>
    <row r="2068" spans="1:10" x14ac:dyDescent="0.3">
      <c r="A2068" t="s">
        <v>299</v>
      </c>
      <c r="B2068" s="8">
        <v>28.06</v>
      </c>
      <c r="C2068">
        <v>8.93</v>
      </c>
      <c r="D2068" t="s">
        <v>2379</v>
      </c>
      <c r="E2068" t="s">
        <v>2379</v>
      </c>
      <c r="F2068" t="s">
        <v>2379</v>
      </c>
      <c r="G2068">
        <v>0</v>
      </c>
      <c r="H2068" t="s">
        <v>2379</v>
      </c>
      <c r="I2068" t="str" cm="1">
        <f t="array" ref="I2068">_xlfn.IFS(B2068&lt;18.5,"Underweight",AND(B2068&gt;=18.5,B2068&lt;=24.99),"Normalweight",AND(B2068&gt;=25,B2068&lt;=29.99),"Overweight",B2068&gt;=30,"Obesity")</f>
        <v>Overweight</v>
      </c>
      <c r="J2068" t="str" cm="1">
        <f t="array" ref="J2068">_xlfn.IFS(C2068&lt;5.7,"Normal",AND(C2068&gt;=5.7,C2068&lt;=6.49),"Prediabetes",C2068&gt;=6.5,"Diabetes")</f>
        <v>Diabetes</v>
      </c>
    </row>
    <row r="2069" spans="1:10" x14ac:dyDescent="0.3">
      <c r="A2069" t="s">
        <v>298</v>
      </c>
      <c r="B2069" s="8">
        <v>31.13</v>
      </c>
      <c r="C2069">
        <v>11.02</v>
      </c>
      <c r="D2069" t="s">
        <v>2379</v>
      </c>
      <c r="E2069" t="s">
        <v>2379</v>
      </c>
      <c r="F2069" t="s">
        <v>2379</v>
      </c>
      <c r="G2069">
        <v>0</v>
      </c>
      <c r="H2069" t="s">
        <v>2379</v>
      </c>
      <c r="I2069" t="str" cm="1">
        <f t="array" ref="I2069">_xlfn.IFS(B2069&lt;18.5,"Underweight",AND(B2069&gt;=18.5,B2069&lt;=24.99),"Normalweight",AND(B2069&gt;=25,B2069&lt;=29.99),"Overweight",B2069&gt;=30,"Obesity")</f>
        <v>Obesity</v>
      </c>
      <c r="J2069" t="str" cm="1">
        <f t="array" ref="J2069">_xlfn.IFS(C2069&lt;5.7,"Normal",AND(C2069&gt;=5.7,C2069&lt;=6.49),"Prediabetes",C2069&gt;=6.5,"Diabetes")</f>
        <v>Diabetes</v>
      </c>
    </row>
    <row r="2070" spans="1:10" x14ac:dyDescent="0.3">
      <c r="A2070" t="s">
        <v>297</v>
      </c>
      <c r="B2070" s="8">
        <v>18.46</v>
      </c>
      <c r="C2070">
        <v>5.25</v>
      </c>
      <c r="D2070" t="s">
        <v>2379</v>
      </c>
      <c r="E2070" t="s">
        <v>2379</v>
      </c>
      <c r="F2070" t="s">
        <v>2379</v>
      </c>
      <c r="G2070">
        <v>0</v>
      </c>
      <c r="H2070" t="s">
        <v>2379</v>
      </c>
      <c r="I2070" t="str" cm="1">
        <f t="array" ref="I2070">_xlfn.IFS(B2070&lt;18.5,"Underweight",AND(B2070&gt;=18.5,B2070&lt;=24.99),"Normalweight",AND(B2070&gt;=25,B2070&lt;=29.99),"Overweight",B2070&gt;=30,"Obesity")</f>
        <v>Underweight</v>
      </c>
      <c r="J2070" t="str" cm="1">
        <f t="array" ref="J2070">_xlfn.IFS(C2070&lt;5.7,"Normal",AND(C2070&gt;=5.7,C2070&lt;=6.49),"Prediabetes",C2070&gt;=6.5,"Diabetes")</f>
        <v>Normal</v>
      </c>
    </row>
    <row r="2071" spans="1:10" x14ac:dyDescent="0.3">
      <c r="A2071" t="s">
        <v>296</v>
      </c>
      <c r="B2071" s="8">
        <v>17.3</v>
      </c>
      <c r="C2071">
        <v>4.75</v>
      </c>
      <c r="D2071" t="s">
        <v>2379</v>
      </c>
      <c r="E2071" t="s">
        <v>2379</v>
      </c>
      <c r="F2071" t="s">
        <v>2379</v>
      </c>
      <c r="G2071">
        <v>0</v>
      </c>
      <c r="H2071" t="s">
        <v>2379</v>
      </c>
      <c r="I2071" t="str" cm="1">
        <f t="array" ref="I2071">_xlfn.IFS(B2071&lt;18.5,"Underweight",AND(B2071&gt;=18.5,B2071&lt;=24.99),"Normalweight",AND(B2071&gt;=25,B2071&lt;=29.99),"Overweight",B2071&gt;=30,"Obesity")</f>
        <v>Underweight</v>
      </c>
      <c r="J2071" t="str" cm="1">
        <f t="array" ref="J2071">_xlfn.IFS(C2071&lt;5.7,"Normal",AND(C2071&gt;=5.7,C2071&lt;=6.49),"Prediabetes",C2071&gt;=6.5,"Diabetes")</f>
        <v>Normal</v>
      </c>
    </row>
    <row r="2072" spans="1:10" x14ac:dyDescent="0.3">
      <c r="A2072" t="s">
        <v>295</v>
      </c>
      <c r="B2072" s="8">
        <v>35.625</v>
      </c>
      <c r="C2072">
        <v>4.68</v>
      </c>
      <c r="D2072" t="s">
        <v>2381</v>
      </c>
      <c r="E2072" t="s">
        <v>2379</v>
      </c>
      <c r="F2072" t="s">
        <v>2381</v>
      </c>
      <c r="G2072">
        <v>1</v>
      </c>
      <c r="H2072" t="s">
        <v>2379</v>
      </c>
      <c r="I2072" t="str" cm="1">
        <f t="array" ref="I2072">_xlfn.IFS(B2072&lt;18.5,"Underweight",AND(B2072&gt;=18.5,B2072&lt;=24.99),"Normalweight",AND(B2072&gt;=25,B2072&lt;=29.99),"Overweight",B2072&gt;=30,"Obesity")</f>
        <v>Obesity</v>
      </c>
      <c r="J2072" t="str" cm="1">
        <f t="array" ref="J2072">_xlfn.IFS(C2072&lt;5.7,"Normal",AND(C2072&gt;=5.7,C2072&lt;=6.49),"Prediabetes",C2072&gt;=6.5,"Diabetes")</f>
        <v>Normal</v>
      </c>
    </row>
    <row r="2073" spans="1:10" x14ac:dyDescent="0.3">
      <c r="A2073" t="s">
        <v>294</v>
      </c>
      <c r="B2073" s="8">
        <v>20.234999999999999</v>
      </c>
      <c r="C2073">
        <v>6.17</v>
      </c>
      <c r="D2073" t="s">
        <v>2381</v>
      </c>
      <c r="E2073" t="s">
        <v>2380</v>
      </c>
      <c r="F2073" t="s">
        <v>2379</v>
      </c>
      <c r="G2073">
        <v>2</v>
      </c>
      <c r="H2073" t="s">
        <v>2379</v>
      </c>
      <c r="I2073" t="str" cm="1">
        <f t="array" ref="I2073">_xlfn.IFS(B2073&lt;18.5,"Underweight",AND(B2073&gt;=18.5,B2073&lt;=24.99),"Normalweight",AND(B2073&gt;=25,B2073&lt;=29.99),"Overweight",B2073&gt;=30,"Obesity")</f>
        <v>Normalweight</v>
      </c>
      <c r="J2073" t="str" cm="1">
        <f t="array" ref="J2073">_xlfn.IFS(C2073&lt;5.7,"Normal",AND(C2073&gt;=5.7,C2073&lt;=6.49),"Prediabetes",C2073&gt;=6.5,"Diabetes")</f>
        <v>Prediabetes</v>
      </c>
    </row>
    <row r="2074" spans="1:10" x14ac:dyDescent="0.3">
      <c r="A2074" t="s">
        <v>293</v>
      </c>
      <c r="B2074" s="8">
        <v>27.55</v>
      </c>
      <c r="C2074">
        <v>4.5599999999999996</v>
      </c>
      <c r="D2074" t="s">
        <v>2381</v>
      </c>
      <c r="E2074" t="s">
        <v>2379</v>
      </c>
      <c r="F2074" t="s">
        <v>2381</v>
      </c>
      <c r="G2074">
        <v>1</v>
      </c>
      <c r="H2074" t="s">
        <v>2379</v>
      </c>
      <c r="I2074" t="str" cm="1">
        <f t="array" ref="I2074">_xlfn.IFS(B2074&lt;18.5,"Underweight",AND(B2074&gt;=18.5,B2074&lt;=24.99),"Normalweight",AND(B2074&gt;=25,B2074&lt;=29.99),"Overweight",B2074&gt;=30,"Obesity")</f>
        <v>Overweight</v>
      </c>
      <c r="J2074" t="str" cm="1">
        <f t="array" ref="J2074">_xlfn.IFS(C2074&lt;5.7,"Normal",AND(C2074&gt;=5.7,C2074&lt;=6.49),"Prediabetes",C2074&gt;=6.5,"Diabetes")</f>
        <v>Normal</v>
      </c>
    </row>
    <row r="2075" spans="1:10" x14ac:dyDescent="0.3">
      <c r="A2075" t="s">
        <v>292</v>
      </c>
      <c r="B2075" s="8">
        <v>17.97</v>
      </c>
      <c r="C2075">
        <v>6.3</v>
      </c>
      <c r="D2075" t="s">
        <v>2379</v>
      </c>
      <c r="E2075" t="s">
        <v>2379</v>
      </c>
      <c r="F2075" t="s">
        <v>2379</v>
      </c>
      <c r="G2075">
        <v>0</v>
      </c>
      <c r="H2075" t="s">
        <v>2379</v>
      </c>
      <c r="I2075" t="str" cm="1">
        <f t="array" ref="I2075">_xlfn.IFS(B2075&lt;18.5,"Underweight",AND(B2075&gt;=18.5,B2075&lt;=24.99),"Normalweight",AND(B2075&gt;=25,B2075&lt;=29.99),"Overweight",B2075&gt;=30,"Obesity")</f>
        <v>Underweight</v>
      </c>
      <c r="J2075" t="str" cm="1">
        <f t="array" ref="J2075">_xlfn.IFS(C2075&lt;5.7,"Normal",AND(C2075&gt;=5.7,C2075&lt;=6.49),"Prediabetes",C2075&gt;=6.5,"Diabetes")</f>
        <v>Prediabetes</v>
      </c>
    </row>
    <row r="2076" spans="1:10" x14ac:dyDescent="0.3">
      <c r="A2076" t="s">
        <v>291</v>
      </c>
      <c r="B2076" s="8">
        <v>29.98</v>
      </c>
      <c r="C2076">
        <v>6.03</v>
      </c>
      <c r="D2076" t="s">
        <v>2379</v>
      </c>
      <c r="E2076" t="s">
        <v>2380</v>
      </c>
      <c r="F2076" t="s">
        <v>2379</v>
      </c>
      <c r="G2076">
        <v>1</v>
      </c>
      <c r="H2076" t="s">
        <v>2379</v>
      </c>
      <c r="I2076" t="str" cm="1">
        <f t="array" ref="I2076">_xlfn.IFS(B2076&lt;18.5,"Underweight",AND(B2076&gt;=18.5,B2076&lt;=24.99),"Normalweight",AND(B2076&gt;=25,B2076&lt;=29.99),"Overweight",B2076&gt;=30,"Obesity")</f>
        <v>Overweight</v>
      </c>
      <c r="J2076" t="str" cm="1">
        <f t="array" ref="J2076">_xlfn.IFS(C2076&lt;5.7,"Normal",AND(C2076&gt;=5.7,C2076&lt;=6.49),"Prediabetes",C2076&gt;=6.5,"Diabetes")</f>
        <v>Prediabetes</v>
      </c>
    </row>
    <row r="2077" spans="1:10" x14ac:dyDescent="0.3">
      <c r="A2077" t="s">
        <v>290</v>
      </c>
      <c r="B2077" s="8">
        <v>33.659999999999997</v>
      </c>
      <c r="C2077">
        <v>4.2</v>
      </c>
      <c r="D2077" t="s">
        <v>2381</v>
      </c>
      <c r="E2077" t="s">
        <v>2379</v>
      </c>
      <c r="F2077" t="s">
        <v>2379</v>
      </c>
      <c r="G2077">
        <v>1</v>
      </c>
      <c r="H2077" t="s">
        <v>2379</v>
      </c>
      <c r="I2077" t="str" cm="1">
        <f t="array" ref="I2077">_xlfn.IFS(B2077&lt;18.5,"Underweight",AND(B2077&gt;=18.5,B2077&lt;=24.99),"Normalweight",AND(B2077&gt;=25,B2077&lt;=29.99),"Overweight",B2077&gt;=30,"Obesity")</f>
        <v>Obesity</v>
      </c>
      <c r="J2077" t="str" cm="1">
        <f t="array" ref="J2077">_xlfn.IFS(C2077&lt;5.7,"Normal",AND(C2077&gt;=5.7,C2077&lt;=6.49),"Prediabetes",C2077&gt;=6.5,"Diabetes")</f>
        <v>Normal</v>
      </c>
    </row>
    <row r="2078" spans="1:10" x14ac:dyDescent="0.3">
      <c r="A2078" t="s">
        <v>289</v>
      </c>
      <c r="B2078" s="8">
        <v>32.67</v>
      </c>
      <c r="C2078">
        <v>5.61</v>
      </c>
      <c r="D2078" t="s">
        <v>2381</v>
      </c>
      <c r="E2078" t="s">
        <v>2379</v>
      </c>
      <c r="F2078" t="s">
        <v>2379</v>
      </c>
      <c r="G2078">
        <v>1</v>
      </c>
      <c r="H2078" t="s">
        <v>2379</v>
      </c>
      <c r="I2078" t="str" cm="1">
        <f t="array" ref="I2078">_xlfn.IFS(B2078&lt;18.5,"Underweight",AND(B2078&gt;=18.5,B2078&lt;=24.99),"Normalweight",AND(B2078&gt;=25,B2078&lt;=29.99),"Overweight",B2078&gt;=30,"Obesity")</f>
        <v>Obesity</v>
      </c>
      <c r="J2078" t="str" cm="1">
        <f t="array" ref="J2078">_xlfn.IFS(C2078&lt;5.7,"Normal",AND(C2078&gt;=5.7,C2078&lt;=6.49),"Prediabetes",C2078&gt;=6.5,"Diabetes")</f>
        <v>Normal</v>
      </c>
    </row>
    <row r="2079" spans="1:10" x14ac:dyDescent="0.3">
      <c r="A2079" t="s">
        <v>288</v>
      </c>
      <c r="B2079" s="8">
        <v>30.5</v>
      </c>
      <c r="C2079">
        <v>5.88</v>
      </c>
      <c r="D2079" t="s">
        <v>2381</v>
      </c>
      <c r="E2079" t="s">
        <v>2379</v>
      </c>
      <c r="F2079" t="s">
        <v>2379</v>
      </c>
      <c r="G2079">
        <v>1</v>
      </c>
      <c r="H2079" t="s">
        <v>2379</v>
      </c>
      <c r="I2079" t="str" cm="1">
        <f t="array" ref="I2079">_xlfn.IFS(B2079&lt;18.5,"Underweight",AND(B2079&gt;=18.5,B2079&lt;=24.99),"Normalweight",AND(B2079&gt;=25,B2079&lt;=29.99),"Overweight",B2079&gt;=30,"Obesity")</f>
        <v>Obesity</v>
      </c>
      <c r="J2079" t="str" cm="1">
        <f t="array" ref="J2079">_xlfn.IFS(C2079&lt;5.7,"Normal",AND(C2079&gt;=5.7,C2079&lt;=6.49),"Prediabetes",C2079&gt;=6.5,"Diabetes")</f>
        <v>Prediabetes</v>
      </c>
    </row>
    <row r="2080" spans="1:10" x14ac:dyDescent="0.3">
      <c r="A2080" t="s">
        <v>287</v>
      </c>
      <c r="B2080" s="8">
        <v>23.1</v>
      </c>
      <c r="C2080">
        <v>5.92</v>
      </c>
      <c r="D2080" t="s">
        <v>2381</v>
      </c>
      <c r="E2080" t="s">
        <v>2379</v>
      </c>
      <c r="F2080" t="s">
        <v>2379</v>
      </c>
      <c r="G2080">
        <v>1</v>
      </c>
      <c r="H2080" t="s">
        <v>2379</v>
      </c>
      <c r="I2080" t="str" cm="1">
        <f t="array" ref="I2080">_xlfn.IFS(B2080&lt;18.5,"Underweight",AND(B2080&gt;=18.5,B2080&lt;=24.99),"Normalweight",AND(B2080&gt;=25,B2080&lt;=29.99),"Overweight",B2080&gt;=30,"Obesity")</f>
        <v>Normalweight</v>
      </c>
      <c r="J2080" t="str" cm="1">
        <f t="array" ref="J2080">_xlfn.IFS(C2080&lt;5.7,"Normal",AND(C2080&gt;=5.7,C2080&lt;=6.49),"Prediabetes",C2080&gt;=6.5,"Diabetes")</f>
        <v>Prediabetes</v>
      </c>
    </row>
    <row r="2081" spans="1:10" x14ac:dyDescent="0.3">
      <c r="A2081" t="s">
        <v>286</v>
      </c>
      <c r="B2081" s="8">
        <v>39.49</v>
      </c>
      <c r="C2081">
        <v>4.8099999999999996</v>
      </c>
      <c r="D2081" t="s">
        <v>2379</v>
      </c>
      <c r="E2081" t="s">
        <v>2379</v>
      </c>
      <c r="F2081" t="s">
        <v>2379</v>
      </c>
      <c r="G2081">
        <v>1</v>
      </c>
      <c r="H2081" t="s">
        <v>2379</v>
      </c>
      <c r="I2081" t="str" cm="1">
        <f t="array" ref="I2081">_xlfn.IFS(B2081&lt;18.5,"Underweight",AND(B2081&gt;=18.5,B2081&lt;=24.99),"Normalweight",AND(B2081&gt;=25,B2081&lt;=29.99),"Overweight",B2081&gt;=30,"Obesity")</f>
        <v>Obesity</v>
      </c>
      <c r="J2081" t="str" cm="1">
        <f t="array" ref="J2081">_xlfn.IFS(C2081&lt;5.7,"Normal",AND(C2081&gt;=5.7,C2081&lt;=6.49),"Prediabetes",C2081&gt;=6.5,"Diabetes")</f>
        <v>Normal</v>
      </c>
    </row>
    <row r="2082" spans="1:10" x14ac:dyDescent="0.3">
      <c r="A2082" t="s">
        <v>285</v>
      </c>
      <c r="B2082" s="8">
        <v>33.99</v>
      </c>
      <c r="C2082">
        <v>4.55</v>
      </c>
      <c r="D2082" t="s">
        <v>2379</v>
      </c>
      <c r="E2082" t="s">
        <v>2379</v>
      </c>
      <c r="F2082" t="s">
        <v>2379</v>
      </c>
      <c r="G2082">
        <v>1</v>
      </c>
      <c r="H2082" t="s">
        <v>2379</v>
      </c>
      <c r="I2082" t="str" cm="1">
        <f t="array" ref="I2082">_xlfn.IFS(B2082&lt;18.5,"Underweight",AND(B2082&gt;=18.5,B2082&lt;=24.99),"Normalweight",AND(B2082&gt;=25,B2082&lt;=29.99),"Overweight",B2082&gt;=30,"Obesity")</f>
        <v>Obesity</v>
      </c>
      <c r="J2082" t="str" cm="1">
        <f t="array" ref="J2082">_xlfn.IFS(C2082&lt;5.7,"Normal",AND(C2082&gt;=5.7,C2082&lt;=6.49),"Prediabetes",C2082&gt;=6.5,"Diabetes")</f>
        <v>Normal</v>
      </c>
    </row>
    <row r="2083" spans="1:10" x14ac:dyDescent="0.3">
      <c r="A2083" t="s">
        <v>284</v>
      </c>
      <c r="B2083" s="8">
        <v>27.72</v>
      </c>
      <c r="C2083">
        <v>6.43</v>
      </c>
      <c r="D2083" t="s">
        <v>2379</v>
      </c>
      <c r="E2083" t="s">
        <v>2379</v>
      </c>
      <c r="F2083" t="s">
        <v>2379</v>
      </c>
      <c r="G2083">
        <v>1</v>
      </c>
      <c r="H2083" t="s">
        <v>2379</v>
      </c>
      <c r="I2083" t="str" cm="1">
        <f t="array" ref="I2083">_xlfn.IFS(B2083&lt;18.5,"Underweight",AND(B2083&gt;=18.5,B2083&lt;=24.99),"Normalweight",AND(B2083&gt;=25,B2083&lt;=29.99),"Overweight",B2083&gt;=30,"Obesity")</f>
        <v>Overweight</v>
      </c>
      <c r="J2083" t="str" cm="1">
        <f t="array" ref="J2083">_xlfn.IFS(C2083&lt;5.7,"Normal",AND(C2083&gt;=5.7,C2083&lt;=6.49),"Prediabetes",C2083&gt;=6.5,"Diabetes")</f>
        <v>Prediabetes</v>
      </c>
    </row>
    <row r="2084" spans="1:10" x14ac:dyDescent="0.3">
      <c r="A2084" t="s">
        <v>283</v>
      </c>
      <c r="B2084" s="8">
        <v>30.59</v>
      </c>
      <c r="C2084">
        <v>11.62</v>
      </c>
      <c r="D2084" t="s">
        <v>2379</v>
      </c>
      <c r="E2084" t="s">
        <v>2379</v>
      </c>
      <c r="F2084" t="s">
        <v>2379</v>
      </c>
      <c r="G2084">
        <v>0</v>
      </c>
      <c r="H2084" t="s">
        <v>2379</v>
      </c>
      <c r="I2084" t="str" cm="1">
        <f t="array" ref="I2084">_xlfn.IFS(B2084&lt;18.5,"Underweight",AND(B2084&gt;=18.5,B2084&lt;=24.99),"Normalweight",AND(B2084&gt;=25,B2084&lt;=29.99),"Overweight",B2084&gt;=30,"Obesity")</f>
        <v>Obesity</v>
      </c>
      <c r="J2084" t="str" cm="1">
        <f t="array" ref="J2084">_xlfn.IFS(C2084&lt;5.7,"Normal",AND(C2084&gt;=5.7,C2084&lt;=6.49),"Prediabetes",C2084&gt;=6.5,"Diabetes")</f>
        <v>Diabetes</v>
      </c>
    </row>
    <row r="2085" spans="1:10" x14ac:dyDescent="0.3">
      <c r="A2085" t="s">
        <v>282</v>
      </c>
      <c r="B2085" s="8">
        <v>22.6</v>
      </c>
      <c r="C2085">
        <v>6.04</v>
      </c>
      <c r="D2085" t="s">
        <v>2379</v>
      </c>
      <c r="E2085" t="s">
        <v>2379</v>
      </c>
      <c r="F2085" t="s">
        <v>2379</v>
      </c>
      <c r="G2085">
        <v>1</v>
      </c>
      <c r="H2085" t="s">
        <v>2379</v>
      </c>
      <c r="I2085" t="str" cm="1">
        <f t="array" ref="I2085">_xlfn.IFS(B2085&lt;18.5,"Underweight",AND(B2085&gt;=18.5,B2085&lt;=24.99),"Normalweight",AND(B2085&gt;=25,B2085&lt;=29.99),"Overweight",B2085&gt;=30,"Obesity")</f>
        <v>Normalweight</v>
      </c>
      <c r="J2085" t="str" cm="1">
        <f t="array" ref="J2085">_xlfn.IFS(C2085&lt;5.7,"Normal",AND(C2085&gt;=5.7,C2085&lt;=6.49),"Prediabetes",C2085&gt;=6.5,"Diabetes")</f>
        <v>Prediabetes</v>
      </c>
    </row>
    <row r="2086" spans="1:10" x14ac:dyDescent="0.3">
      <c r="A2086" t="s">
        <v>281</v>
      </c>
      <c r="B2086" s="8">
        <v>28.785</v>
      </c>
      <c r="C2086">
        <v>8.82</v>
      </c>
      <c r="D2086" t="s">
        <v>2379</v>
      </c>
      <c r="E2086" t="s">
        <v>2379</v>
      </c>
      <c r="F2086" t="s">
        <v>2379</v>
      </c>
      <c r="G2086">
        <v>0</v>
      </c>
      <c r="H2086" t="s">
        <v>2379</v>
      </c>
      <c r="I2086" t="str" cm="1">
        <f t="array" ref="I2086">_xlfn.IFS(B2086&lt;18.5,"Underweight",AND(B2086&gt;=18.5,B2086&lt;=24.99),"Normalweight",AND(B2086&gt;=25,B2086&lt;=29.99),"Overweight",B2086&gt;=30,"Obesity")</f>
        <v>Overweight</v>
      </c>
      <c r="J2086" t="str" cm="1">
        <f t="array" ref="J2086">_xlfn.IFS(C2086&lt;5.7,"Normal",AND(C2086&gt;=5.7,C2086&lt;=6.49),"Prediabetes",C2086&gt;=6.5,"Diabetes")</f>
        <v>Diabetes</v>
      </c>
    </row>
    <row r="2087" spans="1:10" x14ac:dyDescent="0.3">
      <c r="A2087" t="s">
        <v>280</v>
      </c>
      <c r="B2087" s="8">
        <v>50.38</v>
      </c>
      <c r="C2087">
        <v>5.8</v>
      </c>
      <c r="D2087" t="s">
        <v>2379</v>
      </c>
      <c r="E2087" t="s">
        <v>2379</v>
      </c>
      <c r="F2087" t="s">
        <v>2379</v>
      </c>
      <c r="G2087">
        <v>0</v>
      </c>
      <c r="H2087" t="s">
        <v>2379</v>
      </c>
      <c r="I2087" t="str" cm="1">
        <f t="array" ref="I2087">_xlfn.IFS(B2087&lt;18.5,"Underweight",AND(B2087&gt;=18.5,B2087&lt;=24.99),"Normalweight",AND(B2087&gt;=25,B2087&lt;=29.99),"Overweight",B2087&gt;=30,"Obesity")</f>
        <v>Obesity</v>
      </c>
      <c r="J2087" t="str" cm="1">
        <f t="array" ref="J2087">_xlfn.IFS(C2087&lt;5.7,"Normal",AND(C2087&gt;=5.7,C2087&lt;=6.49),"Prediabetes",C2087&gt;=6.5,"Diabetes")</f>
        <v>Prediabetes</v>
      </c>
    </row>
    <row r="2088" spans="1:10" x14ac:dyDescent="0.3">
      <c r="A2088" t="s">
        <v>279</v>
      </c>
      <c r="B2088" s="8">
        <v>35.200000000000003</v>
      </c>
      <c r="C2088">
        <v>4.28</v>
      </c>
      <c r="D2088" t="s">
        <v>2379</v>
      </c>
      <c r="E2088" t="s">
        <v>2379</v>
      </c>
      <c r="F2088" t="s">
        <v>2379</v>
      </c>
      <c r="G2088">
        <v>0</v>
      </c>
      <c r="H2088" t="s">
        <v>2379</v>
      </c>
      <c r="I2088" t="str" cm="1">
        <f t="array" ref="I2088">_xlfn.IFS(B2088&lt;18.5,"Underweight",AND(B2088&gt;=18.5,B2088&lt;=24.99),"Normalweight",AND(B2088&gt;=25,B2088&lt;=29.99),"Overweight",B2088&gt;=30,"Obesity")</f>
        <v>Obesity</v>
      </c>
      <c r="J2088" t="str" cm="1">
        <f t="array" ref="J2088">_xlfn.IFS(C2088&lt;5.7,"Normal",AND(C2088&gt;=5.7,C2088&lt;=6.49),"Prediabetes",C2088&gt;=6.5,"Diabetes")</f>
        <v>Normal</v>
      </c>
    </row>
    <row r="2089" spans="1:10" x14ac:dyDescent="0.3">
      <c r="A2089" t="s">
        <v>278</v>
      </c>
      <c r="B2089" s="8">
        <v>35.72</v>
      </c>
      <c r="C2089">
        <v>5.5</v>
      </c>
      <c r="D2089" t="s">
        <v>2381</v>
      </c>
      <c r="E2089" t="s">
        <v>2379</v>
      </c>
      <c r="F2089" t="s">
        <v>2379</v>
      </c>
      <c r="G2089">
        <v>0</v>
      </c>
      <c r="H2089" t="s">
        <v>2379</v>
      </c>
      <c r="I2089" t="str" cm="1">
        <f t="array" ref="I2089">_xlfn.IFS(B2089&lt;18.5,"Underweight",AND(B2089&gt;=18.5,B2089&lt;=24.99),"Normalweight",AND(B2089&gt;=25,B2089&lt;=29.99),"Overweight",B2089&gt;=30,"Obesity")</f>
        <v>Obesity</v>
      </c>
      <c r="J2089" t="str" cm="1">
        <f t="array" ref="J2089">_xlfn.IFS(C2089&lt;5.7,"Normal",AND(C2089&gt;=5.7,C2089&lt;=6.49),"Prediabetes",C2089&gt;=6.5,"Diabetes")</f>
        <v>Normal</v>
      </c>
    </row>
    <row r="2090" spans="1:10" x14ac:dyDescent="0.3">
      <c r="A2090" t="s">
        <v>277</v>
      </c>
      <c r="B2090" s="8">
        <v>24.51</v>
      </c>
      <c r="C2090">
        <v>4.6900000000000004</v>
      </c>
      <c r="D2090" t="s">
        <v>2379</v>
      </c>
      <c r="E2090" t="s">
        <v>2379</v>
      </c>
      <c r="F2090" t="s">
        <v>2379</v>
      </c>
      <c r="G2090">
        <v>0</v>
      </c>
      <c r="H2090" t="s">
        <v>2379</v>
      </c>
      <c r="I2090" t="str" cm="1">
        <f t="array" ref="I2090">_xlfn.IFS(B2090&lt;18.5,"Underweight",AND(B2090&gt;=18.5,B2090&lt;=24.99),"Normalweight",AND(B2090&gt;=25,B2090&lt;=29.99),"Overweight",B2090&gt;=30,"Obesity")</f>
        <v>Normalweight</v>
      </c>
      <c r="J2090" t="str" cm="1">
        <f t="array" ref="J2090">_xlfn.IFS(C2090&lt;5.7,"Normal",AND(C2090&gt;=5.7,C2090&lt;=6.49),"Prediabetes",C2090&gt;=6.5,"Diabetes")</f>
        <v>Normal</v>
      </c>
    </row>
    <row r="2091" spans="1:10" x14ac:dyDescent="0.3">
      <c r="A2091" t="s">
        <v>275</v>
      </c>
      <c r="B2091" s="8">
        <v>23.844999999999999</v>
      </c>
      <c r="C2091">
        <v>4.43</v>
      </c>
      <c r="D2091" t="s">
        <v>2379</v>
      </c>
      <c r="E2091" t="s">
        <v>2379</v>
      </c>
      <c r="F2091" t="s">
        <v>2379</v>
      </c>
      <c r="G2091">
        <v>0</v>
      </c>
      <c r="H2091" t="s">
        <v>2379</v>
      </c>
      <c r="I2091" t="str" cm="1">
        <f t="array" ref="I2091">_xlfn.IFS(B2091&lt;18.5,"Underweight",AND(B2091&gt;=18.5,B2091&lt;=24.99),"Normalweight",AND(B2091&gt;=25,B2091&lt;=29.99),"Overweight",B2091&gt;=30,"Obesity")</f>
        <v>Normalweight</v>
      </c>
      <c r="J2091" t="str" cm="1">
        <f t="array" ref="J2091">_xlfn.IFS(C2091&lt;5.7,"Normal",AND(C2091&gt;=5.7,C2091&lt;=6.49),"Prediabetes",C2091&gt;=6.5,"Diabetes")</f>
        <v>Normal</v>
      </c>
    </row>
    <row r="2092" spans="1:10" x14ac:dyDescent="0.3">
      <c r="A2092" t="s">
        <v>274</v>
      </c>
      <c r="B2092" s="8">
        <v>15.68</v>
      </c>
      <c r="C2092">
        <v>6.16</v>
      </c>
      <c r="D2092" t="s">
        <v>2381</v>
      </c>
      <c r="E2092" t="s">
        <v>2379</v>
      </c>
      <c r="F2092" t="s">
        <v>2379</v>
      </c>
      <c r="G2092">
        <v>1</v>
      </c>
      <c r="H2092" t="s">
        <v>2379</v>
      </c>
      <c r="I2092" t="str" cm="1">
        <f t="array" ref="I2092">_xlfn.IFS(B2092&lt;18.5,"Underweight",AND(B2092&gt;=18.5,B2092&lt;=24.99),"Normalweight",AND(B2092&gt;=25,B2092&lt;=29.99),"Overweight",B2092&gt;=30,"Obesity")</f>
        <v>Underweight</v>
      </c>
      <c r="J2092" t="str" cm="1">
        <f t="array" ref="J2092">_xlfn.IFS(C2092&lt;5.7,"Normal",AND(C2092&gt;=5.7,C2092&lt;=6.49),"Prediabetes",C2092&gt;=6.5,"Diabetes")</f>
        <v>Prediabetes</v>
      </c>
    </row>
    <row r="2093" spans="1:10" x14ac:dyDescent="0.3">
      <c r="A2093" t="s">
        <v>273</v>
      </c>
      <c r="B2093" s="8">
        <v>32.395000000000003</v>
      </c>
      <c r="C2093">
        <v>6.66</v>
      </c>
      <c r="D2093" t="s">
        <v>2379</v>
      </c>
      <c r="E2093" t="s">
        <v>2379</v>
      </c>
      <c r="F2093" t="s">
        <v>2379</v>
      </c>
      <c r="G2093">
        <v>0</v>
      </c>
      <c r="H2093" t="s">
        <v>2379</v>
      </c>
      <c r="I2093" t="str" cm="1">
        <f t="array" ref="I2093">_xlfn.IFS(B2093&lt;18.5,"Underweight",AND(B2093&gt;=18.5,B2093&lt;=24.99),"Normalweight",AND(B2093&gt;=25,B2093&lt;=29.99),"Overweight",B2093&gt;=30,"Obesity")</f>
        <v>Obesity</v>
      </c>
      <c r="J2093" t="str" cm="1">
        <f t="array" ref="J2093">_xlfn.IFS(C2093&lt;5.7,"Normal",AND(C2093&gt;=5.7,C2093&lt;=6.49),"Prediabetes",C2093&gt;=6.5,"Diabetes")</f>
        <v>Diabetes</v>
      </c>
    </row>
    <row r="2094" spans="1:10" x14ac:dyDescent="0.3">
      <c r="A2094" t="s">
        <v>272</v>
      </c>
      <c r="B2094" s="8">
        <v>23.655000000000001</v>
      </c>
      <c r="C2094">
        <v>5.92</v>
      </c>
      <c r="D2094" t="s">
        <v>2379</v>
      </c>
      <c r="E2094" t="s">
        <v>2379</v>
      </c>
      <c r="F2094" t="s">
        <v>2379</v>
      </c>
      <c r="G2094">
        <v>1</v>
      </c>
      <c r="H2094" t="s">
        <v>2379</v>
      </c>
      <c r="I2094" t="str" cm="1">
        <f t="array" ref="I2094">_xlfn.IFS(B2094&lt;18.5,"Underweight",AND(B2094&gt;=18.5,B2094&lt;=24.99),"Normalweight",AND(B2094&gt;=25,B2094&lt;=29.99),"Overweight",B2094&gt;=30,"Obesity")</f>
        <v>Normalweight</v>
      </c>
      <c r="J2094" t="str" cm="1">
        <f t="array" ref="J2094">_xlfn.IFS(C2094&lt;5.7,"Normal",AND(C2094&gt;=5.7,C2094&lt;=6.49),"Prediabetes",C2094&gt;=6.5,"Diabetes")</f>
        <v>Prediabetes</v>
      </c>
    </row>
    <row r="2095" spans="1:10" x14ac:dyDescent="0.3">
      <c r="A2095" t="s">
        <v>271</v>
      </c>
      <c r="B2095" s="8">
        <v>28.4</v>
      </c>
      <c r="C2095">
        <v>5.97</v>
      </c>
      <c r="D2095" t="s">
        <v>2379</v>
      </c>
      <c r="E2095" t="s">
        <v>2379</v>
      </c>
      <c r="F2095" t="s">
        <v>2381</v>
      </c>
      <c r="G2095">
        <v>1</v>
      </c>
      <c r="H2095" t="s">
        <v>2379</v>
      </c>
      <c r="I2095" t="str" cm="1">
        <f t="array" ref="I2095">_xlfn.IFS(B2095&lt;18.5,"Underweight",AND(B2095&gt;=18.5,B2095&lt;=24.99),"Normalweight",AND(B2095&gt;=25,B2095&lt;=29.99),"Overweight",B2095&gt;=30,"Obesity")</f>
        <v>Overweight</v>
      </c>
      <c r="J2095" t="str" cm="1">
        <f t="array" ref="J2095">_xlfn.IFS(C2095&lt;5.7,"Normal",AND(C2095&gt;=5.7,C2095&lt;=6.49),"Prediabetes",C2095&gt;=6.5,"Diabetes")</f>
        <v>Prediabetes</v>
      </c>
    </row>
    <row r="2096" spans="1:10" x14ac:dyDescent="0.3">
      <c r="A2096" t="s">
        <v>270</v>
      </c>
      <c r="B2096" s="8">
        <v>35.42</v>
      </c>
      <c r="C2096">
        <v>4.6399999999999997</v>
      </c>
      <c r="D2096" t="s">
        <v>2381</v>
      </c>
      <c r="E2096" t="s">
        <v>2379</v>
      </c>
      <c r="F2096" t="s">
        <v>2379</v>
      </c>
      <c r="G2096">
        <v>0</v>
      </c>
      <c r="H2096" t="s">
        <v>2379</v>
      </c>
      <c r="I2096" t="str" cm="1">
        <f t="array" ref="I2096">_xlfn.IFS(B2096&lt;18.5,"Underweight",AND(B2096&gt;=18.5,B2096&lt;=24.99),"Normalweight",AND(B2096&gt;=25,B2096&lt;=29.99),"Overweight",B2096&gt;=30,"Obesity")</f>
        <v>Obesity</v>
      </c>
      <c r="J2096" t="str" cm="1">
        <f t="array" ref="J2096">_xlfn.IFS(C2096&lt;5.7,"Normal",AND(C2096&gt;=5.7,C2096&lt;=6.49),"Prediabetes",C2096&gt;=6.5,"Diabetes")</f>
        <v>Normal</v>
      </c>
    </row>
    <row r="2097" spans="1:10" x14ac:dyDescent="0.3">
      <c r="A2097" t="s">
        <v>269</v>
      </c>
      <c r="B2097" s="8">
        <v>26.18</v>
      </c>
      <c r="C2097">
        <v>6.12</v>
      </c>
      <c r="D2097" t="s">
        <v>2379</v>
      </c>
      <c r="E2097" t="s">
        <v>2380</v>
      </c>
      <c r="F2097" t="s">
        <v>2379</v>
      </c>
      <c r="G2097">
        <v>1</v>
      </c>
      <c r="H2097" t="s">
        <v>2379</v>
      </c>
      <c r="I2097" t="str" cm="1">
        <f t="array" ref="I2097">_xlfn.IFS(B2097&lt;18.5,"Underweight",AND(B2097&gt;=18.5,B2097&lt;=24.99),"Normalweight",AND(B2097&gt;=25,B2097&lt;=29.99),"Overweight",B2097&gt;=30,"Obesity")</f>
        <v>Overweight</v>
      </c>
      <c r="J2097" t="str" cm="1">
        <f t="array" ref="J2097">_xlfn.IFS(C2097&lt;5.7,"Normal",AND(C2097&gt;=5.7,C2097&lt;=6.49),"Prediabetes",C2097&gt;=6.5,"Diabetes")</f>
        <v>Prediabetes</v>
      </c>
    </row>
    <row r="2098" spans="1:10" x14ac:dyDescent="0.3">
      <c r="A2098" t="s">
        <v>268</v>
      </c>
      <c r="B2098" s="8">
        <v>20.8</v>
      </c>
      <c r="C2098">
        <v>4.87</v>
      </c>
      <c r="D2098" t="s">
        <v>2381</v>
      </c>
      <c r="E2098" t="s">
        <v>2379</v>
      </c>
      <c r="F2098" t="s">
        <v>2379</v>
      </c>
      <c r="G2098">
        <v>0</v>
      </c>
      <c r="H2098" t="s">
        <v>2379</v>
      </c>
      <c r="I2098" t="str" cm="1">
        <f t="array" ref="I2098">_xlfn.IFS(B2098&lt;18.5,"Underweight",AND(B2098&gt;=18.5,B2098&lt;=24.99),"Normalweight",AND(B2098&gt;=25,B2098&lt;=29.99),"Overweight",B2098&gt;=30,"Obesity")</f>
        <v>Normalweight</v>
      </c>
      <c r="J2098" t="str" cm="1">
        <f t="array" ref="J2098">_xlfn.IFS(C2098&lt;5.7,"Normal",AND(C2098&gt;=5.7,C2098&lt;=6.49),"Prediabetes",C2098&gt;=6.5,"Diabetes")</f>
        <v>Normal</v>
      </c>
    </row>
    <row r="2099" spans="1:10" x14ac:dyDescent="0.3">
      <c r="A2099" t="s">
        <v>267</v>
      </c>
      <c r="B2099" s="8">
        <v>15.82</v>
      </c>
      <c r="C2099">
        <v>4.5999999999999996</v>
      </c>
      <c r="D2099" t="s">
        <v>2379</v>
      </c>
      <c r="E2099" t="s">
        <v>2379</v>
      </c>
      <c r="F2099" t="s">
        <v>2379</v>
      </c>
      <c r="G2099">
        <v>0</v>
      </c>
      <c r="H2099" t="s">
        <v>2379</v>
      </c>
      <c r="I2099" t="str" cm="1">
        <f t="array" ref="I2099">_xlfn.IFS(B2099&lt;18.5,"Underweight",AND(B2099&gt;=18.5,B2099&lt;=24.99),"Normalweight",AND(B2099&gt;=25,B2099&lt;=29.99),"Overweight",B2099&gt;=30,"Obesity")</f>
        <v>Underweight</v>
      </c>
      <c r="J2099" t="str" cm="1">
        <f t="array" ref="J2099">_xlfn.IFS(C2099&lt;5.7,"Normal",AND(C2099&gt;=5.7,C2099&lt;=6.49),"Prediabetes",C2099&gt;=6.5,"Diabetes")</f>
        <v>Normal</v>
      </c>
    </row>
    <row r="2100" spans="1:10" x14ac:dyDescent="0.3">
      <c r="A2100" t="s">
        <v>266</v>
      </c>
      <c r="B2100" s="8">
        <v>17.670000000000002</v>
      </c>
      <c r="C2100">
        <v>4.78</v>
      </c>
      <c r="D2100" t="s">
        <v>2379</v>
      </c>
      <c r="E2100" t="s">
        <v>2379</v>
      </c>
      <c r="F2100" t="s">
        <v>2379</v>
      </c>
      <c r="G2100">
        <v>0</v>
      </c>
      <c r="H2100" t="s">
        <v>2379</v>
      </c>
      <c r="I2100" t="str" cm="1">
        <f t="array" ref="I2100">_xlfn.IFS(B2100&lt;18.5,"Underweight",AND(B2100&gt;=18.5,B2100&lt;=24.99),"Normalweight",AND(B2100&gt;=25,B2100&lt;=29.99),"Overweight",B2100&gt;=30,"Obesity")</f>
        <v>Underweight</v>
      </c>
      <c r="J2100" t="str" cm="1">
        <f t="array" ref="J2100">_xlfn.IFS(C2100&lt;5.7,"Normal",AND(C2100&gt;=5.7,C2100&lt;=6.49),"Prediabetes",C2100&gt;=6.5,"Diabetes")</f>
        <v>Normal</v>
      </c>
    </row>
    <row r="2101" spans="1:10" x14ac:dyDescent="0.3">
      <c r="A2101" t="s">
        <v>265</v>
      </c>
      <c r="B2101" s="8">
        <v>31.92</v>
      </c>
      <c r="C2101">
        <v>11.05</v>
      </c>
      <c r="D2101" t="s">
        <v>2379</v>
      </c>
      <c r="E2101" t="s">
        <v>2379</v>
      </c>
      <c r="F2101" t="s">
        <v>2379</v>
      </c>
      <c r="G2101">
        <v>0</v>
      </c>
      <c r="H2101" t="s">
        <v>2379</v>
      </c>
      <c r="I2101" t="str" cm="1">
        <f t="array" ref="I2101">_xlfn.IFS(B2101&lt;18.5,"Underweight",AND(B2101&gt;=18.5,B2101&lt;=24.99),"Normalweight",AND(B2101&gt;=25,B2101&lt;=29.99),"Overweight",B2101&gt;=30,"Obesity")</f>
        <v>Obesity</v>
      </c>
      <c r="J2101" t="str" cm="1">
        <f t="array" ref="J2101">_xlfn.IFS(C2101&lt;5.7,"Normal",AND(C2101&gt;=5.7,C2101&lt;=6.49),"Prediabetes",C2101&gt;=6.5,"Diabetes")</f>
        <v>Diabetes</v>
      </c>
    </row>
    <row r="2102" spans="1:10" x14ac:dyDescent="0.3">
      <c r="A2102" t="s">
        <v>264</v>
      </c>
      <c r="B2102" s="8">
        <v>28.975000000000001</v>
      </c>
      <c r="C2102">
        <v>7.62</v>
      </c>
      <c r="D2102" t="s">
        <v>2379</v>
      </c>
      <c r="E2102" t="s">
        <v>2379</v>
      </c>
      <c r="F2102" t="s">
        <v>2379</v>
      </c>
      <c r="G2102">
        <v>0</v>
      </c>
      <c r="H2102" t="s">
        <v>2379</v>
      </c>
      <c r="I2102" t="str" cm="1">
        <f t="array" ref="I2102">_xlfn.IFS(B2102&lt;18.5,"Underweight",AND(B2102&gt;=18.5,B2102&lt;=24.99),"Normalweight",AND(B2102&gt;=25,B2102&lt;=29.99),"Overweight",B2102&gt;=30,"Obesity")</f>
        <v>Overweight</v>
      </c>
      <c r="J2102" t="str" cm="1">
        <f t="array" ref="J2102">_xlfn.IFS(C2102&lt;5.7,"Normal",AND(C2102&gt;=5.7,C2102&lt;=6.49),"Prediabetes",C2102&gt;=6.5,"Diabetes")</f>
        <v>Diabetes</v>
      </c>
    </row>
    <row r="2103" spans="1:10" x14ac:dyDescent="0.3">
      <c r="A2103" t="s">
        <v>263</v>
      </c>
      <c r="B2103" s="8">
        <v>31.73</v>
      </c>
      <c r="C2103">
        <v>4.78</v>
      </c>
      <c r="D2103" t="s">
        <v>2381</v>
      </c>
      <c r="E2103" t="s">
        <v>2380</v>
      </c>
      <c r="F2103" t="s">
        <v>2379</v>
      </c>
      <c r="G2103">
        <v>2</v>
      </c>
      <c r="H2103" t="s">
        <v>2379</v>
      </c>
      <c r="I2103" t="str" cm="1">
        <f t="array" ref="I2103">_xlfn.IFS(B2103&lt;18.5,"Underweight",AND(B2103&gt;=18.5,B2103&lt;=24.99),"Normalweight",AND(B2103&gt;=25,B2103&lt;=29.99),"Overweight",B2103&gt;=30,"Obesity")</f>
        <v>Obesity</v>
      </c>
      <c r="J2103" t="str" cm="1">
        <f t="array" ref="J2103">_xlfn.IFS(C2103&lt;5.7,"Normal",AND(C2103&gt;=5.7,C2103&lt;=6.49),"Prediabetes",C2103&gt;=6.5,"Diabetes")</f>
        <v>Normal</v>
      </c>
    </row>
    <row r="2104" spans="1:10" x14ac:dyDescent="0.3">
      <c r="A2104" t="s">
        <v>262</v>
      </c>
      <c r="B2104" s="8">
        <v>28.88</v>
      </c>
      <c r="C2104">
        <v>6.09</v>
      </c>
      <c r="D2104" t="s">
        <v>2381</v>
      </c>
      <c r="E2104" t="s">
        <v>2380</v>
      </c>
      <c r="F2104" t="s">
        <v>2379</v>
      </c>
      <c r="G2104">
        <v>2</v>
      </c>
      <c r="H2104" t="s">
        <v>2379</v>
      </c>
      <c r="I2104" t="str" cm="1">
        <f t="array" ref="I2104">_xlfn.IFS(B2104&lt;18.5,"Underweight",AND(B2104&gt;=18.5,B2104&lt;=24.99),"Normalweight",AND(B2104&gt;=25,B2104&lt;=29.99),"Overweight",B2104&gt;=30,"Obesity")</f>
        <v>Overweight</v>
      </c>
      <c r="J2104" t="str" cm="1">
        <f t="array" ref="J2104">_xlfn.IFS(C2104&lt;5.7,"Normal",AND(C2104&gt;=5.7,C2104&lt;=6.49),"Prediabetes",C2104&gt;=6.5,"Diabetes")</f>
        <v>Prediabetes</v>
      </c>
    </row>
    <row r="2105" spans="1:10" x14ac:dyDescent="0.3">
      <c r="A2105" t="s">
        <v>261</v>
      </c>
      <c r="B2105" s="8">
        <v>25.555</v>
      </c>
      <c r="C2105">
        <v>5.1100000000000003</v>
      </c>
      <c r="D2105" t="s">
        <v>2379</v>
      </c>
      <c r="E2105" t="s">
        <v>2379</v>
      </c>
      <c r="F2105" t="s">
        <v>2381</v>
      </c>
      <c r="G2105">
        <v>1</v>
      </c>
      <c r="H2105" t="s">
        <v>2379</v>
      </c>
      <c r="I2105" t="str" cm="1">
        <f t="array" ref="I2105">_xlfn.IFS(B2105&lt;18.5,"Underweight",AND(B2105&gt;=18.5,B2105&lt;=24.99),"Normalweight",AND(B2105&gt;=25,B2105&lt;=29.99),"Overweight",B2105&gt;=30,"Obesity")</f>
        <v>Overweight</v>
      </c>
      <c r="J2105" t="str" cm="1">
        <f t="array" ref="J2105">_xlfn.IFS(C2105&lt;5.7,"Normal",AND(C2105&gt;=5.7,C2105&lt;=6.49),"Prediabetes",C2105&gt;=6.5,"Diabetes")</f>
        <v>Normal</v>
      </c>
    </row>
    <row r="2106" spans="1:10" x14ac:dyDescent="0.3">
      <c r="A2106" t="s">
        <v>260</v>
      </c>
      <c r="B2106" s="8">
        <v>37.29</v>
      </c>
      <c r="C2106">
        <v>4.46</v>
      </c>
      <c r="D2106" t="s">
        <v>2379</v>
      </c>
      <c r="E2106" t="s">
        <v>2380</v>
      </c>
      <c r="F2106" t="s">
        <v>2379</v>
      </c>
      <c r="G2106">
        <v>1</v>
      </c>
      <c r="H2106" t="s">
        <v>2379</v>
      </c>
      <c r="I2106" t="str" cm="1">
        <f t="array" ref="I2106">_xlfn.IFS(B2106&lt;18.5,"Underweight",AND(B2106&gt;=18.5,B2106&lt;=24.99),"Normalweight",AND(B2106&gt;=25,B2106&lt;=29.99),"Overweight",B2106&gt;=30,"Obesity")</f>
        <v>Obesity</v>
      </c>
      <c r="J2106" t="str" cm="1">
        <f t="array" ref="J2106">_xlfn.IFS(C2106&lt;5.7,"Normal",AND(C2106&gt;=5.7,C2106&lt;=6.49),"Prediabetes",C2106&gt;=6.5,"Diabetes")</f>
        <v>Normal</v>
      </c>
    </row>
    <row r="2107" spans="1:10" x14ac:dyDescent="0.3">
      <c r="A2107" t="s">
        <v>259</v>
      </c>
      <c r="B2107" s="8">
        <v>40.28</v>
      </c>
      <c r="C2107">
        <v>6.11</v>
      </c>
      <c r="D2107" t="s">
        <v>2379</v>
      </c>
      <c r="E2107" t="s">
        <v>2380</v>
      </c>
      <c r="F2107" t="s">
        <v>2379</v>
      </c>
      <c r="G2107">
        <v>1</v>
      </c>
      <c r="H2107" t="s">
        <v>2379</v>
      </c>
      <c r="I2107" t="str" cm="1">
        <f t="array" ref="I2107">_xlfn.IFS(B2107&lt;18.5,"Underweight",AND(B2107&gt;=18.5,B2107&lt;=24.99),"Normalweight",AND(B2107&gt;=25,B2107&lt;=29.99),"Overweight",B2107&gt;=30,"Obesity")</f>
        <v>Obesity</v>
      </c>
      <c r="J2107" t="str" cm="1">
        <f t="array" ref="J2107">_xlfn.IFS(C2107&lt;5.7,"Normal",AND(C2107&gt;=5.7,C2107&lt;=6.49),"Prediabetes",C2107&gt;=6.5,"Diabetes")</f>
        <v>Prediabetes</v>
      </c>
    </row>
    <row r="2108" spans="1:10" x14ac:dyDescent="0.3">
      <c r="A2108" t="s">
        <v>258</v>
      </c>
      <c r="B2108" s="8">
        <v>40.185000000000002</v>
      </c>
      <c r="C2108">
        <v>4.66</v>
      </c>
      <c r="D2108" t="s">
        <v>2379</v>
      </c>
      <c r="E2108" t="s">
        <v>2380</v>
      </c>
      <c r="F2108" t="s">
        <v>2379</v>
      </c>
      <c r="G2108">
        <v>1</v>
      </c>
      <c r="H2108" t="s">
        <v>2379</v>
      </c>
      <c r="I2108" t="str" cm="1">
        <f t="array" ref="I2108">_xlfn.IFS(B2108&lt;18.5,"Underweight",AND(B2108&gt;=18.5,B2108&lt;=24.99),"Normalweight",AND(B2108&gt;=25,B2108&lt;=29.99),"Overweight",B2108&gt;=30,"Obesity")</f>
        <v>Obesity</v>
      </c>
      <c r="J2108" t="str" cm="1">
        <f t="array" ref="J2108">_xlfn.IFS(C2108&lt;5.7,"Normal",AND(C2108&gt;=5.7,C2108&lt;=6.49),"Prediabetes",C2108&gt;=6.5,"Diabetes")</f>
        <v>Normal</v>
      </c>
    </row>
    <row r="2109" spans="1:10" x14ac:dyDescent="0.3">
      <c r="A2109" t="s">
        <v>257</v>
      </c>
      <c r="B2109" s="8">
        <v>23.57</v>
      </c>
      <c r="C2109">
        <v>6.14</v>
      </c>
      <c r="D2109" t="s">
        <v>2379</v>
      </c>
      <c r="E2109" t="s">
        <v>2379</v>
      </c>
      <c r="F2109" t="s">
        <v>2379</v>
      </c>
      <c r="G2109">
        <v>0</v>
      </c>
      <c r="H2109" t="s">
        <v>2379</v>
      </c>
      <c r="I2109" t="str" cm="1">
        <f t="array" ref="I2109">_xlfn.IFS(B2109&lt;18.5,"Underweight",AND(B2109&gt;=18.5,B2109&lt;=24.99),"Normalweight",AND(B2109&gt;=25,B2109&lt;=29.99),"Overweight",B2109&gt;=30,"Obesity")</f>
        <v>Normalweight</v>
      </c>
      <c r="J2109" t="str" cm="1">
        <f t="array" ref="J2109">_xlfn.IFS(C2109&lt;5.7,"Normal",AND(C2109&gt;=5.7,C2109&lt;=6.49),"Prediabetes",C2109&gt;=6.5,"Diabetes")</f>
        <v>Prediabetes</v>
      </c>
    </row>
    <row r="2110" spans="1:10" x14ac:dyDescent="0.3">
      <c r="A2110" t="s">
        <v>256</v>
      </c>
      <c r="B2110" s="8">
        <v>35.625</v>
      </c>
      <c r="C2110">
        <v>6.21</v>
      </c>
      <c r="D2110" t="s">
        <v>2379</v>
      </c>
      <c r="E2110" t="s">
        <v>2380</v>
      </c>
      <c r="F2110" t="s">
        <v>2379</v>
      </c>
      <c r="G2110">
        <v>1</v>
      </c>
      <c r="H2110" t="s">
        <v>2379</v>
      </c>
      <c r="I2110" t="str" cm="1">
        <f t="array" ref="I2110">_xlfn.IFS(B2110&lt;18.5,"Underweight",AND(B2110&gt;=18.5,B2110&lt;=24.99),"Normalweight",AND(B2110&gt;=25,B2110&lt;=29.99),"Overweight",B2110&gt;=30,"Obesity")</f>
        <v>Obesity</v>
      </c>
      <c r="J2110" t="str" cm="1">
        <f t="array" ref="J2110">_xlfn.IFS(C2110&lt;5.7,"Normal",AND(C2110&gt;=5.7,C2110&lt;=6.49),"Prediabetes",C2110&gt;=6.5,"Diabetes")</f>
        <v>Prediabetes</v>
      </c>
    </row>
    <row r="2111" spans="1:10" x14ac:dyDescent="0.3">
      <c r="A2111" t="s">
        <v>255</v>
      </c>
      <c r="B2111" s="8">
        <v>33.155000000000001</v>
      </c>
      <c r="C2111">
        <v>4.5999999999999996</v>
      </c>
      <c r="D2111" t="s">
        <v>2379</v>
      </c>
      <c r="E2111" t="s">
        <v>2380</v>
      </c>
      <c r="F2111" t="s">
        <v>2379</v>
      </c>
      <c r="G2111">
        <v>1</v>
      </c>
      <c r="H2111" t="s">
        <v>2379</v>
      </c>
      <c r="I2111" t="str" cm="1">
        <f t="array" ref="I2111">_xlfn.IFS(B2111&lt;18.5,"Underweight",AND(B2111&gt;=18.5,B2111&lt;=24.99),"Normalweight",AND(B2111&gt;=25,B2111&lt;=29.99),"Overweight",B2111&gt;=30,"Obesity")</f>
        <v>Obesity</v>
      </c>
      <c r="J2111" t="str" cm="1">
        <f t="array" ref="J2111">_xlfn.IFS(C2111&lt;5.7,"Normal",AND(C2111&gt;=5.7,C2111&lt;=6.49),"Prediabetes",C2111&gt;=6.5,"Diabetes")</f>
        <v>Normal</v>
      </c>
    </row>
    <row r="2112" spans="1:10" x14ac:dyDescent="0.3">
      <c r="A2112" t="s">
        <v>254</v>
      </c>
      <c r="B2112" s="8">
        <v>31.92</v>
      </c>
      <c r="C2112">
        <v>5.04</v>
      </c>
      <c r="D2112" t="s">
        <v>2379</v>
      </c>
      <c r="E2112" t="s">
        <v>2380</v>
      </c>
      <c r="F2112" t="s">
        <v>2379</v>
      </c>
      <c r="G2112">
        <v>1</v>
      </c>
      <c r="H2112" t="s">
        <v>2379</v>
      </c>
      <c r="I2112" t="str" cm="1">
        <f t="array" ref="I2112">_xlfn.IFS(B2112&lt;18.5,"Underweight",AND(B2112&gt;=18.5,B2112&lt;=24.99),"Normalweight",AND(B2112&gt;=25,B2112&lt;=29.99),"Overweight",B2112&gt;=30,"Obesity")</f>
        <v>Obesity</v>
      </c>
      <c r="J2112" t="str" cm="1">
        <f t="array" ref="J2112">_xlfn.IFS(C2112&lt;5.7,"Normal",AND(C2112&gt;=5.7,C2112&lt;=6.49),"Prediabetes",C2112&gt;=6.5,"Diabetes")</f>
        <v>Normal</v>
      </c>
    </row>
    <row r="2113" spans="1:10" x14ac:dyDescent="0.3">
      <c r="A2113" t="s">
        <v>253</v>
      </c>
      <c r="B2113" s="8">
        <v>30.305</v>
      </c>
      <c r="C2113">
        <v>5.08</v>
      </c>
      <c r="D2113" t="s">
        <v>2379</v>
      </c>
      <c r="E2113" t="s">
        <v>2380</v>
      </c>
      <c r="F2113" t="s">
        <v>2379</v>
      </c>
      <c r="G2113">
        <v>1</v>
      </c>
      <c r="H2113" t="s">
        <v>2379</v>
      </c>
      <c r="I2113" t="str" cm="1">
        <f t="array" ref="I2113">_xlfn.IFS(B2113&lt;18.5,"Underweight",AND(B2113&gt;=18.5,B2113&lt;=24.99),"Normalweight",AND(B2113&gt;=25,B2113&lt;=29.99),"Overweight",B2113&gt;=30,"Obesity")</f>
        <v>Obesity</v>
      </c>
      <c r="J2113" t="str" cm="1">
        <f t="array" ref="J2113">_xlfn.IFS(C2113&lt;5.7,"Normal",AND(C2113&gt;=5.7,C2113&lt;=6.49),"Prediabetes",C2113&gt;=6.5,"Diabetes")</f>
        <v>Normal</v>
      </c>
    </row>
    <row r="2114" spans="1:10" x14ac:dyDescent="0.3">
      <c r="A2114" t="s">
        <v>252</v>
      </c>
      <c r="B2114" s="8">
        <v>30.114999999999998</v>
      </c>
      <c r="C2114">
        <v>4.38</v>
      </c>
      <c r="D2114" t="s">
        <v>2379</v>
      </c>
      <c r="E2114" t="s">
        <v>2380</v>
      </c>
      <c r="F2114" t="s">
        <v>2379</v>
      </c>
      <c r="G2114">
        <v>1</v>
      </c>
      <c r="H2114" t="s">
        <v>2379</v>
      </c>
      <c r="I2114" t="str" cm="1">
        <f t="array" ref="I2114">_xlfn.IFS(B2114&lt;18.5,"Underweight",AND(B2114&gt;=18.5,B2114&lt;=24.99),"Normalweight",AND(B2114&gt;=25,B2114&lt;=29.99),"Overweight",B2114&gt;=30,"Obesity")</f>
        <v>Obesity</v>
      </c>
      <c r="J2114" t="str" cm="1">
        <f t="array" ref="J2114">_xlfn.IFS(C2114&lt;5.7,"Normal",AND(C2114&gt;=5.7,C2114&lt;=6.49),"Prediabetes",C2114&gt;=6.5,"Diabetes")</f>
        <v>Normal</v>
      </c>
    </row>
    <row r="2115" spans="1:10" x14ac:dyDescent="0.3">
      <c r="A2115" t="s">
        <v>251</v>
      </c>
      <c r="B2115" s="8">
        <v>24.09</v>
      </c>
      <c r="C2115">
        <v>4.79</v>
      </c>
      <c r="D2115" t="s">
        <v>2379</v>
      </c>
      <c r="E2115" t="s">
        <v>2380</v>
      </c>
      <c r="F2115" t="s">
        <v>2379</v>
      </c>
      <c r="G2115">
        <v>1</v>
      </c>
      <c r="H2115" t="s">
        <v>2379</v>
      </c>
      <c r="I2115" t="str" cm="1">
        <f t="array" ref="I2115">_xlfn.IFS(B2115&lt;18.5,"Underweight",AND(B2115&gt;=18.5,B2115&lt;=24.99),"Normalweight",AND(B2115&gt;=25,B2115&lt;=29.99),"Overweight",B2115&gt;=30,"Obesity")</f>
        <v>Normalweight</v>
      </c>
      <c r="J2115" t="str" cm="1">
        <f t="array" ref="J2115">_xlfn.IFS(C2115&lt;5.7,"Normal",AND(C2115&gt;=5.7,C2115&lt;=6.49),"Prediabetes",C2115&gt;=6.5,"Diabetes")</f>
        <v>Normal</v>
      </c>
    </row>
    <row r="2116" spans="1:10" x14ac:dyDescent="0.3">
      <c r="A2116" t="s">
        <v>250</v>
      </c>
      <c r="B2116" s="8">
        <v>28.215</v>
      </c>
      <c r="C2116">
        <v>4.21</v>
      </c>
      <c r="D2116" t="s">
        <v>2379</v>
      </c>
      <c r="E2116" t="s">
        <v>2380</v>
      </c>
      <c r="F2116" t="s">
        <v>2379</v>
      </c>
      <c r="G2116">
        <v>1</v>
      </c>
      <c r="H2116" t="s">
        <v>2379</v>
      </c>
      <c r="I2116" t="str" cm="1">
        <f t="array" ref="I2116">_xlfn.IFS(B2116&lt;18.5,"Underweight",AND(B2116&gt;=18.5,B2116&lt;=24.99),"Normalweight",AND(B2116&gt;=25,B2116&lt;=29.99),"Overweight",B2116&gt;=30,"Obesity")</f>
        <v>Overweight</v>
      </c>
      <c r="J2116" t="str" cm="1">
        <f t="array" ref="J2116">_xlfn.IFS(C2116&lt;5.7,"Normal",AND(C2116&gt;=5.7,C2116&lt;=6.49),"Prediabetes",C2116&gt;=6.5,"Diabetes")</f>
        <v>Normal</v>
      </c>
    </row>
    <row r="2117" spans="1:10" x14ac:dyDescent="0.3">
      <c r="A2117" t="s">
        <v>248</v>
      </c>
      <c r="B2117" s="8">
        <v>26.315000000000001</v>
      </c>
      <c r="C2117">
        <v>5.47</v>
      </c>
      <c r="D2117" t="s">
        <v>2379</v>
      </c>
      <c r="E2117" t="s">
        <v>2380</v>
      </c>
      <c r="F2117" t="s">
        <v>2379</v>
      </c>
      <c r="G2117">
        <v>1</v>
      </c>
      <c r="H2117" t="s">
        <v>2379</v>
      </c>
      <c r="I2117" t="str" cm="1">
        <f t="array" ref="I2117">_xlfn.IFS(B2117&lt;18.5,"Underweight",AND(B2117&gt;=18.5,B2117&lt;=24.99),"Normalweight",AND(B2117&gt;=25,B2117&lt;=29.99),"Overweight",B2117&gt;=30,"Obesity")</f>
        <v>Overweight</v>
      </c>
      <c r="J2117" t="str" cm="1">
        <f t="array" ref="J2117">_xlfn.IFS(C2117&lt;5.7,"Normal",AND(C2117&gt;=5.7,C2117&lt;=6.49),"Prediabetes",C2117&gt;=6.5,"Diabetes")</f>
        <v>Normal</v>
      </c>
    </row>
    <row r="2118" spans="1:10" x14ac:dyDescent="0.3">
      <c r="A2118" t="s">
        <v>246</v>
      </c>
      <c r="B2118" s="8">
        <v>25.08</v>
      </c>
      <c r="C2118">
        <v>5.09</v>
      </c>
      <c r="D2118" t="s">
        <v>2379</v>
      </c>
      <c r="E2118" t="s">
        <v>2380</v>
      </c>
      <c r="F2118" t="s">
        <v>2379</v>
      </c>
      <c r="G2118">
        <v>1</v>
      </c>
      <c r="H2118" t="s">
        <v>2379</v>
      </c>
      <c r="I2118" t="str" cm="1">
        <f t="array" ref="I2118">_xlfn.IFS(B2118&lt;18.5,"Underweight",AND(B2118&gt;=18.5,B2118&lt;=24.99),"Normalweight",AND(B2118&gt;=25,B2118&lt;=29.99),"Overweight",B2118&gt;=30,"Obesity")</f>
        <v>Overweight</v>
      </c>
      <c r="J2118" t="str" cm="1">
        <f t="array" ref="J2118">_xlfn.IFS(C2118&lt;5.7,"Normal",AND(C2118&gt;=5.7,C2118&lt;=6.49),"Prediabetes",C2118&gt;=6.5,"Diabetes")</f>
        <v>Normal</v>
      </c>
    </row>
    <row r="2119" spans="1:10" x14ac:dyDescent="0.3">
      <c r="A2119" t="s">
        <v>245</v>
      </c>
      <c r="B2119" s="8">
        <v>15.41</v>
      </c>
      <c r="C2119">
        <v>5.08</v>
      </c>
      <c r="D2119" t="s">
        <v>2379</v>
      </c>
      <c r="E2119" t="s">
        <v>2379</v>
      </c>
      <c r="F2119" t="s">
        <v>2379</v>
      </c>
      <c r="G2119">
        <v>0</v>
      </c>
      <c r="H2119" t="s">
        <v>2379</v>
      </c>
      <c r="I2119" t="str" cm="1">
        <f t="array" ref="I2119">_xlfn.IFS(B2119&lt;18.5,"Underweight",AND(B2119&gt;=18.5,B2119&lt;=24.99),"Normalweight",AND(B2119&gt;=25,B2119&lt;=29.99),"Overweight",B2119&gt;=30,"Obesity")</f>
        <v>Underweight</v>
      </c>
      <c r="J2119" t="str" cm="1">
        <f t="array" ref="J2119">_xlfn.IFS(C2119&lt;5.7,"Normal",AND(C2119&gt;=5.7,C2119&lt;=6.49),"Prediabetes",C2119&gt;=6.5,"Diabetes")</f>
        <v>Normal</v>
      </c>
    </row>
    <row r="2120" spans="1:10" x14ac:dyDescent="0.3">
      <c r="A2120" t="s">
        <v>244</v>
      </c>
      <c r="B2120" s="8">
        <v>23.83</v>
      </c>
      <c r="C2120">
        <v>5.68</v>
      </c>
      <c r="D2120" t="s">
        <v>2379</v>
      </c>
      <c r="E2120" t="s">
        <v>2379</v>
      </c>
      <c r="F2120" t="s">
        <v>2379</v>
      </c>
      <c r="G2120">
        <v>0</v>
      </c>
      <c r="H2120" t="s">
        <v>2379</v>
      </c>
      <c r="I2120" t="str" cm="1">
        <f t="array" ref="I2120">_xlfn.IFS(B2120&lt;18.5,"Underweight",AND(B2120&gt;=18.5,B2120&lt;=24.99),"Normalweight",AND(B2120&gt;=25,B2120&lt;=29.99),"Overweight",B2120&gt;=30,"Obesity")</f>
        <v>Normalweight</v>
      </c>
      <c r="J2120" t="str" cm="1">
        <f t="array" ref="J2120">_xlfn.IFS(C2120&lt;5.7,"Normal",AND(C2120&gt;=5.7,C2120&lt;=6.49),"Prediabetes",C2120&gt;=6.5,"Diabetes")</f>
        <v>Normal</v>
      </c>
    </row>
    <row r="2121" spans="1:10" x14ac:dyDescent="0.3">
      <c r="A2121" t="s">
        <v>243</v>
      </c>
      <c r="B2121" s="8">
        <v>36</v>
      </c>
      <c r="C2121">
        <v>4.66</v>
      </c>
      <c r="D2121" t="s">
        <v>2379</v>
      </c>
      <c r="E2121" t="s">
        <v>2380</v>
      </c>
      <c r="F2121" t="s">
        <v>2379</v>
      </c>
      <c r="G2121">
        <v>1</v>
      </c>
      <c r="H2121" t="s">
        <v>2379</v>
      </c>
      <c r="I2121" t="str" cm="1">
        <f t="array" ref="I2121">_xlfn.IFS(B2121&lt;18.5,"Underweight",AND(B2121&gt;=18.5,B2121&lt;=24.99),"Normalweight",AND(B2121&gt;=25,B2121&lt;=29.99),"Overweight",B2121&gt;=30,"Obesity")</f>
        <v>Obesity</v>
      </c>
      <c r="J2121" t="str" cm="1">
        <f t="array" ref="J2121">_xlfn.IFS(C2121&lt;5.7,"Normal",AND(C2121&gt;=5.7,C2121&lt;=6.49),"Prediabetes",C2121&gt;=6.5,"Diabetes")</f>
        <v>Normal</v>
      </c>
    </row>
    <row r="2122" spans="1:10" x14ac:dyDescent="0.3">
      <c r="A2122" t="s">
        <v>242</v>
      </c>
      <c r="B2122" s="8">
        <v>28.82</v>
      </c>
      <c r="C2122">
        <v>5.59</v>
      </c>
      <c r="D2122" t="s">
        <v>2379</v>
      </c>
      <c r="E2122" t="s">
        <v>2380</v>
      </c>
      <c r="F2122" t="s">
        <v>2379</v>
      </c>
      <c r="G2122">
        <v>1</v>
      </c>
      <c r="H2122" t="s">
        <v>2379</v>
      </c>
      <c r="I2122" t="str" cm="1">
        <f t="array" ref="I2122">_xlfn.IFS(B2122&lt;18.5,"Underweight",AND(B2122&gt;=18.5,B2122&lt;=24.99),"Normalweight",AND(B2122&gt;=25,B2122&lt;=29.99),"Overweight",B2122&gt;=30,"Obesity")</f>
        <v>Overweight</v>
      </c>
      <c r="J2122" t="str" cm="1">
        <f t="array" ref="J2122">_xlfn.IFS(C2122&lt;5.7,"Normal",AND(C2122&gt;=5.7,C2122&lt;=6.49),"Prediabetes",C2122&gt;=6.5,"Diabetes")</f>
        <v>Normal</v>
      </c>
    </row>
    <row r="2123" spans="1:10" x14ac:dyDescent="0.3">
      <c r="A2123" t="s">
        <v>241</v>
      </c>
      <c r="B2123" s="8">
        <v>28.05</v>
      </c>
      <c r="C2123">
        <v>6.2</v>
      </c>
      <c r="D2123" t="s">
        <v>2379</v>
      </c>
      <c r="E2123" t="s">
        <v>2380</v>
      </c>
      <c r="F2123" t="s">
        <v>2379</v>
      </c>
      <c r="G2123">
        <v>1</v>
      </c>
      <c r="H2123" t="s">
        <v>2379</v>
      </c>
      <c r="I2123" t="str" cm="1">
        <f t="array" ref="I2123">_xlfn.IFS(B2123&lt;18.5,"Underweight",AND(B2123&gt;=18.5,B2123&lt;=24.99),"Normalweight",AND(B2123&gt;=25,B2123&lt;=29.99),"Overweight",B2123&gt;=30,"Obesity")</f>
        <v>Overweight</v>
      </c>
      <c r="J2123" t="str" cm="1">
        <f t="array" ref="J2123">_xlfn.IFS(C2123&lt;5.7,"Normal",AND(C2123&gt;=5.7,C2123&lt;=6.49),"Prediabetes",C2123&gt;=6.5,"Diabetes")</f>
        <v>Prediabetes</v>
      </c>
    </row>
    <row r="2124" spans="1:10" x14ac:dyDescent="0.3">
      <c r="A2124" t="s">
        <v>240</v>
      </c>
      <c r="B2124" s="8">
        <v>27.1</v>
      </c>
      <c r="C2124">
        <v>4.45</v>
      </c>
      <c r="D2124" t="s">
        <v>2379</v>
      </c>
      <c r="E2124" t="s">
        <v>2380</v>
      </c>
      <c r="F2124" t="s">
        <v>2379</v>
      </c>
      <c r="G2124">
        <v>1</v>
      </c>
      <c r="H2124" t="s">
        <v>2379</v>
      </c>
      <c r="I2124" t="str" cm="1">
        <f t="array" ref="I2124">_xlfn.IFS(B2124&lt;18.5,"Underweight",AND(B2124&gt;=18.5,B2124&lt;=24.99),"Normalweight",AND(B2124&gt;=25,B2124&lt;=29.99),"Overweight",B2124&gt;=30,"Obesity")</f>
        <v>Overweight</v>
      </c>
      <c r="J2124" t="str" cm="1">
        <f t="array" ref="J2124">_xlfn.IFS(C2124&lt;5.7,"Normal",AND(C2124&gt;=5.7,C2124&lt;=6.49),"Prediabetes",C2124&gt;=6.5,"Diabetes")</f>
        <v>Normal</v>
      </c>
    </row>
    <row r="2125" spans="1:10" x14ac:dyDescent="0.3">
      <c r="A2125" t="s">
        <v>239</v>
      </c>
      <c r="B2125" s="8">
        <v>24.3</v>
      </c>
      <c r="C2125">
        <v>6.1</v>
      </c>
      <c r="D2125" t="s">
        <v>2381</v>
      </c>
      <c r="E2125" t="s">
        <v>2380</v>
      </c>
      <c r="F2125" t="s">
        <v>2379</v>
      </c>
      <c r="G2125">
        <v>1</v>
      </c>
      <c r="H2125" t="s">
        <v>2379</v>
      </c>
      <c r="I2125" t="str" cm="1">
        <f t="array" ref="I2125">_xlfn.IFS(B2125&lt;18.5,"Underweight",AND(B2125&gt;=18.5,B2125&lt;=24.99),"Normalweight",AND(B2125&gt;=25,B2125&lt;=29.99),"Overweight",B2125&gt;=30,"Obesity")</f>
        <v>Normalweight</v>
      </c>
      <c r="J2125" t="str" cm="1">
        <f t="array" ref="J2125">_xlfn.IFS(C2125&lt;5.7,"Normal",AND(C2125&gt;=5.7,C2125&lt;=6.49),"Prediabetes",C2125&gt;=6.5,"Diabetes")</f>
        <v>Prediabetes</v>
      </c>
    </row>
    <row r="2126" spans="1:10" x14ac:dyDescent="0.3">
      <c r="A2126" t="s">
        <v>238</v>
      </c>
      <c r="B2126" s="8">
        <v>30.72</v>
      </c>
      <c r="C2126">
        <v>6.06</v>
      </c>
      <c r="D2126" t="s">
        <v>2379</v>
      </c>
      <c r="E2126" t="s">
        <v>2380</v>
      </c>
      <c r="F2126" t="s">
        <v>2379</v>
      </c>
      <c r="G2126">
        <v>1</v>
      </c>
      <c r="H2126" t="s">
        <v>2379</v>
      </c>
      <c r="I2126" t="str" cm="1">
        <f t="array" ref="I2126">_xlfn.IFS(B2126&lt;18.5,"Underweight",AND(B2126&gt;=18.5,B2126&lt;=24.99),"Normalweight",AND(B2126&gt;=25,B2126&lt;=29.99),"Overweight",B2126&gt;=30,"Obesity")</f>
        <v>Obesity</v>
      </c>
      <c r="J2126" t="str" cm="1">
        <f t="array" ref="J2126">_xlfn.IFS(C2126&lt;5.7,"Normal",AND(C2126&gt;=5.7,C2126&lt;=6.49),"Prediabetes",C2126&gt;=6.5,"Diabetes")</f>
        <v>Prediabetes</v>
      </c>
    </row>
    <row r="2127" spans="1:10" x14ac:dyDescent="0.3">
      <c r="A2127" t="s">
        <v>237</v>
      </c>
      <c r="B2127" s="8">
        <v>37.43</v>
      </c>
      <c r="C2127">
        <v>4.5599999999999996</v>
      </c>
      <c r="D2127" t="s">
        <v>2379</v>
      </c>
      <c r="E2127" t="s">
        <v>2379</v>
      </c>
      <c r="F2127" t="s">
        <v>2381</v>
      </c>
      <c r="G2127">
        <v>1</v>
      </c>
      <c r="H2127" t="s">
        <v>2379</v>
      </c>
      <c r="I2127" t="str" cm="1">
        <f t="array" ref="I2127">_xlfn.IFS(B2127&lt;18.5,"Underweight",AND(B2127&gt;=18.5,B2127&lt;=24.99),"Normalweight",AND(B2127&gt;=25,B2127&lt;=29.99),"Overweight",B2127&gt;=30,"Obesity")</f>
        <v>Obesity</v>
      </c>
      <c r="J2127" t="str" cm="1">
        <f t="array" ref="J2127">_xlfn.IFS(C2127&lt;5.7,"Normal",AND(C2127&gt;=5.7,C2127&lt;=6.49),"Prediabetes",C2127&gt;=6.5,"Diabetes")</f>
        <v>Normal</v>
      </c>
    </row>
    <row r="2128" spans="1:10" x14ac:dyDescent="0.3">
      <c r="A2128" t="s">
        <v>236</v>
      </c>
      <c r="B2128" s="8">
        <v>25.74</v>
      </c>
      <c r="C2128">
        <v>6.41</v>
      </c>
      <c r="D2128" t="s">
        <v>2381</v>
      </c>
      <c r="E2128" t="s">
        <v>2379</v>
      </c>
      <c r="F2128" t="s">
        <v>2381</v>
      </c>
      <c r="G2128">
        <v>1</v>
      </c>
      <c r="H2128" t="s">
        <v>2379</v>
      </c>
      <c r="I2128" t="str" cm="1">
        <f t="array" ref="I2128">_xlfn.IFS(B2128&lt;18.5,"Underweight",AND(B2128&gt;=18.5,B2128&lt;=24.99),"Normalweight",AND(B2128&gt;=25,B2128&lt;=29.99),"Overweight",B2128&gt;=30,"Obesity")</f>
        <v>Overweight</v>
      </c>
      <c r="J2128" t="str" cm="1">
        <f t="array" ref="J2128">_xlfn.IFS(C2128&lt;5.7,"Normal",AND(C2128&gt;=5.7,C2128&lt;=6.49),"Prediabetes",C2128&gt;=6.5,"Diabetes")</f>
        <v>Prediabetes</v>
      </c>
    </row>
    <row r="2129" spans="1:10" x14ac:dyDescent="0.3">
      <c r="A2129" t="s">
        <v>235</v>
      </c>
      <c r="B2129" s="8">
        <v>36.575000000000003</v>
      </c>
      <c r="C2129">
        <v>5.57</v>
      </c>
      <c r="D2129" t="s">
        <v>2379</v>
      </c>
      <c r="E2129" t="s">
        <v>2379</v>
      </c>
      <c r="F2129" t="s">
        <v>2381</v>
      </c>
      <c r="G2129">
        <v>1</v>
      </c>
      <c r="H2129" t="s">
        <v>2379</v>
      </c>
      <c r="I2129" t="str" cm="1">
        <f t="array" ref="I2129">_xlfn.IFS(B2129&lt;18.5,"Underweight",AND(B2129&gt;=18.5,B2129&lt;=24.99),"Normalweight",AND(B2129&gt;=25,B2129&lt;=29.99),"Overweight",B2129&gt;=30,"Obesity")</f>
        <v>Obesity</v>
      </c>
      <c r="J2129" t="str" cm="1">
        <f t="array" ref="J2129">_xlfn.IFS(C2129&lt;5.7,"Normal",AND(C2129&gt;=5.7,C2129&lt;=6.49),"Prediabetes",C2129&gt;=6.5,"Diabetes")</f>
        <v>Normal</v>
      </c>
    </row>
    <row r="2130" spans="1:10" x14ac:dyDescent="0.3">
      <c r="A2130" t="s">
        <v>234</v>
      </c>
      <c r="B2130" s="8">
        <v>35.15</v>
      </c>
      <c r="C2130">
        <v>5.47</v>
      </c>
      <c r="D2130" t="s">
        <v>2379</v>
      </c>
      <c r="E2130" t="s">
        <v>2379</v>
      </c>
      <c r="F2130" t="s">
        <v>2381</v>
      </c>
      <c r="G2130">
        <v>1</v>
      </c>
      <c r="H2130" t="s">
        <v>2379</v>
      </c>
      <c r="I2130" t="str" cm="1">
        <f t="array" ref="I2130">_xlfn.IFS(B2130&lt;18.5,"Underweight",AND(B2130&gt;=18.5,B2130&lt;=24.99),"Normalweight",AND(B2130&gt;=25,B2130&lt;=29.99),"Overweight",B2130&gt;=30,"Obesity")</f>
        <v>Obesity</v>
      </c>
      <c r="J2130" t="str" cm="1">
        <f t="array" ref="J2130">_xlfn.IFS(C2130&lt;5.7,"Normal",AND(C2130&gt;=5.7,C2130&lt;=6.49),"Prediabetes",C2130&gt;=6.5,"Diabetes")</f>
        <v>Normal</v>
      </c>
    </row>
    <row r="2131" spans="1:10" x14ac:dyDescent="0.3">
      <c r="A2131" t="s">
        <v>233</v>
      </c>
      <c r="B2131" s="8">
        <v>32.11</v>
      </c>
      <c r="C2131">
        <v>4.43</v>
      </c>
      <c r="D2131" t="s">
        <v>2379</v>
      </c>
      <c r="E2131" t="s">
        <v>2379</v>
      </c>
      <c r="F2131" t="s">
        <v>2381</v>
      </c>
      <c r="G2131">
        <v>1</v>
      </c>
      <c r="H2131" t="s">
        <v>2379</v>
      </c>
      <c r="I2131" t="str" cm="1">
        <f t="array" ref="I2131">_xlfn.IFS(B2131&lt;18.5,"Underweight",AND(B2131&gt;=18.5,B2131&lt;=24.99),"Normalweight",AND(B2131&gt;=25,B2131&lt;=29.99),"Overweight",B2131&gt;=30,"Obesity")</f>
        <v>Obesity</v>
      </c>
      <c r="J2131" t="str" cm="1">
        <f t="array" ref="J2131">_xlfn.IFS(C2131&lt;5.7,"Normal",AND(C2131&gt;=5.7,C2131&lt;=6.49),"Prediabetes",C2131&gt;=6.5,"Diabetes")</f>
        <v>Normal</v>
      </c>
    </row>
    <row r="2132" spans="1:10" x14ac:dyDescent="0.3">
      <c r="A2132" t="s">
        <v>232</v>
      </c>
      <c r="B2132" s="8">
        <v>30.495000000000001</v>
      </c>
      <c r="C2132">
        <v>4.95</v>
      </c>
      <c r="D2132" t="s">
        <v>2379</v>
      </c>
      <c r="E2132" t="s">
        <v>2379</v>
      </c>
      <c r="F2132" t="s">
        <v>2381</v>
      </c>
      <c r="G2132">
        <v>1</v>
      </c>
      <c r="H2132" t="s">
        <v>2379</v>
      </c>
      <c r="I2132" t="str" cm="1">
        <f t="array" ref="I2132">_xlfn.IFS(B2132&lt;18.5,"Underweight",AND(B2132&gt;=18.5,B2132&lt;=24.99),"Normalweight",AND(B2132&gt;=25,B2132&lt;=29.99),"Overweight",B2132&gt;=30,"Obesity")</f>
        <v>Obesity</v>
      </c>
      <c r="J2132" t="str" cm="1">
        <f t="array" ref="J2132">_xlfn.IFS(C2132&lt;5.7,"Normal",AND(C2132&gt;=5.7,C2132&lt;=6.49),"Prediabetes",C2132&gt;=6.5,"Diabetes")</f>
        <v>Normal</v>
      </c>
    </row>
    <row r="2133" spans="1:10" x14ac:dyDescent="0.3">
      <c r="A2133" t="s">
        <v>231</v>
      </c>
      <c r="B2133" s="8">
        <v>29.24</v>
      </c>
      <c r="C2133">
        <v>4.04</v>
      </c>
      <c r="D2133" t="s">
        <v>2379</v>
      </c>
      <c r="E2133" t="s">
        <v>2380</v>
      </c>
      <c r="F2133" t="s">
        <v>2379</v>
      </c>
      <c r="G2133">
        <v>1</v>
      </c>
      <c r="H2133" t="s">
        <v>2379</v>
      </c>
      <c r="I2133" t="str" cm="1">
        <f t="array" ref="I2133">_xlfn.IFS(B2133&lt;18.5,"Underweight",AND(B2133&gt;=18.5,B2133&lt;=24.99),"Normalweight",AND(B2133&gt;=25,B2133&lt;=29.99),"Overweight",B2133&gt;=30,"Obesity")</f>
        <v>Overweight</v>
      </c>
      <c r="J2133" t="str" cm="1">
        <f t="array" ref="J2133">_xlfn.IFS(C2133&lt;5.7,"Normal",AND(C2133&gt;=5.7,C2133&lt;=6.49),"Prediabetes",C2133&gt;=6.5,"Diabetes")</f>
        <v>Normal</v>
      </c>
    </row>
    <row r="2134" spans="1:10" x14ac:dyDescent="0.3">
      <c r="A2134" t="s">
        <v>230</v>
      </c>
      <c r="B2134" s="8">
        <v>22.515000000000001</v>
      </c>
      <c r="C2134">
        <v>5.93</v>
      </c>
      <c r="D2134" t="s">
        <v>2379</v>
      </c>
      <c r="E2134" t="s">
        <v>2379</v>
      </c>
      <c r="F2134" t="s">
        <v>2381</v>
      </c>
      <c r="G2134">
        <v>1</v>
      </c>
      <c r="H2134" t="s">
        <v>2379</v>
      </c>
      <c r="I2134" t="str" cm="1">
        <f t="array" ref="I2134">_xlfn.IFS(B2134&lt;18.5,"Underweight",AND(B2134&gt;=18.5,B2134&lt;=24.99),"Normalweight",AND(B2134&gt;=25,B2134&lt;=29.99),"Overweight",B2134&gt;=30,"Obesity")</f>
        <v>Normalweight</v>
      </c>
      <c r="J2134" t="str" cm="1">
        <f t="array" ref="J2134">_xlfn.IFS(C2134&lt;5.7,"Normal",AND(C2134&gt;=5.7,C2134&lt;=6.49),"Prediabetes",C2134&gt;=6.5,"Diabetes")</f>
        <v>Prediabetes</v>
      </c>
    </row>
    <row r="2135" spans="1:10" x14ac:dyDescent="0.3">
      <c r="A2135" t="s">
        <v>229</v>
      </c>
      <c r="B2135" s="8">
        <v>15.65</v>
      </c>
      <c r="C2135">
        <v>4.2300000000000004</v>
      </c>
      <c r="D2135" t="s">
        <v>2379</v>
      </c>
      <c r="E2135" t="s">
        <v>2379</v>
      </c>
      <c r="F2135" t="s">
        <v>2379</v>
      </c>
      <c r="G2135">
        <v>0</v>
      </c>
      <c r="H2135" t="s">
        <v>2379</v>
      </c>
      <c r="I2135" t="str" cm="1">
        <f t="array" ref="I2135">_xlfn.IFS(B2135&lt;18.5,"Underweight",AND(B2135&gt;=18.5,B2135&lt;=24.99),"Normalweight",AND(B2135&gt;=25,B2135&lt;=29.99),"Overweight",B2135&gt;=30,"Obesity")</f>
        <v>Underweight</v>
      </c>
      <c r="J2135" t="str" cm="1">
        <f t="array" ref="J2135">_xlfn.IFS(C2135&lt;5.7,"Normal",AND(C2135&gt;=5.7,C2135&lt;=6.49),"Prediabetes",C2135&gt;=6.5,"Diabetes")</f>
        <v>Normal</v>
      </c>
    </row>
    <row r="2136" spans="1:10" x14ac:dyDescent="0.3">
      <c r="A2136" t="s">
        <v>228</v>
      </c>
      <c r="B2136" s="8">
        <v>27.36</v>
      </c>
      <c r="C2136">
        <v>5.59</v>
      </c>
      <c r="D2136" t="s">
        <v>2381</v>
      </c>
      <c r="E2136" t="s">
        <v>2379</v>
      </c>
      <c r="F2136" t="s">
        <v>2379</v>
      </c>
      <c r="G2136">
        <v>0</v>
      </c>
      <c r="H2136" t="s">
        <v>2379</v>
      </c>
      <c r="I2136" t="str" cm="1">
        <f t="array" ref="I2136">_xlfn.IFS(B2136&lt;18.5,"Underweight",AND(B2136&gt;=18.5,B2136&lt;=24.99),"Normalweight",AND(B2136&gt;=25,B2136&lt;=29.99),"Overweight",B2136&gt;=30,"Obesity")</f>
        <v>Overweight</v>
      </c>
      <c r="J2136" t="str" cm="1">
        <f t="array" ref="J2136">_xlfn.IFS(C2136&lt;5.7,"Normal",AND(C2136&gt;=5.7,C2136&lt;=6.49),"Prediabetes",C2136&gt;=6.5,"Diabetes")</f>
        <v>Normal</v>
      </c>
    </row>
    <row r="2137" spans="1:10" x14ac:dyDescent="0.3">
      <c r="A2137" t="s">
        <v>227</v>
      </c>
      <c r="B2137" s="8">
        <v>22.3</v>
      </c>
      <c r="C2137">
        <v>4.8899999999999997</v>
      </c>
      <c r="D2137" t="s">
        <v>2381</v>
      </c>
      <c r="E2137" t="s">
        <v>2379</v>
      </c>
      <c r="F2137" t="s">
        <v>2379</v>
      </c>
      <c r="G2137">
        <v>0</v>
      </c>
      <c r="H2137" t="s">
        <v>2379</v>
      </c>
      <c r="I2137" t="str" cm="1">
        <f t="array" ref="I2137">_xlfn.IFS(B2137&lt;18.5,"Underweight",AND(B2137&gt;=18.5,B2137&lt;=24.99),"Normalweight",AND(B2137&gt;=25,B2137&lt;=29.99),"Overweight",B2137&gt;=30,"Obesity")</f>
        <v>Normalweight</v>
      </c>
      <c r="J2137" t="str" cm="1">
        <f t="array" ref="J2137">_xlfn.IFS(C2137&lt;5.7,"Normal",AND(C2137&gt;=5.7,C2137&lt;=6.49),"Prediabetes",C2137&gt;=6.5,"Diabetes")</f>
        <v>Normal</v>
      </c>
    </row>
    <row r="2138" spans="1:10" x14ac:dyDescent="0.3">
      <c r="A2138" t="s">
        <v>226</v>
      </c>
      <c r="B2138" s="8">
        <v>26.03</v>
      </c>
      <c r="C2138">
        <v>5.81</v>
      </c>
      <c r="D2138" t="s">
        <v>2381</v>
      </c>
      <c r="E2138" t="s">
        <v>2379</v>
      </c>
      <c r="F2138" t="s">
        <v>2379</v>
      </c>
      <c r="G2138">
        <v>0</v>
      </c>
      <c r="H2138" t="s">
        <v>2379</v>
      </c>
      <c r="I2138" t="str" cm="1">
        <f t="array" ref="I2138">_xlfn.IFS(B2138&lt;18.5,"Underweight",AND(B2138&gt;=18.5,B2138&lt;=24.99),"Normalweight",AND(B2138&gt;=25,B2138&lt;=29.99),"Overweight",B2138&gt;=30,"Obesity")</f>
        <v>Overweight</v>
      </c>
      <c r="J2138" t="str" cm="1">
        <f t="array" ref="J2138">_xlfn.IFS(C2138&lt;5.7,"Normal",AND(C2138&gt;=5.7,C2138&lt;=6.49),"Prediabetes",C2138&gt;=6.5,"Diabetes")</f>
        <v>Prediabetes</v>
      </c>
    </row>
    <row r="2139" spans="1:10" x14ac:dyDescent="0.3">
      <c r="A2139" t="s">
        <v>225</v>
      </c>
      <c r="B2139" s="8">
        <v>27.74</v>
      </c>
      <c r="C2139">
        <v>4.29</v>
      </c>
      <c r="D2139" t="s">
        <v>2379</v>
      </c>
      <c r="E2139" t="s">
        <v>2380</v>
      </c>
      <c r="F2139" t="s">
        <v>2379</v>
      </c>
      <c r="G2139">
        <v>1</v>
      </c>
      <c r="H2139" t="s">
        <v>2379</v>
      </c>
      <c r="I2139" t="str" cm="1">
        <f t="array" ref="I2139">_xlfn.IFS(B2139&lt;18.5,"Underweight",AND(B2139&gt;=18.5,B2139&lt;=24.99),"Normalweight",AND(B2139&gt;=25,B2139&lt;=29.99),"Overweight",B2139&gt;=30,"Obesity")</f>
        <v>Overweight</v>
      </c>
      <c r="J2139" t="str" cm="1">
        <f t="array" ref="J2139">_xlfn.IFS(C2139&lt;5.7,"Normal",AND(C2139&gt;=5.7,C2139&lt;=6.49),"Prediabetes",C2139&gt;=6.5,"Diabetes")</f>
        <v>Normal</v>
      </c>
    </row>
    <row r="2140" spans="1:10" x14ac:dyDescent="0.3">
      <c r="A2140" t="s">
        <v>224</v>
      </c>
      <c r="B2140" s="8">
        <v>32.11</v>
      </c>
      <c r="C2140">
        <v>4.03</v>
      </c>
      <c r="D2140" t="s">
        <v>2381</v>
      </c>
      <c r="E2140" t="s">
        <v>2380</v>
      </c>
      <c r="F2140" t="s">
        <v>2379</v>
      </c>
      <c r="G2140">
        <v>2</v>
      </c>
      <c r="H2140" t="s">
        <v>2379</v>
      </c>
      <c r="I2140" t="str" cm="1">
        <f t="array" ref="I2140">_xlfn.IFS(B2140&lt;18.5,"Underweight",AND(B2140&gt;=18.5,B2140&lt;=24.99),"Normalweight",AND(B2140&gt;=25,B2140&lt;=29.99),"Overweight",B2140&gt;=30,"Obesity")</f>
        <v>Obesity</v>
      </c>
      <c r="J2140" t="str" cm="1">
        <f t="array" ref="J2140">_xlfn.IFS(C2140&lt;5.7,"Normal",AND(C2140&gt;=5.7,C2140&lt;=6.49),"Prediabetes",C2140&gt;=6.5,"Diabetes")</f>
        <v>Normal</v>
      </c>
    </row>
    <row r="2141" spans="1:10" x14ac:dyDescent="0.3">
      <c r="A2141" t="s">
        <v>223</v>
      </c>
      <c r="B2141" s="8">
        <v>25.175000000000001</v>
      </c>
      <c r="C2141">
        <v>6.29</v>
      </c>
      <c r="D2141" t="s">
        <v>2381</v>
      </c>
      <c r="E2141" t="s">
        <v>2380</v>
      </c>
      <c r="F2141" t="s">
        <v>2379</v>
      </c>
      <c r="G2141">
        <v>2</v>
      </c>
      <c r="H2141" t="s">
        <v>2379</v>
      </c>
      <c r="I2141" t="str" cm="1">
        <f t="array" ref="I2141">_xlfn.IFS(B2141&lt;18.5,"Underweight",AND(B2141&gt;=18.5,B2141&lt;=24.99),"Normalweight",AND(B2141&gt;=25,B2141&lt;=29.99),"Overweight",B2141&gt;=30,"Obesity")</f>
        <v>Overweight</v>
      </c>
      <c r="J2141" t="str" cm="1">
        <f t="array" ref="J2141">_xlfn.IFS(C2141&lt;5.7,"Normal",AND(C2141&gt;=5.7,C2141&lt;=6.49),"Prediabetes",C2141&gt;=6.5,"Diabetes")</f>
        <v>Prediabetes</v>
      </c>
    </row>
    <row r="2142" spans="1:10" x14ac:dyDescent="0.3">
      <c r="A2142" t="s">
        <v>222</v>
      </c>
      <c r="B2142" s="8">
        <v>39.49</v>
      </c>
      <c r="C2142">
        <v>4.4800000000000004</v>
      </c>
      <c r="D2142" t="s">
        <v>2381</v>
      </c>
      <c r="E2142" t="s">
        <v>2379</v>
      </c>
      <c r="F2142" t="s">
        <v>2379</v>
      </c>
      <c r="G2142">
        <v>0</v>
      </c>
      <c r="H2142" t="s">
        <v>2379</v>
      </c>
      <c r="I2142" t="str" cm="1">
        <f t="array" ref="I2142">_xlfn.IFS(B2142&lt;18.5,"Underweight",AND(B2142&gt;=18.5,B2142&lt;=24.99),"Normalweight",AND(B2142&gt;=25,B2142&lt;=29.99),"Overweight",B2142&gt;=30,"Obesity")</f>
        <v>Obesity</v>
      </c>
      <c r="J2142" t="str" cm="1">
        <f t="array" ref="J2142">_xlfn.IFS(C2142&lt;5.7,"Normal",AND(C2142&gt;=5.7,C2142&lt;=6.49),"Prediabetes",C2142&gt;=6.5,"Diabetes")</f>
        <v>Normal</v>
      </c>
    </row>
    <row r="2143" spans="1:10" x14ac:dyDescent="0.3">
      <c r="A2143" t="s">
        <v>221</v>
      </c>
      <c r="B2143" s="8">
        <v>34.869999999999997</v>
      </c>
      <c r="C2143">
        <v>5.51</v>
      </c>
      <c r="D2143" t="s">
        <v>2381</v>
      </c>
      <c r="E2143" t="s">
        <v>2379</v>
      </c>
      <c r="F2143" t="s">
        <v>2379</v>
      </c>
      <c r="G2143">
        <v>0</v>
      </c>
      <c r="H2143" t="s">
        <v>2379</v>
      </c>
      <c r="I2143" t="str" cm="1">
        <f t="array" ref="I2143">_xlfn.IFS(B2143&lt;18.5,"Underweight",AND(B2143&gt;=18.5,B2143&lt;=24.99),"Normalweight",AND(B2143&gt;=25,B2143&lt;=29.99),"Overweight",B2143&gt;=30,"Obesity")</f>
        <v>Obesity</v>
      </c>
      <c r="J2143" t="str" cm="1">
        <f t="array" ref="J2143">_xlfn.IFS(C2143&lt;5.7,"Normal",AND(C2143&gt;=5.7,C2143&lt;=6.49),"Prediabetes",C2143&gt;=6.5,"Diabetes")</f>
        <v>Normal</v>
      </c>
    </row>
    <row r="2144" spans="1:10" x14ac:dyDescent="0.3">
      <c r="A2144" t="s">
        <v>220</v>
      </c>
      <c r="B2144" s="8">
        <v>34.6</v>
      </c>
      <c r="C2144">
        <v>4.5</v>
      </c>
      <c r="D2144" t="s">
        <v>2381</v>
      </c>
      <c r="E2144" t="s">
        <v>2379</v>
      </c>
      <c r="F2144" t="s">
        <v>2379</v>
      </c>
      <c r="G2144">
        <v>0</v>
      </c>
      <c r="H2144" t="s">
        <v>2379</v>
      </c>
      <c r="I2144" t="str" cm="1">
        <f t="array" ref="I2144">_xlfn.IFS(B2144&lt;18.5,"Underweight",AND(B2144&gt;=18.5,B2144&lt;=24.99),"Normalweight",AND(B2144&gt;=25,B2144&lt;=29.99),"Overweight",B2144&gt;=30,"Obesity")</f>
        <v>Obesity</v>
      </c>
      <c r="J2144" t="str" cm="1">
        <f t="array" ref="J2144">_xlfn.IFS(C2144&lt;5.7,"Normal",AND(C2144&gt;=5.7,C2144&lt;=6.49),"Prediabetes",C2144&gt;=6.5,"Diabetes")</f>
        <v>Normal</v>
      </c>
    </row>
    <row r="2145" spans="1:10" x14ac:dyDescent="0.3">
      <c r="A2145" t="s">
        <v>219</v>
      </c>
      <c r="B2145" s="8">
        <v>25.8</v>
      </c>
      <c r="C2145">
        <v>6.29</v>
      </c>
      <c r="D2145" t="s">
        <v>2381</v>
      </c>
      <c r="E2145" t="s">
        <v>2379</v>
      </c>
      <c r="F2145" t="s">
        <v>2379</v>
      </c>
      <c r="G2145">
        <v>0</v>
      </c>
      <c r="H2145" t="s">
        <v>2379</v>
      </c>
      <c r="I2145" t="str" cm="1">
        <f t="array" ref="I2145">_xlfn.IFS(B2145&lt;18.5,"Underweight",AND(B2145&gt;=18.5,B2145&lt;=24.99),"Normalweight",AND(B2145&gt;=25,B2145&lt;=29.99),"Overweight",B2145&gt;=30,"Obesity")</f>
        <v>Overweight</v>
      </c>
      <c r="J2145" t="str" cm="1">
        <f t="array" ref="J2145">_xlfn.IFS(C2145&lt;5.7,"Normal",AND(C2145&gt;=5.7,C2145&lt;=6.49),"Prediabetes",C2145&gt;=6.5,"Diabetes")</f>
        <v>Prediabetes</v>
      </c>
    </row>
    <row r="2146" spans="1:10" x14ac:dyDescent="0.3">
      <c r="A2146" t="s">
        <v>218</v>
      </c>
      <c r="B2146" s="8">
        <v>35.86</v>
      </c>
      <c r="C2146">
        <v>4.33</v>
      </c>
      <c r="D2146" t="s">
        <v>2379</v>
      </c>
      <c r="E2146" t="s">
        <v>2379</v>
      </c>
      <c r="F2146" t="s">
        <v>2379</v>
      </c>
      <c r="G2146">
        <v>1</v>
      </c>
      <c r="H2146" t="s">
        <v>2379</v>
      </c>
      <c r="I2146" t="str" cm="1">
        <f t="array" ref="I2146">_xlfn.IFS(B2146&lt;18.5,"Underweight",AND(B2146&gt;=18.5,B2146&lt;=24.99),"Normalweight",AND(B2146&gt;=25,B2146&lt;=29.99),"Overweight",B2146&gt;=30,"Obesity")</f>
        <v>Obesity</v>
      </c>
      <c r="J2146" t="str" cm="1">
        <f t="array" ref="J2146">_xlfn.IFS(C2146&lt;5.7,"Normal",AND(C2146&gt;=5.7,C2146&lt;=6.49),"Prediabetes",C2146&gt;=6.5,"Diabetes")</f>
        <v>Normal</v>
      </c>
    </row>
    <row r="2147" spans="1:10" x14ac:dyDescent="0.3">
      <c r="A2147" t="s">
        <v>217</v>
      </c>
      <c r="B2147" s="8">
        <v>40.47</v>
      </c>
      <c r="C2147">
        <v>11.15</v>
      </c>
      <c r="D2147" t="s">
        <v>2379</v>
      </c>
      <c r="E2147" t="s">
        <v>2379</v>
      </c>
      <c r="F2147" t="s">
        <v>2379</v>
      </c>
      <c r="G2147">
        <v>0</v>
      </c>
      <c r="H2147" t="s">
        <v>2379</v>
      </c>
      <c r="I2147" t="str" cm="1">
        <f t="array" ref="I2147">_xlfn.IFS(B2147&lt;18.5,"Underweight",AND(B2147&gt;=18.5,B2147&lt;=24.99),"Normalweight",AND(B2147&gt;=25,B2147&lt;=29.99),"Overweight",B2147&gt;=30,"Obesity")</f>
        <v>Obesity</v>
      </c>
      <c r="J2147" t="str" cm="1">
        <f t="array" ref="J2147">_xlfn.IFS(C2147&lt;5.7,"Normal",AND(C2147&gt;=5.7,C2147&lt;=6.49),"Prediabetes",C2147&gt;=6.5,"Diabetes")</f>
        <v>Diabetes</v>
      </c>
    </row>
    <row r="2148" spans="1:10" x14ac:dyDescent="0.3">
      <c r="A2148" t="s">
        <v>216</v>
      </c>
      <c r="B2148" s="8">
        <v>32.01</v>
      </c>
      <c r="C2148">
        <v>6.45</v>
      </c>
      <c r="D2148" t="s">
        <v>2379</v>
      </c>
      <c r="E2148" t="s">
        <v>2379</v>
      </c>
      <c r="F2148" t="s">
        <v>2379</v>
      </c>
      <c r="G2148">
        <v>1</v>
      </c>
      <c r="H2148" t="s">
        <v>2379</v>
      </c>
      <c r="I2148" t="str" cm="1">
        <f t="array" ref="I2148">_xlfn.IFS(B2148&lt;18.5,"Underweight",AND(B2148&gt;=18.5,B2148&lt;=24.99),"Normalweight",AND(B2148&gt;=25,B2148&lt;=29.99),"Overweight",B2148&gt;=30,"Obesity")</f>
        <v>Obesity</v>
      </c>
      <c r="J2148" t="str" cm="1">
        <f t="array" ref="J2148">_xlfn.IFS(C2148&lt;5.7,"Normal",AND(C2148&gt;=5.7,C2148&lt;=6.49),"Prediabetes",C2148&gt;=6.5,"Diabetes")</f>
        <v>Prediabetes</v>
      </c>
    </row>
    <row r="2149" spans="1:10" x14ac:dyDescent="0.3">
      <c r="A2149" t="s">
        <v>215</v>
      </c>
      <c r="B2149" s="8">
        <v>33</v>
      </c>
      <c r="C2149">
        <v>9.27</v>
      </c>
      <c r="D2149" t="s">
        <v>2379</v>
      </c>
      <c r="E2149" t="s">
        <v>2379</v>
      </c>
      <c r="F2149" t="s">
        <v>2379</v>
      </c>
      <c r="G2149">
        <v>0</v>
      </c>
      <c r="H2149" t="s">
        <v>2379</v>
      </c>
      <c r="I2149" t="str" cm="1">
        <f t="array" ref="I2149">_xlfn.IFS(B2149&lt;18.5,"Underweight",AND(B2149&gt;=18.5,B2149&lt;=24.99),"Normalweight",AND(B2149&gt;=25,B2149&lt;=29.99),"Overweight",B2149&gt;=30,"Obesity")</f>
        <v>Obesity</v>
      </c>
      <c r="J2149" t="str" cm="1">
        <f t="array" ref="J2149">_xlfn.IFS(C2149&lt;5.7,"Normal",AND(C2149&gt;=5.7,C2149&lt;=6.49),"Prediabetes",C2149&gt;=6.5,"Diabetes")</f>
        <v>Diabetes</v>
      </c>
    </row>
    <row r="2150" spans="1:10" x14ac:dyDescent="0.3">
      <c r="A2150" t="s">
        <v>214</v>
      </c>
      <c r="B2150" s="8">
        <v>29.3</v>
      </c>
      <c r="C2150">
        <v>6.15</v>
      </c>
      <c r="D2150" t="s">
        <v>2379</v>
      </c>
      <c r="E2150" t="s">
        <v>2379</v>
      </c>
      <c r="F2150" t="s">
        <v>2379</v>
      </c>
      <c r="G2150">
        <v>1</v>
      </c>
      <c r="H2150" t="s">
        <v>2379</v>
      </c>
      <c r="I2150" t="str" cm="1">
        <f t="array" ref="I2150">_xlfn.IFS(B2150&lt;18.5,"Underweight",AND(B2150&gt;=18.5,B2150&lt;=24.99),"Normalweight",AND(B2150&gt;=25,B2150&lt;=29.99),"Overweight",B2150&gt;=30,"Obesity")</f>
        <v>Overweight</v>
      </c>
      <c r="J2150" t="str" cm="1">
        <f t="array" ref="J2150">_xlfn.IFS(C2150&lt;5.7,"Normal",AND(C2150&gt;=5.7,C2150&lt;=6.49),"Prediabetes",C2150&gt;=6.5,"Diabetes")</f>
        <v>Prediabetes</v>
      </c>
    </row>
    <row r="2151" spans="1:10" x14ac:dyDescent="0.3">
      <c r="A2151" t="s">
        <v>213</v>
      </c>
      <c r="B2151" s="8">
        <v>25.8</v>
      </c>
      <c r="C2151">
        <v>4.13</v>
      </c>
      <c r="D2151" t="s">
        <v>2379</v>
      </c>
      <c r="E2151" t="s">
        <v>2379</v>
      </c>
      <c r="F2151" t="s">
        <v>2379</v>
      </c>
      <c r="G2151">
        <v>1</v>
      </c>
      <c r="H2151" t="s">
        <v>2379</v>
      </c>
      <c r="I2151" t="str" cm="1">
        <f t="array" ref="I2151">_xlfn.IFS(B2151&lt;18.5,"Underweight",AND(B2151&gt;=18.5,B2151&lt;=24.99),"Normalweight",AND(B2151&gt;=25,B2151&lt;=29.99),"Overweight",B2151&gt;=30,"Obesity")</f>
        <v>Overweight</v>
      </c>
      <c r="J2151" t="str" cm="1">
        <f t="array" ref="J2151">_xlfn.IFS(C2151&lt;5.7,"Normal",AND(C2151&gt;=5.7,C2151&lt;=6.49),"Prediabetes",C2151&gt;=6.5,"Diabetes")</f>
        <v>Normal</v>
      </c>
    </row>
    <row r="2152" spans="1:10" x14ac:dyDescent="0.3">
      <c r="A2152" t="s">
        <v>212</v>
      </c>
      <c r="B2152" s="8">
        <v>23.4</v>
      </c>
      <c r="C2152">
        <v>4.24</v>
      </c>
      <c r="D2152" t="s">
        <v>2379</v>
      </c>
      <c r="E2152" t="s">
        <v>2379</v>
      </c>
      <c r="F2152" t="s">
        <v>2379</v>
      </c>
      <c r="G2152">
        <v>1</v>
      </c>
      <c r="H2152" t="s">
        <v>2379</v>
      </c>
      <c r="I2152" t="str" cm="1">
        <f t="array" ref="I2152">_xlfn.IFS(B2152&lt;18.5,"Underweight",AND(B2152&gt;=18.5,B2152&lt;=24.99),"Normalweight",AND(B2152&gt;=25,B2152&lt;=29.99),"Overweight",B2152&gt;=30,"Obesity")</f>
        <v>Normalweight</v>
      </c>
      <c r="J2152" t="str" cm="1">
        <f t="array" ref="J2152">_xlfn.IFS(C2152&lt;5.7,"Normal",AND(C2152&gt;=5.7,C2152&lt;=6.49),"Prediabetes",C2152&gt;=6.5,"Diabetes")</f>
        <v>Normal</v>
      </c>
    </row>
    <row r="2153" spans="1:10" x14ac:dyDescent="0.3">
      <c r="A2153" t="s">
        <v>211</v>
      </c>
      <c r="B2153" s="8">
        <v>27.93</v>
      </c>
      <c r="C2153">
        <v>9.8800000000000008</v>
      </c>
      <c r="D2153" t="s">
        <v>2379</v>
      </c>
      <c r="E2153" t="s">
        <v>2379</v>
      </c>
      <c r="F2153" t="s">
        <v>2379</v>
      </c>
      <c r="G2153">
        <v>0</v>
      </c>
      <c r="H2153" t="s">
        <v>2379</v>
      </c>
      <c r="I2153" t="str" cm="1">
        <f t="array" ref="I2153">_xlfn.IFS(B2153&lt;18.5,"Underweight",AND(B2153&gt;=18.5,B2153&lt;=24.99),"Normalweight",AND(B2153&gt;=25,B2153&lt;=29.99),"Overweight",B2153&gt;=30,"Obesity")</f>
        <v>Overweight</v>
      </c>
      <c r="J2153" t="str" cm="1">
        <f t="array" ref="J2153">_xlfn.IFS(C2153&lt;5.7,"Normal",AND(C2153&gt;=5.7,C2153&lt;=6.49),"Prediabetes",C2153&gt;=6.5,"Diabetes")</f>
        <v>Diabetes</v>
      </c>
    </row>
    <row r="2154" spans="1:10" x14ac:dyDescent="0.3">
      <c r="A2154" t="s">
        <v>210</v>
      </c>
      <c r="B2154" s="8">
        <v>22</v>
      </c>
      <c r="C2154">
        <v>9.5</v>
      </c>
      <c r="D2154" t="s">
        <v>2379</v>
      </c>
      <c r="E2154" t="s">
        <v>2379</v>
      </c>
      <c r="F2154" t="s">
        <v>2379</v>
      </c>
      <c r="G2154">
        <v>0</v>
      </c>
      <c r="H2154" t="s">
        <v>2379</v>
      </c>
      <c r="I2154" t="str" cm="1">
        <f t="array" ref="I2154">_xlfn.IFS(B2154&lt;18.5,"Underweight",AND(B2154&gt;=18.5,B2154&lt;=24.99),"Normalweight",AND(B2154&gt;=25,B2154&lt;=29.99),"Overweight",B2154&gt;=30,"Obesity")</f>
        <v>Normalweight</v>
      </c>
      <c r="J2154" t="str" cm="1">
        <f t="array" ref="J2154">_xlfn.IFS(C2154&lt;5.7,"Normal",AND(C2154&gt;=5.7,C2154&lt;=6.49),"Prediabetes",C2154&gt;=6.5,"Diabetes")</f>
        <v>Diabetes</v>
      </c>
    </row>
    <row r="2155" spans="1:10" x14ac:dyDescent="0.3">
      <c r="A2155" t="s">
        <v>209</v>
      </c>
      <c r="B2155" s="8">
        <v>36.86</v>
      </c>
      <c r="C2155">
        <v>4.97</v>
      </c>
      <c r="D2155" t="s">
        <v>2381</v>
      </c>
      <c r="E2155" t="s">
        <v>2379</v>
      </c>
      <c r="F2155" t="s">
        <v>2379</v>
      </c>
      <c r="G2155">
        <v>0</v>
      </c>
      <c r="H2155" t="s">
        <v>2379</v>
      </c>
      <c r="I2155" t="str" cm="1">
        <f t="array" ref="I2155">_xlfn.IFS(B2155&lt;18.5,"Underweight",AND(B2155&gt;=18.5,B2155&lt;=24.99),"Normalweight",AND(B2155&gt;=25,B2155&lt;=29.99),"Overweight",B2155&gt;=30,"Obesity")</f>
        <v>Obesity</v>
      </c>
      <c r="J2155" t="str" cm="1">
        <f t="array" ref="J2155">_xlfn.IFS(C2155&lt;5.7,"Normal",AND(C2155&gt;=5.7,C2155&lt;=6.49),"Prediabetes",C2155&gt;=6.5,"Diabetes")</f>
        <v>Normal</v>
      </c>
    </row>
    <row r="2156" spans="1:10" x14ac:dyDescent="0.3">
      <c r="A2156" t="s">
        <v>208</v>
      </c>
      <c r="B2156" s="8">
        <v>31.254999999999999</v>
      </c>
      <c r="C2156">
        <v>5.49</v>
      </c>
      <c r="D2156" t="s">
        <v>2381</v>
      </c>
      <c r="E2156" t="s">
        <v>2379</v>
      </c>
      <c r="F2156" t="s">
        <v>2379</v>
      </c>
      <c r="G2156">
        <v>0</v>
      </c>
      <c r="H2156" t="s">
        <v>2379</v>
      </c>
      <c r="I2156" t="str" cm="1">
        <f t="array" ref="I2156">_xlfn.IFS(B2156&lt;18.5,"Underweight",AND(B2156&gt;=18.5,B2156&lt;=24.99),"Normalweight",AND(B2156&gt;=25,B2156&lt;=29.99),"Overweight",B2156&gt;=30,"Obesity")</f>
        <v>Obesity</v>
      </c>
      <c r="J2156" t="str" cm="1">
        <f t="array" ref="J2156">_xlfn.IFS(C2156&lt;5.7,"Normal",AND(C2156&gt;=5.7,C2156&lt;=6.49),"Prediabetes",C2156&gt;=6.5,"Diabetes")</f>
        <v>Normal</v>
      </c>
    </row>
    <row r="2157" spans="1:10" x14ac:dyDescent="0.3">
      <c r="A2157" t="s">
        <v>207</v>
      </c>
      <c r="B2157" s="8">
        <v>23.06</v>
      </c>
      <c r="C2157">
        <v>4.47</v>
      </c>
      <c r="D2157" t="s">
        <v>2379</v>
      </c>
      <c r="E2157" t="s">
        <v>2379</v>
      </c>
      <c r="F2157" t="s">
        <v>2379</v>
      </c>
      <c r="G2157">
        <v>0</v>
      </c>
      <c r="H2157" t="s">
        <v>2379</v>
      </c>
      <c r="I2157" t="str" cm="1">
        <f t="array" ref="I2157">_xlfn.IFS(B2157&lt;18.5,"Underweight",AND(B2157&gt;=18.5,B2157&lt;=24.99),"Normalweight",AND(B2157&gt;=25,B2157&lt;=29.99),"Overweight",B2157&gt;=30,"Obesity")</f>
        <v>Normalweight</v>
      </c>
      <c r="J2157" t="str" cm="1">
        <f t="array" ref="J2157">_xlfn.IFS(C2157&lt;5.7,"Normal",AND(C2157&gt;=5.7,C2157&lt;=6.49),"Prediabetes",C2157&gt;=6.5,"Diabetes")</f>
        <v>Normal</v>
      </c>
    </row>
    <row r="2158" spans="1:10" x14ac:dyDescent="0.3">
      <c r="A2158" t="s">
        <v>206</v>
      </c>
      <c r="B2158" s="8">
        <v>28.975000000000001</v>
      </c>
      <c r="C2158">
        <v>4.34</v>
      </c>
      <c r="D2158" t="s">
        <v>2381</v>
      </c>
      <c r="E2158" t="s">
        <v>2379</v>
      </c>
      <c r="F2158" t="s">
        <v>2379</v>
      </c>
      <c r="G2158">
        <v>0</v>
      </c>
      <c r="H2158" t="s">
        <v>2379</v>
      </c>
      <c r="I2158" t="str" cm="1">
        <f t="array" ref="I2158">_xlfn.IFS(B2158&lt;18.5,"Underweight",AND(B2158&gt;=18.5,B2158&lt;=24.99),"Normalweight",AND(B2158&gt;=25,B2158&lt;=29.99),"Overweight",B2158&gt;=30,"Obesity")</f>
        <v>Overweight</v>
      </c>
      <c r="J2158" t="str" cm="1">
        <f t="array" ref="J2158">_xlfn.IFS(C2158&lt;5.7,"Normal",AND(C2158&gt;=5.7,C2158&lt;=6.49),"Prediabetes",C2158&gt;=6.5,"Diabetes")</f>
        <v>Normal</v>
      </c>
    </row>
    <row r="2159" spans="1:10" x14ac:dyDescent="0.3">
      <c r="A2159" t="s">
        <v>205</v>
      </c>
      <c r="B2159" s="8">
        <v>33.299999999999997</v>
      </c>
      <c r="C2159">
        <v>9.49</v>
      </c>
      <c r="D2159" t="s">
        <v>2379</v>
      </c>
      <c r="E2159" t="s">
        <v>2379</v>
      </c>
      <c r="F2159" t="s">
        <v>2379</v>
      </c>
      <c r="G2159">
        <v>0</v>
      </c>
      <c r="H2159" t="s">
        <v>2379</v>
      </c>
      <c r="I2159" t="str" cm="1">
        <f t="array" ref="I2159">_xlfn.IFS(B2159&lt;18.5,"Underweight",AND(B2159&gt;=18.5,B2159&lt;=24.99),"Normalweight",AND(B2159&gt;=25,B2159&lt;=29.99),"Overweight",B2159&gt;=30,"Obesity")</f>
        <v>Obesity</v>
      </c>
      <c r="J2159" t="str" cm="1">
        <f t="array" ref="J2159">_xlfn.IFS(C2159&lt;5.7,"Normal",AND(C2159&gt;=5.7,C2159&lt;=6.49),"Prediabetes",C2159&gt;=6.5,"Diabetes")</f>
        <v>Diabetes</v>
      </c>
    </row>
    <row r="2160" spans="1:10" x14ac:dyDescent="0.3">
      <c r="A2160" t="s">
        <v>204</v>
      </c>
      <c r="B2160" s="8">
        <v>33</v>
      </c>
      <c r="C2160">
        <v>10.16</v>
      </c>
      <c r="D2160" t="s">
        <v>2379</v>
      </c>
      <c r="E2160" t="s">
        <v>2379</v>
      </c>
      <c r="F2160" t="s">
        <v>2379</v>
      </c>
      <c r="G2160">
        <v>0</v>
      </c>
      <c r="H2160" t="s">
        <v>2379</v>
      </c>
      <c r="I2160" t="str" cm="1">
        <f t="array" ref="I2160">_xlfn.IFS(B2160&lt;18.5,"Underweight",AND(B2160&gt;=18.5,B2160&lt;=24.99),"Normalweight",AND(B2160&gt;=25,B2160&lt;=29.99),"Overweight",B2160&gt;=30,"Obesity")</f>
        <v>Obesity</v>
      </c>
      <c r="J2160" t="str" cm="1">
        <f t="array" ref="J2160">_xlfn.IFS(C2160&lt;5.7,"Normal",AND(C2160&gt;=5.7,C2160&lt;=6.49),"Prediabetes",C2160&gt;=6.5,"Diabetes")</f>
        <v>Diabetes</v>
      </c>
    </row>
    <row r="2161" spans="1:10" x14ac:dyDescent="0.3">
      <c r="A2161" t="s">
        <v>203</v>
      </c>
      <c r="B2161" s="8">
        <v>31.46</v>
      </c>
      <c r="C2161">
        <v>11.19</v>
      </c>
      <c r="D2161" t="s">
        <v>2379</v>
      </c>
      <c r="E2161" t="s">
        <v>2379</v>
      </c>
      <c r="F2161" t="s">
        <v>2379</v>
      </c>
      <c r="G2161">
        <v>0</v>
      </c>
      <c r="H2161" t="s">
        <v>2379</v>
      </c>
      <c r="I2161" t="str" cm="1">
        <f t="array" ref="I2161">_xlfn.IFS(B2161&lt;18.5,"Underweight",AND(B2161&gt;=18.5,B2161&lt;=24.99),"Normalweight",AND(B2161&gt;=25,B2161&lt;=29.99),"Overweight",B2161&gt;=30,"Obesity")</f>
        <v>Obesity</v>
      </c>
      <c r="J2161" t="str" cm="1">
        <f t="array" ref="J2161">_xlfn.IFS(C2161&lt;5.7,"Normal",AND(C2161&gt;=5.7,C2161&lt;=6.49),"Prediabetes",C2161&gt;=6.5,"Diabetes")</f>
        <v>Diabetes</v>
      </c>
    </row>
    <row r="2162" spans="1:10" x14ac:dyDescent="0.3">
      <c r="A2162" t="s">
        <v>202</v>
      </c>
      <c r="B2162" s="8">
        <v>29.6</v>
      </c>
      <c r="C2162">
        <v>11.03</v>
      </c>
      <c r="D2162" t="s">
        <v>2379</v>
      </c>
      <c r="E2162" t="s">
        <v>2379</v>
      </c>
      <c r="F2162" t="s">
        <v>2379</v>
      </c>
      <c r="G2162">
        <v>0</v>
      </c>
      <c r="H2162" t="s">
        <v>2379</v>
      </c>
      <c r="I2162" t="str" cm="1">
        <f t="array" ref="I2162">_xlfn.IFS(B2162&lt;18.5,"Underweight",AND(B2162&gt;=18.5,B2162&lt;=24.99),"Normalweight",AND(B2162&gt;=25,B2162&lt;=29.99),"Overweight",B2162&gt;=30,"Obesity")</f>
        <v>Overweight</v>
      </c>
      <c r="J2162" t="str" cm="1">
        <f t="array" ref="J2162">_xlfn.IFS(C2162&lt;5.7,"Normal",AND(C2162&gt;=5.7,C2162&lt;=6.49),"Prediabetes",C2162&gt;=6.5,"Diabetes")</f>
        <v>Diabetes</v>
      </c>
    </row>
    <row r="2163" spans="1:10" x14ac:dyDescent="0.3">
      <c r="A2163" t="s">
        <v>201</v>
      </c>
      <c r="B2163" s="8">
        <v>22.05</v>
      </c>
      <c r="C2163">
        <v>4.43</v>
      </c>
      <c r="D2163" t="s">
        <v>2381</v>
      </c>
      <c r="E2163" t="s">
        <v>2379</v>
      </c>
      <c r="F2163" t="s">
        <v>2379</v>
      </c>
      <c r="G2163">
        <v>0</v>
      </c>
      <c r="H2163" t="s">
        <v>2379</v>
      </c>
      <c r="I2163" t="str" cm="1">
        <f t="array" ref="I2163">_xlfn.IFS(B2163&lt;18.5,"Underweight",AND(B2163&gt;=18.5,B2163&lt;=24.99),"Normalweight",AND(B2163&gt;=25,B2163&lt;=29.99),"Overweight",B2163&gt;=30,"Obesity")</f>
        <v>Normalweight</v>
      </c>
      <c r="J2163" t="str" cm="1">
        <f t="array" ref="J2163">_xlfn.IFS(C2163&lt;5.7,"Normal",AND(C2163&gt;=5.7,C2163&lt;=6.49),"Prediabetes",C2163&gt;=6.5,"Diabetes")</f>
        <v>Normal</v>
      </c>
    </row>
    <row r="2164" spans="1:10" x14ac:dyDescent="0.3">
      <c r="A2164" t="s">
        <v>199</v>
      </c>
      <c r="B2164" s="8">
        <v>27.06</v>
      </c>
      <c r="C2164">
        <v>6.14</v>
      </c>
      <c r="D2164" t="s">
        <v>2379</v>
      </c>
      <c r="E2164" t="s">
        <v>2380</v>
      </c>
      <c r="F2164" t="s">
        <v>2379</v>
      </c>
      <c r="G2164">
        <v>1</v>
      </c>
      <c r="H2164" t="s">
        <v>2379</v>
      </c>
      <c r="I2164" t="str" cm="1">
        <f t="array" ref="I2164">_xlfn.IFS(B2164&lt;18.5,"Underweight",AND(B2164&gt;=18.5,B2164&lt;=24.99),"Normalweight",AND(B2164&gt;=25,B2164&lt;=29.99),"Overweight",B2164&gt;=30,"Obesity")</f>
        <v>Overweight</v>
      </c>
      <c r="J2164" t="str" cm="1">
        <f t="array" ref="J2164">_xlfn.IFS(C2164&lt;5.7,"Normal",AND(C2164&gt;=5.7,C2164&lt;=6.49),"Prediabetes",C2164&gt;=6.5,"Diabetes")</f>
        <v>Prediabetes</v>
      </c>
    </row>
    <row r="2165" spans="1:10" x14ac:dyDescent="0.3">
      <c r="A2165" t="s">
        <v>198</v>
      </c>
      <c r="B2165" s="8">
        <v>20.49</v>
      </c>
      <c r="C2165">
        <v>4.87</v>
      </c>
      <c r="D2165" t="s">
        <v>2379</v>
      </c>
      <c r="E2165" t="s">
        <v>2379</v>
      </c>
      <c r="F2165" t="s">
        <v>2379</v>
      </c>
      <c r="G2165">
        <v>0</v>
      </c>
      <c r="H2165" t="s">
        <v>2379</v>
      </c>
      <c r="I2165" t="str" cm="1">
        <f t="array" ref="I2165">_xlfn.IFS(B2165&lt;18.5,"Underweight",AND(B2165&gt;=18.5,B2165&lt;=24.99),"Normalweight",AND(B2165&gt;=25,B2165&lt;=29.99),"Overweight",B2165&gt;=30,"Obesity")</f>
        <v>Normalweight</v>
      </c>
      <c r="J2165" t="str" cm="1">
        <f t="array" ref="J2165">_xlfn.IFS(C2165&lt;5.7,"Normal",AND(C2165&gt;=5.7,C2165&lt;=6.49),"Prediabetes",C2165&gt;=6.5,"Diabetes")</f>
        <v>Normal</v>
      </c>
    </row>
    <row r="2166" spans="1:10" x14ac:dyDescent="0.3">
      <c r="A2166" t="s">
        <v>197</v>
      </c>
      <c r="B2166" s="8">
        <v>28.4</v>
      </c>
      <c r="C2166">
        <v>4.3</v>
      </c>
      <c r="D2166" t="s">
        <v>2379</v>
      </c>
      <c r="E2166" t="s">
        <v>2379</v>
      </c>
      <c r="F2166" t="s">
        <v>2381</v>
      </c>
      <c r="G2166">
        <v>1</v>
      </c>
      <c r="H2166" t="s">
        <v>2379</v>
      </c>
      <c r="I2166" t="str" cm="1">
        <f t="array" ref="I2166">_xlfn.IFS(B2166&lt;18.5,"Underweight",AND(B2166&gt;=18.5,B2166&lt;=24.99),"Normalweight",AND(B2166&gt;=25,B2166&lt;=29.99),"Overweight",B2166&gt;=30,"Obesity")</f>
        <v>Overweight</v>
      </c>
      <c r="J2166" t="str" cm="1">
        <f t="array" ref="J2166">_xlfn.IFS(C2166&lt;5.7,"Normal",AND(C2166&gt;=5.7,C2166&lt;=6.49),"Prediabetes",C2166&gt;=6.5,"Diabetes")</f>
        <v>Normal</v>
      </c>
    </row>
    <row r="2167" spans="1:10" x14ac:dyDescent="0.3">
      <c r="A2167" t="s">
        <v>196</v>
      </c>
      <c r="B2167" s="8">
        <v>41.91</v>
      </c>
      <c r="C2167">
        <v>6.19</v>
      </c>
      <c r="D2167" t="s">
        <v>2379</v>
      </c>
      <c r="E2167" t="s">
        <v>2379</v>
      </c>
      <c r="F2167" t="s">
        <v>2379</v>
      </c>
      <c r="G2167">
        <v>0</v>
      </c>
      <c r="H2167" t="s">
        <v>2379</v>
      </c>
      <c r="I2167" t="str" cm="1">
        <f t="array" ref="I2167">_xlfn.IFS(B2167&lt;18.5,"Underweight",AND(B2167&gt;=18.5,B2167&lt;=24.99),"Normalweight",AND(B2167&gt;=25,B2167&lt;=29.99),"Overweight",B2167&gt;=30,"Obesity")</f>
        <v>Obesity</v>
      </c>
      <c r="J2167" t="str" cm="1">
        <f t="array" ref="J2167">_xlfn.IFS(C2167&lt;5.7,"Normal",AND(C2167&gt;=5.7,C2167&lt;=6.49),"Prediabetes",C2167&gt;=6.5,"Diabetes")</f>
        <v>Prediabetes</v>
      </c>
    </row>
    <row r="2168" spans="1:10" x14ac:dyDescent="0.3">
      <c r="A2168" t="s">
        <v>195</v>
      </c>
      <c r="B2168" s="8">
        <v>24.6</v>
      </c>
      <c r="C2168">
        <v>6.19</v>
      </c>
      <c r="D2168" t="s">
        <v>2379</v>
      </c>
      <c r="E2168" t="s">
        <v>2379</v>
      </c>
      <c r="F2168" t="s">
        <v>2381</v>
      </c>
      <c r="G2168">
        <v>1</v>
      </c>
      <c r="H2168" t="s">
        <v>2379</v>
      </c>
      <c r="I2168" t="str" cm="1">
        <f t="array" ref="I2168">_xlfn.IFS(B2168&lt;18.5,"Underweight",AND(B2168&gt;=18.5,B2168&lt;=24.99),"Normalweight",AND(B2168&gt;=25,B2168&lt;=29.99),"Overweight",B2168&gt;=30,"Obesity")</f>
        <v>Normalweight</v>
      </c>
      <c r="J2168" t="str" cm="1">
        <f t="array" ref="J2168">_xlfn.IFS(C2168&lt;5.7,"Normal",AND(C2168&gt;=5.7,C2168&lt;=6.49),"Prediabetes",C2168&gt;=6.5,"Diabetes")</f>
        <v>Prediabetes</v>
      </c>
    </row>
    <row r="2169" spans="1:10" x14ac:dyDescent="0.3">
      <c r="A2169" t="s">
        <v>194</v>
      </c>
      <c r="B2169" s="8">
        <v>20.9</v>
      </c>
      <c r="C2169">
        <v>5.12</v>
      </c>
      <c r="D2169" t="s">
        <v>2379</v>
      </c>
      <c r="E2169" t="s">
        <v>2379</v>
      </c>
      <c r="F2169" t="s">
        <v>2381</v>
      </c>
      <c r="G2169">
        <v>1</v>
      </c>
      <c r="H2169" t="s">
        <v>2379</v>
      </c>
      <c r="I2169" t="str" cm="1">
        <f t="array" ref="I2169">_xlfn.IFS(B2169&lt;18.5,"Underweight",AND(B2169&gt;=18.5,B2169&lt;=24.99),"Normalweight",AND(B2169&gt;=25,B2169&lt;=29.99),"Overweight",B2169&gt;=30,"Obesity")</f>
        <v>Normalweight</v>
      </c>
      <c r="J2169" t="str" cm="1">
        <f t="array" ref="J2169">_xlfn.IFS(C2169&lt;5.7,"Normal",AND(C2169&gt;=5.7,C2169&lt;=6.49),"Prediabetes",C2169&gt;=6.5,"Diabetes")</f>
        <v>Normal</v>
      </c>
    </row>
    <row r="2170" spans="1:10" x14ac:dyDescent="0.3">
      <c r="A2170" t="s">
        <v>193</v>
      </c>
      <c r="B2170" s="8">
        <v>34.4</v>
      </c>
      <c r="C2170">
        <v>4.04</v>
      </c>
      <c r="D2170" t="s">
        <v>2379</v>
      </c>
      <c r="E2170" t="s">
        <v>2379</v>
      </c>
      <c r="F2170" t="s">
        <v>2379</v>
      </c>
      <c r="G2170">
        <v>0</v>
      </c>
      <c r="H2170" t="s">
        <v>2379</v>
      </c>
      <c r="I2170" t="str" cm="1">
        <f t="array" ref="I2170">_xlfn.IFS(B2170&lt;18.5,"Underweight",AND(B2170&gt;=18.5,B2170&lt;=24.99),"Normalweight",AND(B2170&gt;=25,B2170&lt;=29.99),"Overweight",B2170&gt;=30,"Obesity")</f>
        <v>Obesity</v>
      </c>
      <c r="J2170" t="str" cm="1">
        <f t="array" ref="J2170">_xlfn.IFS(C2170&lt;5.7,"Normal",AND(C2170&gt;=5.7,C2170&lt;=6.49),"Prediabetes",C2170&gt;=6.5,"Diabetes")</f>
        <v>Normal</v>
      </c>
    </row>
    <row r="2171" spans="1:10" x14ac:dyDescent="0.3">
      <c r="A2171" t="s">
        <v>192</v>
      </c>
      <c r="B2171" s="8">
        <v>32.56</v>
      </c>
      <c r="C2171">
        <v>5.36</v>
      </c>
      <c r="D2171" t="s">
        <v>2379</v>
      </c>
      <c r="E2171" t="s">
        <v>2379</v>
      </c>
      <c r="F2171" t="s">
        <v>2379</v>
      </c>
      <c r="G2171">
        <v>0</v>
      </c>
      <c r="H2171" t="s">
        <v>2379</v>
      </c>
      <c r="I2171" t="str" cm="1">
        <f t="array" ref="I2171">_xlfn.IFS(B2171&lt;18.5,"Underweight",AND(B2171&gt;=18.5,B2171&lt;=24.99),"Normalweight",AND(B2171&gt;=25,B2171&lt;=29.99),"Overweight",B2171&gt;=30,"Obesity")</f>
        <v>Obesity</v>
      </c>
      <c r="J2171" t="str" cm="1">
        <f t="array" ref="J2171">_xlfn.IFS(C2171&lt;5.7,"Normal",AND(C2171&gt;=5.7,C2171&lt;=6.49),"Prediabetes",C2171&gt;=6.5,"Diabetes")</f>
        <v>Normal</v>
      </c>
    </row>
    <row r="2172" spans="1:10" x14ac:dyDescent="0.3">
      <c r="A2172" t="s">
        <v>191</v>
      </c>
      <c r="B2172" s="8">
        <v>27.98</v>
      </c>
      <c r="C2172">
        <v>4.38</v>
      </c>
      <c r="D2172" t="s">
        <v>2379</v>
      </c>
      <c r="E2172" t="s">
        <v>2380</v>
      </c>
      <c r="F2172" t="s">
        <v>2379</v>
      </c>
      <c r="G2172">
        <v>1</v>
      </c>
      <c r="H2172" t="s">
        <v>2379</v>
      </c>
      <c r="I2172" t="str" cm="1">
        <f t="array" ref="I2172">_xlfn.IFS(B2172&lt;18.5,"Underweight",AND(B2172&gt;=18.5,B2172&lt;=24.99),"Normalweight",AND(B2172&gt;=25,B2172&lt;=29.99),"Overweight",B2172&gt;=30,"Obesity")</f>
        <v>Overweight</v>
      </c>
      <c r="J2172" t="str" cm="1">
        <f t="array" ref="J2172">_xlfn.IFS(C2172&lt;5.7,"Normal",AND(C2172&gt;=5.7,C2172&lt;=6.49),"Prediabetes",C2172&gt;=6.5,"Diabetes")</f>
        <v>Normal</v>
      </c>
    </row>
    <row r="2173" spans="1:10" x14ac:dyDescent="0.3">
      <c r="A2173" t="s">
        <v>190</v>
      </c>
      <c r="B2173" s="8">
        <v>26.51</v>
      </c>
      <c r="C2173">
        <v>4.58</v>
      </c>
      <c r="D2173" t="s">
        <v>2379</v>
      </c>
      <c r="E2173" t="s">
        <v>2379</v>
      </c>
      <c r="F2173" t="s">
        <v>2379</v>
      </c>
      <c r="G2173">
        <v>0</v>
      </c>
      <c r="H2173" t="s">
        <v>2379</v>
      </c>
      <c r="I2173" t="str" cm="1">
        <f t="array" ref="I2173">_xlfn.IFS(B2173&lt;18.5,"Underweight",AND(B2173&gt;=18.5,B2173&lt;=24.99),"Normalweight",AND(B2173&gt;=25,B2173&lt;=29.99),"Overweight",B2173&gt;=30,"Obesity")</f>
        <v>Overweight</v>
      </c>
      <c r="J2173" t="str" cm="1">
        <f t="array" ref="J2173">_xlfn.IFS(C2173&lt;5.7,"Normal",AND(C2173&gt;=5.7,C2173&lt;=6.49),"Prediabetes",C2173&gt;=6.5,"Diabetes")</f>
        <v>Normal</v>
      </c>
    </row>
    <row r="2174" spans="1:10" x14ac:dyDescent="0.3">
      <c r="A2174" t="s">
        <v>189</v>
      </c>
      <c r="B2174" s="8">
        <v>29.734999999999999</v>
      </c>
      <c r="C2174">
        <v>11.92</v>
      </c>
      <c r="D2174" t="s">
        <v>2379</v>
      </c>
      <c r="E2174" t="s">
        <v>2379</v>
      </c>
      <c r="F2174" t="s">
        <v>2379</v>
      </c>
      <c r="G2174">
        <v>0</v>
      </c>
      <c r="H2174" t="s">
        <v>2379</v>
      </c>
      <c r="I2174" t="str" cm="1">
        <f t="array" ref="I2174">_xlfn.IFS(B2174&lt;18.5,"Underweight",AND(B2174&gt;=18.5,B2174&lt;=24.99),"Normalweight",AND(B2174&gt;=25,B2174&lt;=29.99),"Overweight",B2174&gt;=30,"Obesity")</f>
        <v>Overweight</v>
      </c>
      <c r="J2174" t="str" cm="1">
        <f t="array" ref="J2174">_xlfn.IFS(C2174&lt;5.7,"Normal",AND(C2174&gt;=5.7,C2174&lt;=6.49),"Prediabetes",C2174&gt;=6.5,"Diabetes")</f>
        <v>Diabetes</v>
      </c>
    </row>
    <row r="2175" spans="1:10" x14ac:dyDescent="0.3">
      <c r="A2175" t="s">
        <v>188</v>
      </c>
      <c r="B2175" s="8">
        <v>40.5</v>
      </c>
      <c r="C2175">
        <v>5.4</v>
      </c>
      <c r="D2175" t="s">
        <v>2379</v>
      </c>
      <c r="E2175" t="s">
        <v>2379</v>
      </c>
      <c r="F2175" t="s">
        <v>2381</v>
      </c>
      <c r="G2175">
        <v>1</v>
      </c>
      <c r="H2175" t="s">
        <v>2379</v>
      </c>
      <c r="I2175" t="str" cm="1">
        <f t="array" ref="I2175">_xlfn.IFS(B2175&lt;18.5,"Underweight",AND(B2175&gt;=18.5,B2175&lt;=24.99),"Normalweight",AND(B2175&gt;=25,B2175&lt;=29.99),"Overweight",B2175&gt;=30,"Obesity")</f>
        <v>Obesity</v>
      </c>
      <c r="J2175" t="str" cm="1">
        <f t="array" ref="J2175">_xlfn.IFS(C2175&lt;5.7,"Normal",AND(C2175&gt;=5.7,C2175&lt;=6.49),"Prediabetes",C2175&gt;=6.5,"Diabetes")</f>
        <v>Normal</v>
      </c>
    </row>
    <row r="2176" spans="1:10" x14ac:dyDescent="0.3">
      <c r="A2176" t="s">
        <v>187</v>
      </c>
      <c r="B2176" s="8">
        <v>25.64</v>
      </c>
      <c r="C2176">
        <v>4.76</v>
      </c>
      <c r="D2176" t="s">
        <v>2379</v>
      </c>
      <c r="E2176" t="s">
        <v>2379</v>
      </c>
      <c r="F2176" t="s">
        <v>2379</v>
      </c>
      <c r="G2176">
        <v>1</v>
      </c>
      <c r="H2176" t="s">
        <v>2379</v>
      </c>
      <c r="I2176" t="str" cm="1">
        <f t="array" ref="I2176">_xlfn.IFS(B2176&lt;18.5,"Underweight",AND(B2176&gt;=18.5,B2176&lt;=24.99),"Normalweight",AND(B2176&gt;=25,B2176&lt;=29.99),"Overweight",B2176&gt;=30,"Obesity")</f>
        <v>Overweight</v>
      </c>
      <c r="J2176" t="str" cm="1">
        <f t="array" ref="J2176">_xlfn.IFS(C2176&lt;5.7,"Normal",AND(C2176&gt;=5.7,C2176&lt;=6.49),"Prediabetes",C2176&gt;=6.5,"Diabetes")</f>
        <v>Normal</v>
      </c>
    </row>
    <row r="2177" spans="1:10" x14ac:dyDescent="0.3">
      <c r="A2177" t="s">
        <v>186</v>
      </c>
      <c r="B2177" s="8">
        <v>32.9</v>
      </c>
      <c r="C2177">
        <v>4.78</v>
      </c>
      <c r="D2177" t="s">
        <v>2379</v>
      </c>
      <c r="E2177" t="s">
        <v>2379</v>
      </c>
      <c r="F2177" t="s">
        <v>2381</v>
      </c>
      <c r="G2177">
        <v>1</v>
      </c>
      <c r="H2177" t="s">
        <v>2379</v>
      </c>
      <c r="I2177" t="str" cm="1">
        <f t="array" ref="I2177">_xlfn.IFS(B2177&lt;18.5,"Underweight",AND(B2177&gt;=18.5,B2177&lt;=24.99),"Normalweight",AND(B2177&gt;=25,B2177&lt;=29.99),"Overweight",B2177&gt;=30,"Obesity")</f>
        <v>Obesity</v>
      </c>
      <c r="J2177" t="str" cm="1">
        <f t="array" ref="J2177">_xlfn.IFS(C2177&lt;5.7,"Normal",AND(C2177&gt;=5.7,C2177&lt;=6.49),"Prediabetes",C2177&gt;=6.5,"Diabetes")</f>
        <v>Normal</v>
      </c>
    </row>
    <row r="2178" spans="1:10" x14ac:dyDescent="0.3">
      <c r="A2178" t="s">
        <v>185</v>
      </c>
      <c r="B2178" s="8">
        <v>29.8</v>
      </c>
      <c r="C2178">
        <v>4.26</v>
      </c>
      <c r="D2178" t="s">
        <v>2379</v>
      </c>
      <c r="E2178" t="s">
        <v>2379</v>
      </c>
      <c r="F2178" t="s">
        <v>2381</v>
      </c>
      <c r="G2178">
        <v>1</v>
      </c>
      <c r="H2178" t="s">
        <v>2379</v>
      </c>
      <c r="I2178" t="str" cm="1">
        <f t="array" ref="I2178">_xlfn.IFS(B2178&lt;18.5,"Underweight",AND(B2178&gt;=18.5,B2178&lt;=24.99),"Normalweight",AND(B2178&gt;=25,B2178&lt;=29.99),"Overweight",B2178&gt;=30,"Obesity")</f>
        <v>Overweight</v>
      </c>
      <c r="J2178" t="str" cm="1">
        <f t="array" ref="J2178">_xlfn.IFS(C2178&lt;5.7,"Normal",AND(C2178&gt;=5.7,C2178&lt;=6.49),"Prediabetes",C2178&gt;=6.5,"Diabetes")</f>
        <v>Normal</v>
      </c>
    </row>
    <row r="2179" spans="1:10" x14ac:dyDescent="0.3">
      <c r="A2179" t="s">
        <v>184</v>
      </c>
      <c r="B2179" s="8">
        <v>28.9</v>
      </c>
      <c r="C2179">
        <v>5.85</v>
      </c>
      <c r="D2179" t="s">
        <v>2379</v>
      </c>
      <c r="E2179" t="s">
        <v>2379</v>
      </c>
      <c r="F2179" t="s">
        <v>2381</v>
      </c>
      <c r="G2179">
        <v>1</v>
      </c>
      <c r="H2179" t="s">
        <v>2379</v>
      </c>
      <c r="I2179" t="str" cm="1">
        <f t="array" ref="I2179">_xlfn.IFS(B2179&lt;18.5,"Underweight",AND(B2179&gt;=18.5,B2179&lt;=24.99),"Normalweight",AND(B2179&gt;=25,B2179&lt;=29.99),"Overweight",B2179&gt;=30,"Obesity")</f>
        <v>Overweight</v>
      </c>
      <c r="J2179" t="str" cm="1">
        <f t="array" ref="J2179">_xlfn.IFS(C2179&lt;5.7,"Normal",AND(C2179&gt;=5.7,C2179&lt;=6.49),"Prediabetes",C2179&gt;=6.5,"Diabetes")</f>
        <v>Prediabetes</v>
      </c>
    </row>
    <row r="2180" spans="1:10" x14ac:dyDescent="0.3">
      <c r="A2180" t="s">
        <v>183</v>
      </c>
      <c r="B2180" s="8">
        <v>24.7</v>
      </c>
      <c r="C2180">
        <v>5.32</v>
      </c>
      <c r="D2180" t="s">
        <v>2379</v>
      </c>
      <c r="E2180" t="s">
        <v>2379</v>
      </c>
      <c r="F2180" t="s">
        <v>2381</v>
      </c>
      <c r="G2180">
        <v>1</v>
      </c>
      <c r="H2180" t="s">
        <v>2379</v>
      </c>
      <c r="I2180" t="str" cm="1">
        <f t="array" ref="I2180">_xlfn.IFS(B2180&lt;18.5,"Underweight",AND(B2180&gt;=18.5,B2180&lt;=24.99),"Normalweight",AND(B2180&gt;=25,B2180&lt;=29.99),"Overweight",B2180&gt;=30,"Obesity")</f>
        <v>Normalweight</v>
      </c>
      <c r="J2180" t="str" cm="1">
        <f t="array" ref="J2180">_xlfn.IFS(C2180&lt;5.7,"Normal",AND(C2180&gt;=5.7,C2180&lt;=6.49),"Prediabetes",C2180&gt;=6.5,"Diabetes")</f>
        <v>Normal</v>
      </c>
    </row>
    <row r="2181" spans="1:10" x14ac:dyDescent="0.3">
      <c r="A2181" t="s">
        <v>182</v>
      </c>
      <c r="B2181" s="8">
        <v>20.6</v>
      </c>
      <c r="C2181">
        <v>5.14</v>
      </c>
      <c r="D2181" t="s">
        <v>2379</v>
      </c>
      <c r="E2181" t="s">
        <v>2379</v>
      </c>
      <c r="F2181" t="s">
        <v>2381</v>
      </c>
      <c r="G2181">
        <v>1</v>
      </c>
      <c r="H2181" t="s">
        <v>2379</v>
      </c>
      <c r="I2181" t="str" cm="1">
        <f t="array" ref="I2181">_xlfn.IFS(B2181&lt;18.5,"Underweight",AND(B2181&gt;=18.5,B2181&lt;=24.99),"Normalweight",AND(B2181&gt;=25,B2181&lt;=29.99),"Overweight",B2181&gt;=30,"Obesity")</f>
        <v>Normalweight</v>
      </c>
      <c r="J2181" t="str" cm="1">
        <f t="array" ref="J2181">_xlfn.IFS(C2181&lt;5.7,"Normal",AND(C2181&gt;=5.7,C2181&lt;=6.49),"Prediabetes",C2181&gt;=6.5,"Diabetes")</f>
        <v>Normal</v>
      </c>
    </row>
    <row r="2182" spans="1:10" x14ac:dyDescent="0.3">
      <c r="A2182" t="s">
        <v>181</v>
      </c>
      <c r="B2182" s="8">
        <v>18.600000000000001</v>
      </c>
      <c r="C2182">
        <v>5</v>
      </c>
      <c r="D2182" t="s">
        <v>2379</v>
      </c>
      <c r="E2182" t="s">
        <v>2379</v>
      </c>
      <c r="F2182" t="s">
        <v>2381</v>
      </c>
      <c r="G2182">
        <v>1</v>
      </c>
      <c r="H2182" t="s">
        <v>2379</v>
      </c>
      <c r="I2182" t="str" cm="1">
        <f t="array" ref="I2182">_xlfn.IFS(B2182&lt;18.5,"Underweight",AND(B2182&gt;=18.5,B2182&lt;=24.99),"Normalweight",AND(B2182&gt;=25,B2182&lt;=29.99),"Overweight",B2182&gt;=30,"Obesity")</f>
        <v>Normalweight</v>
      </c>
      <c r="J2182" t="str" cm="1">
        <f t="array" ref="J2182">_xlfn.IFS(C2182&lt;5.7,"Normal",AND(C2182&gt;=5.7,C2182&lt;=6.49),"Prediabetes",C2182&gt;=6.5,"Diabetes")</f>
        <v>Normal</v>
      </c>
    </row>
    <row r="2183" spans="1:10" x14ac:dyDescent="0.3">
      <c r="A2183" t="s">
        <v>180</v>
      </c>
      <c r="B2183" s="8">
        <v>17.8</v>
      </c>
      <c r="C2183">
        <v>4.55</v>
      </c>
      <c r="D2183" t="s">
        <v>2379</v>
      </c>
      <c r="E2183" t="s">
        <v>2379</v>
      </c>
      <c r="F2183" t="s">
        <v>2381</v>
      </c>
      <c r="G2183">
        <v>1</v>
      </c>
      <c r="H2183" t="s">
        <v>2379</v>
      </c>
      <c r="I2183" t="str" cm="1">
        <f t="array" ref="I2183">_xlfn.IFS(B2183&lt;18.5,"Underweight",AND(B2183&gt;=18.5,B2183&lt;=24.99),"Normalweight",AND(B2183&gt;=25,B2183&lt;=29.99),"Overweight",B2183&gt;=30,"Obesity")</f>
        <v>Underweight</v>
      </c>
      <c r="J2183" t="str" cm="1">
        <f t="array" ref="J2183">_xlfn.IFS(C2183&lt;5.7,"Normal",AND(C2183&gt;=5.7,C2183&lt;=6.49),"Prediabetes",C2183&gt;=6.5,"Diabetes")</f>
        <v>Normal</v>
      </c>
    </row>
    <row r="2184" spans="1:10" x14ac:dyDescent="0.3">
      <c r="A2184" t="s">
        <v>179</v>
      </c>
      <c r="B2184" s="8">
        <v>35.200000000000003</v>
      </c>
      <c r="C2184">
        <v>5.97</v>
      </c>
      <c r="D2184" t="s">
        <v>2379</v>
      </c>
      <c r="E2184" t="s">
        <v>2380</v>
      </c>
      <c r="F2184" t="s">
        <v>2379</v>
      </c>
      <c r="G2184">
        <v>1</v>
      </c>
      <c r="H2184" t="s">
        <v>2379</v>
      </c>
      <c r="I2184" t="str" cm="1">
        <f t="array" ref="I2184">_xlfn.IFS(B2184&lt;18.5,"Underweight",AND(B2184&gt;=18.5,B2184&lt;=24.99),"Normalweight",AND(B2184&gt;=25,B2184&lt;=29.99),"Overweight",B2184&gt;=30,"Obesity")</f>
        <v>Obesity</v>
      </c>
      <c r="J2184" t="str" cm="1">
        <f t="array" ref="J2184">_xlfn.IFS(C2184&lt;5.7,"Normal",AND(C2184&gt;=5.7,C2184&lt;=6.49),"Prediabetes",C2184&gt;=6.5,"Diabetes")</f>
        <v>Prediabetes</v>
      </c>
    </row>
    <row r="2185" spans="1:10" x14ac:dyDescent="0.3">
      <c r="A2185" t="s">
        <v>178</v>
      </c>
      <c r="B2185" s="8">
        <v>33.770000000000003</v>
      </c>
      <c r="C2185">
        <v>4.0199999999999996</v>
      </c>
      <c r="D2185" t="s">
        <v>2379</v>
      </c>
      <c r="E2185" t="s">
        <v>2380</v>
      </c>
      <c r="F2185" t="s">
        <v>2379</v>
      </c>
      <c r="G2185">
        <v>1</v>
      </c>
      <c r="H2185" t="s">
        <v>2379</v>
      </c>
      <c r="I2185" t="str" cm="1">
        <f t="array" ref="I2185">_xlfn.IFS(B2185&lt;18.5,"Underweight",AND(B2185&gt;=18.5,B2185&lt;=24.99),"Normalweight",AND(B2185&gt;=25,B2185&lt;=29.99),"Overweight",B2185&gt;=30,"Obesity")</f>
        <v>Obesity</v>
      </c>
      <c r="J2185" t="str" cm="1">
        <f t="array" ref="J2185">_xlfn.IFS(C2185&lt;5.7,"Normal",AND(C2185&gt;=5.7,C2185&lt;=6.49),"Prediabetes",C2185&gt;=6.5,"Diabetes")</f>
        <v>Normal</v>
      </c>
    </row>
    <row r="2186" spans="1:10" x14ac:dyDescent="0.3">
      <c r="A2186" t="s">
        <v>177</v>
      </c>
      <c r="B2186" s="8">
        <v>30.03</v>
      </c>
      <c r="C2186">
        <v>4.04</v>
      </c>
      <c r="D2186" t="s">
        <v>2379</v>
      </c>
      <c r="E2186" t="s">
        <v>2380</v>
      </c>
      <c r="F2186" t="s">
        <v>2379</v>
      </c>
      <c r="G2186">
        <v>1</v>
      </c>
      <c r="H2186" t="s">
        <v>2379</v>
      </c>
      <c r="I2186" t="str" cm="1">
        <f t="array" ref="I2186">_xlfn.IFS(B2186&lt;18.5,"Underweight",AND(B2186&gt;=18.5,B2186&lt;=24.99),"Normalweight",AND(B2186&gt;=25,B2186&lt;=29.99),"Overweight",B2186&gt;=30,"Obesity")</f>
        <v>Obesity</v>
      </c>
      <c r="J2186" t="str" cm="1">
        <f t="array" ref="J2186">_xlfn.IFS(C2186&lt;5.7,"Normal",AND(C2186&gt;=5.7,C2186&lt;=6.49),"Prediabetes",C2186&gt;=6.5,"Diabetes")</f>
        <v>Normal</v>
      </c>
    </row>
    <row r="2187" spans="1:10" x14ac:dyDescent="0.3">
      <c r="A2187" t="s">
        <v>176</v>
      </c>
      <c r="B2187" s="8">
        <v>29.37</v>
      </c>
      <c r="C2187">
        <v>5.54</v>
      </c>
      <c r="D2187" t="s">
        <v>2379</v>
      </c>
      <c r="E2187" t="s">
        <v>2380</v>
      </c>
      <c r="F2187" t="s">
        <v>2379</v>
      </c>
      <c r="G2187">
        <v>1</v>
      </c>
      <c r="H2187" t="s">
        <v>2379</v>
      </c>
      <c r="I2187" t="str" cm="1">
        <f t="array" ref="I2187">_xlfn.IFS(B2187&lt;18.5,"Underweight",AND(B2187&gt;=18.5,B2187&lt;=24.99),"Normalweight",AND(B2187&gt;=25,B2187&lt;=29.99),"Overweight",B2187&gt;=30,"Obesity")</f>
        <v>Overweight</v>
      </c>
      <c r="J2187" t="str" cm="1">
        <f t="array" ref="J2187">_xlfn.IFS(C2187&lt;5.7,"Normal",AND(C2187&gt;=5.7,C2187&lt;=6.49),"Prediabetes",C2187&gt;=6.5,"Diabetes")</f>
        <v>Normal</v>
      </c>
    </row>
    <row r="2188" spans="1:10" x14ac:dyDescent="0.3">
      <c r="A2188" t="s">
        <v>175</v>
      </c>
      <c r="B2188" s="8">
        <v>28.5</v>
      </c>
      <c r="C2188">
        <v>4.03</v>
      </c>
      <c r="D2188" t="s">
        <v>2379</v>
      </c>
      <c r="E2188" t="s">
        <v>2380</v>
      </c>
      <c r="F2188" t="s">
        <v>2379</v>
      </c>
      <c r="G2188">
        <v>1</v>
      </c>
      <c r="H2188" t="s">
        <v>2379</v>
      </c>
      <c r="I2188" t="str" cm="1">
        <f t="array" ref="I2188">_xlfn.IFS(B2188&lt;18.5,"Underweight",AND(B2188&gt;=18.5,B2188&lt;=24.99),"Normalweight",AND(B2188&gt;=25,B2188&lt;=29.99),"Overweight",B2188&gt;=30,"Obesity")</f>
        <v>Overweight</v>
      </c>
      <c r="J2188" t="str" cm="1">
        <f t="array" ref="J2188">_xlfn.IFS(C2188&lt;5.7,"Normal",AND(C2188&gt;=5.7,C2188&lt;=6.49),"Prediabetes",C2188&gt;=6.5,"Diabetes")</f>
        <v>Normal</v>
      </c>
    </row>
    <row r="2189" spans="1:10" x14ac:dyDescent="0.3">
      <c r="A2189" t="s">
        <v>174</v>
      </c>
      <c r="B2189" s="8">
        <v>23.32</v>
      </c>
      <c r="C2189">
        <v>5.62</v>
      </c>
      <c r="D2189" t="s">
        <v>2379</v>
      </c>
      <c r="E2189" t="s">
        <v>2380</v>
      </c>
      <c r="F2189" t="s">
        <v>2379</v>
      </c>
      <c r="G2189">
        <v>1</v>
      </c>
      <c r="H2189" t="s">
        <v>2379</v>
      </c>
      <c r="I2189" t="str" cm="1">
        <f t="array" ref="I2189">_xlfn.IFS(B2189&lt;18.5,"Underweight",AND(B2189&gt;=18.5,B2189&lt;=24.99),"Normalweight",AND(B2189&gt;=25,B2189&lt;=29.99),"Overweight",B2189&gt;=30,"Obesity")</f>
        <v>Normalweight</v>
      </c>
      <c r="J2189" t="str" cm="1">
        <f t="array" ref="J2189">_xlfn.IFS(C2189&lt;5.7,"Normal",AND(C2189&gt;=5.7,C2189&lt;=6.49),"Prediabetes",C2189&gt;=6.5,"Diabetes")</f>
        <v>Normal</v>
      </c>
    </row>
    <row r="2190" spans="1:10" x14ac:dyDescent="0.3">
      <c r="A2190" t="s">
        <v>173</v>
      </c>
      <c r="B2190" s="8">
        <v>26.125</v>
      </c>
      <c r="C2190">
        <v>5.27</v>
      </c>
      <c r="D2190" t="s">
        <v>2379</v>
      </c>
      <c r="E2190" t="s">
        <v>2380</v>
      </c>
      <c r="F2190" t="s">
        <v>2379</v>
      </c>
      <c r="G2190">
        <v>1</v>
      </c>
      <c r="H2190" t="s">
        <v>2379</v>
      </c>
      <c r="I2190" t="str" cm="1">
        <f t="array" ref="I2190">_xlfn.IFS(B2190&lt;18.5,"Underweight",AND(B2190&gt;=18.5,B2190&lt;=24.99),"Normalweight",AND(B2190&gt;=25,B2190&lt;=29.99),"Overweight",B2190&gt;=30,"Obesity")</f>
        <v>Overweight</v>
      </c>
      <c r="J2190" t="str" cm="1">
        <f t="array" ref="J2190">_xlfn.IFS(C2190&lt;5.7,"Normal",AND(C2190&gt;=5.7,C2190&lt;=6.49),"Prediabetes",C2190&gt;=6.5,"Diabetes")</f>
        <v>Normal</v>
      </c>
    </row>
    <row r="2191" spans="1:10" x14ac:dyDescent="0.3">
      <c r="A2191" t="s">
        <v>172</v>
      </c>
      <c r="B2191" s="8">
        <v>25.46</v>
      </c>
      <c r="C2191">
        <v>5.18</v>
      </c>
      <c r="D2191" t="s">
        <v>2379</v>
      </c>
      <c r="E2191" t="s">
        <v>2380</v>
      </c>
      <c r="F2191" t="s">
        <v>2379</v>
      </c>
      <c r="G2191">
        <v>1</v>
      </c>
      <c r="H2191" t="s">
        <v>2379</v>
      </c>
      <c r="I2191" t="str" cm="1">
        <f t="array" ref="I2191">_xlfn.IFS(B2191&lt;18.5,"Underweight",AND(B2191&gt;=18.5,B2191&lt;=24.99),"Normalweight",AND(B2191&gt;=25,B2191&lt;=29.99),"Overweight",B2191&gt;=30,"Obesity")</f>
        <v>Overweight</v>
      </c>
      <c r="J2191" t="str" cm="1">
        <f t="array" ref="J2191">_xlfn.IFS(C2191&lt;5.7,"Normal",AND(C2191&gt;=5.7,C2191&lt;=6.49),"Prediabetes",C2191&gt;=6.5,"Diabetes")</f>
        <v>Normal</v>
      </c>
    </row>
    <row r="2192" spans="1:10" x14ac:dyDescent="0.3">
      <c r="A2192" t="s">
        <v>171</v>
      </c>
      <c r="B2192" s="8">
        <v>23.75</v>
      </c>
      <c r="C2192">
        <v>5.27</v>
      </c>
      <c r="D2192" t="s">
        <v>2379</v>
      </c>
      <c r="E2192" t="s">
        <v>2380</v>
      </c>
      <c r="F2192" t="s">
        <v>2379</v>
      </c>
      <c r="G2192">
        <v>1</v>
      </c>
      <c r="H2192" t="s">
        <v>2379</v>
      </c>
      <c r="I2192" t="str" cm="1">
        <f t="array" ref="I2192">_xlfn.IFS(B2192&lt;18.5,"Underweight",AND(B2192&gt;=18.5,B2192&lt;=24.99),"Normalweight",AND(B2192&gt;=25,B2192&lt;=29.99),"Overweight",B2192&gt;=30,"Obesity")</f>
        <v>Normalweight</v>
      </c>
      <c r="J2192" t="str" cm="1">
        <f t="array" ref="J2192">_xlfn.IFS(C2192&lt;5.7,"Normal",AND(C2192&gt;=5.7,C2192&lt;=6.49),"Prediabetes",C2192&gt;=6.5,"Diabetes")</f>
        <v>Normal</v>
      </c>
    </row>
    <row r="2193" spans="1:10" x14ac:dyDescent="0.3">
      <c r="A2193" t="s">
        <v>169</v>
      </c>
      <c r="B2193" s="8">
        <v>23.085000000000001</v>
      </c>
      <c r="C2193">
        <v>5.62</v>
      </c>
      <c r="D2193" t="s">
        <v>2379</v>
      </c>
      <c r="E2193" t="s">
        <v>2380</v>
      </c>
      <c r="F2193" t="s">
        <v>2379</v>
      </c>
      <c r="G2193">
        <v>1</v>
      </c>
      <c r="H2193" t="s">
        <v>2379</v>
      </c>
      <c r="I2193" t="str" cm="1">
        <f t="array" ref="I2193">_xlfn.IFS(B2193&lt;18.5,"Underweight",AND(B2193&gt;=18.5,B2193&lt;=24.99),"Normalweight",AND(B2193&gt;=25,B2193&lt;=29.99),"Overweight",B2193&gt;=30,"Obesity")</f>
        <v>Normalweight</v>
      </c>
      <c r="J2193" t="str" cm="1">
        <f t="array" ref="J2193">_xlfn.IFS(C2193&lt;5.7,"Normal",AND(C2193&gt;=5.7,C2193&lt;=6.49),"Prediabetes",C2193&gt;=6.5,"Diabetes")</f>
        <v>Normal</v>
      </c>
    </row>
    <row r="2194" spans="1:10" x14ac:dyDescent="0.3">
      <c r="A2194" t="s">
        <v>167</v>
      </c>
      <c r="B2194" s="8">
        <v>22.99</v>
      </c>
      <c r="C2194">
        <v>5.0599999999999996</v>
      </c>
      <c r="D2194" t="s">
        <v>2379</v>
      </c>
      <c r="E2194" t="s">
        <v>2380</v>
      </c>
      <c r="F2194" t="s">
        <v>2379</v>
      </c>
      <c r="G2194">
        <v>1</v>
      </c>
      <c r="H2194" t="s">
        <v>2379</v>
      </c>
      <c r="I2194" t="str" cm="1">
        <f t="array" ref="I2194">_xlfn.IFS(B2194&lt;18.5,"Underweight",AND(B2194&gt;=18.5,B2194&lt;=24.99),"Normalweight",AND(B2194&gt;=25,B2194&lt;=29.99),"Overweight",B2194&gt;=30,"Obesity")</f>
        <v>Normalweight</v>
      </c>
      <c r="J2194" t="str" cm="1">
        <f t="array" ref="J2194">_xlfn.IFS(C2194&lt;5.7,"Normal",AND(C2194&gt;=5.7,C2194&lt;=6.49),"Prediabetes",C2194&gt;=6.5,"Diabetes")</f>
        <v>Normal</v>
      </c>
    </row>
    <row r="2195" spans="1:10" x14ac:dyDescent="0.3">
      <c r="A2195" t="s">
        <v>165</v>
      </c>
      <c r="B2195" s="8">
        <v>21.47</v>
      </c>
      <c r="C2195">
        <v>4.6900000000000004</v>
      </c>
      <c r="D2195" t="s">
        <v>2379</v>
      </c>
      <c r="E2195" t="s">
        <v>2380</v>
      </c>
      <c r="F2195" t="s">
        <v>2379</v>
      </c>
      <c r="G2195">
        <v>1</v>
      </c>
      <c r="H2195" t="s">
        <v>2379</v>
      </c>
      <c r="I2195" t="str" cm="1">
        <f t="array" ref="I2195">_xlfn.IFS(B2195&lt;18.5,"Underweight",AND(B2195&gt;=18.5,B2195&lt;=24.99),"Normalweight",AND(B2195&gt;=25,B2195&lt;=29.99),"Overweight",B2195&gt;=30,"Obesity")</f>
        <v>Normalweight</v>
      </c>
      <c r="J2195" t="str" cm="1">
        <f t="array" ref="J2195">_xlfn.IFS(C2195&lt;5.7,"Normal",AND(C2195&gt;=5.7,C2195&lt;=6.49),"Prediabetes",C2195&gt;=6.5,"Diabetes")</f>
        <v>Normal</v>
      </c>
    </row>
    <row r="2196" spans="1:10" x14ac:dyDescent="0.3">
      <c r="A2196" t="s">
        <v>163</v>
      </c>
      <c r="B2196" s="8">
        <v>15.96</v>
      </c>
      <c r="C2196">
        <v>5.44</v>
      </c>
      <c r="D2196" t="s">
        <v>2379</v>
      </c>
      <c r="E2196" t="s">
        <v>2380</v>
      </c>
      <c r="F2196" t="s">
        <v>2379</v>
      </c>
      <c r="G2196">
        <v>1</v>
      </c>
      <c r="H2196" t="s">
        <v>2379</v>
      </c>
      <c r="I2196" t="str" cm="1">
        <f t="array" ref="I2196">_xlfn.IFS(B2196&lt;18.5,"Underweight",AND(B2196&gt;=18.5,B2196&lt;=24.99),"Normalweight",AND(B2196&gt;=25,B2196&lt;=29.99),"Overweight",B2196&gt;=30,"Obesity")</f>
        <v>Underweight</v>
      </c>
      <c r="J2196" t="str" cm="1">
        <f t="array" ref="J2196">_xlfn.IFS(C2196&lt;5.7,"Normal",AND(C2196&gt;=5.7,C2196&lt;=6.49),"Prediabetes",C2196&gt;=6.5,"Diabetes")</f>
        <v>Normal</v>
      </c>
    </row>
    <row r="2197" spans="1:10" x14ac:dyDescent="0.3">
      <c r="A2197" t="s">
        <v>162</v>
      </c>
      <c r="B2197" s="8">
        <v>39.5</v>
      </c>
      <c r="C2197">
        <v>5.05</v>
      </c>
      <c r="D2197" t="s">
        <v>2379</v>
      </c>
      <c r="E2197" t="s">
        <v>2380</v>
      </c>
      <c r="F2197" t="s">
        <v>2379</v>
      </c>
      <c r="G2197">
        <v>1</v>
      </c>
      <c r="H2197" t="s">
        <v>2379</v>
      </c>
      <c r="I2197" t="str" cm="1">
        <f t="array" ref="I2197">_xlfn.IFS(B2197&lt;18.5,"Underweight",AND(B2197&gt;=18.5,B2197&lt;=24.99),"Normalweight",AND(B2197&gt;=25,B2197&lt;=29.99),"Overweight",B2197&gt;=30,"Obesity")</f>
        <v>Obesity</v>
      </c>
      <c r="J2197" t="str" cm="1">
        <f t="array" ref="J2197">_xlfn.IFS(C2197&lt;5.7,"Normal",AND(C2197&gt;=5.7,C2197&lt;=6.49),"Prediabetes",C2197&gt;=6.5,"Diabetes")</f>
        <v>Normal</v>
      </c>
    </row>
    <row r="2198" spans="1:10" x14ac:dyDescent="0.3">
      <c r="A2198" t="s">
        <v>161</v>
      </c>
      <c r="B2198" s="8">
        <v>33.770000000000003</v>
      </c>
      <c r="C2198">
        <v>6</v>
      </c>
      <c r="D2198" t="s">
        <v>2379</v>
      </c>
      <c r="E2198" t="s">
        <v>2380</v>
      </c>
      <c r="F2198" t="s">
        <v>2379</v>
      </c>
      <c r="G2198">
        <v>1</v>
      </c>
      <c r="H2198" t="s">
        <v>2379</v>
      </c>
      <c r="I2198" t="str" cm="1">
        <f t="array" ref="I2198">_xlfn.IFS(B2198&lt;18.5,"Underweight",AND(B2198&gt;=18.5,B2198&lt;=24.99),"Normalweight",AND(B2198&gt;=25,B2198&lt;=29.99),"Overweight",B2198&gt;=30,"Obesity")</f>
        <v>Obesity</v>
      </c>
      <c r="J2198" t="str" cm="1">
        <f t="array" ref="J2198">_xlfn.IFS(C2198&lt;5.7,"Normal",AND(C2198&gt;=5.7,C2198&lt;=6.49),"Prediabetes",C2198&gt;=6.5,"Diabetes")</f>
        <v>Prediabetes</v>
      </c>
    </row>
    <row r="2199" spans="1:10" x14ac:dyDescent="0.3">
      <c r="A2199" t="s">
        <v>160</v>
      </c>
      <c r="B2199" s="8">
        <v>26.84</v>
      </c>
      <c r="C2199">
        <v>5.99</v>
      </c>
      <c r="D2199" t="s">
        <v>2381</v>
      </c>
      <c r="E2199" t="s">
        <v>2380</v>
      </c>
      <c r="F2199" t="s">
        <v>2379</v>
      </c>
      <c r="G2199">
        <v>1</v>
      </c>
      <c r="H2199" t="s">
        <v>2379</v>
      </c>
      <c r="I2199" t="str" cm="1">
        <f t="array" ref="I2199">_xlfn.IFS(B2199&lt;18.5,"Underweight",AND(B2199&gt;=18.5,B2199&lt;=24.99),"Normalweight",AND(B2199&gt;=25,B2199&lt;=29.99),"Overweight",B2199&gt;=30,"Obesity")</f>
        <v>Overweight</v>
      </c>
      <c r="J2199" t="str" cm="1">
        <f t="array" ref="J2199">_xlfn.IFS(C2199&lt;5.7,"Normal",AND(C2199&gt;=5.7,C2199&lt;=6.49),"Prediabetes",C2199&gt;=6.5,"Diabetes")</f>
        <v>Prediabetes</v>
      </c>
    </row>
    <row r="2200" spans="1:10" x14ac:dyDescent="0.3">
      <c r="A2200" t="s">
        <v>159</v>
      </c>
      <c r="B2200" s="8">
        <v>35.53</v>
      </c>
      <c r="C2200">
        <v>4.3600000000000003</v>
      </c>
      <c r="D2200" t="s">
        <v>2379</v>
      </c>
      <c r="E2200" t="s">
        <v>2379</v>
      </c>
      <c r="F2200" t="s">
        <v>2381</v>
      </c>
      <c r="G2200">
        <v>1</v>
      </c>
      <c r="H2200" t="s">
        <v>2379</v>
      </c>
      <c r="I2200" t="str" cm="1">
        <f t="array" ref="I2200">_xlfn.IFS(B2200&lt;18.5,"Underweight",AND(B2200&gt;=18.5,B2200&lt;=24.99),"Normalweight",AND(B2200&gt;=25,B2200&lt;=29.99),"Overweight",B2200&gt;=30,"Obesity")</f>
        <v>Obesity</v>
      </c>
      <c r="J2200" t="str" cm="1">
        <f t="array" ref="J2200">_xlfn.IFS(C2200&lt;5.7,"Normal",AND(C2200&gt;=5.7,C2200&lt;=6.49),"Prediabetes",C2200&gt;=6.5,"Diabetes")</f>
        <v>Normal</v>
      </c>
    </row>
    <row r="2201" spans="1:10" x14ac:dyDescent="0.3">
      <c r="A2201" t="s">
        <v>158</v>
      </c>
      <c r="B2201" s="8">
        <v>30.59</v>
      </c>
      <c r="C2201">
        <v>4.41</v>
      </c>
      <c r="D2201" t="s">
        <v>2379</v>
      </c>
      <c r="E2201" t="s">
        <v>2379</v>
      </c>
      <c r="F2201" t="s">
        <v>2381</v>
      </c>
      <c r="G2201">
        <v>1</v>
      </c>
      <c r="H2201" t="s">
        <v>2379</v>
      </c>
      <c r="I2201" t="str" cm="1">
        <f t="array" ref="I2201">_xlfn.IFS(B2201&lt;18.5,"Underweight",AND(B2201&gt;=18.5,B2201&lt;=24.99),"Normalweight",AND(B2201&gt;=25,B2201&lt;=29.99),"Overweight",B2201&gt;=30,"Obesity")</f>
        <v>Obesity</v>
      </c>
      <c r="J2201" t="str" cm="1">
        <f t="array" ref="J2201">_xlfn.IFS(C2201&lt;5.7,"Normal",AND(C2201&gt;=5.7,C2201&lt;=6.49),"Prediabetes",C2201&gt;=6.5,"Diabetes")</f>
        <v>Normal</v>
      </c>
    </row>
    <row r="2202" spans="1:10" x14ac:dyDescent="0.3">
      <c r="A2202" t="s">
        <v>157</v>
      </c>
      <c r="B2202" s="8">
        <v>30.59</v>
      </c>
      <c r="C2202">
        <v>4.17</v>
      </c>
      <c r="D2202" t="s">
        <v>2379</v>
      </c>
      <c r="E2202" t="s">
        <v>2379</v>
      </c>
      <c r="F2202" t="s">
        <v>2381</v>
      </c>
      <c r="G2202">
        <v>1</v>
      </c>
      <c r="H2202" t="s">
        <v>2379</v>
      </c>
      <c r="I2202" t="str" cm="1">
        <f t="array" ref="I2202">_xlfn.IFS(B2202&lt;18.5,"Underweight",AND(B2202&gt;=18.5,B2202&lt;=24.99),"Normalweight",AND(B2202&gt;=25,B2202&lt;=29.99),"Overweight",B2202&gt;=30,"Obesity")</f>
        <v>Obesity</v>
      </c>
      <c r="J2202" t="str" cm="1">
        <f t="array" ref="J2202">_xlfn.IFS(C2202&lt;5.7,"Normal",AND(C2202&gt;=5.7,C2202&lt;=6.49),"Prediabetes",C2202&gt;=6.5,"Diabetes")</f>
        <v>Normal</v>
      </c>
    </row>
    <row r="2203" spans="1:10" x14ac:dyDescent="0.3">
      <c r="A2203" t="s">
        <v>156</v>
      </c>
      <c r="B2203" s="8">
        <v>27.835000000000001</v>
      </c>
      <c r="C2203">
        <v>4.4400000000000004</v>
      </c>
      <c r="D2203" t="s">
        <v>2379</v>
      </c>
      <c r="E2203" t="s">
        <v>2379</v>
      </c>
      <c r="F2203" t="s">
        <v>2381</v>
      </c>
      <c r="G2203">
        <v>1</v>
      </c>
      <c r="H2203" t="s">
        <v>2379</v>
      </c>
      <c r="I2203" t="str" cm="1">
        <f t="array" ref="I2203">_xlfn.IFS(B2203&lt;18.5,"Underweight",AND(B2203&gt;=18.5,B2203&lt;=24.99),"Normalweight",AND(B2203&gt;=25,B2203&lt;=29.99),"Overweight",B2203&gt;=30,"Obesity")</f>
        <v>Overweight</v>
      </c>
      <c r="J2203" t="str" cm="1">
        <f t="array" ref="J2203">_xlfn.IFS(C2203&lt;5.7,"Normal",AND(C2203&gt;=5.7,C2203&lt;=6.49),"Prediabetes",C2203&gt;=6.5,"Diabetes")</f>
        <v>Normal</v>
      </c>
    </row>
    <row r="2204" spans="1:10" x14ac:dyDescent="0.3">
      <c r="A2204" t="s">
        <v>155</v>
      </c>
      <c r="B2204" s="8">
        <v>40.26</v>
      </c>
      <c r="C2204">
        <v>5.52</v>
      </c>
      <c r="D2204" t="s">
        <v>2379</v>
      </c>
      <c r="E2204" t="s">
        <v>2380</v>
      </c>
      <c r="F2204" t="s">
        <v>2379</v>
      </c>
      <c r="G2204">
        <v>1</v>
      </c>
      <c r="H2204" t="s">
        <v>2379</v>
      </c>
      <c r="I2204" t="str" cm="1">
        <f t="array" ref="I2204">_xlfn.IFS(B2204&lt;18.5,"Underweight",AND(B2204&gt;=18.5,B2204&lt;=24.99),"Normalweight",AND(B2204&gt;=25,B2204&lt;=29.99),"Overweight",B2204&gt;=30,"Obesity")</f>
        <v>Obesity</v>
      </c>
      <c r="J2204" t="str" cm="1">
        <f t="array" ref="J2204">_xlfn.IFS(C2204&lt;5.7,"Normal",AND(C2204&gt;=5.7,C2204&lt;=6.49),"Prediabetes",C2204&gt;=6.5,"Diabetes")</f>
        <v>Normal</v>
      </c>
    </row>
    <row r="2205" spans="1:10" x14ac:dyDescent="0.3">
      <c r="A2205" t="s">
        <v>154</v>
      </c>
      <c r="B2205" s="8">
        <v>39.82</v>
      </c>
      <c r="C2205">
        <v>6.01</v>
      </c>
      <c r="D2205" t="s">
        <v>2379</v>
      </c>
      <c r="E2205" t="s">
        <v>2380</v>
      </c>
      <c r="F2205" t="s">
        <v>2379</v>
      </c>
      <c r="G2205">
        <v>1</v>
      </c>
      <c r="H2205" t="s">
        <v>2379</v>
      </c>
      <c r="I2205" t="str" cm="1">
        <f t="array" ref="I2205">_xlfn.IFS(B2205&lt;18.5,"Underweight",AND(B2205&gt;=18.5,B2205&lt;=24.99),"Normalweight",AND(B2205&gt;=25,B2205&lt;=29.99),"Overweight",B2205&gt;=30,"Obesity")</f>
        <v>Obesity</v>
      </c>
      <c r="J2205" t="str" cm="1">
        <f t="array" ref="J2205">_xlfn.IFS(C2205&lt;5.7,"Normal",AND(C2205&gt;=5.7,C2205&lt;=6.49),"Prediabetes",C2205&gt;=6.5,"Diabetes")</f>
        <v>Prediabetes</v>
      </c>
    </row>
    <row r="2206" spans="1:10" x14ac:dyDescent="0.3">
      <c r="A2206" t="s">
        <v>153</v>
      </c>
      <c r="B2206" s="8">
        <v>39.159999999999997</v>
      </c>
      <c r="C2206">
        <v>5.81</v>
      </c>
      <c r="D2206" t="s">
        <v>2379</v>
      </c>
      <c r="E2206" t="s">
        <v>2380</v>
      </c>
      <c r="F2206" t="s">
        <v>2379</v>
      </c>
      <c r="G2206">
        <v>1</v>
      </c>
      <c r="H2206" t="s">
        <v>2379</v>
      </c>
      <c r="I2206" t="str" cm="1">
        <f t="array" ref="I2206">_xlfn.IFS(B2206&lt;18.5,"Underweight",AND(B2206&gt;=18.5,B2206&lt;=24.99),"Normalweight",AND(B2206&gt;=25,B2206&lt;=29.99),"Overweight",B2206&gt;=30,"Obesity")</f>
        <v>Obesity</v>
      </c>
      <c r="J2206" t="str" cm="1">
        <f t="array" ref="J2206">_xlfn.IFS(C2206&lt;5.7,"Normal",AND(C2206&gt;=5.7,C2206&lt;=6.49),"Prediabetes",C2206&gt;=6.5,"Diabetes")</f>
        <v>Prediabetes</v>
      </c>
    </row>
    <row r="2207" spans="1:10" x14ac:dyDescent="0.3">
      <c r="A2207" t="s">
        <v>152</v>
      </c>
      <c r="B2207" s="8">
        <v>25.555</v>
      </c>
      <c r="C2207">
        <v>4.37</v>
      </c>
      <c r="D2207" t="s">
        <v>2379</v>
      </c>
      <c r="E2207" t="s">
        <v>2379</v>
      </c>
      <c r="F2207" t="s">
        <v>2381</v>
      </c>
      <c r="G2207">
        <v>1</v>
      </c>
      <c r="H2207" t="s">
        <v>2379</v>
      </c>
      <c r="I2207" t="str" cm="1">
        <f t="array" ref="I2207">_xlfn.IFS(B2207&lt;18.5,"Underweight",AND(B2207&gt;=18.5,B2207&lt;=24.99),"Normalweight",AND(B2207&gt;=25,B2207&lt;=29.99),"Overweight",B2207&gt;=30,"Obesity")</f>
        <v>Overweight</v>
      </c>
      <c r="J2207" t="str" cm="1">
        <f t="array" ref="J2207">_xlfn.IFS(C2207&lt;5.7,"Normal",AND(C2207&gt;=5.7,C2207&lt;=6.49),"Prediabetes",C2207&gt;=6.5,"Diabetes")</f>
        <v>Normal</v>
      </c>
    </row>
    <row r="2208" spans="1:10" x14ac:dyDescent="0.3">
      <c r="A2208" t="s">
        <v>151</v>
      </c>
      <c r="B2208" s="8">
        <v>25.175000000000001</v>
      </c>
      <c r="C2208">
        <v>5.74</v>
      </c>
      <c r="D2208" t="s">
        <v>2379</v>
      </c>
      <c r="E2208" t="s">
        <v>2379</v>
      </c>
      <c r="F2208" t="s">
        <v>2381</v>
      </c>
      <c r="G2208">
        <v>1</v>
      </c>
      <c r="H2208" t="s">
        <v>2379</v>
      </c>
      <c r="I2208" t="str" cm="1">
        <f t="array" ref="I2208">_xlfn.IFS(B2208&lt;18.5,"Underweight",AND(B2208&gt;=18.5,B2208&lt;=24.99),"Normalweight",AND(B2208&gt;=25,B2208&lt;=29.99),"Overweight",B2208&gt;=30,"Obesity")</f>
        <v>Overweight</v>
      </c>
      <c r="J2208" t="str" cm="1">
        <f t="array" ref="J2208">_xlfn.IFS(C2208&lt;5.7,"Normal",AND(C2208&gt;=5.7,C2208&lt;=6.49),"Prediabetes",C2208&gt;=6.5,"Diabetes")</f>
        <v>Prediabetes</v>
      </c>
    </row>
    <row r="2209" spans="1:10" x14ac:dyDescent="0.3">
      <c r="A2209" t="s">
        <v>150</v>
      </c>
      <c r="B2209" s="8">
        <v>38.28</v>
      </c>
      <c r="C2209">
        <v>5.39</v>
      </c>
      <c r="D2209" t="s">
        <v>2379</v>
      </c>
      <c r="E2209" t="s">
        <v>2380</v>
      </c>
      <c r="F2209" t="s">
        <v>2379</v>
      </c>
      <c r="G2209">
        <v>1</v>
      </c>
      <c r="H2209" t="s">
        <v>2379</v>
      </c>
      <c r="I2209" t="str" cm="1">
        <f t="array" ref="I2209">_xlfn.IFS(B2209&lt;18.5,"Underweight",AND(B2209&gt;=18.5,B2209&lt;=24.99),"Normalweight",AND(B2209&gt;=25,B2209&lt;=29.99),"Overweight",B2209&gt;=30,"Obesity")</f>
        <v>Obesity</v>
      </c>
      <c r="J2209" t="str" cm="1">
        <f t="array" ref="J2209">_xlfn.IFS(C2209&lt;5.7,"Normal",AND(C2209&gt;=5.7,C2209&lt;=6.49),"Prediabetes",C2209&gt;=6.5,"Diabetes")</f>
        <v>Normal</v>
      </c>
    </row>
    <row r="2210" spans="1:10" x14ac:dyDescent="0.3">
      <c r="A2210" t="s">
        <v>149</v>
      </c>
      <c r="B2210" s="8">
        <v>38.17</v>
      </c>
      <c r="C2210">
        <v>4.07</v>
      </c>
      <c r="D2210" t="s">
        <v>2379</v>
      </c>
      <c r="E2210" t="s">
        <v>2380</v>
      </c>
      <c r="F2210" t="s">
        <v>2379</v>
      </c>
      <c r="G2210">
        <v>1</v>
      </c>
      <c r="H2210" t="s">
        <v>2379</v>
      </c>
      <c r="I2210" t="str" cm="1">
        <f t="array" ref="I2210">_xlfn.IFS(B2210&lt;18.5,"Underweight",AND(B2210&gt;=18.5,B2210&lt;=24.99),"Normalweight",AND(B2210&gt;=25,B2210&lt;=29.99),"Overweight",B2210&gt;=30,"Obesity")</f>
        <v>Obesity</v>
      </c>
      <c r="J2210" t="str" cm="1">
        <f t="array" ref="J2210">_xlfn.IFS(C2210&lt;5.7,"Normal",AND(C2210&gt;=5.7,C2210&lt;=6.49),"Prediabetes",C2210&gt;=6.5,"Diabetes")</f>
        <v>Normal</v>
      </c>
    </row>
    <row r="2211" spans="1:10" x14ac:dyDescent="0.3">
      <c r="A2211" t="s">
        <v>148</v>
      </c>
      <c r="B2211" s="8">
        <v>36.85</v>
      </c>
      <c r="C2211">
        <v>5.49</v>
      </c>
      <c r="D2211" t="s">
        <v>2379</v>
      </c>
      <c r="E2211" t="s">
        <v>2380</v>
      </c>
      <c r="F2211" t="s">
        <v>2379</v>
      </c>
      <c r="G2211">
        <v>1</v>
      </c>
      <c r="H2211" t="s">
        <v>2379</v>
      </c>
      <c r="I2211" t="str" cm="1">
        <f t="array" ref="I2211">_xlfn.IFS(B2211&lt;18.5,"Underweight",AND(B2211&gt;=18.5,B2211&lt;=24.99),"Normalweight",AND(B2211&gt;=25,B2211&lt;=29.99),"Overweight",B2211&gt;=30,"Obesity")</f>
        <v>Obesity</v>
      </c>
      <c r="J2211" t="str" cm="1">
        <f t="array" ref="J2211">_xlfn.IFS(C2211&lt;5.7,"Normal",AND(C2211&gt;=5.7,C2211&lt;=6.49),"Prediabetes",C2211&gt;=6.5,"Diabetes")</f>
        <v>Normal</v>
      </c>
    </row>
    <row r="2212" spans="1:10" x14ac:dyDescent="0.3">
      <c r="A2212" t="s">
        <v>147</v>
      </c>
      <c r="B2212" s="8">
        <v>22.61</v>
      </c>
      <c r="C2212">
        <v>5.68</v>
      </c>
      <c r="D2212" t="s">
        <v>2379</v>
      </c>
      <c r="E2212" t="s">
        <v>2379</v>
      </c>
      <c r="F2212" t="s">
        <v>2381</v>
      </c>
      <c r="G2212">
        <v>1</v>
      </c>
      <c r="H2212" t="s">
        <v>2379</v>
      </c>
      <c r="I2212" t="str" cm="1">
        <f t="array" ref="I2212">_xlfn.IFS(B2212&lt;18.5,"Underweight",AND(B2212&gt;=18.5,B2212&lt;=24.99),"Normalweight",AND(B2212&gt;=25,B2212&lt;=29.99),"Overweight",B2212&gt;=30,"Obesity")</f>
        <v>Normalweight</v>
      </c>
      <c r="J2212" t="str" cm="1">
        <f t="array" ref="J2212">_xlfn.IFS(C2212&lt;5.7,"Normal",AND(C2212&gt;=5.7,C2212&lt;=6.49),"Prediabetes",C2212&gt;=6.5,"Diabetes")</f>
        <v>Normal</v>
      </c>
    </row>
    <row r="2213" spans="1:10" x14ac:dyDescent="0.3">
      <c r="A2213" t="s">
        <v>146</v>
      </c>
      <c r="B2213" s="8">
        <v>21.754999999999999</v>
      </c>
      <c r="C2213">
        <v>6.09</v>
      </c>
      <c r="D2213" t="s">
        <v>2379</v>
      </c>
      <c r="E2213" t="s">
        <v>2379</v>
      </c>
      <c r="F2213" t="s">
        <v>2381</v>
      </c>
      <c r="G2213">
        <v>1</v>
      </c>
      <c r="H2213" t="s">
        <v>2379</v>
      </c>
      <c r="I2213" t="str" cm="1">
        <f t="array" ref="I2213">_xlfn.IFS(B2213&lt;18.5,"Underweight",AND(B2213&gt;=18.5,B2213&lt;=24.99),"Normalweight",AND(B2213&gt;=25,B2213&lt;=29.99),"Overweight",B2213&gt;=30,"Obesity")</f>
        <v>Normalweight</v>
      </c>
      <c r="J2213" t="str" cm="1">
        <f t="array" ref="J2213">_xlfn.IFS(C2213&lt;5.7,"Normal",AND(C2213&gt;=5.7,C2213&lt;=6.49),"Prediabetes",C2213&gt;=6.5,"Diabetes")</f>
        <v>Prediabetes</v>
      </c>
    </row>
    <row r="2214" spans="1:10" x14ac:dyDescent="0.3">
      <c r="A2214" t="s">
        <v>145</v>
      </c>
      <c r="B2214" s="8">
        <v>20.425000000000001</v>
      </c>
      <c r="C2214">
        <v>5.53</v>
      </c>
      <c r="D2214" t="s">
        <v>2379</v>
      </c>
      <c r="E2214" t="s">
        <v>2379</v>
      </c>
      <c r="F2214" t="s">
        <v>2381</v>
      </c>
      <c r="G2214">
        <v>1</v>
      </c>
      <c r="H2214" t="s">
        <v>2379</v>
      </c>
      <c r="I2214" t="str" cm="1">
        <f t="array" ref="I2214">_xlfn.IFS(B2214&lt;18.5,"Underweight",AND(B2214&gt;=18.5,B2214&lt;=24.99),"Normalweight",AND(B2214&gt;=25,B2214&lt;=29.99),"Overweight",B2214&gt;=30,"Obesity")</f>
        <v>Normalweight</v>
      </c>
      <c r="J2214" t="str" cm="1">
        <f t="array" ref="J2214">_xlfn.IFS(C2214&lt;5.7,"Normal",AND(C2214&gt;=5.7,C2214&lt;=6.49),"Prediabetes",C2214&gt;=6.5,"Diabetes")</f>
        <v>Normal</v>
      </c>
    </row>
    <row r="2215" spans="1:10" x14ac:dyDescent="0.3">
      <c r="A2215" t="s">
        <v>144</v>
      </c>
      <c r="B2215" s="8">
        <v>31.35</v>
      </c>
      <c r="C2215">
        <v>4.28</v>
      </c>
      <c r="D2215" t="s">
        <v>2379</v>
      </c>
      <c r="E2215" t="s">
        <v>2380</v>
      </c>
      <c r="F2215" t="s">
        <v>2379</v>
      </c>
      <c r="G2215">
        <v>1</v>
      </c>
      <c r="H2215" t="s">
        <v>2379</v>
      </c>
      <c r="I2215" t="str" cm="1">
        <f t="array" ref="I2215">_xlfn.IFS(B2215&lt;18.5,"Underweight",AND(B2215&gt;=18.5,B2215&lt;=24.99),"Normalweight",AND(B2215&gt;=25,B2215&lt;=29.99),"Overweight",B2215&gt;=30,"Obesity")</f>
        <v>Obesity</v>
      </c>
      <c r="J2215" t="str" cm="1">
        <f t="array" ref="J2215">_xlfn.IFS(C2215&lt;5.7,"Normal",AND(C2215&gt;=5.7,C2215&lt;=6.49),"Prediabetes",C2215&gt;=6.5,"Diabetes")</f>
        <v>Normal</v>
      </c>
    </row>
    <row r="2216" spans="1:10" x14ac:dyDescent="0.3">
      <c r="A2216" t="s">
        <v>143</v>
      </c>
      <c r="B2216" s="8">
        <v>31.13</v>
      </c>
      <c r="C2216">
        <v>6.01</v>
      </c>
      <c r="D2216" t="s">
        <v>2379</v>
      </c>
      <c r="E2216" t="s">
        <v>2380</v>
      </c>
      <c r="F2216" t="s">
        <v>2379</v>
      </c>
      <c r="G2216">
        <v>1</v>
      </c>
      <c r="H2216" t="s">
        <v>2379</v>
      </c>
      <c r="I2216" t="str" cm="1">
        <f t="array" ref="I2216">_xlfn.IFS(B2216&lt;18.5,"Underweight",AND(B2216&gt;=18.5,B2216&lt;=24.99),"Normalweight",AND(B2216&gt;=25,B2216&lt;=29.99),"Overweight",B2216&gt;=30,"Obesity")</f>
        <v>Obesity</v>
      </c>
      <c r="J2216" t="str" cm="1">
        <f t="array" ref="J2216">_xlfn.IFS(C2216&lt;5.7,"Normal",AND(C2216&gt;=5.7,C2216&lt;=6.49),"Prediabetes",C2216&gt;=6.5,"Diabetes")</f>
        <v>Prediabetes</v>
      </c>
    </row>
    <row r="2217" spans="1:10" x14ac:dyDescent="0.3">
      <c r="A2217" t="s">
        <v>142</v>
      </c>
      <c r="B2217" s="8">
        <v>17.48</v>
      </c>
      <c r="C2217">
        <v>4.59</v>
      </c>
      <c r="D2217" t="s">
        <v>2379</v>
      </c>
      <c r="E2217" t="s">
        <v>2379</v>
      </c>
      <c r="F2217" t="s">
        <v>2381</v>
      </c>
      <c r="G2217">
        <v>1</v>
      </c>
      <c r="H2217" t="s">
        <v>2379</v>
      </c>
      <c r="I2217" t="str" cm="1">
        <f t="array" ref="I2217">_xlfn.IFS(B2217&lt;18.5,"Underweight",AND(B2217&gt;=18.5,B2217&lt;=24.99),"Normalweight",AND(B2217&gt;=25,B2217&lt;=29.99),"Overweight",B2217&gt;=30,"Obesity")</f>
        <v>Underweight</v>
      </c>
      <c r="J2217" t="str" cm="1">
        <f t="array" ref="J2217">_xlfn.IFS(C2217&lt;5.7,"Normal",AND(C2217&gt;=5.7,C2217&lt;=6.49),"Prediabetes",C2217&gt;=6.5,"Diabetes")</f>
        <v>Normal</v>
      </c>
    </row>
    <row r="2218" spans="1:10" x14ac:dyDescent="0.3">
      <c r="A2218" t="s">
        <v>141</v>
      </c>
      <c r="B2218" s="8">
        <v>22.57</v>
      </c>
      <c r="C2218">
        <v>5.8</v>
      </c>
      <c r="D2218" t="s">
        <v>2381</v>
      </c>
      <c r="E2218" t="s">
        <v>2379</v>
      </c>
      <c r="F2218" t="s">
        <v>2379</v>
      </c>
      <c r="G2218">
        <v>1</v>
      </c>
      <c r="H2218" t="s">
        <v>2379</v>
      </c>
      <c r="I2218" t="str" cm="1">
        <f t="array" ref="I2218">_xlfn.IFS(B2218&lt;18.5,"Underweight",AND(B2218&gt;=18.5,B2218&lt;=24.99),"Normalweight",AND(B2218&gt;=25,B2218&lt;=29.99),"Overweight",B2218&gt;=30,"Obesity")</f>
        <v>Normalweight</v>
      </c>
      <c r="J2218" t="str" cm="1">
        <f t="array" ref="J2218">_xlfn.IFS(C2218&lt;5.7,"Normal",AND(C2218&gt;=5.7,C2218&lt;=6.49),"Prediabetes",C2218&gt;=6.5,"Diabetes")</f>
        <v>Prediabetes</v>
      </c>
    </row>
    <row r="2219" spans="1:10" x14ac:dyDescent="0.3">
      <c r="A2219" t="s">
        <v>140</v>
      </c>
      <c r="B2219" s="8">
        <v>26.73</v>
      </c>
      <c r="C2219">
        <v>5.08</v>
      </c>
      <c r="D2219" t="s">
        <v>2379</v>
      </c>
      <c r="E2219" t="s">
        <v>2380</v>
      </c>
      <c r="F2219" t="s">
        <v>2379</v>
      </c>
      <c r="G2219">
        <v>1</v>
      </c>
      <c r="H2219" t="s">
        <v>2379</v>
      </c>
      <c r="I2219" t="str" cm="1">
        <f t="array" ref="I2219">_xlfn.IFS(B2219&lt;18.5,"Underweight",AND(B2219&gt;=18.5,B2219&lt;=24.99),"Normalweight",AND(B2219&gt;=25,B2219&lt;=29.99),"Overweight",B2219&gt;=30,"Obesity")</f>
        <v>Overweight</v>
      </c>
      <c r="J2219" t="str" cm="1">
        <f t="array" ref="J2219">_xlfn.IFS(C2219&lt;5.7,"Normal",AND(C2219&gt;=5.7,C2219&lt;=6.49),"Prediabetes",C2219&gt;=6.5,"Diabetes")</f>
        <v>Normal</v>
      </c>
    </row>
    <row r="2220" spans="1:10" x14ac:dyDescent="0.3">
      <c r="A2220" t="s">
        <v>139</v>
      </c>
      <c r="B2220" s="8">
        <v>20.79</v>
      </c>
      <c r="C2220">
        <v>5.84</v>
      </c>
      <c r="D2220" t="s">
        <v>2379</v>
      </c>
      <c r="E2220" t="s">
        <v>2380</v>
      </c>
      <c r="F2220" t="s">
        <v>2379</v>
      </c>
      <c r="G2220">
        <v>1</v>
      </c>
      <c r="H2220" t="s">
        <v>2379</v>
      </c>
      <c r="I2220" t="str" cm="1">
        <f t="array" ref="I2220">_xlfn.IFS(B2220&lt;18.5,"Underweight",AND(B2220&gt;=18.5,B2220&lt;=24.99),"Normalweight",AND(B2220&gt;=25,B2220&lt;=29.99),"Overweight",B2220&gt;=30,"Obesity")</f>
        <v>Normalweight</v>
      </c>
      <c r="J2220" t="str" cm="1">
        <f t="array" ref="J2220">_xlfn.IFS(C2220&lt;5.7,"Normal",AND(C2220&gt;=5.7,C2220&lt;=6.49),"Prediabetes",C2220&gt;=6.5,"Diabetes")</f>
        <v>Prediabetes</v>
      </c>
    </row>
    <row r="2221" spans="1:10" x14ac:dyDescent="0.3">
      <c r="A2221" t="s">
        <v>138</v>
      </c>
      <c r="B2221" s="8">
        <v>20.149999999999999</v>
      </c>
      <c r="C2221">
        <v>4.1500000000000004</v>
      </c>
      <c r="D2221" t="s">
        <v>2379</v>
      </c>
      <c r="E2221" t="s">
        <v>2379</v>
      </c>
      <c r="F2221" t="s">
        <v>2379</v>
      </c>
      <c r="G2221">
        <v>1</v>
      </c>
      <c r="H2221" t="s">
        <v>2379</v>
      </c>
      <c r="I2221" t="str" cm="1">
        <f t="array" ref="I2221">_xlfn.IFS(B2221&lt;18.5,"Underweight",AND(B2221&gt;=18.5,B2221&lt;=24.99),"Normalweight",AND(B2221&gt;=25,B2221&lt;=29.99),"Overweight",B2221&gt;=30,"Obesity")</f>
        <v>Normalweight</v>
      </c>
      <c r="J2221" t="str" cm="1">
        <f t="array" ref="J2221">_xlfn.IFS(C2221&lt;5.7,"Normal",AND(C2221&gt;=5.7,C2221&lt;=6.49),"Prediabetes",C2221&gt;=6.5,"Diabetes")</f>
        <v>Normal</v>
      </c>
    </row>
    <row r="2222" spans="1:10" x14ac:dyDescent="0.3">
      <c r="A2222" t="s">
        <v>137</v>
      </c>
      <c r="B2222" s="8">
        <v>36.85</v>
      </c>
      <c r="C2222">
        <v>4.3600000000000003</v>
      </c>
      <c r="D2222" t="s">
        <v>2381</v>
      </c>
      <c r="E2222" t="s">
        <v>2379</v>
      </c>
      <c r="F2222" t="s">
        <v>2379</v>
      </c>
      <c r="G2222">
        <v>0</v>
      </c>
      <c r="H2222" t="s">
        <v>2379</v>
      </c>
      <c r="I2222" t="str" cm="1">
        <f t="array" ref="I2222">_xlfn.IFS(B2222&lt;18.5,"Underweight",AND(B2222&gt;=18.5,B2222&lt;=24.99),"Normalweight",AND(B2222&gt;=25,B2222&lt;=29.99),"Overweight",B2222&gt;=30,"Obesity")</f>
        <v>Obesity</v>
      </c>
      <c r="J2222" t="str" cm="1">
        <f t="array" ref="J2222">_xlfn.IFS(C2222&lt;5.7,"Normal",AND(C2222&gt;=5.7,C2222&lt;=6.49),"Prediabetes",C2222&gt;=6.5,"Diabetes")</f>
        <v>Normal</v>
      </c>
    </row>
    <row r="2223" spans="1:10" x14ac:dyDescent="0.3">
      <c r="A2223" t="s">
        <v>136</v>
      </c>
      <c r="B2223" s="8">
        <v>35.53</v>
      </c>
      <c r="C2223">
        <v>4.55</v>
      </c>
      <c r="D2223" t="s">
        <v>2381</v>
      </c>
      <c r="E2223" t="s">
        <v>2379</v>
      </c>
      <c r="F2223" t="s">
        <v>2379</v>
      </c>
      <c r="G2223">
        <v>0</v>
      </c>
      <c r="H2223" t="s">
        <v>2379</v>
      </c>
      <c r="I2223" t="str" cm="1">
        <f t="array" ref="I2223">_xlfn.IFS(B2223&lt;18.5,"Underweight",AND(B2223&gt;=18.5,B2223&lt;=24.99),"Normalweight",AND(B2223&gt;=25,B2223&lt;=29.99),"Overweight",B2223&gt;=30,"Obesity")</f>
        <v>Obesity</v>
      </c>
      <c r="J2223" t="str" cm="1">
        <f t="array" ref="J2223">_xlfn.IFS(C2223&lt;5.7,"Normal",AND(C2223&gt;=5.7,C2223&lt;=6.49),"Prediabetes",C2223&gt;=6.5,"Diabetes")</f>
        <v>Normal</v>
      </c>
    </row>
    <row r="2224" spans="1:10" x14ac:dyDescent="0.3">
      <c r="A2224" t="s">
        <v>135</v>
      </c>
      <c r="B2224" s="8">
        <v>31.1</v>
      </c>
      <c r="C2224">
        <v>4.37</v>
      </c>
      <c r="D2224" t="s">
        <v>2381</v>
      </c>
      <c r="E2224" t="s">
        <v>2379</v>
      </c>
      <c r="F2224" t="s">
        <v>2379</v>
      </c>
      <c r="G2224">
        <v>0</v>
      </c>
      <c r="H2224" t="s">
        <v>2379</v>
      </c>
      <c r="I2224" t="str" cm="1">
        <f t="array" ref="I2224">_xlfn.IFS(B2224&lt;18.5,"Underweight",AND(B2224&gt;=18.5,B2224&lt;=24.99),"Normalweight",AND(B2224&gt;=25,B2224&lt;=29.99),"Overweight",B2224&gt;=30,"Obesity")</f>
        <v>Obesity</v>
      </c>
      <c r="J2224" t="str" cm="1">
        <f t="array" ref="J2224">_xlfn.IFS(C2224&lt;5.7,"Normal",AND(C2224&gt;=5.7,C2224&lt;=6.49),"Prediabetes",C2224&gt;=6.5,"Diabetes")</f>
        <v>Normal</v>
      </c>
    </row>
    <row r="2225" spans="1:10" x14ac:dyDescent="0.3">
      <c r="A2225" t="s">
        <v>134</v>
      </c>
      <c r="B2225" s="8">
        <v>23.21</v>
      </c>
      <c r="C2225">
        <v>5.24</v>
      </c>
      <c r="D2225" t="s">
        <v>2381</v>
      </c>
      <c r="E2225" t="s">
        <v>2379</v>
      </c>
      <c r="F2225" t="s">
        <v>2379</v>
      </c>
      <c r="G2225">
        <v>0</v>
      </c>
      <c r="H2225" t="s">
        <v>2379</v>
      </c>
      <c r="I2225" t="str" cm="1">
        <f t="array" ref="I2225">_xlfn.IFS(B2225&lt;18.5,"Underweight",AND(B2225&gt;=18.5,B2225&lt;=24.99),"Normalweight",AND(B2225&gt;=25,B2225&lt;=29.99),"Overweight",B2225&gt;=30,"Obesity")</f>
        <v>Normalweight</v>
      </c>
      <c r="J2225" t="str" cm="1">
        <f t="array" ref="J2225">_xlfn.IFS(C2225&lt;5.7,"Normal",AND(C2225&gt;=5.7,C2225&lt;=6.49),"Prediabetes",C2225&gt;=6.5,"Diabetes")</f>
        <v>Normal</v>
      </c>
    </row>
    <row r="2226" spans="1:10" x14ac:dyDescent="0.3">
      <c r="A2226" t="s">
        <v>133</v>
      </c>
      <c r="B2226" s="8">
        <v>18.36</v>
      </c>
      <c r="C2226">
        <v>5.96</v>
      </c>
      <c r="D2226" t="s">
        <v>2379</v>
      </c>
      <c r="E2226" t="s">
        <v>2379</v>
      </c>
      <c r="F2226" t="s">
        <v>2379</v>
      </c>
      <c r="G2226">
        <v>1</v>
      </c>
      <c r="H2226" t="s">
        <v>2379</v>
      </c>
      <c r="I2226" t="str" cm="1">
        <f t="array" ref="I2226">_xlfn.IFS(B2226&lt;18.5,"Underweight",AND(B2226&gt;=18.5,B2226&lt;=24.99),"Normalweight",AND(B2226&gt;=25,B2226&lt;=29.99),"Overweight",B2226&gt;=30,"Obesity")</f>
        <v>Underweight</v>
      </c>
      <c r="J2226" t="str" cm="1">
        <f t="array" ref="J2226">_xlfn.IFS(C2226&lt;5.7,"Normal",AND(C2226&gt;=5.7,C2226&lt;=6.49),"Prediabetes",C2226&gt;=6.5,"Diabetes")</f>
        <v>Prediabetes</v>
      </c>
    </row>
    <row r="2227" spans="1:10" x14ac:dyDescent="0.3">
      <c r="A2227" t="s">
        <v>132</v>
      </c>
      <c r="B2227" s="8">
        <v>15.92</v>
      </c>
      <c r="C2227">
        <v>4.76</v>
      </c>
      <c r="D2227" t="s">
        <v>2381</v>
      </c>
      <c r="E2227" t="s">
        <v>2379</v>
      </c>
      <c r="F2227" t="s">
        <v>2379</v>
      </c>
      <c r="G2227">
        <v>1</v>
      </c>
      <c r="H2227" t="s">
        <v>2379</v>
      </c>
      <c r="I2227" t="str" cm="1">
        <f t="array" ref="I2227">_xlfn.IFS(B2227&lt;18.5,"Underweight",AND(B2227&gt;=18.5,B2227&lt;=24.99),"Normalweight",AND(B2227&gt;=25,B2227&lt;=29.99),"Overweight",B2227&gt;=30,"Obesity")</f>
        <v>Underweight</v>
      </c>
      <c r="J2227" t="str" cm="1">
        <f t="array" ref="J2227">_xlfn.IFS(C2227&lt;5.7,"Normal",AND(C2227&gt;=5.7,C2227&lt;=6.49),"Prediabetes",C2227&gt;=6.5,"Diabetes")</f>
        <v>Normal</v>
      </c>
    </row>
    <row r="2228" spans="1:10" x14ac:dyDescent="0.3">
      <c r="A2228" t="s">
        <v>131</v>
      </c>
      <c r="B2228" s="8">
        <v>15.17</v>
      </c>
      <c r="C2228">
        <v>4.3</v>
      </c>
      <c r="D2228" t="s">
        <v>2381</v>
      </c>
      <c r="E2228" t="s">
        <v>2379</v>
      </c>
      <c r="F2228" t="s">
        <v>2381</v>
      </c>
      <c r="G2228">
        <v>1</v>
      </c>
      <c r="H2228" t="s">
        <v>2379</v>
      </c>
      <c r="I2228" t="str" cm="1">
        <f t="array" ref="I2228">_xlfn.IFS(B2228&lt;18.5,"Underweight",AND(B2228&gt;=18.5,B2228&lt;=24.99),"Normalweight",AND(B2228&gt;=25,B2228&lt;=29.99),"Overweight",B2228&gt;=30,"Obesity")</f>
        <v>Underweight</v>
      </c>
      <c r="J2228" t="str" cm="1">
        <f t="array" ref="J2228">_xlfn.IFS(C2228&lt;5.7,"Normal",AND(C2228&gt;=5.7,C2228&lt;=6.49),"Prediabetes",C2228&gt;=6.5,"Diabetes")</f>
        <v>Normal</v>
      </c>
    </row>
    <row r="2229" spans="1:10" x14ac:dyDescent="0.3">
      <c r="A2229" t="s">
        <v>130</v>
      </c>
      <c r="B2229" s="8">
        <v>16.63</v>
      </c>
      <c r="C2229">
        <v>4.5</v>
      </c>
      <c r="D2229" t="s">
        <v>2379</v>
      </c>
      <c r="E2229" t="s">
        <v>2379</v>
      </c>
      <c r="F2229" t="s">
        <v>2379</v>
      </c>
      <c r="G2229">
        <v>1</v>
      </c>
      <c r="H2229" t="s">
        <v>2379</v>
      </c>
      <c r="I2229" t="str" cm="1">
        <f t="array" ref="I2229">_xlfn.IFS(B2229&lt;18.5,"Underweight",AND(B2229&gt;=18.5,B2229&lt;=24.99),"Normalweight",AND(B2229&gt;=25,B2229&lt;=29.99),"Overweight",B2229&gt;=30,"Obesity")</f>
        <v>Underweight</v>
      </c>
      <c r="J2229" t="str" cm="1">
        <f t="array" ref="J2229">_xlfn.IFS(C2229&lt;5.7,"Normal",AND(C2229&gt;=5.7,C2229&lt;=6.49),"Prediabetes",C2229&gt;=6.5,"Diabetes")</f>
        <v>Normal</v>
      </c>
    </row>
    <row r="2230" spans="1:10" x14ac:dyDescent="0.3">
      <c r="A2230" t="s">
        <v>129</v>
      </c>
      <c r="B2230" s="8">
        <v>19.39</v>
      </c>
      <c r="C2230">
        <v>5.59</v>
      </c>
      <c r="D2230" t="s">
        <v>2379</v>
      </c>
      <c r="E2230" t="s">
        <v>2379</v>
      </c>
      <c r="F2230" t="s">
        <v>2381</v>
      </c>
      <c r="G2230">
        <v>1</v>
      </c>
      <c r="H2230" t="s">
        <v>2379</v>
      </c>
      <c r="I2230" t="str" cm="1">
        <f t="array" ref="I2230">_xlfn.IFS(B2230&lt;18.5,"Underweight",AND(B2230&gt;=18.5,B2230&lt;=24.99),"Normalweight",AND(B2230&gt;=25,B2230&lt;=29.99),"Overweight",B2230&gt;=30,"Obesity")</f>
        <v>Normalweight</v>
      </c>
      <c r="J2230" t="str" cm="1">
        <f t="array" ref="J2230">_xlfn.IFS(C2230&lt;5.7,"Normal",AND(C2230&gt;=5.7,C2230&lt;=6.49),"Prediabetes",C2230&gt;=6.5,"Diabetes")</f>
        <v>Normal</v>
      </c>
    </row>
    <row r="2231" spans="1:10" x14ac:dyDescent="0.3">
      <c r="A2231" t="s">
        <v>128</v>
      </c>
      <c r="B2231" s="8">
        <v>17.34</v>
      </c>
      <c r="C2231">
        <v>6.29</v>
      </c>
      <c r="D2231" t="s">
        <v>2381</v>
      </c>
      <c r="E2231" t="s">
        <v>2379</v>
      </c>
      <c r="F2231" t="s">
        <v>2381</v>
      </c>
      <c r="G2231">
        <v>1</v>
      </c>
      <c r="H2231" t="s">
        <v>2379</v>
      </c>
      <c r="I2231" t="str" cm="1">
        <f t="array" ref="I2231">_xlfn.IFS(B2231&lt;18.5,"Underweight",AND(B2231&gt;=18.5,B2231&lt;=24.99),"Normalweight",AND(B2231&gt;=25,B2231&lt;=29.99),"Overweight",B2231&gt;=30,"Obesity")</f>
        <v>Underweight</v>
      </c>
      <c r="J2231" t="str" cm="1">
        <f t="array" ref="J2231">_xlfn.IFS(C2231&lt;5.7,"Normal",AND(C2231&gt;=5.7,C2231&lt;=6.49),"Prediabetes",C2231&gt;=6.5,"Diabetes")</f>
        <v>Prediabetes</v>
      </c>
    </row>
    <row r="2232" spans="1:10" x14ac:dyDescent="0.3">
      <c r="A2232" t="s">
        <v>127</v>
      </c>
      <c r="B2232" s="8">
        <v>17.940000000000001</v>
      </c>
      <c r="C2232">
        <v>4.1900000000000004</v>
      </c>
      <c r="D2232" t="s">
        <v>2379</v>
      </c>
      <c r="E2232" t="s">
        <v>2380</v>
      </c>
      <c r="F2232" t="s">
        <v>2379</v>
      </c>
      <c r="G2232">
        <v>1</v>
      </c>
      <c r="H2232" t="s">
        <v>2379</v>
      </c>
      <c r="I2232" t="str" cm="1">
        <f t="array" ref="I2232">_xlfn.IFS(B2232&lt;18.5,"Underweight",AND(B2232&gt;=18.5,B2232&lt;=24.99),"Normalweight",AND(B2232&gt;=25,B2232&lt;=29.99),"Overweight",B2232&gt;=30,"Obesity")</f>
        <v>Underweight</v>
      </c>
      <c r="J2232" t="str" cm="1">
        <f t="array" ref="J2232">_xlfn.IFS(C2232&lt;5.7,"Normal",AND(C2232&gt;=5.7,C2232&lt;=6.49),"Prediabetes",C2232&gt;=6.5,"Diabetes")</f>
        <v>Normal</v>
      </c>
    </row>
    <row r="2233" spans="1:10" x14ac:dyDescent="0.3">
      <c r="A2233" t="s">
        <v>126</v>
      </c>
      <c r="B2233" s="8">
        <v>16.670000000000002</v>
      </c>
      <c r="C2233">
        <v>4.7</v>
      </c>
      <c r="D2233" t="s">
        <v>2381</v>
      </c>
      <c r="E2233" t="s">
        <v>2379</v>
      </c>
      <c r="F2233" t="s">
        <v>2381</v>
      </c>
      <c r="G2233">
        <v>1</v>
      </c>
      <c r="H2233" t="s">
        <v>2379</v>
      </c>
      <c r="I2233" t="str" cm="1">
        <f t="array" ref="I2233">_xlfn.IFS(B2233&lt;18.5,"Underweight",AND(B2233&gt;=18.5,B2233&lt;=24.99),"Normalweight",AND(B2233&gt;=25,B2233&lt;=29.99),"Overweight",B2233&gt;=30,"Obesity")</f>
        <v>Underweight</v>
      </c>
      <c r="J2233" t="str" cm="1">
        <f t="array" ref="J2233">_xlfn.IFS(C2233&lt;5.7,"Normal",AND(C2233&gt;=5.7,C2233&lt;=6.49),"Prediabetes",C2233&gt;=6.5,"Diabetes")</f>
        <v>Normal</v>
      </c>
    </row>
    <row r="2234" spans="1:10" x14ac:dyDescent="0.3">
      <c r="A2234" t="s">
        <v>125</v>
      </c>
      <c r="B2234" s="8">
        <v>20.58</v>
      </c>
      <c r="C2234">
        <v>5.64</v>
      </c>
      <c r="D2234" t="s">
        <v>2381</v>
      </c>
      <c r="E2234" t="s">
        <v>2379</v>
      </c>
      <c r="F2234" t="s">
        <v>2379</v>
      </c>
      <c r="G2234">
        <v>0</v>
      </c>
      <c r="H2234" t="s">
        <v>2379</v>
      </c>
      <c r="I2234" t="str" cm="1">
        <f t="array" ref="I2234">_xlfn.IFS(B2234&lt;18.5,"Underweight",AND(B2234&gt;=18.5,B2234&lt;=24.99),"Normalweight",AND(B2234&gt;=25,B2234&lt;=29.99),"Overweight",B2234&gt;=30,"Obesity")</f>
        <v>Normalweight</v>
      </c>
      <c r="J2234" t="str" cm="1">
        <f t="array" ref="J2234">_xlfn.IFS(C2234&lt;5.7,"Normal",AND(C2234&gt;=5.7,C2234&lt;=6.49),"Prediabetes",C2234&gt;=6.5,"Diabetes")</f>
        <v>Normal</v>
      </c>
    </row>
    <row r="2235" spans="1:10" x14ac:dyDescent="0.3">
      <c r="A2235" t="s">
        <v>124</v>
      </c>
      <c r="B2235" s="8">
        <v>16.5</v>
      </c>
      <c r="C2235">
        <v>4.1100000000000003</v>
      </c>
      <c r="D2235" t="s">
        <v>2381</v>
      </c>
      <c r="E2235" t="s">
        <v>2379</v>
      </c>
      <c r="F2235" t="s">
        <v>2379</v>
      </c>
      <c r="G2235">
        <v>0</v>
      </c>
      <c r="H2235" t="s">
        <v>2379</v>
      </c>
      <c r="I2235" t="str" cm="1">
        <f t="array" ref="I2235">_xlfn.IFS(B2235&lt;18.5,"Underweight",AND(B2235&gt;=18.5,B2235&lt;=24.99),"Normalweight",AND(B2235&gt;=25,B2235&lt;=29.99),"Overweight",B2235&gt;=30,"Obesity")</f>
        <v>Underweight</v>
      </c>
      <c r="J2235" t="str" cm="1">
        <f t="array" ref="J2235">_xlfn.IFS(C2235&lt;5.7,"Normal",AND(C2235&gt;=5.7,C2235&lt;=6.49),"Prediabetes",C2235&gt;=6.5,"Diabetes")</f>
        <v>Normal</v>
      </c>
    </row>
    <row r="2236" spans="1:10" x14ac:dyDescent="0.3">
      <c r="A2236" t="s">
        <v>123</v>
      </c>
      <c r="B2236" s="8">
        <v>15.41</v>
      </c>
      <c r="C2236">
        <v>5.43</v>
      </c>
      <c r="D2236" t="s">
        <v>2381</v>
      </c>
      <c r="E2236" t="s">
        <v>2379</v>
      </c>
      <c r="F2236" t="s">
        <v>2381</v>
      </c>
      <c r="G2236">
        <v>1</v>
      </c>
      <c r="H2236" t="s">
        <v>2379</v>
      </c>
      <c r="I2236" t="str" cm="1">
        <f t="array" ref="I2236">_xlfn.IFS(B2236&lt;18.5,"Underweight",AND(B2236&gt;=18.5,B2236&lt;=24.99),"Normalweight",AND(B2236&gt;=25,B2236&lt;=29.99),"Overweight",B2236&gt;=30,"Obesity")</f>
        <v>Underweight</v>
      </c>
      <c r="J2236" t="str" cm="1">
        <f t="array" ref="J2236">_xlfn.IFS(C2236&lt;5.7,"Normal",AND(C2236&gt;=5.7,C2236&lt;=6.49),"Prediabetes",C2236&gt;=6.5,"Diabetes")</f>
        <v>Normal</v>
      </c>
    </row>
    <row r="2237" spans="1:10" x14ac:dyDescent="0.3">
      <c r="A2237" t="s">
        <v>122</v>
      </c>
      <c r="B2237" s="8">
        <v>24.59</v>
      </c>
      <c r="C2237">
        <v>4.38</v>
      </c>
      <c r="D2237" t="s">
        <v>2379</v>
      </c>
      <c r="E2237" t="s">
        <v>2379</v>
      </c>
      <c r="F2237" t="s">
        <v>2379</v>
      </c>
      <c r="G2237">
        <v>1</v>
      </c>
      <c r="H2237" t="s">
        <v>2379</v>
      </c>
      <c r="I2237" t="str" cm="1">
        <f t="array" ref="I2237">_xlfn.IFS(B2237&lt;18.5,"Underweight",AND(B2237&gt;=18.5,B2237&lt;=24.99),"Normalweight",AND(B2237&gt;=25,B2237&lt;=29.99),"Overweight",B2237&gt;=30,"Obesity")</f>
        <v>Normalweight</v>
      </c>
      <c r="J2237" t="str" cm="1">
        <f t="array" ref="J2237">_xlfn.IFS(C2237&lt;5.7,"Normal",AND(C2237&gt;=5.7,C2237&lt;=6.49),"Prediabetes",C2237&gt;=6.5,"Diabetes")</f>
        <v>Normal</v>
      </c>
    </row>
    <row r="2238" spans="1:10" x14ac:dyDescent="0.3">
      <c r="A2238" t="s">
        <v>121</v>
      </c>
      <c r="B2238" s="8">
        <v>33.33</v>
      </c>
      <c r="C2238">
        <v>9.7899999999999991</v>
      </c>
      <c r="D2238" t="s">
        <v>2379</v>
      </c>
      <c r="E2238" t="s">
        <v>2379</v>
      </c>
      <c r="F2238" t="s">
        <v>2379</v>
      </c>
      <c r="G2238">
        <v>0</v>
      </c>
      <c r="H2238" t="s">
        <v>2379</v>
      </c>
      <c r="I2238" t="str" cm="1">
        <f t="array" ref="I2238">_xlfn.IFS(B2238&lt;18.5,"Underweight",AND(B2238&gt;=18.5,B2238&lt;=24.99),"Normalweight",AND(B2238&gt;=25,B2238&lt;=29.99),"Overweight",B2238&gt;=30,"Obesity")</f>
        <v>Obesity</v>
      </c>
      <c r="J2238" t="str" cm="1">
        <f t="array" ref="J2238">_xlfn.IFS(C2238&lt;5.7,"Normal",AND(C2238&gt;=5.7,C2238&lt;=6.49),"Prediabetes",C2238&gt;=6.5,"Diabetes")</f>
        <v>Diabetes</v>
      </c>
    </row>
    <row r="2239" spans="1:10" x14ac:dyDescent="0.3">
      <c r="A2239" t="s">
        <v>120</v>
      </c>
      <c r="B2239" s="8">
        <v>18.5</v>
      </c>
      <c r="C2239">
        <v>11.84</v>
      </c>
      <c r="D2239" t="s">
        <v>2379</v>
      </c>
      <c r="E2239" t="s">
        <v>2379</v>
      </c>
      <c r="F2239" t="s">
        <v>2379</v>
      </c>
      <c r="G2239">
        <v>0</v>
      </c>
      <c r="H2239" t="s">
        <v>2379</v>
      </c>
      <c r="I2239" t="str" cm="1">
        <f t="array" ref="I2239">_xlfn.IFS(B2239&lt;18.5,"Underweight",AND(B2239&gt;=18.5,B2239&lt;=24.99),"Normalweight",AND(B2239&gt;=25,B2239&lt;=29.99),"Overweight",B2239&gt;=30,"Obesity")</f>
        <v>Normalweight</v>
      </c>
      <c r="J2239" t="str" cm="1">
        <f t="array" ref="J2239">_xlfn.IFS(C2239&lt;5.7,"Normal",AND(C2239&gt;=5.7,C2239&lt;=6.49),"Prediabetes",C2239&gt;=6.5,"Diabetes")</f>
        <v>Diabetes</v>
      </c>
    </row>
    <row r="2240" spans="1:10" x14ac:dyDescent="0.3">
      <c r="A2240" t="s">
        <v>119</v>
      </c>
      <c r="B2240" s="8">
        <v>18.579999999999998</v>
      </c>
      <c r="C2240">
        <v>6.22</v>
      </c>
      <c r="D2240" t="s">
        <v>2379</v>
      </c>
      <c r="E2240" t="s">
        <v>2379</v>
      </c>
      <c r="F2240" t="s">
        <v>2379</v>
      </c>
      <c r="G2240">
        <v>0</v>
      </c>
      <c r="H2240" t="s">
        <v>2379</v>
      </c>
      <c r="I2240" t="str" cm="1">
        <f t="array" ref="I2240">_xlfn.IFS(B2240&lt;18.5,"Underweight",AND(B2240&gt;=18.5,B2240&lt;=24.99),"Normalweight",AND(B2240&gt;=25,B2240&lt;=29.99),"Overweight",B2240&gt;=30,"Obesity")</f>
        <v>Normalweight</v>
      </c>
      <c r="J2240" t="str" cm="1">
        <f t="array" ref="J2240">_xlfn.IFS(C2240&lt;5.7,"Normal",AND(C2240&gt;=5.7,C2240&lt;=6.49),"Prediabetes",C2240&gt;=6.5,"Diabetes")</f>
        <v>Prediabetes</v>
      </c>
    </row>
    <row r="2241" spans="1:10" x14ac:dyDescent="0.3">
      <c r="A2241" t="s">
        <v>118</v>
      </c>
      <c r="B2241" s="8">
        <v>16.64</v>
      </c>
      <c r="C2241">
        <v>10.01</v>
      </c>
      <c r="D2241" t="s">
        <v>2379</v>
      </c>
      <c r="E2241" t="s">
        <v>2379</v>
      </c>
      <c r="F2241" t="s">
        <v>2379</v>
      </c>
      <c r="G2241">
        <v>0</v>
      </c>
      <c r="H2241" t="s">
        <v>2379</v>
      </c>
      <c r="I2241" t="str" cm="1">
        <f t="array" ref="I2241">_xlfn.IFS(B2241&lt;18.5,"Underweight",AND(B2241&gt;=18.5,B2241&lt;=24.99),"Normalweight",AND(B2241&gt;=25,B2241&lt;=29.99),"Overweight",B2241&gt;=30,"Obesity")</f>
        <v>Underweight</v>
      </c>
      <c r="J2241" t="str" cm="1">
        <f t="array" ref="J2241">_xlfn.IFS(C2241&lt;5.7,"Normal",AND(C2241&gt;=5.7,C2241&lt;=6.49),"Prediabetes",C2241&gt;=6.5,"Diabetes")</f>
        <v>Diabetes</v>
      </c>
    </row>
    <row r="2242" spans="1:10" x14ac:dyDescent="0.3">
      <c r="A2242" t="s">
        <v>117</v>
      </c>
      <c r="B2242" s="8">
        <v>19.329999999999998</v>
      </c>
      <c r="C2242">
        <v>4.32</v>
      </c>
      <c r="D2242" t="s">
        <v>2379</v>
      </c>
      <c r="E2242" t="s">
        <v>2379</v>
      </c>
      <c r="F2242" t="s">
        <v>2379</v>
      </c>
      <c r="G2242">
        <v>1</v>
      </c>
      <c r="H2242" t="s">
        <v>2379</v>
      </c>
      <c r="I2242" t="str" cm="1">
        <f t="array" ref="I2242">_xlfn.IFS(B2242&lt;18.5,"Underweight",AND(B2242&gt;=18.5,B2242&lt;=24.99),"Normalweight",AND(B2242&gt;=25,B2242&lt;=29.99),"Overweight",B2242&gt;=30,"Obesity")</f>
        <v>Normalweight</v>
      </c>
      <c r="J2242" t="str" cm="1">
        <f t="array" ref="J2242">_xlfn.IFS(C2242&lt;5.7,"Normal",AND(C2242&gt;=5.7,C2242&lt;=6.49),"Prediabetes",C2242&gt;=6.5,"Diabetes")</f>
        <v>Normal</v>
      </c>
    </row>
    <row r="2243" spans="1:10" x14ac:dyDescent="0.3">
      <c r="A2243" t="s">
        <v>116</v>
      </c>
      <c r="B2243" s="8">
        <v>21.26</v>
      </c>
      <c r="C2243">
        <v>5.65</v>
      </c>
      <c r="D2243" t="s">
        <v>2381</v>
      </c>
      <c r="E2243" t="s">
        <v>2379</v>
      </c>
      <c r="F2243" t="s">
        <v>2381</v>
      </c>
      <c r="G2243">
        <v>1</v>
      </c>
      <c r="H2243" t="s">
        <v>2379</v>
      </c>
      <c r="I2243" t="str" cm="1">
        <f t="array" ref="I2243">_xlfn.IFS(B2243&lt;18.5,"Underweight",AND(B2243&gt;=18.5,B2243&lt;=24.99),"Normalweight",AND(B2243&gt;=25,B2243&lt;=29.99),"Overweight",B2243&gt;=30,"Obesity")</f>
        <v>Normalweight</v>
      </c>
      <c r="J2243" t="str" cm="1">
        <f t="array" ref="J2243">_xlfn.IFS(C2243&lt;5.7,"Normal",AND(C2243&gt;=5.7,C2243&lt;=6.49),"Prediabetes",C2243&gt;=6.5,"Diabetes")</f>
        <v>Normal</v>
      </c>
    </row>
    <row r="2244" spans="1:10" x14ac:dyDescent="0.3">
      <c r="A2244" t="s">
        <v>115</v>
      </c>
      <c r="B2244" s="8">
        <v>15.6</v>
      </c>
      <c r="C2244">
        <v>4.12</v>
      </c>
      <c r="D2244" t="s">
        <v>2381</v>
      </c>
      <c r="E2244" t="s">
        <v>2379</v>
      </c>
      <c r="F2244" t="s">
        <v>2379</v>
      </c>
      <c r="G2244">
        <v>1</v>
      </c>
      <c r="H2244" t="s">
        <v>2379</v>
      </c>
      <c r="I2244" t="str" cm="1">
        <f t="array" ref="I2244">_xlfn.IFS(B2244&lt;18.5,"Underweight",AND(B2244&gt;=18.5,B2244&lt;=24.99),"Normalweight",AND(B2244&gt;=25,B2244&lt;=29.99),"Overweight",B2244&gt;=30,"Obesity")</f>
        <v>Underweight</v>
      </c>
      <c r="J2244" t="str" cm="1">
        <f t="array" ref="J2244">_xlfn.IFS(C2244&lt;5.7,"Normal",AND(C2244&gt;=5.7,C2244&lt;=6.49),"Prediabetes",C2244&gt;=6.5,"Diabetes")</f>
        <v>Normal</v>
      </c>
    </row>
    <row r="2245" spans="1:10" x14ac:dyDescent="0.3">
      <c r="A2245" t="s">
        <v>114</v>
      </c>
      <c r="B2245" s="8">
        <v>24.39</v>
      </c>
      <c r="C2245">
        <v>6.24</v>
      </c>
      <c r="D2245" t="s">
        <v>2379</v>
      </c>
      <c r="E2245" t="s">
        <v>2379</v>
      </c>
      <c r="F2245" t="s">
        <v>2379</v>
      </c>
      <c r="G2245">
        <v>1</v>
      </c>
      <c r="H2245" t="s">
        <v>2379</v>
      </c>
      <c r="I2245" t="str" cm="1">
        <f t="array" ref="I2245">_xlfn.IFS(B2245&lt;18.5,"Underweight",AND(B2245&gt;=18.5,B2245&lt;=24.99),"Normalweight",AND(B2245&gt;=25,B2245&lt;=29.99),"Overweight",B2245&gt;=30,"Obesity")</f>
        <v>Normalweight</v>
      </c>
      <c r="J2245" t="str" cm="1">
        <f t="array" ref="J2245">_xlfn.IFS(C2245&lt;5.7,"Normal",AND(C2245&gt;=5.7,C2245&lt;=6.49),"Prediabetes",C2245&gt;=6.5,"Diabetes")</f>
        <v>Prediabetes</v>
      </c>
    </row>
    <row r="2246" spans="1:10" x14ac:dyDescent="0.3">
      <c r="A2246" t="s">
        <v>113</v>
      </c>
      <c r="B2246" s="8">
        <v>24.75</v>
      </c>
      <c r="C2246">
        <v>4.83</v>
      </c>
      <c r="D2246" t="s">
        <v>2379</v>
      </c>
      <c r="E2246" t="s">
        <v>2379</v>
      </c>
      <c r="F2246" t="s">
        <v>2379</v>
      </c>
      <c r="G2246">
        <v>0</v>
      </c>
      <c r="H2246" t="s">
        <v>2379</v>
      </c>
      <c r="I2246" t="str" cm="1">
        <f t="array" ref="I2246">_xlfn.IFS(B2246&lt;18.5,"Underweight",AND(B2246&gt;=18.5,B2246&lt;=24.99),"Normalweight",AND(B2246&gt;=25,B2246&lt;=29.99),"Overweight",B2246&gt;=30,"Obesity")</f>
        <v>Normalweight</v>
      </c>
      <c r="J2246" t="str" cm="1">
        <f t="array" ref="J2246">_xlfn.IFS(C2246&lt;5.7,"Normal",AND(C2246&gt;=5.7,C2246&lt;=6.49),"Prediabetes",C2246&gt;=6.5,"Diabetes")</f>
        <v>Normal</v>
      </c>
    </row>
    <row r="2247" spans="1:10" x14ac:dyDescent="0.3">
      <c r="A2247" t="s">
        <v>112</v>
      </c>
      <c r="B2247" s="8">
        <v>20.88</v>
      </c>
      <c r="C2247">
        <v>7.4</v>
      </c>
      <c r="D2247" t="s">
        <v>2379</v>
      </c>
      <c r="E2247" t="s">
        <v>2379</v>
      </c>
      <c r="F2247" t="s">
        <v>2379</v>
      </c>
      <c r="G2247">
        <v>0</v>
      </c>
      <c r="H2247" t="s">
        <v>2379</v>
      </c>
      <c r="I2247" t="str" cm="1">
        <f t="array" ref="I2247">_xlfn.IFS(B2247&lt;18.5,"Underweight",AND(B2247&gt;=18.5,B2247&lt;=24.99),"Normalweight",AND(B2247&gt;=25,B2247&lt;=29.99),"Overweight",B2247&gt;=30,"Obesity")</f>
        <v>Normalweight</v>
      </c>
      <c r="J2247" t="str" cm="1">
        <f t="array" ref="J2247">_xlfn.IFS(C2247&lt;5.7,"Normal",AND(C2247&gt;=5.7,C2247&lt;=6.49),"Prediabetes",C2247&gt;=6.5,"Diabetes")</f>
        <v>Diabetes</v>
      </c>
    </row>
    <row r="2248" spans="1:10" x14ac:dyDescent="0.3">
      <c r="A2248" t="s">
        <v>111</v>
      </c>
      <c r="B2248" s="8">
        <v>20.43</v>
      </c>
      <c r="C2248">
        <v>4.54</v>
      </c>
      <c r="D2248" t="s">
        <v>2379</v>
      </c>
      <c r="E2248" t="s">
        <v>2379</v>
      </c>
      <c r="F2248" t="s">
        <v>2379</v>
      </c>
      <c r="G2248">
        <v>0</v>
      </c>
      <c r="H2248" t="s">
        <v>2379</v>
      </c>
      <c r="I2248" t="str" cm="1">
        <f t="array" ref="I2248">_xlfn.IFS(B2248&lt;18.5,"Underweight",AND(B2248&gt;=18.5,B2248&lt;=24.99),"Normalweight",AND(B2248&gt;=25,B2248&lt;=29.99),"Overweight",B2248&gt;=30,"Obesity")</f>
        <v>Normalweight</v>
      </c>
      <c r="J2248" t="str" cm="1">
        <f t="array" ref="J2248">_xlfn.IFS(C2248&lt;5.7,"Normal",AND(C2248&gt;=5.7,C2248&lt;=6.49),"Prediabetes",C2248&gt;=6.5,"Diabetes")</f>
        <v>Normal</v>
      </c>
    </row>
    <row r="2249" spans="1:10" x14ac:dyDescent="0.3">
      <c r="A2249" t="s">
        <v>110</v>
      </c>
      <c r="B2249" s="8">
        <v>15.18</v>
      </c>
      <c r="C2249">
        <v>11.11</v>
      </c>
      <c r="D2249" t="s">
        <v>2379</v>
      </c>
      <c r="E2249" t="s">
        <v>2379</v>
      </c>
      <c r="F2249" t="s">
        <v>2379</v>
      </c>
      <c r="G2249">
        <v>0</v>
      </c>
      <c r="H2249" t="s">
        <v>2379</v>
      </c>
      <c r="I2249" t="str" cm="1">
        <f t="array" ref="I2249">_xlfn.IFS(B2249&lt;18.5,"Underweight",AND(B2249&gt;=18.5,B2249&lt;=24.99),"Normalweight",AND(B2249&gt;=25,B2249&lt;=29.99),"Overweight",B2249&gt;=30,"Obesity")</f>
        <v>Underweight</v>
      </c>
      <c r="J2249" t="str" cm="1">
        <f t="array" ref="J2249">_xlfn.IFS(C2249&lt;5.7,"Normal",AND(C2249&gt;=5.7,C2249&lt;=6.49),"Prediabetes",C2249&gt;=6.5,"Diabetes")</f>
        <v>Diabetes</v>
      </c>
    </row>
    <row r="2250" spans="1:10" x14ac:dyDescent="0.3">
      <c r="A2250" t="s">
        <v>109</v>
      </c>
      <c r="B2250" s="8">
        <v>15.12</v>
      </c>
      <c r="C2250">
        <v>4.03</v>
      </c>
      <c r="D2250" t="s">
        <v>2381</v>
      </c>
      <c r="E2250" t="s">
        <v>2379</v>
      </c>
      <c r="F2250" t="s">
        <v>2379</v>
      </c>
      <c r="G2250">
        <v>0</v>
      </c>
      <c r="H2250" t="s">
        <v>2379</v>
      </c>
      <c r="I2250" t="str" cm="1">
        <f t="array" ref="I2250">_xlfn.IFS(B2250&lt;18.5,"Underweight",AND(B2250&gt;=18.5,B2250&lt;=24.99),"Normalweight",AND(B2250&gt;=25,B2250&lt;=29.99),"Overweight",B2250&gt;=30,"Obesity")</f>
        <v>Underweight</v>
      </c>
      <c r="J2250" t="str" cm="1">
        <f t="array" ref="J2250">_xlfn.IFS(C2250&lt;5.7,"Normal",AND(C2250&gt;=5.7,C2250&lt;=6.49),"Prediabetes",C2250&gt;=6.5,"Diabetes")</f>
        <v>Normal</v>
      </c>
    </row>
    <row r="2251" spans="1:10" x14ac:dyDescent="0.3">
      <c r="A2251" t="s">
        <v>108</v>
      </c>
      <c r="B2251" s="8">
        <v>23.88</v>
      </c>
      <c r="C2251">
        <v>4.51</v>
      </c>
      <c r="D2251" t="s">
        <v>2379</v>
      </c>
      <c r="E2251" t="s">
        <v>2379</v>
      </c>
      <c r="F2251" t="s">
        <v>2379</v>
      </c>
      <c r="G2251">
        <v>1</v>
      </c>
      <c r="H2251" t="s">
        <v>2379</v>
      </c>
      <c r="I2251" t="str" cm="1">
        <f t="array" ref="I2251">_xlfn.IFS(B2251&lt;18.5,"Underweight",AND(B2251&gt;=18.5,B2251&lt;=24.99),"Normalweight",AND(B2251&gt;=25,B2251&lt;=29.99),"Overweight",B2251&gt;=30,"Obesity")</f>
        <v>Normalweight</v>
      </c>
      <c r="J2251" t="str" cm="1">
        <f t="array" ref="J2251">_xlfn.IFS(C2251&lt;5.7,"Normal",AND(C2251&gt;=5.7,C2251&lt;=6.49),"Prediabetes",C2251&gt;=6.5,"Diabetes")</f>
        <v>Normal</v>
      </c>
    </row>
    <row r="2252" spans="1:10" x14ac:dyDescent="0.3">
      <c r="A2252" t="s">
        <v>107</v>
      </c>
      <c r="B2252" s="8">
        <v>16.13</v>
      </c>
      <c r="C2252">
        <v>5.56</v>
      </c>
      <c r="D2252" t="s">
        <v>2379</v>
      </c>
      <c r="E2252" t="s">
        <v>2380</v>
      </c>
      <c r="F2252" t="s">
        <v>2379</v>
      </c>
      <c r="G2252">
        <v>1</v>
      </c>
      <c r="H2252" t="s">
        <v>2379</v>
      </c>
      <c r="I2252" t="str" cm="1">
        <f t="array" ref="I2252">_xlfn.IFS(B2252&lt;18.5,"Underweight",AND(B2252&gt;=18.5,B2252&lt;=24.99),"Normalweight",AND(B2252&gt;=25,B2252&lt;=29.99),"Overweight",B2252&gt;=30,"Obesity")</f>
        <v>Underweight</v>
      </c>
      <c r="J2252" t="str" cm="1">
        <f t="array" ref="J2252">_xlfn.IFS(C2252&lt;5.7,"Normal",AND(C2252&gt;=5.7,C2252&lt;=6.49),"Prediabetes",C2252&gt;=6.5,"Diabetes")</f>
        <v>Normal</v>
      </c>
    </row>
    <row r="2253" spans="1:10" x14ac:dyDescent="0.3">
      <c r="A2253" t="s">
        <v>106</v>
      </c>
      <c r="B2253" s="8">
        <v>24.09</v>
      </c>
      <c r="C2253">
        <v>4.0999999999999996</v>
      </c>
      <c r="D2253" t="s">
        <v>2379</v>
      </c>
      <c r="E2253" t="s">
        <v>2380</v>
      </c>
      <c r="F2253" t="s">
        <v>2379</v>
      </c>
      <c r="G2253">
        <v>1</v>
      </c>
      <c r="H2253" t="s">
        <v>2379</v>
      </c>
      <c r="I2253" t="str" cm="1">
        <f t="array" ref="I2253">_xlfn.IFS(B2253&lt;18.5,"Underweight",AND(B2253&gt;=18.5,B2253&lt;=24.99),"Normalweight",AND(B2253&gt;=25,B2253&lt;=29.99),"Overweight",B2253&gt;=30,"Obesity")</f>
        <v>Normalweight</v>
      </c>
      <c r="J2253" t="str" cm="1">
        <f t="array" ref="J2253">_xlfn.IFS(C2253&lt;5.7,"Normal",AND(C2253&gt;=5.7,C2253&lt;=6.49),"Prediabetes",C2253&gt;=6.5,"Diabetes")</f>
        <v>Normal</v>
      </c>
    </row>
    <row r="2254" spans="1:10" x14ac:dyDescent="0.3">
      <c r="A2254" t="s">
        <v>105</v>
      </c>
      <c r="B2254" s="8">
        <v>19.43</v>
      </c>
      <c r="C2254">
        <v>5.85</v>
      </c>
      <c r="D2254" t="s">
        <v>2379</v>
      </c>
      <c r="E2254" t="s">
        <v>2380</v>
      </c>
      <c r="F2254" t="s">
        <v>2379</v>
      </c>
      <c r="G2254">
        <v>1</v>
      </c>
      <c r="H2254" t="s">
        <v>2379</v>
      </c>
      <c r="I2254" t="str" cm="1">
        <f t="array" ref="I2254">_xlfn.IFS(B2254&lt;18.5,"Underweight",AND(B2254&gt;=18.5,B2254&lt;=24.99),"Normalweight",AND(B2254&gt;=25,B2254&lt;=29.99),"Overweight",B2254&gt;=30,"Obesity")</f>
        <v>Normalweight</v>
      </c>
      <c r="J2254" t="str" cm="1">
        <f t="array" ref="J2254">_xlfn.IFS(C2254&lt;5.7,"Normal",AND(C2254&gt;=5.7,C2254&lt;=6.49),"Prediabetes",C2254&gt;=6.5,"Diabetes")</f>
        <v>Prediabetes</v>
      </c>
    </row>
    <row r="2255" spans="1:10" x14ac:dyDescent="0.3">
      <c r="A2255" t="s">
        <v>104</v>
      </c>
      <c r="B2255" s="8">
        <v>15.22</v>
      </c>
      <c r="C2255">
        <v>4.92</v>
      </c>
      <c r="D2255" t="s">
        <v>2381</v>
      </c>
      <c r="E2255" t="s">
        <v>2379</v>
      </c>
      <c r="F2255" t="s">
        <v>2381</v>
      </c>
      <c r="G2255">
        <v>1</v>
      </c>
      <c r="H2255" t="s">
        <v>2379</v>
      </c>
      <c r="I2255" t="str" cm="1">
        <f t="array" ref="I2255">_xlfn.IFS(B2255&lt;18.5,"Underweight",AND(B2255&gt;=18.5,B2255&lt;=24.99),"Normalweight",AND(B2255&gt;=25,B2255&lt;=29.99),"Overweight",B2255&gt;=30,"Obesity")</f>
        <v>Underweight</v>
      </c>
      <c r="J2255" t="str" cm="1">
        <f t="array" ref="J2255">_xlfn.IFS(C2255&lt;5.7,"Normal",AND(C2255&gt;=5.7,C2255&lt;=6.49),"Prediabetes",C2255&gt;=6.5,"Diabetes")</f>
        <v>Normal</v>
      </c>
    </row>
    <row r="2256" spans="1:10" x14ac:dyDescent="0.3">
      <c r="A2256" t="s">
        <v>103</v>
      </c>
      <c r="B2256" s="8">
        <v>20.72</v>
      </c>
      <c r="C2256">
        <v>9.4600000000000009</v>
      </c>
      <c r="D2256" t="s">
        <v>2379</v>
      </c>
      <c r="E2256" t="s">
        <v>2379</v>
      </c>
      <c r="F2256" t="s">
        <v>2379</v>
      </c>
      <c r="G2256">
        <v>0</v>
      </c>
      <c r="H2256" t="s">
        <v>2379</v>
      </c>
      <c r="I2256" t="str" cm="1">
        <f t="array" ref="I2256">_xlfn.IFS(B2256&lt;18.5,"Underweight",AND(B2256&gt;=18.5,B2256&lt;=24.99),"Normalweight",AND(B2256&gt;=25,B2256&lt;=29.99),"Overweight",B2256&gt;=30,"Obesity")</f>
        <v>Normalweight</v>
      </c>
      <c r="J2256" t="str" cm="1">
        <f t="array" ref="J2256">_xlfn.IFS(C2256&lt;5.7,"Normal",AND(C2256&gt;=5.7,C2256&lt;=6.49),"Prediabetes",C2256&gt;=6.5,"Diabetes")</f>
        <v>Diabetes</v>
      </c>
    </row>
    <row r="2257" spans="1:10" x14ac:dyDescent="0.3">
      <c r="A2257" t="s">
        <v>102</v>
      </c>
      <c r="B2257" s="8">
        <v>35.4</v>
      </c>
      <c r="C2257">
        <v>5.94</v>
      </c>
      <c r="D2257" t="s">
        <v>2379</v>
      </c>
      <c r="E2257" t="s">
        <v>2379</v>
      </c>
      <c r="F2257" t="s">
        <v>2381</v>
      </c>
      <c r="G2257">
        <v>1</v>
      </c>
      <c r="H2257" t="s">
        <v>2379</v>
      </c>
      <c r="I2257" t="str" cm="1">
        <f t="array" ref="I2257">_xlfn.IFS(B2257&lt;18.5,"Underweight",AND(B2257&gt;=18.5,B2257&lt;=24.99),"Normalweight",AND(B2257&gt;=25,B2257&lt;=29.99),"Overweight",B2257&gt;=30,"Obesity")</f>
        <v>Obesity</v>
      </c>
      <c r="J2257" t="str" cm="1">
        <f t="array" ref="J2257">_xlfn.IFS(C2257&lt;5.7,"Normal",AND(C2257&gt;=5.7,C2257&lt;=6.49),"Prediabetes",C2257&gt;=6.5,"Diabetes")</f>
        <v>Prediabetes</v>
      </c>
    </row>
    <row r="2258" spans="1:10" x14ac:dyDescent="0.3">
      <c r="A2258" t="s">
        <v>101</v>
      </c>
      <c r="B2258" s="8">
        <v>34.4</v>
      </c>
      <c r="C2258">
        <v>5.7</v>
      </c>
      <c r="D2258" t="s">
        <v>2379</v>
      </c>
      <c r="E2258" t="s">
        <v>2379</v>
      </c>
      <c r="F2258" t="s">
        <v>2381</v>
      </c>
      <c r="G2258">
        <v>1</v>
      </c>
      <c r="H2258" t="s">
        <v>2379</v>
      </c>
      <c r="I2258" t="str" cm="1">
        <f t="array" ref="I2258">_xlfn.IFS(B2258&lt;18.5,"Underweight",AND(B2258&gt;=18.5,B2258&lt;=24.99),"Normalweight",AND(B2258&gt;=25,B2258&lt;=29.99),"Overweight",B2258&gt;=30,"Obesity")</f>
        <v>Obesity</v>
      </c>
      <c r="J2258" t="str" cm="1">
        <f t="array" ref="J2258">_xlfn.IFS(C2258&lt;5.7,"Normal",AND(C2258&gt;=5.7,C2258&lt;=6.49),"Prediabetes",C2258&gt;=6.5,"Diabetes")</f>
        <v>Prediabetes</v>
      </c>
    </row>
    <row r="2259" spans="1:10" x14ac:dyDescent="0.3">
      <c r="A2259" t="s">
        <v>100</v>
      </c>
      <c r="B2259" s="8">
        <v>34.1</v>
      </c>
      <c r="C2259">
        <v>4.13</v>
      </c>
      <c r="D2259" t="s">
        <v>2379</v>
      </c>
      <c r="E2259" t="s">
        <v>2379</v>
      </c>
      <c r="F2259" t="s">
        <v>2381</v>
      </c>
      <c r="G2259">
        <v>1</v>
      </c>
      <c r="H2259" t="s">
        <v>2379</v>
      </c>
      <c r="I2259" t="str" cm="1">
        <f t="array" ref="I2259">_xlfn.IFS(B2259&lt;18.5,"Underweight",AND(B2259&gt;=18.5,B2259&lt;=24.99),"Normalweight",AND(B2259&gt;=25,B2259&lt;=29.99),"Overweight",B2259&gt;=30,"Obesity")</f>
        <v>Obesity</v>
      </c>
      <c r="J2259" t="str" cm="1">
        <f t="array" ref="J2259">_xlfn.IFS(C2259&lt;5.7,"Normal",AND(C2259&gt;=5.7,C2259&lt;=6.49),"Prediabetes",C2259&gt;=6.5,"Diabetes")</f>
        <v>Normal</v>
      </c>
    </row>
    <row r="2260" spans="1:10" x14ac:dyDescent="0.3">
      <c r="A2260" t="s">
        <v>99</v>
      </c>
      <c r="B2260" s="8">
        <v>30.4</v>
      </c>
      <c r="C2260">
        <v>4.7699999999999996</v>
      </c>
      <c r="D2260" t="s">
        <v>2379</v>
      </c>
      <c r="E2260" t="s">
        <v>2379</v>
      </c>
      <c r="F2260" t="s">
        <v>2381</v>
      </c>
      <c r="G2260">
        <v>1</v>
      </c>
      <c r="H2260" t="s">
        <v>2379</v>
      </c>
      <c r="I2260" t="str" cm="1">
        <f t="array" ref="I2260">_xlfn.IFS(B2260&lt;18.5,"Underweight",AND(B2260&gt;=18.5,B2260&lt;=24.99),"Normalweight",AND(B2260&gt;=25,B2260&lt;=29.99),"Overweight",B2260&gt;=30,"Obesity")</f>
        <v>Obesity</v>
      </c>
      <c r="J2260" t="str" cm="1">
        <f t="array" ref="J2260">_xlfn.IFS(C2260&lt;5.7,"Normal",AND(C2260&gt;=5.7,C2260&lt;=6.49),"Prediabetes",C2260&gt;=6.5,"Diabetes")</f>
        <v>Normal</v>
      </c>
    </row>
    <row r="2261" spans="1:10" x14ac:dyDescent="0.3">
      <c r="A2261" t="s">
        <v>98</v>
      </c>
      <c r="B2261" s="8">
        <v>28.7</v>
      </c>
      <c r="C2261">
        <v>4.99</v>
      </c>
      <c r="D2261" t="s">
        <v>2379</v>
      </c>
      <c r="E2261" t="s">
        <v>2379</v>
      </c>
      <c r="F2261" t="s">
        <v>2381</v>
      </c>
      <c r="G2261">
        <v>1</v>
      </c>
      <c r="H2261" t="s">
        <v>2379</v>
      </c>
      <c r="I2261" t="str" cm="1">
        <f t="array" ref="I2261">_xlfn.IFS(B2261&lt;18.5,"Underweight",AND(B2261&gt;=18.5,B2261&lt;=24.99),"Normalweight",AND(B2261&gt;=25,B2261&lt;=29.99),"Overweight",B2261&gt;=30,"Obesity")</f>
        <v>Overweight</v>
      </c>
      <c r="J2261" t="str" cm="1">
        <f t="array" ref="J2261">_xlfn.IFS(C2261&lt;5.7,"Normal",AND(C2261&gt;=5.7,C2261&lt;=6.49),"Prediabetes",C2261&gt;=6.5,"Diabetes")</f>
        <v>Normal</v>
      </c>
    </row>
    <row r="2262" spans="1:10" x14ac:dyDescent="0.3">
      <c r="A2262" t="s">
        <v>97</v>
      </c>
      <c r="B2262" s="8">
        <v>17.440000000000001</v>
      </c>
      <c r="C2262">
        <v>4.42</v>
      </c>
      <c r="D2262" t="s">
        <v>2381</v>
      </c>
      <c r="E2262" t="s">
        <v>2379</v>
      </c>
      <c r="F2262" t="s">
        <v>2381</v>
      </c>
      <c r="G2262">
        <v>1</v>
      </c>
      <c r="H2262" t="s">
        <v>2379</v>
      </c>
      <c r="I2262" t="str" cm="1">
        <f t="array" ref="I2262">_xlfn.IFS(B2262&lt;18.5,"Underweight",AND(B2262&gt;=18.5,B2262&lt;=24.99),"Normalweight",AND(B2262&gt;=25,B2262&lt;=29.99),"Overweight",B2262&gt;=30,"Obesity")</f>
        <v>Underweight</v>
      </c>
      <c r="J2262" t="str" cm="1">
        <f t="array" ref="J2262">_xlfn.IFS(C2262&lt;5.7,"Normal",AND(C2262&gt;=5.7,C2262&lt;=6.49),"Prediabetes",C2262&gt;=6.5,"Diabetes")</f>
        <v>Normal</v>
      </c>
    </row>
    <row r="2263" spans="1:10" x14ac:dyDescent="0.3">
      <c r="A2263" t="s">
        <v>96</v>
      </c>
      <c r="B2263" s="8">
        <v>27.6</v>
      </c>
      <c r="C2263">
        <v>4.01</v>
      </c>
      <c r="D2263" t="s">
        <v>2379</v>
      </c>
      <c r="E2263" t="s">
        <v>2379</v>
      </c>
      <c r="F2263" t="s">
        <v>2381</v>
      </c>
      <c r="G2263">
        <v>1</v>
      </c>
      <c r="H2263" t="s">
        <v>2379</v>
      </c>
      <c r="I2263" t="str" cm="1">
        <f t="array" ref="I2263">_xlfn.IFS(B2263&lt;18.5,"Underweight",AND(B2263&gt;=18.5,B2263&lt;=24.99),"Normalweight",AND(B2263&gt;=25,B2263&lt;=29.99),"Overweight",B2263&gt;=30,"Obesity")</f>
        <v>Overweight</v>
      </c>
      <c r="J2263" t="str" cm="1">
        <f t="array" ref="J2263">_xlfn.IFS(C2263&lt;5.7,"Normal",AND(C2263&gt;=5.7,C2263&lt;=6.49),"Prediabetes",C2263&gt;=6.5,"Diabetes")</f>
        <v>Normal</v>
      </c>
    </row>
    <row r="2264" spans="1:10" x14ac:dyDescent="0.3">
      <c r="A2264" t="s">
        <v>95</v>
      </c>
      <c r="B2264" s="8">
        <v>20.7</v>
      </c>
      <c r="C2264">
        <v>4.49</v>
      </c>
      <c r="D2264" t="s">
        <v>2379</v>
      </c>
      <c r="E2264" t="s">
        <v>2379</v>
      </c>
      <c r="F2264" t="s">
        <v>2381</v>
      </c>
      <c r="G2264">
        <v>1</v>
      </c>
      <c r="H2264" t="s">
        <v>2379</v>
      </c>
      <c r="I2264" t="str" cm="1">
        <f t="array" ref="I2264">_xlfn.IFS(B2264&lt;18.5,"Underweight",AND(B2264&gt;=18.5,B2264&lt;=24.99),"Normalweight",AND(B2264&gt;=25,B2264&lt;=29.99),"Overweight",B2264&gt;=30,"Obesity")</f>
        <v>Normalweight</v>
      </c>
      <c r="J2264" t="str" cm="1">
        <f t="array" ref="J2264">_xlfn.IFS(C2264&lt;5.7,"Normal",AND(C2264&gt;=5.7,C2264&lt;=6.49),"Prediabetes",C2264&gt;=6.5,"Diabetes")</f>
        <v>Normal</v>
      </c>
    </row>
    <row r="2265" spans="1:10" x14ac:dyDescent="0.3">
      <c r="A2265" t="s">
        <v>94</v>
      </c>
      <c r="B2265" s="8">
        <v>20.3</v>
      </c>
      <c r="C2265">
        <v>6.37</v>
      </c>
      <c r="D2265" t="s">
        <v>2379</v>
      </c>
      <c r="E2265" t="s">
        <v>2379</v>
      </c>
      <c r="F2265" t="s">
        <v>2381</v>
      </c>
      <c r="G2265">
        <v>1</v>
      </c>
      <c r="H2265" t="s">
        <v>2379</v>
      </c>
      <c r="I2265" t="str" cm="1">
        <f t="array" ref="I2265">_xlfn.IFS(B2265&lt;18.5,"Underweight",AND(B2265&gt;=18.5,B2265&lt;=24.99),"Normalweight",AND(B2265&gt;=25,B2265&lt;=29.99),"Overweight",B2265&gt;=30,"Obesity")</f>
        <v>Normalweight</v>
      </c>
      <c r="J2265" t="str" cm="1">
        <f t="array" ref="J2265">_xlfn.IFS(C2265&lt;5.7,"Normal",AND(C2265&gt;=5.7,C2265&lt;=6.49),"Prediabetes",C2265&gt;=6.5,"Diabetes")</f>
        <v>Prediabetes</v>
      </c>
    </row>
    <row r="2266" spans="1:10" x14ac:dyDescent="0.3">
      <c r="A2266" t="s">
        <v>93</v>
      </c>
      <c r="B2266" s="8">
        <v>19.8</v>
      </c>
      <c r="C2266">
        <v>5.12</v>
      </c>
      <c r="D2266" t="s">
        <v>2379</v>
      </c>
      <c r="E2266" t="s">
        <v>2379</v>
      </c>
      <c r="F2266" t="s">
        <v>2381</v>
      </c>
      <c r="G2266">
        <v>1</v>
      </c>
      <c r="H2266" t="s">
        <v>2379</v>
      </c>
      <c r="I2266" t="str" cm="1">
        <f t="array" ref="I2266">_xlfn.IFS(B2266&lt;18.5,"Underweight",AND(B2266&gt;=18.5,B2266&lt;=24.99),"Normalweight",AND(B2266&gt;=25,B2266&lt;=29.99),"Overweight",B2266&gt;=30,"Obesity")</f>
        <v>Normalweight</v>
      </c>
      <c r="J2266" t="str" cm="1">
        <f t="array" ref="J2266">_xlfn.IFS(C2266&lt;5.7,"Normal",AND(C2266&gt;=5.7,C2266&lt;=6.49),"Prediabetes",C2266&gt;=6.5,"Diabetes")</f>
        <v>Normal</v>
      </c>
    </row>
    <row r="2267" spans="1:10" x14ac:dyDescent="0.3">
      <c r="A2267" t="s">
        <v>92</v>
      </c>
      <c r="B2267" s="8">
        <v>21.87</v>
      </c>
      <c r="C2267">
        <v>8.59</v>
      </c>
      <c r="D2267" t="s">
        <v>2379</v>
      </c>
      <c r="E2267" t="s">
        <v>2379</v>
      </c>
      <c r="F2267" t="s">
        <v>2379</v>
      </c>
      <c r="G2267">
        <v>0</v>
      </c>
      <c r="H2267" t="s">
        <v>2379</v>
      </c>
      <c r="I2267" t="str" cm="1">
        <f t="array" ref="I2267">_xlfn.IFS(B2267&lt;18.5,"Underweight",AND(B2267&gt;=18.5,B2267&lt;=24.99),"Normalweight",AND(B2267&gt;=25,B2267&lt;=29.99),"Overweight",B2267&gt;=30,"Obesity")</f>
        <v>Normalweight</v>
      </c>
      <c r="J2267" t="str" cm="1">
        <f t="array" ref="J2267">_xlfn.IFS(C2267&lt;5.7,"Normal",AND(C2267&gt;=5.7,C2267&lt;=6.49),"Prediabetes",C2267&gt;=6.5,"Diabetes")</f>
        <v>Diabetes</v>
      </c>
    </row>
    <row r="2268" spans="1:10" x14ac:dyDescent="0.3">
      <c r="A2268" t="s">
        <v>91</v>
      </c>
      <c r="B2268" s="8">
        <v>16.600000000000001</v>
      </c>
      <c r="C2268">
        <v>5.87</v>
      </c>
      <c r="D2268" t="s">
        <v>2379</v>
      </c>
      <c r="E2268" t="s">
        <v>2379</v>
      </c>
      <c r="F2268" t="s">
        <v>2379</v>
      </c>
      <c r="G2268">
        <v>1</v>
      </c>
      <c r="H2268" t="s">
        <v>2379</v>
      </c>
      <c r="I2268" t="str" cm="1">
        <f t="array" ref="I2268">_xlfn.IFS(B2268&lt;18.5,"Underweight",AND(B2268&gt;=18.5,B2268&lt;=24.99),"Normalweight",AND(B2268&gt;=25,B2268&lt;=29.99),"Overweight",B2268&gt;=30,"Obesity")</f>
        <v>Underweight</v>
      </c>
      <c r="J2268" t="str" cm="1">
        <f t="array" ref="J2268">_xlfn.IFS(C2268&lt;5.7,"Normal",AND(C2268&gt;=5.7,C2268&lt;=6.49),"Prediabetes",C2268&gt;=6.5,"Diabetes")</f>
        <v>Prediabetes</v>
      </c>
    </row>
    <row r="2269" spans="1:10" x14ac:dyDescent="0.3">
      <c r="A2269" t="s">
        <v>90</v>
      </c>
      <c r="B2269" s="8">
        <v>21.98</v>
      </c>
      <c r="C2269">
        <v>7.03</v>
      </c>
      <c r="D2269" t="s">
        <v>2379</v>
      </c>
      <c r="E2269" t="s">
        <v>2379</v>
      </c>
      <c r="F2269" t="s">
        <v>2379</v>
      </c>
      <c r="G2269">
        <v>0</v>
      </c>
      <c r="H2269" t="s">
        <v>2379</v>
      </c>
      <c r="I2269" t="str" cm="1">
        <f t="array" ref="I2269">_xlfn.IFS(B2269&lt;18.5,"Underweight",AND(B2269&gt;=18.5,B2269&lt;=24.99),"Normalweight",AND(B2269&gt;=25,B2269&lt;=29.99),"Overweight",B2269&gt;=30,"Obesity")</f>
        <v>Normalweight</v>
      </c>
      <c r="J2269" t="str" cm="1">
        <f t="array" ref="J2269">_xlfn.IFS(C2269&lt;5.7,"Normal",AND(C2269&gt;=5.7,C2269&lt;=6.49),"Prediabetes",C2269&gt;=6.5,"Diabetes")</f>
        <v>Diabetes</v>
      </c>
    </row>
    <row r="2270" spans="1:10" x14ac:dyDescent="0.3">
      <c r="A2270" t="s">
        <v>89</v>
      </c>
      <c r="B2270" s="8">
        <v>19.7</v>
      </c>
      <c r="C2270">
        <v>5.51</v>
      </c>
      <c r="D2270" t="s">
        <v>2379</v>
      </c>
      <c r="E2270" t="s">
        <v>2379</v>
      </c>
      <c r="F2270" t="s">
        <v>2379</v>
      </c>
      <c r="G2270">
        <v>1</v>
      </c>
      <c r="H2270" t="s">
        <v>2379</v>
      </c>
      <c r="I2270" t="str" cm="1">
        <f t="array" ref="I2270">_xlfn.IFS(B2270&lt;18.5,"Underweight",AND(B2270&gt;=18.5,B2270&lt;=24.99),"Normalweight",AND(B2270&gt;=25,B2270&lt;=29.99),"Overweight",B2270&gt;=30,"Obesity")</f>
        <v>Normalweight</v>
      </c>
      <c r="J2270" t="str" cm="1">
        <f t="array" ref="J2270">_xlfn.IFS(C2270&lt;5.7,"Normal",AND(C2270&gt;=5.7,C2270&lt;=6.49),"Prediabetes",C2270&gt;=6.5,"Diabetes")</f>
        <v>Normal</v>
      </c>
    </row>
    <row r="2271" spans="1:10" x14ac:dyDescent="0.3">
      <c r="A2271" t="s">
        <v>88</v>
      </c>
      <c r="B2271" s="8">
        <v>19.21</v>
      </c>
      <c r="C2271">
        <v>4.76</v>
      </c>
      <c r="D2271" t="s">
        <v>2379</v>
      </c>
      <c r="E2271" t="s">
        <v>2380</v>
      </c>
      <c r="F2271" t="s">
        <v>2379</v>
      </c>
      <c r="G2271">
        <v>1</v>
      </c>
      <c r="H2271" t="s">
        <v>2379</v>
      </c>
      <c r="I2271" t="str" cm="1">
        <f t="array" ref="I2271">_xlfn.IFS(B2271&lt;18.5,"Underweight",AND(B2271&gt;=18.5,B2271&lt;=24.99),"Normalweight",AND(B2271&gt;=25,B2271&lt;=29.99),"Overweight",B2271&gt;=30,"Obesity")</f>
        <v>Normalweight</v>
      </c>
      <c r="J2271" t="str" cm="1">
        <f t="array" ref="J2271">_xlfn.IFS(C2271&lt;5.7,"Normal",AND(C2271&gt;=5.7,C2271&lt;=6.49),"Prediabetes",C2271&gt;=6.5,"Diabetes")</f>
        <v>Normal</v>
      </c>
    </row>
    <row r="2272" spans="1:10" x14ac:dyDescent="0.3">
      <c r="A2272" t="s">
        <v>87</v>
      </c>
      <c r="B2272" s="8">
        <v>19.3</v>
      </c>
      <c r="C2272">
        <v>4.7</v>
      </c>
      <c r="D2272" t="s">
        <v>2379</v>
      </c>
      <c r="E2272" t="s">
        <v>2380</v>
      </c>
      <c r="F2272" t="s">
        <v>2379</v>
      </c>
      <c r="G2272">
        <v>1</v>
      </c>
      <c r="H2272" t="s">
        <v>2379</v>
      </c>
      <c r="I2272" t="str" cm="1">
        <f t="array" ref="I2272">_xlfn.IFS(B2272&lt;18.5,"Underweight",AND(B2272&gt;=18.5,B2272&lt;=24.99),"Normalweight",AND(B2272&gt;=25,B2272&lt;=29.99),"Overweight",B2272&gt;=30,"Obesity")</f>
        <v>Normalweight</v>
      </c>
      <c r="J2272" t="str" cm="1">
        <f t="array" ref="J2272">_xlfn.IFS(C2272&lt;5.7,"Normal",AND(C2272&gt;=5.7,C2272&lt;=6.49),"Prediabetes",C2272&gt;=6.5,"Diabetes")</f>
        <v>Normal</v>
      </c>
    </row>
    <row r="2273" spans="1:10" x14ac:dyDescent="0.3">
      <c r="A2273" t="s">
        <v>86</v>
      </c>
      <c r="B2273" s="8">
        <v>16.22</v>
      </c>
      <c r="C2273">
        <v>6.21</v>
      </c>
      <c r="D2273" t="s">
        <v>2381</v>
      </c>
      <c r="E2273" t="s">
        <v>2379</v>
      </c>
      <c r="F2273" t="s">
        <v>2379</v>
      </c>
      <c r="G2273">
        <v>0</v>
      </c>
      <c r="H2273" t="s">
        <v>2379</v>
      </c>
      <c r="I2273" t="str" cm="1">
        <f t="array" ref="I2273">_xlfn.IFS(B2273&lt;18.5,"Underweight",AND(B2273&gt;=18.5,B2273&lt;=24.99),"Normalweight",AND(B2273&gt;=25,B2273&lt;=29.99),"Overweight",B2273&gt;=30,"Obesity")</f>
        <v>Underweight</v>
      </c>
      <c r="J2273" t="str" cm="1">
        <f t="array" ref="J2273">_xlfn.IFS(C2273&lt;5.7,"Normal",AND(C2273&gt;=5.7,C2273&lt;=6.49),"Prediabetes",C2273&gt;=6.5,"Diabetes")</f>
        <v>Prediabetes</v>
      </c>
    </row>
    <row r="2274" spans="1:10" x14ac:dyDescent="0.3">
      <c r="A2274" t="s">
        <v>85</v>
      </c>
      <c r="B2274" s="8">
        <v>17.12</v>
      </c>
      <c r="C2274">
        <v>4.5199999999999996</v>
      </c>
      <c r="D2274" t="s">
        <v>2379</v>
      </c>
      <c r="E2274" t="s">
        <v>2380</v>
      </c>
      <c r="F2274" t="s">
        <v>2379</v>
      </c>
      <c r="G2274">
        <v>1</v>
      </c>
      <c r="H2274" t="s">
        <v>2379</v>
      </c>
      <c r="I2274" t="str" cm="1">
        <f t="array" ref="I2274">_xlfn.IFS(B2274&lt;18.5,"Underweight",AND(B2274&gt;=18.5,B2274&lt;=24.99),"Normalweight",AND(B2274&gt;=25,B2274&lt;=29.99),"Overweight",B2274&gt;=30,"Obesity")</f>
        <v>Underweight</v>
      </c>
      <c r="J2274" t="str" cm="1">
        <f t="array" ref="J2274">_xlfn.IFS(C2274&lt;5.7,"Normal",AND(C2274&gt;=5.7,C2274&lt;=6.49),"Prediabetes",C2274&gt;=6.5,"Diabetes")</f>
        <v>Normal</v>
      </c>
    </row>
    <row r="2275" spans="1:10" x14ac:dyDescent="0.3">
      <c r="A2275" t="s">
        <v>84</v>
      </c>
      <c r="B2275" s="8">
        <v>19.07</v>
      </c>
      <c r="C2275">
        <v>5.45</v>
      </c>
      <c r="D2275" t="s">
        <v>2379</v>
      </c>
      <c r="E2275" t="s">
        <v>2379</v>
      </c>
      <c r="F2275" t="s">
        <v>2379</v>
      </c>
      <c r="G2275">
        <v>1</v>
      </c>
      <c r="H2275" t="s">
        <v>2379</v>
      </c>
      <c r="I2275" t="str" cm="1">
        <f t="array" ref="I2275">_xlfn.IFS(B2275&lt;18.5,"Underweight",AND(B2275&gt;=18.5,B2275&lt;=24.99),"Normalweight",AND(B2275&gt;=25,B2275&lt;=29.99),"Overweight",B2275&gt;=30,"Obesity")</f>
        <v>Normalweight</v>
      </c>
      <c r="J2275" t="str" cm="1">
        <f t="array" ref="J2275">_xlfn.IFS(C2275&lt;5.7,"Normal",AND(C2275&gt;=5.7,C2275&lt;=6.49),"Prediabetes",C2275&gt;=6.5,"Diabetes")</f>
        <v>Normal</v>
      </c>
    </row>
    <row r="2276" spans="1:10" x14ac:dyDescent="0.3">
      <c r="A2276" t="s">
        <v>83</v>
      </c>
      <c r="B2276" s="8">
        <v>15.56</v>
      </c>
      <c r="C2276">
        <v>4.42</v>
      </c>
      <c r="D2276" t="s">
        <v>2379</v>
      </c>
      <c r="E2276" t="s">
        <v>2379</v>
      </c>
      <c r="F2276" t="s">
        <v>2379</v>
      </c>
      <c r="G2276">
        <v>0</v>
      </c>
      <c r="H2276" t="s">
        <v>2379</v>
      </c>
      <c r="I2276" t="str" cm="1">
        <f t="array" ref="I2276">_xlfn.IFS(B2276&lt;18.5,"Underweight",AND(B2276&gt;=18.5,B2276&lt;=24.99),"Normalweight",AND(B2276&gt;=25,B2276&lt;=29.99),"Overweight",B2276&gt;=30,"Obesity")</f>
        <v>Underweight</v>
      </c>
      <c r="J2276" t="str" cm="1">
        <f t="array" ref="J2276">_xlfn.IFS(C2276&lt;5.7,"Normal",AND(C2276&gt;=5.7,C2276&lt;=6.49),"Prediabetes",C2276&gt;=6.5,"Diabetes")</f>
        <v>Normal</v>
      </c>
    </row>
    <row r="2277" spans="1:10" x14ac:dyDescent="0.3">
      <c r="A2277" t="s">
        <v>82</v>
      </c>
      <c r="B2277" s="8">
        <v>22.76</v>
      </c>
      <c r="C2277">
        <v>9.44</v>
      </c>
      <c r="D2277" t="s">
        <v>2379</v>
      </c>
      <c r="E2277" t="s">
        <v>2379</v>
      </c>
      <c r="F2277" t="s">
        <v>2379</v>
      </c>
      <c r="G2277">
        <v>0</v>
      </c>
      <c r="H2277" t="s">
        <v>2379</v>
      </c>
      <c r="I2277" t="str" cm="1">
        <f t="array" ref="I2277">_xlfn.IFS(B2277&lt;18.5,"Underweight",AND(B2277&gt;=18.5,B2277&lt;=24.99),"Normalweight",AND(B2277&gt;=25,B2277&lt;=29.99),"Overweight",B2277&gt;=30,"Obesity")</f>
        <v>Normalweight</v>
      </c>
      <c r="J2277" t="str" cm="1">
        <f t="array" ref="J2277">_xlfn.IFS(C2277&lt;5.7,"Normal",AND(C2277&gt;=5.7,C2277&lt;=6.49),"Prediabetes",C2277&gt;=6.5,"Diabetes")</f>
        <v>Diabetes</v>
      </c>
    </row>
    <row r="2278" spans="1:10" x14ac:dyDescent="0.3">
      <c r="A2278" t="s">
        <v>81</v>
      </c>
      <c r="B2278" s="8">
        <v>22.79</v>
      </c>
      <c r="C2278">
        <v>6.15</v>
      </c>
      <c r="D2278" t="s">
        <v>2381</v>
      </c>
      <c r="E2278" t="s">
        <v>2379</v>
      </c>
      <c r="F2278" t="s">
        <v>2381</v>
      </c>
      <c r="G2278">
        <v>1</v>
      </c>
      <c r="H2278" t="s">
        <v>2379</v>
      </c>
      <c r="I2278" t="str" cm="1">
        <f t="array" ref="I2278">_xlfn.IFS(B2278&lt;18.5,"Underweight",AND(B2278&gt;=18.5,B2278&lt;=24.99),"Normalweight",AND(B2278&gt;=25,B2278&lt;=29.99),"Overweight",B2278&gt;=30,"Obesity")</f>
        <v>Normalweight</v>
      </c>
      <c r="J2278" t="str" cm="1">
        <f t="array" ref="J2278">_xlfn.IFS(C2278&lt;5.7,"Normal",AND(C2278&gt;=5.7,C2278&lt;=6.49),"Prediabetes",C2278&gt;=6.5,"Diabetes")</f>
        <v>Prediabetes</v>
      </c>
    </row>
    <row r="2279" spans="1:10" x14ac:dyDescent="0.3">
      <c r="A2279" t="s">
        <v>80</v>
      </c>
      <c r="B2279" s="8">
        <v>17.41</v>
      </c>
      <c r="C2279">
        <v>5.13</v>
      </c>
      <c r="D2279" t="s">
        <v>2381</v>
      </c>
      <c r="E2279" t="s">
        <v>2379</v>
      </c>
      <c r="F2279" t="s">
        <v>2379</v>
      </c>
      <c r="G2279">
        <v>0</v>
      </c>
      <c r="H2279" t="s">
        <v>2379</v>
      </c>
      <c r="I2279" t="str" cm="1">
        <f t="array" ref="I2279">_xlfn.IFS(B2279&lt;18.5,"Underweight",AND(B2279&gt;=18.5,B2279&lt;=24.99),"Normalweight",AND(B2279&gt;=25,B2279&lt;=29.99),"Overweight",B2279&gt;=30,"Obesity")</f>
        <v>Underweight</v>
      </c>
      <c r="J2279" t="str" cm="1">
        <f t="array" ref="J2279">_xlfn.IFS(C2279&lt;5.7,"Normal",AND(C2279&gt;=5.7,C2279&lt;=6.49),"Prediabetes",C2279&gt;=6.5,"Diabetes")</f>
        <v>Normal</v>
      </c>
    </row>
    <row r="2280" spans="1:10" x14ac:dyDescent="0.3">
      <c r="A2280" t="s">
        <v>79</v>
      </c>
      <c r="B2280" s="8">
        <v>19.32</v>
      </c>
      <c r="C2280">
        <v>4.96</v>
      </c>
      <c r="D2280" t="s">
        <v>2381</v>
      </c>
      <c r="E2280" t="s">
        <v>2379</v>
      </c>
      <c r="F2280" t="s">
        <v>2379</v>
      </c>
      <c r="G2280">
        <v>0</v>
      </c>
      <c r="H2280" t="s">
        <v>2379</v>
      </c>
      <c r="I2280" t="str" cm="1">
        <f t="array" ref="I2280">_xlfn.IFS(B2280&lt;18.5,"Underweight",AND(B2280&gt;=18.5,B2280&lt;=24.99),"Normalweight",AND(B2280&gt;=25,B2280&lt;=29.99),"Overweight",B2280&gt;=30,"Obesity")</f>
        <v>Normalweight</v>
      </c>
      <c r="J2280" t="str" cm="1">
        <f t="array" ref="J2280">_xlfn.IFS(C2280&lt;5.7,"Normal",AND(C2280&gt;=5.7,C2280&lt;=6.49),"Prediabetes",C2280&gt;=6.5,"Diabetes")</f>
        <v>Normal</v>
      </c>
    </row>
    <row r="2281" spans="1:10" x14ac:dyDescent="0.3">
      <c r="A2281" t="s">
        <v>78</v>
      </c>
      <c r="B2281" s="8">
        <v>18.25</v>
      </c>
      <c r="C2281">
        <v>10.95</v>
      </c>
      <c r="D2281" t="s">
        <v>2379</v>
      </c>
      <c r="E2281" t="s">
        <v>2379</v>
      </c>
      <c r="F2281" t="s">
        <v>2379</v>
      </c>
      <c r="G2281">
        <v>0</v>
      </c>
      <c r="H2281" t="s">
        <v>2379</v>
      </c>
      <c r="I2281" t="str" cm="1">
        <f t="array" ref="I2281">_xlfn.IFS(B2281&lt;18.5,"Underweight",AND(B2281&gt;=18.5,B2281&lt;=24.99),"Normalweight",AND(B2281&gt;=25,B2281&lt;=29.99),"Overweight",B2281&gt;=30,"Obesity")</f>
        <v>Underweight</v>
      </c>
      <c r="J2281" t="str" cm="1">
        <f t="array" ref="J2281">_xlfn.IFS(C2281&lt;5.7,"Normal",AND(C2281&gt;=5.7,C2281&lt;=6.49),"Prediabetes",C2281&gt;=6.5,"Diabetes")</f>
        <v>Diabetes</v>
      </c>
    </row>
    <row r="2282" spans="1:10" x14ac:dyDescent="0.3">
      <c r="A2282" t="s">
        <v>77</v>
      </c>
      <c r="B2282" s="8">
        <v>53.13</v>
      </c>
      <c r="C2282">
        <v>4.4400000000000004</v>
      </c>
      <c r="D2282" t="s">
        <v>2379</v>
      </c>
      <c r="E2282" t="s">
        <v>2380</v>
      </c>
      <c r="F2282" t="s">
        <v>2379</v>
      </c>
      <c r="G2282">
        <v>1</v>
      </c>
      <c r="H2282" t="s">
        <v>2379</v>
      </c>
      <c r="I2282" t="str" cm="1">
        <f t="array" ref="I2282">_xlfn.IFS(B2282&lt;18.5,"Underweight",AND(B2282&gt;=18.5,B2282&lt;=24.99),"Normalweight",AND(B2282&gt;=25,B2282&lt;=29.99),"Overweight",B2282&gt;=30,"Obesity")</f>
        <v>Obesity</v>
      </c>
      <c r="J2282" t="str" cm="1">
        <f t="array" ref="J2282">_xlfn.IFS(C2282&lt;5.7,"Normal",AND(C2282&gt;=5.7,C2282&lt;=6.49),"Prediabetes",C2282&gt;=6.5,"Diabetes")</f>
        <v>Normal</v>
      </c>
    </row>
    <row r="2283" spans="1:10" x14ac:dyDescent="0.3">
      <c r="A2283" t="s">
        <v>76</v>
      </c>
      <c r="B2283" s="8">
        <v>20.46</v>
      </c>
      <c r="C2283">
        <v>4.0199999999999996</v>
      </c>
      <c r="D2283" t="s">
        <v>2379</v>
      </c>
      <c r="E2283" t="s">
        <v>2379</v>
      </c>
      <c r="F2283" t="s">
        <v>2379</v>
      </c>
      <c r="G2283">
        <v>0</v>
      </c>
      <c r="H2283" t="s">
        <v>2379</v>
      </c>
      <c r="I2283" t="str" cm="1">
        <f t="array" ref="I2283">_xlfn.IFS(B2283&lt;18.5,"Underweight",AND(B2283&gt;=18.5,B2283&lt;=24.99),"Normalweight",AND(B2283&gt;=25,B2283&lt;=29.99),"Overweight",B2283&gt;=30,"Obesity")</f>
        <v>Normalweight</v>
      </c>
      <c r="J2283" t="str" cm="1">
        <f t="array" ref="J2283">_xlfn.IFS(C2283&lt;5.7,"Normal",AND(C2283&gt;=5.7,C2283&lt;=6.49),"Prediabetes",C2283&gt;=6.5,"Diabetes")</f>
        <v>Normal</v>
      </c>
    </row>
    <row r="2284" spans="1:10" x14ac:dyDescent="0.3">
      <c r="A2284" t="s">
        <v>75</v>
      </c>
      <c r="B2284" s="8">
        <v>43.01</v>
      </c>
      <c r="C2284">
        <v>5.44</v>
      </c>
      <c r="D2284" t="s">
        <v>2379</v>
      </c>
      <c r="E2284" t="s">
        <v>2380</v>
      </c>
      <c r="F2284" t="s">
        <v>2379</v>
      </c>
      <c r="G2284">
        <v>1</v>
      </c>
      <c r="H2284" t="s">
        <v>2379</v>
      </c>
      <c r="I2284" t="str" cm="1">
        <f t="array" ref="I2284">_xlfn.IFS(B2284&lt;18.5,"Underweight",AND(B2284&gt;=18.5,B2284&lt;=24.99),"Normalweight",AND(B2284&gt;=25,B2284&lt;=29.99),"Overweight",B2284&gt;=30,"Obesity")</f>
        <v>Obesity</v>
      </c>
      <c r="J2284" t="str" cm="1">
        <f t="array" ref="J2284">_xlfn.IFS(C2284&lt;5.7,"Normal",AND(C2284&gt;=5.7,C2284&lt;=6.49),"Prediabetes",C2284&gt;=6.5,"Diabetes")</f>
        <v>Normal</v>
      </c>
    </row>
    <row r="2285" spans="1:10" x14ac:dyDescent="0.3">
      <c r="A2285" t="s">
        <v>74</v>
      </c>
      <c r="B2285" s="8">
        <v>15.01</v>
      </c>
      <c r="C2285">
        <v>4.1500000000000004</v>
      </c>
      <c r="D2285" t="s">
        <v>2379</v>
      </c>
      <c r="E2285" t="s">
        <v>2379</v>
      </c>
      <c r="F2285" t="s">
        <v>2381</v>
      </c>
      <c r="G2285">
        <v>1</v>
      </c>
      <c r="H2285" t="s">
        <v>2379</v>
      </c>
      <c r="I2285" t="str" cm="1">
        <f t="array" ref="I2285">_xlfn.IFS(B2285&lt;18.5,"Underweight",AND(B2285&gt;=18.5,B2285&lt;=24.99),"Normalweight",AND(B2285&gt;=25,B2285&lt;=29.99),"Overweight",B2285&gt;=30,"Obesity")</f>
        <v>Underweight</v>
      </c>
      <c r="J2285" t="str" cm="1">
        <f t="array" ref="J2285">_xlfn.IFS(C2285&lt;5.7,"Normal",AND(C2285&gt;=5.7,C2285&lt;=6.49),"Prediabetes",C2285&gt;=6.5,"Diabetes")</f>
        <v>Normal</v>
      </c>
    </row>
    <row r="2286" spans="1:10" x14ac:dyDescent="0.3">
      <c r="A2286" t="s">
        <v>73</v>
      </c>
      <c r="B2286" s="8">
        <v>41.14</v>
      </c>
      <c r="C2286">
        <v>6.02</v>
      </c>
      <c r="D2286" t="s">
        <v>2379</v>
      </c>
      <c r="E2286" t="s">
        <v>2380</v>
      </c>
      <c r="F2286" t="s">
        <v>2379</v>
      </c>
      <c r="G2286">
        <v>1</v>
      </c>
      <c r="H2286" t="s">
        <v>2379</v>
      </c>
      <c r="I2286" t="str" cm="1">
        <f t="array" ref="I2286">_xlfn.IFS(B2286&lt;18.5,"Underweight",AND(B2286&gt;=18.5,B2286&lt;=24.99),"Normalweight",AND(B2286&gt;=25,B2286&lt;=29.99),"Overweight",B2286&gt;=30,"Obesity")</f>
        <v>Obesity</v>
      </c>
      <c r="J2286" t="str" cm="1">
        <f t="array" ref="J2286">_xlfn.IFS(C2286&lt;5.7,"Normal",AND(C2286&gt;=5.7,C2286&lt;=6.49),"Prediabetes",C2286&gt;=6.5,"Diabetes")</f>
        <v>Prediabetes</v>
      </c>
    </row>
    <row r="2287" spans="1:10" x14ac:dyDescent="0.3">
      <c r="A2287" t="s">
        <v>72</v>
      </c>
      <c r="B2287" s="8">
        <v>16.55</v>
      </c>
      <c r="C2287">
        <v>7.73</v>
      </c>
      <c r="D2287" t="s">
        <v>2379</v>
      </c>
      <c r="E2287" t="s">
        <v>2379</v>
      </c>
      <c r="F2287" t="s">
        <v>2379</v>
      </c>
      <c r="G2287">
        <v>0</v>
      </c>
      <c r="H2287" t="s">
        <v>2379</v>
      </c>
      <c r="I2287" t="str" cm="1">
        <f t="array" ref="I2287">_xlfn.IFS(B2287&lt;18.5,"Underweight",AND(B2287&gt;=18.5,B2287&lt;=24.99),"Normalweight",AND(B2287&gt;=25,B2287&lt;=29.99),"Overweight",B2287&gt;=30,"Obesity")</f>
        <v>Underweight</v>
      </c>
      <c r="J2287" t="str" cm="1">
        <f t="array" ref="J2287">_xlfn.IFS(C2287&lt;5.7,"Normal",AND(C2287&gt;=5.7,C2287&lt;=6.49),"Prediabetes",C2287&gt;=6.5,"Diabetes")</f>
        <v>Diabetes</v>
      </c>
    </row>
    <row r="2288" spans="1:10" x14ac:dyDescent="0.3">
      <c r="A2288" t="s">
        <v>71</v>
      </c>
      <c r="B2288" s="8">
        <v>37.29</v>
      </c>
      <c r="C2288">
        <v>5.03</v>
      </c>
      <c r="D2288" t="s">
        <v>2379</v>
      </c>
      <c r="E2288" t="s">
        <v>2380</v>
      </c>
      <c r="F2288" t="s">
        <v>2379</v>
      </c>
      <c r="G2288">
        <v>1</v>
      </c>
      <c r="H2288" t="s">
        <v>2379</v>
      </c>
      <c r="I2288" t="str" cm="1">
        <f t="array" ref="I2288">_xlfn.IFS(B2288&lt;18.5,"Underweight",AND(B2288&gt;=18.5,B2288&lt;=24.99),"Normalweight",AND(B2288&gt;=25,B2288&lt;=29.99),"Overweight",B2288&gt;=30,"Obesity")</f>
        <v>Obesity</v>
      </c>
      <c r="J2288" t="str" cm="1">
        <f t="array" ref="J2288">_xlfn.IFS(C2288&lt;5.7,"Normal",AND(C2288&gt;=5.7,C2288&lt;=6.49),"Prediabetes",C2288&gt;=6.5,"Diabetes")</f>
        <v>Normal</v>
      </c>
    </row>
    <row r="2289" spans="1:10" x14ac:dyDescent="0.3">
      <c r="A2289" t="s">
        <v>70</v>
      </c>
      <c r="B2289" s="8">
        <v>16.739999999999998</v>
      </c>
      <c r="C2289">
        <v>4.08</v>
      </c>
      <c r="D2289" t="s">
        <v>2381</v>
      </c>
      <c r="E2289" t="s">
        <v>2379</v>
      </c>
      <c r="F2289" t="s">
        <v>2379</v>
      </c>
      <c r="G2289">
        <v>0</v>
      </c>
      <c r="H2289" t="s">
        <v>2379</v>
      </c>
      <c r="I2289" t="str" cm="1">
        <f t="array" ref="I2289">_xlfn.IFS(B2289&lt;18.5,"Underweight",AND(B2289&gt;=18.5,B2289&lt;=24.99),"Normalweight",AND(B2289&gt;=25,B2289&lt;=29.99),"Overweight",B2289&gt;=30,"Obesity")</f>
        <v>Underweight</v>
      </c>
      <c r="J2289" t="str" cm="1">
        <f t="array" ref="J2289">_xlfn.IFS(C2289&lt;5.7,"Normal",AND(C2289&gt;=5.7,C2289&lt;=6.49),"Prediabetes",C2289&gt;=6.5,"Diabetes")</f>
        <v>Normal</v>
      </c>
    </row>
    <row r="2290" spans="1:10" x14ac:dyDescent="0.3">
      <c r="A2290" t="s">
        <v>69</v>
      </c>
      <c r="B2290" s="8">
        <v>34.43</v>
      </c>
      <c r="C2290">
        <v>4.2699999999999996</v>
      </c>
      <c r="D2290" t="s">
        <v>2379</v>
      </c>
      <c r="E2290" t="s">
        <v>2380</v>
      </c>
      <c r="F2290" t="s">
        <v>2379</v>
      </c>
      <c r="G2290">
        <v>1</v>
      </c>
      <c r="H2290" t="s">
        <v>2379</v>
      </c>
      <c r="I2290" t="str" cm="1">
        <f t="array" ref="I2290">_xlfn.IFS(B2290&lt;18.5,"Underweight",AND(B2290&gt;=18.5,B2290&lt;=24.99),"Normalweight",AND(B2290&gt;=25,B2290&lt;=29.99),"Overweight",B2290&gt;=30,"Obesity")</f>
        <v>Obesity</v>
      </c>
      <c r="J2290" t="str" cm="1">
        <f t="array" ref="J2290">_xlfn.IFS(C2290&lt;5.7,"Normal",AND(C2290&gt;=5.7,C2290&lt;=6.49),"Prediabetes",C2290&gt;=6.5,"Diabetes")</f>
        <v>Normal</v>
      </c>
    </row>
    <row r="2291" spans="1:10" x14ac:dyDescent="0.3">
      <c r="A2291" t="s">
        <v>68</v>
      </c>
      <c r="B2291" s="8">
        <v>34.1</v>
      </c>
      <c r="C2291">
        <v>4.07</v>
      </c>
      <c r="D2291" t="s">
        <v>2379</v>
      </c>
      <c r="E2291" t="s">
        <v>2380</v>
      </c>
      <c r="F2291" t="s">
        <v>2379</v>
      </c>
      <c r="G2291">
        <v>1</v>
      </c>
      <c r="H2291" t="s">
        <v>2379</v>
      </c>
      <c r="I2291" t="str" cm="1">
        <f t="array" ref="I2291">_xlfn.IFS(B2291&lt;18.5,"Underweight",AND(B2291&gt;=18.5,B2291&lt;=24.99),"Normalweight",AND(B2291&gt;=25,B2291&lt;=29.99),"Overweight",B2291&gt;=30,"Obesity")</f>
        <v>Obesity</v>
      </c>
      <c r="J2291" t="str" cm="1">
        <f t="array" ref="J2291">_xlfn.IFS(C2291&lt;5.7,"Normal",AND(C2291&gt;=5.7,C2291&lt;=6.49),"Prediabetes",C2291&gt;=6.5,"Diabetes")</f>
        <v>Normal</v>
      </c>
    </row>
    <row r="2292" spans="1:10" x14ac:dyDescent="0.3">
      <c r="A2292" t="s">
        <v>67</v>
      </c>
      <c r="B2292" s="8">
        <v>19.3</v>
      </c>
      <c r="C2292">
        <v>10.36</v>
      </c>
      <c r="D2292" t="s">
        <v>2379</v>
      </c>
      <c r="E2292" t="s">
        <v>2379</v>
      </c>
      <c r="F2292" t="s">
        <v>2379</v>
      </c>
      <c r="G2292">
        <v>0</v>
      </c>
      <c r="H2292" t="s">
        <v>2379</v>
      </c>
      <c r="I2292" t="str" cm="1">
        <f t="array" ref="I2292">_xlfn.IFS(B2292&lt;18.5,"Underweight",AND(B2292&gt;=18.5,B2292&lt;=24.99),"Normalweight",AND(B2292&gt;=25,B2292&lt;=29.99),"Overweight",B2292&gt;=30,"Obesity")</f>
        <v>Normalweight</v>
      </c>
      <c r="J2292" t="str" cm="1">
        <f t="array" ref="J2292">_xlfn.IFS(C2292&lt;5.7,"Normal",AND(C2292&gt;=5.7,C2292&lt;=6.49),"Prediabetes",C2292&gt;=6.5,"Diabetes")</f>
        <v>Diabetes</v>
      </c>
    </row>
    <row r="2293" spans="1:10" x14ac:dyDescent="0.3">
      <c r="A2293" t="s">
        <v>66</v>
      </c>
      <c r="B2293" s="8">
        <v>33.659999999999997</v>
      </c>
      <c r="C2293">
        <v>5.71</v>
      </c>
      <c r="D2293" t="s">
        <v>2379</v>
      </c>
      <c r="E2293" t="s">
        <v>2380</v>
      </c>
      <c r="F2293" t="s">
        <v>2379</v>
      </c>
      <c r="G2293">
        <v>1</v>
      </c>
      <c r="H2293" t="s">
        <v>2379</v>
      </c>
      <c r="I2293" t="str" cm="1">
        <f t="array" ref="I2293">_xlfn.IFS(B2293&lt;18.5,"Underweight",AND(B2293&gt;=18.5,B2293&lt;=24.99),"Normalweight",AND(B2293&gt;=25,B2293&lt;=29.99),"Overweight",B2293&gt;=30,"Obesity")</f>
        <v>Obesity</v>
      </c>
      <c r="J2293" t="str" cm="1">
        <f t="array" ref="J2293">_xlfn.IFS(C2293&lt;5.7,"Normal",AND(C2293&gt;=5.7,C2293&lt;=6.49),"Prediabetes",C2293&gt;=6.5,"Diabetes")</f>
        <v>Prediabetes</v>
      </c>
    </row>
    <row r="2294" spans="1:10" x14ac:dyDescent="0.3">
      <c r="A2294" t="s">
        <v>65</v>
      </c>
      <c r="B2294" s="8">
        <v>33.33</v>
      </c>
      <c r="C2294">
        <v>6.08</v>
      </c>
      <c r="D2294" t="s">
        <v>2379</v>
      </c>
      <c r="E2294" t="s">
        <v>2380</v>
      </c>
      <c r="F2294" t="s">
        <v>2379</v>
      </c>
      <c r="G2294">
        <v>1</v>
      </c>
      <c r="H2294" t="s">
        <v>2379</v>
      </c>
      <c r="I2294" t="str" cm="1">
        <f t="array" ref="I2294">_xlfn.IFS(B2294&lt;18.5,"Underweight",AND(B2294&gt;=18.5,B2294&lt;=24.99),"Normalweight",AND(B2294&gt;=25,B2294&lt;=29.99),"Overweight",B2294&gt;=30,"Obesity")</f>
        <v>Obesity</v>
      </c>
      <c r="J2294" t="str" cm="1">
        <f t="array" ref="J2294">_xlfn.IFS(C2294&lt;5.7,"Normal",AND(C2294&gt;=5.7,C2294&lt;=6.49),"Prediabetes",C2294&gt;=6.5,"Diabetes")</f>
        <v>Prediabetes</v>
      </c>
    </row>
    <row r="2295" spans="1:10" x14ac:dyDescent="0.3">
      <c r="A2295" t="s">
        <v>64</v>
      </c>
      <c r="B2295" s="8">
        <v>21.84</v>
      </c>
      <c r="C2295">
        <v>5.71</v>
      </c>
      <c r="D2295" t="s">
        <v>2379</v>
      </c>
      <c r="E2295" t="s">
        <v>2380</v>
      </c>
      <c r="F2295" t="s">
        <v>2379</v>
      </c>
      <c r="G2295">
        <v>1</v>
      </c>
      <c r="H2295" t="s">
        <v>2379</v>
      </c>
      <c r="I2295" t="str" cm="1">
        <f t="array" ref="I2295">_xlfn.IFS(B2295&lt;18.5,"Underweight",AND(B2295&gt;=18.5,B2295&lt;=24.99),"Normalweight",AND(B2295&gt;=25,B2295&lt;=29.99),"Overweight",B2295&gt;=30,"Obesity")</f>
        <v>Normalweight</v>
      </c>
      <c r="J2295" t="str" cm="1">
        <f t="array" ref="J2295">_xlfn.IFS(C2295&lt;5.7,"Normal",AND(C2295&gt;=5.7,C2295&lt;=6.49),"Prediabetes",C2295&gt;=6.5,"Diabetes")</f>
        <v>Prediabetes</v>
      </c>
    </row>
    <row r="2296" spans="1:10" x14ac:dyDescent="0.3">
      <c r="A2296" t="s">
        <v>63</v>
      </c>
      <c r="B2296" s="8">
        <v>16.87</v>
      </c>
      <c r="C2296">
        <v>9.1300000000000008</v>
      </c>
      <c r="D2296" t="s">
        <v>2379</v>
      </c>
      <c r="E2296" t="s">
        <v>2379</v>
      </c>
      <c r="F2296" t="s">
        <v>2379</v>
      </c>
      <c r="G2296">
        <v>0</v>
      </c>
      <c r="H2296" t="s">
        <v>2379</v>
      </c>
      <c r="I2296" t="str" cm="1">
        <f t="array" ref="I2296">_xlfn.IFS(B2296&lt;18.5,"Underweight",AND(B2296&gt;=18.5,B2296&lt;=24.99),"Normalweight",AND(B2296&gt;=25,B2296&lt;=29.99),"Overweight",B2296&gt;=30,"Obesity")</f>
        <v>Underweight</v>
      </c>
      <c r="J2296" t="str" cm="1">
        <f t="array" ref="J2296">_xlfn.IFS(C2296&lt;5.7,"Normal",AND(C2296&gt;=5.7,C2296&lt;=6.49),"Prediabetes",C2296&gt;=6.5,"Diabetes")</f>
        <v>Diabetes</v>
      </c>
    </row>
    <row r="2297" spans="1:10" x14ac:dyDescent="0.3">
      <c r="A2297" t="s">
        <v>62</v>
      </c>
      <c r="B2297" s="8">
        <v>30.14</v>
      </c>
      <c r="C2297">
        <v>5.49</v>
      </c>
      <c r="D2297" t="s">
        <v>2379</v>
      </c>
      <c r="E2297" t="s">
        <v>2380</v>
      </c>
      <c r="F2297" t="s">
        <v>2379</v>
      </c>
      <c r="G2297">
        <v>1</v>
      </c>
      <c r="H2297" t="s">
        <v>2379</v>
      </c>
      <c r="I2297" t="str" cm="1">
        <f t="array" ref="I2297">_xlfn.IFS(B2297&lt;18.5,"Underweight",AND(B2297&gt;=18.5,B2297&lt;=24.99),"Normalweight",AND(B2297&gt;=25,B2297&lt;=29.99),"Overweight",B2297&gt;=30,"Obesity")</f>
        <v>Obesity</v>
      </c>
      <c r="J2297" t="str" cm="1">
        <f t="array" ref="J2297">_xlfn.IFS(C2297&lt;5.7,"Normal",AND(C2297&gt;=5.7,C2297&lt;=6.49),"Prediabetes",C2297&gt;=6.5,"Diabetes")</f>
        <v>Normal</v>
      </c>
    </row>
    <row r="2298" spans="1:10" x14ac:dyDescent="0.3">
      <c r="A2298" t="s">
        <v>61</v>
      </c>
      <c r="B2298" s="8">
        <v>23.21</v>
      </c>
      <c r="C2298">
        <v>4.37</v>
      </c>
      <c r="D2298" t="s">
        <v>2379</v>
      </c>
      <c r="E2298" t="s">
        <v>2380</v>
      </c>
      <c r="F2298" t="s">
        <v>2379</v>
      </c>
      <c r="G2298">
        <v>1</v>
      </c>
      <c r="H2298" t="s">
        <v>2379</v>
      </c>
      <c r="I2298" t="str" cm="1">
        <f t="array" ref="I2298">_xlfn.IFS(B2298&lt;18.5,"Underweight",AND(B2298&gt;=18.5,B2298&lt;=24.99),"Normalweight",AND(B2298&gt;=25,B2298&lt;=29.99),"Overweight",B2298&gt;=30,"Obesity")</f>
        <v>Normalweight</v>
      </c>
      <c r="J2298" t="str" cm="1">
        <f t="array" ref="J2298">_xlfn.IFS(C2298&lt;5.7,"Normal",AND(C2298&gt;=5.7,C2298&lt;=6.49),"Prediabetes",C2298&gt;=6.5,"Diabetes")</f>
        <v>Normal</v>
      </c>
    </row>
    <row r="2299" spans="1:10" x14ac:dyDescent="0.3">
      <c r="A2299" t="s">
        <v>60</v>
      </c>
      <c r="B2299" s="8">
        <v>17.170000000000002</v>
      </c>
      <c r="C2299">
        <v>8.4600000000000009</v>
      </c>
      <c r="D2299" t="s">
        <v>2379</v>
      </c>
      <c r="E2299" t="s">
        <v>2379</v>
      </c>
      <c r="F2299" t="s">
        <v>2379</v>
      </c>
      <c r="G2299">
        <v>0</v>
      </c>
      <c r="H2299" t="s">
        <v>2379</v>
      </c>
      <c r="I2299" t="str" cm="1">
        <f t="array" ref="I2299">_xlfn.IFS(B2299&lt;18.5,"Underweight",AND(B2299&gt;=18.5,B2299&lt;=24.99),"Normalweight",AND(B2299&gt;=25,B2299&lt;=29.99),"Overweight",B2299&gt;=30,"Obesity")</f>
        <v>Underweight</v>
      </c>
      <c r="J2299" t="str" cm="1">
        <f t="array" ref="J2299">_xlfn.IFS(C2299&lt;5.7,"Normal",AND(C2299&gt;=5.7,C2299&lt;=6.49),"Prediabetes",C2299&gt;=6.5,"Diabetes")</f>
        <v>Diabetes</v>
      </c>
    </row>
    <row r="2300" spans="1:10" x14ac:dyDescent="0.3">
      <c r="A2300" t="s">
        <v>59</v>
      </c>
      <c r="B2300" s="8">
        <v>15.61</v>
      </c>
      <c r="C2300">
        <v>5.28</v>
      </c>
      <c r="D2300" t="s">
        <v>2379</v>
      </c>
      <c r="E2300" t="s">
        <v>2379</v>
      </c>
      <c r="F2300" t="s">
        <v>2379</v>
      </c>
      <c r="G2300">
        <v>1</v>
      </c>
      <c r="H2300" t="s">
        <v>2379</v>
      </c>
      <c r="I2300" t="str" cm="1">
        <f t="array" ref="I2300">_xlfn.IFS(B2300&lt;18.5,"Underweight",AND(B2300&gt;=18.5,B2300&lt;=24.99),"Normalweight",AND(B2300&gt;=25,B2300&lt;=29.99),"Overweight",B2300&gt;=30,"Obesity")</f>
        <v>Underweight</v>
      </c>
      <c r="J2300" t="str" cm="1">
        <f t="array" ref="J2300">_xlfn.IFS(C2300&lt;5.7,"Normal",AND(C2300&gt;=5.7,C2300&lt;=6.49),"Prediabetes",C2300&gt;=6.5,"Diabetes")</f>
        <v>Normal</v>
      </c>
    </row>
    <row r="2301" spans="1:10" x14ac:dyDescent="0.3">
      <c r="A2301" t="s">
        <v>58</v>
      </c>
      <c r="B2301" s="8">
        <v>17.98</v>
      </c>
      <c r="C2301">
        <v>5.33</v>
      </c>
      <c r="D2301" t="s">
        <v>2381</v>
      </c>
      <c r="E2301" t="s">
        <v>2379</v>
      </c>
      <c r="F2301" t="s">
        <v>2381</v>
      </c>
      <c r="G2301">
        <v>1</v>
      </c>
      <c r="H2301" t="s">
        <v>2379</v>
      </c>
      <c r="I2301" t="str" cm="1">
        <f t="array" ref="I2301">_xlfn.IFS(B2301&lt;18.5,"Underweight",AND(B2301&gt;=18.5,B2301&lt;=24.99),"Normalweight",AND(B2301&gt;=25,B2301&lt;=29.99),"Overweight",B2301&gt;=30,"Obesity")</f>
        <v>Underweight</v>
      </c>
      <c r="J2301" t="str" cm="1">
        <f t="array" ref="J2301">_xlfn.IFS(C2301&lt;5.7,"Normal",AND(C2301&gt;=5.7,C2301&lt;=6.49),"Prediabetes",C2301&gt;=6.5,"Diabetes")</f>
        <v>Normal</v>
      </c>
    </row>
    <row r="2302" spans="1:10" x14ac:dyDescent="0.3">
      <c r="A2302" t="s">
        <v>57</v>
      </c>
      <c r="B2302" s="8">
        <v>21.64</v>
      </c>
      <c r="C2302">
        <v>5.5</v>
      </c>
      <c r="D2302" t="s">
        <v>2379</v>
      </c>
      <c r="E2302" t="s">
        <v>2380</v>
      </c>
      <c r="F2302" t="s">
        <v>2379</v>
      </c>
      <c r="G2302">
        <v>1</v>
      </c>
      <c r="H2302" t="s">
        <v>2379</v>
      </c>
      <c r="I2302" t="str" cm="1">
        <f t="array" ref="I2302">_xlfn.IFS(B2302&lt;18.5,"Underweight",AND(B2302&gt;=18.5,B2302&lt;=24.99),"Normalweight",AND(B2302&gt;=25,B2302&lt;=29.99),"Overweight",B2302&gt;=30,"Obesity")</f>
        <v>Normalweight</v>
      </c>
      <c r="J2302" t="str" cm="1">
        <f t="array" ref="J2302">_xlfn.IFS(C2302&lt;5.7,"Normal",AND(C2302&gt;=5.7,C2302&lt;=6.49),"Prediabetes",C2302&gt;=6.5,"Diabetes")</f>
        <v>Normal</v>
      </c>
    </row>
    <row r="2303" spans="1:10" x14ac:dyDescent="0.3">
      <c r="A2303" t="s">
        <v>56</v>
      </c>
      <c r="B2303" s="8">
        <v>16.399999999999999</v>
      </c>
      <c r="C2303">
        <v>5.4</v>
      </c>
      <c r="D2303" t="s">
        <v>2379</v>
      </c>
      <c r="E2303" t="s">
        <v>2379</v>
      </c>
      <c r="F2303" t="s">
        <v>2381</v>
      </c>
      <c r="G2303">
        <v>1</v>
      </c>
      <c r="H2303" t="s">
        <v>2379</v>
      </c>
      <c r="I2303" t="str" cm="1">
        <f t="array" ref="I2303">_xlfn.IFS(B2303&lt;18.5,"Underweight",AND(B2303&gt;=18.5,B2303&lt;=24.99),"Normalweight",AND(B2303&gt;=25,B2303&lt;=29.99),"Overweight",B2303&gt;=30,"Obesity")</f>
        <v>Underweight</v>
      </c>
      <c r="J2303" t="str" cm="1">
        <f t="array" ref="J2303">_xlfn.IFS(C2303&lt;5.7,"Normal",AND(C2303&gt;=5.7,C2303&lt;=6.49),"Prediabetes",C2303&gt;=6.5,"Diabetes")</f>
        <v>Normal</v>
      </c>
    </row>
    <row r="2304" spans="1:10" x14ac:dyDescent="0.3">
      <c r="A2304" t="s">
        <v>55</v>
      </c>
      <c r="B2304" s="8">
        <v>15.77</v>
      </c>
      <c r="C2304">
        <v>6.05</v>
      </c>
      <c r="D2304" t="s">
        <v>2381</v>
      </c>
      <c r="E2304" t="s">
        <v>2379</v>
      </c>
      <c r="F2304" t="s">
        <v>2379</v>
      </c>
      <c r="G2304">
        <v>1</v>
      </c>
      <c r="H2304" t="s">
        <v>2379</v>
      </c>
      <c r="I2304" t="str" cm="1">
        <f t="array" ref="I2304">_xlfn.IFS(B2304&lt;18.5,"Underweight",AND(B2304&gt;=18.5,B2304&lt;=24.99),"Normalweight",AND(B2304&gt;=25,B2304&lt;=29.99),"Overweight",B2304&gt;=30,"Obesity")</f>
        <v>Underweight</v>
      </c>
      <c r="J2304" t="str" cm="1">
        <f t="array" ref="J2304">_xlfn.IFS(C2304&lt;5.7,"Normal",AND(C2304&gt;=5.7,C2304&lt;=6.49),"Prediabetes",C2304&gt;=6.5,"Diabetes")</f>
        <v>Prediabetes</v>
      </c>
    </row>
    <row r="2305" spans="1:10" x14ac:dyDescent="0.3">
      <c r="A2305" t="s">
        <v>54</v>
      </c>
      <c r="B2305" s="8">
        <v>18.27</v>
      </c>
      <c r="C2305">
        <v>11.46</v>
      </c>
      <c r="D2305" t="s">
        <v>2379</v>
      </c>
      <c r="E2305" t="s">
        <v>2379</v>
      </c>
      <c r="F2305" t="s">
        <v>2379</v>
      </c>
      <c r="G2305">
        <v>0</v>
      </c>
      <c r="H2305" t="s">
        <v>2379</v>
      </c>
      <c r="I2305" t="str" cm="1">
        <f t="array" ref="I2305">_xlfn.IFS(B2305&lt;18.5,"Underweight",AND(B2305&gt;=18.5,B2305&lt;=24.99),"Normalweight",AND(B2305&gt;=25,B2305&lt;=29.99),"Overweight",B2305&gt;=30,"Obesity")</f>
        <v>Underweight</v>
      </c>
      <c r="J2305" t="str" cm="1">
        <f t="array" ref="J2305">_xlfn.IFS(C2305&lt;5.7,"Normal",AND(C2305&gt;=5.7,C2305&lt;=6.49),"Prediabetes",C2305&gt;=6.5,"Diabetes")</f>
        <v>Diabetes</v>
      </c>
    </row>
    <row r="2306" spans="1:10" x14ac:dyDescent="0.3">
      <c r="A2306" t="s">
        <v>53</v>
      </c>
      <c r="B2306" s="8">
        <v>16.489999999999998</v>
      </c>
      <c r="C2306">
        <v>8.48</v>
      </c>
      <c r="D2306" t="s">
        <v>2379</v>
      </c>
      <c r="E2306" t="s">
        <v>2379</v>
      </c>
      <c r="F2306" t="s">
        <v>2379</v>
      </c>
      <c r="G2306">
        <v>0</v>
      </c>
      <c r="H2306" t="s">
        <v>2379</v>
      </c>
      <c r="I2306" t="str" cm="1">
        <f t="array" ref="I2306">_xlfn.IFS(B2306&lt;18.5,"Underweight",AND(B2306&gt;=18.5,B2306&lt;=24.99),"Normalweight",AND(B2306&gt;=25,B2306&lt;=29.99),"Overweight",B2306&gt;=30,"Obesity")</f>
        <v>Underweight</v>
      </c>
      <c r="J2306" t="str" cm="1">
        <f t="array" ref="J2306">_xlfn.IFS(C2306&lt;5.7,"Normal",AND(C2306&gt;=5.7,C2306&lt;=6.49),"Prediabetes",C2306&gt;=6.5,"Diabetes")</f>
        <v>Diabetes</v>
      </c>
    </row>
    <row r="2307" spans="1:10" x14ac:dyDescent="0.3">
      <c r="A2307" t="s">
        <v>52</v>
      </c>
      <c r="B2307" s="8">
        <v>16.14</v>
      </c>
      <c r="C2307">
        <v>4.8600000000000003</v>
      </c>
      <c r="D2307" t="s">
        <v>2379</v>
      </c>
      <c r="E2307" t="s">
        <v>2379</v>
      </c>
      <c r="F2307" t="s">
        <v>2379</v>
      </c>
      <c r="G2307">
        <v>0</v>
      </c>
      <c r="H2307" t="s">
        <v>2379</v>
      </c>
      <c r="I2307" t="str" cm="1">
        <f t="array" ref="I2307">_xlfn.IFS(B2307&lt;18.5,"Underweight",AND(B2307&gt;=18.5,B2307&lt;=24.99),"Normalweight",AND(B2307&gt;=25,B2307&lt;=29.99),"Overweight",B2307&gt;=30,"Obesity")</f>
        <v>Underweight</v>
      </c>
      <c r="J2307" t="str" cm="1">
        <f t="array" ref="J2307">_xlfn.IFS(C2307&lt;5.7,"Normal",AND(C2307&gt;=5.7,C2307&lt;=6.49),"Prediabetes",C2307&gt;=6.5,"Diabetes")</f>
        <v>Normal</v>
      </c>
    </row>
    <row r="2308" spans="1:10" x14ac:dyDescent="0.3">
      <c r="A2308" t="s">
        <v>51</v>
      </c>
      <c r="B2308" s="8">
        <v>20.85</v>
      </c>
      <c r="C2308">
        <v>4.45</v>
      </c>
      <c r="D2308" t="s">
        <v>2381</v>
      </c>
      <c r="E2308" t="s">
        <v>2379</v>
      </c>
      <c r="F2308" t="s">
        <v>2379</v>
      </c>
      <c r="G2308">
        <v>1</v>
      </c>
      <c r="H2308" t="s">
        <v>2379</v>
      </c>
      <c r="I2308" t="str" cm="1">
        <f t="array" ref="I2308">_xlfn.IFS(B2308&lt;18.5,"Underweight",AND(B2308&gt;=18.5,B2308&lt;=24.99),"Normalweight",AND(B2308&gt;=25,B2308&lt;=29.99),"Overweight",B2308&gt;=30,"Obesity")</f>
        <v>Normalweight</v>
      </c>
      <c r="J2308" t="str" cm="1">
        <f t="array" ref="J2308">_xlfn.IFS(C2308&lt;5.7,"Normal",AND(C2308&gt;=5.7,C2308&lt;=6.49),"Prediabetes",C2308&gt;=6.5,"Diabetes")</f>
        <v>Normal</v>
      </c>
    </row>
    <row r="2309" spans="1:10" x14ac:dyDescent="0.3">
      <c r="A2309" t="s">
        <v>50</v>
      </c>
      <c r="B2309" s="8">
        <v>15.88</v>
      </c>
      <c r="C2309">
        <v>4.3600000000000003</v>
      </c>
      <c r="D2309" t="s">
        <v>2379</v>
      </c>
      <c r="E2309" t="s">
        <v>2379</v>
      </c>
      <c r="F2309" t="s">
        <v>2379</v>
      </c>
      <c r="G2309">
        <v>0</v>
      </c>
      <c r="H2309" t="s">
        <v>2379</v>
      </c>
      <c r="I2309" t="str" cm="1">
        <f t="array" ref="I2309">_xlfn.IFS(B2309&lt;18.5,"Underweight",AND(B2309&gt;=18.5,B2309&lt;=24.99),"Normalweight",AND(B2309&gt;=25,B2309&lt;=29.99),"Overweight",B2309&gt;=30,"Obesity")</f>
        <v>Underweight</v>
      </c>
      <c r="J2309" t="str" cm="1">
        <f t="array" ref="J2309">_xlfn.IFS(C2309&lt;5.7,"Normal",AND(C2309&gt;=5.7,C2309&lt;=6.49),"Prediabetes",C2309&gt;=6.5,"Diabetes")</f>
        <v>Normal</v>
      </c>
    </row>
    <row r="2310" spans="1:10" x14ac:dyDescent="0.3">
      <c r="A2310" t="s">
        <v>49</v>
      </c>
      <c r="B2310" s="8">
        <v>20.66</v>
      </c>
      <c r="C2310">
        <v>5.8</v>
      </c>
      <c r="D2310" t="s">
        <v>2379</v>
      </c>
      <c r="E2310" t="s">
        <v>2380</v>
      </c>
      <c r="F2310" t="s">
        <v>2379</v>
      </c>
      <c r="G2310">
        <v>1</v>
      </c>
      <c r="H2310" t="s">
        <v>2379</v>
      </c>
      <c r="I2310" t="str" cm="1">
        <f t="array" ref="I2310">_xlfn.IFS(B2310&lt;18.5,"Underweight",AND(B2310&gt;=18.5,B2310&lt;=24.99),"Normalweight",AND(B2310&gt;=25,B2310&lt;=29.99),"Overweight",B2310&gt;=30,"Obesity")</f>
        <v>Normalweight</v>
      </c>
      <c r="J2310" t="str" cm="1">
        <f t="array" ref="J2310">_xlfn.IFS(C2310&lt;5.7,"Normal",AND(C2310&gt;=5.7,C2310&lt;=6.49),"Prediabetes",C2310&gt;=6.5,"Diabetes")</f>
        <v>Prediabetes</v>
      </c>
    </row>
    <row r="2311" spans="1:10" x14ac:dyDescent="0.3">
      <c r="A2311" t="s">
        <v>48</v>
      </c>
      <c r="B2311" s="8">
        <v>20.399999999999999</v>
      </c>
      <c r="C2311">
        <v>5.27</v>
      </c>
      <c r="D2311" t="s">
        <v>2379</v>
      </c>
      <c r="E2311" t="s">
        <v>2379</v>
      </c>
      <c r="F2311" t="s">
        <v>2379</v>
      </c>
      <c r="G2311">
        <v>0</v>
      </c>
      <c r="H2311" t="s">
        <v>2379</v>
      </c>
      <c r="I2311" t="str" cm="1">
        <f t="array" ref="I2311">_xlfn.IFS(B2311&lt;18.5,"Underweight",AND(B2311&gt;=18.5,B2311&lt;=24.99),"Normalweight",AND(B2311&gt;=25,B2311&lt;=29.99),"Overweight",B2311&gt;=30,"Obesity")</f>
        <v>Normalweight</v>
      </c>
      <c r="J2311" t="str" cm="1">
        <f t="array" ref="J2311">_xlfn.IFS(C2311&lt;5.7,"Normal",AND(C2311&gt;=5.7,C2311&lt;=6.49),"Prediabetes",C2311&gt;=6.5,"Diabetes")</f>
        <v>Normal</v>
      </c>
    </row>
    <row r="2312" spans="1:10" x14ac:dyDescent="0.3">
      <c r="A2312" t="s">
        <v>47</v>
      </c>
      <c r="B2312" s="8">
        <v>25.19</v>
      </c>
      <c r="C2312">
        <v>5.64</v>
      </c>
      <c r="D2312" t="s">
        <v>2381</v>
      </c>
      <c r="E2312" t="s">
        <v>2379</v>
      </c>
      <c r="F2312" t="s">
        <v>2379</v>
      </c>
      <c r="G2312">
        <v>0</v>
      </c>
      <c r="H2312" t="s">
        <v>2379</v>
      </c>
      <c r="I2312" t="str" cm="1">
        <f t="array" ref="I2312">_xlfn.IFS(B2312&lt;18.5,"Underweight",AND(B2312&gt;=18.5,B2312&lt;=24.99),"Normalweight",AND(B2312&gt;=25,B2312&lt;=29.99),"Overweight",B2312&gt;=30,"Obesity")</f>
        <v>Overweight</v>
      </c>
      <c r="J2312" t="str" cm="1">
        <f t="array" ref="J2312">_xlfn.IFS(C2312&lt;5.7,"Normal",AND(C2312&gt;=5.7,C2312&lt;=6.49),"Prediabetes",C2312&gt;=6.5,"Diabetes")</f>
        <v>Normal</v>
      </c>
    </row>
    <row r="2313" spans="1:10" x14ac:dyDescent="0.3">
      <c r="A2313" t="s">
        <v>46</v>
      </c>
      <c r="B2313" s="8">
        <v>20.54</v>
      </c>
      <c r="C2313">
        <v>4.2</v>
      </c>
      <c r="D2313" t="s">
        <v>2381</v>
      </c>
      <c r="E2313" t="s">
        <v>2379</v>
      </c>
      <c r="F2313" t="s">
        <v>2379</v>
      </c>
      <c r="G2313">
        <v>1</v>
      </c>
      <c r="H2313" t="s">
        <v>2379</v>
      </c>
      <c r="I2313" t="str" cm="1">
        <f t="array" ref="I2313">_xlfn.IFS(B2313&lt;18.5,"Underweight",AND(B2313&gt;=18.5,B2313&lt;=24.99),"Normalweight",AND(B2313&gt;=25,B2313&lt;=29.99),"Overweight",B2313&gt;=30,"Obesity")</f>
        <v>Normalweight</v>
      </c>
      <c r="J2313" t="str" cm="1">
        <f t="array" ref="J2313">_xlfn.IFS(C2313&lt;5.7,"Normal",AND(C2313&gt;=5.7,C2313&lt;=6.49),"Prediabetes",C2313&gt;=6.5,"Diabetes")</f>
        <v>Normal</v>
      </c>
    </row>
    <row r="2314" spans="1:10" x14ac:dyDescent="0.3">
      <c r="A2314" t="s">
        <v>45</v>
      </c>
      <c r="B2314" s="8">
        <v>20.13</v>
      </c>
      <c r="C2314">
        <v>5.42</v>
      </c>
      <c r="D2314" t="s">
        <v>2379</v>
      </c>
      <c r="E2314" t="s">
        <v>2379</v>
      </c>
      <c r="F2314" t="s">
        <v>2379</v>
      </c>
      <c r="G2314">
        <v>0</v>
      </c>
      <c r="H2314" t="s">
        <v>2379</v>
      </c>
      <c r="I2314" t="str" cm="1">
        <f t="array" ref="I2314">_xlfn.IFS(B2314&lt;18.5,"Underweight",AND(B2314&gt;=18.5,B2314&lt;=24.99),"Normalweight",AND(B2314&gt;=25,B2314&lt;=29.99),"Overweight",B2314&gt;=30,"Obesity")</f>
        <v>Normalweight</v>
      </c>
      <c r="J2314" t="str" cm="1">
        <f t="array" ref="J2314">_xlfn.IFS(C2314&lt;5.7,"Normal",AND(C2314&gt;=5.7,C2314&lt;=6.49),"Prediabetes",C2314&gt;=6.5,"Diabetes")</f>
        <v>Normal</v>
      </c>
    </row>
    <row r="2315" spans="1:10" x14ac:dyDescent="0.3">
      <c r="A2315" t="s">
        <v>44</v>
      </c>
      <c r="B2315" s="8">
        <v>18.93</v>
      </c>
      <c r="C2315">
        <v>6.11</v>
      </c>
      <c r="D2315" t="s">
        <v>2379</v>
      </c>
      <c r="E2315" t="s">
        <v>2379</v>
      </c>
      <c r="F2315" t="s">
        <v>2381</v>
      </c>
      <c r="G2315">
        <v>1</v>
      </c>
      <c r="H2315" t="s">
        <v>2379</v>
      </c>
      <c r="I2315" t="str" cm="1">
        <f t="array" ref="I2315">_xlfn.IFS(B2315&lt;18.5,"Underweight",AND(B2315&gt;=18.5,B2315&lt;=24.99),"Normalweight",AND(B2315&gt;=25,B2315&lt;=29.99),"Overweight",B2315&gt;=30,"Obesity")</f>
        <v>Normalweight</v>
      </c>
      <c r="J2315" t="str" cm="1">
        <f t="array" ref="J2315">_xlfn.IFS(C2315&lt;5.7,"Normal",AND(C2315&gt;=5.7,C2315&lt;=6.49),"Prediabetes",C2315&gt;=6.5,"Diabetes")</f>
        <v>Prediabetes</v>
      </c>
    </row>
    <row r="2316" spans="1:10" x14ac:dyDescent="0.3">
      <c r="A2316" t="s">
        <v>43</v>
      </c>
      <c r="B2316" s="8">
        <v>24.14</v>
      </c>
      <c r="C2316">
        <v>5.29</v>
      </c>
      <c r="D2316" t="s">
        <v>2379</v>
      </c>
      <c r="E2316" t="s">
        <v>2380</v>
      </c>
      <c r="F2316" t="s">
        <v>2379</v>
      </c>
      <c r="G2316">
        <v>1</v>
      </c>
      <c r="H2316" t="s">
        <v>2379</v>
      </c>
      <c r="I2316" t="str" cm="1">
        <f t="array" ref="I2316">_xlfn.IFS(B2316&lt;18.5,"Underweight",AND(B2316&gt;=18.5,B2316&lt;=24.99),"Normalweight",AND(B2316&gt;=25,B2316&lt;=29.99),"Overweight",B2316&gt;=30,"Obesity")</f>
        <v>Normalweight</v>
      </c>
      <c r="J2316" t="str" cm="1">
        <f t="array" ref="J2316">_xlfn.IFS(C2316&lt;5.7,"Normal",AND(C2316&gt;=5.7,C2316&lt;=6.49),"Prediabetes",C2316&gt;=6.5,"Diabetes")</f>
        <v>Normal</v>
      </c>
    </row>
    <row r="2317" spans="1:10" x14ac:dyDescent="0.3">
      <c r="A2317" t="s">
        <v>41</v>
      </c>
      <c r="B2317" s="8">
        <v>25.03</v>
      </c>
      <c r="C2317">
        <v>5.91</v>
      </c>
      <c r="D2317" t="s">
        <v>2379</v>
      </c>
      <c r="E2317" t="s">
        <v>2380</v>
      </c>
      <c r="F2317" t="s">
        <v>2379</v>
      </c>
      <c r="G2317">
        <v>1</v>
      </c>
      <c r="H2317" t="s">
        <v>2379</v>
      </c>
      <c r="I2317" t="str" cm="1">
        <f t="array" ref="I2317">_xlfn.IFS(B2317&lt;18.5,"Underweight",AND(B2317&gt;=18.5,B2317&lt;=24.99),"Normalweight",AND(B2317&gt;=25,B2317&lt;=29.99),"Overweight",B2317&gt;=30,"Obesity")</f>
        <v>Overweight</v>
      </c>
      <c r="J2317" t="str" cm="1">
        <f t="array" ref="J2317">_xlfn.IFS(C2317&lt;5.7,"Normal",AND(C2317&gt;=5.7,C2317&lt;=6.49),"Prediabetes",C2317&gt;=6.5,"Diabetes")</f>
        <v>Prediabetes</v>
      </c>
    </row>
    <row r="2318" spans="1:10" x14ac:dyDescent="0.3">
      <c r="A2318" t="s">
        <v>40</v>
      </c>
      <c r="B2318" s="8">
        <v>20.47</v>
      </c>
      <c r="C2318">
        <v>5.81</v>
      </c>
      <c r="D2318" t="s">
        <v>2381</v>
      </c>
      <c r="E2318" t="s">
        <v>2379</v>
      </c>
      <c r="F2318" t="s">
        <v>2379</v>
      </c>
      <c r="G2318">
        <v>1</v>
      </c>
      <c r="H2318" t="s">
        <v>2379</v>
      </c>
      <c r="I2318" t="str" cm="1">
        <f t="array" ref="I2318">_xlfn.IFS(B2318&lt;18.5,"Underweight",AND(B2318&gt;=18.5,B2318&lt;=24.99),"Normalweight",AND(B2318&gt;=25,B2318&lt;=29.99),"Overweight",B2318&gt;=30,"Obesity")</f>
        <v>Normalweight</v>
      </c>
      <c r="J2318" t="str" cm="1">
        <f t="array" ref="J2318">_xlfn.IFS(C2318&lt;5.7,"Normal",AND(C2318&gt;=5.7,C2318&lt;=6.49),"Prediabetes",C2318&gt;=6.5,"Diabetes")</f>
        <v>Prediabetes</v>
      </c>
    </row>
    <row r="2319" spans="1:10" x14ac:dyDescent="0.3">
      <c r="A2319" t="s">
        <v>39</v>
      </c>
      <c r="B2319" s="8">
        <v>18.82</v>
      </c>
      <c r="C2319">
        <v>5.51</v>
      </c>
      <c r="D2319" t="s">
        <v>2381</v>
      </c>
      <c r="E2319" t="s">
        <v>2379</v>
      </c>
      <c r="F2319" t="s">
        <v>2379</v>
      </c>
      <c r="G2319">
        <v>0</v>
      </c>
      <c r="H2319" t="s">
        <v>2379</v>
      </c>
      <c r="I2319" t="str" cm="1">
        <f t="array" ref="I2319">_xlfn.IFS(B2319&lt;18.5,"Underweight",AND(B2319&gt;=18.5,B2319&lt;=24.99),"Normalweight",AND(B2319&gt;=25,B2319&lt;=29.99),"Overweight",B2319&gt;=30,"Obesity")</f>
        <v>Normalweight</v>
      </c>
      <c r="J2319" t="str" cm="1">
        <f t="array" ref="J2319">_xlfn.IFS(C2319&lt;5.7,"Normal",AND(C2319&gt;=5.7,C2319&lt;=6.49),"Prediabetes",C2319&gt;=6.5,"Diabetes")</f>
        <v>Normal</v>
      </c>
    </row>
    <row r="2320" spans="1:10" x14ac:dyDescent="0.3">
      <c r="A2320" t="s">
        <v>38</v>
      </c>
      <c r="B2320" s="8">
        <v>17.079999999999998</v>
      </c>
      <c r="C2320">
        <v>5.73</v>
      </c>
      <c r="D2320" t="s">
        <v>2379</v>
      </c>
      <c r="E2320" t="s">
        <v>2379</v>
      </c>
      <c r="F2320" t="s">
        <v>2381</v>
      </c>
      <c r="G2320">
        <v>1</v>
      </c>
      <c r="H2320" t="s">
        <v>2379</v>
      </c>
      <c r="I2320" t="str" cm="1">
        <f t="array" ref="I2320">_xlfn.IFS(B2320&lt;18.5,"Underweight",AND(B2320&gt;=18.5,B2320&lt;=24.99),"Normalweight",AND(B2320&gt;=25,B2320&lt;=29.99),"Overweight",B2320&gt;=30,"Obesity")</f>
        <v>Underweight</v>
      </c>
      <c r="J2320" t="str" cm="1">
        <f t="array" ref="J2320">_xlfn.IFS(C2320&lt;5.7,"Normal",AND(C2320&gt;=5.7,C2320&lt;=6.49),"Prediabetes",C2320&gt;=6.5,"Diabetes")</f>
        <v>Prediabetes</v>
      </c>
    </row>
    <row r="2321" spans="1:10" x14ac:dyDescent="0.3">
      <c r="A2321" t="s">
        <v>36</v>
      </c>
      <c r="B2321" s="8">
        <v>19.21</v>
      </c>
      <c r="C2321">
        <v>5.53</v>
      </c>
      <c r="D2321" t="s">
        <v>2381</v>
      </c>
      <c r="E2321" t="s">
        <v>2379</v>
      </c>
      <c r="F2321" t="s">
        <v>2379</v>
      </c>
      <c r="G2321">
        <v>0</v>
      </c>
      <c r="H2321" t="s">
        <v>2379</v>
      </c>
      <c r="I2321" t="str" cm="1">
        <f t="array" ref="I2321">_xlfn.IFS(B2321&lt;18.5,"Underweight",AND(B2321&gt;=18.5,B2321&lt;=24.99),"Normalweight",AND(B2321&gt;=25,B2321&lt;=29.99),"Overweight",B2321&gt;=30,"Obesity")</f>
        <v>Normalweight</v>
      </c>
      <c r="J2321" t="str" cm="1">
        <f t="array" ref="J2321">_xlfn.IFS(C2321&lt;5.7,"Normal",AND(C2321&gt;=5.7,C2321&lt;=6.49),"Prediabetes",C2321&gt;=6.5,"Diabetes")</f>
        <v>Normal</v>
      </c>
    </row>
    <row r="2322" spans="1:10" x14ac:dyDescent="0.3">
      <c r="A2322" t="s">
        <v>34</v>
      </c>
      <c r="B2322" s="8">
        <v>17.86</v>
      </c>
      <c r="C2322">
        <v>5.43</v>
      </c>
      <c r="D2322" t="s">
        <v>2379</v>
      </c>
      <c r="E2322" t="s">
        <v>2379</v>
      </c>
      <c r="F2322" t="s">
        <v>2381</v>
      </c>
      <c r="G2322">
        <v>1</v>
      </c>
      <c r="H2322" t="s">
        <v>2379</v>
      </c>
      <c r="I2322" t="str" cm="1">
        <f t="array" ref="I2322">_xlfn.IFS(B2322&lt;18.5,"Underweight",AND(B2322&gt;=18.5,B2322&lt;=24.99),"Normalweight",AND(B2322&gt;=25,B2322&lt;=29.99),"Overweight",B2322&gt;=30,"Obesity")</f>
        <v>Underweight</v>
      </c>
      <c r="J2322" t="str" cm="1">
        <f t="array" ref="J2322">_xlfn.IFS(C2322&lt;5.7,"Normal",AND(C2322&gt;=5.7,C2322&lt;=6.49),"Prediabetes",C2322&gt;=6.5,"Diabetes")</f>
        <v>Normal</v>
      </c>
    </row>
    <row r="2323" spans="1:10" x14ac:dyDescent="0.3">
      <c r="A2323" t="s">
        <v>33</v>
      </c>
      <c r="B2323" s="8">
        <v>21.38</v>
      </c>
      <c r="C2323">
        <v>8.01</v>
      </c>
      <c r="D2323" t="s">
        <v>2379</v>
      </c>
      <c r="E2323" t="s">
        <v>2379</v>
      </c>
      <c r="F2323" t="s">
        <v>2379</v>
      </c>
      <c r="G2323">
        <v>0</v>
      </c>
      <c r="H2323" t="s">
        <v>2379</v>
      </c>
      <c r="I2323" t="str" cm="1">
        <f t="array" ref="I2323">_xlfn.IFS(B2323&lt;18.5,"Underweight",AND(B2323&gt;=18.5,B2323&lt;=24.99),"Normalweight",AND(B2323&gt;=25,B2323&lt;=29.99),"Overweight",B2323&gt;=30,"Obesity")</f>
        <v>Normalweight</v>
      </c>
      <c r="J2323" t="str" cm="1">
        <f t="array" ref="J2323">_xlfn.IFS(C2323&lt;5.7,"Normal",AND(C2323&gt;=5.7,C2323&lt;=6.49),"Prediabetes",C2323&gt;=6.5,"Diabetes")</f>
        <v>Diabetes</v>
      </c>
    </row>
    <row r="2324" spans="1:10" x14ac:dyDescent="0.3">
      <c r="A2324" t="s">
        <v>32</v>
      </c>
      <c r="B2324" s="8">
        <v>23.35</v>
      </c>
      <c r="C2324">
        <v>5.94</v>
      </c>
      <c r="D2324" t="s">
        <v>2379</v>
      </c>
      <c r="E2324" t="s">
        <v>2379</v>
      </c>
      <c r="F2324" t="s">
        <v>2379</v>
      </c>
      <c r="G2324">
        <v>0</v>
      </c>
      <c r="H2324" t="s">
        <v>2379</v>
      </c>
      <c r="I2324" t="str" cm="1">
        <f t="array" ref="I2324">_xlfn.IFS(B2324&lt;18.5,"Underweight",AND(B2324&gt;=18.5,B2324&lt;=24.99),"Normalweight",AND(B2324&gt;=25,B2324&lt;=29.99),"Overweight",B2324&gt;=30,"Obesity")</f>
        <v>Normalweight</v>
      </c>
      <c r="J2324" t="str" cm="1">
        <f t="array" ref="J2324">_xlfn.IFS(C2324&lt;5.7,"Normal",AND(C2324&gt;=5.7,C2324&lt;=6.49),"Prediabetes",C2324&gt;=6.5,"Diabetes")</f>
        <v>Prediabetes</v>
      </c>
    </row>
    <row r="2325" spans="1:10" x14ac:dyDescent="0.3">
      <c r="A2325" t="s">
        <v>29</v>
      </c>
      <c r="B2325" s="8">
        <v>22.24</v>
      </c>
      <c r="C2325">
        <v>5.04</v>
      </c>
      <c r="D2325" t="s">
        <v>2379</v>
      </c>
      <c r="E2325" t="s">
        <v>2379</v>
      </c>
      <c r="F2325" t="s">
        <v>2379</v>
      </c>
      <c r="G2325">
        <v>0</v>
      </c>
      <c r="H2325" t="s">
        <v>2379</v>
      </c>
      <c r="I2325" t="str" cm="1">
        <f t="array" ref="I2325">_xlfn.IFS(B2325&lt;18.5,"Underweight",AND(B2325&gt;=18.5,B2325&lt;=24.99),"Normalweight",AND(B2325&gt;=25,B2325&lt;=29.99),"Overweight",B2325&gt;=30,"Obesity")</f>
        <v>Normalweight</v>
      </c>
      <c r="J2325" t="str" cm="1">
        <f t="array" ref="J2325">_xlfn.IFS(C2325&lt;5.7,"Normal",AND(C2325&gt;=5.7,C2325&lt;=6.49),"Prediabetes",C2325&gt;=6.5,"Diabetes")</f>
        <v>Normal</v>
      </c>
    </row>
    <row r="2326" spans="1:10" x14ac:dyDescent="0.3">
      <c r="A2326" t="s">
        <v>28</v>
      </c>
      <c r="B2326" s="8">
        <v>24.76</v>
      </c>
      <c r="C2326">
        <v>4.54</v>
      </c>
      <c r="D2326" t="s">
        <v>2381</v>
      </c>
      <c r="E2326" t="s">
        <v>2379</v>
      </c>
      <c r="F2326" t="s">
        <v>2379</v>
      </c>
      <c r="G2326">
        <v>0</v>
      </c>
      <c r="H2326" t="s">
        <v>2379</v>
      </c>
      <c r="I2326" t="str" cm="1">
        <f t="array" ref="I2326">_xlfn.IFS(B2326&lt;18.5,"Underweight",AND(B2326&gt;=18.5,B2326&lt;=24.99),"Normalweight",AND(B2326&gt;=25,B2326&lt;=29.99),"Overweight",B2326&gt;=30,"Obesity")</f>
        <v>Normalweight</v>
      </c>
      <c r="J2326" t="str" cm="1">
        <f t="array" ref="J2326">_xlfn.IFS(C2326&lt;5.7,"Normal",AND(C2326&gt;=5.7,C2326&lt;=6.49),"Prediabetes",C2326&gt;=6.5,"Diabetes")</f>
        <v>Normal</v>
      </c>
    </row>
    <row r="2327" spans="1:10" x14ac:dyDescent="0.3">
      <c r="A2327" t="s">
        <v>27</v>
      </c>
      <c r="B2327" s="8">
        <v>20.100000000000001</v>
      </c>
      <c r="C2327">
        <v>5.6</v>
      </c>
      <c r="D2327" t="s">
        <v>2381</v>
      </c>
      <c r="E2327" t="s">
        <v>2379</v>
      </c>
      <c r="F2327" t="s">
        <v>2381</v>
      </c>
      <c r="G2327">
        <v>1</v>
      </c>
      <c r="H2327" t="s">
        <v>2379</v>
      </c>
      <c r="I2327" t="str" cm="1">
        <f t="array" ref="I2327">_xlfn.IFS(B2327&lt;18.5,"Underweight",AND(B2327&gt;=18.5,B2327&lt;=24.99),"Normalweight",AND(B2327&gt;=25,B2327&lt;=29.99),"Overweight",B2327&gt;=30,"Obesity")</f>
        <v>Normalweight</v>
      </c>
      <c r="J2327" t="str" cm="1">
        <f t="array" ref="J2327">_xlfn.IFS(C2327&lt;5.7,"Normal",AND(C2327&gt;=5.7,C2327&lt;=6.49),"Prediabetes",C2327&gt;=6.5,"Diabetes")</f>
        <v>Normal</v>
      </c>
    </row>
    <row r="2328" spans="1:10" x14ac:dyDescent="0.3">
      <c r="A2328" t="s">
        <v>26</v>
      </c>
      <c r="B2328" s="8">
        <v>21.77</v>
      </c>
      <c r="C2328">
        <v>10.67</v>
      </c>
      <c r="D2328" t="s">
        <v>2379</v>
      </c>
      <c r="E2328" t="s">
        <v>2379</v>
      </c>
      <c r="F2328" t="s">
        <v>2379</v>
      </c>
      <c r="G2328">
        <v>0</v>
      </c>
      <c r="H2328" t="s">
        <v>2379</v>
      </c>
      <c r="I2328" t="str" cm="1">
        <f t="array" ref="I2328">_xlfn.IFS(B2328&lt;18.5,"Underweight",AND(B2328&gt;=18.5,B2328&lt;=24.99),"Normalweight",AND(B2328&gt;=25,B2328&lt;=29.99),"Overweight",B2328&gt;=30,"Obesity")</f>
        <v>Normalweight</v>
      </c>
      <c r="J2328" t="str" cm="1">
        <f t="array" ref="J2328">_xlfn.IFS(C2328&lt;5.7,"Normal",AND(C2328&gt;=5.7,C2328&lt;=6.49),"Prediabetes",C2328&gt;=6.5,"Diabetes")</f>
        <v>Diabetes</v>
      </c>
    </row>
    <row r="2329" spans="1:10" x14ac:dyDescent="0.3">
      <c r="A2329" t="s">
        <v>25</v>
      </c>
      <c r="B2329" s="8">
        <v>17.82</v>
      </c>
      <c r="C2329">
        <v>5.26</v>
      </c>
      <c r="D2329" t="s">
        <v>2381</v>
      </c>
      <c r="E2329" t="s">
        <v>2379</v>
      </c>
      <c r="F2329" t="s">
        <v>2379</v>
      </c>
      <c r="G2329">
        <v>1</v>
      </c>
      <c r="H2329" t="s">
        <v>2379</v>
      </c>
      <c r="I2329" t="str" cm="1">
        <f t="array" ref="I2329">_xlfn.IFS(B2329&lt;18.5,"Underweight",AND(B2329&gt;=18.5,B2329&lt;=24.99),"Normalweight",AND(B2329&gt;=25,B2329&lt;=29.99),"Overweight",B2329&gt;=30,"Obesity")</f>
        <v>Underweight</v>
      </c>
      <c r="J2329" t="str" cm="1">
        <f t="array" ref="J2329">_xlfn.IFS(C2329&lt;5.7,"Normal",AND(C2329&gt;=5.7,C2329&lt;=6.49),"Prediabetes",C2329&gt;=6.5,"Diabetes")</f>
        <v>Normal</v>
      </c>
    </row>
    <row r="2330" spans="1:10" x14ac:dyDescent="0.3">
      <c r="A2330" t="s">
        <v>24</v>
      </c>
      <c r="B2330" s="8">
        <v>17.07</v>
      </c>
      <c r="C2330">
        <v>5.22</v>
      </c>
      <c r="D2330" t="s">
        <v>2379</v>
      </c>
      <c r="E2330" t="s">
        <v>2379</v>
      </c>
      <c r="F2330" t="s">
        <v>2381</v>
      </c>
      <c r="G2330">
        <v>1</v>
      </c>
      <c r="H2330" t="s">
        <v>2379</v>
      </c>
      <c r="I2330" t="str" cm="1">
        <f t="array" ref="I2330">_xlfn.IFS(B2330&lt;18.5,"Underweight",AND(B2330&gt;=18.5,B2330&lt;=24.99),"Normalweight",AND(B2330&gt;=25,B2330&lt;=29.99),"Overweight",B2330&gt;=30,"Obesity")</f>
        <v>Underweight</v>
      </c>
      <c r="J2330" t="str" cm="1">
        <f t="array" ref="J2330">_xlfn.IFS(C2330&lt;5.7,"Normal",AND(C2330&gt;=5.7,C2330&lt;=6.49),"Prediabetes",C2330&gt;=6.5,"Diabetes")</f>
        <v>Normal</v>
      </c>
    </row>
    <row r="2331" spans="1:10" x14ac:dyDescent="0.3">
      <c r="A2331" t="s">
        <v>22</v>
      </c>
      <c r="B2331" s="8">
        <v>22.24</v>
      </c>
      <c r="C2331">
        <v>4.29</v>
      </c>
      <c r="D2331" t="s">
        <v>2381</v>
      </c>
      <c r="E2331" t="s">
        <v>2379</v>
      </c>
      <c r="F2331" t="s">
        <v>2379</v>
      </c>
      <c r="G2331">
        <v>0</v>
      </c>
      <c r="H2331" t="s">
        <v>2379</v>
      </c>
      <c r="I2331" t="str" cm="1">
        <f t="array" ref="I2331">_xlfn.IFS(B2331&lt;18.5,"Underweight",AND(B2331&gt;=18.5,B2331&lt;=24.99),"Normalweight",AND(B2331&gt;=25,B2331&lt;=29.99),"Overweight",B2331&gt;=30,"Obesity")</f>
        <v>Normalweight</v>
      </c>
      <c r="J2331" t="str" cm="1">
        <f t="array" ref="J2331">_xlfn.IFS(C2331&lt;5.7,"Normal",AND(C2331&gt;=5.7,C2331&lt;=6.49),"Prediabetes",C2331&gt;=6.5,"Diabetes")</f>
        <v>Normal</v>
      </c>
    </row>
    <row r="2332" spans="1:10" x14ac:dyDescent="0.3">
      <c r="A2332" t="s">
        <v>21</v>
      </c>
      <c r="B2332" s="8">
        <v>22.34</v>
      </c>
      <c r="C2332">
        <v>5.57</v>
      </c>
      <c r="D2332" t="s">
        <v>2379</v>
      </c>
      <c r="E2332" t="s">
        <v>2379</v>
      </c>
      <c r="F2332" t="s">
        <v>2379</v>
      </c>
      <c r="G2332">
        <v>1</v>
      </c>
      <c r="H2332" t="s">
        <v>2379</v>
      </c>
      <c r="I2332" t="str" cm="1">
        <f t="array" ref="I2332">_xlfn.IFS(B2332&lt;18.5,"Underweight",AND(B2332&gt;=18.5,B2332&lt;=24.99),"Normalweight",AND(B2332&gt;=25,B2332&lt;=29.99),"Overweight",B2332&gt;=30,"Obesity")</f>
        <v>Normalweight</v>
      </c>
      <c r="J2332" t="str" cm="1">
        <f t="array" ref="J2332">_xlfn.IFS(C2332&lt;5.7,"Normal",AND(C2332&gt;=5.7,C2332&lt;=6.49),"Prediabetes",C2332&gt;=6.5,"Diabetes")</f>
        <v>Normal</v>
      </c>
    </row>
    <row r="2333" spans="1:10" x14ac:dyDescent="0.3">
      <c r="A2333" t="s">
        <v>19</v>
      </c>
      <c r="B2333" s="8">
        <v>17.7</v>
      </c>
      <c r="C2333">
        <v>6.28</v>
      </c>
      <c r="D2333" t="s">
        <v>2379</v>
      </c>
      <c r="E2333" t="s">
        <v>2379</v>
      </c>
      <c r="F2333" t="s">
        <v>2379</v>
      </c>
      <c r="G2333">
        <v>1</v>
      </c>
      <c r="H2333" t="s">
        <v>2379</v>
      </c>
      <c r="I2333" t="str" cm="1">
        <f t="array" ref="I2333">_xlfn.IFS(B2333&lt;18.5,"Underweight",AND(B2333&gt;=18.5,B2333&lt;=24.99),"Normalweight",AND(B2333&gt;=25,B2333&lt;=29.99),"Overweight",B2333&gt;=30,"Obesity")</f>
        <v>Underweight</v>
      </c>
      <c r="J2333" t="str" cm="1">
        <f t="array" ref="J2333">_xlfn.IFS(C2333&lt;5.7,"Normal",AND(C2333&gt;=5.7,C2333&lt;=6.49),"Prediabetes",C2333&gt;=6.5,"Diabetes")</f>
        <v>Prediabetes</v>
      </c>
    </row>
    <row r="2334" spans="1:10" x14ac:dyDescent="0.3">
      <c r="A2334" t="s">
        <v>17</v>
      </c>
      <c r="B2334" s="8">
        <v>16.47</v>
      </c>
      <c r="C2334">
        <v>6.35</v>
      </c>
      <c r="D2334" t="s">
        <v>2379</v>
      </c>
      <c r="E2334" t="s">
        <v>2379</v>
      </c>
      <c r="F2334" t="s">
        <v>2381</v>
      </c>
      <c r="G2334">
        <v>1</v>
      </c>
      <c r="H2334" t="s">
        <v>2379</v>
      </c>
      <c r="I2334" t="str" cm="1">
        <f t="array" ref="I2334">_xlfn.IFS(B2334&lt;18.5,"Underweight",AND(B2334&gt;=18.5,B2334&lt;=24.99),"Normalweight",AND(B2334&gt;=25,B2334&lt;=29.99),"Overweight",B2334&gt;=30,"Obesity")</f>
        <v>Underweight</v>
      </c>
      <c r="J2334" t="str" cm="1">
        <f t="array" ref="J2334">_xlfn.IFS(C2334&lt;5.7,"Normal",AND(C2334&gt;=5.7,C2334&lt;=6.49),"Prediabetes",C2334&gt;=6.5,"Diabetes")</f>
        <v>Prediabetes</v>
      </c>
    </row>
    <row r="2335" spans="1:10" x14ac:dyDescent="0.3">
      <c r="A2335" t="s">
        <v>14</v>
      </c>
      <c r="B2335" s="8">
        <v>17.600000000000001</v>
      </c>
      <c r="C2335">
        <v>4.3899999999999997</v>
      </c>
      <c r="D2335" t="s">
        <v>2379</v>
      </c>
      <c r="E2335" t="s">
        <v>2379</v>
      </c>
      <c r="F2335" t="s">
        <v>2379</v>
      </c>
      <c r="G2335">
        <v>1</v>
      </c>
      <c r="H2335" t="s">
        <v>2379</v>
      </c>
      <c r="I2335" t="str" cm="1">
        <f t="array" ref="I2335">_xlfn.IFS(B2335&lt;18.5,"Underweight",AND(B2335&gt;=18.5,B2335&lt;=24.99),"Normalweight",AND(B2335&gt;=25,B2335&lt;=29.99),"Overweight",B2335&gt;=30,"Obesity")</f>
        <v>Underweight</v>
      </c>
      <c r="J2335" t="str" cm="1">
        <f t="array" ref="J2335">_xlfn.IFS(C2335&lt;5.7,"Normal",AND(C2335&gt;=5.7,C2335&lt;=6.49),"Prediabetes",C2335&gt;=6.5,"Diabetes")</f>
        <v>Normal</v>
      </c>
    </row>
    <row r="2336" spans="1:10" x14ac:dyDescent="0.3">
      <c r="A2336" t="s">
        <v>9</v>
      </c>
      <c r="B2336" s="8">
        <v>17.579999999999998</v>
      </c>
      <c r="C2336">
        <v>4.51</v>
      </c>
      <c r="D2336" t="s">
        <v>2379</v>
      </c>
      <c r="E2336" t="s">
        <v>2379</v>
      </c>
      <c r="F2336" t="s">
        <v>2379</v>
      </c>
      <c r="G2336">
        <v>1</v>
      </c>
      <c r="H2336" t="s">
        <v>2379</v>
      </c>
      <c r="I2336" t="str" cm="1">
        <f t="array" ref="I2336">_xlfn.IFS(B2336&lt;18.5,"Underweight",AND(B2336&gt;=18.5,B2336&lt;=24.99),"Normalweight",AND(B2336&gt;=25,B2336&lt;=29.99),"Overweight",B2336&gt;=30,"Obesity")</f>
        <v>Underweight</v>
      </c>
      <c r="J2336" t="str" cm="1">
        <f t="array" ref="J2336">_xlfn.IFS(C2336&lt;5.7,"Normal",AND(C2336&gt;=5.7,C2336&lt;=6.49),"Prediabetes",C2336&gt;=6.5,"Diabetes")</f>
        <v>Normal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44"/>
  <sheetViews>
    <sheetView tabSelected="1" workbookViewId="0">
      <selection activeCell="N19" sqref="N19"/>
    </sheetView>
  </sheetViews>
  <sheetFormatPr defaultRowHeight="14.4" x14ac:dyDescent="0.3"/>
  <cols>
    <col min="1" max="1" width="14.44140625" customWidth="1"/>
    <col min="3" max="3" width="9.109375" customWidth="1"/>
    <col min="5" max="5" width="14.88671875" style="14" customWidth="1"/>
    <col min="6" max="6" width="10.44140625" customWidth="1"/>
    <col min="7" max="7" width="10.44140625" style="11" bestFit="1" customWidth="1"/>
    <col min="8" max="8" width="14.44140625" customWidth="1"/>
    <col min="9" max="10" width="10.21875" customWidth="1"/>
  </cols>
  <sheetData>
    <row r="1" spans="1:16" s="2" customFormat="1" ht="18.899999999999999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6" t="s">
        <v>10755</v>
      </c>
      <c r="F1" s="15" t="s">
        <v>4</v>
      </c>
      <c r="G1" s="17" t="s">
        <v>5</v>
      </c>
      <c r="H1" s="15" t="s">
        <v>6</v>
      </c>
      <c r="I1" s="15" t="s">
        <v>7</v>
      </c>
      <c r="J1" s="15" t="s">
        <v>8</v>
      </c>
    </row>
    <row r="2" spans="1:16" x14ac:dyDescent="0.3">
      <c r="A2" t="s">
        <v>9</v>
      </c>
      <c r="B2">
        <v>1992</v>
      </c>
      <c r="C2" t="s">
        <v>10</v>
      </c>
      <c r="D2">
        <v>9</v>
      </c>
      <c r="E2" s="14" t="s">
        <v>10756</v>
      </c>
      <c r="F2">
        <v>0</v>
      </c>
      <c r="G2" s="11">
        <v>563.84</v>
      </c>
      <c r="H2" t="s">
        <v>11</v>
      </c>
      <c r="I2" t="s">
        <v>12</v>
      </c>
      <c r="J2" t="s">
        <v>13</v>
      </c>
    </row>
    <row r="3" spans="1:16" x14ac:dyDescent="0.3">
      <c r="A3" t="s">
        <v>14</v>
      </c>
      <c r="B3">
        <v>1992</v>
      </c>
      <c r="C3" t="s">
        <v>15</v>
      </c>
      <c r="D3">
        <v>30</v>
      </c>
      <c r="E3" s="13" t="s">
        <v>10757</v>
      </c>
      <c r="F3">
        <v>0</v>
      </c>
      <c r="G3" s="11">
        <v>570.62</v>
      </c>
      <c r="H3" t="s">
        <v>11</v>
      </c>
      <c r="I3" t="s">
        <v>16</v>
      </c>
      <c r="J3" t="s">
        <v>13</v>
      </c>
    </row>
    <row r="4" spans="1:16" x14ac:dyDescent="0.3">
      <c r="A4" t="s">
        <v>17</v>
      </c>
      <c r="B4">
        <v>1993</v>
      </c>
      <c r="C4" t="s">
        <v>18</v>
      </c>
      <c r="D4">
        <v>30</v>
      </c>
      <c r="E4" s="13" t="s">
        <v>10758</v>
      </c>
      <c r="F4">
        <v>0</v>
      </c>
      <c r="G4" s="11">
        <v>600</v>
      </c>
      <c r="H4" t="s">
        <v>11</v>
      </c>
      <c r="I4" t="s">
        <v>16</v>
      </c>
      <c r="J4" t="s">
        <v>13</v>
      </c>
      <c r="O4" t="s">
        <v>16</v>
      </c>
      <c r="P4">
        <f>COUNTIF($I$2:$I$2344,O4)</f>
        <v>734</v>
      </c>
    </row>
    <row r="5" spans="1:16" x14ac:dyDescent="0.3">
      <c r="A5" t="s">
        <v>19</v>
      </c>
      <c r="B5">
        <v>1992</v>
      </c>
      <c r="C5" t="s">
        <v>20</v>
      </c>
      <c r="D5">
        <v>13</v>
      </c>
      <c r="E5" s="13" t="s">
        <v>10759</v>
      </c>
      <c r="F5">
        <v>0</v>
      </c>
      <c r="G5" s="11">
        <v>604.54</v>
      </c>
      <c r="H5" t="s">
        <v>12</v>
      </c>
      <c r="I5" t="s">
        <v>12</v>
      </c>
      <c r="J5" t="s">
        <v>13</v>
      </c>
      <c r="O5" t="s">
        <v>11</v>
      </c>
      <c r="P5">
        <f t="shared" ref="P5:P6" si="0">COUNTIF($I$2:$I$2344,O5)</f>
        <v>813</v>
      </c>
    </row>
    <row r="6" spans="1:16" x14ac:dyDescent="0.3">
      <c r="A6" t="s">
        <v>21</v>
      </c>
      <c r="B6">
        <v>1998</v>
      </c>
      <c r="C6" t="s">
        <v>10</v>
      </c>
      <c r="D6">
        <v>27</v>
      </c>
      <c r="E6" s="13" t="s">
        <v>10760</v>
      </c>
      <c r="F6">
        <v>0</v>
      </c>
      <c r="G6" s="11">
        <v>637.26</v>
      </c>
      <c r="H6" t="s">
        <v>12</v>
      </c>
      <c r="I6" t="s">
        <v>12</v>
      </c>
      <c r="J6" t="s">
        <v>13</v>
      </c>
      <c r="O6" t="s">
        <v>12</v>
      </c>
      <c r="P6">
        <f t="shared" si="0"/>
        <v>796</v>
      </c>
    </row>
    <row r="7" spans="1:16" x14ac:dyDescent="0.3">
      <c r="A7" t="s">
        <v>22</v>
      </c>
      <c r="B7">
        <v>2001</v>
      </c>
      <c r="C7" t="s">
        <v>15</v>
      </c>
      <c r="D7">
        <v>20</v>
      </c>
      <c r="E7" s="13" t="s">
        <v>10761</v>
      </c>
      <c r="F7">
        <v>0</v>
      </c>
      <c r="G7" s="11">
        <v>646.14</v>
      </c>
      <c r="H7" t="s">
        <v>12</v>
      </c>
      <c r="I7" t="s">
        <v>12</v>
      </c>
      <c r="J7" t="s">
        <v>23</v>
      </c>
    </row>
    <row r="8" spans="1:16" x14ac:dyDescent="0.3">
      <c r="A8" t="s">
        <v>24</v>
      </c>
      <c r="B8">
        <v>1993</v>
      </c>
      <c r="C8" t="s">
        <v>18</v>
      </c>
      <c r="D8">
        <v>1</v>
      </c>
      <c r="E8" s="13" t="s">
        <v>10762</v>
      </c>
      <c r="F8">
        <v>0</v>
      </c>
      <c r="G8" s="11">
        <v>650</v>
      </c>
      <c r="H8" t="s">
        <v>12</v>
      </c>
      <c r="I8" t="s">
        <v>12</v>
      </c>
      <c r="J8" t="s">
        <v>13</v>
      </c>
      <c r="N8" s="12"/>
    </row>
    <row r="9" spans="1:16" x14ac:dyDescent="0.3">
      <c r="A9" t="s">
        <v>25</v>
      </c>
      <c r="B9">
        <v>1995</v>
      </c>
      <c r="C9" t="s">
        <v>10</v>
      </c>
      <c r="D9">
        <v>4</v>
      </c>
      <c r="E9" s="13" t="s">
        <v>10763</v>
      </c>
      <c r="F9">
        <v>0</v>
      </c>
      <c r="G9" s="11">
        <v>650</v>
      </c>
      <c r="H9" t="s">
        <v>12</v>
      </c>
      <c r="I9" t="s">
        <v>12</v>
      </c>
      <c r="J9" t="s">
        <v>13</v>
      </c>
    </row>
    <row r="10" spans="1:16" x14ac:dyDescent="0.3">
      <c r="A10" t="s">
        <v>26</v>
      </c>
      <c r="B10">
        <v>2002</v>
      </c>
      <c r="C10" t="s">
        <v>15</v>
      </c>
      <c r="D10">
        <v>29</v>
      </c>
      <c r="E10" s="13" t="s">
        <v>10764</v>
      </c>
      <c r="F10">
        <v>0</v>
      </c>
      <c r="G10" s="11">
        <v>668</v>
      </c>
      <c r="H10" t="s">
        <v>12</v>
      </c>
      <c r="I10" t="s">
        <v>11</v>
      </c>
      <c r="J10" t="s">
        <v>23</v>
      </c>
      <c r="L10">
        <f>AVERAGE($B$2:$B$2344)</f>
        <v>1982.8416559965856</v>
      </c>
    </row>
    <row r="11" spans="1:16" x14ac:dyDescent="0.3">
      <c r="A11" t="s">
        <v>27</v>
      </c>
      <c r="B11">
        <v>1997</v>
      </c>
      <c r="C11" t="s">
        <v>15</v>
      </c>
      <c r="D11">
        <v>9</v>
      </c>
      <c r="E11" s="13">
        <v>35743</v>
      </c>
      <c r="F11">
        <v>0</v>
      </c>
      <c r="G11" s="11">
        <v>670</v>
      </c>
      <c r="H11" t="s">
        <v>12</v>
      </c>
      <c r="I11" t="s">
        <v>12</v>
      </c>
      <c r="J11" t="s">
        <v>13</v>
      </c>
    </row>
    <row r="12" spans="1:16" x14ac:dyDescent="0.3">
      <c r="A12" t="s">
        <v>28</v>
      </c>
      <c r="B12">
        <v>2001</v>
      </c>
      <c r="C12" t="s">
        <v>20</v>
      </c>
      <c r="D12">
        <v>12</v>
      </c>
      <c r="E12" s="13" t="s">
        <v>10765</v>
      </c>
      <c r="F12">
        <v>0</v>
      </c>
      <c r="G12" s="11">
        <v>687.54</v>
      </c>
      <c r="H12" t="s">
        <v>12</v>
      </c>
      <c r="I12" t="s">
        <v>11</v>
      </c>
      <c r="J12" t="s">
        <v>13</v>
      </c>
    </row>
    <row r="13" spans="1:16" x14ac:dyDescent="0.3">
      <c r="A13" t="s">
        <v>29</v>
      </c>
      <c r="B13">
        <v>1999</v>
      </c>
      <c r="C13" t="s">
        <v>30</v>
      </c>
      <c r="D13">
        <v>26</v>
      </c>
      <c r="E13" s="13" t="s">
        <v>10766</v>
      </c>
      <c r="F13">
        <v>0</v>
      </c>
      <c r="G13" s="11">
        <v>700</v>
      </c>
      <c r="H13" t="s">
        <v>11</v>
      </c>
      <c r="I13" t="s">
        <v>12</v>
      </c>
      <c r="J13" t="s">
        <v>13</v>
      </c>
      <c r="M13" t="s">
        <v>4718</v>
      </c>
    </row>
    <row r="14" spans="1:16" x14ac:dyDescent="0.3">
      <c r="A14" t="s">
        <v>32</v>
      </c>
      <c r="B14">
        <v>1999</v>
      </c>
      <c r="C14" t="s">
        <v>30</v>
      </c>
      <c r="D14">
        <v>14</v>
      </c>
      <c r="E14" s="13" t="s">
        <v>10767</v>
      </c>
      <c r="F14">
        <v>0</v>
      </c>
      <c r="G14" s="11">
        <v>722.99</v>
      </c>
      <c r="H14" t="s">
        <v>12</v>
      </c>
      <c r="I14" t="s">
        <v>16</v>
      </c>
      <c r="J14" t="s">
        <v>13</v>
      </c>
    </row>
    <row r="15" spans="1:16" x14ac:dyDescent="0.3">
      <c r="A15" t="s">
        <v>33</v>
      </c>
      <c r="B15">
        <v>2002</v>
      </c>
      <c r="C15" t="s">
        <v>20</v>
      </c>
      <c r="D15">
        <v>19</v>
      </c>
      <c r="E15" s="13" t="s">
        <v>10768</v>
      </c>
      <c r="F15">
        <v>0</v>
      </c>
      <c r="G15" s="11">
        <v>750</v>
      </c>
      <c r="H15" t="s">
        <v>12</v>
      </c>
      <c r="I15" t="s">
        <v>16</v>
      </c>
      <c r="J15" t="s">
        <v>23</v>
      </c>
    </row>
    <row r="16" spans="1:16" x14ac:dyDescent="0.3">
      <c r="A16" t="s">
        <v>34</v>
      </c>
      <c r="B16">
        <v>1993</v>
      </c>
      <c r="C16" t="s">
        <v>35</v>
      </c>
      <c r="D16">
        <v>9</v>
      </c>
      <c r="E16" s="13" t="s">
        <v>10769</v>
      </c>
      <c r="F16">
        <v>0</v>
      </c>
      <c r="G16" s="11">
        <v>760</v>
      </c>
      <c r="H16" t="s">
        <v>12</v>
      </c>
      <c r="I16" t="s">
        <v>16</v>
      </c>
      <c r="J16" t="s">
        <v>13</v>
      </c>
    </row>
    <row r="17" spans="1:12" x14ac:dyDescent="0.3">
      <c r="A17" t="s">
        <v>36</v>
      </c>
      <c r="B17">
        <v>1996</v>
      </c>
      <c r="C17" t="s">
        <v>37</v>
      </c>
      <c r="D17">
        <v>22</v>
      </c>
      <c r="E17" s="13" t="s">
        <v>10770</v>
      </c>
      <c r="F17">
        <v>0</v>
      </c>
      <c r="G17" s="11">
        <v>760</v>
      </c>
      <c r="H17" t="s">
        <v>12</v>
      </c>
      <c r="I17" t="s">
        <v>12</v>
      </c>
      <c r="J17" t="s">
        <v>13</v>
      </c>
      <c r="L17">
        <f>546</f>
        <v>546</v>
      </c>
    </row>
    <row r="18" spans="1:12" x14ac:dyDescent="0.3">
      <c r="A18" t="s">
        <v>38</v>
      </c>
      <c r="B18">
        <v>1993</v>
      </c>
      <c r="C18" t="s">
        <v>18</v>
      </c>
      <c r="D18">
        <v>28</v>
      </c>
      <c r="E18" s="13" t="s">
        <v>10771</v>
      </c>
      <c r="F18">
        <v>0</v>
      </c>
      <c r="G18" s="11">
        <v>770</v>
      </c>
      <c r="H18" t="s">
        <v>12</v>
      </c>
      <c r="I18" t="s">
        <v>12</v>
      </c>
      <c r="J18" t="s">
        <v>13</v>
      </c>
    </row>
    <row r="19" spans="1:12" x14ac:dyDescent="0.3">
      <c r="A19" t="s">
        <v>39</v>
      </c>
      <c r="B19">
        <v>1996</v>
      </c>
      <c r="C19" t="s">
        <v>20</v>
      </c>
      <c r="D19">
        <v>18</v>
      </c>
      <c r="E19" s="13" t="s">
        <v>10772</v>
      </c>
      <c r="F19">
        <v>0</v>
      </c>
      <c r="G19" s="11">
        <v>770.38</v>
      </c>
      <c r="H19" t="s">
        <v>12</v>
      </c>
      <c r="I19" t="s">
        <v>11</v>
      </c>
      <c r="J19" t="s">
        <v>23</v>
      </c>
    </row>
    <row r="20" spans="1:12" x14ac:dyDescent="0.3">
      <c r="A20" t="s">
        <v>40</v>
      </c>
      <c r="B20">
        <v>1995</v>
      </c>
      <c r="C20" t="s">
        <v>30</v>
      </c>
      <c r="D20">
        <v>7</v>
      </c>
      <c r="E20" s="13" t="s">
        <v>10773</v>
      </c>
      <c r="F20">
        <v>0</v>
      </c>
      <c r="G20" s="11">
        <v>773.54</v>
      </c>
      <c r="H20" t="s">
        <v>12</v>
      </c>
      <c r="I20" t="s">
        <v>11</v>
      </c>
      <c r="J20" t="s">
        <v>13</v>
      </c>
    </row>
    <row r="21" spans="1:12" x14ac:dyDescent="0.3">
      <c r="A21" t="s">
        <v>41</v>
      </c>
      <c r="B21">
        <v>2004</v>
      </c>
      <c r="C21" t="s">
        <v>37</v>
      </c>
      <c r="D21">
        <v>7</v>
      </c>
      <c r="E21" s="13" t="s">
        <v>10774</v>
      </c>
      <c r="F21">
        <v>0</v>
      </c>
      <c r="G21" s="11">
        <v>830.52</v>
      </c>
      <c r="H21" t="s">
        <v>12</v>
      </c>
      <c r="I21" t="s">
        <v>11</v>
      </c>
      <c r="J21" t="s">
        <v>42</v>
      </c>
    </row>
    <row r="22" spans="1:12" x14ac:dyDescent="0.3">
      <c r="A22" t="s">
        <v>43</v>
      </c>
      <c r="B22">
        <v>2000</v>
      </c>
      <c r="C22" t="s">
        <v>15</v>
      </c>
      <c r="D22">
        <v>18</v>
      </c>
      <c r="E22" s="13" t="s">
        <v>10775</v>
      </c>
      <c r="F22">
        <v>0</v>
      </c>
      <c r="G22" s="11">
        <v>865.41</v>
      </c>
      <c r="H22" t="s">
        <v>12</v>
      </c>
      <c r="I22" t="s">
        <v>16</v>
      </c>
      <c r="J22" t="s">
        <v>13</v>
      </c>
    </row>
    <row r="23" spans="1:12" x14ac:dyDescent="0.3">
      <c r="A23" t="s">
        <v>44</v>
      </c>
      <c r="B23">
        <v>1993</v>
      </c>
      <c r="C23" t="s">
        <v>15</v>
      </c>
      <c r="D23">
        <v>27</v>
      </c>
      <c r="E23" s="13" t="s">
        <v>10776</v>
      </c>
      <c r="F23">
        <v>0</v>
      </c>
      <c r="G23" s="11">
        <v>896.21</v>
      </c>
      <c r="H23" t="s">
        <v>12</v>
      </c>
      <c r="I23" t="s">
        <v>16</v>
      </c>
      <c r="J23" t="s">
        <v>13</v>
      </c>
    </row>
    <row r="24" spans="1:12" x14ac:dyDescent="0.3">
      <c r="A24" t="s">
        <v>45</v>
      </c>
      <c r="B24">
        <v>1994</v>
      </c>
      <c r="C24" t="s">
        <v>37</v>
      </c>
      <c r="D24">
        <v>30</v>
      </c>
      <c r="E24" s="13" t="s">
        <v>10777</v>
      </c>
      <c r="F24">
        <v>0</v>
      </c>
      <c r="G24" s="11">
        <v>915.07</v>
      </c>
      <c r="H24" t="s">
        <v>12</v>
      </c>
      <c r="I24" t="s">
        <v>16</v>
      </c>
      <c r="J24" t="s">
        <v>13</v>
      </c>
    </row>
    <row r="25" spans="1:12" x14ac:dyDescent="0.3">
      <c r="A25" t="s">
        <v>46</v>
      </c>
      <c r="B25">
        <v>1995</v>
      </c>
      <c r="C25" t="s">
        <v>37</v>
      </c>
      <c r="D25">
        <v>28</v>
      </c>
      <c r="E25" s="13" t="s">
        <v>10778</v>
      </c>
      <c r="F25">
        <v>0</v>
      </c>
      <c r="G25" s="11">
        <v>928.59</v>
      </c>
      <c r="H25" t="s">
        <v>12</v>
      </c>
      <c r="I25" t="s">
        <v>16</v>
      </c>
      <c r="J25" t="s">
        <v>13</v>
      </c>
    </row>
    <row r="26" spans="1:12" x14ac:dyDescent="0.3">
      <c r="A26" t="s">
        <v>47</v>
      </c>
      <c r="B26">
        <v>2001</v>
      </c>
      <c r="C26" t="s">
        <v>35</v>
      </c>
      <c r="D26">
        <v>19</v>
      </c>
      <c r="E26" s="13" t="s">
        <v>10779</v>
      </c>
      <c r="F26">
        <v>0</v>
      </c>
      <c r="G26" s="11">
        <v>964.71</v>
      </c>
      <c r="H26" t="s">
        <v>12</v>
      </c>
      <c r="I26" t="s">
        <v>11</v>
      </c>
      <c r="J26" t="s">
        <v>13</v>
      </c>
    </row>
    <row r="27" spans="1:12" x14ac:dyDescent="0.3">
      <c r="A27" t="s">
        <v>48</v>
      </c>
      <c r="B27">
        <v>1994</v>
      </c>
      <c r="C27" t="s">
        <v>15</v>
      </c>
      <c r="D27">
        <v>22</v>
      </c>
      <c r="E27" s="13" t="s">
        <v>10780</v>
      </c>
      <c r="F27">
        <v>0</v>
      </c>
      <c r="G27" s="11">
        <v>1006.65</v>
      </c>
      <c r="H27" t="s">
        <v>12</v>
      </c>
      <c r="I27" t="s">
        <v>11</v>
      </c>
      <c r="J27" t="s">
        <v>13</v>
      </c>
    </row>
    <row r="28" spans="1:12" x14ac:dyDescent="0.3">
      <c r="A28" t="s">
        <v>49</v>
      </c>
      <c r="B28">
        <v>2000</v>
      </c>
      <c r="C28" t="s">
        <v>37</v>
      </c>
      <c r="D28">
        <v>9</v>
      </c>
      <c r="E28" s="13" t="s">
        <v>10781</v>
      </c>
      <c r="F28">
        <v>0</v>
      </c>
      <c r="G28" s="11">
        <v>1012</v>
      </c>
      <c r="H28" t="s">
        <v>12</v>
      </c>
      <c r="I28" t="s">
        <v>11</v>
      </c>
      <c r="J28" t="s">
        <v>13</v>
      </c>
    </row>
    <row r="29" spans="1:12" x14ac:dyDescent="0.3">
      <c r="A29" t="s">
        <v>50</v>
      </c>
      <c r="B29">
        <v>1999</v>
      </c>
      <c r="C29" t="s">
        <v>35</v>
      </c>
      <c r="D29">
        <v>5</v>
      </c>
      <c r="E29" s="13" t="s">
        <v>10782</v>
      </c>
      <c r="F29">
        <v>0</v>
      </c>
      <c r="G29" s="11">
        <v>1019</v>
      </c>
      <c r="H29" t="s">
        <v>12</v>
      </c>
      <c r="I29" t="s">
        <v>11</v>
      </c>
      <c r="J29" t="s">
        <v>13</v>
      </c>
    </row>
    <row r="30" spans="1:12" x14ac:dyDescent="0.3">
      <c r="A30" t="s">
        <v>51</v>
      </c>
      <c r="B30">
        <v>1995</v>
      </c>
      <c r="C30" t="s">
        <v>37</v>
      </c>
      <c r="D30">
        <v>5</v>
      </c>
      <c r="E30" s="13" t="s">
        <v>10783</v>
      </c>
      <c r="F30">
        <v>0</v>
      </c>
      <c r="G30" s="11">
        <v>1033.74</v>
      </c>
      <c r="H30" t="s">
        <v>12</v>
      </c>
      <c r="I30" t="s">
        <v>16</v>
      </c>
      <c r="J30" t="s">
        <v>13</v>
      </c>
    </row>
    <row r="31" spans="1:12" x14ac:dyDescent="0.3">
      <c r="A31" t="s">
        <v>52</v>
      </c>
      <c r="B31">
        <v>1994</v>
      </c>
      <c r="C31" t="s">
        <v>15</v>
      </c>
      <c r="D31">
        <v>17</v>
      </c>
      <c r="E31" s="13" t="s">
        <v>10784</v>
      </c>
      <c r="F31">
        <v>0</v>
      </c>
      <c r="G31" s="11">
        <v>1044</v>
      </c>
      <c r="H31" t="s">
        <v>12</v>
      </c>
      <c r="I31" t="s">
        <v>11</v>
      </c>
      <c r="J31" t="s">
        <v>13</v>
      </c>
    </row>
    <row r="32" spans="1:12" x14ac:dyDescent="0.3">
      <c r="A32" t="s">
        <v>53</v>
      </c>
      <c r="B32">
        <v>2002</v>
      </c>
      <c r="C32" t="s">
        <v>10</v>
      </c>
      <c r="D32">
        <v>20</v>
      </c>
      <c r="E32" s="13" t="s">
        <v>10785</v>
      </c>
      <c r="F32">
        <v>0</v>
      </c>
      <c r="G32" s="11">
        <v>1047</v>
      </c>
      <c r="H32" t="s">
        <v>12</v>
      </c>
      <c r="I32" t="s">
        <v>16</v>
      </c>
      <c r="J32" t="s">
        <v>13</v>
      </c>
    </row>
    <row r="33" spans="1:10" x14ac:dyDescent="0.3">
      <c r="A33" t="s">
        <v>54</v>
      </c>
      <c r="B33">
        <v>2002</v>
      </c>
      <c r="C33" t="s">
        <v>10</v>
      </c>
      <c r="D33">
        <v>1</v>
      </c>
      <c r="E33" s="13" t="s">
        <v>10786</v>
      </c>
      <c r="F33">
        <v>0</v>
      </c>
      <c r="G33" s="11">
        <v>1049</v>
      </c>
      <c r="H33" t="s">
        <v>12</v>
      </c>
      <c r="I33" t="s">
        <v>11</v>
      </c>
      <c r="J33" t="s">
        <v>23</v>
      </c>
    </row>
    <row r="34" spans="1:10" x14ac:dyDescent="0.3">
      <c r="A34" t="s">
        <v>55</v>
      </c>
      <c r="B34">
        <v>1995</v>
      </c>
      <c r="C34" t="s">
        <v>18</v>
      </c>
      <c r="D34">
        <v>1</v>
      </c>
      <c r="E34" s="13" t="s">
        <v>10787</v>
      </c>
      <c r="F34">
        <v>0</v>
      </c>
      <c r="G34" s="11">
        <v>1056</v>
      </c>
      <c r="H34" t="s">
        <v>12</v>
      </c>
      <c r="I34" t="s">
        <v>11</v>
      </c>
      <c r="J34" t="s">
        <v>13</v>
      </c>
    </row>
    <row r="35" spans="1:10" x14ac:dyDescent="0.3">
      <c r="A35" t="s">
        <v>56</v>
      </c>
      <c r="B35">
        <v>1993</v>
      </c>
      <c r="C35" t="s">
        <v>20</v>
      </c>
      <c r="D35">
        <v>28</v>
      </c>
      <c r="E35" s="13" t="s">
        <v>10788</v>
      </c>
      <c r="F35">
        <v>0</v>
      </c>
      <c r="G35" s="11">
        <v>1068</v>
      </c>
      <c r="H35" t="s">
        <v>12</v>
      </c>
      <c r="I35" t="s">
        <v>16</v>
      </c>
      <c r="J35" t="s">
        <v>13</v>
      </c>
    </row>
    <row r="36" spans="1:10" x14ac:dyDescent="0.3">
      <c r="A36" t="s">
        <v>57</v>
      </c>
      <c r="B36">
        <v>2004</v>
      </c>
      <c r="C36" t="s">
        <v>35</v>
      </c>
      <c r="D36">
        <v>24</v>
      </c>
      <c r="E36" s="13" t="s">
        <v>10789</v>
      </c>
      <c r="F36">
        <v>0</v>
      </c>
      <c r="G36" s="11">
        <v>1070</v>
      </c>
      <c r="H36" t="s">
        <v>12</v>
      </c>
      <c r="I36" t="s">
        <v>12</v>
      </c>
      <c r="J36" t="s">
        <v>13</v>
      </c>
    </row>
    <row r="37" spans="1:10" x14ac:dyDescent="0.3">
      <c r="A37" t="s">
        <v>58</v>
      </c>
      <c r="B37">
        <v>1997</v>
      </c>
      <c r="C37" t="s">
        <v>35</v>
      </c>
      <c r="D37">
        <v>13</v>
      </c>
      <c r="E37" s="13" t="s">
        <v>10790</v>
      </c>
      <c r="F37">
        <v>0</v>
      </c>
      <c r="G37" s="11">
        <v>1071</v>
      </c>
      <c r="H37" t="s">
        <v>12</v>
      </c>
      <c r="I37" t="s">
        <v>12</v>
      </c>
      <c r="J37" t="s">
        <v>13</v>
      </c>
    </row>
    <row r="38" spans="1:10" x14ac:dyDescent="0.3">
      <c r="A38" t="s">
        <v>59</v>
      </c>
      <c r="B38">
        <v>1998</v>
      </c>
      <c r="C38" t="s">
        <v>30</v>
      </c>
      <c r="D38">
        <v>26</v>
      </c>
      <c r="E38" s="13" t="s">
        <v>10791</v>
      </c>
      <c r="F38">
        <v>0</v>
      </c>
      <c r="G38" s="11">
        <v>1082</v>
      </c>
      <c r="H38" t="s">
        <v>12</v>
      </c>
      <c r="I38" t="s">
        <v>11</v>
      </c>
      <c r="J38" t="s">
        <v>13</v>
      </c>
    </row>
    <row r="39" spans="1:10" x14ac:dyDescent="0.3">
      <c r="A39" t="s">
        <v>60</v>
      </c>
      <c r="B39">
        <v>2002</v>
      </c>
      <c r="C39" t="s">
        <v>35</v>
      </c>
      <c r="D39">
        <v>13</v>
      </c>
      <c r="E39" s="13" t="s">
        <v>10792</v>
      </c>
      <c r="F39">
        <v>0</v>
      </c>
      <c r="G39" s="11">
        <v>1086</v>
      </c>
      <c r="H39" t="s">
        <v>12</v>
      </c>
      <c r="I39" t="s">
        <v>12</v>
      </c>
      <c r="J39" t="s">
        <v>13</v>
      </c>
    </row>
    <row r="40" spans="1:10" x14ac:dyDescent="0.3">
      <c r="A40" t="s">
        <v>61</v>
      </c>
      <c r="B40">
        <v>2004</v>
      </c>
      <c r="C40" t="s">
        <v>15</v>
      </c>
      <c r="D40">
        <v>12</v>
      </c>
      <c r="E40" s="13" t="s">
        <v>10793</v>
      </c>
      <c r="F40">
        <v>0</v>
      </c>
      <c r="G40" s="11">
        <v>1121.8699999999999</v>
      </c>
      <c r="H40" t="s">
        <v>12</v>
      </c>
      <c r="I40" t="s">
        <v>16</v>
      </c>
      <c r="J40" t="s">
        <v>13</v>
      </c>
    </row>
    <row r="41" spans="1:10" x14ac:dyDescent="0.3">
      <c r="A41" t="s">
        <v>62</v>
      </c>
      <c r="B41">
        <v>2004</v>
      </c>
      <c r="C41" t="s">
        <v>18</v>
      </c>
      <c r="D41">
        <v>14</v>
      </c>
      <c r="E41" s="13" t="s">
        <v>10794</v>
      </c>
      <c r="F41">
        <v>0</v>
      </c>
      <c r="G41" s="11">
        <v>1131.51</v>
      </c>
      <c r="H41" t="s">
        <v>12</v>
      </c>
      <c r="I41" t="s">
        <v>16</v>
      </c>
      <c r="J41" t="s">
        <v>13</v>
      </c>
    </row>
    <row r="42" spans="1:10" x14ac:dyDescent="0.3">
      <c r="A42" t="s">
        <v>63</v>
      </c>
      <c r="B42">
        <v>2002</v>
      </c>
      <c r="C42" t="s">
        <v>10</v>
      </c>
      <c r="D42">
        <v>19</v>
      </c>
      <c r="E42" s="13" t="s">
        <v>10795</v>
      </c>
      <c r="F42">
        <v>0</v>
      </c>
      <c r="G42" s="11">
        <v>1132</v>
      </c>
      <c r="H42" t="s">
        <v>12</v>
      </c>
      <c r="I42" t="s">
        <v>16</v>
      </c>
      <c r="J42" t="s">
        <v>13</v>
      </c>
    </row>
    <row r="43" spans="1:10" x14ac:dyDescent="0.3">
      <c r="A43" t="s">
        <v>64</v>
      </c>
      <c r="B43">
        <v>2004</v>
      </c>
      <c r="C43" t="s">
        <v>37</v>
      </c>
      <c r="D43">
        <v>6</v>
      </c>
      <c r="E43" s="13" t="s">
        <v>10796</v>
      </c>
      <c r="F43">
        <v>0</v>
      </c>
      <c r="G43" s="11">
        <v>1135</v>
      </c>
      <c r="H43" t="s">
        <v>12</v>
      </c>
      <c r="I43" t="s">
        <v>12</v>
      </c>
      <c r="J43" t="s">
        <v>13</v>
      </c>
    </row>
    <row r="44" spans="1:10" x14ac:dyDescent="0.3">
      <c r="A44" t="s">
        <v>65</v>
      </c>
      <c r="B44">
        <v>2004</v>
      </c>
      <c r="C44" t="s">
        <v>18</v>
      </c>
      <c r="D44">
        <v>11</v>
      </c>
      <c r="E44" s="13" t="s">
        <v>10797</v>
      </c>
      <c r="F44">
        <v>0</v>
      </c>
      <c r="G44" s="11">
        <v>1135.94</v>
      </c>
      <c r="H44" t="s">
        <v>12</v>
      </c>
      <c r="I44" t="s">
        <v>12</v>
      </c>
      <c r="J44" t="s">
        <v>13</v>
      </c>
    </row>
    <row r="45" spans="1:10" x14ac:dyDescent="0.3">
      <c r="A45" t="s">
        <v>66</v>
      </c>
      <c r="B45">
        <v>2004</v>
      </c>
      <c r="C45" t="s">
        <v>15</v>
      </c>
      <c r="D45">
        <v>28</v>
      </c>
      <c r="E45" s="13" t="s">
        <v>10798</v>
      </c>
      <c r="F45">
        <v>0</v>
      </c>
      <c r="G45" s="11">
        <v>1136.4000000000001</v>
      </c>
      <c r="H45" t="s">
        <v>12</v>
      </c>
      <c r="I45" t="s">
        <v>12</v>
      </c>
      <c r="J45" t="s">
        <v>13</v>
      </c>
    </row>
    <row r="46" spans="1:10" x14ac:dyDescent="0.3">
      <c r="A46" t="s">
        <v>67</v>
      </c>
      <c r="B46">
        <v>2002</v>
      </c>
      <c r="C46" t="s">
        <v>35</v>
      </c>
      <c r="D46">
        <v>11</v>
      </c>
      <c r="E46" s="13" t="s">
        <v>10799</v>
      </c>
      <c r="F46">
        <v>0</v>
      </c>
      <c r="G46" s="11">
        <v>1137</v>
      </c>
      <c r="H46" t="s">
        <v>12</v>
      </c>
      <c r="I46" t="s">
        <v>16</v>
      </c>
      <c r="J46" t="s">
        <v>13</v>
      </c>
    </row>
    <row r="47" spans="1:10" x14ac:dyDescent="0.3">
      <c r="A47" t="s">
        <v>31</v>
      </c>
      <c r="B47">
        <v>2004</v>
      </c>
      <c r="C47" t="s">
        <v>15</v>
      </c>
      <c r="D47">
        <v>6</v>
      </c>
      <c r="E47" t="s">
        <v>10800</v>
      </c>
      <c r="F47">
        <v>0</v>
      </c>
      <c r="G47">
        <v>1137.01</v>
      </c>
      <c r="H47" t="s">
        <v>12</v>
      </c>
      <c r="I47" t="s">
        <v>16</v>
      </c>
      <c r="J47" t="s">
        <v>13</v>
      </c>
    </row>
    <row r="48" spans="1:10" x14ac:dyDescent="0.3">
      <c r="A48" t="s">
        <v>68</v>
      </c>
      <c r="B48">
        <v>2004</v>
      </c>
      <c r="C48" t="s">
        <v>37</v>
      </c>
      <c r="D48">
        <v>15</v>
      </c>
      <c r="E48" s="13" t="s">
        <v>10801</v>
      </c>
      <c r="F48">
        <v>0</v>
      </c>
      <c r="G48" s="11">
        <v>1137.01</v>
      </c>
      <c r="H48" t="s">
        <v>12</v>
      </c>
      <c r="I48" t="s">
        <v>16</v>
      </c>
      <c r="J48" t="s">
        <v>13</v>
      </c>
    </row>
    <row r="49" spans="1:10" x14ac:dyDescent="0.3">
      <c r="A49" t="s">
        <v>69</v>
      </c>
      <c r="B49">
        <v>2004</v>
      </c>
      <c r="C49" t="s">
        <v>15</v>
      </c>
      <c r="D49">
        <v>27</v>
      </c>
      <c r="E49" s="13" t="s">
        <v>10802</v>
      </c>
      <c r="F49">
        <v>0</v>
      </c>
      <c r="G49" s="11">
        <v>1137.47</v>
      </c>
      <c r="H49" t="s">
        <v>12</v>
      </c>
      <c r="I49" t="s">
        <v>11</v>
      </c>
      <c r="J49" t="s">
        <v>13</v>
      </c>
    </row>
    <row r="50" spans="1:10" x14ac:dyDescent="0.3">
      <c r="A50" t="s">
        <v>70</v>
      </c>
      <c r="B50">
        <v>2001</v>
      </c>
      <c r="C50" t="s">
        <v>37</v>
      </c>
      <c r="D50">
        <v>25</v>
      </c>
      <c r="E50" s="13" t="s">
        <v>10803</v>
      </c>
      <c r="F50">
        <v>0</v>
      </c>
      <c r="G50" s="11">
        <v>1141</v>
      </c>
      <c r="H50" t="s">
        <v>12</v>
      </c>
      <c r="I50" t="s">
        <v>16</v>
      </c>
      <c r="J50" t="s">
        <v>13</v>
      </c>
    </row>
    <row r="51" spans="1:10" x14ac:dyDescent="0.3">
      <c r="A51" t="s">
        <v>71</v>
      </c>
      <c r="B51">
        <v>2004</v>
      </c>
      <c r="C51" t="s">
        <v>20</v>
      </c>
      <c r="D51">
        <v>12</v>
      </c>
      <c r="E51" s="13" t="s">
        <v>10804</v>
      </c>
      <c r="F51">
        <v>0</v>
      </c>
      <c r="G51" s="11">
        <v>1141.45</v>
      </c>
      <c r="H51" t="s">
        <v>12</v>
      </c>
      <c r="I51" t="s">
        <v>12</v>
      </c>
      <c r="J51" t="s">
        <v>13</v>
      </c>
    </row>
    <row r="52" spans="1:10" x14ac:dyDescent="0.3">
      <c r="A52" t="s">
        <v>72</v>
      </c>
      <c r="B52">
        <v>2002</v>
      </c>
      <c r="C52" t="s">
        <v>37</v>
      </c>
      <c r="D52">
        <v>1</v>
      </c>
      <c r="E52" s="13" t="s">
        <v>10805</v>
      </c>
      <c r="F52">
        <v>0</v>
      </c>
      <c r="G52" s="11">
        <v>1142</v>
      </c>
      <c r="H52" t="s">
        <v>12</v>
      </c>
      <c r="I52" t="s">
        <v>11</v>
      </c>
      <c r="J52" t="s">
        <v>42</v>
      </c>
    </row>
    <row r="53" spans="1:10" x14ac:dyDescent="0.3">
      <c r="A53" t="s">
        <v>73</v>
      </c>
      <c r="B53">
        <v>2004</v>
      </c>
      <c r="C53" t="s">
        <v>18</v>
      </c>
      <c r="D53">
        <v>10</v>
      </c>
      <c r="E53" s="13" t="s">
        <v>10806</v>
      </c>
      <c r="F53">
        <v>0</v>
      </c>
      <c r="G53" s="11">
        <v>1146.8</v>
      </c>
      <c r="H53" t="s">
        <v>11</v>
      </c>
      <c r="I53" t="s">
        <v>11</v>
      </c>
      <c r="J53" t="s">
        <v>13</v>
      </c>
    </row>
    <row r="54" spans="1:10" x14ac:dyDescent="0.3">
      <c r="A54" t="s">
        <v>74</v>
      </c>
      <c r="B54">
        <v>2003</v>
      </c>
      <c r="C54" t="s">
        <v>18</v>
      </c>
      <c r="D54">
        <v>12</v>
      </c>
      <c r="E54" s="13" t="s">
        <v>10807</v>
      </c>
      <c r="F54">
        <v>0</v>
      </c>
      <c r="G54" s="11">
        <v>1149</v>
      </c>
      <c r="H54" t="s">
        <v>11</v>
      </c>
      <c r="I54" t="s">
        <v>16</v>
      </c>
      <c r="J54" t="s">
        <v>23</v>
      </c>
    </row>
    <row r="55" spans="1:10" x14ac:dyDescent="0.3">
      <c r="A55" t="s">
        <v>75</v>
      </c>
      <c r="B55">
        <v>2004</v>
      </c>
      <c r="C55" t="s">
        <v>10</v>
      </c>
      <c r="D55">
        <v>18</v>
      </c>
      <c r="E55" s="13" t="s">
        <v>10808</v>
      </c>
      <c r="F55">
        <v>0</v>
      </c>
      <c r="G55" s="11">
        <v>1149.4000000000001</v>
      </c>
      <c r="H55" t="s">
        <v>11</v>
      </c>
      <c r="I55" t="s">
        <v>11</v>
      </c>
      <c r="J55" t="s">
        <v>13</v>
      </c>
    </row>
    <row r="56" spans="1:10" x14ac:dyDescent="0.3">
      <c r="A56" t="s">
        <v>76</v>
      </c>
      <c r="B56">
        <v>1994</v>
      </c>
      <c r="C56" t="s">
        <v>10</v>
      </c>
      <c r="D56">
        <v>26</v>
      </c>
      <c r="E56" s="13" t="s">
        <v>10809</v>
      </c>
      <c r="F56">
        <v>0</v>
      </c>
      <c r="G56" s="11">
        <v>1158.32</v>
      </c>
      <c r="H56" t="s">
        <v>11</v>
      </c>
      <c r="I56" t="s">
        <v>16</v>
      </c>
      <c r="J56" t="s">
        <v>13</v>
      </c>
    </row>
    <row r="57" spans="1:10" x14ac:dyDescent="0.3">
      <c r="A57" t="s">
        <v>77</v>
      </c>
      <c r="B57">
        <v>2004</v>
      </c>
      <c r="C57" t="s">
        <v>15</v>
      </c>
      <c r="D57">
        <v>11</v>
      </c>
      <c r="E57" s="13" t="s">
        <v>10810</v>
      </c>
      <c r="F57">
        <v>0</v>
      </c>
      <c r="G57" s="11">
        <v>1163.46</v>
      </c>
      <c r="H57" t="s">
        <v>11</v>
      </c>
      <c r="I57" t="s">
        <v>12</v>
      </c>
      <c r="J57" t="s">
        <v>13</v>
      </c>
    </row>
    <row r="58" spans="1:10" x14ac:dyDescent="0.3">
      <c r="A58" t="s">
        <v>78</v>
      </c>
      <c r="B58">
        <v>2002</v>
      </c>
      <c r="C58" t="s">
        <v>18</v>
      </c>
      <c r="D58">
        <v>11</v>
      </c>
      <c r="E58" s="13" t="s">
        <v>10811</v>
      </c>
      <c r="F58">
        <v>0</v>
      </c>
      <c r="G58" s="11">
        <v>1165</v>
      </c>
      <c r="H58" t="s">
        <v>11</v>
      </c>
      <c r="I58" t="s">
        <v>12</v>
      </c>
      <c r="J58" t="s">
        <v>23</v>
      </c>
    </row>
    <row r="59" spans="1:10" x14ac:dyDescent="0.3">
      <c r="A59" t="s">
        <v>79</v>
      </c>
      <c r="B59">
        <v>2001</v>
      </c>
      <c r="C59" t="s">
        <v>15</v>
      </c>
      <c r="D59">
        <v>12</v>
      </c>
      <c r="E59" s="13" t="s">
        <v>10812</v>
      </c>
      <c r="F59">
        <v>0</v>
      </c>
      <c r="G59" s="11">
        <v>1167</v>
      </c>
      <c r="H59" t="s">
        <v>11</v>
      </c>
      <c r="I59" t="s">
        <v>16</v>
      </c>
      <c r="J59" t="s">
        <v>13</v>
      </c>
    </row>
    <row r="60" spans="1:10" x14ac:dyDescent="0.3">
      <c r="A60" t="s">
        <v>80</v>
      </c>
      <c r="B60">
        <v>1996</v>
      </c>
      <c r="C60" t="s">
        <v>35</v>
      </c>
      <c r="D60">
        <v>11</v>
      </c>
      <c r="E60" s="13" t="s">
        <v>10813</v>
      </c>
      <c r="F60">
        <v>0</v>
      </c>
      <c r="G60" s="11">
        <v>1178</v>
      </c>
      <c r="H60" t="s">
        <v>11</v>
      </c>
      <c r="I60" t="s">
        <v>12</v>
      </c>
      <c r="J60" t="s">
        <v>13</v>
      </c>
    </row>
    <row r="61" spans="1:10" x14ac:dyDescent="0.3">
      <c r="A61" t="s">
        <v>81</v>
      </c>
      <c r="B61">
        <v>1997</v>
      </c>
      <c r="C61" t="s">
        <v>18</v>
      </c>
      <c r="D61">
        <v>28</v>
      </c>
      <c r="E61" s="13" t="s">
        <v>10814</v>
      </c>
      <c r="F61">
        <v>0</v>
      </c>
      <c r="G61" s="11">
        <v>1178.07</v>
      </c>
      <c r="H61" t="s">
        <v>11</v>
      </c>
      <c r="I61" t="s">
        <v>11</v>
      </c>
      <c r="J61" t="s">
        <v>13</v>
      </c>
    </row>
    <row r="62" spans="1:10" x14ac:dyDescent="0.3">
      <c r="A62" t="s">
        <v>82</v>
      </c>
      <c r="B62">
        <v>2002</v>
      </c>
      <c r="C62" t="s">
        <v>35</v>
      </c>
      <c r="D62">
        <v>26</v>
      </c>
      <c r="E62" s="13" t="s">
        <v>10815</v>
      </c>
      <c r="F62">
        <v>0</v>
      </c>
      <c r="G62" s="11">
        <v>1191</v>
      </c>
      <c r="H62" t="s">
        <v>11</v>
      </c>
      <c r="I62" t="s">
        <v>16</v>
      </c>
      <c r="J62" t="s">
        <v>13</v>
      </c>
    </row>
    <row r="63" spans="1:10" x14ac:dyDescent="0.3">
      <c r="A63" t="s">
        <v>83</v>
      </c>
      <c r="B63">
        <v>1999</v>
      </c>
      <c r="C63" t="s">
        <v>18</v>
      </c>
      <c r="D63">
        <v>28</v>
      </c>
      <c r="E63" s="13" t="s">
        <v>10816</v>
      </c>
      <c r="F63">
        <v>0</v>
      </c>
      <c r="G63" s="11">
        <v>1200</v>
      </c>
      <c r="H63" t="s">
        <v>11</v>
      </c>
      <c r="I63" t="s">
        <v>12</v>
      </c>
      <c r="J63" t="s">
        <v>23</v>
      </c>
    </row>
    <row r="64" spans="1:10" x14ac:dyDescent="0.3">
      <c r="A64" t="s">
        <v>84</v>
      </c>
      <c r="B64">
        <v>1992</v>
      </c>
      <c r="C64" t="s">
        <v>37</v>
      </c>
      <c r="D64">
        <v>6</v>
      </c>
      <c r="E64" s="13" t="s">
        <v>10817</v>
      </c>
      <c r="F64">
        <v>0</v>
      </c>
      <c r="G64" s="11">
        <v>1200.55</v>
      </c>
      <c r="H64" t="s">
        <v>11</v>
      </c>
      <c r="I64" t="s">
        <v>12</v>
      </c>
      <c r="J64" t="s">
        <v>13</v>
      </c>
    </row>
    <row r="65" spans="1:10" x14ac:dyDescent="0.3">
      <c r="A65" t="s">
        <v>85</v>
      </c>
      <c r="B65">
        <v>2004</v>
      </c>
      <c r="C65" t="s">
        <v>18</v>
      </c>
      <c r="D65">
        <v>2</v>
      </c>
      <c r="E65" s="13" t="s">
        <v>10818</v>
      </c>
      <c r="F65">
        <v>0</v>
      </c>
      <c r="G65" s="11">
        <v>1210</v>
      </c>
      <c r="H65" t="s">
        <v>11</v>
      </c>
      <c r="I65" t="s">
        <v>16</v>
      </c>
      <c r="J65" t="s">
        <v>13</v>
      </c>
    </row>
    <row r="66" spans="1:10" x14ac:dyDescent="0.3">
      <c r="A66" t="s">
        <v>86</v>
      </c>
      <c r="B66">
        <v>1996</v>
      </c>
      <c r="C66" t="s">
        <v>15</v>
      </c>
      <c r="D66">
        <v>4</v>
      </c>
      <c r="E66" s="13" t="s">
        <v>10819</v>
      </c>
      <c r="F66">
        <v>0</v>
      </c>
      <c r="G66" s="11">
        <v>1220</v>
      </c>
      <c r="H66" t="s">
        <v>11</v>
      </c>
      <c r="I66" t="s">
        <v>12</v>
      </c>
      <c r="J66" t="s">
        <v>23</v>
      </c>
    </row>
    <row r="67" spans="1:10" x14ac:dyDescent="0.3">
      <c r="A67" t="s">
        <v>87</v>
      </c>
      <c r="B67">
        <v>2004</v>
      </c>
      <c r="C67" t="s">
        <v>10</v>
      </c>
      <c r="D67">
        <v>9</v>
      </c>
      <c r="E67" s="13" t="s">
        <v>10820</v>
      </c>
      <c r="F67">
        <v>0</v>
      </c>
      <c r="G67" s="11">
        <v>1224</v>
      </c>
      <c r="H67" t="s">
        <v>11</v>
      </c>
      <c r="I67" t="s">
        <v>16</v>
      </c>
      <c r="J67" t="s">
        <v>13</v>
      </c>
    </row>
    <row r="68" spans="1:10" x14ac:dyDescent="0.3">
      <c r="A68" t="s">
        <v>88</v>
      </c>
      <c r="B68">
        <v>2004</v>
      </c>
      <c r="C68" t="s">
        <v>37</v>
      </c>
      <c r="D68">
        <v>16</v>
      </c>
      <c r="E68" s="13" t="s">
        <v>10821</v>
      </c>
      <c r="F68">
        <v>0</v>
      </c>
      <c r="G68" s="11">
        <v>1228</v>
      </c>
      <c r="H68" t="s">
        <v>11</v>
      </c>
      <c r="I68" t="s">
        <v>16</v>
      </c>
      <c r="J68" t="s">
        <v>23</v>
      </c>
    </row>
    <row r="69" spans="1:10" x14ac:dyDescent="0.3">
      <c r="A69" t="s">
        <v>89</v>
      </c>
      <c r="B69">
        <v>1998</v>
      </c>
      <c r="C69" t="s">
        <v>10</v>
      </c>
      <c r="D69">
        <v>13</v>
      </c>
      <c r="E69" s="13" t="s">
        <v>10822</v>
      </c>
      <c r="F69">
        <v>0</v>
      </c>
      <c r="G69" s="11">
        <v>1234</v>
      </c>
      <c r="H69" t="s">
        <v>11</v>
      </c>
      <c r="I69" t="s">
        <v>16</v>
      </c>
      <c r="J69" t="s">
        <v>13</v>
      </c>
    </row>
    <row r="70" spans="1:10" x14ac:dyDescent="0.3">
      <c r="A70" t="s">
        <v>90</v>
      </c>
      <c r="B70">
        <v>2002</v>
      </c>
      <c r="C70" t="s">
        <v>30</v>
      </c>
      <c r="D70">
        <v>12</v>
      </c>
      <c r="E70" s="13" t="s">
        <v>10823</v>
      </c>
      <c r="F70">
        <v>0</v>
      </c>
      <c r="G70" s="11">
        <v>1237</v>
      </c>
      <c r="H70" t="s">
        <v>11</v>
      </c>
      <c r="I70" t="s">
        <v>11</v>
      </c>
      <c r="J70" t="s">
        <v>13</v>
      </c>
    </row>
    <row r="71" spans="1:10" x14ac:dyDescent="0.3">
      <c r="A71" t="s">
        <v>91</v>
      </c>
      <c r="B71">
        <v>1998</v>
      </c>
      <c r="C71" t="s">
        <v>37</v>
      </c>
      <c r="D71">
        <v>11</v>
      </c>
      <c r="E71" s="13" t="s">
        <v>10786</v>
      </c>
      <c r="F71">
        <v>0</v>
      </c>
      <c r="G71" s="11">
        <v>1240</v>
      </c>
      <c r="H71" t="s">
        <v>11</v>
      </c>
      <c r="I71" t="s">
        <v>16</v>
      </c>
      <c r="J71" t="s">
        <v>23</v>
      </c>
    </row>
    <row r="72" spans="1:10" x14ac:dyDescent="0.3">
      <c r="A72" t="s">
        <v>92</v>
      </c>
      <c r="B72">
        <v>2002</v>
      </c>
      <c r="C72" t="s">
        <v>10</v>
      </c>
      <c r="D72">
        <v>1</v>
      </c>
      <c r="E72" s="13" t="s">
        <v>10824</v>
      </c>
      <c r="F72">
        <v>0</v>
      </c>
      <c r="G72" s="11">
        <v>1241</v>
      </c>
      <c r="H72" t="s">
        <v>11</v>
      </c>
      <c r="I72" t="s">
        <v>11</v>
      </c>
      <c r="J72" t="s">
        <v>13</v>
      </c>
    </row>
    <row r="73" spans="1:10" x14ac:dyDescent="0.3">
      <c r="A73" t="s">
        <v>93</v>
      </c>
      <c r="B73">
        <v>2003</v>
      </c>
      <c r="C73" t="s">
        <v>35</v>
      </c>
      <c r="D73">
        <v>2</v>
      </c>
      <c r="E73" s="13" t="s">
        <v>10825</v>
      </c>
      <c r="F73">
        <v>0</v>
      </c>
      <c r="G73" s="11">
        <v>1241.57</v>
      </c>
      <c r="H73" t="s">
        <v>11</v>
      </c>
      <c r="I73" t="s">
        <v>11</v>
      </c>
      <c r="J73" t="s">
        <v>42</v>
      </c>
    </row>
    <row r="74" spans="1:10" x14ac:dyDescent="0.3">
      <c r="A74" t="s">
        <v>94</v>
      </c>
      <c r="B74">
        <v>2003</v>
      </c>
      <c r="C74" t="s">
        <v>20</v>
      </c>
      <c r="D74">
        <v>15</v>
      </c>
      <c r="E74" s="13" t="s">
        <v>10826</v>
      </c>
      <c r="F74">
        <v>0</v>
      </c>
      <c r="G74" s="11">
        <v>1242.26</v>
      </c>
      <c r="H74" t="s">
        <v>11</v>
      </c>
      <c r="I74" t="s">
        <v>16</v>
      </c>
      <c r="J74" t="s">
        <v>42</v>
      </c>
    </row>
    <row r="75" spans="1:10" x14ac:dyDescent="0.3">
      <c r="A75" t="s">
        <v>95</v>
      </c>
      <c r="B75">
        <v>2003</v>
      </c>
      <c r="C75" t="s">
        <v>20</v>
      </c>
      <c r="D75">
        <v>8</v>
      </c>
      <c r="E75" s="13" t="s">
        <v>10825</v>
      </c>
      <c r="F75">
        <v>0</v>
      </c>
      <c r="G75" s="11">
        <v>1242.82</v>
      </c>
      <c r="H75" t="s">
        <v>11</v>
      </c>
      <c r="I75" t="s">
        <v>16</v>
      </c>
      <c r="J75" t="s">
        <v>42</v>
      </c>
    </row>
    <row r="76" spans="1:10" x14ac:dyDescent="0.3">
      <c r="A76" t="s">
        <v>96</v>
      </c>
      <c r="B76">
        <v>2003</v>
      </c>
      <c r="C76" t="s">
        <v>20</v>
      </c>
      <c r="D76">
        <v>15</v>
      </c>
      <c r="E76" s="13" t="s">
        <v>10827</v>
      </c>
      <c r="F76">
        <v>0</v>
      </c>
      <c r="G76" s="11">
        <v>1252.4100000000001</v>
      </c>
      <c r="H76" t="s">
        <v>11</v>
      </c>
      <c r="I76" t="s">
        <v>12</v>
      </c>
      <c r="J76" t="s">
        <v>42</v>
      </c>
    </row>
    <row r="77" spans="1:10" x14ac:dyDescent="0.3">
      <c r="A77" t="s">
        <v>97</v>
      </c>
      <c r="B77">
        <v>1997</v>
      </c>
      <c r="C77" t="s">
        <v>15</v>
      </c>
      <c r="D77">
        <v>4</v>
      </c>
      <c r="E77" s="13" t="s">
        <v>10828</v>
      </c>
      <c r="F77">
        <v>0</v>
      </c>
      <c r="G77" s="11">
        <v>1253</v>
      </c>
      <c r="H77" t="s">
        <v>11</v>
      </c>
      <c r="I77" t="s">
        <v>11</v>
      </c>
      <c r="J77" t="s">
        <v>13</v>
      </c>
    </row>
    <row r="78" spans="1:10" x14ac:dyDescent="0.3">
      <c r="A78" t="s">
        <v>98</v>
      </c>
      <c r="B78">
        <v>2003</v>
      </c>
      <c r="C78" t="s">
        <v>30</v>
      </c>
      <c r="D78">
        <v>10</v>
      </c>
      <c r="E78" s="13" t="s">
        <v>10829</v>
      </c>
      <c r="F78">
        <v>0</v>
      </c>
      <c r="G78" s="11">
        <v>1253.94</v>
      </c>
      <c r="H78" t="s">
        <v>11</v>
      </c>
      <c r="I78" t="s">
        <v>11</v>
      </c>
      <c r="J78" t="s">
        <v>42</v>
      </c>
    </row>
    <row r="79" spans="1:10" x14ac:dyDescent="0.3">
      <c r="A79" t="s">
        <v>99</v>
      </c>
      <c r="B79">
        <v>2003</v>
      </c>
      <c r="C79" t="s">
        <v>37</v>
      </c>
      <c r="D79">
        <v>13</v>
      </c>
      <c r="E79" s="13" t="s">
        <v>10830</v>
      </c>
      <c r="F79">
        <v>0</v>
      </c>
      <c r="G79" s="11">
        <v>1256.3</v>
      </c>
      <c r="H79" t="s">
        <v>11</v>
      </c>
      <c r="I79" t="s">
        <v>12</v>
      </c>
      <c r="J79" t="s">
        <v>42</v>
      </c>
    </row>
    <row r="80" spans="1:10" x14ac:dyDescent="0.3">
      <c r="A80" t="s">
        <v>100</v>
      </c>
      <c r="B80">
        <v>2003</v>
      </c>
      <c r="C80" t="s">
        <v>37</v>
      </c>
      <c r="D80">
        <v>30</v>
      </c>
      <c r="E80" s="13" t="s">
        <v>10831</v>
      </c>
      <c r="F80">
        <v>0</v>
      </c>
      <c r="G80" s="11">
        <v>1261.44</v>
      </c>
      <c r="H80" t="s">
        <v>11</v>
      </c>
      <c r="I80" t="s">
        <v>12</v>
      </c>
      <c r="J80" t="s">
        <v>42</v>
      </c>
    </row>
    <row r="81" spans="1:10" x14ac:dyDescent="0.3">
      <c r="A81" t="s">
        <v>101</v>
      </c>
      <c r="B81">
        <v>2003</v>
      </c>
      <c r="C81" t="s">
        <v>35</v>
      </c>
      <c r="D81">
        <v>15</v>
      </c>
      <c r="E81" s="13" t="s">
        <v>10832</v>
      </c>
      <c r="F81">
        <v>0</v>
      </c>
      <c r="G81" s="11">
        <v>1261.8599999999999</v>
      </c>
      <c r="H81" t="s">
        <v>11</v>
      </c>
      <c r="I81" t="s">
        <v>12</v>
      </c>
      <c r="J81" t="s">
        <v>42</v>
      </c>
    </row>
    <row r="82" spans="1:10" x14ac:dyDescent="0.3">
      <c r="A82" t="s">
        <v>102</v>
      </c>
      <c r="B82">
        <v>2003</v>
      </c>
      <c r="C82" t="s">
        <v>15</v>
      </c>
      <c r="D82">
        <v>21</v>
      </c>
      <c r="E82" s="13" t="s">
        <v>10833</v>
      </c>
      <c r="F82">
        <v>0</v>
      </c>
      <c r="G82" s="11">
        <v>1263.25</v>
      </c>
      <c r="H82" t="s">
        <v>11</v>
      </c>
      <c r="I82" t="s">
        <v>12</v>
      </c>
      <c r="J82" t="s">
        <v>42</v>
      </c>
    </row>
    <row r="83" spans="1:10" x14ac:dyDescent="0.3">
      <c r="A83" t="s">
        <v>103</v>
      </c>
      <c r="B83">
        <v>2002</v>
      </c>
      <c r="C83" t="s">
        <v>30</v>
      </c>
      <c r="D83">
        <v>4</v>
      </c>
      <c r="E83" s="13" t="s">
        <v>10834</v>
      </c>
      <c r="F83">
        <v>0</v>
      </c>
      <c r="G83" s="11">
        <v>1267</v>
      </c>
      <c r="H83" t="s">
        <v>11</v>
      </c>
      <c r="I83" t="s">
        <v>16</v>
      </c>
      <c r="J83" t="s">
        <v>13</v>
      </c>
    </row>
    <row r="84" spans="1:10" x14ac:dyDescent="0.3">
      <c r="A84" t="s">
        <v>104</v>
      </c>
      <c r="B84">
        <v>1997</v>
      </c>
      <c r="C84" t="s">
        <v>37</v>
      </c>
      <c r="D84">
        <v>26</v>
      </c>
      <c r="E84" s="13" t="s">
        <v>10835</v>
      </c>
      <c r="F84">
        <v>0</v>
      </c>
      <c r="G84" s="11">
        <v>1276</v>
      </c>
      <c r="H84" t="s">
        <v>11</v>
      </c>
      <c r="I84" t="s">
        <v>11</v>
      </c>
      <c r="J84" t="s">
        <v>23</v>
      </c>
    </row>
    <row r="85" spans="1:10" x14ac:dyDescent="0.3">
      <c r="A85" t="s">
        <v>105</v>
      </c>
      <c r="B85">
        <v>2004</v>
      </c>
      <c r="C85" t="s">
        <v>20</v>
      </c>
      <c r="D85">
        <v>30</v>
      </c>
      <c r="E85" s="13" t="s">
        <v>10836</v>
      </c>
      <c r="F85">
        <v>0</v>
      </c>
      <c r="G85" s="11">
        <v>1283</v>
      </c>
      <c r="H85" t="s">
        <v>11</v>
      </c>
      <c r="I85" t="s">
        <v>16</v>
      </c>
      <c r="J85" t="s">
        <v>13</v>
      </c>
    </row>
    <row r="86" spans="1:10" x14ac:dyDescent="0.3">
      <c r="A86" t="s">
        <v>106</v>
      </c>
      <c r="B86">
        <v>2004</v>
      </c>
      <c r="C86" t="s">
        <v>10</v>
      </c>
      <c r="D86">
        <v>28</v>
      </c>
      <c r="E86" s="13" t="s">
        <v>10837</v>
      </c>
      <c r="F86">
        <v>0</v>
      </c>
      <c r="G86" s="11">
        <v>1285</v>
      </c>
      <c r="H86" t="s">
        <v>11</v>
      </c>
      <c r="I86" t="s">
        <v>12</v>
      </c>
      <c r="J86" t="s">
        <v>13</v>
      </c>
    </row>
    <row r="87" spans="1:10" x14ac:dyDescent="0.3">
      <c r="A87" t="s">
        <v>107</v>
      </c>
      <c r="B87">
        <v>2000</v>
      </c>
      <c r="C87" t="s">
        <v>18</v>
      </c>
      <c r="D87">
        <v>26</v>
      </c>
      <c r="E87" s="13" t="s">
        <v>10838</v>
      </c>
      <c r="F87">
        <v>0</v>
      </c>
      <c r="G87" s="11">
        <v>1286</v>
      </c>
      <c r="H87" t="s">
        <v>11</v>
      </c>
      <c r="I87" t="s">
        <v>11</v>
      </c>
      <c r="J87" t="s">
        <v>13</v>
      </c>
    </row>
    <row r="88" spans="1:10" x14ac:dyDescent="0.3">
      <c r="A88" t="s">
        <v>108</v>
      </c>
      <c r="B88">
        <v>1998</v>
      </c>
      <c r="C88" t="s">
        <v>18</v>
      </c>
      <c r="D88">
        <v>4</v>
      </c>
      <c r="E88" s="13" t="s">
        <v>10839</v>
      </c>
      <c r="F88">
        <v>0</v>
      </c>
      <c r="G88" s="11">
        <v>1290.93</v>
      </c>
      <c r="H88" t="s">
        <v>11</v>
      </c>
      <c r="I88" t="s">
        <v>11</v>
      </c>
      <c r="J88" t="s">
        <v>13</v>
      </c>
    </row>
    <row r="89" spans="1:10" x14ac:dyDescent="0.3">
      <c r="A89" t="s">
        <v>109</v>
      </c>
      <c r="B89">
        <v>2001</v>
      </c>
      <c r="C89" t="s">
        <v>15</v>
      </c>
      <c r="D89">
        <v>29</v>
      </c>
      <c r="E89" s="13" t="s">
        <v>10840</v>
      </c>
      <c r="F89">
        <v>0</v>
      </c>
      <c r="G89" s="11">
        <v>1293</v>
      </c>
      <c r="H89" t="s">
        <v>11</v>
      </c>
      <c r="I89" t="s">
        <v>12</v>
      </c>
      <c r="J89" t="s">
        <v>23</v>
      </c>
    </row>
    <row r="90" spans="1:10" x14ac:dyDescent="0.3">
      <c r="A90" t="s">
        <v>110</v>
      </c>
      <c r="B90">
        <v>2002</v>
      </c>
      <c r="C90" t="s">
        <v>30</v>
      </c>
      <c r="D90">
        <v>10</v>
      </c>
      <c r="E90" s="13" t="s">
        <v>10841</v>
      </c>
      <c r="F90">
        <v>0</v>
      </c>
      <c r="G90" s="11">
        <v>1304</v>
      </c>
      <c r="H90" t="s">
        <v>11</v>
      </c>
      <c r="I90" t="s">
        <v>11</v>
      </c>
      <c r="J90" t="s">
        <v>23</v>
      </c>
    </row>
    <row r="91" spans="1:10" x14ac:dyDescent="0.3">
      <c r="A91" t="s">
        <v>111</v>
      </c>
      <c r="B91">
        <v>1999</v>
      </c>
      <c r="C91" t="s">
        <v>30</v>
      </c>
      <c r="D91">
        <v>2</v>
      </c>
      <c r="E91" s="13" t="s">
        <v>10842</v>
      </c>
      <c r="F91">
        <v>0</v>
      </c>
      <c r="G91" s="11">
        <v>1304</v>
      </c>
      <c r="H91" t="s">
        <v>11</v>
      </c>
      <c r="I91" t="s">
        <v>11</v>
      </c>
      <c r="J91" t="s">
        <v>13</v>
      </c>
    </row>
    <row r="92" spans="1:10" x14ac:dyDescent="0.3">
      <c r="A92" t="s">
        <v>112</v>
      </c>
      <c r="B92">
        <v>2002</v>
      </c>
      <c r="C92" t="s">
        <v>37</v>
      </c>
      <c r="D92">
        <v>13</v>
      </c>
      <c r="E92" s="13" t="s">
        <v>10843</v>
      </c>
      <c r="F92">
        <v>0</v>
      </c>
      <c r="G92" s="11">
        <v>1315</v>
      </c>
      <c r="H92" t="s">
        <v>11</v>
      </c>
      <c r="I92" t="s">
        <v>11</v>
      </c>
      <c r="J92" t="s">
        <v>13</v>
      </c>
    </row>
    <row r="93" spans="1:10" x14ac:dyDescent="0.3">
      <c r="A93" t="s">
        <v>113</v>
      </c>
      <c r="B93">
        <v>1999</v>
      </c>
      <c r="C93" t="s">
        <v>37</v>
      </c>
      <c r="D93">
        <v>14</v>
      </c>
      <c r="E93" s="13" t="s">
        <v>10844</v>
      </c>
      <c r="F93">
        <v>0</v>
      </c>
      <c r="G93" s="11">
        <v>1329.17</v>
      </c>
      <c r="H93" t="s">
        <v>11</v>
      </c>
      <c r="I93" t="s">
        <v>12</v>
      </c>
      <c r="J93" t="s">
        <v>13</v>
      </c>
    </row>
    <row r="94" spans="1:10" x14ac:dyDescent="0.3">
      <c r="A94" t="s">
        <v>114</v>
      </c>
      <c r="B94">
        <v>1998</v>
      </c>
      <c r="C94" t="s">
        <v>10</v>
      </c>
      <c r="D94">
        <v>12</v>
      </c>
      <c r="E94" s="13" t="s">
        <v>10845</v>
      </c>
      <c r="F94">
        <v>0</v>
      </c>
      <c r="G94" s="11">
        <v>1332.61</v>
      </c>
      <c r="H94" t="s">
        <v>11</v>
      </c>
      <c r="I94" t="s">
        <v>12</v>
      </c>
      <c r="J94" t="s">
        <v>13</v>
      </c>
    </row>
    <row r="95" spans="1:10" x14ac:dyDescent="0.3">
      <c r="A95" t="s">
        <v>115</v>
      </c>
      <c r="B95">
        <v>1995</v>
      </c>
      <c r="C95" t="s">
        <v>10</v>
      </c>
      <c r="D95">
        <v>30</v>
      </c>
      <c r="E95" s="13" t="s">
        <v>10846</v>
      </c>
      <c r="F95">
        <v>0</v>
      </c>
      <c r="G95" s="11">
        <v>1338</v>
      </c>
      <c r="H95" t="s">
        <v>11</v>
      </c>
      <c r="I95" t="s">
        <v>12</v>
      </c>
      <c r="J95" t="s">
        <v>23</v>
      </c>
    </row>
    <row r="96" spans="1:10" x14ac:dyDescent="0.3">
      <c r="A96" t="s">
        <v>116</v>
      </c>
      <c r="B96">
        <v>1997</v>
      </c>
      <c r="C96" t="s">
        <v>15</v>
      </c>
      <c r="D96">
        <v>7</v>
      </c>
      <c r="E96" s="13" t="s">
        <v>10847</v>
      </c>
      <c r="F96">
        <v>0</v>
      </c>
      <c r="G96" s="11">
        <v>1341.16</v>
      </c>
      <c r="H96" t="s">
        <v>11</v>
      </c>
      <c r="I96" t="s">
        <v>11</v>
      </c>
      <c r="J96" t="s">
        <v>23</v>
      </c>
    </row>
    <row r="97" spans="1:10" x14ac:dyDescent="0.3">
      <c r="A97" t="s">
        <v>117</v>
      </c>
      <c r="B97">
        <v>1998</v>
      </c>
      <c r="C97" t="s">
        <v>30</v>
      </c>
      <c r="D97">
        <v>3</v>
      </c>
      <c r="E97" s="13" t="s">
        <v>10848</v>
      </c>
      <c r="F97">
        <v>0</v>
      </c>
      <c r="G97" s="11">
        <v>1359</v>
      </c>
      <c r="H97" t="s">
        <v>11</v>
      </c>
      <c r="I97" t="s">
        <v>16</v>
      </c>
      <c r="J97" t="s">
        <v>13</v>
      </c>
    </row>
    <row r="98" spans="1:10" x14ac:dyDescent="0.3">
      <c r="A98" t="s">
        <v>118</v>
      </c>
      <c r="B98">
        <v>2002</v>
      </c>
      <c r="C98" t="s">
        <v>35</v>
      </c>
      <c r="D98">
        <v>15</v>
      </c>
      <c r="E98" s="13" t="s">
        <v>10849</v>
      </c>
      <c r="F98">
        <v>0</v>
      </c>
      <c r="G98" s="11">
        <v>1382</v>
      </c>
      <c r="H98" t="s">
        <v>11</v>
      </c>
      <c r="I98" t="s">
        <v>16</v>
      </c>
      <c r="J98" t="s">
        <v>13</v>
      </c>
    </row>
    <row r="99" spans="1:10" x14ac:dyDescent="0.3">
      <c r="A99" t="s">
        <v>119</v>
      </c>
      <c r="B99">
        <v>1999</v>
      </c>
      <c r="C99" t="s">
        <v>10</v>
      </c>
      <c r="D99">
        <v>6</v>
      </c>
      <c r="E99" s="13" t="s">
        <v>10850</v>
      </c>
      <c r="F99">
        <v>0</v>
      </c>
      <c r="G99" s="11">
        <v>1389</v>
      </c>
      <c r="H99" t="s">
        <v>11</v>
      </c>
      <c r="I99" t="s">
        <v>11</v>
      </c>
      <c r="J99" t="s">
        <v>13</v>
      </c>
    </row>
    <row r="100" spans="1:10" x14ac:dyDescent="0.3">
      <c r="A100" t="s">
        <v>120</v>
      </c>
      <c r="B100">
        <v>2002</v>
      </c>
      <c r="C100" t="s">
        <v>15</v>
      </c>
      <c r="D100">
        <v>14</v>
      </c>
      <c r="E100" s="13" t="s">
        <v>10851</v>
      </c>
      <c r="F100">
        <v>0</v>
      </c>
      <c r="G100" s="11">
        <v>1390</v>
      </c>
      <c r="H100" t="s">
        <v>11</v>
      </c>
      <c r="I100" t="s">
        <v>11</v>
      </c>
      <c r="J100" t="s">
        <v>13</v>
      </c>
    </row>
    <row r="101" spans="1:10" x14ac:dyDescent="0.3">
      <c r="A101" t="s">
        <v>121</v>
      </c>
      <c r="B101">
        <v>2002</v>
      </c>
      <c r="C101" t="s">
        <v>30</v>
      </c>
      <c r="D101">
        <v>22</v>
      </c>
      <c r="E101" s="13" t="s">
        <v>10852</v>
      </c>
      <c r="F101">
        <v>0</v>
      </c>
      <c r="G101" s="11">
        <v>1391.53</v>
      </c>
      <c r="H101" t="s">
        <v>11</v>
      </c>
      <c r="I101" t="s">
        <v>16</v>
      </c>
      <c r="J101" t="s">
        <v>13</v>
      </c>
    </row>
    <row r="102" spans="1:10" x14ac:dyDescent="0.3">
      <c r="A102" t="s">
        <v>122</v>
      </c>
      <c r="B102">
        <v>1998</v>
      </c>
      <c r="C102" t="s">
        <v>20</v>
      </c>
      <c r="D102">
        <v>5</v>
      </c>
      <c r="E102" s="13" t="s">
        <v>10853</v>
      </c>
      <c r="F102">
        <v>0</v>
      </c>
      <c r="G102" s="11">
        <v>1400.44</v>
      </c>
      <c r="H102" t="s">
        <v>11</v>
      </c>
      <c r="I102" t="s">
        <v>11</v>
      </c>
      <c r="J102" t="s">
        <v>13</v>
      </c>
    </row>
    <row r="103" spans="1:10" x14ac:dyDescent="0.3">
      <c r="A103" t="s">
        <v>123</v>
      </c>
      <c r="B103">
        <v>1997</v>
      </c>
      <c r="C103" t="s">
        <v>37</v>
      </c>
      <c r="D103">
        <v>27</v>
      </c>
      <c r="E103" s="13" t="s">
        <v>10854</v>
      </c>
      <c r="F103">
        <v>0</v>
      </c>
      <c r="G103" s="11">
        <v>1402</v>
      </c>
      <c r="H103" t="s">
        <v>11</v>
      </c>
      <c r="I103" t="s">
        <v>12</v>
      </c>
      <c r="J103" t="s">
        <v>42</v>
      </c>
    </row>
    <row r="104" spans="1:10" x14ac:dyDescent="0.3">
      <c r="A104" t="s">
        <v>124</v>
      </c>
      <c r="B104">
        <v>1996</v>
      </c>
      <c r="C104" t="s">
        <v>18</v>
      </c>
      <c r="D104">
        <v>23</v>
      </c>
      <c r="E104" s="13" t="s">
        <v>10855</v>
      </c>
      <c r="F104">
        <v>0</v>
      </c>
      <c r="G104" s="11">
        <v>1417</v>
      </c>
      <c r="H104" t="s">
        <v>11</v>
      </c>
      <c r="I104" t="s">
        <v>12</v>
      </c>
      <c r="J104" t="s">
        <v>13</v>
      </c>
    </row>
    <row r="105" spans="1:10" x14ac:dyDescent="0.3">
      <c r="A105" t="s">
        <v>125</v>
      </c>
      <c r="B105">
        <v>2001</v>
      </c>
      <c r="C105" t="s">
        <v>35</v>
      </c>
      <c r="D105">
        <v>23</v>
      </c>
      <c r="E105" s="13" t="s">
        <v>10856</v>
      </c>
      <c r="F105">
        <v>0</v>
      </c>
      <c r="G105" s="11">
        <v>1421</v>
      </c>
      <c r="H105" t="s">
        <v>11</v>
      </c>
      <c r="I105" t="s">
        <v>11</v>
      </c>
      <c r="J105" t="s">
        <v>13</v>
      </c>
    </row>
    <row r="106" spans="1:10" x14ac:dyDescent="0.3">
      <c r="A106" t="s">
        <v>126</v>
      </c>
      <c r="B106">
        <v>1997</v>
      </c>
      <c r="C106" t="s">
        <v>30</v>
      </c>
      <c r="D106">
        <v>5</v>
      </c>
      <c r="E106" s="13" t="s">
        <v>10857</v>
      </c>
      <c r="F106">
        <v>0</v>
      </c>
      <c r="G106" s="11">
        <v>1422</v>
      </c>
      <c r="H106" t="s">
        <v>11</v>
      </c>
      <c r="I106" t="s">
        <v>11</v>
      </c>
      <c r="J106" t="s">
        <v>13</v>
      </c>
    </row>
    <row r="107" spans="1:10" x14ac:dyDescent="0.3">
      <c r="A107" t="s">
        <v>127</v>
      </c>
      <c r="B107">
        <v>2000</v>
      </c>
      <c r="C107" t="s">
        <v>20</v>
      </c>
      <c r="D107">
        <v>1</v>
      </c>
      <c r="E107" s="13" t="s">
        <v>10858</v>
      </c>
      <c r="F107">
        <v>0</v>
      </c>
      <c r="G107" s="11">
        <v>1438</v>
      </c>
      <c r="H107" t="s">
        <v>11</v>
      </c>
      <c r="I107" t="s">
        <v>11</v>
      </c>
      <c r="J107" t="s">
        <v>13</v>
      </c>
    </row>
    <row r="108" spans="1:10" x14ac:dyDescent="0.3">
      <c r="A108" t="s">
        <v>128</v>
      </c>
      <c r="B108">
        <v>1997</v>
      </c>
      <c r="C108" t="s">
        <v>18</v>
      </c>
      <c r="D108">
        <v>19</v>
      </c>
      <c r="E108" s="13" t="s">
        <v>10859</v>
      </c>
      <c r="F108">
        <v>0</v>
      </c>
      <c r="G108" s="11">
        <v>1445</v>
      </c>
      <c r="H108" t="s">
        <v>11</v>
      </c>
      <c r="I108" t="s">
        <v>16</v>
      </c>
      <c r="J108" t="s">
        <v>13</v>
      </c>
    </row>
    <row r="109" spans="1:10" x14ac:dyDescent="0.3">
      <c r="A109" t="s">
        <v>129</v>
      </c>
      <c r="B109">
        <v>2003</v>
      </c>
      <c r="C109" t="s">
        <v>18</v>
      </c>
      <c r="D109">
        <v>20</v>
      </c>
      <c r="E109" s="13" t="s">
        <v>10860</v>
      </c>
      <c r="F109">
        <v>0</v>
      </c>
      <c r="G109" s="11">
        <v>1467</v>
      </c>
      <c r="H109" t="s">
        <v>11</v>
      </c>
      <c r="I109" t="s">
        <v>11</v>
      </c>
      <c r="J109" t="s">
        <v>13</v>
      </c>
    </row>
    <row r="110" spans="1:10" x14ac:dyDescent="0.3">
      <c r="A110" t="s">
        <v>130</v>
      </c>
      <c r="B110">
        <v>1998</v>
      </c>
      <c r="C110" t="s">
        <v>30</v>
      </c>
      <c r="D110">
        <v>7</v>
      </c>
      <c r="E110" s="13" t="s">
        <v>10861</v>
      </c>
      <c r="F110">
        <v>0</v>
      </c>
      <c r="G110" s="11">
        <v>1477</v>
      </c>
      <c r="H110" t="s">
        <v>11</v>
      </c>
      <c r="I110" t="s">
        <v>16</v>
      </c>
      <c r="J110" t="s">
        <v>13</v>
      </c>
    </row>
    <row r="111" spans="1:10" x14ac:dyDescent="0.3">
      <c r="A111" t="s">
        <v>131</v>
      </c>
      <c r="B111">
        <v>1997</v>
      </c>
      <c r="C111" t="s">
        <v>18</v>
      </c>
      <c r="D111">
        <v>9</v>
      </c>
      <c r="E111" s="13" t="s">
        <v>10862</v>
      </c>
      <c r="F111">
        <v>0</v>
      </c>
      <c r="G111" s="11">
        <v>1481</v>
      </c>
      <c r="H111" t="s">
        <v>11</v>
      </c>
      <c r="I111" t="s">
        <v>16</v>
      </c>
      <c r="J111" t="s">
        <v>23</v>
      </c>
    </row>
    <row r="112" spans="1:10" x14ac:dyDescent="0.3">
      <c r="A112" t="s">
        <v>132</v>
      </c>
      <c r="B112">
        <v>1995</v>
      </c>
      <c r="C112" t="s">
        <v>37</v>
      </c>
      <c r="D112">
        <v>7</v>
      </c>
      <c r="E112" s="13" t="s">
        <v>10863</v>
      </c>
      <c r="F112">
        <v>0</v>
      </c>
      <c r="G112" s="11">
        <v>1493</v>
      </c>
      <c r="H112" t="s">
        <v>11</v>
      </c>
      <c r="I112" t="s">
        <v>12</v>
      </c>
      <c r="J112" t="s">
        <v>13</v>
      </c>
    </row>
    <row r="113" spans="1:10" x14ac:dyDescent="0.3">
      <c r="A113" t="s">
        <v>133</v>
      </c>
      <c r="B113">
        <v>1998</v>
      </c>
      <c r="C113" t="s">
        <v>18</v>
      </c>
      <c r="D113">
        <v>19</v>
      </c>
      <c r="E113" s="13" t="s">
        <v>10864</v>
      </c>
      <c r="F113">
        <v>0</v>
      </c>
      <c r="G113" s="11">
        <v>1497</v>
      </c>
      <c r="H113" t="s">
        <v>11</v>
      </c>
      <c r="I113" t="s">
        <v>11</v>
      </c>
      <c r="J113" t="s">
        <v>13</v>
      </c>
    </row>
    <row r="114" spans="1:10" x14ac:dyDescent="0.3">
      <c r="A114" t="s">
        <v>134</v>
      </c>
      <c r="B114">
        <v>2001</v>
      </c>
      <c r="C114" t="s">
        <v>35</v>
      </c>
      <c r="D114">
        <v>25</v>
      </c>
      <c r="E114" s="13" t="s">
        <v>10865</v>
      </c>
      <c r="F114">
        <v>0</v>
      </c>
      <c r="G114" s="11">
        <v>1515.34</v>
      </c>
      <c r="H114" t="s">
        <v>11</v>
      </c>
      <c r="I114" t="s">
        <v>12</v>
      </c>
      <c r="J114" t="s">
        <v>13</v>
      </c>
    </row>
    <row r="115" spans="1:10" x14ac:dyDescent="0.3">
      <c r="A115" t="s">
        <v>135</v>
      </c>
      <c r="B115">
        <v>2001</v>
      </c>
      <c r="C115" t="s">
        <v>10</v>
      </c>
      <c r="D115">
        <v>7</v>
      </c>
      <c r="E115" s="13" t="s">
        <v>10866</v>
      </c>
      <c r="F115">
        <v>0</v>
      </c>
      <c r="G115" s="11">
        <v>1526.31</v>
      </c>
      <c r="H115" t="s">
        <v>11</v>
      </c>
      <c r="I115" t="s">
        <v>12</v>
      </c>
      <c r="J115" t="s">
        <v>42</v>
      </c>
    </row>
    <row r="116" spans="1:10" x14ac:dyDescent="0.3">
      <c r="A116" t="s">
        <v>136</v>
      </c>
      <c r="B116">
        <v>2001</v>
      </c>
      <c r="C116" t="s">
        <v>18</v>
      </c>
      <c r="D116">
        <v>2</v>
      </c>
      <c r="E116" s="13" t="s">
        <v>10867</v>
      </c>
      <c r="F116">
        <v>0</v>
      </c>
      <c r="G116" s="11">
        <v>1532.47</v>
      </c>
      <c r="H116" t="s">
        <v>11</v>
      </c>
      <c r="I116" t="s">
        <v>11</v>
      </c>
      <c r="J116" t="s">
        <v>13</v>
      </c>
    </row>
    <row r="117" spans="1:10" x14ac:dyDescent="0.3">
      <c r="A117" t="s">
        <v>137</v>
      </c>
      <c r="B117">
        <v>2001</v>
      </c>
      <c r="C117" t="s">
        <v>30</v>
      </c>
      <c r="D117">
        <v>5</v>
      </c>
      <c r="E117" s="13" t="s">
        <v>10868</v>
      </c>
      <c r="F117">
        <v>0</v>
      </c>
      <c r="G117" s="11">
        <v>1534.3</v>
      </c>
      <c r="H117" t="s">
        <v>11</v>
      </c>
      <c r="I117" t="s">
        <v>11</v>
      </c>
      <c r="J117" t="s">
        <v>13</v>
      </c>
    </row>
    <row r="118" spans="1:10" x14ac:dyDescent="0.3">
      <c r="A118" t="s">
        <v>138</v>
      </c>
      <c r="B118">
        <v>1992</v>
      </c>
      <c r="C118" t="s">
        <v>20</v>
      </c>
      <c r="D118">
        <v>22</v>
      </c>
      <c r="E118" s="13" t="s">
        <v>10869</v>
      </c>
      <c r="F118">
        <v>0</v>
      </c>
      <c r="G118" s="11">
        <v>1566.88</v>
      </c>
      <c r="H118" t="s">
        <v>11</v>
      </c>
      <c r="I118" t="s">
        <v>16</v>
      </c>
      <c r="J118" t="s">
        <v>13</v>
      </c>
    </row>
    <row r="119" spans="1:10" x14ac:dyDescent="0.3">
      <c r="A119" t="s">
        <v>139</v>
      </c>
      <c r="B119">
        <v>2004</v>
      </c>
      <c r="C119" t="s">
        <v>15</v>
      </c>
      <c r="D119">
        <v>19</v>
      </c>
      <c r="E119" s="13" t="s">
        <v>10870</v>
      </c>
      <c r="F119">
        <v>0</v>
      </c>
      <c r="G119" s="11">
        <v>1607.51</v>
      </c>
      <c r="H119" t="s">
        <v>11</v>
      </c>
      <c r="I119" t="s">
        <v>12</v>
      </c>
      <c r="J119" t="s">
        <v>13</v>
      </c>
    </row>
    <row r="120" spans="1:10" x14ac:dyDescent="0.3">
      <c r="A120" t="s">
        <v>140</v>
      </c>
      <c r="B120">
        <v>2004</v>
      </c>
      <c r="C120" t="s">
        <v>10</v>
      </c>
      <c r="D120">
        <v>22</v>
      </c>
      <c r="E120" s="13" t="s">
        <v>10871</v>
      </c>
      <c r="F120">
        <v>0</v>
      </c>
      <c r="G120" s="11">
        <v>1615.77</v>
      </c>
      <c r="H120" t="s">
        <v>11</v>
      </c>
      <c r="I120" t="s">
        <v>16</v>
      </c>
      <c r="J120" t="s">
        <v>13</v>
      </c>
    </row>
    <row r="121" spans="1:10" x14ac:dyDescent="0.3">
      <c r="A121" t="s">
        <v>141</v>
      </c>
      <c r="B121">
        <v>1995</v>
      </c>
      <c r="C121" t="s">
        <v>35</v>
      </c>
      <c r="D121">
        <v>5</v>
      </c>
      <c r="E121" s="13" t="s">
        <v>10872</v>
      </c>
      <c r="F121">
        <v>0</v>
      </c>
      <c r="G121" s="11">
        <v>1617.16</v>
      </c>
      <c r="H121" t="s">
        <v>11</v>
      </c>
      <c r="I121" t="s">
        <v>16</v>
      </c>
      <c r="J121" t="s">
        <v>13</v>
      </c>
    </row>
    <row r="122" spans="1:10" x14ac:dyDescent="0.3">
      <c r="A122" t="s">
        <v>142</v>
      </c>
      <c r="B122">
        <v>2003</v>
      </c>
      <c r="C122" t="s">
        <v>20</v>
      </c>
      <c r="D122">
        <v>14</v>
      </c>
      <c r="E122" s="13" t="s">
        <v>10873</v>
      </c>
      <c r="F122">
        <v>0</v>
      </c>
      <c r="G122" s="11">
        <v>1621.34</v>
      </c>
      <c r="H122" t="s">
        <v>11</v>
      </c>
      <c r="I122" t="s">
        <v>11</v>
      </c>
      <c r="J122" t="s">
        <v>23</v>
      </c>
    </row>
    <row r="123" spans="1:10" x14ac:dyDescent="0.3">
      <c r="A123" t="s">
        <v>143</v>
      </c>
      <c r="B123">
        <v>2004</v>
      </c>
      <c r="C123" t="s">
        <v>35</v>
      </c>
      <c r="D123">
        <v>21</v>
      </c>
      <c r="E123" s="13" t="s">
        <v>10874</v>
      </c>
      <c r="F123">
        <v>0</v>
      </c>
      <c r="G123" s="11">
        <v>1621.88</v>
      </c>
      <c r="H123" t="s">
        <v>11</v>
      </c>
      <c r="I123" t="s">
        <v>11</v>
      </c>
      <c r="J123" t="s">
        <v>13</v>
      </c>
    </row>
    <row r="124" spans="1:10" x14ac:dyDescent="0.3">
      <c r="A124" t="s">
        <v>144</v>
      </c>
      <c r="B124">
        <v>2004</v>
      </c>
      <c r="C124" t="s">
        <v>10</v>
      </c>
      <c r="D124">
        <v>25</v>
      </c>
      <c r="E124" s="13" t="s">
        <v>10875</v>
      </c>
      <c r="F124">
        <v>0</v>
      </c>
      <c r="G124" s="11">
        <v>1622.19</v>
      </c>
      <c r="H124" t="s">
        <v>11</v>
      </c>
      <c r="I124" t="s">
        <v>16</v>
      </c>
      <c r="J124" t="s">
        <v>13</v>
      </c>
    </row>
    <row r="125" spans="1:10" x14ac:dyDescent="0.3">
      <c r="A125" t="s">
        <v>145</v>
      </c>
      <c r="B125">
        <v>2003</v>
      </c>
      <c r="C125" t="s">
        <v>20</v>
      </c>
      <c r="D125">
        <v>9</v>
      </c>
      <c r="E125" s="13" t="s">
        <v>10876</v>
      </c>
      <c r="F125">
        <v>0</v>
      </c>
      <c r="G125" s="11">
        <v>1625.43</v>
      </c>
      <c r="H125" t="s">
        <v>11</v>
      </c>
      <c r="I125" t="s">
        <v>12</v>
      </c>
      <c r="J125" t="s">
        <v>23</v>
      </c>
    </row>
    <row r="126" spans="1:10" x14ac:dyDescent="0.3">
      <c r="A126" t="s">
        <v>146</v>
      </c>
      <c r="B126">
        <v>2003</v>
      </c>
      <c r="C126" t="s">
        <v>30</v>
      </c>
      <c r="D126">
        <v>4</v>
      </c>
      <c r="E126" s="13" t="s">
        <v>10877</v>
      </c>
      <c r="F126">
        <v>0</v>
      </c>
      <c r="G126" s="11">
        <v>1627.28</v>
      </c>
      <c r="H126" t="s">
        <v>11</v>
      </c>
      <c r="I126" t="s">
        <v>11</v>
      </c>
      <c r="J126" t="s">
        <v>23</v>
      </c>
    </row>
    <row r="127" spans="1:10" x14ac:dyDescent="0.3">
      <c r="A127" t="s">
        <v>147</v>
      </c>
      <c r="B127">
        <v>2003</v>
      </c>
      <c r="C127" t="s">
        <v>10</v>
      </c>
      <c r="D127">
        <v>17</v>
      </c>
      <c r="E127" s="13" t="s">
        <v>10878</v>
      </c>
      <c r="F127">
        <v>0</v>
      </c>
      <c r="G127" s="11">
        <v>1628.47</v>
      </c>
      <c r="H127" t="s">
        <v>11</v>
      </c>
      <c r="I127" t="s">
        <v>16</v>
      </c>
      <c r="J127" t="s">
        <v>23</v>
      </c>
    </row>
    <row r="128" spans="1:10" x14ac:dyDescent="0.3">
      <c r="A128" t="s">
        <v>148</v>
      </c>
      <c r="B128">
        <v>2004</v>
      </c>
      <c r="C128" t="s">
        <v>37</v>
      </c>
      <c r="D128">
        <v>4</v>
      </c>
      <c r="E128" s="13" t="s">
        <v>10879</v>
      </c>
      <c r="F128">
        <v>0</v>
      </c>
      <c r="G128" s="11">
        <v>1629.83</v>
      </c>
      <c r="H128" t="s">
        <v>11</v>
      </c>
      <c r="I128" t="s">
        <v>11</v>
      </c>
      <c r="J128" t="s">
        <v>13</v>
      </c>
    </row>
    <row r="129" spans="1:10" x14ac:dyDescent="0.3">
      <c r="A129" t="s">
        <v>149</v>
      </c>
      <c r="B129">
        <v>2004</v>
      </c>
      <c r="C129" t="s">
        <v>30</v>
      </c>
      <c r="D129">
        <v>5</v>
      </c>
      <c r="E129" s="13" t="s">
        <v>10819</v>
      </c>
      <c r="F129">
        <v>0</v>
      </c>
      <c r="G129" s="11">
        <v>1631.67</v>
      </c>
      <c r="H129" t="s">
        <v>11</v>
      </c>
      <c r="I129" t="s">
        <v>12</v>
      </c>
      <c r="J129" t="s">
        <v>13</v>
      </c>
    </row>
    <row r="130" spans="1:10" x14ac:dyDescent="0.3">
      <c r="A130" t="s">
        <v>150</v>
      </c>
      <c r="B130">
        <v>2004</v>
      </c>
      <c r="C130" t="s">
        <v>10</v>
      </c>
      <c r="D130">
        <v>9</v>
      </c>
      <c r="E130" s="13" t="s">
        <v>10880</v>
      </c>
      <c r="F130">
        <v>0</v>
      </c>
      <c r="G130" s="11">
        <v>1631.82</v>
      </c>
      <c r="H130" t="s">
        <v>11</v>
      </c>
      <c r="I130" t="s">
        <v>16</v>
      </c>
      <c r="J130" t="s">
        <v>13</v>
      </c>
    </row>
    <row r="131" spans="1:10" x14ac:dyDescent="0.3">
      <c r="A131" t="s">
        <v>151</v>
      </c>
      <c r="B131">
        <v>2003</v>
      </c>
      <c r="C131" t="s">
        <v>37</v>
      </c>
      <c r="D131">
        <v>3</v>
      </c>
      <c r="E131" s="13" t="s">
        <v>10881</v>
      </c>
      <c r="F131">
        <v>0</v>
      </c>
      <c r="G131" s="11">
        <v>1632.04</v>
      </c>
      <c r="H131" t="s">
        <v>11</v>
      </c>
      <c r="I131" t="s">
        <v>11</v>
      </c>
      <c r="J131" t="s">
        <v>23</v>
      </c>
    </row>
    <row r="132" spans="1:10" x14ac:dyDescent="0.3">
      <c r="A132" t="s">
        <v>152</v>
      </c>
      <c r="B132">
        <v>2003</v>
      </c>
      <c r="C132" t="s">
        <v>20</v>
      </c>
      <c r="D132">
        <v>16</v>
      </c>
      <c r="E132" s="13" t="s">
        <v>10882</v>
      </c>
      <c r="F132">
        <v>0</v>
      </c>
      <c r="G132" s="11">
        <v>1632.56</v>
      </c>
      <c r="H132" t="s">
        <v>11</v>
      </c>
      <c r="I132" t="s">
        <v>11</v>
      </c>
      <c r="J132" t="s">
        <v>23</v>
      </c>
    </row>
    <row r="133" spans="1:10" x14ac:dyDescent="0.3">
      <c r="A133" t="s">
        <v>153</v>
      </c>
      <c r="B133">
        <v>2004</v>
      </c>
      <c r="C133" t="s">
        <v>30</v>
      </c>
      <c r="D133">
        <v>13</v>
      </c>
      <c r="E133" s="13" t="s">
        <v>10883</v>
      </c>
      <c r="F133">
        <v>0</v>
      </c>
      <c r="G133" s="11">
        <v>1633.04</v>
      </c>
      <c r="H133" t="s">
        <v>11</v>
      </c>
      <c r="I133" t="s">
        <v>11</v>
      </c>
      <c r="J133" t="s">
        <v>13</v>
      </c>
    </row>
    <row r="134" spans="1:10" x14ac:dyDescent="0.3">
      <c r="A134" t="s">
        <v>154</v>
      </c>
      <c r="B134">
        <v>2004</v>
      </c>
      <c r="C134" t="s">
        <v>35</v>
      </c>
      <c r="D134">
        <v>8</v>
      </c>
      <c r="E134" s="13" t="s">
        <v>10884</v>
      </c>
      <c r="F134">
        <v>0</v>
      </c>
      <c r="G134" s="11">
        <v>1633.96</v>
      </c>
      <c r="H134" t="s">
        <v>11</v>
      </c>
      <c r="I134" t="s">
        <v>16</v>
      </c>
      <c r="J134" t="s">
        <v>13</v>
      </c>
    </row>
    <row r="135" spans="1:10" x14ac:dyDescent="0.3">
      <c r="A135" t="s">
        <v>155</v>
      </c>
      <c r="B135">
        <v>2004</v>
      </c>
      <c r="C135" t="s">
        <v>18</v>
      </c>
      <c r="D135">
        <v>13</v>
      </c>
      <c r="E135" s="13" t="s">
        <v>10885</v>
      </c>
      <c r="F135">
        <v>0</v>
      </c>
      <c r="G135" s="11">
        <v>1634.57</v>
      </c>
      <c r="H135" t="s">
        <v>11</v>
      </c>
      <c r="I135" t="s">
        <v>11</v>
      </c>
      <c r="J135" t="s">
        <v>13</v>
      </c>
    </row>
    <row r="136" spans="1:10" x14ac:dyDescent="0.3">
      <c r="A136" t="s">
        <v>156</v>
      </c>
      <c r="B136">
        <v>2003</v>
      </c>
      <c r="C136" t="s">
        <v>30</v>
      </c>
      <c r="D136">
        <v>30</v>
      </c>
      <c r="E136" s="13" t="s">
        <v>10881</v>
      </c>
      <c r="F136">
        <v>0</v>
      </c>
      <c r="G136" s="11">
        <v>1635.73</v>
      </c>
      <c r="H136" t="s">
        <v>11</v>
      </c>
      <c r="I136" t="s">
        <v>12</v>
      </c>
      <c r="J136" t="s">
        <v>23</v>
      </c>
    </row>
    <row r="137" spans="1:10" x14ac:dyDescent="0.3">
      <c r="A137" t="s">
        <v>157</v>
      </c>
      <c r="B137">
        <v>2003</v>
      </c>
      <c r="C137" t="s">
        <v>20</v>
      </c>
      <c r="D137">
        <v>16</v>
      </c>
      <c r="E137" s="13" t="s">
        <v>10886</v>
      </c>
      <c r="F137">
        <v>0</v>
      </c>
      <c r="G137" s="11">
        <v>1639.56</v>
      </c>
      <c r="H137" t="s">
        <v>11</v>
      </c>
      <c r="I137" t="s">
        <v>11</v>
      </c>
      <c r="J137" t="s">
        <v>23</v>
      </c>
    </row>
    <row r="138" spans="1:10" x14ac:dyDescent="0.3">
      <c r="A138" t="s">
        <v>158</v>
      </c>
      <c r="B138">
        <v>2003</v>
      </c>
      <c r="C138" t="s">
        <v>35</v>
      </c>
      <c r="D138">
        <v>21</v>
      </c>
      <c r="E138" s="13" t="s">
        <v>10885</v>
      </c>
      <c r="F138">
        <v>0</v>
      </c>
      <c r="G138" s="11">
        <v>1639.56</v>
      </c>
      <c r="H138" t="s">
        <v>11</v>
      </c>
      <c r="I138" t="s">
        <v>11</v>
      </c>
      <c r="J138" t="s">
        <v>23</v>
      </c>
    </row>
    <row r="139" spans="1:10" x14ac:dyDescent="0.3">
      <c r="A139" t="s">
        <v>159</v>
      </c>
      <c r="B139">
        <v>2003</v>
      </c>
      <c r="C139" t="s">
        <v>30</v>
      </c>
      <c r="D139">
        <v>30</v>
      </c>
      <c r="E139" s="13" t="s">
        <v>10887</v>
      </c>
      <c r="F139">
        <v>0</v>
      </c>
      <c r="G139" s="11">
        <v>1646.43</v>
      </c>
      <c r="H139" t="s">
        <v>11</v>
      </c>
      <c r="I139" t="s">
        <v>16</v>
      </c>
      <c r="J139" t="s">
        <v>23</v>
      </c>
    </row>
    <row r="140" spans="1:10" x14ac:dyDescent="0.3">
      <c r="A140" t="s">
        <v>160</v>
      </c>
      <c r="B140">
        <v>2000</v>
      </c>
      <c r="C140" t="s">
        <v>37</v>
      </c>
      <c r="D140">
        <v>23</v>
      </c>
      <c r="E140" s="13" t="s">
        <v>10888</v>
      </c>
      <c r="F140">
        <v>0</v>
      </c>
      <c r="G140" s="11">
        <v>1665</v>
      </c>
      <c r="H140" t="s">
        <v>11</v>
      </c>
      <c r="I140" t="s">
        <v>11</v>
      </c>
      <c r="J140" t="s">
        <v>13</v>
      </c>
    </row>
    <row r="141" spans="1:10" x14ac:dyDescent="0.3">
      <c r="A141" t="s">
        <v>161</v>
      </c>
      <c r="B141">
        <v>2000</v>
      </c>
      <c r="C141" t="s">
        <v>18</v>
      </c>
      <c r="D141">
        <v>10</v>
      </c>
      <c r="E141" s="13" t="s">
        <v>10889</v>
      </c>
      <c r="F141">
        <v>0</v>
      </c>
      <c r="G141" s="11">
        <v>1674.63</v>
      </c>
      <c r="H141" t="s">
        <v>11</v>
      </c>
      <c r="I141" t="s">
        <v>11</v>
      </c>
      <c r="J141" t="s">
        <v>13</v>
      </c>
    </row>
    <row r="142" spans="1:10" x14ac:dyDescent="0.3">
      <c r="A142" t="s">
        <v>162</v>
      </c>
      <c r="B142">
        <v>2000</v>
      </c>
      <c r="C142" t="s">
        <v>37</v>
      </c>
      <c r="D142">
        <v>21</v>
      </c>
      <c r="E142" s="13" t="s">
        <v>10890</v>
      </c>
      <c r="F142">
        <v>0</v>
      </c>
      <c r="G142" s="11">
        <v>1682.6</v>
      </c>
      <c r="H142" t="s">
        <v>11</v>
      </c>
      <c r="I142" t="s">
        <v>11</v>
      </c>
      <c r="J142" t="s">
        <v>42</v>
      </c>
    </row>
    <row r="143" spans="1:10" x14ac:dyDescent="0.3">
      <c r="A143" t="s">
        <v>163</v>
      </c>
      <c r="B143">
        <v>2004</v>
      </c>
      <c r="C143" t="s">
        <v>15</v>
      </c>
      <c r="D143">
        <v>17</v>
      </c>
      <c r="E143" s="13" t="s">
        <v>10891</v>
      </c>
      <c r="F143">
        <v>0</v>
      </c>
      <c r="G143" s="11">
        <v>1694.8</v>
      </c>
      <c r="H143" t="s">
        <v>11</v>
      </c>
      <c r="I143" t="s">
        <v>11</v>
      </c>
      <c r="J143" t="s">
        <v>164</v>
      </c>
    </row>
    <row r="144" spans="1:10" x14ac:dyDescent="0.3">
      <c r="A144" t="s">
        <v>165</v>
      </c>
      <c r="B144">
        <v>2004</v>
      </c>
      <c r="C144" t="s">
        <v>30</v>
      </c>
      <c r="D144">
        <v>10</v>
      </c>
      <c r="E144" s="13" t="s">
        <v>10892</v>
      </c>
      <c r="F144">
        <v>0</v>
      </c>
      <c r="G144" s="11">
        <v>1702.46</v>
      </c>
      <c r="H144" t="s">
        <v>11</v>
      </c>
      <c r="I144" t="s">
        <v>12</v>
      </c>
      <c r="J144" t="s">
        <v>166</v>
      </c>
    </row>
    <row r="145" spans="1:10" x14ac:dyDescent="0.3">
      <c r="A145" t="s">
        <v>167</v>
      </c>
      <c r="B145">
        <v>2004</v>
      </c>
      <c r="C145" t="s">
        <v>15</v>
      </c>
      <c r="D145">
        <v>7</v>
      </c>
      <c r="E145" s="13" t="s">
        <v>10893</v>
      </c>
      <c r="F145">
        <v>0</v>
      </c>
      <c r="G145" s="11">
        <v>1704.57</v>
      </c>
      <c r="H145" t="s">
        <v>11</v>
      </c>
      <c r="I145" t="s">
        <v>16</v>
      </c>
      <c r="J145" t="s">
        <v>168</v>
      </c>
    </row>
    <row r="146" spans="1:10" x14ac:dyDescent="0.3">
      <c r="A146" t="s">
        <v>169</v>
      </c>
      <c r="B146">
        <v>2004</v>
      </c>
      <c r="C146" t="s">
        <v>30</v>
      </c>
      <c r="D146">
        <v>14</v>
      </c>
      <c r="E146" s="13" t="s">
        <v>10894</v>
      </c>
      <c r="F146">
        <v>0</v>
      </c>
      <c r="G146" s="11">
        <v>1704.7</v>
      </c>
      <c r="H146" t="s">
        <v>11</v>
      </c>
      <c r="I146" t="s">
        <v>12</v>
      </c>
      <c r="J146" t="s">
        <v>170</v>
      </c>
    </row>
    <row r="147" spans="1:10" x14ac:dyDescent="0.3">
      <c r="A147" t="s">
        <v>171</v>
      </c>
      <c r="B147">
        <v>2004</v>
      </c>
      <c r="C147" t="s">
        <v>30</v>
      </c>
      <c r="D147">
        <v>6</v>
      </c>
      <c r="E147" s="13" t="s">
        <v>10895</v>
      </c>
      <c r="F147">
        <v>0</v>
      </c>
      <c r="G147" s="11">
        <v>1705.62</v>
      </c>
      <c r="H147" t="s">
        <v>11</v>
      </c>
      <c r="I147" t="s">
        <v>11</v>
      </c>
      <c r="J147" t="s">
        <v>164</v>
      </c>
    </row>
    <row r="148" spans="1:10" x14ac:dyDescent="0.3">
      <c r="A148" t="s">
        <v>172</v>
      </c>
      <c r="B148">
        <v>2004</v>
      </c>
      <c r="C148" t="s">
        <v>37</v>
      </c>
      <c r="D148">
        <v>17</v>
      </c>
      <c r="E148" s="13" t="s">
        <v>10896</v>
      </c>
      <c r="F148">
        <v>0</v>
      </c>
      <c r="G148" s="11">
        <v>1708</v>
      </c>
      <c r="H148" t="s">
        <v>12</v>
      </c>
      <c r="I148" t="s">
        <v>11</v>
      </c>
      <c r="J148" t="s">
        <v>168</v>
      </c>
    </row>
    <row r="149" spans="1:10" x14ac:dyDescent="0.3">
      <c r="A149" t="s">
        <v>173</v>
      </c>
      <c r="B149">
        <v>2004</v>
      </c>
      <c r="C149" t="s">
        <v>30</v>
      </c>
      <c r="D149">
        <v>12</v>
      </c>
      <c r="E149" s="13" t="s">
        <v>10897</v>
      </c>
      <c r="F149">
        <v>0</v>
      </c>
      <c r="G149" s="11">
        <v>1708.93</v>
      </c>
      <c r="H149" t="s">
        <v>12</v>
      </c>
      <c r="I149" t="s">
        <v>16</v>
      </c>
      <c r="J149" t="s">
        <v>166</v>
      </c>
    </row>
    <row r="150" spans="1:10" x14ac:dyDescent="0.3">
      <c r="A150" t="s">
        <v>174</v>
      </c>
      <c r="B150">
        <v>2004</v>
      </c>
      <c r="C150" t="s">
        <v>20</v>
      </c>
      <c r="D150">
        <v>19</v>
      </c>
      <c r="E150" s="13" t="s">
        <v>10898</v>
      </c>
      <c r="F150">
        <v>1</v>
      </c>
      <c r="G150" s="11">
        <v>1711.03</v>
      </c>
      <c r="H150" t="s">
        <v>12</v>
      </c>
      <c r="I150" t="s">
        <v>12</v>
      </c>
      <c r="J150" t="s">
        <v>13</v>
      </c>
    </row>
    <row r="151" spans="1:10" x14ac:dyDescent="0.3">
      <c r="A151" t="s">
        <v>175</v>
      </c>
      <c r="B151">
        <v>2004</v>
      </c>
      <c r="C151" t="s">
        <v>20</v>
      </c>
      <c r="D151">
        <v>21</v>
      </c>
      <c r="E151" s="13" t="s">
        <v>10805</v>
      </c>
      <c r="F151">
        <v>0</v>
      </c>
      <c r="G151" s="11">
        <v>1712.23</v>
      </c>
      <c r="H151" t="s">
        <v>12</v>
      </c>
      <c r="I151" t="s">
        <v>16</v>
      </c>
      <c r="J151" t="s">
        <v>168</v>
      </c>
    </row>
    <row r="152" spans="1:10" x14ac:dyDescent="0.3">
      <c r="A152" t="s">
        <v>176</v>
      </c>
      <c r="B152">
        <v>2004</v>
      </c>
      <c r="C152" t="s">
        <v>18</v>
      </c>
      <c r="D152">
        <v>10</v>
      </c>
      <c r="E152" s="13" t="s">
        <v>10899</v>
      </c>
      <c r="F152">
        <v>1</v>
      </c>
      <c r="G152" s="11">
        <v>1719.44</v>
      </c>
      <c r="H152" t="s">
        <v>12</v>
      </c>
      <c r="I152" t="s">
        <v>12</v>
      </c>
      <c r="J152" t="s">
        <v>13</v>
      </c>
    </row>
    <row r="153" spans="1:10" x14ac:dyDescent="0.3">
      <c r="A153" t="s">
        <v>177</v>
      </c>
      <c r="B153">
        <v>2004</v>
      </c>
      <c r="C153" t="s">
        <v>20</v>
      </c>
      <c r="D153">
        <v>11</v>
      </c>
      <c r="E153" s="13" t="s">
        <v>10900</v>
      </c>
      <c r="F153">
        <v>1</v>
      </c>
      <c r="G153" s="11">
        <v>1720.35</v>
      </c>
      <c r="H153" t="s">
        <v>12</v>
      </c>
      <c r="I153" t="s">
        <v>12</v>
      </c>
      <c r="J153" t="s">
        <v>13</v>
      </c>
    </row>
    <row r="154" spans="1:10" x14ac:dyDescent="0.3">
      <c r="A154" t="s">
        <v>178</v>
      </c>
      <c r="B154">
        <v>2004</v>
      </c>
      <c r="C154" t="s">
        <v>37</v>
      </c>
      <c r="D154">
        <v>21</v>
      </c>
      <c r="E154" s="13" t="s">
        <v>10901</v>
      </c>
      <c r="F154">
        <v>1</v>
      </c>
      <c r="G154" s="11">
        <v>1725.55</v>
      </c>
      <c r="H154" t="s">
        <v>12</v>
      </c>
      <c r="I154" t="s">
        <v>11</v>
      </c>
      <c r="J154" t="s">
        <v>13</v>
      </c>
    </row>
    <row r="155" spans="1:10" x14ac:dyDescent="0.3">
      <c r="A155" t="s">
        <v>179</v>
      </c>
      <c r="B155">
        <v>2004</v>
      </c>
      <c r="C155" t="s">
        <v>20</v>
      </c>
      <c r="D155">
        <v>9</v>
      </c>
      <c r="E155" s="13" t="s">
        <v>10832</v>
      </c>
      <c r="F155">
        <v>1</v>
      </c>
      <c r="G155" s="11">
        <v>1727.54</v>
      </c>
      <c r="H155" t="s">
        <v>12</v>
      </c>
      <c r="I155" t="s">
        <v>16</v>
      </c>
      <c r="J155" t="s">
        <v>13</v>
      </c>
    </row>
    <row r="156" spans="1:10" x14ac:dyDescent="0.3">
      <c r="A156" t="s">
        <v>180</v>
      </c>
      <c r="B156">
        <v>2003</v>
      </c>
      <c r="C156" t="s">
        <v>15</v>
      </c>
      <c r="D156">
        <v>21</v>
      </c>
      <c r="E156" s="13" t="s">
        <v>10902</v>
      </c>
      <c r="F156">
        <v>0</v>
      </c>
      <c r="G156" s="11">
        <v>1727.79</v>
      </c>
      <c r="H156" t="s">
        <v>12</v>
      </c>
      <c r="I156" t="s">
        <v>12</v>
      </c>
      <c r="J156" t="s">
        <v>42</v>
      </c>
    </row>
    <row r="157" spans="1:10" x14ac:dyDescent="0.3">
      <c r="A157" t="s">
        <v>181</v>
      </c>
      <c r="B157">
        <v>2003</v>
      </c>
      <c r="C157" t="s">
        <v>20</v>
      </c>
      <c r="D157">
        <v>1</v>
      </c>
      <c r="E157" s="13" t="s">
        <v>10903</v>
      </c>
      <c r="F157">
        <v>0</v>
      </c>
      <c r="G157" s="11">
        <v>1728.9</v>
      </c>
      <c r="H157" t="s">
        <v>12</v>
      </c>
      <c r="I157" t="s">
        <v>11</v>
      </c>
      <c r="J157" t="s">
        <v>42</v>
      </c>
    </row>
    <row r="158" spans="1:10" x14ac:dyDescent="0.3">
      <c r="A158" t="s">
        <v>182</v>
      </c>
      <c r="B158">
        <v>2003</v>
      </c>
      <c r="C158" t="s">
        <v>15</v>
      </c>
      <c r="D158">
        <v>9</v>
      </c>
      <c r="E158" s="13" t="s">
        <v>10904</v>
      </c>
      <c r="F158">
        <v>0</v>
      </c>
      <c r="G158" s="11">
        <v>1731.68</v>
      </c>
      <c r="H158" t="s">
        <v>12</v>
      </c>
      <c r="I158" t="s">
        <v>11</v>
      </c>
      <c r="J158" t="s">
        <v>42</v>
      </c>
    </row>
    <row r="159" spans="1:10" x14ac:dyDescent="0.3">
      <c r="A159" t="s">
        <v>183</v>
      </c>
      <c r="B159">
        <v>2003</v>
      </c>
      <c r="C159" t="s">
        <v>15</v>
      </c>
      <c r="D159">
        <v>14</v>
      </c>
      <c r="E159" s="13" t="s">
        <v>10905</v>
      </c>
      <c r="F159">
        <v>0</v>
      </c>
      <c r="G159" s="11">
        <v>1737.38</v>
      </c>
      <c r="H159" t="s">
        <v>12</v>
      </c>
      <c r="I159" t="s">
        <v>11</v>
      </c>
      <c r="J159" t="s">
        <v>42</v>
      </c>
    </row>
    <row r="160" spans="1:10" x14ac:dyDescent="0.3">
      <c r="A160" t="s">
        <v>184</v>
      </c>
      <c r="B160">
        <v>2003</v>
      </c>
      <c r="C160" t="s">
        <v>10</v>
      </c>
      <c r="D160">
        <v>25</v>
      </c>
      <c r="E160" s="13" t="s">
        <v>10906</v>
      </c>
      <c r="F160">
        <v>0</v>
      </c>
      <c r="G160" s="11">
        <v>1743.21</v>
      </c>
      <c r="H160" t="s">
        <v>12</v>
      </c>
      <c r="I160" t="s">
        <v>16</v>
      </c>
      <c r="J160" t="s">
        <v>42</v>
      </c>
    </row>
    <row r="161" spans="1:10" x14ac:dyDescent="0.3">
      <c r="A161" t="s">
        <v>185</v>
      </c>
      <c r="B161">
        <v>2003</v>
      </c>
      <c r="C161" t="s">
        <v>10</v>
      </c>
      <c r="D161">
        <v>28</v>
      </c>
      <c r="E161" s="13" t="s">
        <v>10907</v>
      </c>
      <c r="F161">
        <v>0</v>
      </c>
      <c r="G161" s="11">
        <v>1744.47</v>
      </c>
      <c r="H161" t="s">
        <v>12</v>
      </c>
      <c r="I161" t="s">
        <v>16</v>
      </c>
      <c r="J161" t="s">
        <v>42</v>
      </c>
    </row>
    <row r="162" spans="1:10" x14ac:dyDescent="0.3">
      <c r="A162" t="s">
        <v>186</v>
      </c>
      <c r="B162">
        <v>2003</v>
      </c>
      <c r="C162" t="s">
        <v>20</v>
      </c>
      <c r="D162">
        <v>26</v>
      </c>
      <c r="E162" s="13" t="s">
        <v>10908</v>
      </c>
      <c r="F162">
        <v>0</v>
      </c>
      <c r="G162" s="11">
        <v>1748.77</v>
      </c>
      <c r="H162" t="s">
        <v>12</v>
      </c>
      <c r="I162" t="s">
        <v>16</v>
      </c>
      <c r="J162" t="s">
        <v>42</v>
      </c>
    </row>
    <row r="163" spans="1:10" x14ac:dyDescent="0.3">
      <c r="A163" t="s">
        <v>187</v>
      </c>
      <c r="B163">
        <v>1998</v>
      </c>
      <c r="C163" t="s">
        <v>37</v>
      </c>
      <c r="D163">
        <v>7</v>
      </c>
      <c r="E163" s="13" t="s">
        <v>10909</v>
      </c>
      <c r="F163">
        <v>0</v>
      </c>
      <c r="G163" s="11">
        <v>1756.6</v>
      </c>
      <c r="H163" t="s">
        <v>12</v>
      </c>
      <c r="I163" t="s">
        <v>12</v>
      </c>
      <c r="J163" t="s">
        <v>13</v>
      </c>
    </row>
    <row r="164" spans="1:10" x14ac:dyDescent="0.3">
      <c r="A164" t="s">
        <v>188</v>
      </c>
      <c r="B164">
        <v>2003</v>
      </c>
      <c r="C164" t="s">
        <v>15</v>
      </c>
      <c r="D164">
        <v>19</v>
      </c>
      <c r="E164" s="13" t="s">
        <v>10910</v>
      </c>
      <c r="F164">
        <v>0</v>
      </c>
      <c r="G164" s="11">
        <v>1759.34</v>
      </c>
      <c r="H164" t="s">
        <v>12</v>
      </c>
      <c r="I164" t="s">
        <v>16</v>
      </c>
      <c r="J164" t="s">
        <v>42</v>
      </c>
    </row>
    <row r="165" spans="1:10" x14ac:dyDescent="0.3">
      <c r="A165" t="s">
        <v>189</v>
      </c>
      <c r="B165">
        <v>2002</v>
      </c>
      <c r="C165" t="s">
        <v>30</v>
      </c>
      <c r="D165">
        <v>13</v>
      </c>
      <c r="E165" s="13" t="s">
        <v>10911</v>
      </c>
      <c r="F165">
        <v>0</v>
      </c>
      <c r="G165" s="11">
        <v>1769.53</v>
      </c>
      <c r="H165" t="s">
        <v>12</v>
      </c>
      <c r="I165" t="s">
        <v>12</v>
      </c>
      <c r="J165" t="s">
        <v>23</v>
      </c>
    </row>
    <row r="166" spans="1:10" x14ac:dyDescent="0.3">
      <c r="A166" t="s">
        <v>190</v>
      </c>
      <c r="B166">
        <v>1999</v>
      </c>
      <c r="C166" t="s">
        <v>20</v>
      </c>
      <c r="D166">
        <v>25</v>
      </c>
      <c r="E166" s="13" t="s">
        <v>10912</v>
      </c>
      <c r="F166">
        <v>0</v>
      </c>
      <c r="G166" s="11">
        <v>1815.88</v>
      </c>
      <c r="H166" t="s">
        <v>12</v>
      </c>
      <c r="I166" t="s">
        <v>12</v>
      </c>
      <c r="J166" t="s">
        <v>13</v>
      </c>
    </row>
    <row r="167" spans="1:10" x14ac:dyDescent="0.3">
      <c r="A167" t="s">
        <v>191</v>
      </c>
      <c r="B167">
        <v>2004</v>
      </c>
      <c r="C167" t="s">
        <v>35</v>
      </c>
      <c r="D167">
        <v>19</v>
      </c>
      <c r="E167" s="13" t="s">
        <v>10913</v>
      </c>
      <c r="F167">
        <v>0</v>
      </c>
      <c r="G167" s="11">
        <v>1822.54</v>
      </c>
      <c r="H167" t="s">
        <v>12</v>
      </c>
      <c r="I167" t="s">
        <v>16</v>
      </c>
      <c r="J167" t="s">
        <v>23</v>
      </c>
    </row>
    <row r="168" spans="1:10" x14ac:dyDescent="0.3">
      <c r="A168" t="s">
        <v>192</v>
      </c>
      <c r="B168">
        <v>1999</v>
      </c>
      <c r="C168" t="s">
        <v>15</v>
      </c>
      <c r="D168">
        <v>17</v>
      </c>
      <c r="E168" s="13" t="s">
        <v>10914</v>
      </c>
      <c r="F168">
        <v>0</v>
      </c>
      <c r="G168" s="11">
        <v>1824.29</v>
      </c>
      <c r="H168" t="s">
        <v>12</v>
      </c>
      <c r="I168" t="s">
        <v>12</v>
      </c>
      <c r="J168" t="s">
        <v>13</v>
      </c>
    </row>
    <row r="169" spans="1:10" x14ac:dyDescent="0.3">
      <c r="A169" t="s">
        <v>193</v>
      </c>
      <c r="B169">
        <v>1999</v>
      </c>
      <c r="C169" t="s">
        <v>37</v>
      </c>
      <c r="D169">
        <v>1</v>
      </c>
      <c r="E169" s="13" t="s">
        <v>10915</v>
      </c>
      <c r="F169">
        <v>0</v>
      </c>
      <c r="G169" s="11">
        <v>1826.84</v>
      </c>
      <c r="H169" t="s">
        <v>12</v>
      </c>
      <c r="I169" t="s">
        <v>11</v>
      </c>
      <c r="J169" t="s">
        <v>42</v>
      </c>
    </row>
    <row r="170" spans="1:10" x14ac:dyDescent="0.3">
      <c r="A170" t="s">
        <v>194</v>
      </c>
      <c r="B170">
        <v>2003</v>
      </c>
      <c r="C170" t="s">
        <v>35</v>
      </c>
      <c r="D170">
        <v>11</v>
      </c>
      <c r="E170" s="13" t="s">
        <v>10916</v>
      </c>
      <c r="F170">
        <v>1</v>
      </c>
      <c r="G170" s="11">
        <v>1832.09</v>
      </c>
      <c r="H170" t="s">
        <v>12</v>
      </c>
      <c r="I170" t="s">
        <v>12</v>
      </c>
      <c r="J170" t="s">
        <v>42</v>
      </c>
    </row>
    <row r="171" spans="1:10" x14ac:dyDescent="0.3">
      <c r="A171" t="s">
        <v>195</v>
      </c>
      <c r="B171">
        <v>2003</v>
      </c>
      <c r="C171" t="s">
        <v>35</v>
      </c>
      <c r="D171">
        <v>4</v>
      </c>
      <c r="E171" s="13" t="s">
        <v>10917</v>
      </c>
      <c r="F171">
        <v>1</v>
      </c>
      <c r="G171" s="11">
        <v>1837.24</v>
      </c>
      <c r="H171" t="s">
        <v>12</v>
      </c>
      <c r="I171" t="s">
        <v>11</v>
      </c>
      <c r="J171" t="s">
        <v>42</v>
      </c>
    </row>
    <row r="172" spans="1:10" x14ac:dyDescent="0.3">
      <c r="A172" t="s">
        <v>196</v>
      </c>
      <c r="B172">
        <v>1999</v>
      </c>
      <c r="C172" t="s">
        <v>30</v>
      </c>
      <c r="D172">
        <v>12</v>
      </c>
      <c r="E172" s="13" t="s">
        <v>10918</v>
      </c>
      <c r="F172">
        <v>0</v>
      </c>
      <c r="G172" s="11">
        <v>1837.28</v>
      </c>
      <c r="H172" t="s">
        <v>12</v>
      </c>
      <c r="I172" t="s">
        <v>11</v>
      </c>
      <c r="J172" t="s">
        <v>13</v>
      </c>
    </row>
    <row r="173" spans="1:10" x14ac:dyDescent="0.3">
      <c r="A173" t="s">
        <v>197</v>
      </c>
      <c r="B173">
        <v>2003</v>
      </c>
      <c r="C173" t="s">
        <v>10</v>
      </c>
      <c r="D173">
        <v>20</v>
      </c>
      <c r="E173" s="13" t="s">
        <v>10919</v>
      </c>
      <c r="F173">
        <v>1</v>
      </c>
      <c r="G173" s="11">
        <v>1842.52</v>
      </c>
      <c r="H173" t="s">
        <v>12</v>
      </c>
      <c r="I173" t="s">
        <v>11</v>
      </c>
      <c r="J173" t="s">
        <v>42</v>
      </c>
    </row>
    <row r="174" spans="1:10" x14ac:dyDescent="0.3">
      <c r="A174" t="s">
        <v>198</v>
      </c>
      <c r="B174">
        <v>1994</v>
      </c>
      <c r="C174" t="s">
        <v>30</v>
      </c>
      <c r="D174">
        <v>6</v>
      </c>
      <c r="E174" s="13" t="s">
        <v>10920</v>
      </c>
      <c r="F174">
        <v>0</v>
      </c>
      <c r="G174" s="11">
        <v>1850.55</v>
      </c>
      <c r="H174" t="s">
        <v>12</v>
      </c>
      <c r="I174" t="s">
        <v>11</v>
      </c>
      <c r="J174" t="s">
        <v>23</v>
      </c>
    </row>
    <row r="175" spans="1:10" x14ac:dyDescent="0.3">
      <c r="A175" t="s">
        <v>199</v>
      </c>
      <c r="B175">
        <v>2004</v>
      </c>
      <c r="C175" t="s">
        <v>30</v>
      </c>
      <c r="D175">
        <v>27</v>
      </c>
      <c r="E175" s="13" t="s">
        <v>10921</v>
      </c>
      <c r="F175">
        <v>0</v>
      </c>
      <c r="G175" s="11">
        <v>1863.45</v>
      </c>
      <c r="H175" t="s">
        <v>12</v>
      </c>
      <c r="I175" t="s">
        <v>16</v>
      </c>
      <c r="J175" t="s">
        <v>200</v>
      </c>
    </row>
    <row r="176" spans="1:10" x14ac:dyDescent="0.3">
      <c r="A176" t="s">
        <v>201</v>
      </c>
      <c r="B176">
        <v>1996</v>
      </c>
      <c r="C176" t="s">
        <v>10</v>
      </c>
      <c r="D176">
        <v>2</v>
      </c>
      <c r="E176" s="13" t="s">
        <v>10922</v>
      </c>
      <c r="F176">
        <v>0</v>
      </c>
      <c r="G176" s="11">
        <v>1865.98</v>
      </c>
      <c r="H176" t="s">
        <v>12</v>
      </c>
      <c r="I176" t="s">
        <v>12</v>
      </c>
      <c r="J176" t="s">
        <v>23</v>
      </c>
    </row>
    <row r="177" spans="1:10" x14ac:dyDescent="0.3">
      <c r="A177" t="s">
        <v>202</v>
      </c>
      <c r="B177">
        <v>2002</v>
      </c>
      <c r="C177" t="s">
        <v>20</v>
      </c>
      <c r="D177">
        <v>22</v>
      </c>
      <c r="E177" s="13" t="s">
        <v>10923</v>
      </c>
      <c r="F177">
        <v>0</v>
      </c>
      <c r="G177" s="11">
        <v>1875.34</v>
      </c>
      <c r="H177" t="s">
        <v>12</v>
      </c>
      <c r="I177" t="s">
        <v>11</v>
      </c>
      <c r="J177" t="s">
        <v>42</v>
      </c>
    </row>
    <row r="178" spans="1:10" x14ac:dyDescent="0.3">
      <c r="A178" t="s">
        <v>203</v>
      </c>
      <c r="B178">
        <v>2002</v>
      </c>
      <c r="C178" t="s">
        <v>37</v>
      </c>
      <c r="D178">
        <v>29</v>
      </c>
      <c r="E178" s="13" t="s">
        <v>10924</v>
      </c>
      <c r="F178">
        <v>0</v>
      </c>
      <c r="G178" s="11">
        <v>1877.93</v>
      </c>
      <c r="H178" t="s">
        <v>12</v>
      </c>
      <c r="I178" t="s">
        <v>16</v>
      </c>
      <c r="J178" t="s">
        <v>13</v>
      </c>
    </row>
    <row r="179" spans="1:10" x14ac:dyDescent="0.3">
      <c r="A179" t="s">
        <v>204</v>
      </c>
      <c r="B179">
        <v>2002</v>
      </c>
      <c r="C179" t="s">
        <v>35</v>
      </c>
      <c r="D179">
        <v>29</v>
      </c>
      <c r="E179" s="13" t="s">
        <v>10925</v>
      </c>
      <c r="F179">
        <v>0</v>
      </c>
      <c r="G179" s="11">
        <v>1880.07</v>
      </c>
      <c r="H179" t="s">
        <v>12</v>
      </c>
      <c r="I179" t="s">
        <v>11</v>
      </c>
      <c r="J179" t="s">
        <v>13</v>
      </c>
    </row>
    <row r="180" spans="1:10" x14ac:dyDescent="0.3">
      <c r="A180" t="s">
        <v>205</v>
      </c>
      <c r="B180">
        <v>2002</v>
      </c>
      <c r="C180" t="s">
        <v>35</v>
      </c>
      <c r="D180">
        <v>21</v>
      </c>
      <c r="E180" s="13" t="s">
        <v>10926</v>
      </c>
      <c r="F180">
        <v>0</v>
      </c>
      <c r="G180" s="11">
        <v>1880.49</v>
      </c>
      <c r="H180" t="s">
        <v>12</v>
      </c>
      <c r="I180" t="s">
        <v>16</v>
      </c>
      <c r="J180" t="s">
        <v>42</v>
      </c>
    </row>
    <row r="181" spans="1:10" x14ac:dyDescent="0.3">
      <c r="A181" t="s">
        <v>206</v>
      </c>
      <c r="B181">
        <v>2001</v>
      </c>
      <c r="C181" t="s">
        <v>35</v>
      </c>
      <c r="D181">
        <v>10</v>
      </c>
      <c r="E181" s="13" t="s">
        <v>10927</v>
      </c>
      <c r="F181">
        <v>0</v>
      </c>
      <c r="G181" s="11">
        <v>1906.36</v>
      </c>
      <c r="H181" t="s">
        <v>12</v>
      </c>
      <c r="I181" t="s">
        <v>16</v>
      </c>
      <c r="J181" t="s">
        <v>23</v>
      </c>
    </row>
    <row r="182" spans="1:10" x14ac:dyDescent="0.3">
      <c r="A182" t="s">
        <v>207</v>
      </c>
      <c r="B182">
        <v>1994</v>
      </c>
      <c r="C182" t="s">
        <v>37</v>
      </c>
      <c r="D182">
        <v>6</v>
      </c>
      <c r="E182" s="13" t="s">
        <v>10928</v>
      </c>
      <c r="F182">
        <v>0</v>
      </c>
      <c r="G182" s="11">
        <v>1908.9</v>
      </c>
      <c r="H182" t="s">
        <v>12</v>
      </c>
      <c r="I182" t="s">
        <v>12</v>
      </c>
      <c r="J182" t="s">
        <v>13</v>
      </c>
    </row>
    <row r="183" spans="1:10" x14ac:dyDescent="0.3">
      <c r="A183" t="s">
        <v>208</v>
      </c>
      <c r="B183">
        <v>2001</v>
      </c>
      <c r="C183" t="s">
        <v>35</v>
      </c>
      <c r="D183">
        <v>3</v>
      </c>
      <c r="E183" s="13" t="s">
        <v>10929</v>
      </c>
      <c r="F183">
        <v>0</v>
      </c>
      <c r="G183" s="11">
        <v>1909.53</v>
      </c>
      <c r="H183" t="s">
        <v>12</v>
      </c>
      <c r="I183" t="s">
        <v>12</v>
      </c>
      <c r="J183" t="s">
        <v>23</v>
      </c>
    </row>
    <row r="184" spans="1:10" x14ac:dyDescent="0.3">
      <c r="A184" t="s">
        <v>209</v>
      </c>
      <c r="B184">
        <v>2001</v>
      </c>
      <c r="C184" t="s">
        <v>30</v>
      </c>
      <c r="D184">
        <v>9</v>
      </c>
      <c r="E184" s="13" t="s">
        <v>10930</v>
      </c>
      <c r="F184">
        <v>0</v>
      </c>
      <c r="G184" s="11">
        <v>1917.32</v>
      </c>
      <c r="H184" t="s">
        <v>12</v>
      </c>
      <c r="I184" t="s">
        <v>11</v>
      </c>
      <c r="J184" t="s">
        <v>23</v>
      </c>
    </row>
    <row r="185" spans="1:10" x14ac:dyDescent="0.3">
      <c r="A185" t="s">
        <v>210</v>
      </c>
      <c r="B185">
        <v>2002</v>
      </c>
      <c r="C185" t="s">
        <v>20</v>
      </c>
      <c r="D185">
        <v>7</v>
      </c>
      <c r="E185" s="13" t="s">
        <v>10931</v>
      </c>
      <c r="F185">
        <v>1</v>
      </c>
      <c r="G185" s="11">
        <v>1964.78</v>
      </c>
      <c r="H185" t="s">
        <v>12</v>
      </c>
      <c r="I185" t="s">
        <v>16</v>
      </c>
      <c r="J185" t="s">
        <v>42</v>
      </c>
    </row>
    <row r="186" spans="1:10" x14ac:dyDescent="0.3">
      <c r="A186" t="s">
        <v>211</v>
      </c>
      <c r="B186">
        <v>2002</v>
      </c>
      <c r="C186" t="s">
        <v>10</v>
      </c>
      <c r="D186">
        <v>29</v>
      </c>
      <c r="E186" s="13" t="s">
        <v>10932</v>
      </c>
      <c r="F186">
        <v>0</v>
      </c>
      <c r="G186" s="11">
        <v>1967.02</v>
      </c>
      <c r="H186" t="s">
        <v>12</v>
      </c>
      <c r="I186" t="s">
        <v>11</v>
      </c>
      <c r="J186" t="s">
        <v>168</v>
      </c>
    </row>
    <row r="187" spans="1:10" x14ac:dyDescent="0.3">
      <c r="A187" t="s">
        <v>212</v>
      </c>
      <c r="B187">
        <v>1998</v>
      </c>
      <c r="C187" t="s">
        <v>20</v>
      </c>
      <c r="D187">
        <v>28</v>
      </c>
      <c r="E187" s="13" t="s">
        <v>10933</v>
      </c>
      <c r="F187">
        <v>0</v>
      </c>
      <c r="G187" s="11">
        <v>1969.61</v>
      </c>
      <c r="H187" t="s">
        <v>12</v>
      </c>
      <c r="I187" t="s">
        <v>12</v>
      </c>
      <c r="J187" t="s">
        <v>42</v>
      </c>
    </row>
    <row r="188" spans="1:10" x14ac:dyDescent="0.3">
      <c r="A188" t="s">
        <v>213</v>
      </c>
      <c r="B188">
        <v>1998</v>
      </c>
      <c r="C188" t="s">
        <v>37</v>
      </c>
      <c r="D188">
        <v>5</v>
      </c>
      <c r="E188" s="13" t="s">
        <v>10934</v>
      </c>
      <c r="F188">
        <v>0</v>
      </c>
      <c r="G188" s="11">
        <v>1972.95</v>
      </c>
      <c r="H188" t="s">
        <v>12</v>
      </c>
      <c r="I188" t="s">
        <v>16</v>
      </c>
      <c r="J188" t="s">
        <v>42</v>
      </c>
    </row>
    <row r="189" spans="1:10" x14ac:dyDescent="0.3">
      <c r="A189" t="s">
        <v>214</v>
      </c>
      <c r="B189">
        <v>1998</v>
      </c>
      <c r="C189" t="s">
        <v>20</v>
      </c>
      <c r="D189">
        <v>29</v>
      </c>
      <c r="E189" s="13" t="s">
        <v>10935</v>
      </c>
      <c r="F189">
        <v>0</v>
      </c>
      <c r="G189" s="11">
        <v>1977.82</v>
      </c>
      <c r="H189" t="s">
        <v>12</v>
      </c>
      <c r="I189" t="s">
        <v>16</v>
      </c>
      <c r="J189" t="s">
        <v>42</v>
      </c>
    </row>
    <row r="190" spans="1:10" x14ac:dyDescent="0.3">
      <c r="A190" t="s">
        <v>215</v>
      </c>
      <c r="B190">
        <v>2002</v>
      </c>
      <c r="C190" t="s">
        <v>10</v>
      </c>
      <c r="D190">
        <v>16</v>
      </c>
      <c r="E190" s="13" t="s">
        <v>10936</v>
      </c>
      <c r="F190">
        <v>1</v>
      </c>
      <c r="G190" s="11">
        <v>1980.07</v>
      </c>
      <c r="H190" t="s">
        <v>12</v>
      </c>
      <c r="I190" t="s">
        <v>12</v>
      </c>
      <c r="J190" t="s">
        <v>42</v>
      </c>
    </row>
    <row r="191" spans="1:10" x14ac:dyDescent="0.3">
      <c r="A191" t="s">
        <v>216</v>
      </c>
      <c r="B191">
        <v>1998</v>
      </c>
      <c r="C191" t="s">
        <v>30</v>
      </c>
      <c r="D191">
        <v>29</v>
      </c>
      <c r="E191" s="13" t="s">
        <v>10937</v>
      </c>
      <c r="F191">
        <v>0</v>
      </c>
      <c r="G191" s="11">
        <v>1981.58</v>
      </c>
      <c r="H191" t="s">
        <v>12</v>
      </c>
      <c r="I191" t="s">
        <v>16</v>
      </c>
      <c r="J191" t="s">
        <v>13</v>
      </c>
    </row>
    <row r="192" spans="1:10" x14ac:dyDescent="0.3">
      <c r="A192" t="s">
        <v>217</v>
      </c>
      <c r="B192">
        <v>2002</v>
      </c>
      <c r="C192" t="s">
        <v>20</v>
      </c>
      <c r="D192">
        <v>29</v>
      </c>
      <c r="E192" s="13" t="s">
        <v>10938</v>
      </c>
      <c r="F192">
        <v>0</v>
      </c>
      <c r="G192" s="11">
        <v>1984.45</v>
      </c>
      <c r="H192" t="s">
        <v>12</v>
      </c>
      <c r="I192" t="s">
        <v>12</v>
      </c>
      <c r="J192" t="s">
        <v>168</v>
      </c>
    </row>
    <row r="193" spans="1:10" x14ac:dyDescent="0.3">
      <c r="A193" t="s">
        <v>218</v>
      </c>
      <c r="B193">
        <v>1998</v>
      </c>
      <c r="C193" t="s">
        <v>20</v>
      </c>
      <c r="D193">
        <v>14</v>
      </c>
      <c r="E193" s="13" t="s">
        <v>10939</v>
      </c>
      <c r="F193">
        <v>0</v>
      </c>
      <c r="G193" s="11">
        <v>1986.93</v>
      </c>
      <c r="H193" t="s">
        <v>12</v>
      </c>
      <c r="I193" t="s">
        <v>11</v>
      </c>
      <c r="J193" t="s">
        <v>13</v>
      </c>
    </row>
    <row r="194" spans="1:10" x14ac:dyDescent="0.3">
      <c r="A194" t="s">
        <v>219</v>
      </c>
      <c r="B194">
        <v>2001</v>
      </c>
      <c r="C194" t="s">
        <v>35</v>
      </c>
      <c r="D194">
        <v>14</v>
      </c>
      <c r="E194" s="13" t="s">
        <v>10940</v>
      </c>
      <c r="F194">
        <v>0</v>
      </c>
      <c r="G194" s="11">
        <v>2007.95</v>
      </c>
      <c r="H194" t="s">
        <v>12</v>
      </c>
      <c r="I194" t="s">
        <v>11</v>
      </c>
      <c r="J194" t="s">
        <v>42</v>
      </c>
    </row>
    <row r="195" spans="1:10" x14ac:dyDescent="0.3">
      <c r="A195" t="s">
        <v>220</v>
      </c>
      <c r="B195">
        <v>2001</v>
      </c>
      <c r="C195" t="s">
        <v>10</v>
      </c>
      <c r="D195">
        <v>1</v>
      </c>
      <c r="E195" s="13" t="s">
        <v>10941</v>
      </c>
      <c r="F195">
        <v>0</v>
      </c>
      <c r="G195" s="11">
        <v>2020.18</v>
      </c>
      <c r="H195" t="s">
        <v>12</v>
      </c>
      <c r="I195" t="s">
        <v>16</v>
      </c>
      <c r="J195" t="s">
        <v>42</v>
      </c>
    </row>
    <row r="196" spans="1:10" x14ac:dyDescent="0.3">
      <c r="A196" t="s">
        <v>221</v>
      </c>
      <c r="B196">
        <v>2001</v>
      </c>
      <c r="C196" t="s">
        <v>20</v>
      </c>
      <c r="D196">
        <v>6</v>
      </c>
      <c r="E196" s="13" t="s">
        <v>10942</v>
      </c>
      <c r="F196">
        <v>0</v>
      </c>
      <c r="G196" s="11">
        <v>2020.55</v>
      </c>
      <c r="H196" t="s">
        <v>12</v>
      </c>
      <c r="I196" t="s">
        <v>11</v>
      </c>
      <c r="J196" t="s">
        <v>13</v>
      </c>
    </row>
    <row r="197" spans="1:10" x14ac:dyDescent="0.3">
      <c r="A197" t="s">
        <v>222</v>
      </c>
      <c r="B197">
        <v>2001</v>
      </c>
      <c r="C197" t="s">
        <v>35</v>
      </c>
      <c r="D197">
        <v>4</v>
      </c>
      <c r="E197" s="13" t="s">
        <v>10943</v>
      </c>
      <c r="F197">
        <v>0</v>
      </c>
      <c r="G197" s="11">
        <v>2026.97</v>
      </c>
      <c r="H197" t="s">
        <v>12</v>
      </c>
      <c r="I197" t="s">
        <v>11</v>
      </c>
      <c r="J197" t="s">
        <v>13</v>
      </c>
    </row>
    <row r="198" spans="1:10" x14ac:dyDescent="0.3">
      <c r="A198" t="s">
        <v>223</v>
      </c>
      <c r="B198">
        <v>2000</v>
      </c>
      <c r="C198" t="s">
        <v>20</v>
      </c>
      <c r="D198">
        <v>2</v>
      </c>
      <c r="E198" s="13" t="s">
        <v>10944</v>
      </c>
      <c r="F198">
        <v>0</v>
      </c>
      <c r="G198" s="11">
        <v>2045.69</v>
      </c>
      <c r="H198" t="s">
        <v>12</v>
      </c>
      <c r="I198" t="s">
        <v>12</v>
      </c>
      <c r="J198" t="s">
        <v>23</v>
      </c>
    </row>
    <row r="199" spans="1:10" x14ac:dyDescent="0.3">
      <c r="A199" t="s">
        <v>224</v>
      </c>
      <c r="B199">
        <v>2000</v>
      </c>
      <c r="C199" t="s">
        <v>10</v>
      </c>
      <c r="D199">
        <v>26</v>
      </c>
      <c r="E199" s="13" t="s">
        <v>10945</v>
      </c>
      <c r="F199">
        <v>0</v>
      </c>
      <c r="G199" s="11">
        <v>2055.3200000000002</v>
      </c>
      <c r="H199" t="s">
        <v>12</v>
      </c>
      <c r="I199" t="s">
        <v>12</v>
      </c>
      <c r="J199" t="s">
        <v>23</v>
      </c>
    </row>
    <row r="200" spans="1:10" x14ac:dyDescent="0.3">
      <c r="A200" t="s">
        <v>225</v>
      </c>
      <c r="B200">
        <v>2004</v>
      </c>
      <c r="C200" t="s">
        <v>18</v>
      </c>
      <c r="D200">
        <v>12</v>
      </c>
      <c r="E200" s="13" t="s">
        <v>10939</v>
      </c>
      <c r="F200">
        <v>0</v>
      </c>
      <c r="G200" s="11">
        <v>2094.1</v>
      </c>
      <c r="H200" t="s">
        <v>12</v>
      </c>
      <c r="I200" t="s">
        <v>11</v>
      </c>
      <c r="J200" t="s">
        <v>200</v>
      </c>
    </row>
    <row r="201" spans="1:10" x14ac:dyDescent="0.3">
      <c r="A201" t="s">
        <v>226</v>
      </c>
      <c r="B201">
        <v>2001</v>
      </c>
      <c r="C201" t="s">
        <v>35</v>
      </c>
      <c r="D201">
        <v>14</v>
      </c>
      <c r="E201" s="13" t="s">
        <v>10946</v>
      </c>
      <c r="F201">
        <v>0</v>
      </c>
      <c r="G201" s="11">
        <v>2102.2600000000002</v>
      </c>
      <c r="H201" t="s">
        <v>12</v>
      </c>
      <c r="I201" t="s">
        <v>11</v>
      </c>
      <c r="J201" t="s">
        <v>166</v>
      </c>
    </row>
    <row r="202" spans="1:10" x14ac:dyDescent="0.3">
      <c r="A202" t="s">
        <v>227</v>
      </c>
      <c r="B202">
        <v>2001</v>
      </c>
      <c r="C202" t="s">
        <v>18</v>
      </c>
      <c r="D202">
        <v>22</v>
      </c>
      <c r="E202" s="13" t="s">
        <v>10947</v>
      </c>
      <c r="F202">
        <v>1</v>
      </c>
      <c r="G202" s="11">
        <v>2103.08</v>
      </c>
      <c r="H202" t="s">
        <v>12</v>
      </c>
      <c r="I202" t="s">
        <v>11</v>
      </c>
      <c r="J202" t="s">
        <v>42</v>
      </c>
    </row>
    <row r="203" spans="1:10" x14ac:dyDescent="0.3">
      <c r="A203" t="s">
        <v>228</v>
      </c>
      <c r="B203">
        <v>2001</v>
      </c>
      <c r="C203" t="s">
        <v>15</v>
      </c>
      <c r="D203">
        <v>28</v>
      </c>
      <c r="E203" s="13" t="s">
        <v>10948</v>
      </c>
      <c r="F203">
        <v>0</v>
      </c>
      <c r="G203" s="11">
        <v>2104.11</v>
      </c>
      <c r="H203" t="s">
        <v>11</v>
      </c>
      <c r="I203" t="s">
        <v>16</v>
      </c>
      <c r="J203" t="s">
        <v>168</v>
      </c>
    </row>
    <row r="204" spans="1:10" x14ac:dyDescent="0.3">
      <c r="A204" t="s">
        <v>229</v>
      </c>
      <c r="B204">
        <v>1989</v>
      </c>
      <c r="C204" t="s">
        <v>10</v>
      </c>
      <c r="D204">
        <v>21</v>
      </c>
      <c r="E204" s="13" t="s">
        <v>10949</v>
      </c>
      <c r="F204">
        <v>3</v>
      </c>
      <c r="G204" s="11">
        <v>2106.2600000000002</v>
      </c>
      <c r="H204" t="s">
        <v>11</v>
      </c>
      <c r="I204" t="s">
        <v>11</v>
      </c>
      <c r="J204" t="s">
        <v>13</v>
      </c>
    </row>
    <row r="205" spans="1:10" x14ac:dyDescent="0.3">
      <c r="A205" t="s">
        <v>230</v>
      </c>
      <c r="B205">
        <v>2003</v>
      </c>
      <c r="C205" t="s">
        <v>20</v>
      </c>
      <c r="D205">
        <v>30</v>
      </c>
      <c r="E205" s="13" t="s">
        <v>10950</v>
      </c>
      <c r="F205">
        <v>0</v>
      </c>
      <c r="G205" s="11">
        <v>2117.34</v>
      </c>
      <c r="H205" t="s">
        <v>11</v>
      </c>
      <c r="I205" t="s">
        <v>12</v>
      </c>
      <c r="J205" t="s">
        <v>23</v>
      </c>
    </row>
    <row r="206" spans="1:10" x14ac:dyDescent="0.3">
      <c r="A206" t="s">
        <v>231</v>
      </c>
      <c r="B206">
        <v>2004</v>
      </c>
      <c r="C206" t="s">
        <v>15</v>
      </c>
      <c r="D206">
        <v>4</v>
      </c>
      <c r="E206" s="13" t="s">
        <v>10951</v>
      </c>
      <c r="F206">
        <v>0</v>
      </c>
      <c r="G206" s="11">
        <v>2118.61</v>
      </c>
      <c r="H206" t="s">
        <v>11</v>
      </c>
      <c r="I206" t="s">
        <v>16</v>
      </c>
      <c r="J206" t="s">
        <v>23</v>
      </c>
    </row>
    <row r="207" spans="1:10" x14ac:dyDescent="0.3">
      <c r="A207" t="s">
        <v>232</v>
      </c>
      <c r="B207">
        <v>2003</v>
      </c>
      <c r="C207" t="s">
        <v>35</v>
      </c>
      <c r="D207">
        <v>30</v>
      </c>
      <c r="E207" s="13" t="s">
        <v>10952</v>
      </c>
      <c r="F207">
        <v>0</v>
      </c>
      <c r="G207" s="11">
        <v>2128.4299999999998</v>
      </c>
      <c r="H207" t="s">
        <v>11</v>
      </c>
      <c r="I207" t="s">
        <v>16</v>
      </c>
      <c r="J207" t="s">
        <v>23</v>
      </c>
    </row>
    <row r="208" spans="1:10" x14ac:dyDescent="0.3">
      <c r="A208" t="s">
        <v>233</v>
      </c>
      <c r="B208">
        <v>2003</v>
      </c>
      <c r="C208" t="s">
        <v>30</v>
      </c>
      <c r="D208">
        <v>22</v>
      </c>
      <c r="E208" s="13" t="s">
        <v>10902</v>
      </c>
      <c r="F208">
        <v>0</v>
      </c>
      <c r="G208" s="11">
        <v>2130.6799999999998</v>
      </c>
      <c r="H208" t="s">
        <v>11</v>
      </c>
      <c r="I208" t="s">
        <v>12</v>
      </c>
      <c r="J208" t="s">
        <v>23</v>
      </c>
    </row>
    <row r="209" spans="1:10" x14ac:dyDescent="0.3">
      <c r="A209" t="s">
        <v>234</v>
      </c>
      <c r="B209">
        <v>2003</v>
      </c>
      <c r="C209" t="s">
        <v>20</v>
      </c>
      <c r="D209">
        <v>1</v>
      </c>
      <c r="E209" s="13" t="s">
        <v>10907</v>
      </c>
      <c r="F209">
        <v>0</v>
      </c>
      <c r="G209" s="11">
        <v>2134.9</v>
      </c>
      <c r="H209" t="s">
        <v>11</v>
      </c>
      <c r="I209" t="s">
        <v>12</v>
      </c>
      <c r="J209" t="s">
        <v>23</v>
      </c>
    </row>
    <row r="210" spans="1:10" x14ac:dyDescent="0.3">
      <c r="A210" t="s">
        <v>235</v>
      </c>
      <c r="B210">
        <v>2003</v>
      </c>
      <c r="C210" t="s">
        <v>20</v>
      </c>
      <c r="D210">
        <v>26</v>
      </c>
      <c r="E210" s="13" t="s">
        <v>10953</v>
      </c>
      <c r="F210">
        <v>0</v>
      </c>
      <c r="G210" s="11">
        <v>2136.88</v>
      </c>
      <c r="H210" t="s">
        <v>11</v>
      </c>
      <c r="I210" t="s">
        <v>11</v>
      </c>
      <c r="J210" t="s">
        <v>23</v>
      </c>
    </row>
    <row r="211" spans="1:10" x14ac:dyDescent="0.3">
      <c r="A211" t="s">
        <v>236</v>
      </c>
      <c r="B211">
        <v>1997</v>
      </c>
      <c r="C211" t="s">
        <v>20</v>
      </c>
      <c r="D211">
        <v>3</v>
      </c>
      <c r="E211" s="13" t="s">
        <v>10954</v>
      </c>
      <c r="F211">
        <v>0</v>
      </c>
      <c r="G211" s="11">
        <v>2137.65</v>
      </c>
      <c r="H211" t="s">
        <v>12</v>
      </c>
      <c r="I211" t="s">
        <v>16</v>
      </c>
      <c r="J211" t="s">
        <v>13</v>
      </c>
    </row>
    <row r="212" spans="1:10" x14ac:dyDescent="0.3">
      <c r="A212" t="s">
        <v>237</v>
      </c>
      <c r="B212">
        <v>2003</v>
      </c>
      <c r="C212" t="s">
        <v>35</v>
      </c>
      <c r="D212">
        <v>19</v>
      </c>
      <c r="E212" s="13" t="s">
        <v>10878</v>
      </c>
      <c r="F212">
        <v>0</v>
      </c>
      <c r="G212" s="11">
        <v>2138.0700000000002</v>
      </c>
      <c r="H212" t="s">
        <v>11</v>
      </c>
      <c r="I212" t="s">
        <v>16</v>
      </c>
      <c r="J212" t="s">
        <v>23</v>
      </c>
    </row>
    <row r="213" spans="1:10" x14ac:dyDescent="0.3">
      <c r="A213" t="s">
        <v>238</v>
      </c>
      <c r="B213">
        <v>2004</v>
      </c>
      <c r="C213" t="s">
        <v>37</v>
      </c>
      <c r="D213">
        <v>4</v>
      </c>
      <c r="E213" s="13" t="s">
        <v>10955</v>
      </c>
      <c r="F213">
        <v>0</v>
      </c>
      <c r="G213" s="11">
        <v>2144.85</v>
      </c>
      <c r="H213" t="s">
        <v>11</v>
      </c>
      <c r="I213" t="s">
        <v>16</v>
      </c>
      <c r="J213" t="s">
        <v>42</v>
      </c>
    </row>
    <row r="214" spans="1:10" x14ac:dyDescent="0.3">
      <c r="A214" t="s">
        <v>239</v>
      </c>
      <c r="B214">
        <v>2000</v>
      </c>
      <c r="C214" t="s">
        <v>30</v>
      </c>
      <c r="D214">
        <v>27</v>
      </c>
      <c r="E214" s="13" t="s">
        <v>10956</v>
      </c>
      <c r="F214">
        <v>0</v>
      </c>
      <c r="G214" s="11">
        <v>2150.4699999999998</v>
      </c>
      <c r="H214" t="s">
        <v>11</v>
      </c>
      <c r="I214" t="s">
        <v>12</v>
      </c>
      <c r="J214" t="s">
        <v>42</v>
      </c>
    </row>
    <row r="215" spans="1:10" x14ac:dyDescent="0.3">
      <c r="A215" t="s">
        <v>240</v>
      </c>
      <c r="B215">
        <v>2000</v>
      </c>
      <c r="C215" t="s">
        <v>37</v>
      </c>
      <c r="D215">
        <v>22</v>
      </c>
      <c r="E215" s="13" t="s">
        <v>10957</v>
      </c>
      <c r="F215">
        <v>0</v>
      </c>
      <c r="G215" s="11">
        <v>2154.36</v>
      </c>
      <c r="H215" t="s">
        <v>11</v>
      </c>
      <c r="I215" t="s">
        <v>11</v>
      </c>
      <c r="J215" t="s">
        <v>42</v>
      </c>
    </row>
    <row r="216" spans="1:10" x14ac:dyDescent="0.3">
      <c r="A216" t="s">
        <v>241</v>
      </c>
      <c r="B216">
        <v>2000</v>
      </c>
      <c r="C216" t="s">
        <v>15</v>
      </c>
      <c r="D216">
        <v>29</v>
      </c>
      <c r="E216" s="13" t="s">
        <v>10958</v>
      </c>
      <c r="F216">
        <v>0</v>
      </c>
      <c r="G216" s="11">
        <v>2155.6799999999998</v>
      </c>
      <c r="H216" t="s">
        <v>11</v>
      </c>
      <c r="I216" t="s">
        <v>12</v>
      </c>
      <c r="J216" t="s">
        <v>13</v>
      </c>
    </row>
    <row r="217" spans="1:10" x14ac:dyDescent="0.3">
      <c r="A217" t="s">
        <v>242</v>
      </c>
      <c r="B217">
        <v>2000</v>
      </c>
      <c r="C217" t="s">
        <v>30</v>
      </c>
      <c r="D217">
        <v>10</v>
      </c>
      <c r="E217" s="13" t="s">
        <v>10959</v>
      </c>
      <c r="F217">
        <v>0</v>
      </c>
      <c r="G217" s="11">
        <v>2156.75</v>
      </c>
      <c r="H217" t="s">
        <v>11</v>
      </c>
      <c r="I217" t="s">
        <v>11</v>
      </c>
      <c r="J217" t="s">
        <v>13</v>
      </c>
    </row>
    <row r="218" spans="1:10" x14ac:dyDescent="0.3">
      <c r="A218" t="s">
        <v>243</v>
      </c>
      <c r="B218">
        <v>2000</v>
      </c>
      <c r="C218" t="s">
        <v>35</v>
      </c>
      <c r="D218">
        <v>23</v>
      </c>
      <c r="E218" s="13" t="s">
        <v>10960</v>
      </c>
      <c r="F218">
        <v>0</v>
      </c>
      <c r="G218" s="11">
        <v>2166.73</v>
      </c>
      <c r="H218" t="s">
        <v>11</v>
      </c>
      <c r="I218" t="s">
        <v>11</v>
      </c>
      <c r="J218" t="s">
        <v>42</v>
      </c>
    </row>
    <row r="219" spans="1:10" x14ac:dyDescent="0.3">
      <c r="A219" t="s">
        <v>244</v>
      </c>
      <c r="B219">
        <v>1994</v>
      </c>
      <c r="C219" t="s">
        <v>20</v>
      </c>
      <c r="D219">
        <v>27</v>
      </c>
      <c r="E219" s="13" t="s">
        <v>10961</v>
      </c>
      <c r="F219">
        <v>0</v>
      </c>
      <c r="G219" s="11">
        <v>2170.08</v>
      </c>
      <c r="H219" t="s">
        <v>11</v>
      </c>
      <c r="I219" t="s">
        <v>11</v>
      </c>
      <c r="J219" t="s">
        <v>13</v>
      </c>
    </row>
    <row r="220" spans="1:10" x14ac:dyDescent="0.3">
      <c r="A220" t="s">
        <v>245</v>
      </c>
      <c r="B220">
        <v>1991</v>
      </c>
      <c r="C220" t="s">
        <v>30</v>
      </c>
      <c r="D220">
        <v>16</v>
      </c>
      <c r="E220" s="13" t="s">
        <v>10962</v>
      </c>
      <c r="F220">
        <v>3</v>
      </c>
      <c r="G220" s="11">
        <v>2193.1999999999998</v>
      </c>
      <c r="H220" t="s">
        <v>11</v>
      </c>
      <c r="I220" t="s">
        <v>11</v>
      </c>
      <c r="J220" t="s">
        <v>23</v>
      </c>
    </row>
    <row r="221" spans="1:10" x14ac:dyDescent="0.3">
      <c r="A221" t="s">
        <v>246</v>
      </c>
      <c r="B221">
        <v>2004</v>
      </c>
      <c r="C221" t="s">
        <v>30</v>
      </c>
      <c r="D221">
        <v>7</v>
      </c>
      <c r="E221" s="13" t="s">
        <v>10963</v>
      </c>
      <c r="F221">
        <v>0</v>
      </c>
      <c r="G221" s="11">
        <v>2196.4699999999998</v>
      </c>
      <c r="H221" t="s">
        <v>11</v>
      </c>
      <c r="I221" t="s">
        <v>12</v>
      </c>
      <c r="J221" t="s">
        <v>247</v>
      </c>
    </row>
    <row r="222" spans="1:10" x14ac:dyDescent="0.3">
      <c r="A222" t="s">
        <v>248</v>
      </c>
      <c r="B222">
        <v>2004</v>
      </c>
      <c r="C222" t="s">
        <v>20</v>
      </c>
      <c r="D222">
        <v>3</v>
      </c>
      <c r="E222" s="13" t="s">
        <v>10803</v>
      </c>
      <c r="F222">
        <v>0</v>
      </c>
      <c r="G222" s="11">
        <v>2198.19</v>
      </c>
      <c r="H222" t="s">
        <v>11</v>
      </c>
      <c r="I222" t="s">
        <v>16</v>
      </c>
      <c r="J222" t="s">
        <v>249</v>
      </c>
    </row>
    <row r="223" spans="1:10" x14ac:dyDescent="0.3">
      <c r="A223" t="s">
        <v>250</v>
      </c>
      <c r="B223">
        <v>2004</v>
      </c>
      <c r="C223" t="s">
        <v>20</v>
      </c>
      <c r="D223">
        <v>12</v>
      </c>
      <c r="E223" s="13" t="s">
        <v>10964</v>
      </c>
      <c r="F223">
        <v>0</v>
      </c>
      <c r="G223" s="11">
        <v>2200.83</v>
      </c>
      <c r="H223" t="s">
        <v>11</v>
      </c>
      <c r="I223" t="s">
        <v>11</v>
      </c>
      <c r="J223" t="s">
        <v>247</v>
      </c>
    </row>
    <row r="224" spans="1:10" x14ac:dyDescent="0.3">
      <c r="A224" t="s">
        <v>251</v>
      </c>
      <c r="B224">
        <v>2004</v>
      </c>
      <c r="C224" t="s">
        <v>10</v>
      </c>
      <c r="D224">
        <v>27</v>
      </c>
      <c r="E224" s="13" t="s">
        <v>10965</v>
      </c>
      <c r="F224">
        <v>1</v>
      </c>
      <c r="G224" s="11">
        <v>2201.1</v>
      </c>
      <c r="H224" t="s">
        <v>11</v>
      </c>
      <c r="I224" t="s">
        <v>12</v>
      </c>
      <c r="J224" t="s">
        <v>13</v>
      </c>
    </row>
    <row r="225" spans="1:10" x14ac:dyDescent="0.3">
      <c r="A225" t="s">
        <v>252</v>
      </c>
      <c r="B225">
        <v>2004</v>
      </c>
      <c r="C225" t="s">
        <v>35</v>
      </c>
      <c r="D225">
        <v>6</v>
      </c>
      <c r="E225" s="13" t="s">
        <v>10966</v>
      </c>
      <c r="F225">
        <v>0</v>
      </c>
      <c r="G225" s="11">
        <v>2203.4699999999998</v>
      </c>
      <c r="H225" t="s">
        <v>11</v>
      </c>
      <c r="I225" t="s">
        <v>11</v>
      </c>
      <c r="J225" t="s">
        <v>247</v>
      </c>
    </row>
    <row r="226" spans="1:10" x14ac:dyDescent="0.3">
      <c r="A226" t="s">
        <v>253</v>
      </c>
      <c r="B226">
        <v>2004</v>
      </c>
      <c r="C226" t="s">
        <v>37</v>
      </c>
      <c r="D226">
        <v>28</v>
      </c>
      <c r="E226" s="13" t="s">
        <v>10967</v>
      </c>
      <c r="F226">
        <v>0</v>
      </c>
      <c r="G226" s="11">
        <v>2203.7399999999998</v>
      </c>
      <c r="H226" t="s">
        <v>11</v>
      </c>
      <c r="I226" t="s">
        <v>11</v>
      </c>
      <c r="J226" t="s">
        <v>247</v>
      </c>
    </row>
    <row r="227" spans="1:10" x14ac:dyDescent="0.3">
      <c r="A227" t="s">
        <v>254</v>
      </c>
      <c r="B227">
        <v>2004</v>
      </c>
      <c r="C227" t="s">
        <v>15</v>
      </c>
      <c r="D227">
        <v>13</v>
      </c>
      <c r="E227" s="13" t="s">
        <v>10965</v>
      </c>
      <c r="F227">
        <v>0</v>
      </c>
      <c r="G227" s="11">
        <v>2205.98</v>
      </c>
      <c r="H227" t="s">
        <v>11</v>
      </c>
      <c r="I227" t="s">
        <v>12</v>
      </c>
      <c r="J227" t="s">
        <v>247</v>
      </c>
    </row>
    <row r="228" spans="1:10" x14ac:dyDescent="0.3">
      <c r="A228" t="s">
        <v>255</v>
      </c>
      <c r="B228">
        <v>2004</v>
      </c>
      <c r="C228" t="s">
        <v>35</v>
      </c>
      <c r="D228">
        <v>6</v>
      </c>
      <c r="E228" s="13" t="s">
        <v>10964</v>
      </c>
      <c r="F228">
        <v>0</v>
      </c>
      <c r="G228" s="11">
        <v>2207.6999999999998</v>
      </c>
      <c r="H228" t="s">
        <v>11</v>
      </c>
      <c r="I228" t="s">
        <v>11</v>
      </c>
      <c r="J228" t="s">
        <v>247</v>
      </c>
    </row>
    <row r="229" spans="1:10" x14ac:dyDescent="0.3">
      <c r="A229" t="s">
        <v>256</v>
      </c>
      <c r="B229">
        <v>2004</v>
      </c>
      <c r="C229" t="s">
        <v>10</v>
      </c>
      <c r="D229">
        <v>27</v>
      </c>
      <c r="E229" s="13" t="s">
        <v>10784</v>
      </c>
      <c r="F229">
        <v>0</v>
      </c>
      <c r="G229" s="11">
        <v>2211.13</v>
      </c>
      <c r="H229" t="s">
        <v>11</v>
      </c>
      <c r="I229" t="s">
        <v>11</v>
      </c>
      <c r="J229" t="s">
        <v>247</v>
      </c>
    </row>
    <row r="230" spans="1:10" x14ac:dyDescent="0.3">
      <c r="A230" t="s">
        <v>257</v>
      </c>
      <c r="B230">
        <v>1994</v>
      </c>
      <c r="C230" t="s">
        <v>15</v>
      </c>
      <c r="D230">
        <v>17</v>
      </c>
      <c r="E230" s="13" t="s">
        <v>10884</v>
      </c>
      <c r="F230">
        <v>0</v>
      </c>
      <c r="G230" s="11">
        <v>2213.21</v>
      </c>
      <c r="H230" t="s">
        <v>11</v>
      </c>
      <c r="I230" t="s">
        <v>11</v>
      </c>
      <c r="J230" t="s">
        <v>13</v>
      </c>
    </row>
    <row r="231" spans="1:10" x14ac:dyDescent="0.3">
      <c r="A231" t="s">
        <v>258</v>
      </c>
      <c r="B231">
        <v>2004</v>
      </c>
      <c r="C231" t="s">
        <v>18</v>
      </c>
      <c r="D231">
        <v>13</v>
      </c>
      <c r="E231" s="13" t="s">
        <v>10968</v>
      </c>
      <c r="F231">
        <v>0</v>
      </c>
      <c r="G231" s="11">
        <v>2217.4699999999998</v>
      </c>
      <c r="H231" t="s">
        <v>11</v>
      </c>
      <c r="I231" t="s">
        <v>16</v>
      </c>
      <c r="J231" t="s">
        <v>247</v>
      </c>
    </row>
    <row r="232" spans="1:10" x14ac:dyDescent="0.3">
      <c r="A232" t="s">
        <v>259</v>
      </c>
      <c r="B232">
        <v>2004</v>
      </c>
      <c r="C232" t="s">
        <v>20</v>
      </c>
      <c r="D232">
        <v>25</v>
      </c>
      <c r="E232" s="13" t="s">
        <v>10896</v>
      </c>
      <c r="F232">
        <v>0</v>
      </c>
      <c r="G232" s="11">
        <v>2217.6</v>
      </c>
      <c r="H232" t="s">
        <v>11</v>
      </c>
      <c r="I232" t="s">
        <v>16</v>
      </c>
      <c r="J232" t="s">
        <v>247</v>
      </c>
    </row>
    <row r="233" spans="1:10" x14ac:dyDescent="0.3">
      <c r="A233" t="s">
        <v>260</v>
      </c>
      <c r="B233">
        <v>2004</v>
      </c>
      <c r="C233" t="s">
        <v>30</v>
      </c>
      <c r="D233">
        <v>12</v>
      </c>
      <c r="E233" s="13" t="s">
        <v>10828</v>
      </c>
      <c r="F233">
        <v>1</v>
      </c>
      <c r="G233" s="11">
        <v>2219.4499999999998</v>
      </c>
      <c r="H233" t="s">
        <v>11</v>
      </c>
      <c r="I233" t="s">
        <v>16</v>
      </c>
      <c r="J233" t="s">
        <v>13</v>
      </c>
    </row>
    <row r="234" spans="1:10" x14ac:dyDescent="0.3">
      <c r="A234" t="s">
        <v>261</v>
      </c>
      <c r="B234">
        <v>2003</v>
      </c>
      <c r="C234" t="s">
        <v>30</v>
      </c>
      <c r="D234">
        <v>10</v>
      </c>
      <c r="E234" s="13" t="s">
        <v>10969</v>
      </c>
      <c r="F234">
        <v>1</v>
      </c>
      <c r="G234" s="11">
        <v>2221.56</v>
      </c>
      <c r="H234" t="s">
        <v>11</v>
      </c>
      <c r="I234" t="s">
        <v>12</v>
      </c>
      <c r="J234" t="s">
        <v>23</v>
      </c>
    </row>
    <row r="235" spans="1:10" x14ac:dyDescent="0.3">
      <c r="A235" t="s">
        <v>262</v>
      </c>
      <c r="B235">
        <v>2000</v>
      </c>
      <c r="C235" t="s">
        <v>18</v>
      </c>
      <c r="D235">
        <v>30</v>
      </c>
      <c r="E235" s="13" t="s">
        <v>10970</v>
      </c>
      <c r="F235">
        <v>0</v>
      </c>
      <c r="G235" s="11">
        <v>2250.84</v>
      </c>
      <c r="H235" t="s">
        <v>11</v>
      </c>
      <c r="I235" t="s">
        <v>11</v>
      </c>
      <c r="J235" t="s">
        <v>170</v>
      </c>
    </row>
    <row r="236" spans="1:10" x14ac:dyDescent="0.3">
      <c r="A236" t="s">
        <v>263</v>
      </c>
      <c r="B236">
        <v>2000</v>
      </c>
      <c r="C236" t="s">
        <v>30</v>
      </c>
      <c r="D236">
        <v>11</v>
      </c>
      <c r="E236" s="13" t="s">
        <v>10971</v>
      </c>
      <c r="F236">
        <v>0</v>
      </c>
      <c r="G236" s="11">
        <v>2254.8000000000002</v>
      </c>
      <c r="H236" t="s">
        <v>11</v>
      </c>
      <c r="I236" t="s">
        <v>12</v>
      </c>
      <c r="J236" t="s">
        <v>168</v>
      </c>
    </row>
    <row r="237" spans="1:10" x14ac:dyDescent="0.3">
      <c r="A237" t="s">
        <v>264</v>
      </c>
      <c r="B237">
        <v>2002</v>
      </c>
      <c r="C237" t="s">
        <v>10</v>
      </c>
      <c r="D237">
        <v>15</v>
      </c>
      <c r="E237" s="13" t="s">
        <v>10972</v>
      </c>
      <c r="F237">
        <v>0</v>
      </c>
      <c r="G237" s="11">
        <v>2257.48</v>
      </c>
      <c r="H237" t="s">
        <v>11</v>
      </c>
      <c r="I237" t="s">
        <v>16</v>
      </c>
      <c r="J237" t="s">
        <v>23</v>
      </c>
    </row>
    <row r="238" spans="1:10" x14ac:dyDescent="0.3">
      <c r="A238" t="s">
        <v>265</v>
      </c>
      <c r="B238">
        <v>2002</v>
      </c>
      <c r="C238" t="s">
        <v>15</v>
      </c>
      <c r="D238">
        <v>12</v>
      </c>
      <c r="E238" s="13" t="s">
        <v>10973</v>
      </c>
      <c r="F238">
        <v>0</v>
      </c>
      <c r="G238" s="11">
        <v>2261.5700000000002</v>
      </c>
      <c r="H238" t="s">
        <v>11</v>
      </c>
      <c r="I238" t="s">
        <v>16</v>
      </c>
      <c r="J238" t="s">
        <v>23</v>
      </c>
    </row>
    <row r="239" spans="1:10" x14ac:dyDescent="0.3">
      <c r="A239" t="s">
        <v>266</v>
      </c>
      <c r="B239">
        <v>1991</v>
      </c>
      <c r="C239" t="s">
        <v>18</v>
      </c>
      <c r="D239">
        <v>16</v>
      </c>
      <c r="E239" s="13" t="s">
        <v>10974</v>
      </c>
      <c r="F239">
        <v>3</v>
      </c>
      <c r="G239" s="11">
        <v>2277.7199999999998</v>
      </c>
      <c r="H239" t="s">
        <v>11</v>
      </c>
      <c r="I239" t="s">
        <v>16</v>
      </c>
      <c r="J239" t="s">
        <v>13</v>
      </c>
    </row>
    <row r="240" spans="1:10" x14ac:dyDescent="0.3">
      <c r="A240" t="s">
        <v>267</v>
      </c>
      <c r="B240">
        <v>1989</v>
      </c>
      <c r="C240" t="s">
        <v>37</v>
      </c>
      <c r="D240">
        <v>5</v>
      </c>
      <c r="E240" s="13" t="s">
        <v>10975</v>
      </c>
      <c r="F240">
        <v>3</v>
      </c>
      <c r="G240" s="11">
        <v>2295.2399999999998</v>
      </c>
      <c r="H240" t="s">
        <v>11</v>
      </c>
      <c r="I240" t="s">
        <v>16</v>
      </c>
      <c r="J240" t="s">
        <v>13</v>
      </c>
    </row>
    <row r="241" spans="1:10" x14ac:dyDescent="0.3">
      <c r="A241" t="s">
        <v>268</v>
      </c>
      <c r="B241">
        <v>1996</v>
      </c>
      <c r="C241" t="s">
        <v>15</v>
      </c>
      <c r="D241">
        <v>28</v>
      </c>
      <c r="E241" s="13" t="s">
        <v>10976</v>
      </c>
      <c r="F241">
        <v>0</v>
      </c>
      <c r="G241" s="11">
        <v>2302.3000000000002</v>
      </c>
      <c r="H241" t="s">
        <v>16</v>
      </c>
      <c r="I241" t="s">
        <v>11</v>
      </c>
      <c r="J241" t="s">
        <v>42</v>
      </c>
    </row>
    <row r="242" spans="1:10" x14ac:dyDescent="0.3">
      <c r="A242" t="s">
        <v>269</v>
      </c>
      <c r="B242">
        <v>2004</v>
      </c>
      <c r="C242" t="s">
        <v>20</v>
      </c>
      <c r="D242">
        <v>6</v>
      </c>
      <c r="E242" s="13" t="s">
        <v>10977</v>
      </c>
      <c r="F242">
        <v>2</v>
      </c>
      <c r="G242" s="11">
        <v>2304</v>
      </c>
      <c r="H242" t="s">
        <v>11</v>
      </c>
      <c r="I242" t="s">
        <v>12</v>
      </c>
      <c r="J242" t="s">
        <v>13</v>
      </c>
    </row>
    <row r="243" spans="1:10" x14ac:dyDescent="0.3">
      <c r="A243" t="s">
        <v>270</v>
      </c>
      <c r="B243">
        <v>1996</v>
      </c>
      <c r="C243" t="s">
        <v>30</v>
      </c>
      <c r="D243">
        <v>17</v>
      </c>
      <c r="E243" s="13" t="s">
        <v>10978</v>
      </c>
      <c r="F243">
        <v>0</v>
      </c>
      <c r="G243" s="11">
        <v>2322.62</v>
      </c>
      <c r="H243" t="s">
        <v>11</v>
      </c>
      <c r="I243" t="s">
        <v>16</v>
      </c>
      <c r="J243" t="s">
        <v>13</v>
      </c>
    </row>
    <row r="244" spans="1:10" x14ac:dyDescent="0.3">
      <c r="A244" t="s">
        <v>271</v>
      </c>
      <c r="B244">
        <v>2003</v>
      </c>
      <c r="C244" t="s">
        <v>15</v>
      </c>
      <c r="D244">
        <v>18</v>
      </c>
      <c r="E244" s="13" t="s">
        <v>10979</v>
      </c>
      <c r="F244">
        <v>1</v>
      </c>
      <c r="G244" s="11">
        <v>2331.52</v>
      </c>
      <c r="H244" t="s">
        <v>11</v>
      </c>
      <c r="I244" t="s">
        <v>12</v>
      </c>
      <c r="J244" t="s">
        <v>42</v>
      </c>
    </row>
    <row r="245" spans="1:10" x14ac:dyDescent="0.3">
      <c r="A245" t="s">
        <v>272</v>
      </c>
      <c r="B245">
        <v>1998</v>
      </c>
      <c r="C245" t="s">
        <v>37</v>
      </c>
      <c r="D245">
        <v>21</v>
      </c>
      <c r="E245" s="13" t="s">
        <v>10980</v>
      </c>
      <c r="F245">
        <v>0</v>
      </c>
      <c r="G245" s="11">
        <v>2352.9699999999998</v>
      </c>
      <c r="H245" t="s">
        <v>12</v>
      </c>
      <c r="I245" t="s">
        <v>12</v>
      </c>
      <c r="J245" t="s">
        <v>23</v>
      </c>
    </row>
    <row r="246" spans="1:10" x14ac:dyDescent="0.3">
      <c r="A246" t="s">
        <v>273</v>
      </c>
      <c r="B246">
        <v>2002</v>
      </c>
      <c r="C246" t="s">
        <v>15</v>
      </c>
      <c r="D246">
        <v>5</v>
      </c>
      <c r="E246" s="13" t="s">
        <v>10981</v>
      </c>
      <c r="F246">
        <v>1</v>
      </c>
      <c r="G246" s="11">
        <v>2362.23</v>
      </c>
      <c r="H246" t="s">
        <v>11</v>
      </c>
      <c r="I246" t="s">
        <v>16</v>
      </c>
      <c r="J246" t="s">
        <v>23</v>
      </c>
    </row>
    <row r="247" spans="1:10" x14ac:dyDescent="0.3">
      <c r="A247" t="s">
        <v>274</v>
      </c>
      <c r="B247">
        <v>1988</v>
      </c>
      <c r="C247" t="s">
        <v>30</v>
      </c>
      <c r="D247">
        <v>12</v>
      </c>
      <c r="E247" s="13" t="s">
        <v>10982</v>
      </c>
      <c r="F247">
        <v>3</v>
      </c>
      <c r="G247" s="11">
        <v>2373.3000000000002</v>
      </c>
      <c r="H247" t="s">
        <v>11</v>
      </c>
      <c r="I247" t="s">
        <v>11</v>
      </c>
      <c r="J247" t="s">
        <v>13</v>
      </c>
    </row>
    <row r="248" spans="1:10" x14ac:dyDescent="0.3">
      <c r="A248" t="s">
        <v>275</v>
      </c>
      <c r="B248">
        <v>1999</v>
      </c>
      <c r="C248" t="s">
        <v>30</v>
      </c>
      <c r="D248">
        <v>17</v>
      </c>
      <c r="E248" s="13" t="s">
        <v>10983</v>
      </c>
      <c r="F248">
        <v>0</v>
      </c>
      <c r="G248" s="11">
        <v>2395.17</v>
      </c>
      <c r="H248" t="s">
        <v>11</v>
      </c>
      <c r="I248" t="s">
        <v>16</v>
      </c>
      <c r="J248" t="s">
        <v>276</v>
      </c>
    </row>
    <row r="249" spans="1:10" x14ac:dyDescent="0.3">
      <c r="A249" t="s">
        <v>277</v>
      </c>
      <c r="B249">
        <v>1999</v>
      </c>
      <c r="C249" t="s">
        <v>35</v>
      </c>
      <c r="D249">
        <v>10</v>
      </c>
      <c r="E249" s="13" t="s">
        <v>10984</v>
      </c>
      <c r="F249">
        <v>0</v>
      </c>
      <c r="G249" s="11">
        <v>2396.1</v>
      </c>
      <c r="H249" t="s">
        <v>11</v>
      </c>
      <c r="I249" t="s">
        <v>16</v>
      </c>
      <c r="J249" t="s">
        <v>166</v>
      </c>
    </row>
    <row r="250" spans="1:10" x14ac:dyDescent="0.3">
      <c r="A250" t="s">
        <v>278</v>
      </c>
      <c r="B250">
        <v>2001</v>
      </c>
      <c r="C250" t="s">
        <v>18</v>
      </c>
      <c r="D250">
        <v>3</v>
      </c>
      <c r="E250" s="13" t="s">
        <v>10985</v>
      </c>
      <c r="F250">
        <v>0</v>
      </c>
      <c r="G250" s="11">
        <v>2404.73</v>
      </c>
      <c r="H250" t="s">
        <v>11</v>
      </c>
      <c r="I250" t="s">
        <v>12</v>
      </c>
      <c r="J250" t="s">
        <v>23</v>
      </c>
    </row>
    <row r="251" spans="1:10" x14ac:dyDescent="0.3">
      <c r="A251" t="s">
        <v>279</v>
      </c>
      <c r="B251">
        <v>1999</v>
      </c>
      <c r="C251" t="s">
        <v>15</v>
      </c>
      <c r="D251">
        <v>12</v>
      </c>
      <c r="E251" s="13" t="s">
        <v>10986</v>
      </c>
      <c r="F251">
        <v>1</v>
      </c>
      <c r="G251" s="11">
        <v>2416.96</v>
      </c>
      <c r="H251" t="s">
        <v>11</v>
      </c>
      <c r="I251" t="s">
        <v>11</v>
      </c>
      <c r="J251" t="s">
        <v>42</v>
      </c>
    </row>
    <row r="252" spans="1:10" x14ac:dyDescent="0.3">
      <c r="A252" t="s">
        <v>280</v>
      </c>
      <c r="B252">
        <v>1999</v>
      </c>
      <c r="C252" t="s">
        <v>15</v>
      </c>
      <c r="D252">
        <v>21</v>
      </c>
      <c r="E252" s="13" t="s">
        <v>10931</v>
      </c>
      <c r="F252">
        <v>1</v>
      </c>
      <c r="G252" s="11">
        <v>2438.06</v>
      </c>
      <c r="H252" t="s">
        <v>11</v>
      </c>
      <c r="I252" t="s">
        <v>11</v>
      </c>
      <c r="J252" t="s">
        <v>13</v>
      </c>
    </row>
    <row r="253" spans="1:10" x14ac:dyDescent="0.3">
      <c r="A253" t="s">
        <v>281</v>
      </c>
      <c r="B253">
        <v>2002</v>
      </c>
      <c r="C253" t="s">
        <v>10</v>
      </c>
      <c r="D253">
        <v>29</v>
      </c>
      <c r="E253" s="13" t="s">
        <v>10987</v>
      </c>
      <c r="F253">
        <v>0</v>
      </c>
      <c r="G253" s="11">
        <v>2457.21</v>
      </c>
      <c r="H253" t="s">
        <v>11</v>
      </c>
      <c r="I253" t="s">
        <v>16</v>
      </c>
      <c r="J253" t="s">
        <v>247</v>
      </c>
    </row>
    <row r="254" spans="1:10" x14ac:dyDescent="0.3">
      <c r="A254" t="s">
        <v>282</v>
      </c>
      <c r="B254">
        <v>1998</v>
      </c>
      <c r="C254" t="s">
        <v>15</v>
      </c>
      <c r="D254">
        <v>19</v>
      </c>
      <c r="E254" s="13" t="s">
        <v>10988</v>
      </c>
      <c r="F254">
        <v>0</v>
      </c>
      <c r="G254" s="11">
        <v>2457.5</v>
      </c>
      <c r="H254" t="s">
        <v>11</v>
      </c>
      <c r="I254" t="s">
        <v>16</v>
      </c>
      <c r="J254" t="s">
        <v>42</v>
      </c>
    </row>
    <row r="255" spans="1:10" x14ac:dyDescent="0.3">
      <c r="A255" t="s">
        <v>283</v>
      </c>
      <c r="B255">
        <v>2002</v>
      </c>
      <c r="C255" t="s">
        <v>10</v>
      </c>
      <c r="D255">
        <v>11</v>
      </c>
      <c r="E255" s="13" t="s">
        <v>10989</v>
      </c>
      <c r="F255">
        <v>0</v>
      </c>
      <c r="G255" s="11">
        <v>2459.7199999999998</v>
      </c>
      <c r="H255" t="s">
        <v>11</v>
      </c>
      <c r="I255" t="s">
        <v>11</v>
      </c>
      <c r="J255" t="s">
        <v>247</v>
      </c>
    </row>
    <row r="256" spans="1:10" x14ac:dyDescent="0.3">
      <c r="A256" t="s">
        <v>284</v>
      </c>
      <c r="B256">
        <v>1998</v>
      </c>
      <c r="C256" t="s">
        <v>35</v>
      </c>
      <c r="D256">
        <v>17</v>
      </c>
      <c r="E256" s="13" t="s">
        <v>10990</v>
      </c>
      <c r="F256">
        <v>0</v>
      </c>
      <c r="G256" s="11">
        <v>2464.62</v>
      </c>
      <c r="H256" t="s">
        <v>11</v>
      </c>
      <c r="I256" t="s">
        <v>12</v>
      </c>
      <c r="J256" t="s">
        <v>13</v>
      </c>
    </row>
    <row r="257" spans="1:10" x14ac:dyDescent="0.3">
      <c r="A257" t="s">
        <v>285</v>
      </c>
      <c r="B257">
        <v>1998</v>
      </c>
      <c r="C257" t="s">
        <v>10</v>
      </c>
      <c r="D257">
        <v>2</v>
      </c>
      <c r="E257" s="13" t="s">
        <v>10991</v>
      </c>
      <c r="F257">
        <v>0</v>
      </c>
      <c r="G257" s="11">
        <v>2473.33</v>
      </c>
      <c r="H257" t="s">
        <v>11</v>
      </c>
      <c r="I257" t="s">
        <v>12</v>
      </c>
      <c r="J257" t="s">
        <v>13</v>
      </c>
    </row>
    <row r="258" spans="1:10" x14ac:dyDescent="0.3">
      <c r="A258" t="s">
        <v>286</v>
      </c>
      <c r="B258">
        <v>1998</v>
      </c>
      <c r="C258" t="s">
        <v>18</v>
      </c>
      <c r="D258">
        <v>20</v>
      </c>
      <c r="E258" s="13" t="s">
        <v>10992</v>
      </c>
      <c r="F258">
        <v>0</v>
      </c>
      <c r="G258" s="11">
        <v>2480.98</v>
      </c>
      <c r="H258" t="s">
        <v>11</v>
      </c>
      <c r="I258" t="s">
        <v>11</v>
      </c>
      <c r="J258" t="s">
        <v>13</v>
      </c>
    </row>
    <row r="259" spans="1:10" x14ac:dyDescent="0.3">
      <c r="A259" t="s">
        <v>287</v>
      </c>
      <c r="B259">
        <v>1995</v>
      </c>
      <c r="C259" t="s">
        <v>15</v>
      </c>
      <c r="D259">
        <v>6</v>
      </c>
      <c r="E259" s="13" t="s">
        <v>10993</v>
      </c>
      <c r="F259">
        <v>0</v>
      </c>
      <c r="G259" s="11">
        <v>2483.7399999999998</v>
      </c>
      <c r="H259" t="s">
        <v>12</v>
      </c>
      <c r="I259" t="s">
        <v>11</v>
      </c>
      <c r="J259" t="s">
        <v>13</v>
      </c>
    </row>
    <row r="260" spans="1:10" x14ac:dyDescent="0.3">
      <c r="A260" t="s">
        <v>288</v>
      </c>
      <c r="B260">
        <v>1995</v>
      </c>
      <c r="C260" t="s">
        <v>37</v>
      </c>
      <c r="D260">
        <v>14</v>
      </c>
      <c r="E260" s="13" t="s">
        <v>10994</v>
      </c>
      <c r="F260">
        <v>0</v>
      </c>
      <c r="G260" s="11">
        <v>2494.02</v>
      </c>
      <c r="H260" t="s">
        <v>12</v>
      </c>
      <c r="I260" t="s">
        <v>16</v>
      </c>
      <c r="J260" t="s">
        <v>42</v>
      </c>
    </row>
    <row r="261" spans="1:10" x14ac:dyDescent="0.3">
      <c r="A261" t="s">
        <v>289</v>
      </c>
      <c r="B261">
        <v>1995</v>
      </c>
      <c r="C261" t="s">
        <v>10</v>
      </c>
      <c r="D261">
        <v>9</v>
      </c>
      <c r="E261" s="13" t="s">
        <v>10995</v>
      </c>
      <c r="F261">
        <v>0</v>
      </c>
      <c r="G261" s="11">
        <v>2497.04</v>
      </c>
      <c r="H261" t="s">
        <v>12</v>
      </c>
      <c r="I261" t="s">
        <v>12</v>
      </c>
      <c r="J261" t="s">
        <v>13</v>
      </c>
    </row>
    <row r="262" spans="1:10" x14ac:dyDescent="0.3">
      <c r="A262" t="s">
        <v>290</v>
      </c>
      <c r="B262">
        <v>1995</v>
      </c>
      <c r="C262" t="s">
        <v>37</v>
      </c>
      <c r="D262">
        <v>15</v>
      </c>
      <c r="E262" s="13" t="s">
        <v>10976</v>
      </c>
      <c r="F262">
        <v>0</v>
      </c>
      <c r="G262" s="11">
        <v>2498.41</v>
      </c>
      <c r="H262" t="s">
        <v>12</v>
      </c>
      <c r="I262" t="s">
        <v>12</v>
      </c>
      <c r="J262" t="s">
        <v>13</v>
      </c>
    </row>
    <row r="263" spans="1:10" x14ac:dyDescent="0.3">
      <c r="A263" t="s">
        <v>291</v>
      </c>
      <c r="B263">
        <v>2004</v>
      </c>
      <c r="C263" t="s">
        <v>20</v>
      </c>
      <c r="D263">
        <v>6</v>
      </c>
      <c r="E263" s="13" t="s">
        <v>10996</v>
      </c>
      <c r="F263">
        <v>0</v>
      </c>
      <c r="G263" s="11">
        <v>2500.9299999999998</v>
      </c>
      <c r="H263" t="s">
        <v>11</v>
      </c>
      <c r="I263" t="s">
        <v>11</v>
      </c>
      <c r="J263" t="s">
        <v>23</v>
      </c>
    </row>
    <row r="264" spans="1:10" x14ac:dyDescent="0.3">
      <c r="A264" t="s">
        <v>292</v>
      </c>
      <c r="B264">
        <v>1991</v>
      </c>
      <c r="C264" t="s">
        <v>35</v>
      </c>
      <c r="D264">
        <v>5</v>
      </c>
      <c r="E264" s="13" t="s">
        <v>10997</v>
      </c>
      <c r="F264">
        <v>3</v>
      </c>
      <c r="G264" s="11">
        <v>2510.79</v>
      </c>
      <c r="H264" t="s">
        <v>11</v>
      </c>
      <c r="I264" t="s">
        <v>16</v>
      </c>
      <c r="J264" t="s">
        <v>13</v>
      </c>
    </row>
    <row r="265" spans="1:10" x14ac:dyDescent="0.3">
      <c r="A265" t="s">
        <v>293</v>
      </c>
      <c r="B265">
        <v>1997</v>
      </c>
      <c r="C265" t="s">
        <v>15</v>
      </c>
      <c r="D265">
        <v>2</v>
      </c>
      <c r="E265" s="13" t="s">
        <v>10998</v>
      </c>
      <c r="F265">
        <v>0</v>
      </c>
      <c r="G265" s="11">
        <v>2523.17</v>
      </c>
      <c r="H265" t="s">
        <v>12</v>
      </c>
      <c r="I265" t="s">
        <v>16</v>
      </c>
      <c r="J265" t="s">
        <v>23</v>
      </c>
    </row>
    <row r="266" spans="1:10" x14ac:dyDescent="0.3">
      <c r="A266" t="s">
        <v>294</v>
      </c>
      <c r="B266">
        <v>2000</v>
      </c>
      <c r="C266" t="s">
        <v>35</v>
      </c>
      <c r="D266">
        <v>25</v>
      </c>
      <c r="E266" s="13" t="s">
        <v>10999</v>
      </c>
      <c r="F266">
        <v>0</v>
      </c>
      <c r="G266" s="11">
        <v>2527.8200000000002</v>
      </c>
      <c r="H266" t="s">
        <v>11</v>
      </c>
      <c r="I266" t="s">
        <v>12</v>
      </c>
      <c r="J266" t="s">
        <v>23</v>
      </c>
    </row>
    <row r="267" spans="1:10" x14ac:dyDescent="0.3">
      <c r="A267" t="s">
        <v>295</v>
      </c>
      <c r="B267">
        <v>1997</v>
      </c>
      <c r="C267" t="s">
        <v>10</v>
      </c>
      <c r="D267">
        <v>28</v>
      </c>
      <c r="E267" s="13" t="s">
        <v>11000</v>
      </c>
      <c r="F267">
        <v>0</v>
      </c>
      <c r="G267" s="11">
        <v>2534.39</v>
      </c>
      <c r="H267" t="s">
        <v>12</v>
      </c>
      <c r="I267" t="s">
        <v>12</v>
      </c>
      <c r="J267" t="s">
        <v>23</v>
      </c>
    </row>
    <row r="268" spans="1:10" x14ac:dyDescent="0.3">
      <c r="A268" t="s">
        <v>296</v>
      </c>
      <c r="B268">
        <v>1990</v>
      </c>
      <c r="C268" t="s">
        <v>37</v>
      </c>
      <c r="D268">
        <v>1</v>
      </c>
      <c r="E268" s="13" t="s">
        <v>11001</v>
      </c>
      <c r="F268">
        <v>3</v>
      </c>
      <c r="G268" s="11">
        <v>2540.39</v>
      </c>
      <c r="H268" t="s">
        <v>11</v>
      </c>
      <c r="I268" t="s">
        <v>11</v>
      </c>
      <c r="J268" t="s">
        <v>13</v>
      </c>
    </row>
    <row r="269" spans="1:10" x14ac:dyDescent="0.3">
      <c r="A269" t="s">
        <v>297</v>
      </c>
      <c r="B269">
        <v>1991</v>
      </c>
      <c r="C269" t="s">
        <v>15</v>
      </c>
      <c r="D269">
        <v>17</v>
      </c>
      <c r="E269" s="13" t="s">
        <v>11002</v>
      </c>
      <c r="F269">
        <v>3</v>
      </c>
      <c r="G269" s="11">
        <v>2545.6799999999998</v>
      </c>
      <c r="H269" t="s">
        <v>11</v>
      </c>
      <c r="I269" t="s">
        <v>16</v>
      </c>
      <c r="J269" t="s">
        <v>13</v>
      </c>
    </row>
    <row r="270" spans="1:10" x14ac:dyDescent="0.3">
      <c r="A270" t="s">
        <v>298</v>
      </c>
      <c r="B270">
        <v>2002</v>
      </c>
      <c r="C270" t="s">
        <v>37</v>
      </c>
      <c r="D270">
        <v>11</v>
      </c>
      <c r="E270" s="13" t="s">
        <v>10785</v>
      </c>
      <c r="F270">
        <v>2</v>
      </c>
      <c r="G270" s="11">
        <v>2566.4699999999998</v>
      </c>
      <c r="H270" t="s">
        <v>11</v>
      </c>
      <c r="I270" t="s">
        <v>12</v>
      </c>
      <c r="J270" t="s">
        <v>13</v>
      </c>
    </row>
    <row r="271" spans="1:10" x14ac:dyDescent="0.3">
      <c r="A271" t="s">
        <v>299</v>
      </c>
      <c r="B271">
        <v>2002</v>
      </c>
      <c r="C271" t="s">
        <v>10</v>
      </c>
      <c r="D271">
        <v>20</v>
      </c>
      <c r="E271" s="13" t="s">
        <v>11003</v>
      </c>
      <c r="F271">
        <v>0</v>
      </c>
      <c r="G271" s="11">
        <v>2585.04</v>
      </c>
      <c r="H271" t="s">
        <v>11</v>
      </c>
      <c r="I271" t="s">
        <v>11</v>
      </c>
      <c r="J271" t="s">
        <v>300</v>
      </c>
    </row>
    <row r="272" spans="1:10" x14ac:dyDescent="0.3">
      <c r="A272" t="s">
        <v>301</v>
      </c>
      <c r="B272">
        <v>2001</v>
      </c>
      <c r="C272" t="s">
        <v>37</v>
      </c>
      <c r="D272">
        <v>15</v>
      </c>
      <c r="E272" s="13" t="s">
        <v>11004</v>
      </c>
      <c r="F272">
        <v>1</v>
      </c>
      <c r="G272" s="11">
        <v>2585.27</v>
      </c>
      <c r="H272" t="s">
        <v>11</v>
      </c>
      <c r="I272" t="s">
        <v>12</v>
      </c>
      <c r="J272" t="s">
        <v>42</v>
      </c>
    </row>
    <row r="273" spans="1:10" x14ac:dyDescent="0.3">
      <c r="A273" t="s">
        <v>302</v>
      </c>
      <c r="B273">
        <v>2001</v>
      </c>
      <c r="C273" t="s">
        <v>10</v>
      </c>
      <c r="D273">
        <v>28</v>
      </c>
      <c r="E273" s="13" t="s">
        <v>11005</v>
      </c>
      <c r="F273">
        <v>0</v>
      </c>
      <c r="G273" s="11">
        <v>2585.85</v>
      </c>
      <c r="H273" t="s">
        <v>11</v>
      </c>
      <c r="I273" t="s">
        <v>11</v>
      </c>
      <c r="J273" t="s">
        <v>247</v>
      </c>
    </row>
    <row r="274" spans="1:10" x14ac:dyDescent="0.3">
      <c r="A274" t="s">
        <v>303</v>
      </c>
      <c r="B274">
        <v>2001</v>
      </c>
      <c r="C274" t="s">
        <v>35</v>
      </c>
      <c r="D274">
        <v>26</v>
      </c>
      <c r="E274" s="13" t="s">
        <v>11006</v>
      </c>
      <c r="F274">
        <v>1</v>
      </c>
      <c r="G274" s="11">
        <v>2597.7800000000002</v>
      </c>
      <c r="H274" t="s">
        <v>11</v>
      </c>
      <c r="I274" t="s">
        <v>16</v>
      </c>
      <c r="J274" t="s">
        <v>42</v>
      </c>
    </row>
    <row r="275" spans="1:10" x14ac:dyDescent="0.3">
      <c r="A275" t="s">
        <v>304</v>
      </c>
      <c r="B275">
        <v>1997</v>
      </c>
      <c r="C275" t="s">
        <v>35</v>
      </c>
      <c r="D275">
        <v>26</v>
      </c>
      <c r="E275" s="13" t="s">
        <v>11007</v>
      </c>
      <c r="F275">
        <v>0</v>
      </c>
      <c r="G275" s="11">
        <v>2632.99</v>
      </c>
      <c r="H275" t="s">
        <v>11</v>
      </c>
      <c r="I275" t="s">
        <v>16</v>
      </c>
      <c r="J275" t="s">
        <v>42</v>
      </c>
    </row>
    <row r="276" spans="1:10" x14ac:dyDescent="0.3">
      <c r="A276" t="s">
        <v>305</v>
      </c>
      <c r="B276">
        <v>2000</v>
      </c>
      <c r="C276" t="s">
        <v>18</v>
      </c>
      <c r="D276">
        <v>24</v>
      </c>
      <c r="E276" s="13" t="s">
        <v>11008</v>
      </c>
      <c r="F276">
        <v>1</v>
      </c>
      <c r="G276" s="11">
        <v>2639.04</v>
      </c>
      <c r="H276" t="s">
        <v>11</v>
      </c>
      <c r="I276" t="s">
        <v>11</v>
      </c>
      <c r="J276" t="s">
        <v>23</v>
      </c>
    </row>
    <row r="277" spans="1:10" x14ac:dyDescent="0.3">
      <c r="A277" t="s">
        <v>306</v>
      </c>
      <c r="B277">
        <v>2000</v>
      </c>
      <c r="C277" t="s">
        <v>30</v>
      </c>
      <c r="D277">
        <v>9</v>
      </c>
      <c r="E277" s="13" t="s">
        <v>11009</v>
      </c>
      <c r="F277">
        <v>1</v>
      </c>
      <c r="G277" s="11">
        <v>2643.27</v>
      </c>
      <c r="H277" t="s">
        <v>11</v>
      </c>
      <c r="I277" t="s">
        <v>16</v>
      </c>
      <c r="J277" t="s">
        <v>23</v>
      </c>
    </row>
    <row r="278" spans="1:10" x14ac:dyDescent="0.3">
      <c r="A278" t="s">
        <v>307</v>
      </c>
      <c r="B278">
        <v>1996</v>
      </c>
      <c r="C278" t="s">
        <v>35</v>
      </c>
      <c r="D278">
        <v>5</v>
      </c>
      <c r="E278" s="13" t="s">
        <v>11010</v>
      </c>
      <c r="F278">
        <v>0</v>
      </c>
      <c r="G278" s="11">
        <v>2680.95</v>
      </c>
      <c r="H278" t="s">
        <v>12</v>
      </c>
      <c r="I278" t="s">
        <v>11</v>
      </c>
      <c r="J278" t="s">
        <v>23</v>
      </c>
    </row>
    <row r="279" spans="1:10" x14ac:dyDescent="0.3">
      <c r="A279" t="s">
        <v>308</v>
      </c>
      <c r="B279">
        <v>1994</v>
      </c>
      <c r="C279" t="s">
        <v>20</v>
      </c>
      <c r="D279">
        <v>17</v>
      </c>
      <c r="E279" s="13" t="s">
        <v>11011</v>
      </c>
      <c r="F279">
        <v>0</v>
      </c>
      <c r="G279" s="11">
        <v>2684.69</v>
      </c>
      <c r="H279" t="s">
        <v>11</v>
      </c>
      <c r="I279" t="s">
        <v>11</v>
      </c>
      <c r="J279" t="s">
        <v>13</v>
      </c>
    </row>
    <row r="280" spans="1:10" x14ac:dyDescent="0.3">
      <c r="A280" t="s">
        <v>309</v>
      </c>
      <c r="B280">
        <v>1994</v>
      </c>
      <c r="C280" t="s">
        <v>37</v>
      </c>
      <c r="D280">
        <v>2</v>
      </c>
      <c r="E280" s="13" t="s">
        <v>11012</v>
      </c>
      <c r="F280">
        <v>0</v>
      </c>
      <c r="G280" s="11">
        <v>2689.5</v>
      </c>
      <c r="H280" t="s">
        <v>12</v>
      </c>
      <c r="I280" t="s">
        <v>11</v>
      </c>
      <c r="J280" t="s">
        <v>13</v>
      </c>
    </row>
    <row r="281" spans="1:10" x14ac:dyDescent="0.3">
      <c r="A281" t="s">
        <v>310</v>
      </c>
      <c r="B281">
        <v>1999</v>
      </c>
      <c r="C281" t="s">
        <v>18</v>
      </c>
      <c r="D281">
        <v>11</v>
      </c>
      <c r="E281" s="13" t="s">
        <v>11013</v>
      </c>
      <c r="F281">
        <v>0</v>
      </c>
      <c r="G281" s="11">
        <v>2690.11</v>
      </c>
      <c r="H281" t="s">
        <v>11</v>
      </c>
      <c r="I281" t="s">
        <v>11</v>
      </c>
      <c r="J281" t="s">
        <v>23</v>
      </c>
    </row>
    <row r="282" spans="1:10" x14ac:dyDescent="0.3">
      <c r="A282" t="s">
        <v>311</v>
      </c>
      <c r="B282">
        <v>1996</v>
      </c>
      <c r="C282" t="s">
        <v>18</v>
      </c>
      <c r="D282">
        <v>13</v>
      </c>
      <c r="E282" s="13" t="s">
        <v>10877</v>
      </c>
      <c r="F282">
        <v>0</v>
      </c>
      <c r="G282" s="11">
        <v>2699.57</v>
      </c>
      <c r="H282" t="s">
        <v>11</v>
      </c>
      <c r="I282" t="s">
        <v>16</v>
      </c>
      <c r="J282" t="s">
        <v>23</v>
      </c>
    </row>
    <row r="283" spans="1:10" x14ac:dyDescent="0.3">
      <c r="A283" t="s">
        <v>312</v>
      </c>
      <c r="B283">
        <v>2003</v>
      </c>
      <c r="C283" t="s">
        <v>10</v>
      </c>
      <c r="D283">
        <v>17</v>
      </c>
      <c r="E283" s="13" t="s">
        <v>10832</v>
      </c>
      <c r="F283">
        <v>1</v>
      </c>
      <c r="G283" s="11">
        <v>2709.11</v>
      </c>
      <c r="H283" t="s">
        <v>11</v>
      </c>
      <c r="I283" t="s">
        <v>11</v>
      </c>
      <c r="J283" t="s">
        <v>23</v>
      </c>
    </row>
    <row r="284" spans="1:10" x14ac:dyDescent="0.3">
      <c r="A284" t="s">
        <v>313</v>
      </c>
      <c r="B284">
        <v>2003</v>
      </c>
      <c r="C284" t="s">
        <v>15</v>
      </c>
      <c r="D284">
        <v>21</v>
      </c>
      <c r="E284" s="13" t="s">
        <v>11014</v>
      </c>
      <c r="F284">
        <v>1</v>
      </c>
      <c r="G284" s="11">
        <v>2709.24</v>
      </c>
      <c r="H284" t="s">
        <v>11</v>
      </c>
      <c r="I284" t="s">
        <v>11</v>
      </c>
      <c r="J284" t="s">
        <v>23</v>
      </c>
    </row>
    <row r="285" spans="1:10" x14ac:dyDescent="0.3">
      <c r="A285" t="s">
        <v>314</v>
      </c>
      <c r="B285">
        <v>2003</v>
      </c>
      <c r="C285" t="s">
        <v>30</v>
      </c>
      <c r="D285">
        <v>1</v>
      </c>
      <c r="E285" s="13" t="s">
        <v>11015</v>
      </c>
      <c r="F285">
        <v>1</v>
      </c>
      <c r="G285" s="11">
        <v>2710.83</v>
      </c>
      <c r="H285" t="s">
        <v>11</v>
      </c>
      <c r="I285" t="s">
        <v>12</v>
      </c>
      <c r="J285" t="s">
        <v>23</v>
      </c>
    </row>
    <row r="286" spans="1:10" x14ac:dyDescent="0.3">
      <c r="A286" t="s">
        <v>315</v>
      </c>
      <c r="B286">
        <v>2003</v>
      </c>
      <c r="C286" t="s">
        <v>35</v>
      </c>
      <c r="D286">
        <v>6</v>
      </c>
      <c r="E286" s="13" t="s">
        <v>11016</v>
      </c>
      <c r="F286">
        <v>1</v>
      </c>
      <c r="G286" s="11">
        <v>2719.28</v>
      </c>
      <c r="H286" t="s">
        <v>11</v>
      </c>
      <c r="I286" t="s">
        <v>11</v>
      </c>
      <c r="J286" t="s">
        <v>23</v>
      </c>
    </row>
    <row r="287" spans="1:10" x14ac:dyDescent="0.3">
      <c r="A287" t="s">
        <v>316</v>
      </c>
      <c r="B287">
        <v>1997</v>
      </c>
      <c r="C287" t="s">
        <v>37</v>
      </c>
      <c r="D287">
        <v>30</v>
      </c>
      <c r="E287" s="13" t="s">
        <v>11017</v>
      </c>
      <c r="F287">
        <v>0</v>
      </c>
      <c r="G287" s="11">
        <v>2721.32</v>
      </c>
      <c r="H287" t="s">
        <v>16</v>
      </c>
      <c r="I287" t="s">
        <v>12</v>
      </c>
      <c r="J287" t="s">
        <v>276</v>
      </c>
    </row>
    <row r="288" spans="1:10" x14ac:dyDescent="0.3">
      <c r="A288" t="s">
        <v>317</v>
      </c>
      <c r="B288">
        <v>1988</v>
      </c>
      <c r="C288" t="s">
        <v>35</v>
      </c>
      <c r="D288">
        <v>20</v>
      </c>
      <c r="E288" s="13" t="s">
        <v>11018</v>
      </c>
      <c r="F288">
        <v>3</v>
      </c>
      <c r="G288" s="11">
        <v>2726.06</v>
      </c>
      <c r="H288" t="s">
        <v>11</v>
      </c>
      <c r="I288" t="s">
        <v>11</v>
      </c>
      <c r="J288" t="s">
        <v>13</v>
      </c>
    </row>
    <row r="289" spans="1:10" x14ac:dyDescent="0.3">
      <c r="A289" t="s">
        <v>318</v>
      </c>
      <c r="B289">
        <v>1997</v>
      </c>
      <c r="C289" t="s">
        <v>37</v>
      </c>
      <c r="D289">
        <v>6</v>
      </c>
      <c r="E289" s="13" t="s">
        <v>11019</v>
      </c>
      <c r="F289">
        <v>0</v>
      </c>
      <c r="G289" s="11">
        <v>2727.4</v>
      </c>
      <c r="H289" t="s">
        <v>12</v>
      </c>
      <c r="I289" t="s">
        <v>12</v>
      </c>
      <c r="J289" t="s">
        <v>168</v>
      </c>
    </row>
    <row r="290" spans="1:10" x14ac:dyDescent="0.3">
      <c r="A290" t="s">
        <v>319</v>
      </c>
      <c r="B290">
        <v>2003</v>
      </c>
      <c r="C290" t="s">
        <v>30</v>
      </c>
      <c r="D290">
        <v>3</v>
      </c>
      <c r="E290" s="13" t="s">
        <v>11020</v>
      </c>
      <c r="F290">
        <v>1</v>
      </c>
      <c r="G290" s="11">
        <v>2730.11</v>
      </c>
      <c r="H290" t="s">
        <v>11</v>
      </c>
      <c r="I290" t="s">
        <v>12</v>
      </c>
      <c r="J290" t="s">
        <v>23</v>
      </c>
    </row>
    <row r="291" spans="1:10" x14ac:dyDescent="0.3">
      <c r="A291" t="s">
        <v>320</v>
      </c>
      <c r="B291">
        <v>2000</v>
      </c>
      <c r="C291" t="s">
        <v>30</v>
      </c>
      <c r="D291">
        <v>17</v>
      </c>
      <c r="E291" s="13" t="s">
        <v>11021</v>
      </c>
      <c r="F291">
        <v>0</v>
      </c>
      <c r="G291" s="11">
        <v>2731.91</v>
      </c>
      <c r="H291" t="s">
        <v>11</v>
      </c>
      <c r="I291" t="s">
        <v>12</v>
      </c>
      <c r="J291" t="s">
        <v>247</v>
      </c>
    </row>
    <row r="292" spans="1:10" x14ac:dyDescent="0.3">
      <c r="A292" t="s">
        <v>321</v>
      </c>
      <c r="B292">
        <v>2000</v>
      </c>
      <c r="C292" t="s">
        <v>37</v>
      </c>
      <c r="D292">
        <v>3</v>
      </c>
      <c r="E292" s="13" t="s">
        <v>11022</v>
      </c>
      <c r="F292">
        <v>0</v>
      </c>
      <c r="G292" s="11">
        <v>2741.95</v>
      </c>
      <c r="H292" t="s">
        <v>11</v>
      </c>
      <c r="I292" t="s">
        <v>12</v>
      </c>
      <c r="J292" t="s">
        <v>247</v>
      </c>
    </row>
    <row r="293" spans="1:10" x14ac:dyDescent="0.3">
      <c r="A293" t="s">
        <v>322</v>
      </c>
      <c r="B293">
        <v>2000</v>
      </c>
      <c r="C293" t="s">
        <v>37</v>
      </c>
      <c r="D293">
        <v>11</v>
      </c>
      <c r="E293" s="13" t="s">
        <v>11023</v>
      </c>
      <c r="F293">
        <v>0</v>
      </c>
      <c r="G293" s="11">
        <v>2755.02</v>
      </c>
      <c r="H293" t="s">
        <v>11</v>
      </c>
      <c r="I293" t="s">
        <v>16</v>
      </c>
      <c r="J293" t="s">
        <v>247</v>
      </c>
    </row>
    <row r="294" spans="1:10" x14ac:dyDescent="0.3">
      <c r="A294" t="s">
        <v>323</v>
      </c>
      <c r="B294">
        <v>1997</v>
      </c>
      <c r="C294" t="s">
        <v>35</v>
      </c>
      <c r="D294">
        <v>10</v>
      </c>
      <c r="E294" s="13" t="s">
        <v>11024</v>
      </c>
      <c r="F294">
        <v>0</v>
      </c>
      <c r="G294" s="11">
        <v>2758.99</v>
      </c>
      <c r="H294" t="s">
        <v>11</v>
      </c>
      <c r="I294" t="s">
        <v>16</v>
      </c>
      <c r="J294" t="s">
        <v>23</v>
      </c>
    </row>
    <row r="295" spans="1:10" x14ac:dyDescent="0.3">
      <c r="A295" t="s">
        <v>324</v>
      </c>
      <c r="B295">
        <v>2004</v>
      </c>
      <c r="C295" t="s">
        <v>15</v>
      </c>
      <c r="D295">
        <v>14</v>
      </c>
      <c r="E295" s="13" t="s">
        <v>11025</v>
      </c>
      <c r="F295">
        <v>0</v>
      </c>
      <c r="G295" s="11">
        <v>2773.46</v>
      </c>
      <c r="H295" t="s">
        <v>11</v>
      </c>
      <c r="I295" t="s">
        <v>16</v>
      </c>
      <c r="J295" t="s">
        <v>300</v>
      </c>
    </row>
    <row r="296" spans="1:10" x14ac:dyDescent="0.3">
      <c r="A296" t="s">
        <v>31</v>
      </c>
      <c r="B296">
        <v>1999</v>
      </c>
      <c r="C296" t="s">
        <v>18</v>
      </c>
      <c r="D296">
        <v>9</v>
      </c>
      <c r="E296" t="s">
        <v>11026</v>
      </c>
      <c r="F296">
        <v>1</v>
      </c>
      <c r="G296">
        <v>2775.19</v>
      </c>
      <c r="H296" t="s">
        <v>11</v>
      </c>
      <c r="I296" t="s">
        <v>16</v>
      </c>
      <c r="J296" t="s">
        <v>23</v>
      </c>
    </row>
    <row r="297" spans="1:10" x14ac:dyDescent="0.3">
      <c r="A297" t="s">
        <v>325</v>
      </c>
      <c r="B297">
        <v>1999</v>
      </c>
      <c r="C297" t="s">
        <v>35</v>
      </c>
      <c r="D297">
        <v>29</v>
      </c>
      <c r="E297" s="13" t="s">
        <v>11027</v>
      </c>
      <c r="F297">
        <v>1</v>
      </c>
      <c r="G297" s="11">
        <v>2775.19</v>
      </c>
      <c r="H297" t="s">
        <v>11</v>
      </c>
      <c r="I297" t="s">
        <v>16</v>
      </c>
      <c r="J297" t="s">
        <v>23</v>
      </c>
    </row>
    <row r="298" spans="1:10" x14ac:dyDescent="0.3">
      <c r="A298" t="s">
        <v>326</v>
      </c>
      <c r="B298">
        <v>1999</v>
      </c>
      <c r="C298" t="s">
        <v>30</v>
      </c>
      <c r="D298">
        <v>24</v>
      </c>
      <c r="E298" s="13" t="s">
        <v>11028</v>
      </c>
      <c r="F298">
        <v>1</v>
      </c>
      <c r="G298" s="11">
        <v>2789.06</v>
      </c>
      <c r="H298" t="s">
        <v>11</v>
      </c>
      <c r="I298" t="s">
        <v>12</v>
      </c>
      <c r="J298" t="s">
        <v>23</v>
      </c>
    </row>
    <row r="299" spans="1:10" x14ac:dyDescent="0.3">
      <c r="A299" t="s">
        <v>327</v>
      </c>
      <c r="B299">
        <v>2004</v>
      </c>
      <c r="C299" t="s">
        <v>35</v>
      </c>
      <c r="D299">
        <v>4</v>
      </c>
      <c r="E299" s="13" t="s">
        <v>11029</v>
      </c>
      <c r="F299">
        <v>2</v>
      </c>
      <c r="G299" s="11">
        <v>2801.26</v>
      </c>
      <c r="H299" t="s">
        <v>11</v>
      </c>
      <c r="I299" t="s">
        <v>12</v>
      </c>
      <c r="J299" t="s">
        <v>13</v>
      </c>
    </row>
    <row r="300" spans="1:10" x14ac:dyDescent="0.3">
      <c r="A300" t="s">
        <v>328</v>
      </c>
      <c r="B300">
        <v>2003</v>
      </c>
      <c r="C300" t="s">
        <v>20</v>
      </c>
      <c r="D300">
        <v>23</v>
      </c>
      <c r="E300" s="13" t="s">
        <v>11030</v>
      </c>
      <c r="F300">
        <v>2</v>
      </c>
      <c r="G300" s="11">
        <v>2803.7</v>
      </c>
      <c r="H300" t="s">
        <v>11</v>
      </c>
      <c r="I300" t="s">
        <v>16</v>
      </c>
      <c r="J300" t="s">
        <v>23</v>
      </c>
    </row>
    <row r="301" spans="1:10" x14ac:dyDescent="0.3">
      <c r="A301" t="s">
        <v>329</v>
      </c>
      <c r="B301">
        <v>2000</v>
      </c>
      <c r="C301" t="s">
        <v>37</v>
      </c>
      <c r="D301">
        <v>1</v>
      </c>
      <c r="E301" s="13" t="s">
        <v>11031</v>
      </c>
      <c r="F301">
        <v>0</v>
      </c>
      <c r="G301" s="11">
        <v>2819.51</v>
      </c>
      <c r="H301" t="s">
        <v>11</v>
      </c>
      <c r="I301" t="s">
        <v>12</v>
      </c>
      <c r="J301" t="s">
        <v>42</v>
      </c>
    </row>
    <row r="302" spans="1:10" x14ac:dyDescent="0.3">
      <c r="A302" t="s">
        <v>330</v>
      </c>
      <c r="B302">
        <v>1998</v>
      </c>
      <c r="C302" t="s">
        <v>15</v>
      </c>
      <c r="D302">
        <v>15</v>
      </c>
      <c r="E302" s="13" t="s">
        <v>11032</v>
      </c>
      <c r="F302">
        <v>0</v>
      </c>
      <c r="G302" s="11">
        <v>2842.76</v>
      </c>
      <c r="H302" t="s">
        <v>11</v>
      </c>
      <c r="I302" t="s">
        <v>12</v>
      </c>
      <c r="J302" t="s">
        <v>23</v>
      </c>
    </row>
    <row r="303" spans="1:10" x14ac:dyDescent="0.3">
      <c r="A303" t="s">
        <v>331</v>
      </c>
      <c r="B303">
        <v>1998</v>
      </c>
      <c r="C303" t="s">
        <v>18</v>
      </c>
      <c r="D303">
        <v>17</v>
      </c>
      <c r="E303" s="13" t="s">
        <v>11033</v>
      </c>
      <c r="F303">
        <v>0</v>
      </c>
      <c r="G303" s="11">
        <v>2850.68</v>
      </c>
      <c r="H303" t="s">
        <v>11</v>
      </c>
      <c r="I303" t="s">
        <v>12</v>
      </c>
      <c r="J303" t="s">
        <v>23</v>
      </c>
    </row>
    <row r="304" spans="1:10" x14ac:dyDescent="0.3">
      <c r="A304" t="s">
        <v>332</v>
      </c>
      <c r="B304">
        <v>1998</v>
      </c>
      <c r="C304" t="s">
        <v>20</v>
      </c>
      <c r="D304">
        <v>4</v>
      </c>
      <c r="E304" s="13" t="s">
        <v>11034</v>
      </c>
      <c r="F304">
        <v>0</v>
      </c>
      <c r="G304" s="11">
        <v>2855.44</v>
      </c>
      <c r="H304" t="s">
        <v>11</v>
      </c>
      <c r="I304" t="s">
        <v>12</v>
      </c>
      <c r="J304" t="s">
        <v>23</v>
      </c>
    </row>
    <row r="305" spans="1:10" x14ac:dyDescent="0.3">
      <c r="A305" t="s">
        <v>333</v>
      </c>
      <c r="B305">
        <v>1993</v>
      </c>
      <c r="C305" t="s">
        <v>15</v>
      </c>
      <c r="D305">
        <v>1</v>
      </c>
      <c r="E305" s="13" t="s">
        <v>11035</v>
      </c>
      <c r="F305">
        <v>0</v>
      </c>
      <c r="G305" s="11">
        <v>2866.09</v>
      </c>
      <c r="H305" t="s">
        <v>12</v>
      </c>
      <c r="I305" t="s">
        <v>12</v>
      </c>
      <c r="J305" t="s">
        <v>42</v>
      </c>
    </row>
    <row r="306" spans="1:10" x14ac:dyDescent="0.3">
      <c r="A306" t="s">
        <v>334</v>
      </c>
      <c r="B306">
        <v>1993</v>
      </c>
      <c r="C306" t="s">
        <v>35</v>
      </c>
      <c r="D306">
        <v>12</v>
      </c>
      <c r="E306" s="13" t="s">
        <v>11036</v>
      </c>
      <c r="F306">
        <v>0</v>
      </c>
      <c r="G306" s="11">
        <v>2867.12</v>
      </c>
      <c r="H306" t="s">
        <v>16</v>
      </c>
      <c r="I306" t="s">
        <v>12</v>
      </c>
      <c r="J306" t="s">
        <v>13</v>
      </c>
    </row>
    <row r="307" spans="1:10" x14ac:dyDescent="0.3">
      <c r="A307" t="s">
        <v>335</v>
      </c>
      <c r="B307">
        <v>1996</v>
      </c>
      <c r="C307" t="s">
        <v>18</v>
      </c>
      <c r="D307">
        <v>21</v>
      </c>
      <c r="E307" s="13" t="s">
        <v>11037</v>
      </c>
      <c r="F307">
        <v>0</v>
      </c>
      <c r="G307" s="11">
        <v>2897.32</v>
      </c>
      <c r="H307" t="s">
        <v>12</v>
      </c>
      <c r="I307" t="s">
        <v>12</v>
      </c>
      <c r="J307" t="s">
        <v>168</v>
      </c>
    </row>
    <row r="308" spans="1:10" x14ac:dyDescent="0.3">
      <c r="A308" t="s">
        <v>336</v>
      </c>
      <c r="B308">
        <v>2000</v>
      </c>
      <c r="C308" t="s">
        <v>10</v>
      </c>
      <c r="D308">
        <v>14</v>
      </c>
      <c r="E308" s="13" t="s">
        <v>11038</v>
      </c>
      <c r="F308">
        <v>0</v>
      </c>
      <c r="G308" s="11">
        <v>2897.46</v>
      </c>
      <c r="H308" t="s">
        <v>11</v>
      </c>
      <c r="I308" t="s">
        <v>16</v>
      </c>
      <c r="J308" t="s">
        <v>23</v>
      </c>
    </row>
    <row r="309" spans="1:10" x14ac:dyDescent="0.3">
      <c r="A309" t="s">
        <v>337</v>
      </c>
      <c r="B309">
        <v>1999</v>
      </c>
      <c r="C309" t="s">
        <v>15</v>
      </c>
      <c r="D309">
        <v>1</v>
      </c>
      <c r="E309" s="13" t="s">
        <v>11013</v>
      </c>
      <c r="F309">
        <v>0</v>
      </c>
      <c r="G309" s="11">
        <v>2899.49</v>
      </c>
      <c r="H309" t="s">
        <v>11</v>
      </c>
      <c r="I309" t="s">
        <v>11</v>
      </c>
      <c r="J309" t="s">
        <v>247</v>
      </c>
    </row>
    <row r="310" spans="1:10" x14ac:dyDescent="0.3">
      <c r="A310" t="s">
        <v>338</v>
      </c>
      <c r="B310">
        <v>1996</v>
      </c>
      <c r="C310" t="s">
        <v>37</v>
      </c>
      <c r="D310">
        <v>24</v>
      </c>
      <c r="E310" s="13" t="s">
        <v>11039</v>
      </c>
      <c r="F310">
        <v>1</v>
      </c>
      <c r="G310" s="11">
        <v>2902.91</v>
      </c>
      <c r="H310" t="s">
        <v>11</v>
      </c>
      <c r="I310" t="s">
        <v>11</v>
      </c>
      <c r="J310" t="s">
        <v>13</v>
      </c>
    </row>
    <row r="311" spans="1:10" x14ac:dyDescent="0.3">
      <c r="A311" t="s">
        <v>339</v>
      </c>
      <c r="B311">
        <v>1996</v>
      </c>
      <c r="C311" t="s">
        <v>18</v>
      </c>
      <c r="D311">
        <v>13</v>
      </c>
      <c r="E311" s="13" t="s">
        <v>11040</v>
      </c>
      <c r="F311">
        <v>1</v>
      </c>
      <c r="G311" s="11">
        <v>2904.09</v>
      </c>
      <c r="H311" t="s">
        <v>11</v>
      </c>
      <c r="I311" t="s">
        <v>11</v>
      </c>
      <c r="J311" t="s">
        <v>42</v>
      </c>
    </row>
    <row r="312" spans="1:10" x14ac:dyDescent="0.3">
      <c r="A312" t="s">
        <v>340</v>
      </c>
      <c r="B312">
        <v>2003</v>
      </c>
      <c r="C312" t="s">
        <v>18</v>
      </c>
      <c r="D312">
        <v>5</v>
      </c>
      <c r="E312" s="13" t="s">
        <v>11041</v>
      </c>
      <c r="F312">
        <v>2</v>
      </c>
      <c r="G312" s="11">
        <v>2913.57</v>
      </c>
      <c r="H312" t="s">
        <v>11</v>
      </c>
      <c r="I312" t="s">
        <v>11</v>
      </c>
      <c r="J312" t="s">
        <v>42</v>
      </c>
    </row>
    <row r="313" spans="1:10" x14ac:dyDescent="0.3">
      <c r="A313" t="s">
        <v>341</v>
      </c>
      <c r="B313">
        <v>1996</v>
      </c>
      <c r="C313" t="s">
        <v>18</v>
      </c>
      <c r="D313">
        <v>30</v>
      </c>
      <c r="E313" s="13" t="s">
        <v>11042</v>
      </c>
      <c r="F313">
        <v>1</v>
      </c>
      <c r="G313" s="11">
        <v>2927.06</v>
      </c>
      <c r="H313" t="s">
        <v>11</v>
      </c>
      <c r="I313" t="s">
        <v>11</v>
      </c>
      <c r="J313" t="s">
        <v>13</v>
      </c>
    </row>
    <row r="314" spans="1:10" x14ac:dyDescent="0.3">
      <c r="A314" t="s">
        <v>342</v>
      </c>
      <c r="B314">
        <v>2002</v>
      </c>
      <c r="C314" t="s">
        <v>20</v>
      </c>
      <c r="D314">
        <v>30</v>
      </c>
      <c r="E314" s="13" t="s">
        <v>11043</v>
      </c>
      <c r="F314">
        <v>0</v>
      </c>
      <c r="G314" s="11">
        <v>2943.41</v>
      </c>
      <c r="H314" t="s">
        <v>11</v>
      </c>
      <c r="I314" t="s">
        <v>12</v>
      </c>
      <c r="J314" t="s">
        <v>23</v>
      </c>
    </row>
    <row r="315" spans="1:10" x14ac:dyDescent="0.3">
      <c r="A315" t="s">
        <v>343</v>
      </c>
      <c r="B315">
        <v>1995</v>
      </c>
      <c r="C315" t="s">
        <v>20</v>
      </c>
      <c r="D315">
        <v>24</v>
      </c>
      <c r="E315" s="13" t="s">
        <v>11044</v>
      </c>
      <c r="F315">
        <v>0</v>
      </c>
      <c r="G315" s="11">
        <v>2974.13</v>
      </c>
      <c r="H315" t="s">
        <v>11</v>
      </c>
      <c r="I315" t="s">
        <v>16</v>
      </c>
      <c r="J315" t="s">
        <v>42</v>
      </c>
    </row>
    <row r="316" spans="1:10" x14ac:dyDescent="0.3">
      <c r="A316" t="s">
        <v>344</v>
      </c>
      <c r="B316">
        <v>1987</v>
      </c>
      <c r="C316" t="s">
        <v>18</v>
      </c>
      <c r="D316">
        <v>18</v>
      </c>
      <c r="E316" s="13" t="s">
        <v>11045</v>
      </c>
      <c r="F316">
        <v>3</v>
      </c>
      <c r="G316" s="11">
        <v>2979.52</v>
      </c>
      <c r="H316" t="s">
        <v>11</v>
      </c>
      <c r="I316" t="s">
        <v>12</v>
      </c>
      <c r="J316" t="s">
        <v>13</v>
      </c>
    </row>
    <row r="317" spans="1:10" x14ac:dyDescent="0.3">
      <c r="A317" t="s">
        <v>345</v>
      </c>
      <c r="B317">
        <v>1991</v>
      </c>
      <c r="C317" t="s">
        <v>15</v>
      </c>
      <c r="D317">
        <v>20</v>
      </c>
      <c r="E317" s="13" t="s">
        <v>11046</v>
      </c>
      <c r="F317">
        <v>3</v>
      </c>
      <c r="G317" s="11">
        <v>2985.67</v>
      </c>
      <c r="H317" t="s">
        <v>11</v>
      </c>
      <c r="I317" t="s">
        <v>11</v>
      </c>
      <c r="J317" t="s">
        <v>13</v>
      </c>
    </row>
    <row r="318" spans="1:10" x14ac:dyDescent="0.3">
      <c r="A318" t="s">
        <v>346</v>
      </c>
      <c r="B318">
        <v>2002</v>
      </c>
      <c r="C318" t="s">
        <v>30</v>
      </c>
      <c r="D318">
        <v>15</v>
      </c>
      <c r="E318" s="13" t="s">
        <v>11047</v>
      </c>
      <c r="F318">
        <v>0</v>
      </c>
      <c r="G318" s="11">
        <v>3012.22</v>
      </c>
      <c r="H318" t="s">
        <v>11</v>
      </c>
      <c r="I318" t="s">
        <v>12</v>
      </c>
      <c r="J318" t="s">
        <v>23</v>
      </c>
    </row>
    <row r="319" spans="1:10" x14ac:dyDescent="0.3">
      <c r="A319" t="s">
        <v>347</v>
      </c>
      <c r="B319">
        <v>1988</v>
      </c>
      <c r="C319" t="s">
        <v>20</v>
      </c>
      <c r="D319">
        <v>28</v>
      </c>
      <c r="E319" s="13" t="s">
        <v>11048</v>
      </c>
      <c r="F319">
        <v>3</v>
      </c>
      <c r="G319" s="11">
        <v>3018.04</v>
      </c>
      <c r="H319" t="s">
        <v>11</v>
      </c>
      <c r="I319" t="s">
        <v>11</v>
      </c>
      <c r="J319" t="s">
        <v>23</v>
      </c>
    </row>
    <row r="320" spans="1:10" x14ac:dyDescent="0.3">
      <c r="A320" t="s">
        <v>348</v>
      </c>
      <c r="B320">
        <v>1997</v>
      </c>
      <c r="C320" t="s">
        <v>30</v>
      </c>
      <c r="D320">
        <v>19</v>
      </c>
      <c r="E320" s="13" t="s">
        <v>11049</v>
      </c>
      <c r="F320">
        <v>0</v>
      </c>
      <c r="G320" s="11">
        <v>3021.81</v>
      </c>
      <c r="H320" t="s">
        <v>11</v>
      </c>
      <c r="I320" t="s">
        <v>12</v>
      </c>
      <c r="J320" t="s">
        <v>23</v>
      </c>
    </row>
    <row r="321" spans="1:10" x14ac:dyDescent="0.3">
      <c r="A321" t="s">
        <v>349</v>
      </c>
      <c r="B321">
        <v>1998</v>
      </c>
      <c r="C321" t="s">
        <v>20</v>
      </c>
      <c r="D321">
        <v>15</v>
      </c>
      <c r="E321" s="13" t="s">
        <v>11050</v>
      </c>
      <c r="F321">
        <v>0</v>
      </c>
      <c r="G321" s="11">
        <v>3044.21</v>
      </c>
      <c r="H321" t="s">
        <v>11</v>
      </c>
      <c r="I321" t="s">
        <v>12</v>
      </c>
      <c r="J321" t="s">
        <v>247</v>
      </c>
    </row>
    <row r="322" spans="1:10" x14ac:dyDescent="0.3">
      <c r="A322" t="s">
        <v>350</v>
      </c>
      <c r="B322">
        <v>1998</v>
      </c>
      <c r="C322" t="s">
        <v>35</v>
      </c>
      <c r="D322">
        <v>9</v>
      </c>
      <c r="E322" s="13" t="s">
        <v>11051</v>
      </c>
      <c r="F322">
        <v>0</v>
      </c>
      <c r="G322" s="11">
        <v>3046.06</v>
      </c>
      <c r="H322" t="s">
        <v>11</v>
      </c>
      <c r="I322" t="s">
        <v>16</v>
      </c>
      <c r="J322" t="s">
        <v>249</v>
      </c>
    </row>
    <row r="323" spans="1:10" x14ac:dyDescent="0.3">
      <c r="A323" t="s">
        <v>351</v>
      </c>
      <c r="B323">
        <v>1997</v>
      </c>
      <c r="C323" t="s">
        <v>30</v>
      </c>
      <c r="D323">
        <v>22</v>
      </c>
      <c r="E323" s="13" t="s">
        <v>11052</v>
      </c>
      <c r="F323">
        <v>0</v>
      </c>
      <c r="G323" s="11">
        <v>3051.73</v>
      </c>
      <c r="H323" t="s">
        <v>11</v>
      </c>
      <c r="I323" t="s">
        <v>11</v>
      </c>
      <c r="J323" t="s">
        <v>42</v>
      </c>
    </row>
    <row r="324" spans="1:10" x14ac:dyDescent="0.3">
      <c r="A324" t="s">
        <v>352</v>
      </c>
      <c r="B324">
        <v>2002</v>
      </c>
      <c r="C324" t="s">
        <v>18</v>
      </c>
      <c r="D324">
        <v>21</v>
      </c>
      <c r="E324" s="13" t="s">
        <v>11053</v>
      </c>
      <c r="F324">
        <v>2</v>
      </c>
      <c r="G324" s="11">
        <v>3056.39</v>
      </c>
      <c r="H324" t="s">
        <v>11</v>
      </c>
      <c r="I324" t="s">
        <v>12</v>
      </c>
      <c r="J324" t="s">
        <v>13</v>
      </c>
    </row>
    <row r="325" spans="1:10" x14ac:dyDescent="0.3">
      <c r="A325" t="s">
        <v>353</v>
      </c>
      <c r="B325">
        <v>1994</v>
      </c>
      <c r="C325" t="s">
        <v>20</v>
      </c>
      <c r="D325">
        <v>26</v>
      </c>
      <c r="E325" s="13" t="s">
        <v>11054</v>
      </c>
      <c r="F325">
        <v>0</v>
      </c>
      <c r="G325" s="11">
        <v>3062.51</v>
      </c>
      <c r="H325" t="s">
        <v>12</v>
      </c>
      <c r="I325" t="s">
        <v>16</v>
      </c>
      <c r="J325" t="s">
        <v>23</v>
      </c>
    </row>
    <row r="326" spans="1:10" x14ac:dyDescent="0.3">
      <c r="A326" t="s">
        <v>354</v>
      </c>
      <c r="B326">
        <v>1989</v>
      </c>
      <c r="C326" t="s">
        <v>37</v>
      </c>
      <c r="D326">
        <v>1</v>
      </c>
      <c r="E326" s="13" t="s">
        <v>11055</v>
      </c>
      <c r="F326">
        <v>3</v>
      </c>
      <c r="G326" s="11">
        <v>3065.49</v>
      </c>
      <c r="H326" t="s">
        <v>11</v>
      </c>
      <c r="I326" t="s">
        <v>16</v>
      </c>
      <c r="J326" t="s">
        <v>23</v>
      </c>
    </row>
    <row r="327" spans="1:10" x14ac:dyDescent="0.3">
      <c r="A327" t="s">
        <v>355</v>
      </c>
      <c r="B327">
        <v>1995</v>
      </c>
      <c r="C327" t="s">
        <v>20</v>
      </c>
      <c r="D327">
        <v>10</v>
      </c>
      <c r="E327" s="13" t="s">
        <v>11056</v>
      </c>
      <c r="F327">
        <v>0</v>
      </c>
      <c r="G327" s="11">
        <v>3070.81</v>
      </c>
      <c r="H327" t="s">
        <v>12</v>
      </c>
      <c r="I327" t="s">
        <v>16</v>
      </c>
      <c r="J327" t="s">
        <v>356</v>
      </c>
    </row>
    <row r="328" spans="1:10" x14ac:dyDescent="0.3">
      <c r="A328" t="s">
        <v>357</v>
      </c>
      <c r="B328">
        <v>2001</v>
      </c>
      <c r="C328" t="s">
        <v>37</v>
      </c>
      <c r="D328">
        <v>13</v>
      </c>
      <c r="E328" s="13" t="s">
        <v>11057</v>
      </c>
      <c r="F328">
        <v>2</v>
      </c>
      <c r="G328" s="11">
        <v>3077.1</v>
      </c>
      <c r="H328" t="s">
        <v>11</v>
      </c>
      <c r="I328" t="s">
        <v>16</v>
      </c>
      <c r="J328" t="s">
        <v>23</v>
      </c>
    </row>
    <row r="329" spans="1:10" x14ac:dyDescent="0.3">
      <c r="A329" t="s">
        <v>358</v>
      </c>
      <c r="B329">
        <v>1987</v>
      </c>
      <c r="C329" t="s">
        <v>35</v>
      </c>
      <c r="D329">
        <v>1</v>
      </c>
      <c r="E329" s="13" t="s">
        <v>11058</v>
      </c>
      <c r="F329">
        <v>3</v>
      </c>
      <c r="G329" s="11">
        <v>3088.06</v>
      </c>
      <c r="H329" t="s">
        <v>11</v>
      </c>
      <c r="I329" t="s">
        <v>11</v>
      </c>
      <c r="J329" t="s">
        <v>13</v>
      </c>
    </row>
    <row r="330" spans="1:10" x14ac:dyDescent="0.3">
      <c r="A330" t="s">
        <v>359</v>
      </c>
      <c r="B330">
        <v>1999</v>
      </c>
      <c r="C330" t="s">
        <v>18</v>
      </c>
      <c r="D330">
        <v>25</v>
      </c>
      <c r="E330" s="13" t="s">
        <v>11059</v>
      </c>
      <c r="F330">
        <v>0</v>
      </c>
      <c r="G330" s="11">
        <v>3128.35</v>
      </c>
      <c r="H330" t="s">
        <v>11</v>
      </c>
      <c r="I330" t="s">
        <v>12</v>
      </c>
      <c r="J330" t="s">
        <v>300</v>
      </c>
    </row>
    <row r="331" spans="1:10" x14ac:dyDescent="0.3">
      <c r="A331" t="s">
        <v>360</v>
      </c>
      <c r="B331">
        <v>1994</v>
      </c>
      <c r="C331" t="s">
        <v>10</v>
      </c>
      <c r="D331">
        <v>10</v>
      </c>
      <c r="E331" s="13" t="s">
        <v>11060</v>
      </c>
      <c r="F331">
        <v>0</v>
      </c>
      <c r="G331" s="11">
        <v>3161.45</v>
      </c>
      <c r="H331" t="s">
        <v>11</v>
      </c>
      <c r="I331" t="s">
        <v>16</v>
      </c>
      <c r="J331" t="s">
        <v>42</v>
      </c>
    </row>
    <row r="332" spans="1:10" x14ac:dyDescent="0.3">
      <c r="A332" t="s">
        <v>361</v>
      </c>
      <c r="B332">
        <v>1993</v>
      </c>
      <c r="C332" t="s">
        <v>20</v>
      </c>
      <c r="D332">
        <v>25</v>
      </c>
      <c r="E332" s="13" t="s">
        <v>11061</v>
      </c>
      <c r="F332">
        <v>0</v>
      </c>
      <c r="G332" s="11">
        <v>3162.02</v>
      </c>
      <c r="H332" t="s">
        <v>11</v>
      </c>
      <c r="I332" t="s">
        <v>12</v>
      </c>
      <c r="J332" t="s">
        <v>13</v>
      </c>
    </row>
    <row r="333" spans="1:10" x14ac:dyDescent="0.3">
      <c r="A333" t="s">
        <v>362</v>
      </c>
      <c r="B333">
        <v>2001</v>
      </c>
      <c r="C333" t="s">
        <v>35</v>
      </c>
      <c r="D333">
        <v>29</v>
      </c>
      <c r="E333" s="13" t="s">
        <v>11062</v>
      </c>
      <c r="F333">
        <v>1</v>
      </c>
      <c r="G333" s="11">
        <v>3167.46</v>
      </c>
      <c r="H333" t="s">
        <v>11</v>
      </c>
      <c r="I333" t="s">
        <v>12</v>
      </c>
      <c r="J333" t="s">
        <v>247</v>
      </c>
    </row>
    <row r="334" spans="1:10" x14ac:dyDescent="0.3">
      <c r="A334" t="s">
        <v>363</v>
      </c>
      <c r="B334">
        <v>1994</v>
      </c>
      <c r="C334" t="s">
        <v>37</v>
      </c>
      <c r="D334">
        <v>25</v>
      </c>
      <c r="E334" s="13" t="s">
        <v>11063</v>
      </c>
      <c r="F334">
        <v>0</v>
      </c>
      <c r="G334" s="11">
        <v>3171.61</v>
      </c>
      <c r="H334" t="s">
        <v>11</v>
      </c>
      <c r="I334" t="s">
        <v>12</v>
      </c>
      <c r="J334" t="s">
        <v>13</v>
      </c>
    </row>
    <row r="335" spans="1:10" x14ac:dyDescent="0.3">
      <c r="A335" t="s">
        <v>364</v>
      </c>
      <c r="B335">
        <v>1994</v>
      </c>
      <c r="C335" t="s">
        <v>10</v>
      </c>
      <c r="D335">
        <v>6</v>
      </c>
      <c r="E335" s="13" t="s">
        <v>11064</v>
      </c>
      <c r="F335">
        <v>0</v>
      </c>
      <c r="G335" s="11">
        <v>3172.02</v>
      </c>
      <c r="H335" t="s">
        <v>11</v>
      </c>
      <c r="I335" t="s">
        <v>16</v>
      </c>
      <c r="J335" t="s">
        <v>42</v>
      </c>
    </row>
    <row r="336" spans="1:10" x14ac:dyDescent="0.3">
      <c r="A336" t="s">
        <v>365</v>
      </c>
      <c r="B336">
        <v>1996</v>
      </c>
      <c r="C336" t="s">
        <v>35</v>
      </c>
      <c r="D336">
        <v>14</v>
      </c>
      <c r="E336" s="13" t="s">
        <v>11065</v>
      </c>
      <c r="F336">
        <v>0</v>
      </c>
      <c r="G336" s="11">
        <v>3176.29</v>
      </c>
      <c r="H336" t="s">
        <v>11</v>
      </c>
      <c r="I336" t="s">
        <v>11</v>
      </c>
      <c r="J336" t="s">
        <v>23</v>
      </c>
    </row>
    <row r="337" spans="1:10" x14ac:dyDescent="0.3">
      <c r="A337" t="s">
        <v>366</v>
      </c>
      <c r="B337">
        <v>1996</v>
      </c>
      <c r="C337" t="s">
        <v>10</v>
      </c>
      <c r="D337">
        <v>3</v>
      </c>
      <c r="E337" s="13" t="s">
        <v>11066</v>
      </c>
      <c r="F337">
        <v>0</v>
      </c>
      <c r="G337" s="11">
        <v>3176.82</v>
      </c>
      <c r="H337" t="s">
        <v>11</v>
      </c>
      <c r="I337" t="s">
        <v>16</v>
      </c>
      <c r="J337" t="s">
        <v>23</v>
      </c>
    </row>
    <row r="338" spans="1:10" x14ac:dyDescent="0.3">
      <c r="A338" t="s">
        <v>367</v>
      </c>
      <c r="B338">
        <v>2000</v>
      </c>
      <c r="C338" t="s">
        <v>20</v>
      </c>
      <c r="D338">
        <v>23</v>
      </c>
      <c r="E338" s="13" t="s">
        <v>11067</v>
      </c>
      <c r="F338">
        <v>0</v>
      </c>
      <c r="G338" s="11">
        <v>3179.96</v>
      </c>
      <c r="H338" t="s">
        <v>11</v>
      </c>
      <c r="I338" t="s">
        <v>11</v>
      </c>
      <c r="J338" t="s">
        <v>23</v>
      </c>
    </row>
    <row r="339" spans="1:10" x14ac:dyDescent="0.3">
      <c r="A339" t="s">
        <v>368</v>
      </c>
      <c r="B339">
        <v>2001</v>
      </c>
      <c r="C339" t="s">
        <v>20</v>
      </c>
      <c r="D339">
        <v>2</v>
      </c>
      <c r="E339" s="13" t="s">
        <v>11068</v>
      </c>
      <c r="F339">
        <v>2</v>
      </c>
      <c r="G339" s="11">
        <v>3180.51</v>
      </c>
      <c r="H339" t="s">
        <v>11</v>
      </c>
      <c r="I339" t="s">
        <v>11</v>
      </c>
      <c r="J339" t="s">
        <v>13</v>
      </c>
    </row>
    <row r="340" spans="1:10" x14ac:dyDescent="0.3">
      <c r="A340" t="s">
        <v>369</v>
      </c>
      <c r="B340">
        <v>1996</v>
      </c>
      <c r="C340" t="s">
        <v>37</v>
      </c>
      <c r="D340">
        <v>11</v>
      </c>
      <c r="E340" s="13" t="s">
        <v>11050</v>
      </c>
      <c r="F340">
        <v>0</v>
      </c>
      <c r="G340" s="11">
        <v>3201.25</v>
      </c>
      <c r="H340" t="s">
        <v>11</v>
      </c>
      <c r="I340" t="s">
        <v>12</v>
      </c>
      <c r="J340" t="s">
        <v>23</v>
      </c>
    </row>
    <row r="341" spans="1:10" x14ac:dyDescent="0.3">
      <c r="A341" t="s">
        <v>370</v>
      </c>
      <c r="B341">
        <v>1997</v>
      </c>
      <c r="C341" t="s">
        <v>10</v>
      </c>
      <c r="D341">
        <v>5</v>
      </c>
      <c r="E341" s="13" t="s">
        <v>11069</v>
      </c>
      <c r="F341">
        <v>0</v>
      </c>
      <c r="G341" s="11">
        <v>3206.49</v>
      </c>
      <c r="H341" t="s">
        <v>11</v>
      </c>
      <c r="I341" t="s">
        <v>12</v>
      </c>
      <c r="J341" t="s">
        <v>247</v>
      </c>
    </row>
    <row r="342" spans="1:10" x14ac:dyDescent="0.3">
      <c r="A342" t="s">
        <v>371</v>
      </c>
      <c r="B342">
        <v>1997</v>
      </c>
      <c r="C342" t="s">
        <v>30</v>
      </c>
      <c r="D342">
        <v>22</v>
      </c>
      <c r="E342" s="13" t="s">
        <v>11070</v>
      </c>
      <c r="F342">
        <v>1</v>
      </c>
      <c r="G342" s="11">
        <v>3208.79</v>
      </c>
      <c r="H342" t="s">
        <v>11</v>
      </c>
      <c r="I342" t="s">
        <v>12</v>
      </c>
      <c r="J342" t="s">
        <v>42</v>
      </c>
    </row>
    <row r="343" spans="1:10" x14ac:dyDescent="0.3">
      <c r="A343" t="s">
        <v>372</v>
      </c>
      <c r="B343">
        <v>1997</v>
      </c>
      <c r="C343" t="s">
        <v>10</v>
      </c>
      <c r="D343">
        <v>6</v>
      </c>
      <c r="E343" s="13" t="s">
        <v>11071</v>
      </c>
      <c r="F343">
        <v>0</v>
      </c>
      <c r="G343" s="11">
        <v>3213.62</v>
      </c>
      <c r="H343" t="s">
        <v>11</v>
      </c>
      <c r="I343" t="s">
        <v>11</v>
      </c>
      <c r="J343" t="s">
        <v>247</v>
      </c>
    </row>
    <row r="344" spans="1:10" x14ac:dyDescent="0.3">
      <c r="A344" t="s">
        <v>373</v>
      </c>
      <c r="B344">
        <v>1997</v>
      </c>
      <c r="C344" t="s">
        <v>35</v>
      </c>
      <c r="D344">
        <v>2</v>
      </c>
      <c r="E344" s="13" t="s">
        <v>11072</v>
      </c>
      <c r="F344">
        <v>1</v>
      </c>
      <c r="G344" s="11">
        <v>3227.12</v>
      </c>
      <c r="H344" t="s">
        <v>11</v>
      </c>
      <c r="I344" t="s">
        <v>12</v>
      </c>
      <c r="J344" t="s">
        <v>13</v>
      </c>
    </row>
    <row r="345" spans="1:10" x14ac:dyDescent="0.3">
      <c r="A345" t="s">
        <v>374</v>
      </c>
      <c r="B345">
        <v>1997</v>
      </c>
      <c r="C345" t="s">
        <v>20</v>
      </c>
      <c r="D345">
        <v>2</v>
      </c>
      <c r="E345" s="13" t="s">
        <v>11073</v>
      </c>
      <c r="F345">
        <v>1</v>
      </c>
      <c r="G345" s="11">
        <v>3238.44</v>
      </c>
      <c r="H345" t="s">
        <v>11</v>
      </c>
      <c r="I345" t="s">
        <v>12</v>
      </c>
      <c r="J345" t="s">
        <v>13</v>
      </c>
    </row>
    <row r="346" spans="1:10" x14ac:dyDescent="0.3">
      <c r="A346" t="s">
        <v>375</v>
      </c>
      <c r="B346">
        <v>1991</v>
      </c>
      <c r="C346" t="s">
        <v>15</v>
      </c>
      <c r="D346">
        <v>13</v>
      </c>
      <c r="E346" s="13" t="s">
        <v>11074</v>
      </c>
      <c r="F346">
        <v>0</v>
      </c>
      <c r="G346" s="11">
        <v>3260.2</v>
      </c>
      <c r="H346" t="s">
        <v>12</v>
      </c>
      <c r="I346" t="s">
        <v>11</v>
      </c>
      <c r="J346" t="s">
        <v>42</v>
      </c>
    </row>
    <row r="347" spans="1:10" x14ac:dyDescent="0.3">
      <c r="A347" t="s">
        <v>376</v>
      </c>
      <c r="B347">
        <v>1994</v>
      </c>
      <c r="C347" t="s">
        <v>30</v>
      </c>
      <c r="D347">
        <v>2</v>
      </c>
      <c r="E347" s="13" t="s">
        <v>11075</v>
      </c>
      <c r="F347">
        <v>0</v>
      </c>
      <c r="G347" s="11">
        <v>3268.85</v>
      </c>
      <c r="H347" t="s">
        <v>12</v>
      </c>
      <c r="I347" t="s">
        <v>16</v>
      </c>
      <c r="J347" t="s">
        <v>168</v>
      </c>
    </row>
    <row r="348" spans="1:10" x14ac:dyDescent="0.3">
      <c r="A348" t="s">
        <v>377</v>
      </c>
      <c r="B348">
        <v>1994</v>
      </c>
      <c r="C348" t="s">
        <v>10</v>
      </c>
      <c r="D348">
        <v>1</v>
      </c>
      <c r="E348" s="13" t="s">
        <v>11076</v>
      </c>
      <c r="F348">
        <v>1</v>
      </c>
      <c r="G348" s="11">
        <v>3277.16</v>
      </c>
      <c r="H348" t="s">
        <v>11</v>
      </c>
      <c r="I348" t="s">
        <v>12</v>
      </c>
      <c r="J348" t="s">
        <v>42</v>
      </c>
    </row>
    <row r="349" spans="1:10" x14ac:dyDescent="0.3">
      <c r="A349" t="s">
        <v>378</v>
      </c>
      <c r="B349">
        <v>2001</v>
      </c>
      <c r="C349" t="s">
        <v>37</v>
      </c>
      <c r="D349">
        <v>6</v>
      </c>
      <c r="E349" s="13" t="s">
        <v>11077</v>
      </c>
      <c r="F349">
        <v>2</v>
      </c>
      <c r="G349" s="11">
        <v>3279.87</v>
      </c>
      <c r="H349" t="s">
        <v>11</v>
      </c>
      <c r="I349" t="s">
        <v>16</v>
      </c>
      <c r="J349" t="s">
        <v>356</v>
      </c>
    </row>
    <row r="350" spans="1:10" x14ac:dyDescent="0.3">
      <c r="A350" t="s">
        <v>379</v>
      </c>
      <c r="B350">
        <v>2003</v>
      </c>
      <c r="C350" t="s">
        <v>10</v>
      </c>
      <c r="D350">
        <v>3</v>
      </c>
      <c r="E350" s="13" t="s">
        <v>11078</v>
      </c>
      <c r="F350">
        <v>0</v>
      </c>
      <c r="G350" s="11">
        <v>3280.22</v>
      </c>
      <c r="H350" t="s">
        <v>11</v>
      </c>
      <c r="I350" t="s">
        <v>12</v>
      </c>
      <c r="J350" t="s">
        <v>42</v>
      </c>
    </row>
    <row r="351" spans="1:10" x14ac:dyDescent="0.3">
      <c r="A351" t="s">
        <v>380</v>
      </c>
      <c r="B351">
        <v>1996</v>
      </c>
      <c r="C351" t="s">
        <v>15</v>
      </c>
      <c r="D351">
        <v>17</v>
      </c>
      <c r="E351" s="13" t="s">
        <v>10978</v>
      </c>
      <c r="F351">
        <v>1</v>
      </c>
      <c r="G351" s="11">
        <v>3292.53</v>
      </c>
      <c r="H351" t="s">
        <v>11</v>
      </c>
      <c r="I351" t="s">
        <v>11</v>
      </c>
      <c r="J351" t="s">
        <v>23</v>
      </c>
    </row>
    <row r="352" spans="1:10" x14ac:dyDescent="0.3">
      <c r="A352" t="s">
        <v>381</v>
      </c>
      <c r="B352">
        <v>2003</v>
      </c>
      <c r="C352" t="s">
        <v>30</v>
      </c>
      <c r="D352">
        <v>5</v>
      </c>
      <c r="E352" s="13" t="s">
        <v>11079</v>
      </c>
      <c r="F352">
        <v>0</v>
      </c>
      <c r="G352" s="11">
        <v>3300.7</v>
      </c>
      <c r="H352" t="s">
        <v>11</v>
      </c>
      <c r="I352" t="s">
        <v>11</v>
      </c>
      <c r="J352" t="s">
        <v>200</v>
      </c>
    </row>
    <row r="353" spans="1:10" x14ac:dyDescent="0.3">
      <c r="A353" t="s">
        <v>382</v>
      </c>
      <c r="B353">
        <v>2003</v>
      </c>
      <c r="C353" t="s">
        <v>15</v>
      </c>
      <c r="D353">
        <v>18</v>
      </c>
      <c r="E353" s="13" t="s">
        <v>11080</v>
      </c>
      <c r="F353">
        <v>0</v>
      </c>
      <c r="G353" s="11">
        <v>3308.46</v>
      </c>
      <c r="H353" t="s">
        <v>11</v>
      </c>
      <c r="I353" t="s">
        <v>16</v>
      </c>
      <c r="J353" t="s">
        <v>300</v>
      </c>
    </row>
    <row r="354" spans="1:10" x14ac:dyDescent="0.3">
      <c r="A354" t="s">
        <v>383</v>
      </c>
      <c r="B354">
        <v>1997</v>
      </c>
      <c r="C354" t="s">
        <v>18</v>
      </c>
      <c r="D354">
        <v>20</v>
      </c>
      <c r="E354" s="13" t="s">
        <v>11081</v>
      </c>
      <c r="F354">
        <v>1</v>
      </c>
      <c r="G354" s="11">
        <v>3309.79</v>
      </c>
      <c r="H354" t="s">
        <v>12</v>
      </c>
      <c r="I354" t="s">
        <v>12</v>
      </c>
      <c r="J354" t="s">
        <v>356</v>
      </c>
    </row>
    <row r="355" spans="1:10" x14ac:dyDescent="0.3">
      <c r="A355" t="s">
        <v>384</v>
      </c>
      <c r="B355">
        <v>1991</v>
      </c>
      <c r="C355" t="s">
        <v>20</v>
      </c>
      <c r="D355">
        <v>1</v>
      </c>
      <c r="E355" s="13" t="s">
        <v>11082</v>
      </c>
      <c r="F355">
        <v>3</v>
      </c>
      <c r="G355" s="11">
        <v>3342.79</v>
      </c>
      <c r="H355" t="s">
        <v>11</v>
      </c>
      <c r="I355" t="s">
        <v>16</v>
      </c>
      <c r="J355" t="s">
        <v>13</v>
      </c>
    </row>
    <row r="356" spans="1:10" x14ac:dyDescent="0.3">
      <c r="A356" t="s">
        <v>385</v>
      </c>
      <c r="B356">
        <v>1993</v>
      </c>
      <c r="C356" t="s">
        <v>37</v>
      </c>
      <c r="D356">
        <v>28</v>
      </c>
      <c r="E356" s="13" t="s">
        <v>11083</v>
      </c>
      <c r="F356">
        <v>0</v>
      </c>
      <c r="G356" s="11">
        <v>3353.28</v>
      </c>
      <c r="H356" t="s">
        <v>11</v>
      </c>
      <c r="I356" t="s">
        <v>16</v>
      </c>
      <c r="J356" t="s">
        <v>42</v>
      </c>
    </row>
    <row r="357" spans="1:10" x14ac:dyDescent="0.3">
      <c r="A357" t="s">
        <v>386</v>
      </c>
      <c r="B357">
        <v>1995</v>
      </c>
      <c r="C357" t="s">
        <v>18</v>
      </c>
      <c r="D357">
        <v>23</v>
      </c>
      <c r="E357" s="13" t="s">
        <v>11084</v>
      </c>
      <c r="F357">
        <v>0</v>
      </c>
      <c r="G357" s="11">
        <v>3353.47</v>
      </c>
      <c r="H357" t="s">
        <v>11</v>
      </c>
      <c r="I357" t="s">
        <v>12</v>
      </c>
      <c r="J357" t="s">
        <v>23</v>
      </c>
    </row>
    <row r="358" spans="1:10" x14ac:dyDescent="0.3">
      <c r="A358" t="s">
        <v>387</v>
      </c>
      <c r="B358">
        <v>1993</v>
      </c>
      <c r="C358" t="s">
        <v>37</v>
      </c>
      <c r="D358">
        <v>7</v>
      </c>
      <c r="E358" s="13" t="s">
        <v>11085</v>
      </c>
      <c r="F358">
        <v>0</v>
      </c>
      <c r="G358" s="11">
        <v>3366.67</v>
      </c>
      <c r="H358" t="s">
        <v>11</v>
      </c>
      <c r="I358" t="s">
        <v>11</v>
      </c>
      <c r="J358" t="s">
        <v>13</v>
      </c>
    </row>
    <row r="359" spans="1:10" x14ac:dyDescent="0.3">
      <c r="A359" t="s">
        <v>388</v>
      </c>
      <c r="B359">
        <v>1996</v>
      </c>
      <c r="C359" t="s">
        <v>30</v>
      </c>
      <c r="D359">
        <v>14</v>
      </c>
      <c r="E359" s="13" t="s">
        <v>11086</v>
      </c>
      <c r="F359">
        <v>1</v>
      </c>
      <c r="G359" s="11">
        <v>3378.91</v>
      </c>
      <c r="H359" t="s">
        <v>11</v>
      </c>
      <c r="I359" t="s">
        <v>16</v>
      </c>
      <c r="J359" t="s">
        <v>42</v>
      </c>
    </row>
    <row r="360" spans="1:10" x14ac:dyDescent="0.3">
      <c r="A360" t="s">
        <v>389</v>
      </c>
      <c r="B360">
        <v>1996</v>
      </c>
      <c r="C360" t="s">
        <v>15</v>
      </c>
      <c r="D360">
        <v>13</v>
      </c>
      <c r="E360" s="13" t="s">
        <v>11087</v>
      </c>
      <c r="F360">
        <v>0</v>
      </c>
      <c r="G360" s="11">
        <v>3385.4</v>
      </c>
      <c r="H360" t="s">
        <v>11</v>
      </c>
      <c r="I360" t="s">
        <v>11</v>
      </c>
      <c r="J360" t="s">
        <v>247</v>
      </c>
    </row>
    <row r="361" spans="1:10" x14ac:dyDescent="0.3">
      <c r="A361" t="s">
        <v>390</v>
      </c>
      <c r="B361">
        <v>1996</v>
      </c>
      <c r="C361" t="s">
        <v>35</v>
      </c>
      <c r="D361">
        <v>10</v>
      </c>
      <c r="E361" s="13" t="s">
        <v>11088</v>
      </c>
      <c r="F361">
        <v>1</v>
      </c>
      <c r="G361" s="11">
        <v>3392.37</v>
      </c>
      <c r="H361" t="s">
        <v>11</v>
      </c>
      <c r="I361" t="s">
        <v>12</v>
      </c>
      <c r="J361" t="s">
        <v>13</v>
      </c>
    </row>
    <row r="362" spans="1:10" x14ac:dyDescent="0.3">
      <c r="A362" t="s">
        <v>391</v>
      </c>
      <c r="B362">
        <v>1996</v>
      </c>
      <c r="C362" t="s">
        <v>37</v>
      </c>
      <c r="D362">
        <v>27</v>
      </c>
      <c r="E362" s="13" t="s">
        <v>11089</v>
      </c>
      <c r="F362">
        <v>1</v>
      </c>
      <c r="G362" s="11">
        <v>3392.98</v>
      </c>
      <c r="H362" t="s">
        <v>11</v>
      </c>
      <c r="I362" t="s">
        <v>12</v>
      </c>
      <c r="J362" t="s">
        <v>13</v>
      </c>
    </row>
    <row r="363" spans="1:10" x14ac:dyDescent="0.3">
      <c r="A363" t="s">
        <v>392</v>
      </c>
      <c r="B363">
        <v>2004</v>
      </c>
      <c r="C363" t="s">
        <v>10</v>
      </c>
      <c r="D363">
        <v>16</v>
      </c>
      <c r="E363" s="13" t="s">
        <v>11090</v>
      </c>
      <c r="F363">
        <v>2</v>
      </c>
      <c r="G363" s="11">
        <v>3393.36</v>
      </c>
      <c r="H363" t="s">
        <v>11</v>
      </c>
      <c r="I363" t="s">
        <v>11</v>
      </c>
      <c r="J363" t="s">
        <v>249</v>
      </c>
    </row>
    <row r="364" spans="1:10" x14ac:dyDescent="0.3">
      <c r="A364" t="s">
        <v>393</v>
      </c>
      <c r="B364">
        <v>1996</v>
      </c>
      <c r="C364" t="s">
        <v>30</v>
      </c>
      <c r="D364">
        <v>19</v>
      </c>
      <c r="E364" s="13" t="s">
        <v>11091</v>
      </c>
      <c r="F364">
        <v>1</v>
      </c>
      <c r="G364" s="11">
        <v>3410.32</v>
      </c>
      <c r="H364" t="s">
        <v>11</v>
      </c>
      <c r="I364" t="s">
        <v>11</v>
      </c>
      <c r="J364" t="s">
        <v>42</v>
      </c>
    </row>
    <row r="365" spans="1:10" x14ac:dyDescent="0.3">
      <c r="A365" t="s">
        <v>394</v>
      </c>
      <c r="B365">
        <v>2001</v>
      </c>
      <c r="C365" t="s">
        <v>30</v>
      </c>
      <c r="D365">
        <v>26</v>
      </c>
      <c r="E365" s="13" t="s">
        <v>11092</v>
      </c>
      <c r="F365">
        <v>0</v>
      </c>
      <c r="G365" s="11">
        <v>3434.38</v>
      </c>
      <c r="H365" t="s">
        <v>11</v>
      </c>
      <c r="I365" t="s">
        <v>11</v>
      </c>
      <c r="J365" t="s">
        <v>42</v>
      </c>
    </row>
    <row r="366" spans="1:10" x14ac:dyDescent="0.3">
      <c r="A366" t="s">
        <v>395</v>
      </c>
      <c r="B366">
        <v>1986</v>
      </c>
      <c r="C366" t="s">
        <v>35</v>
      </c>
      <c r="D366">
        <v>27</v>
      </c>
      <c r="E366" s="13" t="s">
        <v>11093</v>
      </c>
      <c r="F366">
        <v>3</v>
      </c>
      <c r="G366" s="11">
        <v>3436.5</v>
      </c>
      <c r="H366" t="s">
        <v>11</v>
      </c>
      <c r="I366" t="s">
        <v>16</v>
      </c>
      <c r="J366" t="s">
        <v>13</v>
      </c>
    </row>
    <row r="367" spans="1:10" x14ac:dyDescent="0.3">
      <c r="A367" t="s">
        <v>396</v>
      </c>
      <c r="B367">
        <v>2000</v>
      </c>
      <c r="C367" t="s">
        <v>18</v>
      </c>
      <c r="D367">
        <v>20</v>
      </c>
      <c r="E367" s="13" t="s">
        <v>11094</v>
      </c>
      <c r="F367">
        <v>3</v>
      </c>
      <c r="G367" s="11">
        <v>3443.06</v>
      </c>
      <c r="H367" t="s">
        <v>11</v>
      </c>
      <c r="I367" t="s">
        <v>16</v>
      </c>
      <c r="J367" t="s">
        <v>42</v>
      </c>
    </row>
    <row r="368" spans="1:10" x14ac:dyDescent="0.3">
      <c r="A368" t="s">
        <v>397</v>
      </c>
      <c r="B368">
        <v>1987</v>
      </c>
      <c r="C368" t="s">
        <v>20</v>
      </c>
      <c r="D368">
        <v>14</v>
      </c>
      <c r="E368" s="13" t="s">
        <v>11095</v>
      </c>
      <c r="F368">
        <v>3</v>
      </c>
      <c r="G368" s="11">
        <v>3453.77</v>
      </c>
      <c r="H368" t="s">
        <v>11</v>
      </c>
      <c r="I368" t="s">
        <v>16</v>
      </c>
      <c r="J368" t="s">
        <v>42</v>
      </c>
    </row>
    <row r="369" spans="1:10" x14ac:dyDescent="0.3">
      <c r="A369" t="s">
        <v>398</v>
      </c>
      <c r="B369">
        <v>2003</v>
      </c>
      <c r="C369" t="s">
        <v>10</v>
      </c>
      <c r="D369">
        <v>29</v>
      </c>
      <c r="E369" s="13" t="s">
        <v>11096</v>
      </c>
      <c r="F369">
        <v>0</v>
      </c>
      <c r="G369" s="11">
        <v>3463.51</v>
      </c>
      <c r="H369" t="s">
        <v>11</v>
      </c>
      <c r="I369" t="s">
        <v>16</v>
      </c>
      <c r="J369" t="s">
        <v>200</v>
      </c>
    </row>
    <row r="370" spans="1:10" x14ac:dyDescent="0.3">
      <c r="A370" t="s">
        <v>399</v>
      </c>
      <c r="B370">
        <v>1993</v>
      </c>
      <c r="C370" t="s">
        <v>37</v>
      </c>
      <c r="D370">
        <v>12</v>
      </c>
      <c r="E370" s="13" t="s">
        <v>11097</v>
      </c>
      <c r="F370">
        <v>1</v>
      </c>
      <c r="G370" s="11">
        <v>3471.41</v>
      </c>
      <c r="H370" t="s">
        <v>11</v>
      </c>
      <c r="I370" t="s">
        <v>11</v>
      </c>
      <c r="J370" t="s">
        <v>13</v>
      </c>
    </row>
    <row r="371" spans="1:10" x14ac:dyDescent="0.3">
      <c r="A371" t="s">
        <v>400</v>
      </c>
      <c r="B371">
        <v>2004</v>
      </c>
      <c r="C371" t="s">
        <v>18</v>
      </c>
      <c r="D371">
        <v>26</v>
      </c>
      <c r="E371" s="13" t="s">
        <v>10772</v>
      </c>
      <c r="F371">
        <v>3</v>
      </c>
      <c r="G371" s="11">
        <v>3481.87</v>
      </c>
      <c r="H371" t="s">
        <v>11</v>
      </c>
      <c r="I371" t="s">
        <v>12</v>
      </c>
      <c r="J371" t="s">
        <v>168</v>
      </c>
    </row>
    <row r="372" spans="1:10" x14ac:dyDescent="0.3">
      <c r="A372" t="s">
        <v>401</v>
      </c>
      <c r="B372">
        <v>1996</v>
      </c>
      <c r="C372" t="s">
        <v>20</v>
      </c>
      <c r="D372">
        <v>19</v>
      </c>
      <c r="E372" s="13" t="s">
        <v>11098</v>
      </c>
      <c r="F372">
        <v>2</v>
      </c>
      <c r="G372" s="11">
        <v>3484.33</v>
      </c>
      <c r="H372" t="s">
        <v>12</v>
      </c>
      <c r="I372" t="s">
        <v>12</v>
      </c>
      <c r="J372" t="s">
        <v>42</v>
      </c>
    </row>
    <row r="373" spans="1:10" x14ac:dyDescent="0.3">
      <c r="A373" t="s">
        <v>402</v>
      </c>
      <c r="B373">
        <v>1996</v>
      </c>
      <c r="C373" t="s">
        <v>20</v>
      </c>
      <c r="D373">
        <v>18</v>
      </c>
      <c r="E373" s="13" t="s">
        <v>11099</v>
      </c>
      <c r="F373">
        <v>1</v>
      </c>
      <c r="G373" s="11">
        <v>3490.55</v>
      </c>
      <c r="H373" t="s">
        <v>16</v>
      </c>
      <c r="I373" t="s">
        <v>11</v>
      </c>
      <c r="J373" t="s">
        <v>164</v>
      </c>
    </row>
    <row r="374" spans="1:10" x14ac:dyDescent="0.3">
      <c r="A374" t="s">
        <v>403</v>
      </c>
      <c r="B374">
        <v>1999</v>
      </c>
      <c r="C374" t="s">
        <v>20</v>
      </c>
      <c r="D374">
        <v>22</v>
      </c>
      <c r="E374" s="13" t="s">
        <v>11100</v>
      </c>
      <c r="F374">
        <v>2</v>
      </c>
      <c r="G374" s="11">
        <v>3500.61</v>
      </c>
      <c r="H374" t="s">
        <v>11</v>
      </c>
      <c r="I374" t="s">
        <v>11</v>
      </c>
      <c r="J374" t="s">
        <v>13</v>
      </c>
    </row>
    <row r="375" spans="1:10" x14ac:dyDescent="0.3">
      <c r="A375" t="s">
        <v>404</v>
      </c>
      <c r="B375">
        <v>1998</v>
      </c>
      <c r="C375" t="s">
        <v>20</v>
      </c>
      <c r="D375">
        <v>16</v>
      </c>
      <c r="E375" s="13" t="s">
        <v>11101</v>
      </c>
      <c r="F375">
        <v>2</v>
      </c>
      <c r="G375" s="11">
        <v>3537.7</v>
      </c>
      <c r="H375" t="s">
        <v>12</v>
      </c>
      <c r="I375" t="s">
        <v>12</v>
      </c>
      <c r="J375" t="s">
        <v>23</v>
      </c>
    </row>
    <row r="376" spans="1:10" x14ac:dyDescent="0.3">
      <c r="A376" t="s">
        <v>405</v>
      </c>
      <c r="B376">
        <v>2003</v>
      </c>
      <c r="C376" t="s">
        <v>35</v>
      </c>
      <c r="D376">
        <v>24</v>
      </c>
      <c r="E376" s="13" t="s">
        <v>11102</v>
      </c>
      <c r="F376">
        <v>0</v>
      </c>
      <c r="G376" s="11">
        <v>3538.9</v>
      </c>
      <c r="H376" t="s">
        <v>11</v>
      </c>
      <c r="I376" t="s">
        <v>11</v>
      </c>
      <c r="J376" t="s">
        <v>23</v>
      </c>
    </row>
    <row r="377" spans="1:10" x14ac:dyDescent="0.3">
      <c r="A377" t="s">
        <v>406</v>
      </c>
      <c r="B377">
        <v>1988</v>
      </c>
      <c r="C377" t="s">
        <v>37</v>
      </c>
      <c r="D377">
        <v>15</v>
      </c>
      <c r="E377" s="13" t="s">
        <v>11103</v>
      </c>
      <c r="F377">
        <v>3</v>
      </c>
      <c r="G377" s="11">
        <v>3540.12</v>
      </c>
      <c r="H377" t="s">
        <v>11</v>
      </c>
      <c r="I377" t="s">
        <v>16</v>
      </c>
      <c r="J377" t="s">
        <v>13</v>
      </c>
    </row>
    <row r="378" spans="1:10" x14ac:dyDescent="0.3">
      <c r="A378" t="s">
        <v>407</v>
      </c>
      <c r="B378">
        <v>1992</v>
      </c>
      <c r="C378" t="s">
        <v>30</v>
      </c>
      <c r="D378">
        <v>22</v>
      </c>
      <c r="E378" s="13" t="s">
        <v>11104</v>
      </c>
      <c r="F378">
        <v>0</v>
      </c>
      <c r="G378" s="11">
        <v>3554.2</v>
      </c>
      <c r="H378" t="s">
        <v>11</v>
      </c>
      <c r="I378" t="s">
        <v>12</v>
      </c>
      <c r="J378" t="s">
        <v>42</v>
      </c>
    </row>
    <row r="379" spans="1:10" x14ac:dyDescent="0.3">
      <c r="A379" t="s">
        <v>408</v>
      </c>
      <c r="B379">
        <v>1994</v>
      </c>
      <c r="C379" t="s">
        <v>20</v>
      </c>
      <c r="D379">
        <v>24</v>
      </c>
      <c r="E379" s="13" t="s">
        <v>11105</v>
      </c>
      <c r="F379">
        <v>0</v>
      </c>
      <c r="G379" s="11">
        <v>3556.92</v>
      </c>
      <c r="H379" t="s">
        <v>11</v>
      </c>
      <c r="I379" t="s">
        <v>12</v>
      </c>
      <c r="J379" t="s">
        <v>23</v>
      </c>
    </row>
    <row r="380" spans="1:10" x14ac:dyDescent="0.3">
      <c r="A380" t="s">
        <v>409</v>
      </c>
      <c r="B380">
        <v>1995</v>
      </c>
      <c r="C380" t="s">
        <v>37</v>
      </c>
      <c r="D380">
        <v>9</v>
      </c>
      <c r="E380" s="13" t="s">
        <v>11106</v>
      </c>
      <c r="F380">
        <v>0</v>
      </c>
      <c r="G380" s="11">
        <v>3558.62</v>
      </c>
      <c r="H380" t="s">
        <v>11</v>
      </c>
      <c r="I380" t="s">
        <v>12</v>
      </c>
      <c r="J380" t="s">
        <v>247</v>
      </c>
    </row>
    <row r="381" spans="1:10" x14ac:dyDescent="0.3">
      <c r="A381" t="s">
        <v>410</v>
      </c>
      <c r="B381">
        <v>1995</v>
      </c>
      <c r="C381" t="s">
        <v>18</v>
      </c>
      <c r="D381">
        <v>16</v>
      </c>
      <c r="E381" s="13" t="s">
        <v>11107</v>
      </c>
      <c r="F381">
        <v>1</v>
      </c>
      <c r="G381" s="11">
        <v>3561.89</v>
      </c>
      <c r="H381" t="s">
        <v>11</v>
      </c>
      <c r="I381" t="s">
        <v>16</v>
      </c>
      <c r="J381" t="s">
        <v>13</v>
      </c>
    </row>
    <row r="382" spans="1:10" x14ac:dyDescent="0.3">
      <c r="A382" t="s">
        <v>411</v>
      </c>
      <c r="B382">
        <v>1981</v>
      </c>
      <c r="C382" t="s">
        <v>37</v>
      </c>
      <c r="D382">
        <v>10</v>
      </c>
      <c r="E382" s="13" t="s">
        <v>11108</v>
      </c>
      <c r="F382">
        <v>1</v>
      </c>
      <c r="G382" s="11">
        <v>3562.87</v>
      </c>
      <c r="H382" t="s">
        <v>11</v>
      </c>
      <c r="I382" t="s">
        <v>16</v>
      </c>
      <c r="J382" t="s">
        <v>13</v>
      </c>
    </row>
    <row r="383" spans="1:10" x14ac:dyDescent="0.3">
      <c r="A383" t="s">
        <v>412</v>
      </c>
      <c r="B383">
        <v>1988</v>
      </c>
      <c r="C383" t="s">
        <v>35</v>
      </c>
      <c r="D383">
        <v>18</v>
      </c>
      <c r="E383" s="13" t="s">
        <v>11109</v>
      </c>
      <c r="F383">
        <v>3</v>
      </c>
      <c r="G383" s="11">
        <v>3569.96</v>
      </c>
      <c r="H383" t="s">
        <v>11</v>
      </c>
      <c r="I383" t="s">
        <v>16</v>
      </c>
      <c r="J383" t="s">
        <v>23</v>
      </c>
    </row>
    <row r="384" spans="1:10" x14ac:dyDescent="0.3">
      <c r="A384" t="s">
        <v>413</v>
      </c>
      <c r="B384">
        <v>1995</v>
      </c>
      <c r="C384" t="s">
        <v>35</v>
      </c>
      <c r="D384">
        <v>23</v>
      </c>
      <c r="E384" s="13" t="s">
        <v>11110</v>
      </c>
      <c r="F384">
        <v>1</v>
      </c>
      <c r="G384" s="11">
        <v>3578</v>
      </c>
      <c r="H384" t="s">
        <v>11</v>
      </c>
      <c r="I384" t="s">
        <v>12</v>
      </c>
      <c r="J384" t="s">
        <v>42</v>
      </c>
    </row>
    <row r="385" spans="1:10" x14ac:dyDescent="0.3">
      <c r="A385" t="s">
        <v>414</v>
      </c>
      <c r="B385">
        <v>2001</v>
      </c>
      <c r="C385" t="s">
        <v>15</v>
      </c>
      <c r="D385">
        <v>11</v>
      </c>
      <c r="E385" s="13" t="s">
        <v>11111</v>
      </c>
      <c r="F385">
        <v>2</v>
      </c>
      <c r="G385" s="11">
        <v>3579.83</v>
      </c>
      <c r="H385" t="s">
        <v>11</v>
      </c>
      <c r="I385" t="s">
        <v>11</v>
      </c>
      <c r="J385" t="s">
        <v>23</v>
      </c>
    </row>
    <row r="386" spans="1:10" x14ac:dyDescent="0.3">
      <c r="A386" t="s">
        <v>415</v>
      </c>
      <c r="B386">
        <v>1986</v>
      </c>
      <c r="C386" t="s">
        <v>30</v>
      </c>
      <c r="D386">
        <v>27</v>
      </c>
      <c r="E386" s="13" t="s">
        <v>10827</v>
      </c>
      <c r="F386">
        <v>3</v>
      </c>
      <c r="G386" s="11">
        <v>3589.14</v>
      </c>
      <c r="H386" t="s">
        <v>11</v>
      </c>
      <c r="I386" t="s">
        <v>11</v>
      </c>
      <c r="J386" t="s">
        <v>13</v>
      </c>
    </row>
    <row r="387" spans="1:10" x14ac:dyDescent="0.3">
      <c r="A387" t="s">
        <v>416</v>
      </c>
      <c r="B387">
        <v>1999</v>
      </c>
      <c r="C387" t="s">
        <v>18</v>
      </c>
      <c r="D387">
        <v>6</v>
      </c>
      <c r="E387" s="13" t="s">
        <v>11112</v>
      </c>
      <c r="F387">
        <v>3</v>
      </c>
      <c r="G387" s="11">
        <v>3591.48</v>
      </c>
      <c r="H387" t="s">
        <v>11</v>
      </c>
      <c r="I387" t="s">
        <v>12</v>
      </c>
      <c r="J387" t="s">
        <v>42</v>
      </c>
    </row>
    <row r="388" spans="1:10" x14ac:dyDescent="0.3">
      <c r="A388" t="s">
        <v>417</v>
      </c>
      <c r="B388">
        <v>1997</v>
      </c>
      <c r="C388" t="s">
        <v>15</v>
      </c>
      <c r="D388">
        <v>4</v>
      </c>
      <c r="E388" s="13" t="s">
        <v>11113</v>
      </c>
      <c r="F388">
        <v>1</v>
      </c>
      <c r="G388" s="11">
        <v>3594.17</v>
      </c>
      <c r="H388" t="s">
        <v>11</v>
      </c>
      <c r="I388" t="s">
        <v>11</v>
      </c>
      <c r="J388" t="s">
        <v>23</v>
      </c>
    </row>
    <row r="389" spans="1:10" x14ac:dyDescent="0.3">
      <c r="A389" t="s">
        <v>418</v>
      </c>
      <c r="B389">
        <v>1999</v>
      </c>
      <c r="C389" t="s">
        <v>35</v>
      </c>
      <c r="D389">
        <v>12</v>
      </c>
      <c r="E389" s="13" t="s">
        <v>11114</v>
      </c>
      <c r="F389">
        <v>3</v>
      </c>
      <c r="G389" s="11">
        <v>3597.6</v>
      </c>
      <c r="H389" t="s">
        <v>11</v>
      </c>
      <c r="I389" t="s">
        <v>11</v>
      </c>
      <c r="J389" t="s">
        <v>42</v>
      </c>
    </row>
    <row r="390" spans="1:10" x14ac:dyDescent="0.3">
      <c r="A390" t="s">
        <v>419</v>
      </c>
      <c r="B390">
        <v>1988</v>
      </c>
      <c r="C390" t="s">
        <v>15</v>
      </c>
      <c r="D390">
        <v>4</v>
      </c>
      <c r="E390" s="13" t="s">
        <v>11115</v>
      </c>
      <c r="F390">
        <v>3</v>
      </c>
      <c r="G390" s="11">
        <v>3603.6</v>
      </c>
      <c r="H390" t="s">
        <v>11</v>
      </c>
      <c r="I390" t="s">
        <v>16</v>
      </c>
      <c r="J390" t="s">
        <v>13</v>
      </c>
    </row>
    <row r="391" spans="1:10" x14ac:dyDescent="0.3">
      <c r="A391" t="s">
        <v>420</v>
      </c>
      <c r="B391">
        <v>1990</v>
      </c>
      <c r="C391" t="s">
        <v>37</v>
      </c>
      <c r="D391">
        <v>11</v>
      </c>
      <c r="E391" s="13" t="s">
        <v>11116</v>
      </c>
      <c r="F391">
        <v>3</v>
      </c>
      <c r="G391" s="11">
        <v>3606.43</v>
      </c>
      <c r="H391" t="s">
        <v>11</v>
      </c>
      <c r="I391" t="s">
        <v>16</v>
      </c>
      <c r="J391" t="s">
        <v>13</v>
      </c>
    </row>
    <row r="392" spans="1:10" x14ac:dyDescent="0.3">
      <c r="A392" t="s">
        <v>421</v>
      </c>
      <c r="B392">
        <v>1985</v>
      </c>
      <c r="C392" t="s">
        <v>18</v>
      </c>
      <c r="D392">
        <v>14</v>
      </c>
      <c r="E392" s="13" t="s">
        <v>11117</v>
      </c>
      <c r="F392">
        <v>3</v>
      </c>
      <c r="G392" s="11">
        <v>3622.13</v>
      </c>
      <c r="H392" t="s">
        <v>11</v>
      </c>
      <c r="I392" t="s">
        <v>16</v>
      </c>
      <c r="J392" t="s">
        <v>13</v>
      </c>
    </row>
    <row r="393" spans="1:10" x14ac:dyDescent="0.3">
      <c r="A393" t="s">
        <v>422</v>
      </c>
      <c r="B393">
        <v>1992</v>
      </c>
      <c r="C393" t="s">
        <v>15</v>
      </c>
      <c r="D393">
        <v>17</v>
      </c>
      <c r="E393" s="13" t="s">
        <v>11118</v>
      </c>
      <c r="F393">
        <v>0</v>
      </c>
      <c r="G393" s="11">
        <v>3645.09</v>
      </c>
      <c r="H393" t="s">
        <v>16</v>
      </c>
      <c r="I393" t="s">
        <v>11</v>
      </c>
      <c r="J393" t="s">
        <v>276</v>
      </c>
    </row>
    <row r="394" spans="1:10" x14ac:dyDescent="0.3">
      <c r="A394" t="s">
        <v>423</v>
      </c>
      <c r="B394">
        <v>1990</v>
      </c>
      <c r="C394" t="s">
        <v>15</v>
      </c>
      <c r="D394">
        <v>8</v>
      </c>
      <c r="E394" s="13" t="s">
        <v>11119</v>
      </c>
      <c r="F394">
        <v>3</v>
      </c>
      <c r="G394" s="11">
        <v>3653.29</v>
      </c>
      <c r="H394" t="s">
        <v>11</v>
      </c>
      <c r="I394" t="s">
        <v>12</v>
      </c>
      <c r="J394" t="s">
        <v>42</v>
      </c>
    </row>
    <row r="395" spans="1:10" x14ac:dyDescent="0.3">
      <c r="A395" t="s">
        <v>424</v>
      </c>
      <c r="B395">
        <v>1992</v>
      </c>
      <c r="C395" t="s">
        <v>20</v>
      </c>
      <c r="D395">
        <v>14</v>
      </c>
      <c r="E395" s="13" t="s">
        <v>11120</v>
      </c>
      <c r="F395">
        <v>1</v>
      </c>
      <c r="G395" s="11">
        <v>3659.35</v>
      </c>
      <c r="H395" t="s">
        <v>12</v>
      </c>
      <c r="I395" t="s">
        <v>16</v>
      </c>
      <c r="J395" t="s">
        <v>42</v>
      </c>
    </row>
    <row r="396" spans="1:10" x14ac:dyDescent="0.3">
      <c r="A396" t="s">
        <v>425</v>
      </c>
      <c r="B396">
        <v>1984</v>
      </c>
      <c r="C396" t="s">
        <v>10</v>
      </c>
      <c r="D396">
        <v>6</v>
      </c>
      <c r="E396" s="13" t="s">
        <v>11121</v>
      </c>
      <c r="F396">
        <v>3</v>
      </c>
      <c r="G396" s="11">
        <v>3678.86</v>
      </c>
      <c r="H396" t="s">
        <v>11</v>
      </c>
      <c r="I396" t="s">
        <v>12</v>
      </c>
      <c r="J396" t="s">
        <v>13</v>
      </c>
    </row>
    <row r="397" spans="1:10" x14ac:dyDescent="0.3">
      <c r="A397" t="s">
        <v>426</v>
      </c>
      <c r="B397">
        <v>2003</v>
      </c>
      <c r="C397" t="s">
        <v>10</v>
      </c>
      <c r="D397">
        <v>10</v>
      </c>
      <c r="E397" s="13" t="s">
        <v>11122</v>
      </c>
      <c r="F397">
        <v>0</v>
      </c>
      <c r="G397" s="11">
        <v>3688.35</v>
      </c>
      <c r="H397" t="s">
        <v>11</v>
      </c>
      <c r="I397" t="s">
        <v>11</v>
      </c>
      <c r="J397" t="s">
        <v>300</v>
      </c>
    </row>
    <row r="398" spans="1:10" x14ac:dyDescent="0.3">
      <c r="A398" t="s">
        <v>427</v>
      </c>
      <c r="B398">
        <v>1981</v>
      </c>
      <c r="C398" t="s">
        <v>30</v>
      </c>
      <c r="D398">
        <v>14</v>
      </c>
      <c r="E398" s="13" t="s">
        <v>11107</v>
      </c>
      <c r="F398">
        <v>1</v>
      </c>
      <c r="G398" s="11">
        <v>3688.38</v>
      </c>
      <c r="H398" t="s">
        <v>11</v>
      </c>
      <c r="I398" t="s">
        <v>11</v>
      </c>
      <c r="J398" t="s">
        <v>13</v>
      </c>
    </row>
    <row r="399" spans="1:10" x14ac:dyDescent="0.3">
      <c r="A399" t="s">
        <v>428</v>
      </c>
      <c r="B399">
        <v>1995</v>
      </c>
      <c r="C399" t="s">
        <v>37</v>
      </c>
      <c r="D399">
        <v>21</v>
      </c>
      <c r="E399" s="13" t="s">
        <v>11123</v>
      </c>
      <c r="F399">
        <v>2</v>
      </c>
      <c r="G399" s="11">
        <v>3693.43</v>
      </c>
      <c r="H399" t="s">
        <v>11</v>
      </c>
      <c r="I399" t="s">
        <v>12</v>
      </c>
      <c r="J399" t="s">
        <v>42</v>
      </c>
    </row>
    <row r="400" spans="1:10" x14ac:dyDescent="0.3">
      <c r="A400" t="s">
        <v>429</v>
      </c>
      <c r="B400">
        <v>1988</v>
      </c>
      <c r="C400" t="s">
        <v>35</v>
      </c>
      <c r="D400">
        <v>18</v>
      </c>
      <c r="E400" s="13" t="s">
        <v>11124</v>
      </c>
      <c r="F400">
        <v>3</v>
      </c>
      <c r="G400" s="11">
        <v>3699.54</v>
      </c>
      <c r="H400" t="s">
        <v>11</v>
      </c>
      <c r="I400" t="s">
        <v>12</v>
      </c>
      <c r="J400" t="s">
        <v>13</v>
      </c>
    </row>
    <row r="401" spans="1:10" x14ac:dyDescent="0.3">
      <c r="A401" t="s">
        <v>430</v>
      </c>
      <c r="B401">
        <v>1989</v>
      </c>
      <c r="C401" t="s">
        <v>30</v>
      </c>
      <c r="D401">
        <v>2</v>
      </c>
      <c r="E401" s="13" t="s">
        <v>11125</v>
      </c>
      <c r="F401">
        <v>0</v>
      </c>
      <c r="G401" s="11">
        <v>3704.35</v>
      </c>
      <c r="H401" t="s">
        <v>11</v>
      </c>
      <c r="I401" t="s">
        <v>11</v>
      </c>
      <c r="J401" t="s">
        <v>13</v>
      </c>
    </row>
    <row r="402" spans="1:10" x14ac:dyDescent="0.3">
      <c r="A402" t="s">
        <v>431</v>
      </c>
      <c r="B402">
        <v>2004</v>
      </c>
      <c r="C402" t="s">
        <v>15</v>
      </c>
      <c r="D402">
        <v>5</v>
      </c>
      <c r="E402" s="13" t="s">
        <v>11126</v>
      </c>
      <c r="F402">
        <v>0</v>
      </c>
      <c r="G402" s="11">
        <v>3722.23</v>
      </c>
      <c r="H402" t="s">
        <v>11</v>
      </c>
      <c r="I402" t="s">
        <v>11</v>
      </c>
      <c r="J402" t="s">
        <v>200</v>
      </c>
    </row>
    <row r="403" spans="1:10" x14ac:dyDescent="0.3">
      <c r="A403" t="s">
        <v>432</v>
      </c>
      <c r="B403">
        <v>1986</v>
      </c>
      <c r="C403" t="s">
        <v>30</v>
      </c>
      <c r="D403">
        <v>1</v>
      </c>
      <c r="E403" s="13" t="s">
        <v>11127</v>
      </c>
      <c r="F403">
        <v>3</v>
      </c>
      <c r="G403" s="11">
        <v>3731.6</v>
      </c>
      <c r="H403" t="s">
        <v>11</v>
      </c>
      <c r="I403" t="s">
        <v>11</v>
      </c>
      <c r="J403" t="s">
        <v>13</v>
      </c>
    </row>
    <row r="404" spans="1:10" x14ac:dyDescent="0.3">
      <c r="A404" t="s">
        <v>433</v>
      </c>
      <c r="B404">
        <v>1994</v>
      </c>
      <c r="C404" t="s">
        <v>35</v>
      </c>
      <c r="D404">
        <v>22</v>
      </c>
      <c r="E404" s="13" t="s">
        <v>11128</v>
      </c>
      <c r="F404">
        <v>0</v>
      </c>
      <c r="G404" s="11">
        <v>3732.63</v>
      </c>
      <c r="H404" t="s">
        <v>11</v>
      </c>
      <c r="I404" t="s">
        <v>12</v>
      </c>
      <c r="J404" t="s">
        <v>247</v>
      </c>
    </row>
    <row r="405" spans="1:10" x14ac:dyDescent="0.3">
      <c r="A405" t="s">
        <v>434</v>
      </c>
      <c r="B405">
        <v>1993</v>
      </c>
      <c r="C405" t="s">
        <v>18</v>
      </c>
      <c r="D405">
        <v>22</v>
      </c>
      <c r="E405" s="13" t="s">
        <v>11129</v>
      </c>
      <c r="F405">
        <v>0</v>
      </c>
      <c r="G405" s="11">
        <v>3736.46</v>
      </c>
      <c r="H405" t="s">
        <v>11</v>
      </c>
      <c r="I405" t="s">
        <v>11</v>
      </c>
      <c r="J405" t="s">
        <v>23</v>
      </c>
    </row>
    <row r="406" spans="1:10" x14ac:dyDescent="0.3">
      <c r="A406" t="s">
        <v>435</v>
      </c>
      <c r="B406">
        <v>1986</v>
      </c>
      <c r="C406" t="s">
        <v>20</v>
      </c>
      <c r="D406">
        <v>9</v>
      </c>
      <c r="E406" s="13" t="s">
        <v>11130</v>
      </c>
      <c r="F406">
        <v>3</v>
      </c>
      <c r="G406" s="11">
        <v>3748.56</v>
      </c>
      <c r="H406" t="s">
        <v>11</v>
      </c>
      <c r="I406" t="s">
        <v>11</v>
      </c>
      <c r="J406" t="s">
        <v>13</v>
      </c>
    </row>
    <row r="407" spans="1:10" x14ac:dyDescent="0.3">
      <c r="A407" t="s">
        <v>436</v>
      </c>
      <c r="B407">
        <v>1991</v>
      </c>
      <c r="C407" t="s">
        <v>37</v>
      </c>
      <c r="D407">
        <v>28</v>
      </c>
      <c r="E407" s="13" t="s">
        <v>11131</v>
      </c>
      <c r="F407">
        <v>0</v>
      </c>
      <c r="G407" s="11">
        <v>3756.62</v>
      </c>
      <c r="H407" t="s">
        <v>11</v>
      </c>
      <c r="I407" t="s">
        <v>11</v>
      </c>
      <c r="J407" t="s">
        <v>13</v>
      </c>
    </row>
    <row r="408" spans="1:10" x14ac:dyDescent="0.3">
      <c r="A408" t="s">
        <v>437</v>
      </c>
      <c r="B408">
        <v>1991</v>
      </c>
      <c r="C408" t="s">
        <v>35</v>
      </c>
      <c r="D408">
        <v>25</v>
      </c>
      <c r="E408" s="13" t="s">
        <v>11132</v>
      </c>
      <c r="F408">
        <v>0</v>
      </c>
      <c r="G408" s="11">
        <v>3757.84</v>
      </c>
      <c r="H408" t="s">
        <v>11</v>
      </c>
      <c r="I408" t="s">
        <v>16</v>
      </c>
      <c r="J408" t="s">
        <v>13</v>
      </c>
    </row>
    <row r="409" spans="1:10" x14ac:dyDescent="0.3">
      <c r="A409" t="s">
        <v>438</v>
      </c>
      <c r="B409">
        <v>1991</v>
      </c>
      <c r="C409" t="s">
        <v>37</v>
      </c>
      <c r="D409">
        <v>24</v>
      </c>
      <c r="E409" s="13" t="s">
        <v>11133</v>
      </c>
      <c r="F409">
        <v>0</v>
      </c>
      <c r="G409" s="11">
        <v>3761.29</v>
      </c>
      <c r="H409" t="s">
        <v>11</v>
      </c>
      <c r="I409" t="s">
        <v>12</v>
      </c>
      <c r="J409" t="s">
        <v>42</v>
      </c>
    </row>
    <row r="410" spans="1:10" x14ac:dyDescent="0.3">
      <c r="A410" t="s">
        <v>439</v>
      </c>
      <c r="B410">
        <v>1994</v>
      </c>
      <c r="C410" t="s">
        <v>15</v>
      </c>
      <c r="D410">
        <v>21</v>
      </c>
      <c r="E410" s="13" t="s">
        <v>11134</v>
      </c>
      <c r="F410">
        <v>1</v>
      </c>
      <c r="G410" s="11">
        <v>3766.88</v>
      </c>
      <c r="H410" t="s">
        <v>11</v>
      </c>
      <c r="I410" t="s">
        <v>16</v>
      </c>
      <c r="J410" t="s">
        <v>13</v>
      </c>
    </row>
    <row r="411" spans="1:10" x14ac:dyDescent="0.3">
      <c r="A411" t="s">
        <v>440</v>
      </c>
      <c r="B411">
        <v>1987</v>
      </c>
      <c r="C411" t="s">
        <v>37</v>
      </c>
      <c r="D411">
        <v>24</v>
      </c>
      <c r="E411" s="13" t="s">
        <v>11135</v>
      </c>
      <c r="F411">
        <v>3</v>
      </c>
      <c r="G411" s="11">
        <v>3773.23</v>
      </c>
      <c r="H411" t="s">
        <v>11</v>
      </c>
      <c r="I411" t="s">
        <v>12</v>
      </c>
      <c r="J411" t="s">
        <v>13</v>
      </c>
    </row>
    <row r="412" spans="1:10" x14ac:dyDescent="0.3">
      <c r="A412" t="s">
        <v>441</v>
      </c>
      <c r="B412">
        <v>1981</v>
      </c>
      <c r="C412" t="s">
        <v>30</v>
      </c>
      <c r="D412">
        <v>13</v>
      </c>
      <c r="E412" s="13" t="s">
        <v>11136</v>
      </c>
      <c r="F412">
        <v>1</v>
      </c>
      <c r="G412" s="11">
        <v>3785.77</v>
      </c>
      <c r="H412" t="s">
        <v>11</v>
      </c>
      <c r="I412" t="s">
        <v>16</v>
      </c>
      <c r="J412" t="s">
        <v>13</v>
      </c>
    </row>
    <row r="413" spans="1:10" x14ac:dyDescent="0.3">
      <c r="A413" t="s">
        <v>442</v>
      </c>
      <c r="B413">
        <v>1988</v>
      </c>
      <c r="C413" t="s">
        <v>35</v>
      </c>
      <c r="D413">
        <v>28</v>
      </c>
      <c r="E413" s="13" t="s">
        <v>11137</v>
      </c>
      <c r="F413">
        <v>3</v>
      </c>
      <c r="G413" s="11">
        <v>3793.55</v>
      </c>
      <c r="H413" t="s">
        <v>11</v>
      </c>
      <c r="I413" t="s">
        <v>12</v>
      </c>
      <c r="J413" t="s">
        <v>13</v>
      </c>
    </row>
    <row r="414" spans="1:10" x14ac:dyDescent="0.3">
      <c r="A414" t="s">
        <v>443</v>
      </c>
      <c r="B414">
        <v>1999</v>
      </c>
      <c r="C414" t="s">
        <v>18</v>
      </c>
      <c r="D414">
        <v>24</v>
      </c>
      <c r="E414" s="13" t="s">
        <v>11138</v>
      </c>
      <c r="F414">
        <v>0</v>
      </c>
      <c r="G414" s="11">
        <v>3796.36</v>
      </c>
      <c r="H414" t="s">
        <v>11</v>
      </c>
      <c r="I414" t="s">
        <v>12</v>
      </c>
      <c r="J414" t="s">
        <v>23</v>
      </c>
    </row>
    <row r="415" spans="1:10" x14ac:dyDescent="0.3">
      <c r="A415" t="s">
        <v>444</v>
      </c>
      <c r="B415">
        <v>1981</v>
      </c>
      <c r="C415" t="s">
        <v>20</v>
      </c>
      <c r="D415">
        <v>29</v>
      </c>
      <c r="E415" s="13" t="s">
        <v>11139</v>
      </c>
      <c r="F415">
        <v>1</v>
      </c>
      <c r="G415" s="11">
        <v>3797.2</v>
      </c>
      <c r="H415" t="s">
        <v>11</v>
      </c>
      <c r="I415" t="s">
        <v>12</v>
      </c>
      <c r="J415" t="s">
        <v>23</v>
      </c>
    </row>
    <row r="416" spans="1:10" x14ac:dyDescent="0.3">
      <c r="A416" t="s">
        <v>445</v>
      </c>
      <c r="B416">
        <v>1994</v>
      </c>
      <c r="C416" t="s">
        <v>35</v>
      </c>
      <c r="D416">
        <v>12</v>
      </c>
      <c r="E416" s="13" t="s">
        <v>11140</v>
      </c>
      <c r="F416">
        <v>2</v>
      </c>
      <c r="G416" s="11">
        <v>3847.67</v>
      </c>
      <c r="H416" t="s">
        <v>12</v>
      </c>
      <c r="I416" t="s">
        <v>11</v>
      </c>
      <c r="J416" t="s">
        <v>42</v>
      </c>
    </row>
    <row r="417" spans="1:10" x14ac:dyDescent="0.3">
      <c r="A417" t="s">
        <v>446</v>
      </c>
      <c r="B417">
        <v>1991</v>
      </c>
      <c r="C417" t="s">
        <v>35</v>
      </c>
      <c r="D417">
        <v>19</v>
      </c>
      <c r="E417" s="13" t="s">
        <v>11141</v>
      </c>
      <c r="F417">
        <v>0</v>
      </c>
      <c r="G417" s="11">
        <v>3857.76</v>
      </c>
      <c r="H417" t="s">
        <v>12</v>
      </c>
      <c r="I417" t="s">
        <v>16</v>
      </c>
      <c r="J417" t="s">
        <v>168</v>
      </c>
    </row>
    <row r="418" spans="1:10" x14ac:dyDescent="0.3">
      <c r="A418" t="s">
        <v>447</v>
      </c>
      <c r="B418">
        <v>2001</v>
      </c>
      <c r="C418" t="s">
        <v>18</v>
      </c>
      <c r="D418">
        <v>6</v>
      </c>
      <c r="E418" s="13" t="s">
        <v>11142</v>
      </c>
      <c r="F418">
        <v>0</v>
      </c>
      <c r="G418" s="11">
        <v>3858.51</v>
      </c>
      <c r="H418" t="s">
        <v>11</v>
      </c>
      <c r="I418" t="s">
        <v>12</v>
      </c>
      <c r="J418" t="s">
        <v>200</v>
      </c>
    </row>
    <row r="419" spans="1:10" x14ac:dyDescent="0.3">
      <c r="A419" t="s">
        <v>448</v>
      </c>
      <c r="B419">
        <v>2001</v>
      </c>
      <c r="C419" t="s">
        <v>37</v>
      </c>
      <c r="D419">
        <v>18</v>
      </c>
      <c r="E419" s="13" t="s">
        <v>11143</v>
      </c>
      <c r="F419">
        <v>3</v>
      </c>
      <c r="G419" s="11">
        <v>3861.21</v>
      </c>
      <c r="H419" t="s">
        <v>11</v>
      </c>
      <c r="I419" t="s">
        <v>11</v>
      </c>
      <c r="J419" t="s">
        <v>168</v>
      </c>
    </row>
    <row r="420" spans="1:10" x14ac:dyDescent="0.3">
      <c r="A420" t="s">
        <v>449</v>
      </c>
      <c r="B420">
        <v>1990</v>
      </c>
      <c r="C420" t="s">
        <v>18</v>
      </c>
      <c r="D420">
        <v>24</v>
      </c>
      <c r="E420" s="13" t="s">
        <v>11144</v>
      </c>
      <c r="F420">
        <v>0</v>
      </c>
      <c r="G420" s="11">
        <v>3866.86</v>
      </c>
      <c r="H420" t="s">
        <v>16</v>
      </c>
      <c r="I420" t="s">
        <v>16</v>
      </c>
      <c r="J420" t="s">
        <v>23</v>
      </c>
    </row>
    <row r="421" spans="1:10" x14ac:dyDescent="0.3">
      <c r="A421" t="s">
        <v>450</v>
      </c>
      <c r="B421">
        <v>1991</v>
      </c>
      <c r="C421" t="s">
        <v>10</v>
      </c>
      <c r="D421">
        <v>25</v>
      </c>
      <c r="E421" s="13" t="s">
        <v>11145</v>
      </c>
      <c r="F421">
        <v>1</v>
      </c>
      <c r="G421" s="11">
        <v>3875.73</v>
      </c>
      <c r="H421" t="s">
        <v>11</v>
      </c>
      <c r="I421" t="s">
        <v>12</v>
      </c>
      <c r="J421" t="s">
        <v>13</v>
      </c>
    </row>
    <row r="422" spans="1:10" x14ac:dyDescent="0.3">
      <c r="A422" t="s">
        <v>451</v>
      </c>
      <c r="B422">
        <v>1996</v>
      </c>
      <c r="C422" t="s">
        <v>37</v>
      </c>
      <c r="D422">
        <v>23</v>
      </c>
      <c r="E422" s="13" t="s">
        <v>11146</v>
      </c>
      <c r="F422">
        <v>2</v>
      </c>
      <c r="G422" s="11">
        <v>3877.3</v>
      </c>
      <c r="H422" t="s">
        <v>16</v>
      </c>
      <c r="I422" t="s">
        <v>12</v>
      </c>
      <c r="J422" t="s">
        <v>23</v>
      </c>
    </row>
    <row r="423" spans="1:10" x14ac:dyDescent="0.3">
      <c r="A423" t="s">
        <v>452</v>
      </c>
      <c r="B423">
        <v>2004</v>
      </c>
      <c r="C423" t="s">
        <v>10</v>
      </c>
      <c r="D423">
        <v>13</v>
      </c>
      <c r="E423" s="13" t="s">
        <v>11147</v>
      </c>
      <c r="F423">
        <v>0</v>
      </c>
      <c r="G423" s="11">
        <v>3889.2</v>
      </c>
      <c r="H423" t="s">
        <v>11</v>
      </c>
      <c r="I423" t="s">
        <v>11</v>
      </c>
      <c r="J423" t="s">
        <v>23</v>
      </c>
    </row>
    <row r="424" spans="1:10" x14ac:dyDescent="0.3">
      <c r="A424" t="s">
        <v>453</v>
      </c>
      <c r="B424">
        <v>1993</v>
      </c>
      <c r="C424" t="s">
        <v>20</v>
      </c>
      <c r="D424">
        <v>14</v>
      </c>
      <c r="E424" s="13" t="s">
        <v>11148</v>
      </c>
      <c r="F424">
        <v>0</v>
      </c>
      <c r="G424" s="11">
        <v>3898.35</v>
      </c>
      <c r="H424" t="s">
        <v>11</v>
      </c>
      <c r="I424" t="s">
        <v>11</v>
      </c>
      <c r="J424" t="s">
        <v>23</v>
      </c>
    </row>
    <row r="425" spans="1:10" x14ac:dyDescent="0.3">
      <c r="A425" t="s">
        <v>454</v>
      </c>
      <c r="B425">
        <v>1981</v>
      </c>
      <c r="C425" t="s">
        <v>35</v>
      </c>
      <c r="D425">
        <v>27</v>
      </c>
      <c r="E425" s="13" t="s">
        <v>11149</v>
      </c>
      <c r="F425">
        <v>1</v>
      </c>
      <c r="G425" s="11">
        <v>3902.07</v>
      </c>
      <c r="H425" t="s">
        <v>11</v>
      </c>
      <c r="I425" t="s">
        <v>11</v>
      </c>
      <c r="J425" t="s">
        <v>13</v>
      </c>
    </row>
    <row r="426" spans="1:10" x14ac:dyDescent="0.3">
      <c r="A426" t="s">
        <v>455</v>
      </c>
      <c r="B426">
        <v>1997</v>
      </c>
      <c r="C426" t="s">
        <v>15</v>
      </c>
      <c r="D426">
        <v>24</v>
      </c>
      <c r="E426" s="13" t="s">
        <v>11150</v>
      </c>
      <c r="F426">
        <v>3</v>
      </c>
      <c r="G426" s="11">
        <v>3906.13</v>
      </c>
      <c r="H426" t="s">
        <v>12</v>
      </c>
      <c r="I426" t="s">
        <v>12</v>
      </c>
      <c r="J426" t="s">
        <v>42</v>
      </c>
    </row>
    <row r="427" spans="1:10" x14ac:dyDescent="0.3">
      <c r="A427" t="s">
        <v>456</v>
      </c>
      <c r="B427">
        <v>1985</v>
      </c>
      <c r="C427" t="s">
        <v>10</v>
      </c>
      <c r="D427">
        <v>5</v>
      </c>
      <c r="E427" s="13" t="s">
        <v>11151</v>
      </c>
      <c r="F427">
        <v>3</v>
      </c>
      <c r="G427" s="11">
        <v>3910.44</v>
      </c>
      <c r="H427" t="s">
        <v>11</v>
      </c>
      <c r="I427" t="s">
        <v>11</v>
      </c>
      <c r="J427" t="s">
        <v>13</v>
      </c>
    </row>
    <row r="428" spans="1:10" x14ac:dyDescent="0.3">
      <c r="A428" t="s">
        <v>457</v>
      </c>
      <c r="B428">
        <v>2000</v>
      </c>
      <c r="C428" t="s">
        <v>10</v>
      </c>
      <c r="D428">
        <v>10</v>
      </c>
      <c r="E428" s="13" t="s">
        <v>11152</v>
      </c>
      <c r="F428">
        <v>2</v>
      </c>
      <c r="G428" s="11">
        <v>3925.76</v>
      </c>
      <c r="H428" t="s">
        <v>11</v>
      </c>
      <c r="I428" t="s">
        <v>11</v>
      </c>
      <c r="J428" t="s">
        <v>247</v>
      </c>
    </row>
    <row r="429" spans="1:10" x14ac:dyDescent="0.3">
      <c r="A429" t="s">
        <v>458</v>
      </c>
      <c r="B429">
        <v>2002</v>
      </c>
      <c r="C429" t="s">
        <v>18</v>
      </c>
      <c r="D429">
        <v>15</v>
      </c>
      <c r="E429" s="13" t="s">
        <v>11153</v>
      </c>
      <c r="F429">
        <v>0</v>
      </c>
      <c r="G429" s="11">
        <v>3931.51</v>
      </c>
      <c r="H429" t="s">
        <v>11</v>
      </c>
      <c r="I429" t="s">
        <v>12</v>
      </c>
      <c r="J429" t="s">
        <v>42</v>
      </c>
    </row>
    <row r="430" spans="1:10" x14ac:dyDescent="0.3">
      <c r="A430" t="s">
        <v>459</v>
      </c>
      <c r="B430">
        <v>1988</v>
      </c>
      <c r="C430" t="s">
        <v>37</v>
      </c>
      <c r="D430">
        <v>24</v>
      </c>
      <c r="E430" s="13" t="s">
        <v>11154</v>
      </c>
      <c r="F430">
        <v>0</v>
      </c>
      <c r="G430" s="11">
        <v>3935.18</v>
      </c>
      <c r="H430" t="s">
        <v>12</v>
      </c>
      <c r="I430" t="s">
        <v>16</v>
      </c>
      <c r="J430" t="s">
        <v>13</v>
      </c>
    </row>
    <row r="431" spans="1:10" x14ac:dyDescent="0.3">
      <c r="A431" t="s">
        <v>460</v>
      </c>
      <c r="B431">
        <v>1993</v>
      </c>
      <c r="C431" t="s">
        <v>20</v>
      </c>
      <c r="D431">
        <v>29</v>
      </c>
      <c r="E431" s="13" t="s">
        <v>11155</v>
      </c>
      <c r="F431">
        <v>0</v>
      </c>
      <c r="G431" s="11">
        <v>3943.6</v>
      </c>
      <c r="H431" t="s">
        <v>11</v>
      </c>
      <c r="I431" t="s">
        <v>12</v>
      </c>
      <c r="J431" t="s">
        <v>247</v>
      </c>
    </row>
    <row r="432" spans="1:10" x14ac:dyDescent="0.3">
      <c r="A432" t="s">
        <v>461</v>
      </c>
      <c r="B432">
        <v>1993</v>
      </c>
      <c r="C432" t="s">
        <v>15</v>
      </c>
      <c r="D432">
        <v>11</v>
      </c>
      <c r="E432" s="13" t="s">
        <v>11156</v>
      </c>
      <c r="F432">
        <v>1</v>
      </c>
      <c r="G432" s="11">
        <v>3947.41</v>
      </c>
      <c r="H432" t="s">
        <v>11</v>
      </c>
      <c r="I432" t="s">
        <v>11</v>
      </c>
      <c r="J432" t="s">
        <v>13</v>
      </c>
    </row>
    <row r="433" spans="1:10" x14ac:dyDescent="0.3">
      <c r="A433" t="s">
        <v>462</v>
      </c>
      <c r="B433">
        <v>1999</v>
      </c>
      <c r="C433" t="s">
        <v>10</v>
      </c>
      <c r="D433">
        <v>10</v>
      </c>
      <c r="E433" s="13" t="s">
        <v>11157</v>
      </c>
      <c r="F433">
        <v>0</v>
      </c>
      <c r="G433" s="11">
        <v>3955.98</v>
      </c>
      <c r="H433" t="s">
        <v>11</v>
      </c>
      <c r="I433" t="s">
        <v>12</v>
      </c>
      <c r="J433" t="s">
        <v>300</v>
      </c>
    </row>
    <row r="434" spans="1:10" x14ac:dyDescent="0.3">
      <c r="A434" t="s">
        <v>463</v>
      </c>
      <c r="B434">
        <v>1995</v>
      </c>
      <c r="C434" t="s">
        <v>10</v>
      </c>
      <c r="D434">
        <v>11</v>
      </c>
      <c r="E434" s="13" t="s">
        <v>11158</v>
      </c>
      <c r="F434">
        <v>1</v>
      </c>
      <c r="G434" s="11">
        <v>3956.07</v>
      </c>
      <c r="H434" t="s">
        <v>11</v>
      </c>
      <c r="I434" t="s">
        <v>11</v>
      </c>
      <c r="J434" t="s">
        <v>23</v>
      </c>
    </row>
    <row r="435" spans="1:10" x14ac:dyDescent="0.3">
      <c r="A435" t="s">
        <v>464</v>
      </c>
      <c r="B435">
        <v>1990</v>
      </c>
      <c r="C435" t="s">
        <v>10</v>
      </c>
      <c r="D435">
        <v>29</v>
      </c>
      <c r="E435" s="13" t="s">
        <v>11159</v>
      </c>
      <c r="F435">
        <v>0</v>
      </c>
      <c r="G435" s="11">
        <v>3972.92</v>
      </c>
      <c r="H435" t="s">
        <v>11</v>
      </c>
      <c r="I435" t="s">
        <v>12</v>
      </c>
      <c r="J435" t="s">
        <v>13</v>
      </c>
    </row>
    <row r="436" spans="1:10" x14ac:dyDescent="0.3">
      <c r="A436" t="s">
        <v>465</v>
      </c>
      <c r="B436">
        <v>1996</v>
      </c>
      <c r="C436" t="s">
        <v>35</v>
      </c>
      <c r="D436">
        <v>17</v>
      </c>
      <c r="E436" s="13" t="s">
        <v>11160</v>
      </c>
      <c r="F436">
        <v>2</v>
      </c>
      <c r="G436" s="11">
        <v>3981.98</v>
      </c>
      <c r="H436" t="s">
        <v>11</v>
      </c>
      <c r="I436" t="s">
        <v>11</v>
      </c>
      <c r="J436" t="s">
        <v>13</v>
      </c>
    </row>
    <row r="437" spans="1:10" x14ac:dyDescent="0.3">
      <c r="A437" t="s">
        <v>466</v>
      </c>
      <c r="B437">
        <v>1996</v>
      </c>
      <c r="C437" t="s">
        <v>20</v>
      </c>
      <c r="D437">
        <v>8</v>
      </c>
      <c r="E437" s="13" t="s">
        <v>11161</v>
      </c>
      <c r="F437">
        <v>2</v>
      </c>
      <c r="G437" s="11">
        <v>3987.93</v>
      </c>
      <c r="H437" t="s">
        <v>11</v>
      </c>
      <c r="I437" t="s">
        <v>11</v>
      </c>
      <c r="J437" t="s">
        <v>42</v>
      </c>
    </row>
    <row r="438" spans="1:10" x14ac:dyDescent="0.3">
      <c r="A438" t="s">
        <v>467</v>
      </c>
      <c r="B438">
        <v>1990</v>
      </c>
      <c r="C438" t="s">
        <v>15</v>
      </c>
      <c r="D438">
        <v>22</v>
      </c>
      <c r="E438" s="13" t="s">
        <v>11162</v>
      </c>
      <c r="F438">
        <v>0</v>
      </c>
      <c r="G438" s="11">
        <v>3989.84</v>
      </c>
      <c r="H438" t="s">
        <v>11</v>
      </c>
      <c r="I438" t="s">
        <v>11</v>
      </c>
      <c r="J438" t="s">
        <v>42</v>
      </c>
    </row>
    <row r="439" spans="1:10" x14ac:dyDescent="0.3">
      <c r="A439" t="s">
        <v>468</v>
      </c>
      <c r="B439">
        <v>1990</v>
      </c>
      <c r="C439" t="s">
        <v>15</v>
      </c>
      <c r="D439">
        <v>1</v>
      </c>
      <c r="E439" s="13" t="s">
        <v>11163</v>
      </c>
      <c r="F439">
        <v>0</v>
      </c>
      <c r="G439" s="11">
        <v>3994.18</v>
      </c>
      <c r="H439" t="s">
        <v>11</v>
      </c>
      <c r="I439" t="s">
        <v>11</v>
      </c>
      <c r="J439" t="s">
        <v>13</v>
      </c>
    </row>
    <row r="440" spans="1:10" x14ac:dyDescent="0.3">
      <c r="A440" t="s">
        <v>469</v>
      </c>
      <c r="B440">
        <v>1989</v>
      </c>
      <c r="C440" t="s">
        <v>10</v>
      </c>
      <c r="D440">
        <v>10</v>
      </c>
      <c r="E440" s="13" t="s">
        <v>11164</v>
      </c>
      <c r="F440">
        <v>3</v>
      </c>
      <c r="G440" s="11">
        <v>4002.36</v>
      </c>
      <c r="H440" t="s">
        <v>11</v>
      </c>
      <c r="I440" t="s">
        <v>16</v>
      </c>
      <c r="J440" t="s">
        <v>13</v>
      </c>
    </row>
    <row r="441" spans="1:10" x14ac:dyDescent="0.3">
      <c r="A441" t="s">
        <v>470</v>
      </c>
      <c r="B441">
        <v>2000</v>
      </c>
      <c r="C441" t="s">
        <v>20</v>
      </c>
      <c r="D441">
        <v>13</v>
      </c>
      <c r="E441" s="13" t="s">
        <v>11165</v>
      </c>
      <c r="F441">
        <v>3</v>
      </c>
      <c r="G441" s="11">
        <v>4005.42</v>
      </c>
      <c r="H441" t="s">
        <v>11</v>
      </c>
      <c r="I441" t="s">
        <v>16</v>
      </c>
      <c r="J441" t="s">
        <v>164</v>
      </c>
    </row>
    <row r="442" spans="1:10" x14ac:dyDescent="0.3">
      <c r="A442" t="s">
        <v>471</v>
      </c>
      <c r="B442">
        <v>1992</v>
      </c>
      <c r="C442" t="s">
        <v>37</v>
      </c>
      <c r="D442">
        <v>11</v>
      </c>
      <c r="E442" s="13" t="s">
        <v>11166</v>
      </c>
      <c r="F442">
        <v>1</v>
      </c>
      <c r="G442" s="11">
        <v>4032.24</v>
      </c>
      <c r="H442" t="s">
        <v>12</v>
      </c>
      <c r="I442" t="s">
        <v>12</v>
      </c>
      <c r="J442" t="s">
        <v>23</v>
      </c>
    </row>
    <row r="443" spans="1:10" x14ac:dyDescent="0.3">
      <c r="A443" t="s">
        <v>472</v>
      </c>
      <c r="B443">
        <v>1984</v>
      </c>
      <c r="C443" t="s">
        <v>10</v>
      </c>
      <c r="D443">
        <v>7</v>
      </c>
      <c r="E443" s="13" t="s">
        <v>11167</v>
      </c>
      <c r="F443">
        <v>3</v>
      </c>
      <c r="G443" s="11">
        <v>4038.41</v>
      </c>
      <c r="H443" t="s">
        <v>11</v>
      </c>
      <c r="I443" t="s">
        <v>16</v>
      </c>
      <c r="J443" t="s">
        <v>13</v>
      </c>
    </row>
    <row r="444" spans="1:10" x14ac:dyDescent="0.3">
      <c r="A444" t="s">
        <v>473</v>
      </c>
      <c r="B444">
        <v>1983</v>
      </c>
      <c r="C444" t="s">
        <v>15</v>
      </c>
      <c r="D444">
        <v>10</v>
      </c>
      <c r="E444" s="13" t="s">
        <v>11168</v>
      </c>
      <c r="F444">
        <v>3</v>
      </c>
      <c r="G444" s="11">
        <v>4039.9</v>
      </c>
      <c r="H444" t="s">
        <v>11</v>
      </c>
      <c r="I444" t="s">
        <v>16</v>
      </c>
      <c r="J444" t="s">
        <v>13</v>
      </c>
    </row>
    <row r="445" spans="1:10" x14ac:dyDescent="0.3">
      <c r="A445" t="s">
        <v>474</v>
      </c>
      <c r="B445">
        <v>1993</v>
      </c>
      <c r="C445" t="s">
        <v>30</v>
      </c>
      <c r="D445">
        <v>26</v>
      </c>
      <c r="E445" s="13" t="s">
        <v>11169</v>
      </c>
      <c r="F445">
        <v>1</v>
      </c>
      <c r="G445" s="11">
        <v>4040.56</v>
      </c>
      <c r="H445" t="s">
        <v>12</v>
      </c>
      <c r="I445" t="s">
        <v>12</v>
      </c>
      <c r="J445" t="s">
        <v>164</v>
      </c>
    </row>
    <row r="446" spans="1:10" x14ac:dyDescent="0.3">
      <c r="A446" t="s">
        <v>475</v>
      </c>
      <c r="B446">
        <v>1988</v>
      </c>
      <c r="C446" t="s">
        <v>15</v>
      </c>
      <c r="D446">
        <v>30</v>
      </c>
      <c r="E446" s="13" t="s">
        <v>11170</v>
      </c>
      <c r="F446">
        <v>3</v>
      </c>
      <c r="G446" s="11">
        <v>4047.94</v>
      </c>
      <c r="H446" t="s">
        <v>11</v>
      </c>
      <c r="I446" t="s">
        <v>16</v>
      </c>
      <c r="J446" t="s">
        <v>13</v>
      </c>
    </row>
    <row r="447" spans="1:10" x14ac:dyDescent="0.3">
      <c r="A447" t="s">
        <v>476</v>
      </c>
      <c r="B447">
        <v>1993</v>
      </c>
      <c r="C447" t="s">
        <v>35</v>
      </c>
      <c r="D447">
        <v>13</v>
      </c>
      <c r="E447" s="13" t="s">
        <v>11171</v>
      </c>
      <c r="F447">
        <v>2</v>
      </c>
      <c r="G447" s="11">
        <v>4058.12</v>
      </c>
      <c r="H447" t="s">
        <v>11</v>
      </c>
      <c r="I447" t="s">
        <v>16</v>
      </c>
      <c r="J447" t="s">
        <v>13</v>
      </c>
    </row>
    <row r="448" spans="1:10" x14ac:dyDescent="0.3">
      <c r="A448" t="s">
        <v>477</v>
      </c>
      <c r="B448">
        <v>1995</v>
      </c>
      <c r="C448" t="s">
        <v>20</v>
      </c>
      <c r="D448">
        <v>14</v>
      </c>
      <c r="E448" s="13" t="s">
        <v>11172</v>
      </c>
      <c r="F448">
        <v>2</v>
      </c>
      <c r="G448" s="11">
        <v>4058.71</v>
      </c>
      <c r="H448" t="s">
        <v>12</v>
      </c>
      <c r="I448" t="s">
        <v>12</v>
      </c>
      <c r="J448" t="s">
        <v>23</v>
      </c>
    </row>
    <row r="449" spans="1:10" x14ac:dyDescent="0.3">
      <c r="A449" t="s">
        <v>478</v>
      </c>
      <c r="B449">
        <v>1983</v>
      </c>
      <c r="C449" t="s">
        <v>20</v>
      </c>
      <c r="D449">
        <v>16</v>
      </c>
      <c r="E449" s="13" t="s">
        <v>11173</v>
      </c>
      <c r="F449">
        <v>3</v>
      </c>
      <c r="G449" s="11">
        <v>4070.42</v>
      </c>
      <c r="H449" t="s">
        <v>11</v>
      </c>
      <c r="I449" t="s">
        <v>16</v>
      </c>
      <c r="J449" t="s">
        <v>13</v>
      </c>
    </row>
    <row r="450" spans="1:10" x14ac:dyDescent="0.3">
      <c r="A450" t="s">
        <v>479</v>
      </c>
      <c r="B450">
        <v>2002</v>
      </c>
      <c r="C450" t="s">
        <v>37</v>
      </c>
      <c r="D450">
        <v>18</v>
      </c>
      <c r="E450" s="13" t="s">
        <v>11174</v>
      </c>
      <c r="F450">
        <v>0</v>
      </c>
      <c r="G450" s="11">
        <v>4070.51</v>
      </c>
      <c r="H450" t="s">
        <v>11</v>
      </c>
      <c r="I450" t="s">
        <v>16</v>
      </c>
      <c r="J450" t="s">
        <v>23</v>
      </c>
    </row>
    <row r="451" spans="1:10" x14ac:dyDescent="0.3">
      <c r="A451" t="s">
        <v>480</v>
      </c>
      <c r="B451">
        <v>1990</v>
      </c>
      <c r="C451" t="s">
        <v>30</v>
      </c>
      <c r="D451">
        <v>1</v>
      </c>
      <c r="E451" s="13" t="s">
        <v>11175</v>
      </c>
      <c r="F451">
        <v>1</v>
      </c>
      <c r="G451" s="11">
        <v>4074.45</v>
      </c>
      <c r="H451" t="s">
        <v>12</v>
      </c>
      <c r="I451" t="s">
        <v>11</v>
      </c>
      <c r="J451" t="s">
        <v>13</v>
      </c>
    </row>
    <row r="452" spans="1:10" x14ac:dyDescent="0.3">
      <c r="A452" t="s">
        <v>481</v>
      </c>
      <c r="B452">
        <v>1990</v>
      </c>
      <c r="C452" t="s">
        <v>30</v>
      </c>
      <c r="D452">
        <v>14</v>
      </c>
      <c r="E452" s="13" t="s">
        <v>11176</v>
      </c>
      <c r="F452">
        <v>1</v>
      </c>
      <c r="G452" s="11">
        <v>4076.5</v>
      </c>
      <c r="H452" t="s">
        <v>11</v>
      </c>
      <c r="I452" t="s">
        <v>12</v>
      </c>
      <c r="J452" t="s">
        <v>42</v>
      </c>
    </row>
    <row r="453" spans="1:10" x14ac:dyDescent="0.3">
      <c r="A453" t="s">
        <v>482</v>
      </c>
      <c r="B453">
        <v>1994</v>
      </c>
      <c r="C453" t="s">
        <v>35</v>
      </c>
      <c r="D453">
        <v>21</v>
      </c>
      <c r="E453" s="13" t="s">
        <v>11177</v>
      </c>
      <c r="F453">
        <v>1</v>
      </c>
      <c r="G453" s="11">
        <v>4133.6400000000003</v>
      </c>
      <c r="H453" t="s">
        <v>11</v>
      </c>
      <c r="I453" t="s">
        <v>12</v>
      </c>
      <c r="J453" t="s">
        <v>23</v>
      </c>
    </row>
    <row r="454" spans="1:10" x14ac:dyDescent="0.3">
      <c r="A454" t="s">
        <v>483</v>
      </c>
      <c r="B454">
        <v>1991</v>
      </c>
      <c r="C454" t="s">
        <v>35</v>
      </c>
      <c r="D454">
        <v>6</v>
      </c>
      <c r="E454" s="13" t="s">
        <v>11178</v>
      </c>
      <c r="F454">
        <v>0</v>
      </c>
      <c r="G454" s="11">
        <v>4134.08</v>
      </c>
      <c r="H454" t="s">
        <v>11</v>
      </c>
      <c r="I454" t="s">
        <v>16</v>
      </c>
      <c r="J454" t="s">
        <v>23</v>
      </c>
    </row>
    <row r="455" spans="1:10" x14ac:dyDescent="0.3">
      <c r="A455" t="s">
        <v>484</v>
      </c>
      <c r="B455">
        <v>1992</v>
      </c>
      <c r="C455" t="s">
        <v>18</v>
      </c>
      <c r="D455">
        <v>18</v>
      </c>
      <c r="E455" s="13" t="s">
        <v>11179</v>
      </c>
      <c r="F455">
        <v>0</v>
      </c>
      <c r="G455" s="11">
        <v>4137.5200000000004</v>
      </c>
      <c r="H455" t="s">
        <v>11</v>
      </c>
      <c r="I455" t="s">
        <v>12</v>
      </c>
      <c r="J455" t="s">
        <v>247</v>
      </c>
    </row>
    <row r="456" spans="1:10" x14ac:dyDescent="0.3">
      <c r="A456" t="s">
        <v>485</v>
      </c>
      <c r="B456">
        <v>1992</v>
      </c>
      <c r="C456" t="s">
        <v>18</v>
      </c>
      <c r="D456">
        <v>28</v>
      </c>
      <c r="E456" s="13" t="s">
        <v>11180</v>
      </c>
      <c r="F456">
        <v>1</v>
      </c>
      <c r="G456" s="11">
        <v>4149.74</v>
      </c>
      <c r="H456" t="s">
        <v>11</v>
      </c>
      <c r="I456" t="s">
        <v>16</v>
      </c>
      <c r="J456" t="s">
        <v>42</v>
      </c>
    </row>
    <row r="457" spans="1:10" x14ac:dyDescent="0.3">
      <c r="A457" t="s">
        <v>486</v>
      </c>
      <c r="B457">
        <v>1992</v>
      </c>
      <c r="C457" t="s">
        <v>35</v>
      </c>
      <c r="D457">
        <v>4</v>
      </c>
      <c r="E457" s="13" t="s">
        <v>11181</v>
      </c>
      <c r="F457">
        <v>1</v>
      </c>
      <c r="G457" s="11">
        <v>4151.03</v>
      </c>
      <c r="H457" t="s">
        <v>11</v>
      </c>
      <c r="I457" t="s">
        <v>11</v>
      </c>
      <c r="J457" t="s">
        <v>13</v>
      </c>
    </row>
    <row r="458" spans="1:10" x14ac:dyDescent="0.3">
      <c r="A458" t="s">
        <v>487</v>
      </c>
      <c r="B458">
        <v>1998</v>
      </c>
      <c r="C458" t="s">
        <v>15</v>
      </c>
      <c r="D458">
        <v>26</v>
      </c>
      <c r="E458" s="13" t="s">
        <v>11182</v>
      </c>
      <c r="F458">
        <v>0</v>
      </c>
      <c r="G458" s="11">
        <v>4154.97</v>
      </c>
      <c r="H458" t="s">
        <v>11</v>
      </c>
      <c r="I458" t="s">
        <v>16</v>
      </c>
      <c r="J458" t="s">
        <v>23</v>
      </c>
    </row>
    <row r="459" spans="1:10" x14ac:dyDescent="0.3">
      <c r="A459" t="s">
        <v>488</v>
      </c>
      <c r="B459">
        <v>1984</v>
      </c>
      <c r="C459" t="s">
        <v>20</v>
      </c>
      <c r="D459">
        <v>16</v>
      </c>
      <c r="E459" s="13" t="s">
        <v>11183</v>
      </c>
      <c r="F459">
        <v>3</v>
      </c>
      <c r="G459" s="11">
        <v>4163.21</v>
      </c>
      <c r="H459" t="s">
        <v>11</v>
      </c>
      <c r="I459" t="s">
        <v>11</v>
      </c>
      <c r="J459" t="s">
        <v>23</v>
      </c>
    </row>
    <row r="460" spans="1:10" x14ac:dyDescent="0.3">
      <c r="A460" t="s">
        <v>489</v>
      </c>
      <c r="B460">
        <v>1989</v>
      </c>
      <c r="C460" t="s">
        <v>18</v>
      </c>
      <c r="D460">
        <v>25</v>
      </c>
      <c r="E460" s="13" t="s">
        <v>11184</v>
      </c>
      <c r="F460">
        <v>0</v>
      </c>
      <c r="G460" s="11">
        <v>4185.1000000000004</v>
      </c>
      <c r="H460" t="s">
        <v>11</v>
      </c>
      <c r="I460" t="s">
        <v>12</v>
      </c>
      <c r="J460" t="s">
        <v>13</v>
      </c>
    </row>
    <row r="461" spans="1:10" x14ac:dyDescent="0.3">
      <c r="A461" t="s">
        <v>490</v>
      </c>
      <c r="B461">
        <v>1995</v>
      </c>
      <c r="C461" t="s">
        <v>37</v>
      </c>
      <c r="D461">
        <v>3</v>
      </c>
      <c r="E461" s="13" t="s">
        <v>11185</v>
      </c>
      <c r="F461">
        <v>0</v>
      </c>
      <c r="G461" s="11">
        <v>4188.7299999999996</v>
      </c>
      <c r="H461" t="s">
        <v>11</v>
      </c>
      <c r="I461" t="s">
        <v>11</v>
      </c>
      <c r="J461" t="s">
        <v>200</v>
      </c>
    </row>
    <row r="462" spans="1:10" x14ac:dyDescent="0.3">
      <c r="A462" t="s">
        <v>491</v>
      </c>
      <c r="B462">
        <v>1997</v>
      </c>
      <c r="C462" t="s">
        <v>20</v>
      </c>
      <c r="D462">
        <v>6</v>
      </c>
      <c r="E462" s="13" t="s">
        <v>11186</v>
      </c>
      <c r="F462">
        <v>2</v>
      </c>
      <c r="G462" s="11">
        <v>4189.1099999999997</v>
      </c>
      <c r="H462" t="s">
        <v>11</v>
      </c>
      <c r="I462" t="s">
        <v>11</v>
      </c>
      <c r="J462" t="s">
        <v>23</v>
      </c>
    </row>
    <row r="463" spans="1:10" x14ac:dyDescent="0.3">
      <c r="A463" t="s">
        <v>492</v>
      </c>
      <c r="B463">
        <v>1998</v>
      </c>
      <c r="C463" t="s">
        <v>30</v>
      </c>
      <c r="D463">
        <v>14</v>
      </c>
      <c r="E463" s="13" t="s">
        <v>11187</v>
      </c>
      <c r="F463">
        <v>3</v>
      </c>
      <c r="G463" s="11">
        <v>4234.93</v>
      </c>
      <c r="H463" t="s">
        <v>11</v>
      </c>
      <c r="I463" t="s">
        <v>16</v>
      </c>
      <c r="J463" t="s">
        <v>42</v>
      </c>
    </row>
    <row r="464" spans="1:10" x14ac:dyDescent="0.3">
      <c r="A464" t="s">
        <v>493</v>
      </c>
      <c r="B464">
        <v>1992</v>
      </c>
      <c r="C464" t="s">
        <v>18</v>
      </c>
      <c r="D464">
        <v>27</v>
      </c>
      <c r="E464" s="13" t="s">
        <v>11188</v>
      </c>
      <c r="F464">
        <v>1</v>
      </c>
      <c r="G464" s="11">
        <v>4237.13</v>
      </c>
      <c r="H464" t="s">
        <v>12</v>
      </c>
      <c r="I464" t="s">
        <v>16</v>
      </c>
      <c r="J464" t="s">
        <v>168</v>
      </c>
    </row>
    <row r="465" spans="1:10" x14ac:dyDescent="0.3">
      <c r="A465" t="s">
        <v>494</v>
      </c>
      <c r="B465">
        <v>1991</v>
      </c>
      <c r="C465" t="s">
        <v>15</v>
      </c>
      <c r="D465">
        <v>3</v>
      </c>
      <c r="E465" s="13" t="s">
        <v>11189</v>
      </c>
      <c r="F465">
        <v>1</v>
      </c>
      <c r="G465" s="11">
        <v>4239.8900000000003</v>
      </c>
      <c r="H465" t="s">
        <v>11</v>
      </c>
      <c r="I465" t="s">
        <v>11</v>
      </c>
      <c r="J465" t="s">
        <v>23</v>
      </c>
    </row>
    <row r="466" spans="1:10" x14ac:dyDescent="0.3">
      <c r="A466" t="s">
        <v>495</v>
      </c>
      <c r="B466">
        <v>1991</v>
      </c>
      <c r="C466" t="s">
        <v>30</v>
      </c>
      <c r="D466">
        <v>1</v>
      </c>
      <c r="E466" s="13" t="s">
        <v>10993</v>
      </c>
      <c r="F466">
        <v>1</v>
      </c>
      <c r="G466" s="11">
        <v>4243.59</v>
      </c>
      <c r="H466" t="s">
        <v>12</v>
      </c>
      <c r="I466" t="s">
        <v>16</v>
      </c>
      <c r="J466" t="s">
        <v>23</v>
      </c>
    </row>
    <row r="467" spans="1:10" x14ac:dyDescent="0.3">
      <c r="A467" t="s">
        <v>496</v>
      </c>
      <c r="B467">
        <v>1982</v>
      </c>
      <c r="C467" t="s">
        <v>18</v>
      </c>
      <c r="D467">
        <v>16</v>
      </c>
      <c r="E467" s="13" t="s">
        <v>11190</v>
      </c>
      <c r="F467">
        <v>3</v>
      </c>
      <c r="G467" s="11">
        <v>4250.24</v>
      </c>
      <c r="H467" t="s">
        <v>11</v>
      </c>
      <c r="I467" t="s">
        <v>12</v>
      </c>
      <c r="J467" t="s">
        <v>13</v>
      </c>
    </row>
    <row r="468" spans="1:10" x14ac:dyDescent="0.3">
      <c r="A468" t="s">
        <v>497</v>
      </c>
      <c r="B468">
        <v>1995</v>
      </c>
      <c r="C468" t="s">
        <v>37</v>
      </c>
      <c r="D468">
        <v>14</v>
      </c>
      <c r="E468" s="13" t="s">
        <v>11177</v>
      </c>
      <c r="F468">
        <v>3</v>
      </c>
      <c r="G468" s="11">
        <v>4260.74</v>
      </c>
      <c r="H468" t="s">
        <v>12</v>
      </c>
      <c r="I468" t="s">
        <v>11</v>
      </c>
      <c r="J468" t="s">
        <v>42</v>
      </c>
    </row>
    <row r="469" spans="1:10" x14ac:dyDescent="0.3">
      <c r="A469" t="s">
        <v>498</v>
      </c>
      <c r="B469">
        <v>1983</v>
      </c>
      <c r="C469" t="s">
        <v>15</v>
      </c>
      <c r="D469">
        <v>20</v>
      </c>
      <c r="E469" s="13" t="s">
        <v>11191</v>
      </c>
      <c r="F469">
        <v>3</v>
      </c>
      <c r="G469" s="11">
        <v>4265.01</v>
      </c>
      <c r="H469" t="s">
        <v>11</v>
      </c>
      <c r="I469" t="s">
        <v>16</v>
      </c>
      <c r="J469" t="s">
        <v>23</v>
      </c>
    </row>
    <row r="470" spans="1:10" x14ac:dyDescent="0.3">
      <c r="A470" t="s">
        <v>499</v>
      </c>
      <c r="B470">
        <v>1992</v>
      </c>
      <c r="C470" t="s">
        <v>18</v>
      </c>
      <c r="D470">
        <v>18</v>
      </c>
      <c r="E470" s="13" t="s">
        <v>11192</v>
      </c>
      <c r="F470">
        <v>2</v>
      </c>
      <c r="G470" s="11">
        <v>4266.17</v>
      </c>
      <c r="H470" t="s">
        <v>12</v>
      </c>
      <c r="I470" t="s">
        <v>11</v>
      </c>
      <c r="J470" t="s">
        <v>13</v>
      </c>
    </row>
    <row r="471" spans="1:10" x14ac:dyDescent="0.3">
      <c r="A471" t="s">
        <v>500</v>
      </c>
      <c r="B471">
        <v>2003</v>
      </c>
      <c r="C471" t="s">
        <v>18</v>
      </c>
      <c r="D471">
        <v>8</v>
      </c>
      <c r="E471" s="13" t="s">
        <v>11193</v>
      </c>
      <c r="F471">
        <v>0</v>
      </c>
      <c r="G471" s="11">
        <v>4278.55</v>
      </c>
      <c r="H471" t="s">
        <v>11</v>
      </c>
      <c r="I471" t="s">
        <v>16</v>
      </c>
      <c r="J471" t="s">
        <v>300</v>
      </c>
    </row>
    <row r="472" spans="1:10" x14ac:dyDescent="0.3">
      <c r="A472" t="s">
        <v>501</v>
      </c>
      <c r="B472">
        <v>2000</v>
      </c>
      <c r="C472" t="s">
        <v>15</v>
      </c>
      <c r="D472">
        <v>25</v>
      </c>
      <c r="E472" s="13" t="s">
        <v>11194</v>
      </c>
      <c r="F472">
        <v>3</v>
      </c>
      <c r="G472" s="11">
        <v>4296.2700000000004</v>
      </c>
      <c r="H472" t="s">
        <v>11</v>
      </c>
      <c r="I472" t="s">
        <v>12</v>
      </c>
      <c r="J472" t="s">
        <v>23</v>
      </c>
    </row>
    <row r="473" spans="1:10" x14ac:dyDescent="0.3">
      <c r="A473" t="s">
        <v>502</v>
      </c>
      <c r="B473">
        <v>1988</v>
      </c>
      <c r="C473" t="s">
        <v>30</v>
      </c>
      <c r="D473">
        <v>19</v>
      </c>
      <c r="E473" s="13" t="s">
        <v>11195</v>
      </c>
      <c r="F473">
        <v>0</v>
      </c>
      <c r="G473" s="11">
        <v>4320.41</v>
      </c>
      <c r="H473" t="s">
        <v>11</v>
      </c>
      <c r="I473" t="s">
        <v>16</v>
      </c>
      <c r="J473" t="s">
        <v>23</v>
      </c>
    </row>
    <row r="474" spans="1:10" x14ac:dyDescent="0.3">
      <c r="A474" t="s">
        <v>503</v>
      </c>
      <c r="B474">
        <v>1994</v>
      </c>
      <c r="C474" t="s">
        <v>15</v>
      </c>
      <c r="D474">
        <v>2</v>
      </c>
      <c r="E474" s="13" t="s">
        <v>11196</v>
      </c>
      <c r="F474">
        <v>1</v>
      </c>
      <c r="G474" s="11">
        <v>4337.74</v>
      </c>
      <c r="H474" t="s">
        <v>11</v>
      </c>
      <c r="I474" t="s">
        <v>16</v>
      </c>
      <c r="J474" t="s">
        <v>247</v>
      </c>
    </row>
    <row r="475" spans="1:10" x14ac:dyDescent="0.3">
      <c r="A475" t="s">
        <v>504</v>
      </c>
      <c r="B475">
        <v>1994</v>
      </c>
      <c r="C475" t="s">
        <v>37</v>
      </c>
      <c r="D475">
        <v>26</v>
      </c>
      <c r="E475" s="13" t="s">
        <v>11197</v>
      </c>
      <c r="F475">
        <v>2</v>
      </c>
      <c r="G475" s="11">
        <v>4340.4399999999996</v>
      </c>
      <c r="H475" t="s">
        <v>11</v>
      </c>
      <c r="I475" t="s">
        <v>16</v>
      </c>
      <c r="J475" t="s">
        <v>13</v>
      </c>
    </row>
    <row r="476" spans="1:10" x14ac:dyDescent="0.3">
      <c r="A476" t="s">
        <v>505</v>
      </c>
      <c r="B476">
        <v>1991</v>
      </c>
      <c r="C476" t="s">
        <v>18</v>
      </c>
      <c r="D476">
        <v>1</v>
      </c>
      <c r="E476" s="13" t="s">
        <v>11198</v>
      </c>
      <c r="F476">
        <v>0</v>
      </c>
      <c r="G476" s="11">
        <v>4347.0200000000004</v>
      </c>
      <c r="H476" t="s">
        <v>11</v>
      </c>
      <c r="I476" t="s">
        <v>16</v>
      </c>
      <c r="J476" t="s">
        <v>247</v>
      </c>
    </row>
    <row r="477" spans="1:10" x14ac:dyDescent="0.3">
      <c r="A477" t="s">
        <v>506</v>
      </c>
      <c r="B477">
        <v>1994</v>
      </c>
      <c r="C477" t="s">
        <v>15</v>
      </c>
      <c r="D477">
        <v>1</v>
      </c>
      <c r="E477" s="13" t="s">
        <v>11199</v>
      </c>
      <c r="F477">
        <v>2</v>
      </c>
      <c r="G477" s="11">
        <v>4349.46</v>
      </c>
      <c r="H477" t="s">
        <v>11</v>
      </c>
      <c r="I477" t="s">
        <v>11</v>
      </c>
      <c r="J477" t="s">
        <v>13</v>
      </c>
    </row>
    <row r="478" spans="1:10" x14ac:dyDescent="0.3">
      <c r="A478" t="s">
        <v>507</v>
      </c>
      <c r="B478">
        <v>1991</v>
      </c>
      <c r="C478" t="s">
        <v>20</v>
      </c>
      <c r="D478">
        <v>13</v>
      </c>
      <c r="E478" s="13" t="s">
        <v>11200</v>
      </c>
      <c r="F478">
        <v>1</v>
      </c>
      <c r="G478" s="11">
        <v>4350.51</v>
      </c>
      <c r="H478" t="s">
        <v>11</v>
      </c>
      <c r="I478" t="s">
        <v>11</v>
      </c>
      <c r="J478" t="s">
        <v>13</v>
      </c>
    </row>
    <row r="479" spans="1:10" x14ac:dyDescent="0.3">
      <c r="A479" t="s">
        <v>508</v>
      </c>
      <c r="B479">
        <v>1990</v>
      </c>
      <c r="C479" t="s">
        <v>35</v>
      </c>
      <c r="D479">
        <v>28</v>
      </c>
      <c r="E479" s="13" t="s">
        <v>11201</v>
      </c>
      <c r="F479">
        <v>0</v>
      </c>
      <c r="G479" s="11">
        <v>4357.04</v>
      </c>
      <c r="H479" t="s">
        <v>11</v>
      </c>
      <c r="I479" t="s">
        <v>12</v>
      </c>
      <c r="J479" t="s">
        <v>23</v>
      </c>
    </row>
    <row r="480" spans="1:10" x14ac:dyDescent="0.3">
      <c r="A480" t="s">
        <v>509</v>
      </c>
      <c r="B480">
        <v>1997</v>
      </c>
      <c r="C480" t="s">
        <v>15</v>
      </c>
      <c r="D480">
        <v>29</v>
      </c>
      <c r="E480" s="13" t="s">
        <v>11202</v>
      </c>
      <c r="F480">
        <v>3</v>
      </c>
      <c r="G480" s="11">
        <v>4391.6499999999996</v>
      </c>
      <c r="H480" t="s">
        <v>11</v>
      </c>
      <c r="I480" t="s">
        <v>11</v>
      </c>
      <c r="J480" t="s">
        <v>42</v>
      </c>
    </row>
    <row r="481" spans="1:10" x14ac:dyDescent="0.3">
      <c r="A481" t="s">
        <v>510</v>
      </c>
      <c r="B481">
        <v>1982</v>
      </c>
      <c r="C481" t="s">
        <v>18</v>
      </c>
      <c r="D481">
        <v>29</v>
      </c>
      <c r="E481" s="13" t="s">
        <v>11203</v>
      </c>
      <c r="F481">
        <v>3</v>
      </c>
      <c r="G481" s="11">
        <v>4392.7</v>
      </c>
      <c r="H481" t="s">
        <v>11</v>
      </c>
      <c r="I481" t="s">
        <v>11</v>
      </c>
      <c r="J481" t="s">
        <v>13</v>
      </c>
    </row>
    <row r="482" spans="1:10" x14ac:dyDescent="0.3">
      <c r="A482" t="s">
        <v>511</v>
      </c>
      <c r="B482">
        <v>1988</v>
      </c>
      <c r="C482" t="s">
        <v>10</v>
      </c>
      <c r="D482">
        <v>18</v>
      </c>
      <c r="E482" s="13" t="s">
        <v>11204</v>
      </c>
      <c r="F482">
        <v>3</v>
      </c>
      <c r="G482" s="11">
        <v>4397.3100000000004</v>
      </c>
      <c r="H482" t="s">
        <v>11</v>
      </c>
      <c r="I482" t="s">
        <v>11</v>
      </c>
      <c r="J482" t="s">
        <v>13</v>
      </c>
    </row>
    <row r="483" spans="1:10" x14ac:dyDescent="0.3">
      <c r="A483" t="s">
        <v>512</v>
      </c>
      <c r="B483">
        <v>1986</v>
      </c>
      <c r="C483" t="s">
        <v>35</v>
      </c>
      <c r="D483">
        <v>11</v>
      </c>
      <c r="E483" s="13" t="s">
        <v>11205</v>
      </c>
      <c r="F483">
        <v>0</v>
      </c>
      <c r="G483" s="11">
        <v>4399.7299999999996</v>
      </c>
      <c r="H483" t="s">
        <v>12</v>
      </c>
      <c r="I483" t="s">
        <v>11</v>
      </c>
      <c r="J483" t="s">
        <v>13</v>
      </c>
    </row>
    <row r="484" spans="1:10" x14ac:dyDescent="0.3">
      <c r="A484" t="s">
        <v>513</v>
      </c>
      <c r="B484">
        <v>1986</v>
      </c>
      <c r="C484" t="s">
        <v>10</v>
      </c>
      <c r="D484">
        <v>13</v>
      </c>
      <c r="E484" s="13" t="s">
        <v>11206</v>
      </c>
      <c r="F484">
        <v>0</v>
      </c>
      <c r="G484" s="11">
        <v>4402.2299999999996</v>
      </c>
      <c r="H484" t="s">
        <v>11</v>
      </c>
      <c r="I484" t="s">
        <v>11</v>
      </c>
      <c r="J484" t="s">
        <v>42</v>
      </c>
    </row>
    <row r="485" spans="1:10" x14ac:dyDescent="0.3">
      <c r="A485" t="s">
        <v>514</v>
      </c>
      <c r="B485">
        <v>1988</v>
      </c>
      <c r="C485" t="s">
        <v>20</v>
      </c>
      <c r="D485">
        <v>16</v>
      </c>
      <c r="E485" s="13" t="s">
        <v>11207</v>
      </c>
      <c r="F485">
        <v>0</v>
      </c>
      <c r="G485" s="11">
        <v>4415.16</v>
      </c>
      <c r="H485" t="s">
        <v>11</v>
      </c>
      <c r="I485" t="s">
        <v>16</v>
      </c>
      <c r="J485" t="s">
        <v>13</v>
      </c>
    </row>
    <row r="486" spans="1:10" x14ac:dyDescent="0.3">
      <c r="A486" t="s">
        <v>515</v>
      </c>
      <c r="B486">
        <v>1992</v>
      </c>
      <c r="C486" t="s">
        <v>35</v>
      </c>
      <c r="D486">
        <v>15</v>
      </c>
      <c r="E486" s="13" t="s">
        <v>11208</v>
      </c>
      <c r="F486">
        <v>0</v>
      </c>
      <c r="G486" s="11">
        <v>4420.95</v>
      </c>
      <c r="H486" t="s">
        <v>11</v>
      </c>
      <c r="I486" t="s">
        <v>12</v>
      </c>
      <c r="J486" t="s">
        <v>516</v>
      </c>
    </row>
    <row r="487" spans="1:10" x14ac:dyDescent="0.3">
      <c r="A487" t="s">
        <v>517</v>
      </c>
      <c r="B487">
        <v>1994</v>
      </c>
      <c r="C487" t="s">
        <v>30</v>
      </c>
      <c r="D487">
        <v>29</v>
      </c>
      <c r="E487" s="13" t="s">
        <v>11209</v>
      </c>
      <c r="F487">
        <v>2</v>
      </c>
      <c r="G487" s="11">
        <v>4428.8900000000003</v>
      </c>
      <c r="H487" t="s">
        <v>12</v>
      </c>
      <c r="I487" t="s">
        <v>16</v>
      </c>
      <c r="J487" t="s">
        <v>356</v>
      </c>
    </row>
    <row r="488" spans="1:10" x14ac:dyDescent="0.3">
      <c r="A488" t="s">
        <v>518</v>
      </c>
      <c r="B488">
        <v>1993</v>
      </c>
      <c r="C488" t="s">
        <v>20</v>
      </c>
      <c r="D488">
        <v>4</v>
      </c>
      <c r="E488" s="13" t="s">
        <v>11210</v>
      </c>
      <c r="F488">
        <v>2</v>
      </c>
      <c r="G488" s="11">
        <v>4433.3900000000003</v>
      </c>
      <c r="H488" t="s">
        <v>11</v>
      </c>
      <c r="I488" t="s">
        <v>12</v>
      </c>
      <c r="J488" t="s">
        <v>23</v>
      </c>
    </row>
    <row r="489" spans="1:10" x14ac:dyDescent="0.3">
      <c r="A489" t="s">
        <v>519</v>
      </c>
      <c r="B489">
        <v>1993</v>
      </c>
      <c r="C489" t="s">
        <v>30</v>
      </c>
      <c r="D489">
        <v>23</v>
      </c>
      <c r="E489" s="13" t="s">
        <v>11211</v>
      </c>
      <c r="F489">
        <v>2</v>
      </c>
      <c r="G489" s="11">
        <v>4433.92</v>
      </c>
      <c r="H489" t="s">
        <v>11</v>
      </c>
      <c r="I489" t="s">
        <v>11</v>
      </c>
      <c r="J489" t="s">
        <v>23</v>
      </c>
    </row>
    <row r="490" spans="1:10" x14ac:dyDescent="0.3">
      <c r="A490" t="s">
        <v>520</v>
      </c>
      <c r="B490">
        <v>1994</v>
      </c>
      <c r="C490" t="s">
        <v>37</v>
      </c>
      <c r="D490">
        <v>8</v>
      </c>
      <c r="E490" s="13" t="s">
        <v>11212</v>
      </c>
      <c r="F490">
        <v>2</v>
      </c>
      <c r="G490" s="11">
        <v>4435.09</v>
      </c>
      <c r="H490" t="s">
        <v>12</v>
      </c>
      <c r="I490" t="s">
        <v>11</v>
      </c>
      <c r="J490" t="s">
        <v>168</v>
      </c>
    </row>
    <row r="491" spans="1:10" x14ac:dyDescent="0.3">
      <c r="A491" t="s">
        <v>521</v>
      </c>
      <c r="B491">
        <v>1994</v>
      </c>
      <c r="C491" t="s">
        <v>37</v>
      </c>
      <c r="D491">
        <v>24</v>
      </c>
      <c r="E491" s="13" t="s">
        <v>11213</v>
      </c>
      <c r="F491">
        <v>2</v>
      </c>
      <c r="G491" s="11">
        <v>4438.26</v>
      </c>
      <c r="H491" t="s">
        <v>11</v>
      </c>
      <c r="I491" t="s">
        <v>12</v>
      </c>
      <c r="J491" t="s">
        <v>356</v>
      </c>
    </row>
    <row r="492" spans="1:10" x14ac:dyDescent="0.3">
      <c r="A492" t="s">
        <v>522</v>
      </c>
      <c r="B492">
        <v>1991</v>
      </c>
      <c r="C492" t="s">
        <v>20</v>
      </c>
      <c r="D492">
        <v>3</v>
      </c>
      <c r="E492" s="13" t="s">
        <v>11214</v>
      </c>
      <c r="F492">
        <v>1</v>
      </c>
      <c r="G492" s="11">
        <v>4441.21</v>
      </c>
      <c r="H492" t="s">
        <v>16</v>
      </c>
      <c r="I492" t="s">
        <v>11</v>
      </c>
      <c r="J492" t="s">
        <v>276</v>
      </c>
    </row>
    <row r="493" spans="1:10" x14ac:dyDescent="0.3">
      <c r="A493" t="s">
        <v>523</v>
      </c>
      <c r="B493">
        <v>1994</v>
      </c>
      <c r="C493" t="s">
        <v>18</v>
      </c>
      <c r="D493">
        <v>28</v>
      </c>
      <c r="E493" s="13" t="s">
        <v>11215</v>
      </c>
      <c r="F493">
        <v>3</v>
      </c>
      <c r="G493" s="11">
        <v>4449.46</v>
      </c>
      <c r="H493" t="s">
        <v>16</v>
      </c>
      <c r="I493" t="s">
        <v>11</v>
      </c>
      <c r="J493" t="s">
        <v>13</v>
      </c>
    </row>
    <row r="494" spans="1:10" x14ac:dyDescent="0.3">
      <c r="A494" t="s">
        <v>524</v>
      </c>
      <c r="B494">
        <v>1990</v>
      </c>
      <c r="C494" t="s">
        <v>35</v>
      </c>
      <c r="D494">
        <v>8</v>
      </c>
      <c r="E494" s="13" t="s">
        <v>11216</v>
      </c>
      <c r="F494">
        <v>1</v>
      </c>
      <c r="G494" s="11">
        <v>4454.3999999999996</v>
      </c>
      <c r="H494" t="s">
        <v>11</v>
      </c>
      <c r="I494" t="s">
        <v>12</v>
      </c>
      <c r="J494" t="s">
        <v>23</v>
      </c>
    </row>
    <row r="495" spans="1:10" x14ac:dyDescent="0.3">
      <c r="A495" t="s">
        <v>525</v>
      </c>
      <c r="B495">
        <v>1990</v>
      </c>
      <c r="C495" t="s">
        <v>10</v>
      </c>
      <c r="D495">
        <v>15</v>
      </c>
      <c r="E495" s="13" t="s">
        <v>11217</v>
      </c>
      <c r="F495">
        <v>1</v>
      </c>
      <c r="G495" s="11">
        <v>4462.72</v>
      </c>
      <c r="H495" t="s">
        <v>11</v>
      </c>
      <c r="I495" t="s">
        <v>12</v>
      </c>
      <c r="J495" t="s">
        <v>23</v>
      </c>
    </row>
    <row r="496" spans="1:10" x14ac:dyDescent="0.3">
      <c r="A496" t="s">
        <v>526</v>
      </c>
      <c r="B496">
        <v>1991</v>
      </c>
      <c r="C496" t="s">
        <v>10</v>
      </c>
      <c r="D496">
        <v>4</v>
      </c>
      <c r="E496" s="13" t="s">
        <v>10807</v>
      </c>
      <c r="F496">
        <v>2</v>
      </c>
      <c r="G496" s="11">
        <v>4463.21</v>
      </c>
      <c r="H496" t="s">
        <v>12</v>
      </c>
      <c r="I496" t="s">
        <v>12</v>
      </c>
      <c r="J496" t="s">
        <v>13</v>
      </c>
    </row>
    <row r="497" spans="1:10" x14ac:dyDescent="0.3">
      <c r="A497" t="s">
        <v>527</v>
      </c>
      <c r="B497">
        <v>1999</v>
      </c>
      <c r="C497" t="s">
        <v>15</v>
      </c>
      <c r="D497">
        <v>20</v>
      </c>
      <c r="E497" s="13" t="s">
        <v>11218</v>
      </c>
      <c r="F497">
        <v>3</v>
      </c>
      <c r="G497" s="11">
        <v>4466.62</v>
      </c>
      <c r="H497" t="s">
        <v>11</v>
      </c>
      <c r="I497" t="s">
        <v>11</v>
      </c>
      <c r="J497" t="s">
        <v>23</v>
      </c>
    </row>
    <row r="498" spans="1:10" x14ac:dyDescent="0.3">
      <c r="A498" t="s">
        <v>528</v>
      </c>
      <c r="B498">
        <v>2004</v>
      </c>
      <c r="C498" t="s">
        <v>10</v>
      </c>
      <c r="D498">
        <v>18</v>
      </c>
      <c r="E498" s="13" t="s">
        <v>11219</v>
      </c>
      <c r="F498">
        <v>0</v>
      </c>
      <c r="G498" s="11">
        <v>4468.25</v>
      </c>
      <c r="H498" t="s">
        <v>11</v>
      </c>
      <c r="I498" t="s">
        <v>11</v>
      </c>
      <c r="J498" t="s">
        <v>23</v>
      </c>
    </row>
    <row r="499" spans="1:10" x14ac:dyDescent="0.3">
      <c r="A499" t="s">
        <v>529</v>
      </c>
      <c r="B499">
        <v>1992</v>
      </c>
      <c r="C499" t="s">
        <v>10</v>
      </c>
      <c r="D499">
        <v>12</v>
      </c>
      <c r="E499" s="13" t="s">
        <v>11220</v>
      </c>
      <c r="F499">
        <v>0</v>
      </c>
      <c r="G499" s="11">
        <v>4488.58</v>
      </c>
      <c r="H499" t="s">
        <v>11</v>
      </c>
      <c r="I499" t="s">
        <v>12</v>
      </c>
      <c r="J499" t="s">
        <v>23</v>
      </c>
    </row>
    <row r="500" spans="1:10" x14ac:dyDescent="0.3">
      <c r="A500" t="s">
        <v>530</v>
      </c>
      <c r="B500">
        <v>1988</v>
      </c>
      <c r="C500" t="s">
        <v>18</v>
      </c>
      <c r="D500">
        <v>26</v>
      </c>
      <c r="E500" s="13" t="s">
        <v>11221</v>
      </c>
      <c r="F500">
        <v>0</v>
      </c>
      <c r="G500" s="11">
        <v>4500.34</v>
      </c>
      <c r="H500" t="s">
        <v>11</v>
      </c>
      <c r="I500" t="s">
        <v>16</v>
      </c>
      <c r="J500" t="s">
        <v>356</v>
      </c>
    </row>
    <row r="501" spans="1:10" x14ac:dyDescent="0.3">
      <c r="A501" t="s">
        <v>531</v>
      </c>
      <c r="B501">
        <v>1997</v>
      </c>
      <c r="C501" t="s">
        <v>37</v>
      </c>
      <c r="D501">
        <v>13</v>
      </c>
      <c r="E501" s="13" t="s">
        <v>11222</v>
      </c>
      <c r="F501">
        <v>4</v>
      </c>
      <c r="G501" s="11">
        <v>4504.66</v>
      </c>
      <c r="H501" t="s">
        <v>16</v>
      </c>
      <c r="I501" t="s">
        <v>11</v>
      </c>
      <c r="J501" t="s">
        <v>13</v>
      </c>
    </row>
    <row r="502" spans="1:10" x14ac:dyDescent="0.3">
      <c r="A502" t="s">
        <v>532</v>
      </c>
      <c r="B502">
        <v>1982</v>
      </c>
      <c r="C502" t="s">
        <v>20</v>
      </c>
      <c r="D502">
        <v>27</v>
      </c>
      <c r="E502" s="13" t="s">
        <v>11223</v>
      </c>
      <c r="F502">
        <v>3</v>
      </c>
      <c r="G502" s="11">
        <v>4511.41</v>
      </c>
      <c r="H502" t="s">
        <v>11</v>
      </c>
      <c r="I502" t="s">
        <v>12</v>
      </c>
      <c r="J502" t="s">
        <v>13</v>
      </c>
    </row>
    <row r="503" spans="1:10" x14ac:dyDescent="0.3">
      <c r="A503" t="s">
        <v>533</v>
      </c>
      <c r="B503">
        <v>1980</v>
      </c>
      <c r="C503" t="s">
        <v>18</v>
      </c>
      <c r="D503">
        <v>16</v>
      </c>
      <c r="E503" s="13" t="s">
        <v>11224</v>
      </c>
      <c r="F503">
        <v>2</v>
      </c>
      <c r="G503" s="11">
        <v>4515.71</v>
      </c>
      <c r="H503" t="s">
        <v>11</v>
      </c>
      <c r="I503" t="s">
        <v>12</v>
      </c>
      <c r="J503" t="s">
        <v>13</v>
      </c>
    </row>
    <row r="504" spans="1:10" x14ac:dyDescent="0.3">
      <c r="A504" t="s">
        <v>534</v>
      </c>
      <c r="B504">
        <v>2003</v>
      </c>
      <c r="C504" t="s">
        <v>37</v>
      </c>
      <c r="D504">
        <v>2</v>
      </c>
      <c r="E504" s="13" t="s">
        <v>11225</v>
      </c>
      <c r="F504">
        <v>0</v>
      </c>
      <c r="G504" s="11">
        <v>4518.3999999999996</v>
      </c>
      <c r="H504" t="s">
        <v>11</v>
      </c>
      <c r="I504" t="s">
        <v>12</v>
      </c>
      <c r="J504" t="s">
        <v>535</v>
      </c>
    </row>
    <row r="505" spans="1:10" x14ac:dyDescent="0.3">
      <c r="A505" t="s">
        <v>536</v>
      </c>
      <c r="B505">
        <v>1987</v>
      </c>
      <c r="C505" t="s">
        <v>30</v>
      </c>
      <c r="D505">
        <v>5</v>
      </c>
      <c r="E505" s="13" t="s">
        <v>11226</v>
      </c>
      <c r="F505">
        <v>3</v>
      </c>
      <c r="G505" s="11">
        <v>4518.7700000000004</v>
      </c>
      <c r="H505" t="s">
        <v>11</v>
      </c>
      <c r="I505" t="s">
        <v>12</v>
      </c>
      <c r="J505" t="s">
        <v>23</v>
      </c>
    </row>
    <row r="506" spans="1:10" x14ac:dyDescent="0.3">
      <c r="A506" t="s">
        <v>537</v>
      </c>
      <c r="B506">
        <v>1988</v>
      </c>
      <c r="C506" t="s">
        <v>30</v>
      </c>
      <c r="D506">
        <v>21</v>
      </c>
      <c r="E506" s="13" t="s">
        <v>11227</v>
      </c>
      <c r="F506">
        <v>0</v>
      </c>
      <c r="G506" s="11">
        <v>4518.83</v>
      </c>
      <c r="H506" t="s">
        <v>11</v>
      </c>
      <c r="I506" t="s">
        <v>11</v>
      </c>
      <c r="J506" t="s">
        <v>356</v>
      </c>
    </row>
    <row r="507" spans="1:10" x14ac:dyDescent="0.3">
      <c r="A507" t="s">
        <v>538</v>
      </c>
      <c r="B507">
        <v>1992</v>
      </c>
      <c r="C507" t="s">
        <v>35</v>
      </c>
      <c r="D507">
        <v>13</v>
      </c>
      <c r="E507" s="13" t="s">
        <v>11228</v>
      </c>
      <c r="F507">
        <v>1</v>
      </c>
      <c r="G507" s="11">
        <v>4527.18</v>
      </c>
      <c r="H507" t="s">
        <v>11</v>
      </c>
      <c r="I507" t="s">
        <v>11</v>
      </c>
      <c r="J507" t="s">
        <v>23</v>
      </c>
    </row>
    <row r="508" spans="1:10" x14ac:dyDescent="0.3">
      <c r="A508" t="s">
        <v>539</v>
      </c>
      <c r="B508">
        <v>1993</v>
      </c>
      <c r="C508" t="s">
        <v>18</v>
      </c>
      <c r="D508">
        <v>29</v>
      </c>
      <c r="E508" s="13" t="s">
        <v>11229</v>
      </c>
      <c r="F508">
        <v>2</v>
      </c>
      <c r="G508" s="11">
        <v>4529.4799999999996</v>
      </c>
      <c r="H508" t="s">
        <v>11</v>
      </c>
      <c r="I508" t="s">
        <v>16</v>
      </c>
      <c r="J508" t="s">
        <v>42</v>
      </c>
    </row>
    <row r="509" spans="1:10" x14ac:dyDescent="0.3">
      <c r="A509" t="s">
        <v>540</v>
      </c>
      <c r="B509">
        <v>1988</v>
      </c>
      <c r="C509" t="s">
        <v>18</v>
      </c>
      <c r="D509">
        <v>13</v>
      </c>
      <c r="E509" s="13" t="s">
        <v>11230</v>
      </c>
      <c r="F509">
        <v>1</v>
      </c>
      <c r="G509" s="11">
        <v>4536.26</v>
      </c>
      <c r="H509" t="s">
        <v>11</v>
      </c>
      <c r="I509" t="s">
        <v>11</v>
      </c>
      <c r="J509" t="s">
        <v>42</v>
      </c>
    </row>
    <row r="510" spans="1:10" x14ac:dyDescent="0.3">
      <c r="A510" t="s">
        <v>541</v>
      </c>
      <c r="B510">
        <v>1990</v>
      </c>
      <c r="C510" t="s">
        <v>15</v>
      </c>
      <c r="D510">
        <v>17</v>
      </c>
      <c r="E510" s="13" t="s">
        <v>11231</v>
      </c>
      <c r="F510">
        <v>0</v>
      </c>
      <c r="G510" s="11">
        <v>4544.2299999999996</v>
      </c>
      <c r="H510" t="s">
        <v>11</v>
      </c>
      <c r="I510" t="s">
        <v>16</v>
      </c>
      <c r="J510" t="s">
        <v>247</v>
      </c>
    </row>
    <row r="511" spans="1:10" x14ac:dyDescent="0.3">
      <c r="A511" t="s">
        <v>542</v>
      </c>
      <c r="B511">
        <v>2004</v>
      </c>
      <c r="C511" t="s">
        <v>30</v>
      </c>
      <c r="D511">
        <v>22</v>
      </c>
      <c r="E511" s="13" t="s">
        <v>11232</v>
      </c>
      <c r="F511">
        <v>4</v>
      </c>
      <c r="G511" s="11">
        <v>4561.1899999999996</v>
      </c>
      <c r="H511" t="s">
        <v>11</v>
      </c>
      <c r="I511" t="s">
        <v>11</v>
      </c>
      <c r="J511" t="s">
        <v>247</v>
      </c>
    </row>
    <row r="512" spans="1:10" x14ac:dyDescent="0.3">
      <c r="A512" t="s">
        <v>543</v>
      </c>
      <c r="B512">
        <v>1990</v>
      </c>
      <c r="C512" t="s">
        <v>20</v>
      </c>
      <c r="D512">
        <v>20</v>
      </c>
      <c r="E512" s="13" t="s">
        <v>11233</v>
      </c>
      <c r="F512">
        <v>1</v>
      </c>
      <c r="G512" s="11">
        <v>4562.84</v>
      </c>
      <c r="H512" t="s">
        <v>11</v>
      </c>
      <c r="I512" t="s">
        <v>11</v>
      </c>
      <c r="J512" t="s">
        <v>13</v>
      </c>
    </row>
    <row r="513" spans="1:10" x14ac:dyDescent="0.3">
      <c r="A513" t="s">
        <v>544</v>
      </c>
      <c r="B513">
        <v>1996</v>
      </c>
      <c r="C513" t="s">
        <v>30</v>
      </c>
      <c r="D513">
        <v>25</v>
      </c>
      <c r="E513" s="13" t="s">
        <v>11234</v>
      </c>
      <c r="F513">
        <v>2</v>
      </c>
      <c r="G513" s="11">
        <v>4564.1899999999996</v>
      </c>
      <c r="H513" t="s">
        <v>11</v>
      </c>
      <c r="I513" t="s">
        <v>11</v>
      </c>
      <c r="J513" t="s">
        <v>247</v>
      </c>
    </row>
    <row r="514" spans="1:10" x14ac:dyDescent="0.3">
      <c r="A514" t="s">
        <v>545</v>
      </c>
      <c r="B514">
        <v>1989</v>
      </c>
      <c r="C514" t="s">
        <v>20</v>
      </c>
      <c r="D514">
        <v>18</v>
      </c>
      <c r="E514" s="13" t="s">
        <v>11235</v>
      </c>
      <c r="F514">
        <v>0</v>
      </c>
      <c r="G514" s="11">
        <v>4571.41</v>
      </c>
      <c r="H514" t="s">
        <v>11</v>
      </c>
      <c r="I514" t="s">
        <v>11</v>
      </c>
      <c r="J514" t="s">
        <v>23</v>
      </c>
    </row>
    <row r="515" spans="1:10" x14ac:dyDescent="0.3">
      <c r="A515" t="s">
        <v>546</v>
      </c>
      <c r="B515">
        <v>2000</v>
      </c>
      <c r="C515" t="s">
        <v>10</v>
      </c>
      <c r="D515">
        <v>2</v>
      </c>
      <c r="E515" s="13" t="s">
        <v>11236</v>
      </c>
      <c r="F515">
        <v>0</v>
      </c>
      <c r="G515" s="11">
        <v>4608.03</v>
      </c>
      <c r="H515" t="s">
        <v>11</v>
      </c>
      <c r="I515" t="s">
        <v>12</v>
      </c>
      <c r="J515" t="s">
        <v>42</v>
      </c>
    </row>
    <row r="516" spans="1:10" x14ac:dyDescent="0.3">
      <c r="A516" t="s">
        <v>547</v>
      </c>
      <c r="B516">
        <v>1998</v>
      </c>
      <c r="C516" t="s">
        <v>18</v>
      </c>
      <c r="D516">
        <v>29</v>
      </c>
      <c r="E516" s="13" t="s">
        <v>11237</v>
      </c>
      <c r="F516">
        <v>3</v>
      </c>
      <c r="G516" s="11">
        <v>4618.08</v>
      </c>
      <c r="H516" t="s">
        <v>11</v>
      </c>
      <c r="I516" t="s">
        <v>16</v>
      </c>
      <c r="J516" t="s">
        <v>23</v>
      </c>
    </row>
    <row r="517" spans="1:10" x14ac:dyDescent="0.3">
      <c r="A517" t="s">
        <v>548</v>
      </c>
      <c r="B517">
        <v>1985</v>
      </c>
      <c r="C517" t="s">
        <v>18</v>
      </c>
      <c r="D517">
        <v>22</v>
      </c>
      <c r="E517" s="13" t="s">
        <v>11238</v>
      </c>
      <c r="F517">
        <v>0</v>
      </c>
      <c r="G517" s="11">
        <v>4646.76</v>
      </c>
      <c r="H517" t="s">
        <v>16</v>
      </c>
      <c r="I517" t="s">
        <v>16</v>
      </c>
      <c r="J517" t="s">
        <v>42</v>
      </c>
    </row>
    <row r="518" spans="1:10" x14ac:dyDescent="0.3">
      <c r="A518" t="s">
        <v>549</v>
      </c>
      <c r="B518">
        <v>1996</v>
      </c>
      <c r="C518" t="s">
        <v>37</v>
      </c>
      <c r="D518">
        <v>25</v>
      </c>
      <c r="E518" s="13" t="s">
        <v>11239</v>
      </c>
      <c r="F518">
        <v>3</v>
      </c>
      <c r="G518" s="11">
        <v>4661.29</v>
      </c>
      <c r="H518" t="s">
        <v>11</v>
      </c>
      <c r="I518" t="s">
        <v>16</v>
      </c>
      <c r="J518" t="s">
        <v>356</v>
      </c>
    </row>
    <row r="519" spans="1:10" x14ac:dyDescent="0.3">
      <c r="A519" t="s">
        <v>550</v>
      </c>
      <c r="B519">
        <v>1990</v>
      </c>
      <c r="C519" t="s">
        <v>35</v>
      </c>
      <c r="D519">
        <v>5</v>
      </c>
      <c r="E519" s="13" t="s">
        <v>11240</v>
      </c>
      <c r="F519">
        <v>1</v>
      </c>
      <c r="G519" s="11">
        <v>4667.6099999999997</v>
      </c>
      <c r="H519" t="s">
        <v>12</v>
      </c>
      <c r="I519" t="s">
        <v>12</v>
      </c>
      <c r="J519" t="s">
        <v>168</v>
      </c>
    </row>
    <row r="520" spans="1:10" x14ac:dyDescent="0.3">
      <c r="A520" t="s">
        <v>551</v>
      </c>
      <c r="B520">
        <v>1990</v>
      </c>
      <c r="C520" t="s">
        <v>20</v>
      </c>
      <c r="D520">
        <v>26</v>
      </c>
      <c r="E520" s="13" t="s">
        <v>11241</v>
      </c>
      <c r="F520">
        <v>2</v>
      </c>
      <c r="G520" s="11">
        <v>4670.6400000000003</v>
      </c>
      <c r="H520" t="s">
        <v>11</v>
      </c>
      <c r="I520" t="s">
        <v>11</v>
      </c>
      <c r="J520" t="s">
        <v>42</v>
      </c>
    </row>
    <row r="521" spans="1:10" x14ac:dyDescent="0.3">
      <c r="A521" t="s">
        <v>552</v>
      </c>
      <c r="B521">
        <v>1990</v>
      </c>
      <c r="C521" t="s">
        <v>10</v>
      </c>
      <c r="D521">
        <v>13</v>
      </c>
      <c r="E521" s="13" t="s">
        <v>11242</v>
      </c>
      <c r="F521">
        <v>2</v>
      </c>
      <c r="G521" s="11">
        <v>4673.3900000000003</v>
      </c>
      <c r="H521" t="s">
        <v>11</v>
      </c>
      <c r="I521" t="s">
        <v>16</v>
      </c>
      <c r="J521" t="s">
        <v>13</v>
      </c>
    </row>
    <row r="522" spans="1:10" x14ac:dyDescent="0.3">
      <c r="A522" t="s">
        <v>553</v>
      </c>
      <c r="B522">
        <v>1979</v>
      </c>
      <c r="C522" t="s">
        <v>37</v>
      </c>
      <c r="D522">
        <v>18</v>
      </c>
      <c r="E522" s="13" t="s">
        <v>11243</v>
      </c>
      <c r="F522">
        <v>2</v>
      </c>
      <c r="G522" s="11">
        <v>4674.2</v>
      </c>
      <c r="H522" t="s">
        <v>11</v>
      </c>
      <c r="I522" t="s">
        <v>16</v>
      </c>
      <c r="J522" t="s">
        <v>13</v>
      </c>
    </row>
    <row r="523" spans="1:10" x14ac:dyDescent="0.3">
      <c r="A523" t="s">
        <v>554</v>
      </c>
      <c r="B523">
        <v>2003</v>
      </c>
      <c r="C523" t="s">
        <v>37</v>
      </c>
      <c r="D523">
        <v>4</v>
      </c>
      <c r="E523" s="13" t="s">
        <v>11244</v>
      </c>
      <c r="F523">
        <v>0</v>
      </c>
      <c r="G523" s="11">
        <v>4678.8</v>
      </c>
      <c r="H523" t="s">
        <v>11</v>
      </c>
      <c r="I523" t="s">
        <v>16</v>
      </c>
      <c r="J523" t="s">
        <v>300</v>
      </c>
    </row>
    <row r="524" spans="1:10" x14ac:dyDescent="0.3">
      <c r="A524" t="s">
        <v>555</v>
      </c>
      <c r="B524">
        <v>1990</v>
      </c>
      <c r="C524" t="s">
        <v>20</v>
      </c>
      <c r="D524">
        <v>4</v>
      </c>
      <c r="E524" s="13" t="s">
        <v>11245</v>
      </c>
      <c r="F524">
        <v>2</v>
      </c>
      <c r="G524" s="11">
        <v>4686.3900000000003</v>
      </c>
      <c r="H524" t="s">
        <v>12</v>
      </c>
      <c r="I524" t="s">
        <v>12</v>
      </c>
      <c r="J524" t="s">
        <v>13</v>
      </c>
    </row>
    <row r="525" spans="1:10" x14ac:dyDescent="0.3">
      <c r="A525" t="s">
        <v>556</v>
      </c>
      <c r="B525">
        <v>2003</v>
      </c>
      <c r="C525" t="s">
        <v>18</v>
      </c>
      <c r="D525">
        <v>22</v>
      </c>
      <c r="E525" s="13" t="s">
        <v>11246</v>
      </c>
      <c r="F525">
        <v>5</v>
      </c>
      <c r="G525" s="11">
        <v>4687.8</v>
      </c>
      <c r="H525" t="s">
        <v>11</v>
      </c>
      <c r="I525" t="s">
        <v>12</v>
      </c>
      <c r="J525" t="s">
        <v>42</v>
      </c>
    </row>
    <row r="526" spans="1:10" x14ac:dyDescent="0.3">
      <c r="A526" t="s">
        <v>557</v>
      </c>
      <c r="B526">
        <v>1977</v>
      </c>
      <c r="C526" t="s">
        <v>30</v>
      </c>
      <c r="D526">
        <v>4</v>
      </c>
      <c r="E526" s="13" t="s">
        <v>11247</v>
      </c>
      <c r="F526">
        <v>2</v>
      </c>
      <c r="G526" s="11">
        <v>4699.47</v>
      </c>
      <c r="H526" t="s">
        <v>11</v>
      </c>
      <c r="I526" t="s">
        <v>12</v>
      </c>
      <c r="J526" t="s">
        <v>13</v>
      </c>
    </row>
    <row r="527" spans="1:10" x14ac:dyDescent="0.3">
      <c r="A527" t="s">
        <v>558</v>
      </c>
      <c r="B527">
        <v>1981</v>
      </c>
      <c r="C527" t="s">
        <v>35</v>
      </c>
      <c r="D527">
        <v>12</v>
      </c>
      <c r="E527" s="13" t="s">
        <v>11248</v>
      </c>
      <c r="F527">
        <v>1</v>
      </c>
      <c r="G527" s="11">
        <v>4712.12</v>
      </c>
      <c r="H527" t="s">
        <v>11</v>
      </c>
      <c r="I527" t="s">
        <v>12</v>
      </c>
      <c r="J527" t="s">
        <v>42</v>
      </c>
    </row>
    <row r="528" spans="1:10" x14ac:dyDescent="0.3">
      <c r="A528" t="s">
        <v>559</v>
      </c>
      <c r="B528">
        <v>1992</v>
      </c>
      <c r="C528" t="s">
        <v>37</v>
      </c>
      <c r="D528">
        <v>9</v>
      </c>
      <c r="E528" s="13" t="s">
        <v>11138</v>
      </c>
      <c r="F528">
        <v>1</v>
      </c>
      <c r="G528" s="11">
        <v>4718.2</v>
      </c>
      <c r="H528" t="s">
        <v>11</v>
      </c>
      <c r="I528" t="s">
        <v>12</v>
      </c>
      <c r="J528" t="s">
        <v>247</v>
      </c>
    </row>
    <row r="529" spans="1:10" x14ac:dyDescent="0.3">
      <c r="A529" t="s">
        <v>560</v>
      </c>
      <c r="B529">
        <v>1992</v>
      </c>
      <c r="C529" t="s">
        <v>20</v>
      </c>
      <c r="D529">
        <v>28</v>
      </c>
      <c r="E529" s="13" t="s">
        <v>11249</v>
      </c>
      <c r="F529">
        <v>1</v>
      </c>
      <c r="G529" s="11">
        <v>4719.5200000000004</v>
      </c>
      <c r="H529" t="s">
        <v>11</v>
      </c>
      <c r="I529" t="s">
        <v>11</v>
      </c>
      <c r="J529" t="s">
        <v>247</v>
      </c>
    </row>
    <row r="530" spans="1:10" x14ac:dyDescent="0.3">
      <c r="A530" t="s">
        <v>561</v>
      </c>
      <c r="B530">
        <v>1994</v>
      </c>
      <c r="C530" t="s">
        <v>35</v>
      </c>
      <c r="D530">
        <v>12</v>
      </c>
      <c r="E530" s="13" t="s">
        <v>11250</v>
      </c>
      <c r="F530">
        <v>2</v>
      </c>
      <c r="G530" s="11">
        <v>4719.74</v>
      </c>
      <c r="H530" t="s">
        <v>11</v>
      </c>
      <c r="I530" t="s">
        <v>16</v>
      </c>
      <c r="J530" t="s">
        <v>23</v>
      </c>
    </row>
    <row r="531" spans="1:10" x14ac:dyDescent="0.3">
      <c r="A531" t="s">
        <v>562</v>
      </c>
      <c r="B531">
        <v>1980</v>
      </c>
      <c r="C531" t="s">
        <v>10</v>
      </c>
      <c r="D531">
        <v>2</v>
      </c>
      <c r="E531" s="13" t="s">
        <v>11251</v>
      </c>
      <c r="F531">
        <v>2</v>
      </c>
      <c r="G531" s="11">
        <v>4728.71</v>
      </c>
      <c r="H531" t="s">
        <v>11</v>
      </c>
      <c r="I531" t="s">
        <v>12</v>
      </c>
      <c r="J531" t="s">
        <v>23</v>
      </c>
    </row>
    <row r="532" spans="1:10" x14ac:dyDescent="0.3">
      <c r="A532" t="s">
        <v>563</v>
      </c>
      <c r="B532">
        <v>1986</v>
      </c>
      <c r="C532" t="s">
        <v>20</v>
      </c>
      <c r="D532">
        <v>5</v>
      </c>
      <c r="E532" s="13" t="s">
        <v>11252</v>
      </c>
      <c r="F532">
        <v>3</v>
      </c>
      <c r="G532" s="11">
        <v>4734.6400000000003</v>
      </c>
      <c r="H532" t="s">
        <v>11</v>
      </c>
      <c r="I532" t="s">
        <v>16</v>
      </c>
      <c r="J532" t="s">
        <v>13</v>
      </c>
    </row>
    <row r="533" spans="1:10" x14ac:dyDescent="0.3">
      <c r="A533" t="s">
        <v>564</v>
      </c>
      <c r="B533">
        <v>1991</v>
      </c>
      <c r="C533" t="s">
        <v>37</v>
      </c>
      <c r="D533">
        <v>12</v>
      </c>
      <c r="E533" s="13" t="s">
        <v>11253</v>
      </c>
      <c r="F533">
        <v>1</v>
      </c>
      <c r="G533" s="11">
        <v>4738.2700000000004</v>
      </c>
      <c r="H533" t="s">
        <v>11</v>
      </c>
      <c r="I533" t="s">
        <v>12</v>
      </c>
      <c r="J533" t="s">
        <v>23</v>
      </c>
    </row>
    <row r="534" spans="1:10" x14ac:dyDescent="0.3">
      <c r="A534" t="s">
        <v>565</v>
      </c>
      <c r="B534">
        <v>2004</v>
      </c>
      <c r="C534" t="s">
        <v>15</v>
      </c>
      <c r="D534">
        <v>24</v>
      </c>
      <c r="E534" s="13" t="s">
        <v>11254</v>
      </c>
      <c r="F534">
        <v>0</v>
      </c>
      <c r="G534" s="11">
        <v>4740.78</v>
      </c>
      <c r="H534" t="s">
        <v>11</v>
      </c>
      <c r="I534" t="s">
        <v>12</v>
      </c>
      <c r="J534" t="s">
        <v>300</v>
      </c>
    </row>
    <row r="535" spans="1:10" x14ac:dyDescent="0.3">
      <c r="A535" t="s">
        <v>566</v>
      </c>
      <c r="B535">
        <v>1987</v>
      </c>
      <c r="C535" t="s">
        <v>18</v>
      </c>
      <c r="D535">
        <v>5</v>
      </c>
      <c r="E535" s="13" t="s">
        <v>11255</v>
      </c>
      <c r="F535">
        <v>1</v>
      </c>
      <c r="G535" s="11">
        <v>4746.34</v>
      </c>
      <c r="H535" t="s">
        <v>11</v>
      </c>
      <c r="I535" t="s">
        <v>11</v>
      </c>
      <c r="J535" t="s">
        <v>42</v>
      </c>
    </row>
    <row r="536" spans="1:10" x14ac:dyDescent="0.3">
      <c r="A536" t="s">
        <v>567</v>
      </c>
      <c r="B536">
        <v>1987</v>
      </c>
      <c r="C536" t="s">
        <v>20</v>
      </c>
      <c r="D536">
        <v>2</v>
      </c>
      <c r="E536" s="13" t="s">
        <v>11256</v>
      </c>
      <c r="F536">
        <v>1</v>
      </c>
      <c r="G536" s="11">
        <v>4747.05</v>
      </c>
      <c r="H536" t="s">
        <v>11</v>
      </c>
      <c r="I536" t="s">
        <v>11</v>
      </c>
      <c r="J536" t="s">
        <v>13</v>
      </c>
    </row>
    <row r="537" spans="1:10" x14ac:dyDescent="0.3">
      <c r="A537" t="s">
        <v>568</v>
      </c>
      <c r="B537">
        <v>1987</v>
      </c>
      <c r="C537" t="s">
        <v>15</v>
      </c>
      <c r="D537">
        <v>22</v>
      </c>
      <c r="E537" s="13" t="s">
        <v>11257</v>
      </c>
      <c r="F537">
        <v>1</v>
      </c>
      <c r="G537" s="11">
        <v>4751.07</v>
      </c>
      <c r="H537" t="s">
        <v>12</v>
      </c>
      <c r="I537" t="s">
        <v>16</v>
      </c>
      <c r="J537" t="s">
        <v>42</v>
      </c>
    </row>
    <row r="538" spans="1:10" x14ac:dyDescent="0.3">
      <c r="A538" t="s">
        <v>569</v>
      </c>
      <c r="B538">
        <v>1992</v>
      </c>
      <c r="C538" t="s">
        <v>35</v>
      </c>
      <c r="D538">
        <v>16</v>
      </c>
      <c r="E538" s="13" t="s">
        <v>11258</v>
      </c>
      <c r="F538">
        <v>2</v>
      </c>
      <c r="G538" s="11">
        <v>4753.6400000000003</v>
      </c>
      <c r="H538" t="s">
        <v>11</v>
      </c>
      <c r="I538" t="s">
        <v>12</v>
      </c>
      <c r="J538" t="s">
        <v>13</v>
      </c>
    </row>
    <row r="539" spans="1:10" x14ac:dyDescent="0.3">
      <c r="A539" t="s">
        <v>570</v>
      </c>
      <c r="B539">
        <v>1987</v>
      </c>
      <c r="C539" t="s">
        <v>20</v>
      </c>
      <c r="D539">
        <v>27</v>
      </c>
      <c r="E539" s="13" t="s">
        <v>11259</v>
      </c>
      <c r="F539">
        <v>1</v>
      </c>
      <c r="G539" s="11">
        <v>4762.33</v>
      </c>
      <c r="H539" t="s">
        <v>12</v>
      </c>
      <c r="I539" t="s">
        <v>12</v>
      </c>
      <c r="J539" t="s">
        <v>42</v>
      </c>
    </row>
    <row r="540" spans="1:10" x14ac:dyDescent="0.3">
      <c r="A540" t="s">
        <v>571</v>
      </c>
      <c r="B540">
        <v>1989</v>
      </c>
      <c r="C540" t="s">
        <v>35</v>
      </c>
      <c r="D540">
        <v>1</v>
      </c>
      <c r="E540" s="13" t="s">
        <v>11260</v>
      </c>
      <c r="F540">
        <v>1</v>
      </c>
      <c r="G540" s="11">
        <v>4766.0200000000004</v>
      </c>
      <c r="H540" t="s">
        <v>11</v>
      </c>
      <c r="I540" t="s">
        <v>12</v>
      </c>
      <c r="J540" t="s">
        <v>42</v>
      </c>
    </row>
    <row r="541" spans="1:10" x14ac:dyDescent="0.3">
      <c r="A541" t="s">
        <v>572</v>
      </c>
      <c r="B541">
        <v>1989</v>
      </c>
      <c r="C541" t="s">
        <v>30</v>
      </c>
      <c r="D541">
        <v>9</v>
      </c>
      <c r="E541" s="13" t="s">
        <v>11261</v>
      </c>
      <c r="F541">
        <v>1</v>
      </c>
      <c r="G541" s="11">
        <v>4779.6000000000004</v>
      </c>
      <c r="H541" t="s">
        <v>11</v>
      </c>
      <c r="I541" t="s">
        <v>12</v>
      </c>
      <c r="J541" t="s">
        <v>13</v>
      </c>
    </row>
    <row r="542" spans="1:10" x14ac:dyDescent="0.3">
      <c r="A542" t="s">
        <v>573</v>
      </c>
      <c r="B542">
        <v>1987</v>
      </c>
      <c r="C542" t="s">
        <v>18</v>
      </c>
      <c r="D542">
        <v>22</v>
      </c>
      <c r="E542" s="13" t="s">
        <v>11262</v>
      </c>
      <c r="F542">
        <v>3</v>
      </c>
      <c r="G542" s="11">
        <v>4787.42</v>
      </c>
      <c r="H542" t="s">
        <v>11</v>
      </c>
      <c r="I542" t="s">
        <v>12</v>
      </c>
      <c r="J542" t="s">
        <v>13</v>
      </c>
    </row>
    <row r="543" spans="1:10" x14ac:dyDescent="0.3">
      <c r="A543" t="s">
        <v>574</v>
      </c>
      <c r="B543">
        <v>1989</v>
      </c>
      <c r="C543" t="s">
        <v>30</v>
      </c>
      <c r="D543">
        <v>16</v>
      </c>
      <c r="E543" s="13" t="s">
        <v>11263</v>
      </c>
      <c r="F543">
        <v>1</v>
      </c>
      <c r="G543" s="11">
        <v>4795.66</v>
      </c>
      <c r="H543" t="s">
        <v>11</v>
      </c>
      <c r="I543" t="s">
        <v>16</v>
      </c>
      <c r="J543" t="s">
        <v>13</v>
      </c>
    </row>
    <row r="544" spans="1:10" x14ac:dyDescent="0.3">
      <c r="A544" t="s">
        <v>575</v>
      </c>
      <c r="B544">
        <v>1978</v>
      </c>
      <c r="C544" t="s">
        <v>37</v>
      </c>
      <c r="D544">
        <v>3</v>
      </c>
      <c r="E544" s="13" t="s">
        <v>11264</v>
      </c>
      <c r="F544">
        <v>2</v>
      </c>
      <c r="G544" s="11">
        <v>4812.34</v>
      </c>
      <c r="H544" t="s">
        <v>11</v>
      </c>
      <c r="I544" t="s">
        <v>12</v>
      </c>
      <c r="J544" t="s">
        <v>13</v>
      </c>
    </row>
    <row r="545" spans="1:10" x14ac:dyDescent="0.3">
      <c r="A545" t="s">
        <v>576</v>
      </c>
      <c r="B545">
        <v>1981</v>
      </c>
      <c r="C545" t="s">
        <v>10</v>
      </c>
      <c r="D545">
        <v>3</v>
      </c>
      <c r="E545" s="13" t="s">
        <v>11265</v>
      </c>
      <c r="F545">
        <v>1</v>
      </c>
      <c r="G545" s="11">
        <v>4827.1000000000004</v>
      </c>
      <c r="H545" t="s">
        <v>11</v>
      </c>
      <c r="I545" t="s">
        <v>16</v>
      </c>
      <c r="J545" t="s">
        <v>13</v>
      </c>
    </row>
    <row r="546" spans="1:10" x14ac:dyDescent="0.3">
      <c r="A546" t="s">
        <v>577</v>
      </c>
      <c r="B546">
        <v>1995</v>
      </c>
      <c r="C546" t="s">
        <v>30</v>
      </c>
      <c r="D546">
        <v>1</v>
      </c>
      <c r="E546" s="13" t="s">
        <v>10970</v>
      </c>
      <c r="F546">
        <v>3</v>
      </c>
      <c r="G546" s="11">
        <v>4827.8999999999996</v>
      </c>
      <c r="H546" t="s">
        <v>16</v>
      </c>
      <c r="I546" t="s">
        <v>11</v>
      </c>
      <c r="J546" t="str">
        <f>J545</f>
        <v>R1013</v>
      </c>
    </row>
    <row r="547" spans="1:10" x14ac:dyDescent="0.3">
      <c r="A547" t="s">
        <v>578</v>
      </c>
      <c r="B547">
        <v>2002</v>
      </c>
      <c r="C547" t="s">
        <v>18</v>
      </c>
      <c r="D547">
        <v>27</v>
      </c>
      <c r="E547" s="13" t="s">
        <v>11266</v>
      </c>
      <c r="F547">
        <v>5</v>
      </c>
      <c r="G547" s="11">
        <v>4830.63</v>
      </c>
      <c r="H547" t="s">
        <v>11</v>
      </c>
      <c r="I547" t="s">
        <v>16</v>
      </c>
      <c r="J547" t="s">
        <v>42</v>
      </c>
    </row>
    <row r="548" spans="1:10" x14ac:dyDescent="0.3">
      <c r="A548" t="s">
        <v>579</v>
      </c>
      <c r="B548">
        <v>2000</v>
      </c>
      <c r="C548" t="s">
        <v>30</v>
      </c>
      <c r="D548">
        <v>11</v>
      </c>
      <c r="E548" s="13" t="s">
        <v>11267</v>
      </c>
      <c r="F548">
        <v>0</v>
      </c>
      <c r="G548" s="11">
        <v>4835.43</v>
      </c>
      <c r="H548" t="s">
        <v>11</v>
      </c>
      <c r="I548" t="s">
        <v>11</v>
      </c>
      <c r="J548" t="s">
        <v>300</v>
      </c>
    </row>
    <row r="549" spans="1:10" x14ac:dyDescent="0.3">
      <c r="A549" t="s">
        <v>580</v>
      </c>
      <c r="B549">
        <v>1992</v>
      </c>
      <c r="C549" t="s">
        <v>20</v>
      </c>
      <c r="D549">
        <v>10</v>
      </c>
      <c r="E549" s="13" t="s">
        <v>11268</v>
      </c>
      <c r="F549">
        <v>3</v>
      </c>
      <c r="G549" s="11">
        <v>4837.58</v>
      </c>
      <c r="H549" t="s">
        <v>12</v>
      </c>
      <c r="I549" t="s">
        <v>11</v>
      </c>
      <c r="J549" t="s">
        <v>13</v>
      </c>
    </row>
    <row r="550" spans="1:10" x14ac:dyDescent="0.3">
      <c r="A550" t="s">
        <v>581</v>
      </c>
      <c r="B550">
        <v>1984</v>
      </c>
      <c r="C550" t="s">
        <v>37</v>
      </c>
      <c r="D550">
        <v>15</v>
      </c>
      <c r="E550" s="13" t="s">
        <v>11269</v>
      </c>
      <c r="F550">
        <v>3</v>
      </c>
      <c r="G550" s="11">
        <v>4839.18</v>
      </c>
      <c r="H550" t="s">
        <v>11</v>
      </c>
      <c r="I550" t="s">
        <v>16</v>
      </c>
      <c r="J550" t="s">
        <v>23</v>
      </c>
    </row>
    <row r="551" spans="1:10" x14ac:dyDescent="0.3">
      <c r="A551" t="s">
        <v>582</v>
      </c>
      <c r="B551">
        <v>1995</v>
      </c>
      <c r="C551" t="s">
        <v>20</v>
      </c>
      <c r="D551">
        <v>29</v>
      </c>
      <c r="E551" s="13" t="s">
        <v>11270</v>
      </c>
      <c r="F551">
        <v>0</v>
      </c>
      <c r="G551" s="11">
        <v>4840.95</v>
      </c>
      <c r="H551" t="s">
        <v>11</v>
      </c>
      <c r="I551" t="s">
        <v>16</v>
      </c>
      <c r="J551" t="s">
        <v>300</v>
      </c>
    </row>
    <row r="552" spans="1:10" x14ac:dyDescent="0.3">
      <c r="A552" t="s">
        <v>583</v>
      </c>
      <c r="B552">
        <v>1979</v>
      </c>
      <c r="C552" t="s">
        <v>30</v>
      </c>
      <c r="D552">
        <v>13</v>
      </c>
      <c r="E552" s="13" t="s">
        <v>11271</v>
      </c>
      <c r="F552">
        <v>2</v>
      </c>
      <c r="G552" s="11">
        <v>4843.79</v>
      </c>
      <c r="H552" t="s">
        <v>11</v>
      </c>
      <c r="I552" t="s">
        <v>12</v>
      </c>
      <c r="J552" t="s">
        <v>13</v>
      </c>
    </row>
    <row r="553" spans="1:10" x14ac:dyDescent="0.3">
      <c r="A553" t="s">
        <v>584</v>
      </c>
      <c r="B553">
        <v>1974</v>
      </c>
      <c r="C553" t="s">
        <v>20</v>
      </c>
      <c r="D553">
        <v>11</v>
      </c>
      <c r="E553" s="13" t="s">
        <v>11272</v>
      </c>
      <c r="F553">
        <v>0</v>
      </c>
      <c r="G553" s="11">
        <v>4844.67</v>
      </c>
      <c r="H553" t="s">
        <v>11</v>
      </c>
      <c r="I553" t="s">
        <v>11</v>
      </c>
      <c r="J553" t="s">
        <v>13</v>
      </c>
    </row>
    <row r="554" spans="1:10" x14ac:dyDescent="0.3">
      <c r="A554" t="s">
        <v>585</v>
      </c>
      <c r="B554">
        <v>2001</v>
      </c>
      <c r="C554" t="s">
        <v>18</v>
      </c>
      <c r="D554">
        <v>7</v>
      </c>
      <c r="E554" s="13" t="s">
        <v>11273</v>
      </c>
      <c r="F554">
        <v>0</v>
      </c>
      <c r="G554" s="11">
        <v>4846.53</v>
      </c>
      <c r="H554" t="s">
        <v>11</v>
      </c>
      <c r="I554" t="s">
        <v>12</v>
      </c>
      <c r="J554" t="s">
        <v>300</v>
      </c>
    </row>
    <row r="555" spans="1:10" x14ac:dyDescent="0.3">
      <c r="A555" t="s">
        <v>586</v>
      </c>
      <c r="B555">
        <v>1995</v>
      </c>
      <c r="C555" t="s">
        <v>30</v>
      </c>
      <c r="D555">
        <v>27</v>
      </c>
      <c r="E555" s="13" t="s">
        <v>11274</v>
      </c>
      <c r="F555">
        <v>3</v>
      </c>
      <c r="G555" s="11">
        <v>4846.92</v>
      </c>
      <c r="H555" t="s">
        <v>11</v>
      </c>
      <c r="I555" t="s">
        <v>12</v>
      </c>
      <c r="J555" t="s">
        <v>356</v>
      </c>
    </row>
    <row r="556" spans="1:10" x14ac:dyDescent="0.3">
      <c r="A556" t="s">
        <v>587</v>
      </c>
      <c r="B556">
        <v>1989</v>
      </c>
      <c r="C556" t="s">
        <v>20</v>
      </c>
      <c r="D556">
        <v>1</v>
      </c>
      <c r="E556" s="13" t="s">
        <v>11275</v>
      </c>
      <c r="F556">
        <v>3</v>
      </c>
      <c r="G556" s="11">
        <v>4859.8900000000003</v>
      </c>
      <c r="H556" t="s">
        <v>11</v>
      </c>
      <c r="I556" t="s">
        <v>12</v>
      </c>
      <c r="J556" t="s">
        <v>42</v>
      </c>
    </row>
    <row r="557" spans="1:10" x14ac:dyDescent="0.3">
      <c r="A557" t="s">
        <v>588</v>
      </c>
      <c r="B557">
        <v>1997</v>
      </c>
      <c r="C557" t="s">
        <v>20</v>
      </c>
      <c r="D557">
        <v>29</v>
      </c>
      <c r="E557" s="13" t="s">
        <v>11276</v>
      </c>
      <c r="F557">
        <v>4</v>
      </c>
      <c r="G557" s="11">
        <v>4877.9799999999996</v>
      </c>
      <c r="H557" t="s">
        <v>11</v>
      </c>
      <c r="I557" t="s">
        <v>12</v>
      </c>
      <c r="J557" t="s">
        <v>23</v>
      </c>
    </row>
    <row r="558" spans="1:10" x14ac:dyDescent="0.3">
      <c r="A558" t="s">
        <v>589</v>
      </c>
      <c r="B558">
        <v>1986</v>
      </c>
      <c r="C558" t="s">
        <v>30</v>
      </c>
      <c r="D558">
        <v>23</v>
      </c>
      <c r="E558" s="13" t="s">
        <v>11162</v>
      </c>
      <c r="F558">
        <v>0</v>
      </c>
      <c r="G558" s="11">
        <v>4883.87</v>
      </c>
      <c r="H558" t="s">
        <v>11</v>
      </c>
      <c r="I558" t="s">
        <v>16</v>
      </c>
      <c r="J558" t="s">
        <v>42</v>
      </c>
    </row>
    <row r="559" spans="1:10" x14ac:dyDescent="0.3">
      <c r="A559" t="s">
        <v>590</v>
      </c>
      <c r="B559">
        <v>1986</v>
      </c>
      <c r="C559" t="s">
        <v>37</v>
      </c>
      <c r="D559">
        <v>27</v>
      </c>
      <c r="E559" s="13" t="s">
        <v>11277</v>
      </c>
      <c r="F559">
        <v>0</v>
      </c>
      <c r="G559" s="11">
        <v>4889.04</v>
      </c>
      <c r="H559" t="s">
        <v>11</v>
      </c>
      <c r="I559" t="s">
        <v>16</v>
      </c>
      <c r="J559" t="s">
        <v>13</v>
      </c>
    </row>
    <row r="560" spans="1:10" x14ac:dyDescent="0.3">
      <c r="A560" t="s">
        <v>591</v>
      </c>
      <c r="B560">
        <v>1989</v>
      </c>
      <c r="C560" t="s">
        <v>10</v>
      </c>
      <c r="D560">
        <v>10</v>
      </c>
      <c r="E560" s="13" t="s">
        <v>11278</v>
      </c>
      <c r="F560">
        <v>2</v>
      </c>
      <c r="G560" s="11">
        <v>4890</v>
      </c>
      <c r="H560" t="s">
        <v>12</v>
      </c>
      <c r="I560" t="s">
        <v>11</v>
      </c>
      <c r="J560" t="s">
        <v>13</v>
      </c>
    </row>
    <row r="561" spans="1:10" x14ac:dyDescent="0.3">
      <c r="A561" t="s">
        <v>592</v>
      </c>
      <c r="B561">
        <v>1990</v>
      </c>
      <c r="C561" t="s">
        <v>15</v>
      </c>
      <c r="D561">
        <v>28</v>
      </c>
      <c r="E561" s="13" t="s">
        <v>11279</v>
      </c>
      <c r="F561">
        <v>3</v>
      </c>
      <c r="G561" s="11">
        <v>4894.3900000000003</v>
      </c>
      <c r="H561" t="s">
        <v>11</v>
      </c>
      <c r="I561" t="s">
        <v>12</v>
      </c>
      <c r="J561" t="s">
        <v>13</v>
      </c>
    </row>
    <row r="562" spans="1:10" x14ac:dyDescent="0.3">
      <c r="A562" t="s">
        <v>593</v>
      </c>
      <c r="B562">
        <v>1988</v>
      </c>
      <c r="C562" t="s">
        <v>20</v>
      </c>
      <c r="D562">
        <v>23</v>
      </c>
      <c r="E562" s="13" t="s">
        <v>11280</v>
      </c>
      <c r="F562">
        <v>1</v>
      </c>
      <c r="G562" s="11">
        <v>4894.75</v>
      </c>
      <c r="H562" t="s">
        <v>12</v>
      </c>
      <c r="I562" t="s">
        <v>12</v>
      </c>
      <c r="J562" t="s">
        <v>23</v>
      </c>
    </row>
    <row r="563" spans="1:10" x14ac:dyDescent="0.3">
      <c r="A563" t="s">
        <v>594</v>
      </c>
      <c r="B563">
        <v>1993</v>
      </c>
      <c r="C563" t="s">
        <v>10</v>
      </c>
      <c r="D563">
        <v>10</v>
      </c>
      <c r="E563" s="13" t="s">
        <v>10925</v>
      </c>
      <c r="F563">
        <v>2</v>
      </c>
      <c r="G563" s="11">
        <v>4906.41</v>
      </c>
      <c r="H563" t="s">
        <v>11</v>
      </c>
      <c r="I563" t="s">
        <v>16</v>
      </c>
      <c r="J563" t="s">
        <v>23</v>
      </c>
    </row>
    <row r="564" spans="1:10" x14ac:dyDescent="0.3">
      <c r="A564" t="s">
        <v>595</v>
      </c>
      <c r="B564">
        <v>1981</v>
      </c>
      <c r="C564" t="s">
        <v>37</v>
      </c>
      <c r="D564">
        <v>18</v>
      </c>
      <c r="E564" s="13" t="s">
        <v>11281</v>
      </c>
      <c r="F564">
        <v>1</v>
      </c>
      <c r="G564" s="11">
        <v>4911.8900000000003</v>
      </c>
      <c r="H564" t="s">
        <v>11</v>
      </c>
      <c r="I564" t="s">
        <v>12</v>
      </c>
      <c r="J564" t="s">
        <v>13</v>
      </c>
    </row>
    <row r="565" spans="1:10" x14ac:dyDescent="0.3">
      <c r="A565" t="s">
        <v>596</v>
      </c>
      <c r="B565">
        <v>2002</v>
      </c>
      <c r="C565" t="s">
        <v>35</v>
      </c>
      <c r="D565">
        <v>21</v>
      </c>
      <c r="E565" s="13" t="s">
        <v>11282</v>
      </c>
      <c r="F565">
        <v>5</v>
      </c>
      <c r="G565" s="11">
        <v>4915.0600000000004</v>
      </c>
      <c r="H565" t="s">
        <v>11</v>
      </c>
      <c r="I565" t="s">
        <v>16</v>
      </c>
      <c r="J565" t="s">
        <v>356</v>
      </c>
    </row>
    <row r="566" spans="1:10" x14ac:dyDescent="0.3">
      <c r="A566" t="s">
        <v>597</v>
      </c>
      <c r="B566">
        <v>1993</v>
      </c>
      <c r="C566" t="s">
        <v>35</v>
      </c>
      <c r="D566">
        <v>10</v>
      </c>
      <c r="E566" s="13" t="s">
        <v>11283</v>
      </c>
      <c r="F566">
        <v>2</v>
      </c>
      <c r="G566" s="11">
        <v>4922.92</v>
      </c>
      <c r="H566" t="s">
        <v>11</v>
      </c>
      <c r="I566" t="s">
        <v>11</v>
      </c>
      <c r="J566" t="s">
        <v>23</v>
      </c>
    </row>
    <row r="567" spans="1:10" x14ac:dyDescent="0.3">
      <c r="A567" t="s">
        <v>598</v>
      </c>
      <c r="B567">
        <v>1991</v>
      </c>
      <c r="C567" t="s">
        <v>35</v>
      </c>
      <c r="D567">
        <v>23</v>
      </c>
      <c r="E567" s="13" t="s">
        <v>11284</v>
      </c>
      <c r="F567">
        <v>2</v>
      </c>
      <c r="G567" s="11">
        <v>4931.6499999999996</v>
      </c>
      <c r="H567" t="s">
        <v>11</v>
      </c>
      <c r="I567" t="s">
        <v>12</v>
      </c>
      <c r="J567" t="s">
        <v>42</v>
      </c>
    </row>
    <row r="568" spans="1:10" x14ac:dyDescent="0.3">
      <c r="A568" t="s">
        <v>599</v>
      </c>
      <c r="B568">
        <v>1991</v>
      </c>
      <c r="C568" t="s">
        <v>15</v>
      </c>
      <c r="D568">
        <v>27</v>
      </c>
      <c r="E568" s="13" t="s">
        <v>11285</v>
      </c>
      <c r="F568">
        <v>2</v>
      </c>
      <c r="G568" s="11">
        <v>4934.71</v>
      </c>
      <c r="H568" t="s">
        <v>11</v>
      </c>
      <c r="I568" t="s">
        <v>12</v>
      </c>
      <c r="J568" t="s">
        <v>42</v>
      </c>
    </row>
    <row r="569" spans="1:10" x14ac:dyDescent="0.3">
      <c r="A569" t="s">
        <v>600</v>
      </c>
      <c r="B569">
        <v>1974</v>
      </c>
      <c r="C569" t="s">
        <v>18</v>
      </c>
      <c r="D569">
        <v>26</v>
      </c>
      <c r="E569" s="13" t="s">
        <v>11286</v>
      </c>
      <c r="F569">
        <v>0</v>
      </c>
      <c r="G569" s="11">
        <v>4942.0600000000004</v>
      </c>
      <c r="H569" t="s">
        <v>11</v>
      </c>
      <c r="I569" t="s">
        <v>11</v>
      </c>
      <c r="J569" t="s">
        <v>13</v>
      </c>
    </row>
    <row r="570" spans="1:10" x14ac:dyDescent="0.3">
      <c r="A570" t="s">
        <v>601</v>
      </c>
      <c r="B570">
        <v>1991</v>
      </c>
      <c r="C570" t="s">
        <v>35</v>
      </c>
      <c r="D570">
        <v>30</v>
      </c>
      <c r="E570" s="13" t="s">
        <v>11287</v>
      </c>
      <c r="F570">
        <v>2</v>
      </c>
      <c r="G570" s="11">
        <v>4949.76</v>
      </c>
      <c r="H570" t="s">
        <v>11</v>
      </c>
      <c r="I570" t="s">
        <v>16</v>
      </c>
      <c r="J570" t="s">
        <v>13</v>
      </c>
    </row>
    <row r="571" spans="1:10" x14ac:dyDescent="0.3">
      <c r="A571" t="s">
        <v>602</v>
      </c>
      <c r="B571">
        <v>1973</v>
      </c>
      <c r="C571" t="s">
        <v>15</v>
      </c>
      <c r="D571">
        <v>7</v>
      </c>
      <c r="E571" s="13" t="s">
        <v>11288</v>
      </c>
      <c r="F571">
        <v>0</v>
      </c>
      <c r="G571" s="11">
        <v>4985.22</v>
      </c>
      <c r="H571" t="s">
        <v>11</v>
      </c>
      <c r="I571" t="s">
        <v>12</v>
      </c>
      <c r="J571" t="s">
        <v>13</v>
      </c>
    </row>
    <row r="572" spans="1:10" x14ac:dyDescent="0.3">
      <c r="A572" t="s">
        <v>603</v>
      </c>
      <c r="B572">
        <v>1988</v>
      </c>
      <c r="C572" t="s">
        <v>18</v>
      </c>
      <c r="D572">
        <v>24</v>
      </c>
      <c r="E572" s="13" t="s">
        <v>11289</v>
      </c>
      <c r="F572">
        <v>0</v>
      </c>
      <c r="G572" s="11">
        <v>4992.38</v>
      </c>
      <c r="H572" t="s">
        <v>11</v>
      </c>
      <c r="I572" t="s">
        <v>12</v>
      </c>
      <c r="J572" t="s">
        <v>247</v>
      </c>
    </row>
    <row r="573" spans="1:10" x14ac:dyDescent="0.3">
      <c r="A573" t="s">
        <v>604</v>
      </c>
      <c r="B573">
        <v>2001</v>
      </c>
      <c r="C573" t="s">
        <v>37</v>
      </c>
      <c r="D573">
        <v>5</v>
      </c>
      <c r="E573" s="13" t="s">
        <v>11290</v>
      </c>
      <c r="F573">
        <v>0</v>
      </c>
      <c r="G573" s="11">
        <v>4999.04</v>
      </c>
      <c r="H573" t="s">
        <v>11</v>
      </c>
      <c r="I573" t="s">
        <v>11</v>
      </c>
      <c r="J573" t="s">
        <v>42</v>
      </c>
    </row>
    <row r="574" spans="1:10" x14ac:dyDescent="0.3">
      <c r="A574" t="s">
        <v>605</v>
      </c>
      <c r="B574">
        <v>1988</v>
      </c>
      <c r="C574" t="s">
        <v>20</v>
      </c>
      <c r="D574">
        <v>4</v>
      </c>
      <c r="E574" s="13" t="s">
        <v>11291</v>
      </c>
      <c r="F574">
        <v>1</v>
      </c>
      <c r="G574" s="11">
        <v>5002.78</v>
      </c>
      <c r="H574" t="s">
        <v>11</v>
      </c>
      <c r="I574" t="s">
        <v>11</v>
      </c>
      <c r="J574" t="s">
        <v>13</v>
      </c>
    </row>
    <row r="575" spans="1:10" x14ac:dyDescent="0.3">
      <c r="A575" t="s">
        <v>606</v>
      </c>
      <c r="B575">
        <v>1977</v>
      </c>
      <c r="C575" t="s">
        <v>18</v>
      </c>
      <c r="D575">
        <v>9</v>
      </c>
      <c r="E575" s="13" t="s">
        <v>11292</v>
      </c>
      <c r="F575">
        <v>2</v>
      </c>
      <c r="G575" s="11">
        <v>5003.7700000000004</v>
      </c>
      <c r="H575" t="s">
        <v>11</v>
      </c>
      <c r="I575" t="s">
        <v>12</v>
      </c>
      <c r="J575" t="s">
        <v>13</v>
      </c>
    </row>
    <row r="576" spans="1:10" x14ac:dyDescent="0.3">
      <c r="A576" t="s">
        <v>607</v>
      </c>
      <c r="B576">
        <v>1988</v>
      </c>
      <c r="C576" t="s">
        <v>10</v>
      </c>
      <c r="D576">
        <v>8</v>
      </c>
      <c r="E576" s="13" t="s">
        <v>11293</v>
      </c>
      <c r="F576">
        <v>1</v>
      </c>
      <c r="G576" s="11">
        <v>5003.8500000000004</v>
      </c>
      <c r="H576" t="s">
        <v>11</v>
      </c>
      <c r="I576" t="s">
        <v>12</v>
      </c>
      <c r="J576" t="s">
        <v>42</v>
      </c>
    </row>
    <row r="577" spans="1:10" x14ac:dyDescent="0.3">
      <c r="A577" t="s">
        <v>608</v>
      </c>
      <c r="B577">
        <v>1988</v>
      </c>
      <c r="C577" t="s">
        <v>15</v>
      </c>
      <c r="D577">
        <v>9</v>
      </c>
      <c r="E577" s="13" t="s">
        <v>11294</v>
      </c>
      <c r="F577">
        <v>1</v>
      </c>
      <c r="G577" s="11">
        <v>5012.47</v>
      </c>
      <c r="H577" t="s">
        <v>11</v>
      </c>
      <c r="I577" t="s">
        <v>12</v>
      </c>
      <c r="J577" t="s">
        <v>42</v>
      </c>
    </row>
    <row r="578" spans="1:10" x14ac:dyDescent="0.3">
      <c r="A578" t="s">
        <v>609</v>
      </c>
      <c r="B578">
        <v>1985</v>
      </c>
      <c r="C578" t="s">
        <v>30</v>
      </c>
      <c r="D578">
        <v>28</v>
      </c>
      <c r="E578" s="13" t="s">
        <v>11295</v>
      </c>
      <c r="F578">
        <v>0</v>
      </c>
      <c r="G578" s="11">
        <v>5028.1499999999996</v>
      </c>
      <c r="H578" t="s">
        <v>16</v>
      </c>
      <c r="I578" t="s">
        <v>11</v>
      </c>
      <c r="J578" t="s">
        <v>23</v>
      </c>
    </row>
    <row r="579" spans="1:10" x14ac:dyDescent="0.3">
      <c r="A579" t="s">
        <v>610</v>
      </c>
      <c r="B579">
        <v>1991</v>
      </c>
      <c r="C579" t="s">
        <v>20</v>
      </c>
      <c r="D579">
        <v>10</v>
      </c>
      <c r="E579" s="13" t="s">
        <v>11296</v>
      </c>
      <c r="F579">
        <v>2</v>
      </c>
      <c r="G579" s="11">
        <v>5031.2700000000004</v>
      </c>
      <c r="H579" t="s">
        <v>12</v>
      </c>
      <c r="I579" t="s">
        <v>16</v>
      </c>
      <c r="J579" t="s">
        <v>168</v>
      </c>
    </row>
    <row r="580" spans="1:10" x14ac:dyDescent="0.3">
      <c r="A580" t="s">
        <v>611</v>
      </c>
      <c r="B580">
        <v>1986</v>
      </c>
      <c r="C580" t="s">
        <v>18</v>
      </c>
      <c r="D580">
        <v>29</v>
      </c>
      <c r="E580" s="13" t="s">
        <v>11297</v>
      </c>
      <c r="F580">
        <v>3</v>
      </c>
      <c r="G580" s="11">
        <v>5034.1000000000004</v>
      </c>
      <c r="H580" t="s">
        <v>11</v>
      </c>
      <c r="I580" t="s">
        <v>11</v>
      </c>
      <c r="J580" t="s">
        <v>13</v>
      </c>
    </row>
    <row r="581" spans="1:10" x14ac:dyDescent="0.3">
      <c r="A581" t="s">
        <v>612</v>
      </c>
      <c r="B581">
        <v>1997</v>
      </c>
      <c r="C581" t="s">
        <v>30</v>
      </c>
      <c r="D581">
        <v>4</v>
      </c>
      <c r="E581" s="13" t="s">
        <v>11298</v>
      </c>
      <c r="F581">
        <v>0</v>
      </c>
      <c r="G581" s="11">
        <v>5038.57</v>
      </c>
      <c r="H581" t="s">
        <v>11</v>
      </c>
      <c r="I581" t="s">
        <v>11</v>
      </c>
      <c r="J581" t="s">
        <v>200</v>
      </c>
    </row>
    <row r="582" spans="1:10" x14ac:dyDescent="0.3">
      <c r="A582" t="s">
        <v>613</v>
      </c>
      <c r="B582">
        <v>2001</v>
      </c>
      <c r="C582" t="s">
        <v>37</v>
      </c>
      <c r="D582">
        <v>16</v>
      </c>
      <c r="E582" s="13" t="s">
        <v>11299</v>
      </c>
      <c r="F582">
        <v>0</v>
      </c>
      <c r="G582" s="11">
        <v>5043.13</v>
      </c>
      <c r="H582" t="s">
        <v>11</v>
      </c>
      <c r="I582" t="s">
        <v>12</v>
      </c>
      <c r="J582" t="s">
        <v>42</v>
      </c>
    </row>
    <row r="583" spans="1:10" x14ac:dyDescent="0.3">
      <c r="A583" t="s">
        <v>614</v>
      </c>
      <c r="B583">
        <v>1997</v>
      </c>
      <c r="C583" t="s">
        <v>10</v>
      </c>
      <c r="D583">
        <v>29</v>
      </c>
      <c r="E583" s="13" t="s">
        <v>11300</v>
      </c>
      <c r="F583">
        <v>0</v>
      </c>
      <c r="G583" s="11">
        <v>5045.1499999999996</v>
      </c>
      <c r="H583" t="s">
        <v>11</v>
      </c>
      <c r="I583" t="s">
        <v>11</v>
      </c>
      <c r="J583" t="s">
        <v>23</v>
      </c>
    </row>
    <row r="584" spans="1:10" x14ac:dyDescent="0.3">
      <c r="A584" t="s">
        <v>615</v>
      </c>
      <c r="B584">
        <v>1980</v>
      </c>
      <c r="C584" t="s">
        <v>20</v>
      </c>
      <c r="D584">
        <v>7</v>
      </c>
      <c r="E584" s="13" t="s">
        <v>11301</v>
      </c>
      <c r="F584">
        <v>2</v>
      </c>
      <c r="G584" s="11">
        <v>5054.05</v>
      </c>
      <c r="H584" t="s">
        <v>11</v>
      </c>
      <c r="I584" t="s">
        <v>11</v>
      </c>
      <c r="J584" t="s">
        <v>13</v>
      </c>
    </row>
    <row r="585" spans="1:10" x14ac:dyDescent="0.3">
      <c r="A585" t="s">
        <v>616</v>
      </c>
      <c r="B585">
        <v>1993</v>
      </c>
      <c r="C585" t="s">
        <v>18</v>
      </c>
      <c r="D585">
        <v>11</v>
      </c>
      <c r="E585" s="13" t="s">
        <v>11302</v>
      </c>
      <c r="F585">
        <v>0</v>
      </c>
      <c r="G585" s="11">
        <v>5059.5600000000004</v>
      </c>
      <c r="H585" t="s">
        <v>11</v>
      </c>
      <c r="I585" t="s">
        <v>16</v>
      </c>
      <c r="J585" t="s">
        <v>300</v>
      </c>
    </row>
    <row r="586" spans="1:10" x14ac:dyDescent="0.3">
      <c r="A586" t="s">
        <v>617</v>
      </c>
      <c r="B586">
        <v>1978</v>
      </c>
      <c r="C586" t="s">
        <v>15</v>
      </c>
      <c r="D586">
        <v>22</v>
      </c>
      <c r="E586" s="13" t="s">
        <v>11303</v>
      </c>
      <c r="F586">
        <v>2</v>
      </c>
      <c r="G586" s="11">
        <v>5077.1899999999996</v>
      </c>
      <c r="H586" t="s">
        <v>11</v>
      </c>
      <c r="I586" t="s">
        <v>12</v>
      </c>
      <c r="J586" t="s">
        <v>23</v>
      </c>
    </row>
    <row r="587" spans="1:10" x14ac:dyDescent="0.3">
      <c r="A587" t="s">
        <v>618</v>
      </c>
      <c r="B587">
        <v>1997</v>
      </c>
      <c r="C587" t="s">
        <v>10</v>
      </c>
      <c r="D587">
        <v>14</v>
      </c>
      <c r="E587" s="13" t="s">
        <v>11304</v>
      </c>
      <c r="F587">
        <v>5</v>
      </c>
      <c r="G587" s="11">
        <v>5080.1000000000004</v>
      </c>
      <c r="H587" t="s">
        <v>12</v>
      </c>
      <c r="I587" t="s">
        <v>11</v>
      </c>
      <c r="J587" t="s">
        <v>42</v>
      </c>
    </row>
    <row r="588" spans="1:10" x14ac:dyDescent="0.3">
      <c r="A588" t="s">
        <v>619</v>
      </c>
      <c r="B588">
        <v>1999</v>
      </c>
      <c r="C588" t="s">
        <v>18</v>
      </c>
      <c r="D588">
        <v>19</v>
      </c>
      <c r="E588" s="13" t="s">
        <v>11305</v>
      </c>
      <c r="F588">
        <v>0</v>
      </c>
      <c r="G588" s="11">
        <v>5087.92</v>
      </c>
      <c r="H588" t="s">
        <v>11</v>
      </c>
      <c r="I588" t="s">
        <v>11</v>
      </c>
      <c r="J588" t="s">
        <v>535</v>
      </c>
    </row>
    <row r="589" spans="1:10" x14ac:dyDescent="0.3">
      <c r="A589" t="s">
        <v>620</v>
      </c>
      <c r="B589">
        <v>1987</v>
      </c>
      <c r="C589" t="s">
        <v>15</v>
      </c>
      <c r="D589">
        <v>18</v>
      </c>
      <c r="E589" s="13" t="s">
        <v>11306</v>
      </c>
      <c r="F589">
        <v>1</v>
      </c>
      <c r="G589" s="11">
        <v>5116.5</v>
      </c>
      <c r="H589" t="s">
        <v>11</v>
      </c>
      <c r="I589" t="s">
        <v>11</v>
      </c>
      <c r="J589" t="s">
        <v>23</v>
      </c>
    </row>
    <row r="590" spans="1:10" x14ac:dyDescent="0.3">
      <c r="A590" t="s">
        <v>621</v>
      </c>
      <c r="B590">
        <v>1988</v>
      </c>
      <c r="C590" t="s">
        <v>15</v>
      </c>
      <c r="D590">
        <v>1</v>
      </c>
      <c r="E590" s="13" t="s">
        <v>11307</v>
      </c>
      <c r="F590">
        <v>2</v>
      </c>
      <c r="G590" s="11">
        <v>5124.1899999999996</v>
      </c>
      <c r="H590" t="s">
        <v>11</v>
      </c>
      <c r="I590" t="s">
        <v>12</v>
      </c>
      <c r="J590" t="s">
        <v>13</v>
      </c>
    </row>
    <row r="591" spans="1:10" x14ac:dyDescent="0.3">
      <c r="A591" t="s">
        <v>622</v>
      </c>
      <c r="B591">
        <v>1987</v>
      </c>
      <c r="C591" t="s">
        <v>20</v>
      </c>
      <c r="D591">
        <v>13</v>
      </c>
      <c r="E591" s="13" t="s">
        <v>11308</v>
      </c>
      <c r="F591">
        <v>1</v>
      </c>
      <c r="G591" s="11">
        <v>5125.22</v>
      </c>
      <c r="H591" t="s">
        <v>16</v>
      </c>
      <c r="I591" t="s">
        <v>11</v>
      </c>
      <c r="J591" t="s">
        <v>23</v>
      </c>
    </row>
    <row r="592" spans="1:10" x14ac:dyDescent="0.3">
      <c r="A592" t="s">
        <v>623</v>
      </c>
      <c r="B592">
        <v>1988</v>
      </c>
      <c r="C592" t="s">
        <v>20</v>
      </c>
      <c r="D592">
        <v>15</v>
      </c>
      <c r="E592" s="13" t="s">
        <v>11309</v>
      </c>
      <c r="F592">
        <v>3</v>
      </c>
      <c r="G592" s="11">
        <v>5136.75</v>
      </c>
      <c r="H592" t="s">
        <v>11</v>
      </c>
      <c r="I592" t="s">
        <v>16</v>
      </c>
      <c r="J592" t="s">
        <v>13</v>
      </c>
    </row>
    <row r="593" spans="1:10" x14ac:dyDescent="0.3">
      <c r="A593" t="s">
        <v>624</v>
      </c>
      <c r="B593">
        <v>1993</v>
      </c>
      <c r="C593" t="s">
        <v>30</v>
      </c>
      <c r="D593">
        <v>10</v>
      </c>
      <c r="E593" s="13" t="s">
        <v>11310</v>
      </c>
      <c r="F593">
        <v>3</v>
      </c>
      <c r="G593" s="11">
        <v>5138.26</v>
      </c>
      <c r="H593" t="s">
        <v>11</v>
      </c>
      <c r="I593" t="s">
        <v>11</v>
      </c>
      <c r="J593" t="s">
        <v>13</v>
      </c>
    </row>
    <row r="594" spans="1:10" x14ac:dyDescent="0.3">
      <c r="A594" t="s">
        <v>625</v>
      </c>
      <c r="B594">
        <v>1984</v>
      </c>
      <c r="C594" t="s">
        <v>35</v>
      </c>
      <c r="D594">
        <v>22</v>
      </c>
      <c r="E594" s="13" t="s">
        <v>11311</v>
      </c>
      <c r="F594">
        <v>3</v>
      </c>
      <c r="G594" s="11">
        <v>5144.18</v>
      </c>
      <c r="H594" t="s">
        <v>11</v>
      </c>
      <c r="I594" t="s">
        <v>16</v>
      </c>
      <c r="J594" t="s">
        <v>13</v>
      </c>
    </row>
    <row r="595" spans="1:10" x14ac:dyDescent="0.3">
      <c r="A595" t="s">
        <v>626</v>
      </c>
      <c r="B595">
        <v>1990</v>
      </c>
      <c r="C595" t="s">
        <v>35</v>
      </c>
      <c r="D595">
        <v>22</v>
      </c>
      <c r="E595" s="13" t="s">
        <v>11312</v>
      </c>
      <c r="F595">
        <v>1</v>
      </c>
      <c r="G595" s="11">
        <v>5148.55</v>
      </c>
      <c r="H595" t="s">
        <v>11</v>
      </c>
      <c r="I595" t="s">
        <v>11</v>
      </c>
      <c r="J595" t="s">
        <v>247</v>
      </c>
    </row>
    <row r="596" spans="1:10" x14ac:dyDescent="0.3">
      <c r="A596" t="s">
        <v>627</v>
      </c>
      <c r="B596">
        <v>1990</v>
      </c>
      <c r="C596" t="s">
        <v>37</v>
      </c>
      <c r="D596">
        <v>9</v>
      </c>
      <c r="E596" s="13" t="s">
        <v>11313</v>
      </c>
      <c r="F596">
        <v>2</v>
      </c>
      <c r="G596" s="11">
        <v>5152.13</v>
      </c>
      <c r="H596" t="s">
        <v>11</v>
      </c>
      <c r="I596" t="s">
        <v>11</v>
      </c>
      <c r="J596" t="s">
        <v>42</v>
      </c>
    </row>
    <row r="597" spans="1:10" x14ac:dyDescent="0.3">
      <c r="A597" t="s">
        <v>628</v>
      </c>
      <c r="B597">
        <v>1991</v>
      </c>
      <c r="C597" t="s">
        <v>35</v>
      </c>
      <c r="D597">
        <v>29</v>
      </c>
      <c r="E597" s="13" t="s">
        <v>11314</v>
      </c>
      <c r="F597">
        <v>3</v>
      </c>
      <c r="G597" s="11">
        <v>5166.96</v>
      </c>
      <c r="H597" t="s">
        <v>11</v>
      </c>
      <c r="I597" t="s">
        <v>11</v>
      </c>
      <c r="J597" t="s">
        <v>23</v>
      </c>
    </row>
    <row r="598" spans="1:10" x14ac:dyDescent="0.3">
      <c r="A598" t="s">
        <v>629</v>
      </c>
      <c r="B598">
        <v>1984</v>
      </c>
      <c r="C598" t="s">
        <v>37</v>
      </c>
      <c r="D598">
        <v>16</v>
      </c>
      <c r="E598" s="13" t="s">
        <v>11315</v>
      </c>
      <c r="F598">
        <v>3</v>
      </c>
      <c r="G598" s="11">
        <v>5177.12</v>
      </c>
      <c r="H598" t="s">
        <v>11</v>
      </c>
      <c r="I598" t="s">
        <v>16</v>
      </c>
      <c r="J598" t="s">
        <v>13</v>
      </c>
    </row>
    <row r="599" spans="1:10" x14ac:dyDescent="0.3">
      <c r="A599" t="s">
        <v>630</v>
      </c>
      <c r="B599">
        <v>1979</v>
      </c>
      <c r="C599" t="s">
        <v>20</v>
      </c>
      <c r="D599">
        <v>12</v>
      </c>
      <c r="E599" s="13" t="s">
        <v>11316</v>
      </c>
      <c r="F599">
        <v>2</v>
      </c>
      <c r="G599" s="11">
        <v>5195.58</v>
      </c>
      <c r="H599" t="s">
        <v>11</v>
      </c>
      <c r="I599" t="s">
        <v>11</v>
      </c>
      <c r="J599" t="s">
        <v>13</v>
      </c>
    </row>
    <row r="600" spans="1:10" x14ac:dyDescent="0.3">
      <c r="A600" t="s">
        <v>631</v>
      </c>
      <c r="B600">
        <v>2004</v>
      </c>
      <c r="C600" t="s">
        <v>18</v>
      </c>
      <c r="D600">
        <v>6</v>
      </c>
      <c r="E600" s="13" t="s">
        <v>11317</v>
      </c>
      <c r="F600">
        <v>0</v>
      </c>
      <c r="G600" s="11">
        <v>5198.6899999999996</v>
      </c>
      <c r="H600" t="s">
        <v>11</v>
      </c>
      <c r="I600" t="s">
        <v>11</v>
      </c>
      <c r="J600" t="s">
        <v>632</v>
      </c>
    </row>
    <row r="601" spans="1:10" x14ac:dyDescent="0.3">
      <c r="A601" t="s">
        <v>633</v>
      </c>
      <c r="B601">
        <v>1983</v>
      </c>
      <c r="C601" t="s">
        <v>37</v>
      </c>
      <c r="D601">
        <v>24</v>
      </c>
      <c r="E601" s="13" t="s">
        <v>11318</v>
      </c>
      <c r="F601">
        <v>3</v>
      </c>
      <c r="G601" s="11">
        <v>5207.97</v>
      </c>
      <c r="H601" t="s">
        <v>11</v>
      </c>
      <c r="I601" t="s">
        <v>11</v>
      </c>
      <c r="J601" t="s">
        <v>23</v>
      </c>
    </row>
    <row r="602" spans="1:10" x14ac:dyDescent="0.3">
      <c r="A602" t="s">
        <v>634</v>
      </c>
      <c r="B602">
        <v>1993</v>
      </c>
      <c r="C602" t="s">
        <v>18</v>
      </c>
      <c r="D602">
        <v>17</v>
      </c>
      <c r="E602" s="13" t="s">
        <v>11319</v>
      </c>
      <c r="F602">
        <v>3</v>
      </c>
      <c r="G602" s="11">
        <v>5209.58</v>
      </c>
      <c r="H602" t="s">
        <v>12</v>
      </c>
      <c r="I602" t="s">
        <v>12</v>
      </c>
      <c r="J602" t="s">
        <v>356</v>
      </c>
    </row>
    <row r="603" spans="1:10" x14ac:dyDescent="0.3">
      <c r="A603" t="s">
        <v>635</v>
      </c>
      <c r="B603">
        <v>1999</v>
      </c>
      <c r="C603" t="s">
        <v>30</v>
      </c>
      <c r="D603">
        <v>1</v>
      </c>
      <c r="E603" s="13" t="s">
        <v>11320</v>
      </c>
      <c r="F603">
        <v>0</v>
      </c>
      <c r="G603" s="11">
        <v>5213.22</v>
      </c>
      <c r="H603" t="s">
        <v>11</v>
      </c>
      <c r="I603" t="s">
        <v>16</v>
      </c>
      <c r="J603" t="s">
        <v>23</v>
      </c>
    </row>
    <row r="604" spans="1:10" x14ac:dyDescent="0.3">
      <c r="A604" t="s">
        <v>636</v>
      </c>
      <c r="B604">
        <v>1995</v>
      </c>
      <c r="C604" t="s">
        <v>18</v>
      </c>
      <c r="D604">
        <v>6</v>
      </c>
      <c r="E604" s="13" t="s">
        <v>11321</v>
      </c>
      <c r="F604">
        <v>0</v>
      </c>
      <c r="G604" s="11">
        <v>5216.4799999999996</v>
      </c>
      <c r="H604" t="s">
        <v>11</v>
      </c>
      <c r="I604" t="s">
        <v>11</v>
      </c>
      <c r="J604" t="s">
        <v>200</v>
      </c>
    </row>
    <row r="605" spans="1:10" x14ac:dyDescent="0.3">
      <c r="A605" t="s">
        <v>637</v>
      </c>
      <c r="B605">
        <v>1987</v>
      </c>
      <c r="C605" t="s">
        <v>18</v>
      </c>
      <c r="D605">
        <v>29</v>
      </c>
      <c r="E605" s="13" t="s">
        <v>11322</v>
      </c>
      <c r="F605">
        <v>0</v>
      </c>
      <c r="G605" s="11">
        <v>5227.99</v>
      </c>
      <c r="H605" t="s">
        <v>11</v>
      </c>
      <c r="I605" t="s">
        <v>16</v>
      </c>
      <c r="J605" t="s">
        <v>247</v>
      </c>
    </row>
    <row r="606" spans="1:10" x14ac:dyDescent="0.3">
      <c r="A606" t="s">
        <v>638</v>
      </c>
      <c r="B606">
        <v>1987</v>
      </c>
      <c r="C606" t="s">
        <v>30</v>
      </c>
      <c r="D606">
        <v>26</v>
      </c>
      <c r="E606" s="13" t="s">
        <v>11323</v>
      </c>
      <c r="F606">
        <v>1</v>
      </c>
      <c r="G606" s="11">
        <v>5240.7700000000004</v>
      </c>
      <c r="H606" t="s">
        <v>11</v>
      </c>
      <c r="I606" t="s">
        <v>11</v>
      </c>
      <c r="J606" t="s">
        <v>42</v>
      </c>
    </row>
    <row r="607" spans="1:10" x14ac:dyDescent="0.3">
      <c r="A607" t="s">
        <v>639</v>
      </c>
      <c r="B607">
        <v>1987</v>
      </c>
      <c r="C607" t="s">
        <v>10</v>
      </c>
      <c r="D607">
        <v>5</v>
      </c>
      <c r="E607" s="13" t="s">
        <v>11324</v>
      </c>
      <c r="F607">
        <v>1</v>
      </c>
      <c r="G607" s="11">
        <v>5245.23</v>
      </c>
      <c r="H607" t="s">
        <v>11</v>
      </c>
      <c r="I607" t="s">
        <v>11</v>
      </c>
      <c r="J607" t="s">
        <v>13</v>
      </c>
    </row>
    <row r="608" spans="1:10" x14ac:dyDescent="0.3">
      <c r="A608" t="s">
        <v>640</v>
      </c>
      <c r="B608">
        <v>1987</v>
      </c>
      <c r="C608" t="s">
        <v>20</v>
      </c>
      <c r="D608">
        <v>9</v>
      </c>
      <c r="E608" s="13" t="s">
        <v>11325</v>
      </c>
      <c r="F608">
        <v>1</v>
      </c>
      <c r="G608" s="11">
        <v>5246.05</v>
      </c>
      <c r="H608" t="s">
        <v>11</v>
      </c>
      <c r="I608" t="s">
        <v>12</v>
      </c>
      <c r="J608" t="s">
        <v>42</v>
      </c>
    </row>
    <row r="609" spans="1:10" x14ac:dyDescent="0.3">
      <c r="A609" t="s">
        <v>641</v>
      </c>
      <c r="B609">
        <v>1990</v>
      </c>
      <c r="C609" t="s">
        <v>10</v>
      </c>
      <c r="D609">
        <v>6</v>
      </c>
      <c r="E609" s="13" t="s">
        <v>11326</v>
      </c>
      <c r="F609">
        <v>3</v>
      </c>
      <c r="G609" s="11">
        <v>5253.52</v>
      </c>
      <c r="H609" t="s">
        <v>12</v>
      </c>
      <c r="I609" t="s">
        <v>12</v>
      </c>
      <c r="J609" t="s">
        <v>42</v>
      </c>
    </row>
    <row r="610" spans="1:10" x14ac:dyDescent="0.3">
      <c r="A610" t="s">
        <v>642</v>
      </c>
      <c r="B610">
        <v>1989</v>
      </c>
      <c r="C610" t="s">
        <v>15</v>
      </c>
      <c r="D610">
        <v>25</v>
      </c>
      <c r="E610" s="13" t="s">
        <v>11327</v>
      </c>
      <c r="F610">
        <v>2</v>
      </c>
      <c r="G610" s="11">
        <v>5257.51</v>
      </c>
      <c r="H610" t="s">
        <v>11</v>
      </c>
      <c r="I610" t="s">
        <v>11</v>
      </c>
      <c r="J610" t="s">
        <v>23</v>
      </c>
    </row>
    <row r="611" spans="1:10" x14ac:dyDescent="0.3">
      <c r="A611" t="s">
        <v>643</v>
      </c>
      <c r="B611">
        <v>1989</v>
      </c>
      <c r="C611" t="s">
        <v>10</v>
      </c>
      <c r="D611">
        <v>19</v>
      </c>
      <c r="E611" s="13" t="s">
        <v>11328</v>
      </c>
      <c r="F611">
        <v>2</v>
      </c>
      <c r="G611" s="11">
        <v>5261.47</v>
      </c>
      <c r="H611" t="s">
        <v>11</v>
      </c>
      <c r="I611" t="s">
        <v>11</v>
      </c>
      <c r="J611" t="s">
        <v>23</v>
      </c>
    </row>
    <row r="612" spans="1:10" x14ac:dyDescent="0.3">
      <c r="A612" t="s">
        <v>644</v>
      </c>
      <c r="B612">
        <v>1986</v>
      </c>
      <c r="C612" t="s">
        <v>37</v>
      </c>
      <c r="D612">
        <v>25</v>
      </c>
      <c r="E612" s="13" t="s">
        <v>11329</v>
      </c>
      <c r="F612">
        <v>0</v>
      </c>
      <c r="G612" s="11">
        <v>5266.37</v>
      </c>
      <c r="H612" t="s">
        <v>11</v>
      </c>
      <c r="I612" t="s">
        <v>11</v>
      </c>
      <c r="J612" t="s">
        <v>23</v>
      </c>
    </row>
    <row r="613" spans="1:10" x14ac:dyDescent="0.3">
      <c r="A613" t="s">
        <v>645</v>
      </c>
      <c r="B613">
        <v>1986</v>
      </c>
      <c r="C613" t="s">
        <v>20</v>
      </c>
      <c r="D613">
        <v>20</v>
      </c>
      <c r="E613" s="13" t="s">
        <v>11330</v>
      </c>
      <c r="F613">
        <v>0</v>
      </c>
      <c r="G613" s="11">
        <v>5267.82</v>
      </c>
      <c r="H613" t="s">
        <v>11</v>
      </c>
      <c r="I613" t="s">
        <v>11</v>
      </c>
      <c r="J613" t="s">
        <v>23</v>
      </c>
    </row>
    <row r="614" spans="1:10" x14ac:dyDescent="0.3">
      <c r="A614" t="s">
        <v>646</v>
      </c>
      <c r="B614">
        <v>1986</v>
      </c>
      <c r="C614" t="s">
        <v>37</v>
      </c>
      <c r="D614">
        <v>20</v>
      </c>
      <c r="E614" s="13" t="s">
        <v>11331</v>
      </c>
      <c r="F614">
        <v>0</v>
      </c>
      <c r="G614" s="11">
        <v>5272.18</v>
      </c>
      <c r="H614" t="s">
        <v>11</v>
      </c>
      <c r="I614" t="s">
        <v>12</v>
      </c>
      <c r="J614" t="s">
        <v>23</v>
      </c>
    </row>
    <row r="615" spans="1:10" x14ac:dyDescent="0.3">
      <c r="A615" t="s">
        <v>647</v>
      </c>
      <c r="B615">
        <v>1987</v>
      </c>
      <c r="C615" t="s">
        <v>20</v>
      </c>
      <c r="D615">
        <v>1</v>
      </c>
      <c r="E615" s="13" t="s">
        <v>11332</v>
      </c>
      <c r="F615">
        <v>3</v>
      </c>
      <c r="G615" s="11">
        <v>5275.86</v>
      </c>
      <c r="H615" t="s">
        <v>11</v>
      </c>
      <c r="I615" t="s">
        <v>11</v>
      </c>
      <c r="J615" t="s">
        <v>13</v>
      </c>
    </row>
    <row r="616" spans="1:10" x14ac:dyDescent="0.3">
      <c r="A616" t="s">
        <v>648</v>
      </c>
      <c r="B616">
        <v>1974</v>
      </c>
      <c r="C616" t="s">
        <v>15</v>
      </c>
      <c r="D616">
        <v>12</v>
      </c>
      <c r="E616" s="13" t="s">
        <v>11333</v>
      </c>
      <c r="F616">
        <v>0</v>
      </c>
      <c r="G616" s="11">
        <v>5291.71</v>
      </c>
      <c r="H616" t="s">
        <v>11</v>
      </c>
      <c r="I616" t="s">
        <v>11</v>
      </c>
      <c r="J616" t="s">
        <v>23</v>
      </c>
    </row>
    <row r="617" spans="1:10" x14ac:dyDescent="0.3">
      <c r="A617" t="s">
        <v>649</v>
      </c>
      <c r="B617">
        <v>2004</v>
      </c>
      <c r="C617" t="s">
        <v>35</v>
      </c>
      <c r="D617">
        <v>22</v>
      </c>
      <c r="E617" s="13" t="s">
        <v>11334</v>
      </c>
      <c r="F617">
        <v>0</v>
      </c>
      <c r="G617" s="11">
        <v>5293.67</v>
      </c>
      <c r="H617" t="s">
        <v>11</v>
      </c>
      <c r="I617" t="s">
        <v>11</v>
      </c>
      <c r="J617" t="s">
        <v>632</v>
      </c>
    </row>
    <row r="618" spans="1:10" x14ac:dyDescent="0.3">
      <c r="A618" t="s">
        <v>650</v>
      </c>
      <c r="B618">
        <v>2000</v>
      </c>
      <c r="C618" t="s">
        <v>20</v>
      </c>
      <c r="D618">
        <v>9</v>
      </c>
      <c r="E618" s="13" t="s">
        <v>11335</v>
      </c>
      <c r="F618">
        <v>0</v>
      </c>
      <c r="G618" s="11">
        <v>5306.7</v>
      </c>
      <c r="H618" t="s">
        <v>11</v>
      </c>
      <c r="I618" t="s">
        <v>12</v>
      </c>
      <c r="J618" t="s">
        <v>23</v>
      </c>
    </row>
    <row r="619" spans="1:10" x14ac:dyDescent="0.3">
      <c r="A619" t="s">
        <v>651</v>
      </c>
      <c r="B619">
        <v>1994</v>
      </c>
      <c r="C619" t="s">
        <v>15</v>
      </c>
      <c r="D619">
        <v>13</v>
      </c>
      <c r="E619" s="13" t="s">
        <v>11177</v>
      </c>
      <c r="F619">
        <v>3</v>
      </c>
      <c r="G619" s="11">
        <v>5312.17</v>
      </c>
      <c r="H619" t="s">
        <v>11</v>
      </c>
      <c r="I619" t="s">
        <v>11</v>
      </c>
      <c r="J619" t="s">
        <v>23</v>
      </c>
    </row>
    <row r="620" spans="1:10" x14ac:dyDescent="0.3">
      <c r="A620" t="s">
        <v>652</v>
      </c>
      <c r="B620">
        <v>1974</v>
      </c>
      <c r="C620" t="s">
        <v>20</v>
      </c>
      <c r="D620">
        <v>2</v>
      </c>
      <c r="E620" s="13" t="s">
        <v>11336</v>
      </c>
      <c r="F620">
        <v>0</v>
      </c>
      <c r="G620" s="11">
        <v>5322.24</v>
      </c>
      <c r="H620" t="s">
        <v>11</v>
      </c>
      <c r="I620" t="s">
        <v>16</v>
      </c>
      <c r="J620" t="s">
        <v>23</v>
      </c>
    </row>
    <row r="621" spans="1:10" x14ac:dyDescent="0.3">
      <c r="A621" t="s">
        <v>653</v>
      </c>
      <c r="B621">
        <v>1992</v>
      </c>
      <c r="C621" t="s">
        <v>18</v>
      </c>
      <c r="D621">
        <v>18</v>
      </c>
      <c r="E621" s="13" t="s">
        <v>11337</v>
      </c>
      <c r="F621">
        <v>3</v>
      </c>
      <c r="G621" s="11">
        <v>5325.65</v>
      </c>
      <c r="H621" t="s">
        <v>11</v>
      </c>
      <c r="I621" t="s">
        <v>16</v>
      </c>
      <c r="J621" t="s">
        <v>42</v>
      </c>
    </row>
    <row r="622" spans="1:10" x14ac:dyDescent="0.3">
      <c r="A622" t="s">
        <v>654</v>
      </c>
      <c r="B622">
        <v>1991</v>
      </c>
      <c r="C622" t="s">
        <v>35</v>
      </c>
      <c r="D622">
        <v>28</v>
      </c>
      <c r="E622" s="13" t="s">
        <v>11338</v>
      </c>
      <c r="F622">
        <v>2</v>
      </c>
      <c r="G622" s="11">
        <v>5327.4</v>
      </c>
      <c r="H622" t="s">
        <v>11</v>
      </c>
      <c r="I622" t="s">
        <v>16</v>
      </c>
      <c r="J622" t="s">
        <v>23</v>
      </c>
    </row>
    <row r="623" spans="1:10" x14ac:dyDescent="0.3">
      <c r="A623" t="s">
        <v>655</v>
      </c>
      <c r="B623">
        <v>1972</v>
      </c>
      <c r="C623" t="s">
        <v>30</v>
      </c>
      <c r="D623">
        <v>15</v>
      </c>
      <c r="E623" s="13" t="s">
        <v>11339</v>
      </c>
      <c r="F623">
        <v>0</v>
      </c>
      <c r="G623" s="11">
        <v>5344.81</v>
      </c>
      <c r="H623" t="s">
        <v>11</v>
      </c>
      <c r="I623" t="s">
        <v>12</v>
      </c>
      <c r="J623" t="s">
        <v>13</v>
      </c>
    </row>
    <row r="624" spans="1:10" x14ac:dyDescent="0.3">
      <c r="A624" t="s">
        <v>656</v>
      </c>
      <c r="B624">
        <v>1989</v>
      </c>
      <c r="C624" t="s">
        <v>15</v>
      </c>
      <c r="D624">
        <v>7</v>
      </c>
      <c r="E624" s="13" t="s">
        <v>11340</v>
      </c>
      <c r="F624">
        <v>1</v>
      </c>
      <c r="G624" s="11">
        <v>5354.07</v>
      </c>
      <c r="H624" t="s">
        <v>11</v>
      </c>
      <c r="I624" t="s">
        <v>12</v>
      </c>
      <c r="J624" t="s">
        <v>247</v>
      </c>
    </row>
    <row r="625" spans="1:10" x14ac:dyDescent="0.3">
      <c r="A625" t="s">
        <v>657</v>
      </c>
      <c r="B625">
        <v>1994</v>
      </c>
      <c r="C625" t="s">
        <v>30</v>
      </c>
      <c r="D625">
        <v>7</v>
      </c>
      <c r="E625" s="13" t="s">
        <v>11341</v>
      </c>
      <c r="F625">
        <v>0</v>
      </c>
      <c r="G625" s="11">
        <v>5364.66</v>
      </c>
      <c r="H625" t="s">
        <v>11</v>
      </c>
      <c r="I625" t="s">
        <v>16</v>
      </c>
      <c r="J625" t="s">
        <v>42</v>
      </c>
    </row>
    <row r="626" spans="1:10" x14ac:dyDescent="0.3">
      <c r="A626" t="s">
        <v>658</v>
      </c>
      <c r="B626">
        <v>1986</v>
      </c>
      <c r="C626" t="s">
        <v>18</v>
      </c>
      <c r="D626">
        <v>1</v>
      </c>
      <c r="E626" s="13" t="s">
        <v>11342</v>
      </c>
      <c r="F626">
        <v>1</v>
      </c>
      <c r="G626" s="11">
        <v>5373.36</v>
      </c>
      <c r="H626" t="s">
        <v>11</v>
      </c>
      <c r="I626" t="s">
        <v>11</v>
      </c>
      <c r="J626" t="s">
        <v>23</v>
      </c>
    </row>
    <row r="627" spans="1:10" x14ac:dyDescent="0.3">
      <c r="A627" t="s">
        <v>659</v>
      </c>
      <c r="B627">
        <v>1989</v>
      </c>
      <c r="C627" t="s">
        <v>15</v>
      </c>
      <c r="D627">
        <v>18</v>
      </c>
      <c r="E627" s="13" t="s">
        <v>11343</v>
      </c>
      <c r="F627">
        <v>2</v>
      </c>
      <c r="G627" s="11">
        <v>5375.04</v>
      </c>
      <c r="H627" t="s">
        <v>11</v>
      </c>
      <c r="I627" t="s">
        <v>16</v>
      </c>
      <c r="J627" t="s">
        <v>42</v>
      </c>
    </row>
    <row r="628" spans="1:10" x14ac:dyDescent="0.3">
      <c r="A628" t="s">
        <v>660</v>
      </c>
      <c r="B628">
        <v>1986</v>
      </c>
      <c r="C628" t="s">
        <v>10</v>
      </c>
      <c r="D628">
        <v>22</v>
      </c>
      <c r="E628" s="13" t="s">
        <v>11344</v>
      </c>
      <c r="F628">
        <v>1</v>
      </c>
      <c r="G628" s="11">
        <v>5377.46</v>
      </c>
      <c r="H628" t="s">
        <v>11</v>
      </c>
      <c r="I628" t="s">
        <v>12</v>
      </c>
      <c r="J628" t="s">
        <v>23</v>
      </c>
    </row>
    <row r="629" spans="1:10" x14ac:dyDescent="0.3">
      <c r="A629" t="s">
        <v>661</v>
      </c>
      <c r="B629">
        <v>1984</v>
      </c>
      <c r="C629" t="s">
        <v>18</v>
      </c>
      <c r="D629">
        <v>1</v>
      </c>
      <c r="E629" s="13" t="s">
        <v>11345</v>
      </c>
      <c r="F629">
        <v>0</v>
      </c>
      <c r="G629" s="11">
        <v>5383.54</v>
      </c>
      <c r="H629" t="s">
        <v>11</v>
      </c>
      <c r="I629" t="s">
        <v>12</v>
      </c>
      <c r="J629" t="s">
        <v>42</v>
      </c>
    </row>
    <row r="630" spans="1:10" x14ac:dyDescent="0.3">
      <c r="A630" t="s">
        <v>662</v>
      </c>
      <c r="B630">
        <v>1988</v>
      </c>
      <c r="C630" t="s">
        <v>35</v>
      </c>
      <c r="D630">
        <v>8</v>
      </c>
      <c r="E630" s="13" t="s">
        <v>11346</v>
      </c>
      <c r="F630">
        <v>1</v>
      </c>
      <c r="G630" s="11">
        <v>5385.34</v>
      </c>
      <c r="H630" t="s">
        <v>11</v>
      </c>
      <c r="I630" t="s">
        <v>12</v>
      </c>
      <c r="J630" t="s">
        <v>23</v>
      </c>
    </row>
    <row r="631" spans="1:10" x14ac:dyDescent="0.3">
      <c r="A631" t="s">
        <v>663</v>
      </c>
      <c r="B631">
        <v>1989</v>
      </c>
      <c r="C631" t="s">
        <v>15</v>
      </c>
      <c r="D631">
        <v>6</v>
      </c>
      <c r="E631" s="13" t="s">
        <v>11347</v>
      </c>
      <c r="F631">
        <v>3</v>
      </c>
      <c r="G631" s="11">
        <v>5396.44</v>
      </c>
      <c r="H631" t="s">
        <v>11</v>
      </c>
      <c r="I631" t="s">
        <v>12</v>
      </c>
      <c r="J631" t="s">
        <v>13</v>
      </c>
    </row>
    <row r="632" spans="1:10" x14ac:dyDescent="0.3">
      <c r="A632" t="s">
        <v>664</v>
      </c>
      <c r="B632">
        <v>1984</v>
      </c>
      <c r="C632" t="s">
        <v>20</v>
      </c>
      <c r="D632">
        <v>3</v>
      </c>
      <c r="E632" s="13" t="s">
        <v>11348</v>
      </c>
      <c r="F632">
        <v>0</v>
      </c>
      <c r="G632" s="11">
        <v>5397.62</v>
      </c>
      <c r="H632" t="s">
        <v>11</v>
      </c>
      <c r="I632" t="s">
        <v>11</v>
      </c>
      <c r="J632" t="s">
        <v>13</v>
      </c>
    </row>
    <row r="633" spans="1:10" x14ac:dyDescent="0.3">
      <c r="A633" t="s">
        <v>665</v>
      </c>
      <c r="B633">
        <v>1984</v>
      </c>
      <c r="C633" t="s">
        <v>35</v>
      </c>
      <c r="D633">
        <v>1</v>
      </c>
      <c r="E633" s="13" t="s">
        <v>11349</v>
      </c>
      <c r="F633">
        <v>0</v>
      </c>
      <c r="G633" s="11">
        <v>5400.98</v>
      </c>
      <c r="H633" t="s">
        <v>11</v>
      </c>
      <c r="I633" t="s">
        <v>11</v>
      </c>
      <c r="J633" t="s">
        <v>13</v>
      </c>
    </row>
    <row r="634" spans="1:10" x14ac:dyDescent="0.3">
      <c r="A634" t="s">
        <v>666</v>
      </c>
      <c r="B634">
        <v>1985</v>
      </c>
      <c r="C634" t="s">
        <v>30</v>
      </c>
      <c r="D634">
        <v>23</v>
      </c>
      <c r="E634" s="13" t="s">
        <v>11221</v>
      </c>
      <c r="F634">
        <v>3</v>
      </c>
      <c r="G634" s="11">
        <v>5402.89</v>
      </c>
      <c r="H634" t="s">
        <v>11</v>
      </c>
      <c r="I634" t="s">
        <v>16</v>
      </c>
      <c r="J634" t="s">
        <v>13</v>
      </c>
    </row>
    <row r="635" spans="1:10" x14ac:dyDescent="0.3">
      <c r="A635" t="s">
        <v>667</v>
      </c>
      <c r="B635">
        <v>1975</v>
      </c>
      <c r="C635" t="s">
        <v>20</v>
      </c>
      <c r="D635">
        <v>27</v>
      </c>
      <c r="E635" s="13" t="s">
        <v>11350</v>
      </c>
      <c r="F635">
        <v>1</v>
      </c>
      <c r="G635" s="11">
        <v>5411.99</v>
      </c>
      <c r="H635" t="s">
        <v>11</v>
      </c>
      <c r="I635" t="s">
        <v>12</v>
      </c>
      <c r="J635" t="s">
        <v>23</v>
      </c>
    </row>
    <row r="636" spans="1:10" x14ac:dyDescent="0.3">
      <c r="A636" t="s">
        <v>668</v>
      </c>
      <c r="B636">
        <v>1982</v>
      </c>
      <c r="C636" t="s">
        <v>20</v>
      </c>
      <c r="D636">
        <v>27</v>
      </c>
      <c r="E636" s="13" t="s">
        <v>11351</v>
      </c>
      <c r="F636">
        <v>0</v>
      </c>
      <c r="G636" s="11">
        <v>5415.66</v>
      </c>
      <c r="H636" t="s">
        <v>11</v>
      </c>
      <c r="I636" t="s">
        <v>12</v>
      </c>
      <c r="J636" t="s">
        <v>13</v>
      </c>
    </row>
    <row r="637" spans="1:10" x14ac:dyDescent="0.3">
      <c r="A637" t="s">
        <v>669</v>
      </c>
      <c r="B637">
        <v>1991</v>
      </c>
      <c r="C637" t="s">
        <v>10</v>
      </c>
      <c r="D637">
        <v>6</v>
      </c>
      <c r="E637" s="13" t="s">
        <v>11352</v>
      </c>
      <c r="F637">
        <v>3</v>
      </c>
      <c r="G637" s="11">
        <v>5425.02</v>
      </c>
      <c r="H637" t="s">
        <v>11</v>
      </c>
      <c r="I637" t="s">
        <v>16</v>
      </c>
      <c r="J637" t="s">
        <v>23</v>
      </c>
    </row>
    <row r="638" spans="1:10" x14ac:dyDescent="0.3">
      <c r="A638" t="s">
        <v>670</v>
      </c>
      <c r="B638">
        <v>1992</v>
      </c>
      <c r="C638" t="s">
        <v>20</v>
      </c>
      <c r="D638">
        <v>17</v>
      </c>
      <c r="E638" s="13" t="s">
        <v>11353</v>
      </c>
      <c r="F638">
        <v>3</v>
      </c>
      <c r="G638" s="11">
        <v>5428.73</v>
      </c>
      <c r="H638" t="s">
        <v>12</v>
      </c>
      <c r="I638" t="s">
        <v>16</v>
      </c>
      <c r="J638" t="s">
        <v>356</v>
      </c>
    </row>
    <row r="639" spans="1:10" x14ac:dyDescent="0.3">
      <c r="A639" t="s">
        <v>671</v>
      </c>
      <c r="B639">
        <v>1978</v>
      </c>
      <c r="C639" t="s">
        <v>18</v>
      </c>
      <c r="D639">
        <v>8</v>
      </c>
      <c r="E639" s="13" t="s">
        <v>11354</v>
      </c>
      <c r="F639">
        <v>2</v>
      </c>
      <c r="G639" s="11">
        <v>5428.98</v>
      </c>
      <c r="H639" t="s">
        <v>11</v>
      </c>
      <c r="I639" t="s">
        <v>11</v>
      </c>
      <c r="J639" t="s">
        <v>23</v>
      </c>
    </row>
    <row r="640" spans="1:10" x14ac:dyDescent="0.3">
      <c r="A640" t="s">
        <v>672</v>
      </c>
      <c r="B640">
        <v>1982</v>
      </c>
      <c r="C640" t="s">
        <v>35</v>
      </c>
      <c r="D640">
        <v>25</v>
      </c>
      <c r="E640" s="13" t="s">
        <v>11355</v>
      </c>
      <c r="F640">
        <v>0</v>
      </c>
      <c r="G640" s="11">
        <v>5438.75</v>
      </c>
      <c r="H640" t="s">
        <v>12</v>
      </c>
      <c r="I640" t="s">
        <v>11</v>
      </c>
      <c r="J640" t="s">
        <v>13</v>
      </c>
    </row>
    <row r="641" spans="1:10" x14ac:dyDescent="0.3">
      <c r="A641" t="s">
        <v>673</v>
      </c>
      <c r="B641">
        <v>1986</v>
      </c>
      <c r="C641" t="s">
        <v>30</v>
      </c>
      <c r="D641">
        <v>25</v>
      </c>
      <c r="E641" s="13" t="s">
        <v>11356</v>
      </c>
      <c r="F641">
        <v>0</v>
      </c>
      <c r="G641" s="11">
        <v>5458.05</v>
      </c>
      <c r="H641" t="s">
        <v>11</v>
      </c>
      <c r="I641" t="s">
        <v>11</v>
      </c>
      <c r="J641" t="s">
        <v>247</v>
      </c>
    </row>
    <row r="642" spans="1:10" x14ac:dyDescent="0.3">
      <c r="A642" t="s">
        <v>674</v>
      </c>
      <c r="B642">
        <v>1973</v>
      </c>
      <c r="C642" t="s">
        <v>37</v>
      </c>
      <c r="D642">
        <v>24</v>
      </c>
      <c r="E642" s="13" t="s">
        <v>11357</v>
      </c>
      <c r="F642">
        <v>0</v>
      </c>
      <c r="G642" s="11">
        <v>5466.88</v>
      </c>
      <c r="H642" t="s">
        <v>11</v>
      </c>
      <c r="I642" t="s">
        <v>11</v>
      </c>
      <c r="J642" t="s">
        <v>13</v>
      </c>
    </row>
    <row r="643" spans="1:10" x14ac:dyDescent="0.3">
      <c r="A643" t="s">
        <v>675</v>
      </c>
      <c r="B643">
        <v>1986</v>
      </c>
      <c r="C643" t="s">
        <v>30</v>
      </c>
      <c r="D643">
        <v>2</v>
      </c>
      <c r="E643" s="13" t="s">
        <v>11358</v>
      </c>
      <c r="F643">
        <v>0</v>
      </c>
      <c r="G643" s="11">
        <v>5469.01</v>
      </c>
      <c r="H643" t="s">
        <v>11</v>
      </c>
      <c r="I643" t="s">
        <v>11</v>
      </c>
      <c r="J643" t="s">
        <v>247</v>
      </c>
    </row>
    <row r="644" spans="1:10" x14ac:dyDescent="0.3">
      <c r="A644" t="s">
        <v>676</v>
      </c>
      <c r="B644">
        <v>1986</v>
      </c>
      <c r="C644" t="s">
        <v>10</v>
      </c>
      <c r="D644">
        <v>12</v>
      </c>
      <c r="E644" s="13" t="s">
        <v>11359</v>
      </c>
      <c r="F644">
        <v>1</v>
      </c>
      <c r="G644" s="11">
        <v>5472.45</v>
      </c>
      <c r="H644" t="s">
        <v>11</v>
      </c>
      <c r="I644" t="s">
        <v>12</v>
      </c>
      <c r="J644" t="s">
        <v>42</v>
      </c>
    </row>
    <row r="645" spans="1:10" x14ac:dyDescent="0.3">
      <c r="A645" t="s">
        <v>677</v>
      </c>
      <c r="B645">
        <v>1986</v>
      </c>
      <c r="C645" t="s">
        <v>20</v>
      </c>
      <c r="D645">
        <v>30</v>
      </c>
      <c r="E645" s="13" t="s">
        <v>11360</v>
      </c>
      <c r="F645">
        <v>1</v>
      </c>
      <c r="G645" s="11">
        <v>5478.04</v>
      </c>
      <c r="H645" t="s">
        <v>11</v>
      </c>
      <c r="I645" t="s">
        <v>12</v>
      </c>
      <c r="J645" t="s">
        <v>13</v>
      </c>
    </row>
    <row r="646" spans="1:10" x14ac:dyDescent="0.3">
      <c r="A646" t="s">
        <v>678</v>
      </c>
      <c r="B646">
        <v>1984</v>
      </c>
      <c r="C646" t="s">
        <v>35</v>
      </c>
      <c r="D646">
        <v>26</v>
      </c>
      <c r="E646" s="13" t="s">
        <v>11361</v>
      </c>
      <c r="F646">
        <v>1</v>
      </c>
      <c r="G646" s="11">
        <v>5484.47</v>
      </c>
      <c r="H646" t="s">
        <v>11</v>
      </c>
      <c r="I646" t="s">
        <v>11</v>
      </c>
      <c r="J646" t="s">
        <v>13</v>
      </c>
    </row>
    <row r="647" spans="1:10" x14ac:dyDescent="0.3">
      <c r="A647" t="s">
        <v>679</v>
      </c>
      <c r="B647">
        <v>1984</v>
      </c>
      <c r="C647" t="s">
        <v>35</v>
      </c>
      <c r="D647">
        <v>17</v>
      </c>
      <c r="E647" s="13" t="s">
        <v>11362</v>
      </c>
      <c r="F647">
        <v>1</v>
      </c>
      <c r="G647" s="11">
        <v>5488.26</v>
      </c>
      <c r="H647" t="s">
        <v>11</v>
      </c>
      <c r="I647" t="s">
        <v>12</v>
      </c>
      <c r="J647" t="s">
        <v>42</v>
      </c>
    </row>
    <row r="648" spans="1:10" x14ac:dyDescent="0.3">
      <c r="A648" t="s">
        <v>680</v>
      </c>
      <c r="B648">
        <v>1988</v>
      </c>
      <c r="C648" t="s">
        <v>10</v>
      </c>
      <c r="D648">
        <v>29</v>
      </c>
      <c r="E648" s="13" t="s">
        <v>11363</v>
      </c>
      <c r="F648">
        <v>3</v>
      </c>
      <c r="G648" s="11">
        <v>5503.36</v>
      </c>
      <c r="H648" t="s">
        <v>11</v>
      </c>
      <c r="I648" t="s">
        <v>11</v>
      </c>
      <c r="J648" t="s">
        <v>23</v>
      </c>
    </row>
    <row r="649" spans="1:10" x14ac:dyDescent="0.3">
      <c r="A649" t="s">
        <v>681</v>
      </c>
      <c r="B649">
        <v>1981</v>
      </c>
      <c r="C649" t="s">
        <v>15</v>
      </c>
      <c r="D649">
        <v>7</v>
      </c>
      <c r="E649" s="13" t="s">
        <v>11098</v>
      </c>
      <c r="F649">
        <v>1</v>
      </c>
      <c r="G649" s="11">
        <v>5539.4</v>
      </c>
      <c r="H649" t="s">
        <v>11</v>
      </c>
      <c r="I649" t="s">
        <v>11</v>
      </c>
      <c r="J649" t="s">
        <v>13</v>
      </c>
    </row>
    <row r="650" spans="1:10" x14ac:dyDescent="0.3">
      <c r="A650" t="s">
        <v>682</v>
      </c>
      <c r="B650">
        <v>1980</v>
      </c>
      <c r="C650" t="s">
        <v>30</v>
      </c>
      <c r="D650">
        <v>7</v>
      </c>
      <c r="E650" s="13" t="s">
        <v>11364</v>
      </c>
      <c r="F650">
        <v>2</v>
      </c>
      <c r="G650" s="11">
        <v>5540.35</v>
      </c>
      <c r="H650" t="s">
        <v>11</v>
      </c>
      <c r="I650" t="s">
        <v>11</v>
      </c>
      <c r="J650" t="s">
        <v>23</v>
      </c>
    </row>
    <row r="651" spans="1:10" x14ac:dyDescent="0.3">
      <c r="A651" t="s">
        <v>683</v>
      </c>
      <c r="B651">
        <v>1999</v>
      </c>
      <c r="C651" t="s">
        <v>20</v>
      </c>
      <c r="D651">
        <v>22</v>
      </c>
      <c r="E651" s="13" t="s">
        <v>11365</v>
      </c>
      <c r="F651">
        <v>0</v>
      </c>
      <c r="G651" s="11">
        <v>5552.61</v>
      </c>
      <c r="H651" t="s">
        <v>11</v>
      </c>
      <c r="I651" t="s">
        <v>12</v>
      </c>
      <c r="J651" t="s">
        <v>535</v>
      </c>
    </row>
    <row r="652" spans="1:10" x14ac:dyDescent="0.3">
      <c r="A652" t="s">
        <v>684</v>
      </c>
      <c r="B652">
        <v>1974</v>
      </c>
      <c r="C652" t="s">
        <v>20</v>
      </c>
      <c r="D652">
        <v>18</v>
      </c>
      <c r="E652" s="13" t="s">
        <v>11366</v>
      </c>
      <c r="F652">
        <v>0</v>
      </c>
      <c r="G652" s="11">
        <v>5576.35</v>
      </c>
      <c r="H652" t="s">
        <v>11</v>
      </c>
      <c r="I652" t="s">
        <v>12</v>
      </c>
      <c r="J652" t="s">
        <v>13</v>
      </c>
    </row>
    <row r="653" spans="1:10" x14ac:dyDescent="0.3">
      <c r="A653" t="s">
        <v>685</v>
      </c>
      <c r="B653">
        <v>1985</v>
      </c>
      <c r="C653" t="s">
        <v>20</v>
      </c>
      <c r="D653">
        <v>5</v>
      </c>
      <c r="E653" s="13" t="s">
        <v>11367</v>
      </c>
      <c r="F653">
        <v>3</v>
      </c>
      <c r="G653" s="11">
        <v>5582.95</v>
      </c>
      <c r="H653" t="s">
        <v>11</v>
      </c>
      <c r="I653" t="s">
        <v>16</v>
      </c>
      <c r="J653" t="s">
        <v>23</v>
      </c>
    </row>
    <row r="654" spans="1:10" x14ac:dyDescent="0.3">
      <c r="A654" t="s">
        <v>686</v>
      </c>
      <c r="B654">
        <v>1986</v>
      </c>
      <c r="C654" t="s">
        <v>15</v>
      </c>
      <c r="D654">
        <v>21</v>
      </c>
      <c r="E654" s="13" t="s">
        <v>11368</v>
      </c>
      <c r="F654">
        <v>2</v>
      </c>
      <c r="G654" s="11">
        <v>5584.31</v>
      </c>
      <c r="H654" t="s">
        <v>12</v>
      </c>
      <c r="I654" t="s">
        <v>16</v>
      </c>
      <c r="J654" t="s">
        <v>13</v>
      </c>
    </row>
    <row r="655" spans="1:10" x14ac:dyDescent="0.3">
      <c r="A655" t="s">
        <v>687</v>
      </c>
      <c r="B655">
        <v>1983</v>
      </c>
      <c r="C655" t="s">
        <v>37</v>
      </c>
      <c r="D655">
        <v>3</v>
      </c>
      <c r="E655" s="13" t="s">
        <v>11369</v>
      </c>
      <c r="F655">
        <v>3</v>
      </c>
      <c r="G655" s="11">
        <v>5587.59</v>
      </c>
      <c r="H655" t="s">
        <v>11</v>
      </c>
      <c r="I655" t="s">
        <v>16</v>
      </c>
      <c r="J655" t="s">
        <v>13</v>
      </c>
    </row>
    <row r="656" spans="1:10" x14ac:dyDescent="0.3">
      <c r="A656" t="s">
        <v>688</v>
      </c>
      <c r="B656">
        <v>1988</v>
      </c>
      <c r="C656" t="s">
        <v>15</v>
      </c>
      <c r="D656">
        <v>18</v>
      </c>
      <c r="E656" s="13" t="s">
        <v>11370</v>
      </c>
      <c r="F656">
        <v>1</v>
      </c>
      <c r="G656" s="11">
        <v>5594.85</v>
      </c>
      <c r="H656" t="s">
        <v>11</v>
      </c>
      <c r="I656" t="s">
        <v>12</v>
      </c>
      <c r="J656" t="s">
        <v>247</v>
      </c>
    </row>
    <row r="657" spans="1:10" x14ac:dyDescent="0.3">
      <c r="A657" t="s">
        <v>689</v>
      </c>
      <c r="B657">
        <v>1978</v>
      </c>
      <c r="C657" t="s">
        <v>20</v>
      </c>
      <c r="D657">
        <v>11</v>
      </c>
      <c r="E657" s="13" t="s">
        <v>11371</v>
      </c>
      <c r="F657">
        <v>2</v>
      </c>
      <c r="G657" s="11">
        <v>5612.83</v>
      </c>
      <c r="H657" t="s">
        <v>11</v>
      </c>
      <c r="I657" t="s">
        <v>12</v>
      </c>
      <c r="J657" t="s">
        <v>13</v>
      </c>
    </row>
    <row r="658" spans="1:10" x14ac:dyDescent="0.3">
      <c r="A658" t="s">
        <v>690</v>
      </c>
      <c r="B658">
        <v>1994</v>
      </c>
      <c r="C658" t="s">
        <v>15</v>
      </c>
      <c r="D658">
        <v>15</v>
      </c>
      <c r="E658" s="13" t="s">
        <v>11372</v>
      </c>
      <c r="F658">
        <v>5</v>
      </c>
      <c r="G658" s="11">
        <v>5615.37</v>
      </c>
      <c r="H658" t="s">
        <v>11</v>
      </c>
      <c r="I658" t="s">
        <v>12</v>
      </c>
      <c r="J658" t="s">
        <v>42</v>
      </c>
    </row>
    <row r="659" spans="1:10" x14ac:dyDescent="0.3">
      <c r="A659" t="s">
        <v>691</v>
      </c>
      <c r="B659">
        <v>1987</v>
      </c>
      <c r="C659" t="s">
        <v>30</v>
      </c>
      <c r="D659">
        <v>9</v>
      </c>
      <c r="E659" s="13" t="s">
        <v>11373</v>
      </c>
      <c r="F659">
        <v>1</v>
      </c>
      <c r="G659" s="11">
        <v>5630.46</v>
      </c>
      <c r="H659" t="s">
        <v>11</v>
      </c>
      <c r="I659" t="s">
        <v>12</v>
      </c>
      <c r="J659" t="s">
        <v>23</v>
      </c>
    </row>
    <row r="660" spans="1:10" x14ac:dyDescent="0.3">
      <c r="A660" t="s">
        <v>692</v>
      </c>
      <c r="B660">
        <v>1983</v>
      </c>
      <c r="C660" t="s">
        <v>18</v>
      </c>
      <c r="D660">
        <v>8</v>
      </c>
      <c r="E660" s="13" t="s">
        <v>11374</v>
      </c>
      <c r="F660">
        <v>0</v>
      </c>
      <c r="G660" s="11">
        <v>5649.72</v>
      </c>
      <c r="H660" t="s">
        <v>11</v>
      </c>
      <c r="I660" t="s">
        <v>12</v>
      </c>
      <c r="J660" t="s">
        <v>42</v>
      </c>
    </row>
    <row r="661" spans="1:10" x14ac:dyDescent="0.3">
      <c r="A661" t="s">
        <v>693</v>
      </c>
      <c r="B661">
        <v>1978</v>
      </c>
      <c r="C661" t="s">
        <v>20</v>
      </c>
      <c r="D661">
        <v>27</v>
      </c>
      <c r="E661" s="13" t="s">
        <v>11375</v>
      </c>
      <c r="F661">
        <v>2</v>
      </c>
      <c r="G661" s="11">
        <v>5650.14</v>
      </c>
      <c r="H661" t="s">
        <v>11</v>
      </c>
      <c r="I661" t="s">
        <v>16</v>
      </c>
      <c r="J661" t="s">
        <v>13</v>
      </c>
    </row>
    <row r="662" spans="1:10" x14ac:dyDescent="0.3">
      <c r="A662" t="s">
        <v>694</v>
      </c>
      <c r="B662">
        <v>1983</v>
      </c>
      <c r="C662" t="s">
        <v>20</v>
      </c>
      <c r="D662">
        <v>3</v>
      </c>
      <c r="E662" s="13" t="s">
        <v>11376</v>
      </c>
      <c r="F662">
        <v>0</v>
      </c>
      <c r="G662" s="11">
        <v>5662.23</v>
      </c>
      <c r="H662" t="s">
        <v>11</v>
      </c>
      <c r="I662" t="s">
        <v>16</v>
      </c>
      <c r="J662" t="s">
        <v>13</v>
      </c>
    </row>
    <row r="663" spans="1:10" x14ac:dyDescent="0.3">
      <c r="A663" t="s">
        <v>695</v>
      </c>
      <c r="B663">
        <v>1984</v>
      </c>
      <c r="C663" t="s">
        <v>35</v>
      </c>
      <c r="D663">
        <v>12</v>
      </c>
      <c r="E663" s="13" t="s">
        <v>11377</v>
      </c>
      <c r="F663">
        <v>3</v>
      </c>
      <c r="G663" s="11">
        <v>5679.13</v>
      </c>
      <c r="H663" t="s">
        <v>11</v>
      </c>
      <c r="I663" t="s">
        <v>11</v>
      </c>
      <c r="J663" t="s">
        <v>13</v>
      </c>
    </row>
    <row r="664" spans="1:10" x14ac:dyDescent="0.3">
      <c r="A664" t="s">
        <v>696</v>
      </c>
      <c r="B664">
        <v>1972</v>
      </c>
      <c r="C664" t="s">
        <v>37</v>
      </c>
      <c r="D664">
        <v>28</v>
      </c>
      <c r="E664" s="13" t="s">
        <v>11378</v>
      </c>
      <c r="F664">
        <v>0</v>
      </c>
      <c r="G664" s="11">
        <v>5690.79</v>
      </c>
      <c r="H664" t="s">
        <v>11</v>
      </c>
      <c r="I664" t="s">
        <v>16</v>
      </c>
      <c r="J664" t="s">
        <v>13</v>
      </c>
    </row>
    <row r="665" spans="1:10" x14ac:dyDescent="0.3">
      <c r="A665" t="s">
        <v>697</v>
      </c>
      <c r="B665">
        <v>1992</v>
      </c>
      <c r="C665" t="s">
        <v>15</v>
      </c>
      <c r="D665">
        <v>3</v>
      </c>
      <c r="E665" s="13" t="s">
        <v>11379</v>
      </c>
      <c r="F665">
        <v>3</v>
      </c>
      <c r="G665" s="11">
        <v>5693.43</v>
      </c>
      <c r="H665" t="s">
        <v>11</v>
      </c>
      <c r="I665" t="s">
        <v>12</v>
      </c>
      <c r="J665" t="s">
        <v>23</v>
      </c>
    </row>
    <row r="666" spans="1:10" x14ac:dyDescent="0.3">
      <c r="A666" t="s">
        <v>698</v>
      </c>
      <c r="B666">
        <v>1974</v>
      </c>
      <c r="C666" t="s">
        <v>10</v>
      </c>
      <c r="D666">
        <v>6</v>
      </c>
      <c r="E666" s="13" t="s">
        <v>11380</v>
      </c>
      <c r="F666">
        <v>0</v>
      </c>
      <c r="G666" s="11">
        <v>5698.74</v>
      </c>
      <c r="H666" t="s">
        <v>11</v>
      </c>
      <c r="I666" t="s">
        <v>11</v>
      </c>
      <c r="J666" t="s">
        <v>23</v>
      </c>
    </row>
    <row r="667" spans="1:10" x14ac:dyDescent="0.3">
      <c r="A667" t="s">
        <v>699</v>
      </c>
      <c r="B667">
        <v>1981</v>
      </c>
      <c r="C667" t="s">
        <v>18</v>
      </c>
      <c r="D667">
        <v>15</v>
      </c>
      <c r="E667" s="13" t="s">
        <v>11381</v>
      </c>
      <c r="F667">
        <v>0</v>
      </c>
      <c r="G667" s="11">
        <v>5699.84</v>
      </c>
      <c r="H667" t="s">
        <v>11</v>
      </c>
      <c r="I667" t="s">
        <v>12</v>
      </c>
      <c r="J667" t="s">
        <v>13</v>
      </c>
    </row>
    <row r="668" spans="1:10" x14ac:dyDescent="0.3">
      <c r="A668" t="s">
        <v>700</v>
      </c>
      <c r="B668">
        <v>1993</v>
      </c>
      <c r="C668" t="s">
        <v>15</v>
      </c>
      <c r="D668">
        <v>3</v>
      </c>
      <c r="E668" s="13" t="s">
        <v>11382</v>
      </c>
      <c r="F668">
        <v>4</v>
      </c>
      <c r="G668" s="11">
        <v>5708.87</v>
      </c>
      <c r="H668" t="s">
        <v>11</v>
      </c>
      <c r="I668" t="s">
        <v>16</v>
      </c>
      <c r="J668" t="s">
        <v>42</v>
      </c>
    </row>
    <row r="669" spans="1:10" x14ac:dyDescent="0.3">
      <c r="A669" t="s">
        <v>701</v>
      </c>
      <c r="B669">
        <v>1981</v>
      </c>
      <c r="C669" t="s">
        <v>35</v>
      </c>
      <c r="D669">
        <v>30</v>
      </c>
      <c r="E669" s="13" t="s">
        <v>11383</v>
      </c>
      <c r="F669">
        <v>0</v>
      </c>
      <c r="G669" s="11">
        <v>5709.16</v>
      </c>
      <c r="H669" t="s">
        <v>12</v>
      </c>
      <c r="I669" t="s">
        <v>12</v>
      </c>
      <c r="J669" t="s">
        <v>13</v>
      </c>
    </row>
    <row r="670" spans="1:10" x14ac:dyDescent="0.3">
      <c r="A670" t="s">
        <v>702</v>
      </c>
      <c r="B670">
        <v>1971</v>
      </c>
      <c r="C670" t="s">
        <v>30</v>
      </c>
      <c r="D670">
        <v>18</v>
      </c>
      <c r="E670" s="13" t="s">
        <v>11384</v>
      </c>
      <c r="F670">
        <v>0</v>
      </c>
      <c r="G670" s="11">
        <v>5720.38</v>
      </c>
      <c r="H670" t="s">
        <v>11</v>
      </c>
      <c r="I670" t="s">
        <v>16</v>
      </c>
      <c r="J670" t="s">
        <v>13</v>
      </c>
    </row>
    <row r="671" spans="1:10" x14ac:dyDescent="0.3">
      <c r="A671" t="s">
        <v>703</v>
      </c>
      <c r="B671">
        <v>1987</v>
      </c>
      <c r="C671" t="s">
        <v>37</v>
      </c>
      <c r="D671">
        <v>19</v>
      </c>
      <c r="E671" s="13" t="s">
        <v>11385</v>
      </c>
      <c r="F671">
        <v>2</v>
      </c>
      <c r="G671" s="11">
        <v>5729.01</v>
      </c>
      <c r="H671" t="s">
        <v>16</v>
      </c>
      <c r="I671" t="s">
        <v>11</v>
      </c>
      <c r="J671" t="s">
        <v>23</v>
      </c>
    </row>
    <row r="672" spans="1:10" x14ac:dyDescent="0.3">
      <c r="A672" t="s">
        <v>704</v>
      </c>
      <c r="B672">
        <v>1972</v>
      </c>
      <c r="C672" t="s">
        <v>35</v>
      </c>
      <c r="D672">
        <v>21</v>
      </c>
      <c r="E672" s="13" t="s">
        <v>11386</v>
      </c>
      <c r="F672">
        <v>0</v>
      </c>
      <c r="G672" s="11">
        <v>5741.67</v>
      </c>
      <c r="H672" t="s">
        <v>11</v>
      </c>
      <c r="I672" t="s">
        <v>12</v>
      </c>
      <c r="J672" t="s">
        <v>13</v>
      </c>
    </row>
    <row r="673" spans="1:10" x14ac:dyDescent="0.3">
      <c r="A673" t="s">
        <v>705</v>
      </c>
      <c r="B673">
        <v>1993</v>
      </c>
      <c r="C673" t="s">
        <v>18</v>
      </c>
      <c r="D673">
        <v>10</v>
      </c>
      <c r="E673" s="13" t="s">
        <v>11387</v>
      </c>
      <c r="F673">
        <v>0</v>
      </c>
      <c r="G673" s="11">
        <v>5748.13</v>
      </c>
      <c r="H673" t="s">
        <v>11</v>
      </c>
      <c r="I673" t="s">
        <v>16</v>
      </c>
      <c r="J673" t="s">
        <v>300</v>
      </c>
    </row>
    <row r="674" spans="1:10" x14ac:dyDescent="0.3">
      <c r="A674" t="s">
        <v>706</v>
      </c>
      <c r="B674">
        <v>1983</v>
      </c>
      <c r="C674" t="s">
        <v>35</v>
      </c>
      <c r="D674">
        <v>30</v>
      </c>
      <c r="E674" s="13" t="s">
        <v>11388</v>
      </c>
      <c r="F674">
        <v>0</v>
      </c>
      <c r="G674" s="11">
        <v>5757.41</v>
      </c>
      <c r="H674" t="s">
        <v>11</v>
      </c>
      <c r="I674" t="s">
        <v>12</v>
      </c>
      <c r="J674" t="s">
        <v>166</v>
      </c>
    </row>
    <row r="675" spans="1:10" x14ac:dyDescent="0.3">
      <c r="A675" t="s">
        <v>707</v>
      </c>
      <c r="B675">
        <v>2004</v>
      </c>
      <c r="C675" t="s">
        <v>15</v>
      </c>
      <c r="D675">
        <v>1</v>
      </c>
      <c r="E675" s="13" t="s">
        <v>11389</v>
      </c>
      <c r="F675">
        <v>0</v>
      </c>
      <c r="G675" s="11">
        <v>5778.71</v>
      </c>
      <c r="H675" t="s">
        <v>11</v>
      </c>
      <c r="I675" t="s">
        <v>12</v>
      </c>
      <c r="J675" t="s">
        <v>632</v>
      </c>
    </row>
    <row r="676" spans="1:10" x14ac:dyDescent="0.3">
      <c r="A676" t="s">
        <v>708</v>
      </c>
      <c r="B676">
        <v>1980</v>
      </c>
      <c r="C676" t="s">
        <v>20</v>
      </c>
      <c r="D676">
        <v>18</v>
      </c>
      <c r="E676" s="13" t="s">
        <v>11390</v>
      </c>
      <c r="F676">
        <v>2</v>
      </c>
      <c r="G676" s="11">
        <v>5807.06</v>
      </c>
      <c r="H676" t="s">
        <v>11</v>
      </c>
      <c r="I676" t="s">
        <v>12</v>
      </c>
      <c r="J676" t="s">
        <v>13</v>
      </c>
    </row>
    <row r="677" spans="1:10" x14ac:dyDescent="0.3">
      <c r="A677" t="s">
        <v>709</v>
      </c>
      <c r="B677">
        <v>1972</v>
      </c>
      <c r="C677" t="s">
        <v>15</v>
      </c>
      <c r="D677">
        <v>2</v>
      </c>
      <c r="E677" s="13" t="s">
        <v>11391</v>
      </c>
      <c r="F677">
        <v>0</v>
      </c>
      <c r="G677" s="11">
        <v>5812.9</v>
      </c>
      <c r="H677" t="s">
        <v>11</v>
      </c>
      <c r="I677" t="s">
        <v>11</v>
      </c>
      <c r="J677" t="s">
        <v>13</v>
      </c>
    </row>
    <row r="678" spans="1:10" x14ac:dyDescent="0.3">
      <c r="A678" t="s">
        <v>710</v>
      </c>
      <c r="B678">
        <v>2002</v>
      </c>
      <c r="C678" t="s">
        <v>10</v>
      </c>
      <c r="D678">
        <v>22</v>
      </c>
      <c r="E678" s="13" t="s">
        <v>11392</v>
      </c>
      <c r="F678">
        <v>0</v>
      </c>
      <c r="G678" s="11">
        <v>5816.58</v>
      </c>
      <c r="H678" t="s">
        <v>11</v>
      </c>
      <c r="I678" t="s">
        <v>11</v>
      </c>
      <c r="J678" t="s">
        <v>535</v>
      </c>
    </row>
    <row r="679" spans="1:10" x14ac:dyDescent="0.3">
      <c r="A679" t="s">
        <v>711</v>
      </c>
      <c r="B679">
        <v>1971</v>
      </c>
      <c r="C679" t="s">
        <v>20</v>
      </c>
      <c r="D679">
        <v>27</v>
      </c>
      <c r="E679" s="13" t="s">
        <v>11393</v>
      </c>
      <c r="F679">
        <v>0</v>
      </c>
      <c r="G679" s="11">
        <v>5832.6</v>
      </c>
      <c r="H679" t="s">
        <v>11</v>
      </c>
      <c r="I679" t="s">
        <v>12</v>
      </c>
      <c r="J679" t="s">
        <v>23</v>
      </c>
    </row>
    <row r="680" spans="1:10" x14ac:dyDescent="0.3">
      <c r="A680" t="s">
        <v>712</v>
      </c>
      <c r="B680">
        <v>1987</v>
      </c>
      <c r="C680" t="s">
        <v>10</v>
      </c>
      <c r="D680">
        <v>27</v>
      </c>
      <c r="E680" s="13" t="s">
        <v>11394</v>
      </c>
      <c r="F680">
        <v>2</v>
      </c>
      <c r="G680" s="11">
        <v>5836.52</v>
      </c>
      <c r="H680" t="s">
        <v>11</v>
      </c>
      <c r="I680" t="s">
        <v>12</v>
      </c>
      <c r="J680" t="s">
        <v>13</v>
      </c>
    </row>
    <row r="681" spans="1:10" x14ac:dyDescent="0.3">
      <c r="A681" t="s">
        <v>713</v>
      </c>
      <c r="B681">
        <v>1995</v>
      </c>
      <c r="C681" t="s">
        <v>35</v>
      </c>
      <c r="D681">
        <v>20</v>
      </c>
      <c r="E681" s="13" t="s">
        <v>11395</v>
      </c>
      <c r="F681">
        <v>0</v>
      </c>
      <c r="G681" s="11">
        <v>5843.99</v>
      </c>
      <c r="H681" t="s">
        <v>11</v>
      </c>
      <c r="I681" t="s">
        <v>11</v>
      </c>
      <c r="J681" t="s">
        <v>200</v>
      </c>
    </row>
    <row r="682" spans="1:10" x14ac:dyDescent="0.3">
      <c r="A682" t="s">
        <v>714</v>
      </c>
      <c r="B682">
        <v>1987</v>
      </c>
      <c r="C682" t="s">
        <v>20</v>
      </c>
      <c r="D682">
        <v>30</v>
      </c>
      <c r="E682" s="13" t="s">
        <v>11396</v>
      </c>
      <c r="F682">
        <v>2</v>
      </c>
      <c r="G682" s="11">
        <v>5846.92</v>
      </c>
      <c r="H682" t="s">
        <v>11</v>
      </c>
      <c r="I682" t="s">
        <v>11</v>
      </c>
      <c r="J682" t="s">
        <v>13</v>
      </c>
    </row>
    <row r="683" spans="1:10" x14ac:dyDescent="0.3">
      <c r="A683" t="s">
        <v>715</v>
      </c>
      <c r="B683">
        <v>1985</v>
      </c>
      <c r="C683" t="s">
        <v>18</v>
      </c>
      <c r="D683">
        <v>18</v>
      </c>
      <c r="E683" s="13" t="s">
        <v>11397</v>
      </c>
      <c r="F683">
        <v>3</v>
      </c>
      <c r="G683" s="11">
        <v>5847.24</v>
      </c>
      <c r="H683" t="s">
        <v>11</v>
      </c>
      <c r="I683" t="s">
        <v>16</v>
      </c>
      <c r="J683" t="s">
        <v>13</v>
      </c>
    </row>
    <row r="684" spans="1:10" x14ac:dyDescent="0.3">
      <c r="A684" t="s">
        <v>716</v>
      </c>
      <c r="B684">
        <v>1984</v>
      </c>
      <c r="C684" t="s">
        <v>15</v>
      </c>
      <c r="D684">
        <v>22</v>
      </c>
      <c r="E684" s="13" t="s">
        <v>11398</v>
      </c>
      <c r="F684">
        <v>1</v>
      </c>
      <c r="G684" s="11">
        <v>5855.9</v>
      </c>
      <c r="H684" t="s">
        <v>11</v>
      </c>
      <c r="I684" t="s">
        <v>12</v>
      </c>
      <c r="J684" t="s">
        <v>23</v>
      </c>
    </row>
    <row r="685" spans="1:10" x14ac:dyDescent="0.3">
      <c r="A685" t="s">
        <v>717</v>
      </c>
      <c r="B685">
        <v>1993</v>
      </c>
      <c r="C685" t="s">
        <v>37</v>
      </c>
      <c r="D685">
        <v>19</v>
      </c>
      <c r="E685" s="13" t="s">
        <v>11399</v>
      </c>
      <c r="F685">
        <v>0</v>
      </c>
      <c r="G685" s="11">
        <v>5877.02</v>
      </c>
      <c r="H685" t="s">
        <v>11</v>
      </c>
      <c r="I685" t="s">
        <v>11</v>
      </c>
      <c r="J685" t="s">
        <v>300</v>
      </c>
    </row>
    <row r="686" spans="1:10" x14ac:dyDescent="0.3">
      <c r="A686" t="s">
        <v>718</v>
      </c>
      <c r="B686">
        <v>1982</v>
      </c>
      <c r="C686" t="s">
        <v>10</v>
      </c>
      <c r="D686">
        <v>8</v>
      </c>
      <c r="E686" s="13" t="s">
        <v>11400</v>
      </c>
      <c r="F686">
        <v>0</v>
      </c>
      <c r="G686" s="11">
        <v>5910.94</v>
      </c>
      <c r="H686" t="s">
        <v>11</v>
      </c>
      <c r="I686" t="s">
        <v>16</v>
      </c>
      <c r="J686" t="s">
        <v>42</v>
      </c>
    </row>
    <row r="687" spans="1:10" x14ac:dyDescent="0.3">
      <c r="A687" t="s">
        <v>719</v>
      </c>
      <c r="B687">
        <v>1982</v>
      </c>
      <c r="C687" t="s">
        <v>30</v>
      </c>
      <c r="D687">
        <v>21</v>
      </c>
      <c r="E687" s="13" t="s">
        <v>11169</v>
      </c>
      <c r="F687">
        <v>0</v>
      </c>
      <c r="G687" s="11">
        <v>5920.1</v>
      </c>
      <c r="H687" t="s">
        <v>11</v>
      </c>
      <c r="I687" t="s">
        <v>16</v>
      </c>
      <c r="J687" t="s">
        <v>13</v>
      </c>
    </row>
    <row r="688" spans="1:10" x14ac:dyDescent="0.3">
      <c r="A688" t="s">
        <v>720</v>
      </c>
      <c r="B688">
        <v>1987</v>
      </c>
      <c r="C688" t="s">
        <v>10</v>
      </c>
      <c r="D688">
        <v>29</v>
      </c>
      <c r="E688" s="13" t="s">
        <v>11401</v>
      </c>
      <c r="F688">
        <v>3</v>
      </c>
      <c r="G688" s="11">
        <v>5926.85</v>
      </c>
      <c r="H688" t="s">
        <v>12</v>
      </c>
      <c r="I688" t="s">
        <v>12</v>
      </c>
      <c r="J688" t="s">
        <v>42</v>
      </c>
    </row>
    <row r="689" spans="1:10" x14ac:dyDescent="0.3">
      <c r="A689" t="s">
        <v>721</v>
      </c>
      <c r="B689">
        <v>1993</v>
      </c>
      <c r="C689" t="s">
        <v>35</v>
      </c>
      <c r="D689">
        <v>13</v>
      </c>
      <c r="E689" s="13" t="s">
        <v>11402</v>
      </c>
      <c r="F689">
        <v>0</v>
      </c>
      <c r="G689" s="11">
        <v>5926.93</v>
      </c>
      <c r="H689" t="s">
        <v>11</v>
      </c>
      <c r="I689" t="s">
        <v>11</v>
      </c>
      <c r="J689" t="s">
        <v>200</v>
      </c>
    </row>
    <row r="690" spans="1:10" x14ac:dyDescent="0.3">
      <c r="A690" t="s">
        <v>722</v>
      </c>
      <c r="B690">
        <v>1994</v>
      </c>
      <c r="C690" t="s">
        <v>10</v>
      </c>
      <c r="D690">
        <v>30</v>
      </c>
      <c r="E690" s="13" t="s">
        <v>11403</v>
      </c>
      <c r="F690">
        <v>0</v>
      </c>
      <c r="G690" s="11">
        <v>5927.65</v>
      </c>
      <c r="H690" t="s">
        <v>11</v>
      </c>
      <c r="I690" t="s">
        <v>16</v>
      </c>
      <c r="J690" t="s">
        <v>23</v>
      </c>
    </row>
    <row r="691" spans="1:10" x14ac:dyDescent="0.3">
      <c r="A691" t="s">
        <v>723</v>
      </c>
      <c r="B691">
        <v>1987</v>
      </c>
      <c r="C691" t="s">
        <v>10</v>
      </c>
      <c r="D691">
        <v>14</v>
      </c>
      <c r="E691" s="13" t="s">
        <v>11404</v>
      </c>
      <c r="F691">
        <v>3</v>
      </c>
      <c r="G691" s="11">
        <v>5934.38</v>
      </c>
      <c r="H691" t="s">
        <v>12</v>
      </c>
      <c r="I691" t="s">
        <v>11</v>
      </c>
      <c r="J691" t="s">
        <v>13</v>
      </c>
    </row>
    <row r="692" spans="1:10" x14ac:dyDescent="0.3">
      <c r="A692" t="s">
        <v>724</v>
      </c>
      <c r="B692">
        <v>2003</v>
      </c>
      <c r="C692" t="s">
        <v>35</v>
      </c>
      <c r="D692">
        <v>13</v>
      </c>
      <c r="E692" s="13" t="s">
        <v>11405</v>
      </c>
      <c r="F692">
        <v>0</v>
      </c>
      <c r="G692" s="11">
        <v>5957.35</v>
      </c>
      <c r="H692" t="s">
        <v>11</v>
      </c>
      <c r="I692" t="s">
        <v>11</v>
      </c>
      <c r="J692" t="s">
        <v>23</v>
      </c>
    </row>
    <row r="693" spans="1:10" x14ac:dyDescent="0.3">
      <c r="A693" t="s">
        <v>725</v>
      </c>
      <c r="B693">
        <v>2004</v>
      </c>
      <c r="C693" t="s">
        <v>10</v>
      </c>
      <c r="D693">
        <v>15</v>
      </c>
      <c r="E693" s="13" t="s">
        <v>11406</v>
      </c>
      <c r="F693">
        <v>0</v>
      </c>
      <c r="G693" s="11">
        <v>5960.91</v>
      </c>
      <c r="H693" t="s">
        <v>11</v>
      </c>
      <c r="I693" t="s">
        <v>16</v>
      </c>
      <c r="J693" t="s">
        <v>535</v>
      </c>
    </row>
    <row r="694" spans="1:10" x14ac:dyDescent="0.3">
      <c r="A694" t="s">
        <v>726</v>
      </c>
      <c r="B694">
        <v>1980</v>
      </c>
      <c r="C694" t="s">
        <v>35</v>
      </c>
      <c r="D694">
        <v>5</v>
      </c>
      <c r="E694" s="13" t="s">
        <v>11407</v>
      </c>
      <c r="F694">
        <v>0</v>
      </c>
      <c r="G694" s="11">
        <v>5966.89</v>
      </c>
      <c r="H694" t="s">
        <v>11</v>
      </c>
      <c r="I694" t="s">
        <v>12</v>
      </c>
      <c r="J694" t="s">
        <v>13</v>
      </c>
    </row>
    <row r="695" spans="1:10" x14ac:dyDescent="0.3">
      <c r="A695" t="s">
        <v>727</v>
      </c>
      <c r="B695">
        <v>1980</v>
      </c>
      <c r="C695" t="s">
        <v>10</v>
      </c>
      <c r="D695">
        <v>21</v>
      </c>
      <c r="E695" s="13" t="s">
        <v>11408</v>
      </c>
      <c r="F695">
        <v>0</v>
      </c>
      <c r="G695" s="11">
        <v>5969.72</v>
      </c>
      <c r="H695" t="s">
        <v>12</v>
      </c>
      <c r="I695" t="s">
        <v>12</v>
      </c>
      <c r="J695" t="s">
        <v>42</v>
      </c>
    </row>
    <row r="696" spans="1:10" x14ac:dyDescent="0.3">
      <c r="A696" t="s">
        <v>728</v>
      </c>
      <c r="B696">
        <v>1989</v>
      </c>
      <c r="C696" t="s">
        <v>10</v>
      </c>
      <c r="D696">
        <v>22</v>
      </c>
      <c r="E696" s="13" t="s">
        <v>11409</v>
      </c>
      <c r="F696">
        <v>3</v>
      </c>
      <c r="G696" s="11">
        <v>5972.38</v>
      </c>
      <c r="H696" t="s">
        <v>11</v>
      </c>
      <c r="I696" t="s">
        <v>11</v>
      </c>
      <c r="J696" t="s">
        <v>42</v>
      </c>
    </row>
    <row r="697" spans="1:10" x14ac:dyDescent="0.3">
      <c r="A697" t="s">
        <v>729</v>
      </c>
      <c r="B697">
        <v>1984</v>
      </c>
      <c r="C697" t="s">
        <v>20</v>
      </c>
      <c r="D697">
        <v>19</v>
      </c>
      <c r="E697" s="13" t="s">
        <v>11410</v>
      </c>
      <c r="F697">
        <v>1</v>
      </c>
      <c r="G697" s="11">
        <v>5974.38</v>
      </c>
      <c r="H697" t="s">
        <v>11</v>
      </c>
      <c r="I697" t="s">
        <v>12</v>
      </c>
      <c r="J697" t="s">
        <v>13</v>
      </c>
    </row>
    <row r="698" spans="1:10" x14ac:dyDescent="0.3">
      <c r="A698" t="s">
        <v>730</v>
      </c>
      <c r="B698">
        <v>1984</v>
      </c>
      <c r="C698" t="s">
        <v>15</v>
      </c>
      <c r="D698">
        <v>11</v>
      </c>
      <c r="E698" s="13" t="s">
        <v>11411</v>
      </c>
      <c r="F698">
        <v>1</v>
      </c>
      <c r="G698" s="11">
        <v>5976.83</v>
      </c>
      <c r="H698" t="s">
        <v>11</v>
      </c>
      <c r="I698" t="s">
        <v>11</v>
      </c>
      <c r="J698" t="s">
        <v>13</v>
      </c>
    </row>
    <row r="699" spans="1:10" x14ac:dyDescent="0.3">
      <c r="A699" t="s">
        <v>731</v>
      </c>
      <c r="B699">
        <v>1970</v>
      </c>
      <c r="C699" t="s">
        <v>18</v>
      </c>
      <c r="D699">
        <v>25</v>
      </c>
      <c r="E699" s="13" t="s">
        <v>11412</v>
      </c>
      <c r="F699">
        <v>0</v>
      </c>
      <c r="G699" s="11">
        <v>5979.66</v>
      </c>
      <c r="H699" t="s">
        <v>11</v>
      </c>
      <c r="I699" t="s">
        <v>12</v>
      </c>
      <c r="J699" t="s">
        <v>13</v>
      </c>
    </row>
    <row r="700" spans="1:10" x14ac:dyDescent="0.3">
      <c r="A700" t="s">
        <v>732</v>
      </c>
      <c r="B700">
        <v>1980</v>
      </c>
      <c r="C700" t="s">
        <v>37</v>
      </c>
      <c r="D700">
        <v>10</v>
      </c>
      <c r="E700" s="13" t="s">
        <v>11413</v>
      </c>
      <c r="F700">
        <v>0</v>
      </c>
      <c r="G700" s="11">
        <v>5979.73</v>
      </c>
      <c r="H700" t="s">
        <v>11</v>
      </c>
      <c r="I700" t="s">
        <v>11</v>
      </c>
      <c r="J700" t="s">
        <v>42</v>
      </c>
    </row>
    <row r="701" spans="1:10" x14ac:dyDescent="0.3">
      <c r="A701" t="s">
        <v>733</v>
      </c>
      <c r="B701">
        <v>1974</v>
      </c>
      <c r="C701" t="s">
        <v>37</v>
      </c>
      <c r="D701">
        <v>11</v>
      </c>
      <c r="E701" s="13" t="s">
        <v>11414</v>
      </c>
      <c r="F701">
        <v>0</v>
      </c>
      <c r="G701" s="11">
        <v>5979.99</v>
      </c>
      <c r="H701" t="s">
        <v>11</v>
      </c>
      <c r="I701" t="s">
        <v>12</v>
      </c>
      <c r="J701" t="s">
        <v>13</v>
      </c>
    </row>
    <row r="702" spans="1:10" x14ac:dyDescent="0.3">
      <c r="A702" t="s">
        <v>734</v>
      </c>
      <c r="B702">
        <v>1988</v>
      </c>
      <c r="C702" t="s">
        <v>18</v>
      </c>
      <c r="D702">
        <v>10</v>
      </c>
      <c r="E702" s="13" t="s">
        <v>11415</v>
      </c>
      <c r="F702">
        <v>2</v>
      </c>
      <c r="G702" s="11">
        <v>5989.52</v>
      </c>
      <c r="H702" t="s">
        <v>11</v>
      </c>
      <c r="I702" t="s">
        <v>16</v>
      </c>
      <c r="J702" t="s">
        <v>23</v>
      </c>
    </row>
    <row r="703" spans="1:10" x14ac:dyDescent="0.3">
      <c r="A703" t="s">
        <v>735</v>
      </c>
      <c r="B703">
        <v>1974</v>
      </c>
      <c r="C703" t="s">
        <v>35</v>
      </c>
      <c r="D703">
        <v>17</v>
      </c>
      <c r="E703" s="13" t="s">
        <v>11416</v>
      </c>
      <c r="F703">
        <v>0</v>
      </c>
      <c r="G703" s="11">
        <v>5990.17</v>
      </c>
      <c r="H703" t="s">
        <v>11</v>
      </c>
      <c r="I703" t="s">
        <v>11</v>
      </c>
      <c r="J703" t="s">
        <v>13</v>
      </c>
    </row>
    <row r="704" spans="1:10" x14ac:dyDescent="0.3">
      <c r="A704" t="s">
        <v>736</v>
      </c>
      <c r="B704">
        <v>1980</v>
      </c>
      <c r="C704" t="s">
        <v>35</v>
      </c>
      <c r="D704">
        <v>8</v>
      </c>
      <c r="E704" s="13" t="s">
        <v>11417</v>
      </c>
      <c r="F704">
        <v>2</v>
      </c>
      <c r="G704" s="11">
        <v>5993.62</v>
      </c>
      <c r="H704" t="s">
        <v>11</v>
      </c>
      <c r="I704" t="s">
        <v>12</v>
      </c>
      <c r="J704" t="s">
        <v>13</v>
      </c>
    </row>
    <row r="705" spans="1:10" x14ac:dyDescent="0.3">
      <c r="A705" t="s">
        <v>737</v>
      </c>
      <c r="B705">
        <v>1989</v>
      </c>
      <c r="C705" t="s">
        <v>35</v>
      </c>
      <c r="D705">
        <v>16</v>
      </c>
      <c r="E705" s="13" t="s">
        <v>11418</v>
      </c>
      <c r="F705">
        <v>4</v>
      </c>
      <c r="G705" s="11">
        <v>6059.17</v>
      </c>
      <c r="H705" t="s">
        <v>11</v>
      </c>
      <c r="I705" t="s">
        <v>16</v>
      </c>
      <c r="J705" t="s">
        <v>42</v>
      </c>
    </row>
    <row r="706" spans="1:10" x14ac:dyDescent="0.3">
      <c r="A706" t="s">
        <v>738</v>
      </c>
      <c r="B706">
        <v>1996</v>
      </c>
      <c r="C706" t="s">
        <v>10</v>
      </c>
      <c r="D706">
        <v>28</v>
      </c>
      <c r="E706" s="13" t="s">
        <v>11419</v>
      </c>
      <c r="F706">
        <v>0</v>
      </c>
      <c r="G706" s="11">
        <v>6061.8</v>
      </c>
      <c r="H706" t="s">
        <v>11</v>
      </c>
      <c r="I706" t="s">
        <v>12</v>
      </c>
      <c r="J706" t="s">
        <v>23</v>
      </c>
    </row>
    <row r="707" spans="1:10" x14ac:dyDescent="0.3">
      <c r="A707" t="s">
        <v>739</v>
      </c>
      <c r="B707">
        <v>1994</v>
      </c>
      <c r="C707" t="s">
        <v>15</v>
      </c>
      <c r="D707">
        <v>8</v>
      </c>
      <c r="E707" s="13" t="s">
        <v>11420</v>
      </c>
      <c r="F707">
        <v>0</v>
      </c>
      <c r="G707" s="11">
        <v>6064.37</v>
      </c>
      <c r="H707" t="s">
        <v>11</v>
      </c>
      <c r="I707" t="s">
        <v>11</v>
      </c>
      <c r="J707" t="s">
        <v>42</v>
      </c>
    </row>
    <row r="708" spans="1:10" x14ac:dyDescent="0.3">
      <c r="A708" t="s">
        <v>740</v>
      </c>
      <c r="B708">
        <v>1984</v>
      </c>
      <c r="C708" t="s">
        <v>20</v>
      </c>
      <c r="D708">
        <v>21</v>
      </c>
      <c r="E708" s="13" t="s">
        <v>11421</v>
      </c>
      <c r="F708">
        <v>1</v>
      </c>
      <c r="G708" s="11">
        <v>6067.13</v>
      </c>
      <c r="H708" t="s">
        <v>12</v>
      </c>
      <c r="I708" t="s">
        <v>16</v>
      </c>
      <c r="J708" t="s">
        <v>168</v>
      </c>
    </row>
    <row r="709" spans="1:10" x14ac:dyDescent="0.3">
      <c r="A709" t="s">
        <v>741</v>
      </c>
      <c r="B709">
        <v>1979</v>
      </c>
      <c r="C709" t="s">
        <v>35</v>
      </c>
      <c r="D709">
        <v>8</v>
      </c>
      <c r="E709" s="13" t="s">
        <v>11422</v>
      </c>
      <c r="F709">
        <v>2</v>
      </c>
      <c r="G709" s="11">
        <v>6074.37</v>
      </c>
      <c r="H709" t="s">
        <v>11</v>
      </c>
      <c r="I709" t="s">
        <v>11</v>
      </c>
      <c r="J709" t="s">
        <v>23</v>
      </c>
    </row>
    <row r="710" spans="1:10" x14ac:dyDescent="0.3">
      <c r="A710" t="s">
        <v>742</v>
      </c>
      <c r="B710">
        <v>1984</v>
      </c>
      <c r="C710" t="s">
        <v>37</v>
      </c>
      <c r="D710">
        <v>14</v>
      </c>
      <c r="E710" s="13" t="s">
        <v>11423</v>
      </c>
      <c r="F710">
        <v>1</v>
      </c>
      <c r="G710" s="11">
        <v>6079.67</v>
      </c>
      <c r="H710" t="s">
        <v>16</v>
      </c>
      <c r="I710" t="s">
        <v>16</v>
      </c>
      <c r="J710" t="s">
        <v>276</v>
      </c>
    </row>
    <row r="711" spans="1:10" x14ac:dyDescent="0.3">
      <c r="A711" t="s">
        <v>743</v>
      </c>
      <c r="B711">
        <v>1984</v>
      </c>
      <c r="C711" t="s">
        <v>10</v>
      </c>
      <c r="D711">
        <v>25</v>
      </c>
      <c r="E711" s="13" t="s">
        <v>11424</v>
      </c>
      <c r="F711">
        <v>2</v>
      </c>
      <c r="G711" s="11">
        <v>6082.41</v>
      </c>
      <c r="H711" t="s">
        <v>16</v>
      </c>
      <c r="I711" t="s">
        <v>11</v>
      </c>
      <c r="J711" t="s">
        <v>42</v>
      </c>
    </row>
    <row r="712" spans="1:10" x14ac:dyDescent="0.3">
      <c r="A712" t="s">
        <v>744</v>
      </c>
      <c r="B712">
        <v>1970</v>
      </c>
      <c r="C712" t="s">
        <v>18</v>
      </c>
      <c r="D712">
        <v>9</v>
      </c>
      <c r="E712" s="13" t="s">
        <v>11425</v>
      </c>
      <c r="F712">
        <v>0</v>
      </c>
      <c r="G712" s="11">
        <v>6098.38</v>
      </c>
      <c r="H712" t="s">
        <v>11</v>
      </c>
      <c r="I712" t="s">
        <v>11</v>
      </c>
      <c r="J712" t="s">
        <v>13</v>
      </c>
    </row>
    <row r="713" spans="1:10" x14ac:dyDescent="0.3">
      <c r="A713" t="s">
        <v>745</v>
      </c>
      <c r="B713">
        <v>1995</v>
      </c>
      <c r="C713" t="s">
        <v>20</v>
      </c>
      <c r="D713">
        <v>9</v>
      </c>
      <c r="E713" s="13" t="s">
        <v>11143</v>
      </c>
      <c r="F713">
        <v>0</v>
      </c>
      <c r="G713" s="11">
        <v>6111.95</v>
      </c>
      <c r="H713" t="s">
        <v>11</v>
      </c>
      <c r="I713" t="s">
        <v>12</v>
      </c>
      <c r="J713" t="s">
        <v>535</v>
      </c>
    </row>
    <row r="714" spans="1:10" x14ac:dyDescent="0.3">
      <c r="A714" t="s">
        <v>746</v>
      </c>
      <c r="B714">
        <v>1985</v>
      </c>
      <c r="C714" t="s">
        <v>10</v>
      </c>
      <c r="D714">
        <v>21</v>
      </c>
      <c r="E714" s="13" t="s">
        <v>11426</v>
      </c>
      <c r="F714">
        <v>1</v>
      </c>
      <c r="G714" s="11">
        <v>6112.35</v>
      </c>
      <c r="H714" t="s">
        <v>11</v>
      </c>
      <c r="I714" t="s">
        <v>16</v>
      </c>
      <c r="J714" t="s">
        <v>23</v>
      </c>
    </row>
    <row r="715" spans="1:10" x14ac:dyDescent="0.3">
      <c r="A715" t="s">
        <v>747</v>
      </c>
      <c r="B715">
        <v>1991</v>
      </c>
      <c r="C715" t="s">
        <v>10</v>
      </c>
      <c r="D715">
        <v>25</v>
      </c>
      <c r="E715" s="13" t="s">
        <v>11427</v>
      </c>
      <c r="F715">
        <v>3</v>
      </c>
      <c r="G715" s="11">
        <v>6113.23</v>
      </c>
      <c r="H715" t="s">
        <v>11</v>
      </c>
      <c r="I715" t="s">
        <v>11</v>
      </c>
      <c r="J715" t="s">
        <v>247</v>
      </c>
    </row>
    <row r="716" spans="1:10" x14ac:dyDescent="0.3">
      <c r="A716" t="s">
        <v>748</v>
      </c>
      <c r="B716">
        <v>1983</v>
      </c>
      <c r="C716" t="s">
        <v>35</v>
      </c>
      <c r="D716">
        <v>11</v>
      </c>
      <c r="E716" s="13" t="s">
        <v>11428</v>
      </c>
      <c r="F716">
        <v>1</v>
      </c>
      <c r="G716" s="11">
        <v>6117.49</v>
      </c>
      <c r="H716" t="s">
        <v>11</v>
      </c>
      <c r="I716" t="s">
        <v>12</v>
      </c>
      <c r="J716" t="s">
        <v>23</v>
      </c>
    </row>
    <row r="717" spans="1:10" x14ac:dyDescent="0.3">
      <c r="A717" t="s">
        <v>749</v>
      </c>
      <c r="B717">
        <v>1983</v>
      </c>
      <c r="C717" t="s">
        <v>15</v>
      </c>
      <c r="D717">
        <v>16</v>
      </c>
      <c r="E717" s="13" t="s">
        <v>11429</v>
      </c>
      <c r="F717">
        <v>1</v>
      </c>
      <c r="G717" s="11">
        <v>6123.57</v>
      </c>
      <c r="H717" t="s">
        <v>12</v>
      </c>
      <c r="I717" t="s">
        <v>11</v>
      </c>
      <c r="J717" t="s">
        <v>23</v>
      </c>
    </row>
    <row r="718" spans="1:10" x14ac:dyDescent="0.3">
      <c r="A718" t="s">
        <v>750</v>
      </c>
      <c r="B718">
        <v>1990</v>
      </c>
      <c r="C718" t="s">
        <v>35</v>
      </c>
      <c r="D718">
        <v>18</v>
      </c>
      <c r="E718" s="13" t="s">
        <v>11430</v>
      </c>
      <c r="F718">
        <v>3</v>
      </c>
      <c r="G718" s="11">
        <v>6128.8</v>
      </c>
      <c r="H718" t="s">
        <v>11</v>
      </c>
      <c r="I718" t="s">
        <v>12</v>
      </c>
      <c r="J718" t="s">
        <v>23</v>
      </c>
    </row>
    <row r="719" spans="1:10" x14ac:dyDescent="0.3">
      <c r="A719" t="s">
        <v>751</v>
      </c>
      <c r="B719">
        <v>1969</v>
      </c>
      <c r="C719" t="s">
        <v>15</v>
      </c>
      <c r="D719">
        <v>9</v>
      </c>
      <c r="E719" s="13" t="s">
        <v>11431</v>
      </c>
      <c r="F719">
        <v>0</v>
      </c>
      <c r="G719" s="11">
        <v>6138.5</v>
      </c>
      <c r="H719" t="s">
        <v>11</v>
      </c>
      <c r="I719" t="s">
        <v>11</v>
      </c>
      <c r="J719" t="s">
        <v>42</v>
      </c>
    </row>
    <row r="720" spans="1:10" x14ac:dyDescent="0.3">
      <c r="A720" t="s">
        <v>752</v>
      </c>
      <c r="B720">
        <v>1978</v>
      </c>
      <c r="C720" t="s">
        <v>20</v>
      </c>
      <c r="D720">
        <v>5</v>
      </c>
      <c r="E720" s="13" t="s">
        <v>11432</v>
      </c>
      <c r="F720">
        <v>2</v>
      </c>
      <c r="G720" s="11">
        <v>6138.58</v>
      </c>
      <c r="H720" t="s">
        <v>11</v>
      </c>
      <c r="I720" t="s">
        <v>16</v>
      </c>
      <c r="J720" t="s">
        <v>13</v>
      </c>
    </row>
    <row r="721" spans="1:10" x14ac:dyDescent="0.3">
      <c r="A721" t="s">
        <v>753</v>
      </c>
      <c r="B721">
        <v>1976</v>
      </c>
      <c r="C721" t="s">
        <v>30</v>
      </c>
      <c r="D721">
        <v>12</v>
      </c>
      <c r="E721" s="13" t="s">
        <v>11433</v>
      </c>
      <c r="F721">
        <v>2</v>
      </c>
      <c r="G721" s="11">
        <v>6139.14</v>
      </c>
      <c r="H721" t="s">
        <v>11</v>
      </c>
      <c r="I721" t="s">
        <v>12</v>
      </c>
      <c r="J721" t="s">
        <v>13</v>
      </c>
    </row>
    <row r="722" spans="1:10" x14ac:dyDescent="0.3">
      <c r="A722" t="s">
        <v>754</v>
      </c>
      <c r="B722">
        <v>1970</v>
      </c>
      <c r="C722" t="s">
        <v>37</v>
      </c>
      <c r="D722">
        <v>14</v>
      </c>
      <c r="E722" s="13" t="s">
        <v>11434</v>
      </c>
      <c r="F722">
        <v>0</v>
      </c>
      <c r="G722" s="11">
        <v>6147.12</v>
      </c>
      <c r="H722" t="s">
        <v>11</v>
      </c>
      <c r="I722" t="s">
        <v>12</v>
      </c>
      <c r="J722" t="s">
        <v>23</v>
      </c>
    </row>
    <row r="723" spans="1:10" x14ac:dyDescent="0.3">
      <c r="A723" t="s">
        <v>755</v>
      </c>
      <c r="B723">
        <v>1973</v>
      </c>
      <c r="C723" t="s">
        <v>15</v>
      </c>
      <c r="D723">
        <v>6</v>
      </c>
      <c r="E723" s="13" t="s">
        <v>11435</v>
      </c>
      <c r="F723">
        <v>0</v>
      </c>
      <c r="G723" s="11">
        <v>6152.05</v>
      </c>
      <c r="H723" t="s">
        <v>11</v>
      </c>
      <c r="I723" t="s">
        <v>12</v>
      </c>
      <c r="J723" t="s">
        <v>13</v>
      </c>
    </row>
    <row r="724" spans="1:10" x14ac:dyDescent="0.3">
      <c r="A724" t="s">
        <v>756</v>
      </c>
      <c r="B724">
        <v>1985</v>
      </c>
      <c r="C724" t="s">
        <v>37</v>
      </c>
      <c r="D724">
        <v>15</v>
      </c>
      <c r="E724" s="13" t="s">
        <v>11436</v>
      </c>
      <c r="F724">
        <v>3</v>
      </c>
      <c r="G724" s="11">
        <v>6159.57</v>
      </c>
      <c r="H724" t="s">
        <v>11</v>
      </c>
      <c r="I724" t="s">
        <v>16</v>
      </c>
      <c r="J724" t="s">
        <v>23</v>
      </c>
    </row>
    <row r="725" spans="1:10" x14ac:dyDescent="0.3">
      <c r="A725" t="s">
        <v>757</v>
      </c>
      <c r="B725">
        <v>1984</v>
      </c>
      <c r="C725" t="s">
        <v>37</v>
      </c>
      <c r="D725">
        <v>6</v>
      </c>
      <c r="E725" s="13" t="s">
        <v>11437</v>
      </c>
      <c r="F725">
        <v>3</v>
      </c>
      <c r="G725" s="11">
        <v>6170.96</v>
      </c>
      <c r="H725" t="s">
        <v>11</v>
      </c>
      <c r="I725" t="s">
        <v>16</v>
      </c>
      <c r="J725" t="s">
        <v>13</v>
      </c>
    </row>
    <row r="726" spans="1:10" x14ac:dyDescent="0.3">
      <c r="A726" t="s">
        <v>758</v>
      </c>
      <c r="B726">
        <v>1985</v>
      </c>
      <c r="C726" t="s">
        <v>35</v>
      </c>
      <c r="D726">
        <v>9</v>
      </c>
      <c r="E726" s="13" t="s">
        <v>11305</v>
      </c>
      <c r="F726">
        <v>3</v>
      </c>
      <c r="G726" s="11">
        <v>6183.32</v>
      </c>
      <c r="H726" t="s">
        <v>11</v>
      </c>
      <c r="I726" t="s">
        <v>11</v>
      </c>
      <c r="J726" t="s">
        <v>23</v>
      </c>
    </row>
    <row r="727" spans="1:10" x14ac:dyDescent="0.3">
      <c r="A727" t="s">
        <v>759</v>
      </c>
      <c r="B727">
        <v>1970</v>
      </c>
      <c r="C727" t="s">
        <v>37</v>
      </c>
      <c r="D727">
        <v>5</v>
      </c>
      <c r="E727" s="13" t="s">
        <v>11438</v>
      </c>
      <c r="F727">
        <v>0</v>
      </c>
      <c r="G727" s="11">
        <v>6183.46</v>
      </c>
      <c r="H727" t="s">
        <v>11</v>
      </c>
      <c r="I727" t="s">
        <v>11</v>
      </c>
      <c r="J727" t="s">
        <v>23</v>
      </c>
    </row>
    <row r="728" spans="1:10" x14ac:dyDescent="0.3">
      <c r="A728" t="s">
        <v>760</v>
      </c>
      <c r="B728">
        <v>1988</v>
      </c>
      <c r="C728" t="s">
        <v>15</v>
      </c>
      <c r="D728">
        <v>1</v>
      </c>
      <c r="E728" s="13" t="s">
        <v>11439</v>
      </c>
      <c r="F728">
        <v>3</v>
      </c>
      <c r="G728" s="11">
        <v>6184.3</v>
      </c>
      <c r="H728" t="s">
        <v>11</v>
      </c>
      <c r="I728" t="s">
        <v>12</v>
      </c>
      <c r="J728" t="s">
        <v>13</v>
      </c>
    </row>
    <row r="729" spans="1:10" x14ac:dyDescent="0.3">
      <c r="A729" t="s">
        <v>761</v>
      </c>
      <c r="B729">
        <v>1981</v>
      </c>
      <c r="C729" t="s">
        <v>15</v>
      </c>
      <c r="D729">
        <v>22</v>
      </c>
      <c r="E729" s="13" t="s">
        <v>11440</v>
      </c>
      <c r="F729">
        <v>0</v>
      </c>
      <c r="G729" s="11">
        <v>6185.32</v>
      </c>
      <c r="H729" t="s">
        <v>11</v>
      </c>
      <c r="I729" t="s">
        <v>16</v>
      </c>
      <c r="J729" t="s">
        <v>13</v>
      </c>
    </row>
    <row r="730" spans="1:10" x14ac:dyDescent="0.3">
      <c r="A730" t="s">
        <v>762</v>
      </c>
      <c r="B730">
        <v>1981</v>
      </c>
      <c r="C730" t="s">
        <v>37</v>
      </c>
      <c r="D730">
        <v>1</v>
      </c>
      <c r="E730" s="13" t="s">
        <v>11441</v>
      </c>
      <c r="F730">
        <v>0</v>
      </c>
      <c r="G730" s="11">
        <v>6186.13</v>
      </c>
      <c r="H730" t="s">
        <v>11</v>
      </c>
      <c r="I730" t="s">
        <v>12</v>
      </c>
      <c r="J730" t="s">
        <v>42</v>
      </c>
    </row>
    <row r="731" spans="1:10" x14ac:dyDescent="0.3">
      <c r="A731" t="s">
        <v>763</v>
      </c>
      <c r="B731">
        <v>1988</v>
      </c>
      <c r="C731" t="s">
        <v>37</v>
      </c>
      <c r="D731">
        <v>23</v>
      </c>
      <c r="E731" s="13" t="s">
        <v>11442</v>
      </c>
      <c r="F731">
        <v>3</v>
      </c>
      <c r="G731" s="11">
        <v>6196.45</v>
      </c>
      <c r="H731" t="s">
        <v>11</v>
      </c>
      <c r="I731" t="s">
        <v>16</v>
      </c>
      <c r="J731" t="s">
        <v>42</v>
      </c>
    </row>
    <row r="732" spans="1:10" x14ac:dyDescent="0.3">
      <c r="A732" t="s">
        <v>764</v>
      </c>
      <c r="B732">
        <v>1985</v>
      </c>
      <c r="C732" t="s">
        <v>10</v>
      </c>
      <c r="D732">
        <v>22</v>
      </c>
      <c r="E732" s="13" t="s">
        <v>11443</v>
      </c>
      <c r="F732">
        <v>2</v>
      </c>
      <c r="G732" s="11">
        <v>6198.75</v>
      </c>
      <c r="H732" t="s">
        <v>11</v>
      </c>
      <c r="I732" t="s">
        <v>16</v>
      </c>
      <c r="J732" t="s">
        <v>23</v>
      </c>
    </row>
    <row r="733" spans="1:10" x14ac:dyDescent="0.3">
      <c r="A733" t="s">
        <v>31</v>
      </c>
      <c r="B733">
        <v>1985</v>
      </c>
      <c r="C733" t="s">
        <v>30</v>
      </c>
      <c r="D733">
        <v>20</v>
      </c>
      <c r="E733" t="s">
        <v>11444</v>
      </c>
      <c r="F733">
        <v>2</v>
      </c>
      <c r="G733">
        <v>6203.9</v>
      </c>
      <c r="H733" t="s">
        <v>16</v>
      </c>
      <c r="I733" t="s">
        <v>11</v>
      </c>
      <c r="J733" t="s">
        <v>23</v>
      </c>
    </row>
    <row r="734" spans="1:10" x14ac:dyDescent="0.3">
      <c r="A734" t="s">
        <v>765</v>
      </c>
      <c r="B734">
        <v>1985</v>
      </c>
      <c r="C734" t="s">
        <v>20</v>
      </c>
      <c r="D734">
        <v>22</v>
      </c>
      <c r="E734" s="13" t="s">
        <v>11445</v>
      </c>
      <c r="F734">
        <v>2</v>
      </c>
      <c r="G734" s="11">
        <v>6203.9</v>
      </c>
      <c r="H734" t="s">
        <v>11</v>
      </c>
      <c r="I734" t="s">
        <v>11</v>
      </c>
      <c r="J734" t="s">
        <v>23</v>
      </c>
    </row>
    <row r="735" spans="1:10" x14ac:dyDescent="0.3">
      <c r="A735" t="s">
        <v>766</v>
      </c>
      <c r="B735">
        <v>1999</v>
      </c>
      <c r="C735" t="s">
        <v>20</v>
      </c>
      <c r="D735">
        <v>10</v>
      </c>
      <c r="E735" s="13" t="s">
        <v>11446</v>
      </c>
      <c r="F735">
        <v>0</v>
      </c>
      <c r="G735" s="11">
        <v>6207.26</v>
      </c>
      <c r="H735" t="s">
        <v>11</v>
      </c>
      <c r="I735" t="s">
        <v>11</v>
      </c>
      <c r="J735" t="s">
        <v>535</v>
      </c>
    </row>
    <row r="736" spans="1:10" x14ac:dyDescent="0.3">
      <c r="A736" t="s">
        <v>767</v>
      </c>
      <c r="B736">
        <v>1992</v>
      </c>
      <c r="C736" t="s">
        <v>35</v>
      </c>
      <c r="D736">
        <v>12</v>
      </c>
      <c r="E736" s="13" t="s">
        <v>11426</v>
      </c>
      <c r="F736">
        <v>0</v>
      </c>
      <c r="G736" s="11">
        <v>6208.5</v>
      </c>
      <c r="H736" t="s">
        <v>11</v>
      </c>
      <c r="I736" t="s">
        <v>16</v>
      </c>
      <c r="J736" t="s">
        <v>300</v>
      </c>
    </row>
    <row r="737" spans="1:10" x14ac:dyDescent="0.3">
      <c r="A737" t="s">
        <v>768</v>
      </c>
      <c r="B737">
        <v>1972</v>
      </c>
      <c r="C737" t="s">
        <v>18</v>
      </c>
      <c r="D737">
        <v>29</v>
      </c>
      <c r="E737" s="13" t="s">
        <v>11447</v>
      </c>
      <c r="F737">
        <v>0</v>
      </c>
      <c r="G737" s="11">
        <v>6219.93</v>
      </c>
      <c r="H737" t="s">
        <v>11</v>
      </c>
      <c r="I737" t="s">
        <v>11</v>
      </c>
      <c r="J737" t="s">
        <v>13</v>
      </c>
    </row>
    <row r="738" spans="1:10" x14ac:dyDescent="0.3">
      <c r="A738" t="s">
        <v>769</v>
      </c>
      <c r="B738">
        <v>1978</v>
      </c>
      <c r="C738" t="s">
        <v>20</v>
      </c>
      <c r="D738">
        <v>19</v>
      </c>
      <c r="E738" s="13" t="s">
        <v>11448</v>
      </c>
      <c r="F738">
        <v>2</v>
      </c>
      <c r="G738" s="11">
        <v>6236.95</v>
      </c>
      <c r="H738" t="s">
        <v>11</v>
      </c>
      <c r="I738" t="s">
        <v>11</v>
      </c>
      <c r="J738" t="s">
        <v>13</v>
      </c>
    </row>
    <row r="739" spans="1:10" x14ac:dyDescent="0.3">
      <c r="A739" t="s">
        <v>770</v>
      </c>
      <c r="B739">
        <v>1983</v>
      </c>
      <c r="C739" t="s">
        <v>35</v>
      </c>
      <c r="D739">
        <v>11</v>
      </c>
      <c r="E739" s="13" t="s">
        <v>11449</v>
      </c>
      <c r="F739">
        <v>1</v>
      </c>
      <c r="G739" s="11">
        <v>6238.3</v>
      </c>
      <c r="H739" t="s">
        <v>11</v>
      </c>
      <c r="I739" t="s">
        <v>16</v>
      </c>
      <c r="J739" t="s">
        <v>42</v>
      </c>
    </row>
    <row r="740" spans="1:10" x14ac:dyDescent="0.3">
      <c r="A740" t="s">
        <v>771</v>
      </c>
      <c r="B740">
        <v>1979</v>
      </c>
      <c r="C740" t="s">
        <v>37</v>
      </c>
      <c r="D740">
        <v>10</v>
      </c>
      <c r="E740" s="13" t="s">
        <v>11450</v>
      </c>
      <c r="F740">
        <v>0</v>
      </c>
      <c r="G740" s="11">
        <v>6250.44</v>
      </c>
      <c r="H740" t="s">
        <v>11</v>
      </c>
      <c r="I740" t="s">
        <v>16</v>
      </c>
      <c r="J740" t="s">
        <v>42</v>
      </c>
    </row>
    <row r="741" spans="1:10" x14ac:dyDescent="0.3">
      <c r="A741" t="s">
        <v>772</v>
      </c>
      <c r="B741">
        <v>1972</v>
      </c>
      <c r="C741" t="s">
        <v>15</v>
      </c>
      <c r="D741">
        <v>11</v>
      </c>
      <c r="E741" s="13" t="s">
        <v>11451</v>
      </c>
      <c r="F741">
        <v>0</v>
      </c>
      <c r="G741" s="11">
        <v>6253.85</v>
      </c>
      <c r="H741" t="s">
        <v>11</v>
      </c>
      <c r="I741" t="s">
        <v>11</v>
      </c>
      <c r="J741" t="s">
        <v>13</v>
      </c>
    </row>
    <row r="742" spans="1:10" x14ac:dyDescent="0.3">
      <c r="A742" t="s">
        <v>773</v>
      </c>
      <c r="B742">
        <v>1972</v>
      </c>
      <c r="C742" t="s">
        <v>20</v>
      </c>
      <c r="D742">
        <v>8</v>
      </c>
      <c r="E742" s="13" t="s">
        <v>11452</v>
      </c>
      <c r="F742">
        <v>0</v>
      </c>
      <c r="G742" s="11">
        <v>6254.13</v>
      </c>
      <c r="H742" t="s">
        <v>11</v>
      </c>
      <c r="I742" t="s">
        <v>11</v>
      </c>
      <c r="J742" t="s">
        <v>23</v>
      </c>
    </row>
    <row r="743" spans="1:10" x14ac:dyDescent="0.3">
      <c r="A743" t="s">
        <v>774</v>
      </c>
      <c r="B743">
        <v>1970</v>
      </c>
      <c r="C743" t="s">
        <v>37</v>
      </c>
      <c r="D743">
        <v>11</v>
      </c>
      <c r="E743" s="13" t="s">
        <v>11453</v>
      </c>
      <c r="F743">
        <v>0</v>
      </c>
      <c r="G743" s="11">
        <v>6255.38</v>
      </c>
      <c r="H743" t="s">
        <v>11</v>
      </c>
      <c r="I743" t="s">
        <v>11</v>
      </c>
      <c r="J743" t="s">
        <v>13</v>
      </c>
    </row>
    <row r="744" spans="1:10" x14ac:dyDescent="0.3">
      <c r="A744" t="s">
        <v>775</v>
      </c>
      <c r="B744">
        <v>1995</v>
      </c>
      <c r="C744" t="s">
        <v>37</v>
      </c>
      <c r="D744">
        <v>17</v>
      </c>
      <c r="E744" s="13" t="s">
        <v>11454</v>
      </c>
      <c r="F744">
        <v>0</v>
      </c>
      <c r="G744" s="11">
        <v>6261.2</v>
      </c>
      <c r="H744" t="s">
        <v>11</v>
      </c>
      <c r="I744" t="s">
        <v>16</v>
      </c>
      <c r="J744" t="s">
        <v>535</v>
      </c>
    </row>
    <row r="745" spans="1:10" x14ac:dyDescent="0.3">
      <c r="A745" t="s">
        <v>776</v>
      </c>
      <c r="B745">
        <v>1984</v>
      </c>
      <c r="C745" t="s">
        <v>20</v>
      </c>
      <c r="D745">
        <v>25</v>
      </c>
      <c r="E745" s="13" t="s">
        <v>11455</v>
      </c>
      <c r="F745">
        <v>3</v>
      </c>
      <c r="G745" s="11">
        <v>6269.33</v>
      </c>
      <c r="H745" t="s">
        <v>11</v>
      </c>
      <c r="I745" t="s">
        <v>16</v>
      </c>
      <c r="J745" t="s">
        <v>13</v>
      </c>
    </row>
    <row r="746" spans="1:10" x14ac:dyDescent="0.3">
      <c r="A746" t="s">
        <v>777</v>
      </c>
      <c r="B746">
        <v>1981</v>
      </c>
      <c r="C746" t="s">
        <v>18</v>
      </c>
      <c r="D746">
        <v>30</v>
      </c>
      <c r="E746" s="13" t="s">
        <v>11456</v>
      </c>
      <c r="F746">
        <v>1</v>
      </c>
      <c r="G746" s="11">
        <v>6272.48</v>
      </c>
      <c r="H746" t="s">
        <v>16</v>
      </c>
      <c r="I746" t="s">
        <v>12</v>
      </c>
      <c r="J746" t="s">
        <v>13</v>
      </c>
    </row>
    <row r="747" spans="1:10" x14ac:dyDescent="0.3">
      <c r="A747" t="s">
        <v>778</v>
      </c>
      <c r="B747">
        <v>1993</v>
      </c>
      <c r="C747" t="s">
        <v>37</v>
      </c>
      <c r="D747">
        <v>16</v>
      </c>
      <c r="E747" s="13" t="s">
        <v>11457</v>
      </c>
      <c r="F747">
        <v>0</v>
      </c>
      <c r="G747" s="11">
        <v>6276.3</v>
      </c>
      <c r="H747" t="s">
        <v>11</v>
      </c>
      <c r="I747" t="s">
        <v>16</v>
      </c>
      <c r="J747" t="s">
        <v>200</v>
      </c>
    </row>
    <row r="748" spans="1:10" x14ac:dyDescent="0.3">
      <c r="A748" t="s">
        <v>779</v>
      </c>
      <c r="B748">
        <v>1981</v>
      </c>
      <c r="C748" t="s">
        <v>15</v>
      </c>
      <c r="D748">
        <v>24</v>
      </c>
      <c r="E748" s="13" t="s">
        <v>11458</v>
      </c>
      <c r="F748">
        <v>1</v>
      </c>
      <c r="G748" s="11">
        <v>6282.24</v>
      </c>
      <c r="H748" t="s">
        <v>11</v>
      </c>
      <c r="I748" t="s">
        <v>16</v>
      </c>
      <c r="J748" t="s">
        <v>42</v>
      </c>
    </row>
    <row r="749" spans="1:10" x14ac:dyDescent="0.3">
      <c r="A749" t="s">
        <v>780</v>
      </c>
      <c r="B749">
        <v>1981</v>
      </c>
      <c r="C749" t="s">
        <v>35</v>
      </c>
      <c r="D749">
        <v>26</v>
      </c>
      <c r="E749" s="13" t="s">
        <v>11459</v>
      </c>
      <c r="F749">
        <v>1</v>
      </c>
      <c r="G749" s="11">
        <v>6289.75</v>
      </c>
      <c r="H749" t="s">
        <v>11</v>
      </c>
      <c r="I749" t="s">
        <v>12</v>
      </c>
      <c r="J749" t="s">
        <v>13</v>
      </c>
    </row>
    <row r="750" spans="1:10" x14ac:dyDescent="0.3">
      <c r="A750" t="s">
        <v>781</v>
      </c>
      <c r="B750">
        <v>1996</v>
      </c>
      <c r="C750" t="s">
        <v>10</v>
      </c>
      <c r="D750">
        <v>4</v>
      </c>
      <c r="E750" s="13" t="s">
        <v>10964</v>
      </c>
      <c r="F750">
        <v>0</v>
      </c>
      <c r="G750" s="11">
        <v>6293.63</v>
      </c>
      <c r="H750" t="s">
        <v>11</v>
      </c>
      <c r="I750" t="s">
        <v>12</v>
      </c>
      <c r="J750" t="s">
        <v>300</v>
      </c>
    </row>
    <row r="751" spans="1:10" x14ac:dyDescent="0.3">
      <c r="A751" t="s">
        <v>782</v>
      </c>
      <c r="B751">
        <v>1974</v>
      </c>
      <c r="C751" t="s">
        <v>20</v>
      </c>
      <c r="D751">
        <v>17</v>
      </c>
      <c r="E751" s="13" t="s">
        <v>11460</v>
      </c>
      <c r="F751">
        <v>0</v>
      </c>
      <c r="G751" s="11">
        <v>6302.23</v>
      </c>
      <c r="H751" t="s">
        <v>11</v>
      </c>
      <c r="I751" t="s">
        <v>16</v>
      </c>
      <c r="J751" t="s">
        <v>13</v>
      </c>
    </row>
    <row r="752" spans="1:10" x14ac:dyDescent="0.3">
      <c r="A752" t="s">
        <v>783</v>
      </c>
      <c r="B752">
        <v>1969</v>
      </c>
      <c r="C752" t="s">
        <v>20</v>
      </c>
      <c r="D752">
        <v>4</v>
      </c>
      <c r="E752" s="13" t="s">
        <v>11461</v>
      </c>
      <c r="F752">
        <v>0</v>
      </c>
      <c r="G752" s="11">
        <v>6305.61</v>
      </c>
      <c r="H752" t="s">
        <v>11</v>
      </c>
      <c r="I752" t="s">
        <v>11</v>
      </c>
      <c r="J752" t="s">
        <v>23</v>
      </c>
    </row>
    <row r="753" spans="1:10" x14ac:dyDescent="0.3">
      <c r="A753" t="s">
        <v>784</v>
      </c>
      <c r="B753">
        <v>2004</v>
      </c>
      <c r="C753" t="s">
        <v>10</v>
      </c>
      <c r="D753">
        <v>27</v>
      </c>
      <c r="E753" s="13" t="s">
        <v>11462</v>
      </c>
      <c r="F753">
        <v>0</v>
      </c>
      <c r="G753" s="11">
        <v>6311.11</v>
      </c>
      <c r="H753" t="s">
        <v>11</v>
      </c>
      <c r="I753" t="s">
        <v>11</v>
      </c>
      <c r="J753" t="s">
        <v>42</v>
      </c>
    </row>
    <row r="754" spans="1:10" x14ac:dyDescent="0.3">
      <c r="A754" t="s">
        <v>785</v>
      </c>
      <c r="B754">
        <v>1985</v>
      </c>
      <c r="C754" t="s">
        <v>15</v>
      </c>
      <c r="D754">
        <v>19</v>
      </c>
      <c r="E754" s="13" t="s">
        <v>11463</v>
      </c>
      <c r="F754">
        <v>2</v>
      </c>
      <c r="G754" s="11">
        <v>6311.95</v>
      </c>
      <c r="H754" t="s">
        <v>11</v>
      </c>
      <c r="I754" t="s">
        <v>16</v>
      </c>
      <c r="J754" t="s">
        <v>42</v>
      </c>
    </row>
    <row r="755" spans="1:10" x14ac:dyDescent="0.3">
      <c r="A755" t="s">
        <v>786</v>
      </c>
      <c r="B755">
        <v>1985</v>
      </c>
      <c r="C755" t="s">
        <v>30</v>
      </c>
      <c r="D755">
        <v>15</v>
      </c>
      <c r="E755" s="13" t="s">
        <v>11464</v>
      </c>
      <c r="F755">
        <v>2</v>
      </c>
      <c r="G755" s="11">
        <v>6313.76</v>
      </c>
      <c r="H755" t="s">
        <v>11</v>
      </c>
      <c r="I755" t="s">
        <v>16</v>
      </c>
      <c r="J755" t="s">
        <v>13</v>
      </c>
    </row>
    <row r="756" spans="1:10" x14ac:dyDescent="0.3">
      <c r="A756" t="s">
        <v>787</v>
      </c>
      <c r="B756">
        <v>1990</v>
      </c>
      <c r="C756" t="s">
        <v>35</v>
      </c>
      <c r="D756">
        <v>13</v>
      </c>
      <c r="E756" s="13" t="s">
        <v>11465</v>
      </c>
      <c r="F756">
        <v>3</v>
      </c>
      <c r="G756" s="11">
        <v>6334.34</v>
      </c>
      <c r="H756" t="s">
        <v>11</v>
      </c>
      <c r="I756" t="s">
        <v>11</v>
      </c>
      <c r="J756" t="s">
        <v>247</v>
      </c>
    </row>
    <row r="757" spans="1:10" x14ac:dyDescent="0.3">
      <c r="A757" t="s">
        <v>788</v>
      </c>
      <c r="B757">
        <v>1986</v>
      </c>
      <c r="C757" t="s">
        <v>20</v>
      </c>
      <c r="D757">
        <v>25</v>
      </c>
      <c r="E757" s="13" t="s">
        <v>11466</v>
      </c>
      <c r="F757">
        <v>3</v>
      </c>
      <c r="G757" s="11">
        <v>6335.64</v>
      </c>
      <c r="H757" t="s">
        <v>11</v>
      </c>
      <c r="I757" t="s">
        <v>11</v>
      </c>
      <c r="J757" t="s">
        <v>13</v>
      </c>
    </row>
    <row r="758" spans="1:10" x14ac:dyDescent="0.3">
      <c r="A758" t="s">
        <v>789</v>
      </c>
      <c r="B758">
        <v>1983</v>
      </c>
      <c r="C758" t="s">
        <v>37</v>
      </c>
      <c r="D758">
        <v>21</v>
      </c>
      <c r="E758" s="13" t="s">
        <v>11467</v>
      </c>
      <c r="F758">
        <v>2</v>
      </c>
      <c r="G758" s="11">
        <v>6338.08</v>
      </c>
      <c r="H758" t="s">
        <v>11</v>
      </c>
      <c r="I758" t="s">
        <v>16</v>
      </c>
      <c r="J758" t="s">
        <v>13</v>
      </c>
    </row>
    <row r="759" spans="1:10" x14ac:dyDescent="0.3">
      <c r="A759" t="s">
        <v>790</v>
      </c>
      <c r="B759">
        <v>1983</v>
      </c>
      <c r="C759" t="s">
        <v>35</v>
      </c>
      <c r="D759">
        <v>19</v>
      </c>
      <c r="E759" s="13" t="s">
        <v>11468</v>
      </c>
      <c r="F759">
        <v>2</v>
      </c>
      <c r="G759" s="11">
        <v>6356.27</v>
      </c>
      <c r="H759" t="s">
        <v>12</v>
      </c>
      <c r="I759" t="s">
        <v>11</v>
      </c>
      <c r="J759" t="s">
        <v>13</v>
      </c>
    </row>
    <row r="760" spans="1:10" x14ac:dyDescent="0.3">
      <c r="A760" t="s">
        <v>791</v>
      </c>
      <c r="B760">
        <v>1980</v>
      </c>
      <c r="C760" t="s">
        <v>37</v>
      </c>
      <c r="D760">
        <v>30</v>
      </c>
      <c r="E760" s="13" t="s">
        <v>11469</v>
      </c>
      <c r="F760">
        <v>0</v>
      </c>
      <c r="G760" s="11">
        <v>6358.78</v>
      </c>
      <c r="H760" t="s">
        <v>11</v>
      </c>
      <c r="I760" t="s">
        <v>16</v>
      </c>
      <c r="J760" t="s">
        <v>23</v>
      </c>
    </row>
    <row r="761" spans="1:10" x14ac:dyDescent="0.3">
      <c r="A761" t="s">
        <v>792</v>
      </c>
      <c r="B761">
        <v>1989</v>
      </c>
      <c r="C761" t="s">
        <v>18</v>
      </c>
      <c r="D761">
        <v>24</v>
      </c>
      <c r="E761" s="13" t="s">
        <v>11470</v>
      </c>
      <c r="F761">
        <v>3</v>
      </c>
      <c r="G761" s="11">
        <v>6360.99</v>
      </c>
      <c r="H761" t="s">
        <v>11</v>
      </c>
      <c r="I761" t="s">
        <v>11</v>
      </c>
      <c r="J761" t="s">
        <v>23</v>
      </c>
    </row>
    <row r="762" spans="1:10" x14ac:dyDescent="0.3">
      <c r="A762" t="s">
        <v>793</v>
      </c>
      <c r="B762">
        <v>1996</v>
      </c>
      <c r="C762" t="s">
        <v>10</v>
      </c>
      <c r="D762">
        <v>7</v>
      </c>
      <c r="E762" s="13" t="s">
        <v>11471</v>
      </c>
      <c r="F762">
        <v>0</v>
      </c>
      <c r="G762" s="11">
        <v>6361.47</v>
      </c>
      <c r="H762" t="s">
        <v>11</v>
      </c>
      <c r="I762" t="s">
        <v>12</v>
      </c>
      <c r="J762" t="s">
        <v>300</v>
      </c>
    </row>
    <row r="763" spans="1:10" x14ac:dyDescent="0.3">
      <c r="A763" t="s">
        <v>794</v>
      </c>
      <c r="B763">
        <v>1970</v>
      </c>
      <c r="C763" t="s">
        <v>15</v>
      </c>
      <c r="D763">
        <v>9</v>
      </c>
      <c r="E763" s="13" t="s">
        <v>11472</v>
      </c>
      <c r="F763">
        <v>0</v>
      </c>
      <c r="G763" s="11">
        <v>6367.31</v>
      </c>
      <c r="H763" t="s">
        <v>11</v>
      </c>
      <c r="I763" t="s">
        <v>16</v>
      </c>
      <c r="J763" t="s">
        <v>13</v>
      </c>
    </row>
    <row r="764" spans="1:10" x14ac:dyDescent="0.3">
      <c r="A764" t="s">
        <v>795</v>
      </c>
      <c r="B764">
        <v>1984</v>
      </c>
      <c r="C764" t="s">
        <v>35</v>
      </c>
      <c r="D764">
        <v>13</v>
      </c>
      <c r="E764" s="13" t="s">
        <v>11473</v>
      </c>
      <c r="F764">
        <v>1</v>
      </c>
      <c r="G764" s="11">
        <v>6373.56</v>
      </c>
      <c r="H764" t="s">
        <v>11</v>
      </c>
      <c r="I764" t="s">
        <v>16</v>
      </c>
      <c r="J764" t="s">
        <v>23</v>
      </c>
    </row>
    <row r="765" spans="1:10" x14ac:dyDescent="0.3">
      <c r="A765" t="s">
        <v>796</v>
      </c>
      <c r="B765">
        <v>1976</v>
      </c>
      <c r="C765" t="s">
        <v>15</v>
      </c>
      <c r="D765">
        <v>18</v>
      </c>
      <c r="E765" s="13" t="s">
        <v>11474</v>
      </c>
      <c r="F765">
        <v>2</v>
      </c>
      <c r="G765" s="11">
        <v>6374.16</v>
      </c>
      <c r="H765" t="s">
        <v>11</v>
      </c>
      <c r="I765" t="s">
        <v>11</v>
      </c>
      <c r="J765" t="s">
        <v>13</v>
      </c>
    </row>
    <row r="766" spans="1:10" x14ac:dyDescent="0.3">
      <c r="A766" t="s">
        <v>797</v>
      </c>
      <c r="B766">
        <v>1982</v>
      </c>
      <c r="C766" t="s">
        <v>35</v>
      </c>
      <c r="D766">
        <v>6</v>
      </c>
      <c r="E766" s="13" t="s">
        <v>11323</v>
      </c>
      <c r="F766">
        <v>1</v>
      </c>
      <c r="G766" s="11">
        <v>6389.38</v>
      </c>
      <c r="H766" t="s">
        <v>16</v>
      </c>
      <c r="I766" t="s">
        <v>11</v>
      </c>
      <c r="J766" t="s">
        <v>23</v>
      </c>
    </row>
    <row r="767" spans="1:10" x14ac:dyDescent="0.3">
      <c r="A767" t="s">
        <v>798</v>
      </c>
      <c r="B767">
        <v>1997</v>
      </c>
      <c r="C767" t="s">
        <v>35</v>
      </c>
      <c r="D767">
        <v>16</v>
      </c>
      <c r="E767" s="13" t="s">
        <v>11475</v>
      </c>
      <c r="F767">
        <v>0</v>
      </c>
      <c r="G767" s="11">
        <v>6389.53</v>
      </c>
      <c r="H767" t="s">
        <v>11</v>
      </c>
      <c r="I767" t="s">
        <v>11</v>
      </c>
      <c r="J767" t="s">
        <v>300</v>
      </c>
    </row>
    <row r="768" spans="1:10" x14ac:dyDescent="0.3">
      <c r="A768" t="s">
        <v>799</v>
      </c>
      <c r="B768">
        <v>1982</v>
      </c>
      <c r="C768" t="s">
        <v>37</v>
      </c>
      <c r="D768">
        <v>28</v>
      </c>
      <c r="E768" s="13" t="s">
        <v>11476</v>
      </c>
      <c r="F768">
        <v>1</v>
      </c>
      <c r="G768" s="11">
        <v>6393.6</v>
      </c>
      <c r="H768" t="s">
        <v>11</v>
      </c>
      <c r="I768" t="s">
        <v>16</v>
      </c>
      <c r="J768" t="s">
        <v>23</v>
      </c>
    </row>
    <row r="769" spans="1:10" x14ac:dyDescent="0.3">
      <c r="A769" t="s">
        <v>800</v>
      </c>
      <c r="B769">
        <v>1987</v>
      </c>
      <c r="C769" t="s">
        <v>20</v>
      </c>
      <c r="D769">
        <v>9</v>
      </c>
      <c r="E769" s="13" t="s">
        <v>11477</v>
      </c>
      <c r="F769">
        <v>2</v>
      </c>
      <c r="G769" s="11">
        <v>6402.29</v>
      </c>
      <c r="H769" t="s">
        <v>11</v>
      </c>
      <c r="I769" t="s">
        <v>12</v>
      </c>
      <c r="J769" t="s">
        <v>247</v>
      </c>
    </row>
    <row r="770" spans="1:10" x14ac:dyDescent="0.3">
      <c r="A770" t="s">
        <v>801</v>
      </c>
      <c r="B770">
        <v>1985</v>
      </c>
      <c r="C770" t="s">
        <v>30</v>
      </c>
      <c r="D770">
        <v>10</v>
      </c>
      <c r="E770" s="13" t="s">
        <v>11478</v>
      </c>
      <c r="F770">
        <v>2</v>
      </c>
      <c r="G770" s="11">
        <v>6406.41</v>
      </c>
      <c r="H770" t="s">
        <v>16</v>
      </c>
      <c r="I770" t="s">
        <v>12</v>
      </c>
      <c r="J770" t="s">
        <v>276</v>
      </c>
    </row>
    <row r="771" spans="1:10" x14ac:dyDescent="0.3">
      <c r="A771" t="s">
        <v>802</v>
      </c>
      <c r="B771">
        <v>1970</v>
      </c>
      <c r="C771" t="s">
        <v>35</v>
      </c>
      <c r="D771">
        <v>20</v>
      </c>
      <c r="E771" s="13" t="s">
        <v>11479</v>
      </c>
      <c r="F771">
        <v>0</v>
      </c>
      <c r="G771" s="11">
        <v>6407.05</v>
      </c>
      <c r="H771" t="s">
        <v>11</v>
      </c>
      <c r="I771" t="s">
        <v>16</v>
      </c>
      <c r="J771" t="s">
        <v>13</v>
      </c>
    </row>
    <row r="772" spans="1:10" x14ac:dyDescent="0.3">
      <c r="A772" t="s">
        <v>803</v>
      </c>
      <c r="B772">
        <v>1971</v>
      </c>
      <c r="C772" t="s">
        <v>35</v>
      </c>
      <c r="D772">
        <v>22</v>
      </c>
      <c r="E772" s="13" t="s">
        <v>11480</v>
      </c>
      <c r="F772">
        <v>0</v>
      </c>
      <c r="G772" s="11">
        <v>6412.34</v>
      </c>
      <c r="H772" t="s">
        <v>11</v>
      </c>
      <c r="I772" t="s">
        <v>12</v>
      </c>
      <c r="J772" t="s">
        <v>13</v>
      </c>
    </row>
    <row r="773" spans="1:10" x14ac:dyDescent="0.3">
      <c r="A773" t="s">
        <v>804</v>
      </c>
      <c r="B773">
        <v>1987</v>
      </c>
      <c r="C773" t="s">
        <v>20</v>
      </c>
      <c r="D773">
        <v>4</v>
      </c>
      <c r="E773" s="13" t="s">
        <v>11441</v>
      </c>
      <c r="F773">
        <v>3</v>
      </c>
      <c r="G773" s="11">
        <v>6414.18</v>
      </c>
      <c r="H773" t="s">
        <v>11</v>
      </c>
      <c r="I773" t="s">
        <v>11</v>
      </c>
      <c r="J773" t="s">
        <v>42</v>
      </c>
    </row>
    <row r="774" spans="1:10" x14ac:dyDescent="0.3">
      <c r="A774" t="s">
        <v>805</v>
      </c>
      <c r="B774">
        <v>1976</v>
      </c>
      <c r="C774" t="s">
        <v>30</v>
      </c>
      <c r="D774">
        <v>30</v>
      </c>
      <c r="E774" s="13" t="s">
        <v>11359</v>
      </c>
      <c r="F774">
        <v>2</v>
      </c>
      <c r="G774" s="11">
        <v>6417.28</v>
      </c>
      <c r="H774" t="s">
        <v>11</v>
      </c>
      <c r="I774" t="s">
        <v>12</v>
      </c>
      <c r="J774" t="s">
        <v>13</v>
      </c>
    </row>
    <row r="775" spans="1:10" x14ac:dyDescent="0.3">
      <c r="A775" t="s">
        <v>806</v>
      </c>
      <c r="B775">
        <v>1975</v>
      </c>
      <c r="C775" t="s">
        <v>35</v>
      </c>
      <c r="D775">
        <v>5</v>
      </c>
      <c r="E775" s="13" t="s">
        <v>11481</v>
      </c>
      <c r="F775">
        <v>1</v>
      </c>
      <c r="G775" s="11">
        <v>6423.48</v>
      </c>
      <c r="H775" t="s">
        <v>11</v>
      </c>
      <c r="I775" t="s">
        <v>12</v>
      </c>
      <c r="J775" t="s">
        <v>13</v>
      </c>
    </row>
    <row r="776" spans="1:10" x14ac:dyDescent="0.3">
      <c r="A776" t="s">
        <v>807</v>
      </c>
      <c r="B776">
        <v>1985</v>
      </c>
      <c r="C776" t="s">
        <v>10</v>
      </c>
      <c r="D776">
        <v>22</v>
      </c>
      <c r="E776" s="13" t="s">
        <v>11482</v>
      </c>
      <c r="F776">
        <v>3</v>
      </c>
      <c r="G776" s="11">
        <v>6435.62</v>
      </c>
      <c r="H776" t="s">
        <v>12</v>
      </c>
      <c r="I776" t="s">
        <v>11</v>
      </c>
      <c r="J776" t="s">
        <v>13</v>
      </c>
    </row>
    <row r="777" spans="1:10" x14ac:dyDescent="0.3">
      <c r="A777" t="s">
        <v>808</v>
      </c>
      <c r="B777">
        <v>1984</v>
      </c>
      <c r="C777" t="s">
        <v>35</v>
      </c>
      <c r="D777">
        <v>26</v>
      </c>
      <c r="E777" s="13" t="s">
        <v>11483</v>
      </c>
      <c r="F777">
        <v>2</v>
      </c>
      <c r="G777" s="11">
        <v>6455.86</v>
      </c>
      <c r="H777" t="s">
        <v>12</v>
      </c>
      <c r="I777" t="s">
        <v>12</v>
      </c>
      <c r="J777" t="s">
        <v>23</v>
      </c>
    </row>
    <row r="778" spans="1:10" x14ac:dyDescent="0.3">
      <c r="A778" t="s">
        <v>809</v>
      </c>
      <c r="B778">
        <v>1984</v>
      </c>
      <c r="C778" t="s">
        <v>15</v>
      </c>
      <c r="D778">
        <v>1</v>
      </c>
      <c r="E778" s="13" t="s">
        <v>11484</v>
      </c>
      <c r="F778">
        <v>2</v>
      </c>
      <c r="G778" s="11">
        <v>6457.84</v>
      </c>
      <c r="H778" t="s">
        <v>11</v>
      </c>
      <c r="I778" t="s">
        <v>12</v>
      </c>
      <c r="J778" t="s">
        <v>23</v>
      </c>
    </row>
    <row r="779" spans="1:10" x14ac:dyDescent="0.3">
      <c r="A779" t="s">
        <v>810</v>
      </c>
      <c r="B779">
        <v>1981</v>
      </c>
      <c r="C779" t="s">
        <v>10</v>
      </c>
      <c r="D779">
        <v>27</v>
      </c>
      <c r="E779" s="13" t="s">
        <v>11485</v>
      </c>
      <c r="F779">
        <v>1</v>
      </c>
      <c r="G779" s="11">
        <v>6473.15</v>
      </c>
      <c r="H779" t="s">
        <v>11</v>
      </c>
      <c r="I779" t="s">
        <v>11</v>
      </c>
      <c r="J779" t="s">
        <v>13</v>
      </c>
    </row>
    <row r="780" spans="1:10" x14ac:dyDescent="0.3">
      <c r="A780" t="s">
        <v>811</v>
      </c>
      <c r="B780">
        <v>1980</v>
      </c>
      <c r="C780" t="s">
        <v>18</v>
      </c>
      <c r="D780">
        <v>8</v>
      </c>
      <c r="E780" s="13" t="s">
        <v>11486</v>
      </c>
      <c r="F780">
        <v>0</v>
      </c>
      <c r="G780" s="11">
        <v>6474.01</v>
      </c>
      <c r="H780" t="s">
        <v>11</v>
      </c>
      <c r="I780" t="s">
        <v>12</v>
      </c>
      <c r="J780" t="s">
        <v>42</v>
      </c>
    </row>
    <row r="781" spans="1:10" x14ac:dyDescent="0.3">
      <c r="A781" t="s">
        <v>812</v>
      </c>
      <c r="B781">
        <v>1970</v>
      </c>
      <c r="C781" t="s">
        <v>30</v>
      </c>
      <c r="D781">
        <v>1</v>
      </c>
      <c r="E781" s="13" t="s">
        <v>11487</v>
      </c>
      <c r="F781">
        <v>0</v>
      </c>
      <c r="G781" s="11">
        <v>6481.67</v>
      </c>
      <c r="H781" t="s">
        <v>11</v>
      </c>
      <c r="I781" t="s">
        <v>11</v>
      </c>
      <c r="J781" t="s">
        <v>13</v>
      </c>
    </row>
    <row r="782" spans="1:10" x14ac:dyDescent="0.3">
      <c r="A782" t="s">
        <v>813</v>
      </c>
      <c r="B782">
        <v>1982</v>
      </c>
      <c r="C782" t="s">
        <v>37</v>
      </c>
      <c r="D782">
        <v>9</v>
      </c>
      <c r="E782" s="13" t="s">
        <v>11488</v>
      </c>
      <c r="F782">
        <v>1</v>
      </c>
      <c r="G782" s="11">
        <v>6496.89</v>
      </c>
      <c r="H782" t="s">
        <v>11</v>
      </c>
      <c r="I782" t="s">
        <v>12</v>
      </c>
      <c r="J782" t="s">
        <v>42</v>
      </c>
    </row>
    <row r="783" spans="1:10" x14ac:dyDescent="0.3">
      <c r="A783" t="s">
        <v>814</v>
      </c>
      <c r="B783">
        <v>1982</v>
      </c>
      <c r="C783" t="s">
        <v>35</v>
      </c>
      <c r="D783">
        <v>28</v>
      </c>
      <c r="E783" s="13" t="s">
        <v>11489</v>
      </c>
      <c r="F783">
        <v>1</v>
      </c>
      <c r="G783" s="11">
        <v>6500.24</v>
      </c>
      <c r="H783" t="s">
        <v>11</v>
      </c>
      <c r="I783" t="s">
        <v>11</v>
      </c>
      <c r="J783" t="s">
        <v>13</v>
      </c>
    </row>
    <row r="784" spans="1:10" x14ac:dyDescent="0.3">
      <c r="A784" t="s">
        <v>815</v>
      </c>
      <c r="B784">
        <v>1994</v>
      </c>
      <c r="C784" t="s">
        <v>10</v>
      </c>
      <c r="D784">
        <v>7</v>
      </c>
      <c r="E784" s="13" t="s">
        <v>11490</v>
      </c>
      <c r="F784">
        <v>0</v>
      </c>
      <c r="G784" s="11">
        <v>6512.24</v>
      </c>
      <c r="H784" t="s">
        <v>11</v>
      </c>
      <c r="I784" t="s">
        <v>16</v>
      </c>
      <c r="J784" t="s">
        <v>300</v>
      </c>
    </row>
    <row r="785" spans="1:10" x14ac:dyDescent="0.3">
      <c r="A785" t="s">
        <v>816</v>
      </c>
      <c r="B785">
        <v>1976</v>
      </c>
      <c r="C785" t="s">
        <v>37</v>
      </c>
      <c r="D785">
        <v>23</v>
      </c>
      <c r="E785" s="13" t="s">
        <v>11491</v>
      </c>
      <c r="F785">
        <v>2</v>
      </c>
      <c r="G785" s="11">
        <v>6529.21</v>
      </c>
      <c r="H785" t="s">
        <v>11</v>
      </c>
      <c r="I785" t="s">
        <v>16</v>
      </c>
      <c r="J785" t="s">
        <v>13</v>
      </c>
    </row>
    <row r="786" spans="1:10" x14ac:dyDescent="0.3">
      <c r="A786" t="s">
        <v>817</v>
      </c>
      <c r="B786">
        <v>1982</v>
      </c>
      <c r="C786" t="s">
        <v>35</v>
      </c>
      <c r="D786">
        <v>12</v>
      </c>
      <c r="E786" s="13" t="s">
        <v>11492</v>
      </c>
      <c r="F786">
        <v>3</v>
      </c>
      <c r="G786" s="11">
        <v>6532.04</v>
      </c>
      <c r="H786" t="s">
        <v>11</v>
      </c>
      <c r="I786" t="s">
        <v>16</v>
      </c>
      <c r="J786" t="s">
        <v>13</v>
      </c>
    </row>
    <row r="787" spans="1:10" x14ac:dyDescent="0.3">
      <c r="A787" t="s">
        <v>818</v>
      </c>
      <c r="B787">
        <v>1982</v>
      </c>
      <c r="C787" t="s">
        <v>37</v>
      </c>
      <c r="D787">
        <v>2</v>
      </c>
      <c r="E787" s="13" t="s">
        <v>11493</v>
      </c>
      <c r="F787">
        <v>3</v>
      </c>
      <c r="G787" s="11">
        <v>6536.68</v>
      </c>
      <c r="H787" t="s">
        <v>11</v>
      </c>
      <c r="I787" t="s">
        <v>11</v>
      </c>
      <c r="J787" t="s">
        <v>23</v>
      </c>
    </row>
    <row r="788" spans="1:10" x14ac:dyDescent="0.3">
      <c r="A788" t="s">
        <v>819</v>
      </c>
      <c r="B788">
        <v>1969</v>
      </c>
      <c r="C788" t="s">
        <v>30</v>
      </c>
      <c r="D788">
        <v>3</v>
      </c>
      <c r="E788" s="13" t="s">
        <v>11494</v>
      </c>
      <c r="F788">
        <v>0</v>
      </c>
      <c r="G788" s="11">
        <v>6546.16</v>
      </c>
      <c r="H788" t="s">
        <v>11</v>
      </c>
      <c r="I788" t="s">
        <v>12</v>
      </c>
      <c r="J788" t="s">
        <v>13</v>
      </c>
    </row>
    <row r="789" spans="1:10" x14ac:dyDescent="0.3">
      <c r="A789" t="s">
        <v>820</v>
      </c>
      <c r="B789">
        <v>1986</v>
      </c>
      <c r="C789" t="s">
        <v>30</v>
      </c>
      <c r="D789">
        <v>18</v>
      </c>
      <c r="E789" s="13" t="s">
        <v>11495</v>
      </c>
      <c r="F789">
        <v>3</v>
      </c>
      <c r="G789" s="11">
        <v>6548.2</v>
      </c>
      <c r="H789" t="s">
        <v>11</v>
      </c>
      <c r="I789" t="s">
        <v>12</v>
      </c>
      <c r="J789" t="s">
        <v>23</v>
      </c>
    </row>
    <row r="790" spans="1:10" x14ac:dyDescent="0.3">
      <c r="A790" t="s">
        <v>821</v>
      </c>
      <c r="B790">
        <v>1989</v>
      </c>
      <c r="C790" t="s">
        <v>35</v>
      </c>
      <c r="D790">
        <v>6</v>
      </c>
      <c r="E790" s="13" t="s">
        <v>11496</v>
      </c>
      <c r="F790">
        <v>3</v>
      </c>
      <c r="G790" s="11">
        <v>6551.75</v>
      </c>
      <c r="H790" t="s">
        <v>11</v>
      </c>
      <c r="I790" t="s">
        <v>11</v>
      </c>
      <c r="J790" t="s">
        <v>247</v>
      </c>
    </row>
    <row r="791" spans="1:10" x14ac:dyDescent="0.3">
      <c r="A791" t="s">
        <v>822</v>
      </c>
      <c r="B791">
        <v>1968</v>
      </c>
      <c r="C791" t="s">
        <v>30</v>
      </c>
      <c r="D791">
        <v>11</v>
      </c>
      <c r="E791" s="13" t="s">
        <v>11497</v>
      </c>
      <c r="F791">
        <v>0</v>
      </c>
      <c r="G791" s="11">
        <v>6552.01</v>
      </c>
      <c r="H791" t="s">
        <v>12</v>
      </c>
      <c r="I791" t="s">
        <v>11</v>
      </c>
      <c r="J791" t="s">
        <v>13</v>
      </c>
    </row>
    <row r="792" spans="1:10" x14ac:dyDescent="0.3">
      <c r="A792" t="s">
        <v>823</v>
      </c>
      <c r="B792">
        <v>1984</v>
      </c>
      <c r="C792" t="s">
        <v>20</v>
      </c>
      <c r="D792">
        <v>20</v>
      </c>
      <c r="E792" s="13" t="s">
        <v>11498</v>
      </c>
      <c r="F792">
        <v>1</v>
      </c>
      <c r="G792" s="11">
        <v>6555.07</v>
      </c>
      <c r="H792" t="s">
        <v>11</v>
      </c>
      <c r="I792" t="s">
        <v>11</v>
      </c>
      <c r="J792" t="s">
        <v>247</v>
      </c>
    </row>
    <row r="793" spans="1:10" x14ac:dyDescent="0.3">
      <c r="A793" t="s">
        <v>824</v>
      </c>
      <c r="B793">
        <v>1981</v>
      </c>
      <c r="C793" t="s">
        <v>10</v>
      </c>
      <c r="D793">
        <v>20</v>
      </c>
      <c r="E793" s="13" t="s">
        <v>11499</v>
      </c>
      <c r="F793">
        <v>0</v>
      </c>
      <c r="G793" s="11">
        <v>6571.02</v>
      </c>
      <c r="H793" t="s">
        <v>11</v>
      </c>
      <c r="I793" t="s">
        <v>16</v>
      </c>
      <c r="J793" t="s">
        <v>23</v>
      </c>
    </row>
    <row r="794" spans="1:10" x14ac:dyDescent="0.3">
      <c r="A794" t="s">
        <v>825</v>
      </c>
      <c r="B794">
        <v>1984</v>
      </c>
      <c r="C794" t="s">
        <v>37</v>
      </c>
      <c r="D794">
        <v>5</v>
      </c>
      <c r="E794" s="13" t="s">
        <v>11500</v>
      </c>
      <c r="F794">
        <v>2</v>
      </c>
      <c r="G794" s="11">
        <v>6571.54</v>
      </c>
      <c r="H794" t="s">
        <v>11</v>
      </c>
      <c r="I794" t="s">
        <v>12</v>
      </c>
      <c r="J794" t="s">
        <v>42</v>
      </c>
    </row>
    <row r="795" spans="1:10" x14ac:dyDescent="0.3">
      <c r="A795" t="s">
        <v>826</v>
      </c>
      <c r="B795">
        <v>1982</v>
      </c>
      <c r="C795" t="s">
        <v>15</v>
      </c>
      <c r="D795">
        <v>22</v>
      </c>
      <c r="E795" s="13" t="s">
        <v>11486</v>
      </c>
      <c r="F795">
        <v>2</v>
      </c>
      <c r="G795" s="11">
        <v>6593.51</v>
      </c>
      <c r="H795" t="s">
        <v>11</v>
      </c>
      <c r="I795" t="s">
        <v>16</v>
      </c>
      <c r="J795" t="s">
        <v>13</v>
      </c>
    </row>
    <row r="796" spans="1:10" x14ac:dyDescent="0.3">
      <c r="A796" t="s">
        <v>827</v>
      </c>
      <c r="B796">
        <v>1982</v>
      </c>
      <c r="C796" t="s">
        <v>30</v>
      </c>
      <c r="D796">
        <v>29</v>
      </c>
      <c r="E796" s="13" t="s">
        <v>11501</v>
      </c>
      <c r="F796">
        <v>1</v>
      </c>
      <c r="G796" s="11">
        <v>6600.21</v>
      </c>
      <c r="H796" t="s">
        <v>12</v>
      </c>
      <c r="I796" t="s">
        <v>11</v>
      </c>
      <c r="J796" t="s">
        <v>168</v>
      </c>
    </row>
    <row r="797" spans="1:10" x14ac:dyDescent="0.3">
      <c r="A797" t="s">
        <v>828</v>
      </c>
      <c r="B797">
        <v>1982</v>
      </c>
      <c r="C797" t="s">
        <v>15</v>
      </c>
      <c r="D797">
        <v>7</v>
      </c>
      <c r="E797" s="13" t="s">
        <v>11502</v>
      </c>
      <c r="F797">
        <v>2</v>
      </c>
      <c r="G797" s="11">
        <v>6600.36</v>
      </c>
      <c r="H797" t="s">
        <v>11</v>
      </c>
      <c r="I797" t="s">
        <v>12</v>
      </c>
      <c r="J797" t="s">
        <v>42</v>
      </c>
    </row>
    <row r="798" spans="1:10" x14ac:dyDescent="0.3">
      <c r="A798" t="s">
        <v>829</v>
      </c>
      <c r="B798">
        <v>1982</v>
      </c>
      <c r="C798" t="s">
        <v>35</v>
      </c>
      <c r="D798">
        <v>28</v>
      </c>
      <c r="E798" s="13" t="s">
        <v>11503</v>
      </c>
      <c r="F798">
        <v>1</v>
      </c>
      <c r="G798" s="11">
        <v>6610.11</v>
      </c>
      <c r="H798" t="s">
        <v>12</v>
      </c>
      <c r="I798" t="s">
        <v>11</v>
      </c>
      <c r="J798" t="s">
        <v>164</v>
      </c>
    </row>
    <row r="799" spans="1:10" x14ac:dyDescent="0.3">
      <c r="A799" t="s">
        <v>830</v>
      </c>
      <c r="B799">
        <v>1973</v>
      </c>
      <c r="C799" t="s">
        <v>35</v>
      </c>
      <c r="D799">
        <v>29</v>
      </c>
      <c r="E799" s="13" t="s">
        <v>11504</v>
      </c>
      <c r="F799">
        <v>0</v>
      </c>
      <c r="G799" s="11">
        <v>6630.31</v>
      </c>
      <c r="H799" t="s">
        <v>11</v>
      </c>
      <c r="I799" t="s">
        <v>16</v>
      </c>
      <c r="J799" t="s">
        <v>13</v>
      </c>
    </row>
    <row r="800" spans="1:10" x14ac:dyDescent="0.3">
      <c r="A800" t="s">
        <v>831</v>
      </c>
      <c r="B800">
        <v>2003</v>
      </c>
      <c r="C800" t="s">
        <v>20</v>
      </c>
      <c r="D800">
        <v>4</v>
      </c>
      <c r="E800" s="13" t="s">
        <v>11505</v>
      </c>
      <c r="F800">
        <v>0</v>
      </c>
      <c r="G800" s="11">
        <v>6638.16</v>
      </c>
      <c r="H800" t="s">
        <v>11</v>
      </c>
      <c r="I800" t="s">
        <v>16</v>
      </c>
      <c r="J800" t="s">
        <v>23</v>
      </c>
    </row>
    <row r="801" spans="1:10" x14ac:dyDescent="0.3">
      <c r="A801" t="s">
        <v>832</v>
      </c>
      <c r="B801">
        <v>1990</v>
      </c>
      <c r="C801" t="s">
        <v>18</v>
      </c>
      <c r="D801">
        <v>6</v>
      </c>
      <c r="E801" s="13" t="s">
        <v>11506</v>
      </c>
      <c r="F801">
        <v>3</v>
      </c>
      <c r="G801" s="11">
        <v>6639.3</v>
      </c>
      <c r="H801" t="s">
        <v>11</v>
      </c>
      <c r="I801" t="s">
        <v>11</v>
      </c>
      <c r="J801" t="s">
        <v>300</v>
      </c>
    </row>
    <row r="802" spans="1:10" x14ac:dyDescent="0.3">
      <c r="A802" t="s">
        <v>833</v>
      </c>
      <c r="B802">
        <v>1984</v>
      </c>
      <c r="C802" t="s">
        <v>30</v>
      </c>
      <c r="D802">
        <v>8</v>
      </c>
      <c r="E802" s="13" t="s">
        <v>11507</v>
      </c>
      <c r="F802">
        <v>2</v>
      </c>
      <c r="G802" s="11">
        <v>6640.54</v>
      </c>
      <c r="H802" t="s">
        <v>11</v>
      </c>
      <c r="I802" t="s">
        <v>12</v>
      </c>
      <c r="J802" t="s">
        <v>166</v>
      </c>
    </row>
    <row r="803" spans="1:10" x14ac:dyDescent="0.3">
      <c r="A803" t="s">
        <v>834</v>
      </c>
      <c r="B803">
        <v>1970</v>
      </c>
      <c r="C803" t="s">
        <v>15</v>
      </c>
      <c r="D803">
        <v>8</v>
      </c>
      <c r="E803" s="13" t="s">
        <v>11221</v>
      </c>
      <c r="F803">
        <v>0</v>
      </c>
      <c r="G803" s="11">
        <v>6651.26</v>
      </c>
      <c r="H803" t="s">
        <v>11</v>
      </c>
      <c r="I803" t="s">
        <v>12</v>
      </c>
      <c r="J803" t="s">
        <v>13</v>
      </c>
    </row>
    <row r="804" spans="1:10" x14ac:dyDescent="0.3">
      <c r="A804" t="s">
        <v>835</v>
      </c>
      <c r="B804">
        <v>1984</v>
      </c>
      <c r="C804" t="s">
        <v>10</v>
      </c>
      <c r="D804">
        <v>1</v>
      </c>
      <c r="E804" s="13" t="s">
        <v>11508</v>
      </c>
      <c r="F804">
        <v>3</v>
      </c>
      <c r="G804" s="11">
        <v>6652.53</v>
      </c>
      <c r="H804" t="s">
        <v>12</v>
      </c>
      <c r="I804" t="s">
        <v>11</v>
      </c>
      <c r="J804" t="s">
        <v>13</v>
      </c>
    </row>
    <row r="805" spans="1:10" x14ac:dyDescent="0.3">
      <c r="A805" t="s">
        <v>836</v>
      </c>
      <c r="B805">
        <v>1989</v>
      </c>
      <c r="C805" t="s">
        <v>15</v>
      </c>
      <c r="D805">
        <v>19</v>
      </c>
      <c r="E805" s="13" t="s">
        <v>11509</v>
      </c>
      <c r="F805">
        <v>5</v>
      </c>
      <c r="G805" s="11">
        <v>6653.79</v>
      </c>
      <c r="H805" t="s">
        <v>11</v>
      </c>
      <c r="I805" t="s">
        <v>16</v>
      </c>
      <c r="J805" t="s">
        <v>13</v>
      </c>
    </row>
    <row r="806" spans="1:10" x14ac:dyDescent="0.3">
      <c r="A806" t="s">
        <v>837</v>
      </c>
      <c r="B806">
        <v>1982</v>
      </c>
      <c r="C806" t="s">
        <v>20</v>
      </c>
      <c r="D806">
        <v>27</v>
      </c>
      <c r="E806" s="13" t="s">
        <v>11510</v>
      </c>
      <c r="F806">
        <v>3</v>
      </c>
      <c r="G806" s="11">
        <v>6664.32</v>
      </c>
      <c r="H806" t="s">
        <v>11</v>
      </c>
      <c r="I806" t="s">
        <v>11</v>
      </c>
      <c r="J806" t="s">
        <v>13</v>
      </c>
    </row>
    <row r="807" spans="1:10" x14ac:dyDescent="0.3">
      <c r="A807" t="s">
        <v>838</v>
      </c>
      <c r="B807">
        <v>1981</v>
      </c>
      <c r="C807" t="s">
        <v>20</v>
      </c>
      <c r="D807">
        <v>17</v>
      </c>
      <c r="E807" s="13" t="s">
        <v>11511</v>
      </c>
      <c r="F807">
        <v>1</v>
      </c>
      <c r="G807" s="11">
        <v>6664.69</v>
      </c>
      <c r="H807" t="s">
        <v>12</v>
      </c>
      <c r="I807" t="s">
        <v>16</v>
      </c>
      <c r="J807" t="s">
        <v>23</v>
      </c>
    </row>
    <row r="808" spans="1:10" x14ac:dyDescent="0.3">
      <c r="A808" t="s">
        <v>839</v>
      </c>
      <c r="B808">
        <v>1989</v>
      </c>
      <c r="C808" t="s">
        <v>37</v>
      </c>
      <c r="D808">
        <v>20</v>
      </c>
      <c r="E808" s="13" t="s">
        <v>11512</v>
      </c>
      <c r="F808">
        <v>5</v>
      </c>
      <c r="G808" s="11">
        <v>6666.24</v>
      </c>
      <c r="H808" t="s">
        <v>12</v>
      </c>
      <c r="I808" t="s">
        <v>16</v>
      </c>
      <c r="J808" t="s">
        <v>42</v>
      </c>
    </row>
    <row r="809" spans="1:10" x14ac:dyDescent="0.3">
      <c r="A809" t="s">
        <v>840</v>
      </c>
      <c r="B809">
        <v>1985</v>
      </c>
      <c r="C809" t="s">
        <v>10</v>
      </c>
      <c r="D809">
        <v>9</v>
      </c>
      <c r="E809" s="13" t="s">
        <v>11513</v>
      </c>
      <c r="F809">
        <v>2</v>
      </c>
      <c r="G809" s="11">
        <v>6686.43</v>
      </c>
      <c r="H809" t="s">
        <v>11</v>
      </c>
      <c r="I809" t="s">
        <v>12</v>
      </c>
      <c r="J809" t="s">
        <v>23</v>
      </c>
    </row>
    <row r="810" spans="1:10" x14ac:dyDescent="0.3">
      <c r="A810" t="s">
        <v>841</v>
      </c>
      <c r="B810">
        <v>1968</v>
      </c>
      <c r="C810" t="s">
        <v>10</v>
      </c>
      <c r="D810">
        <v>13</v>
      </c>
      <c r="E810" s="13" t="s">
        <v>11514</v>
      </c>
      <c r="F810">
        <v>0</v>
      </c>
      <c r="G810" s="11">
        <v>6700.56</v>
      </c>
      <c r="H810" t="s">
        <v>12</v>
      </c>
      <c r="I810" t="s">
        <v>16</v>
      </c>
      <c r="J810" t="s">
        <v>23</v>
      </c>
    </row>
    <row r="811" spans="1:10" x14ac:dyDescent="0.3">
      <c r="A811" t="s">
        <v>842</v>
      </c>
      <c r="B811">
        <v>1971</v>
      </c>
      <c r="C811" t="s">
        <v>30</v>
      </c>
      <c r="D811">
        <v>12</v>
      </c>
      <c r="E811" s="13" t="s">
        <v>11515</v>
      </c>
      <c r="F811">
        <v>0</v>
      </c>
      <c r="G811" s="11">
        <v>6706.47</v>
      </c>
      <c r="H811" t="s">
        <v>11</v>
      </c>
      <c r="I811" t="s">
        <v>16</v>
      </c>
      <c r="J811" t="s">
        <v>13</v>
      </c>
    </row>
    <row r="812" spans="1:10" x14ac:dyDescent="0.3">
      <c r="A812" t="s">
        <v>843</v>
      </c>
      <c r="B812">
        <v>1983</v>
      </c>
      <c r="C812" t="s">
        <v>18</v>
      </c>
      <c r="D812">
        <v>12</v>
      </c>
      <c r="E812" s="13" t="s">
        <v>11516</v>
      </c>
      <c r="F812">
        <v>2</v>
      </c>
      <c r="G812" s="11">
        <v>6710.19</v>
      </c>
      <c r="H812" t="s">
        <v>12</v>
      </c>
      <c r="I812" t="s">
        <v>12</v>
      </c>
      <c r="J812" t="s">
        <v>23</v>
      </c>
    </row>
    <row r="813" spans="1:10" x14ac:dyDescent="0.3">
      <c r="A813" t="s">
        <v>844</v>
      </c>
      <c r="B813">
        <v>1994</v>
      </c>
      <c r="C813" t="s">
        <v>18</v>
      </c>
      <c r="D813">
        <v>13</v>
      </c>
      <c r="E813" s="13" t="s">
        <v>11517</v>
      </c>
      <c r="F813">
        <v>0</v>
      </c>
      <c r="G813" s="11">
        <v>6721.37</v>
      </c>
      <c r="H813" t="s">
        <v>11</v>
      </c>
      <c r="I813" t="s">
        <v>16</v>
      </c>
      <c r="J813" t="s">
        <v>23</v>
      </c>
    </row>
    <row r="814" spans="1:10" x14ac:dyDescent="0.3">
      <c r="A814" t="s">
        <v>845</v>
      </c>
      <c r="B814">
        <v>1978</v>
      </c>
      <c r="C814" t="s">
        <v>37</v>
      </c>
      <c r="D814">
        <v>21</v>
      </c>
      <c r="E814" s="13" t="s">
        <v>11518</v>
      </c>
      <c r="F814">
        <v>2</v>
      </c>
      <c r="G814" s="11">
        <v>6737.98</v>
      </c>
      <c r="H814" t="s">
        <v>11</v>
      </c>
      <c r="I814" t="s">
        <v>12</v>
      </c>
      <c r="J814" t="s">
        <v>13</v>
      </c>
    </row>
    <row r="815" spans="1:10" x14ac:dyDescent="0.3">
      <c r="A815" t="s">
        <v>846</v>
      </c>
      <c r="B815">
        <v>1968</v>
      </c>
      <c r="C815" t="s">
        <v>10</v>
      </c>
      <c r="D815">
        <v>18</v>
      </c>
      <c r="E815" s="13" t="s">
        <v>11519</v>
      </c>
      <c r="F815">
        <v>0</v>
      </c>
      <c r="G815" s="11">
        <v>6738.84</v>
      </c>
      <c r="H815" t="s">
        <v>12</v>
      </c>
      <c r="I815" t="s">
        <v>16</v>
      </c>
      <c r="J815" t="s">
        <v>23</v>
      </c>
    </row>
    <row r="816" spans="1:10" x14ac:dyDescent="0.3">
      <c r="A816" t="s">
        <v>847</v>
      </c>
      <c r="B816">
        <v>1986</v>
      </c>
      <c r="C816" t="s">
        <v>35</v>
      </c>
      <c r="D816">
        <v>7</v>
      </c>
      <c r="E816" s="13" t="s">
        <v>11520</v>
      </c>
      <c r="F816">
        <v>3</v>
      </c>
      <c r="G816" s="11">
        <v>6746.74</v>
      </c>
      <c r="H816" t="s">
        <v>12</v>
      </c>
      <c r="I816" t="s">
        <v>11</v>
      </c>
      <c r="J816" t="s">
        <v>168</v>
      </c>
    </row>
    <row r="817" spans="1:10" x14ac:dyDescent="0.3">
      <c r="A817" t="s">
        <v>848</v>
      </c>
      <c r="B817">
        <v>1986</v>
      </c>
      <c r="C817" t="s">
        <v>18</v>
      </c>
      <c r="D817">
        <v>5</v>
      </c>
      <c r="E817" s="13" t="s">
        <v>11521</v>
      </c>
      <c r="F817">
        <v>3</v>
      </c>
      <c r="G817" s="11">
        <v>6748.59</v>
      </c>
      <c r="H817" t="s">
        <v>12</v>
      </c>
      <c r="I817" t="s">
        <v>16</v>
      </c>
      <c r="J817" t="s">
        <v>168</v>
      </c>
    </row>
    <row r="818" spans="1:10" x14ac:dyDescent="0.3">
      <c r="A818" t="s">
        <v>849</v>
      </c>
      <c r="B818">
        <v>1970</v>
      </c>
      <c r="C818" t="s">
        <v>18</v>
      </c>
      <c r="D818">
        <v>17</v>
      </c>
      <c r="E818" s="13" t="s">
        <v>11522</v>
      </c>
      <c r="F818">
        <v>0</v>
      </c>
      <c r="G818" s="11">
        <v>6749.63</v>
      </c>
      <c r="H818" t="s">
        <v>11</v>
      </c>
      <c r="I818" t="s">
        <v>16</v>
      </c>
      <c r="J818" t="s">
        <v>13</v>
      </c>
    </row>
    <row r="819" spans="1:10" x14ac:dyDescent="0.3">
      <c r="A819" t="s">
        <v>850</v>
      </c>
      <c r="B819">
        <v>1966</v>
      </c>
      <c r="C819" t="s">
        <v>30</v>
      </c>
      <c r="D819">
        <v>9</v>
      </c>
      <c r="E819" s="13" t="s">
        <v>11523</v>
      </c>
      <c r="F819">
        <v>0</v>
      </c>
      <c r="G819" s="11">
        <v>6750.27</v>
      </c>
      <c r="H819" t="s">
        <v>12</v>
      </c>
      <c r="I819" t="s">
        <v>11</v>
      </c>
      <c r="J819" t="s">
        <v>13</v>
      </c>
    </row>
    <row r="820" spans="1:10" x14ac:dyDescent="0.3">
      <c r="A820" t="s">
        <v>851</v>
      </c>
      <c r="B820">
        <v>1988</v>
      </c>
      <c r="C820" t="s">
        <v>37</v>
      </c>
      <c r="D820">
        <v>10</v>
      </c>
      <c r="E820" s="13" t="s">
        <v>11524</v>
      </c>
      <c r="F820">
        <v>3</v>
      </c>
      <c r="G820" s="11">
        <v>6753.04</v>
      </c>
      <c r="H820" t="s">
        <v>11</v>
      </c>
      <c r="I820" t="s">
        <v>11</v>
      </c>
      <c r="J820" t="s">
        <v>247</v>
      </c>
    </row>
    <row r="821" spans="1:10" x14ac:dyDescent="0.3">
      <c r="A821" t="s">
        <v>852</v>
      </c>
      <c r="B821">
        <v>1981</v>
      </c>
      <c r="C821" t="s">
        <v>20</v>
      </c>
      <c r="D821">
        <v>21</v>
      </c>
      <c r="E821" s="13" t="s">
        <v>11525</v>
      </c>
      <c r="F821">
        <v>1</v>
      </c>
      <c r="G821" s="11">
        <v>6770.19</v>
      </c>
      <c r="H821" t="s">
        <v>11</v>
      </c>
      <c r="I821" t="s">
        <v>12</v>
      </c>
      <c r="J821" t="s">
        <v>13</v>
      </c>
    </row>
    <row r="822" spans="1:10" x14ac:dyDescent="0.3">
      <c r="A822" t="s">
        <v>853</v>
      </c>
      <c r="B822">
        <v>1981</v>
      </c>
      <c r="C822" t="s">
        <v>20</v>
      </c>
      <c r="D822">
        <v>3</v>
      </c>
      <c r="E822" s="13" t="s">
        <v>11526</v>
      </c>
      <c r="F822">
        <v>1</v>
      </c>
      <c r="G822" s="11">
        <v>6775.96</v>
      </c>
      <c r="H822" t="s">
        <v>11</v>
      </c>
      <c r="I822" t="s">
        <v>12</v>
      </c>
      <c r="J822" t="s">
        <v>42</v>
      </c>
    </row>
    <row r="823" spans="1:10" x14ac:dyDescent="0.3">
      <c r="A823" t="s">
        <v>854</v>
      </c>
      <c r="B823">
        <v>1981</v>
      </c>
      <c r="C823" t="s">
        <v>37</v>
      </c>
      <c r="D823">
        <v>8</v>
      </c>
      <c r="E823" s="13" t="s">
        <v>11527</v>
      </c>
      <c r="F823">
        <v>1</v>
      </c>
      <c r="G823" s="11">
        <v>6781.35</v>
      </c>
      <c r="H823" t="s">
        <v>11</v>
      </c>
      <c r="I823" t="s">
        <v>16</v>
      </c>
      <c r="J823" t="s">
        <v>13</v>
      </c>
    </row>
    <row r="824" spans="1:10" x14ac:dyDescent="0.3">
      <c r="A824" t="s">
        <v>855</v>
      </c>
      <c r="B824">
        <v>1980</v>
      </c>
      <c r="C824" t="s">
        <v>15</v>
      </c>
      <c r="D824">
        <v>23</v>
      </c>
      <c r="E824" s="13" t="s">
        <v>11528</v>
      </c>
      <c r="F824">
        <v>2</v>
      </c>
      <c r="G824" s="11">
        <v>6781.52</v>
      </c>
      <c r="H824" t="s">
        <v>11</v>
      </c>
      <c r="I824" t="s">
        <v>11</v>
      </c>
      <c r="J824" t="s">
        <v>13</v>
      </c>
    </row>
    <row r="825" spans="1:10" x14ac:dyDescent="0.3">
      <c r="A825" t="s">
        <v>856</v>
      </c>
      <c r="B825">
        <v>1985</v>
      </c>
      <c r="C825" t="s">
        <v>30</v>
      </c>
      <c r="D825">
        <v>24</v>
      </c>
      <c r="E825" s="13" t="s">
        <v>11529</v>
      </c>
      <c r="F825">
        <v>3</v>
      </c>
      <c r="G825" s="11">
        <v>6796.86</v>
      </c>
      <c r="H825" t="s">
        <v>12</v>
      </c>
      <c r="I825" t="s">
        <v>12</v>
      </c>
      <c r="J825" t="s">
        <v>23</v>
      </c>
    </row>
    <row r="826" spans="1:10" x14ac:dyDescent="0.3">
      <c r="A826" t="s">
        <v>857</v>
      </c>
      <c r="B826">
        <v>1991</v>
      </c>
      <c r="C826" t="s">
        <v>18</v>
      </c>
      <c r="D826">
        <v>29</v>
      </c>
      <c r="E826" s="13" t="s">
        <v>11530</v>
      </c>
      <c r="F826">
        <v>5</v>
      </c>
      <c r="G826" s="11">
        <v>6799.46</v>
      </c>
      <c r="H826" t="s">
        <v>16</v>
      </c>
      <c r="I826" t="s">
        <v>11</v>
      </c>
      <c r="J826" t="s">
        <v>276</v>
      </c>
    </row>
    <row r="827" spans="1:10" x14ac:dyDescent="0.3">
      <c r="A827" t="s">
        <v>858</v>
      </c>
      <c r="B827">
        <v>1975</v>
      </c>
      <c r="C827" t="s">
        <v>35</v>
      </c>
      <c r="D827">
        <v>17</v>
      </c>
      <c r="E827" s="13" t="s">
        <v>11531</v>
      </c>
      <c r="F827">
        <v>1</v>
      </c>
      <c r="G827" s="11">
        <v>6809.46</v>
      </c>
      <c r="H827" t="s">
        <v>11</v>
      </c>
      <c r="I827" t="s">
        <v>16</v>
      </c>
      <c r="J827" t="s">
        <v>23</v>
      </c>
    </row>
    <row r="828" spans="1:10" x14ac:dyDescent="0.3">
      <c r="A828" t="s">
        <v>859</v>
      </c>
      <c r="B828">
        <v>1994</v>
      </c>
      <c r="C828" t="s">
        <v>10</v>
      </c>
      <c r="D828">
        <v>8</v>
      </c>
      <c r="E828" s="13" t="s">
        <v>11532</v>
      </c>
      <c r="F828">
        <v>0</v>
      </c>
      <c r="G828" s="11">
        <v>6827.69</v>
      </c>
      <c r="H828" t="s">
        <v>11</v>
      </c>
      <c r="I828" t="s">
        <v>11</v>
      </c>
      <c r="J828" t="s">
        <v>300</v>
      </c>
    </row>
    <row r="829" spans="1:10" x14ac:dyDescent="0.3">
      <c r="A829" t="s">
        <v>860</v>
      </c>
      <c r="B829">
        <v>1979</v>
      </c>
      <c r="C829" t="s">
        <v>10</v>
      </c>
      <c r="D829">
        <v>15</v>
      </c>
      <c r="E829" s="13" t="s">
        <v>11533</v>
      </c>
      <c r="F829">
        <v>0</v>
      </c>
      <c r="G829" s="11">
        <v>6837.37</v>
      </c>
      <c r="H829" t="s">
        <v>12</v>
      </c>
      <c r="I829" t="s">
        <v>16</v>
      </c>
      <c r="J829" t="s">
        <v>168</v>
      </c>
    </row>
    <row r="830" spans="1:10" x14ac:dyDescent="0.3">
      <c r="A830" t="s">
        <v>861</v>
      </c>
      <c r="B830">
        <v>2000</v>
      </c>
      <c r="C830" t="s">
        <v>15</v>
      </c>
      <c r="D830">
        <v>30</v>
      </c>
      <c r="E830" s="13" t="s">
        <v>11534</v>
      </c>
      <c r="F830">
        <v>0</v>
      </c>
      <c r="G830" s="11">
        <v>6842.28</v>
      </c>
      <c r="H830" t="s">
        <v>11</v>
      </c>
      <c r="I830" t="s">
        <v>16</v>
      </c>
      <c r="J830" t="s">
        <v>23</v>
      </c>
    </row>
    <row r="831" spans="1:10" x14ac:dyDescent="0.3">
      <c r="A831" t="s">
        <v>862</v>
      </c>
      <c r="B831">
        <v>1977</v>
      </c>
      <c r="C831" t="s">
        <v>18</v>
      </c>
      <c r="D831">
        <v>15</v>
      </c>
      <c r="E831" s="13" t="s">
        <v>11535</v>
      </c>
      <c r="F831">
        <v>2</v>
      </c>
      <c r="G831" s="11">
        <v>6843.17</v>
      </c>
      <c r="H831" t="s">
        <v>11</v>
      </c>
      <c r="I831" t="s">
        <v>16</v>
      </c>
      <c r="J831" t="s">
        <v>13</v>
      </c>
    </row>
    <row r="832" spans="1:10" x14ac:dyDescent="0.3">
      <c r="A832" t="s">
        <v>863</v>
      </c>
      <c r="B832">
        <v>1979</v>
      </c>
      <c r="C832" t="s">
        <v>15</v>
      </c>
      <c r="D832">
        <v>4</v>
      </c>
      <c r="E832" s="13" t="s">
        <v>11536</v>
      </c>
      <c r="F832">
        <v>1</v>
      </c>
      <c r="G832" s="11">
        <v>6849.03</v>
      </c>
      <c r="H832" t="s">
        <v>11</v>
      </c>
      <c r="I832" t="s">
        <v>11</v>
      </c>
      <c r="J832" t="s">
        <v>42</v>
      </c>
    </row>
    <row r="833" spans="1:10" x14ac:dyDescent="0.3">
      <c r="A833" t="s">
        <v>864</v>
      </c>
      <c r="B833">
        <v>1981</v>
      </c>
      <c r="C833" t="s">
        <v>18</v>
      </c>
      <c r="D833">
        <v>19</v>
      </c>
      <c r="E833" s="13" t="s">
        <v>11537</v>
      </c>
      <c r="F833">
        <v>1</v>
      </c>
      <c r="G833" s="11">
        <v>6858.48</v>
      </c>
      <c r="H833" t="s">
        <v>11</v>
      </c>
      <c r="I833" t="s">
        <v>11</v>
      </c>
      <c r="J833" t="s">
        <v>166</v>
      </c>
    </row>
    <row r="834" spans="1:10" x14ac:dyDescent="0.3">
      <c r="A834" t="s">
        <v>865</v>
      </c>
      <c r="B834">
        <v>1978</v>
      </c>
      <c r="C834" t="s">
        <v>35</v>
      </c>
      <c r="D834">
        <v>5</v>
      </c>
      <c r="E834" s="13" t="s">
        <v>11538</v>
      </c>
      <c r="F834">
        <v>2</v>
      </c>
      <c r="G834" s="11">
        <v>6863.49</v>
      </c>
      <c r="H834" t="s">
        <v>11</v>
      </c>
      <c r="I834" t="s">
        <v>16</v>
      </c>
      <c r="J834" t="s">
        <v>13</v>
      </c>
    </row>
    <row r="835" spans="1:10" x14ac:dyDescent="0.3">
      <c r="A835" t="s">
        <v>866</v>
      </c>
      <c r="B835">
        <v>1969</v>
      </c>
      <c r="C835" t="s">
        <v>37</v>
      </c>
      <c r="D835">
        <v>23</v>
      </c>
      <c r="E835" s="13" t="s">
        <v>11539</v>
      </c>
      <c r="F835">
        <v>0</v>
      </c>
      <c r="G835" s="11">
        <v>6868.39</v>
      </c>
      <c r="H835" t="s">
        <v>11</v>
      </c>
      <c r="I835" t="s">
        <v>11</v>
      </c>
      <c r="J835" t="s">
        <v>13</v>
      </c>
    </row>
    <row r="836" spans="1:10" x14ac:dyDescent="0.3">
      <c r="A836" t="s">
        <v>867</v>
      </c>
      <c r="B836">
        <v>1981</v>
      </c>
      <c r="C836" t="s">
        <v>18</v>
      </c>
      <c r="D836">
        <v>23</v>
      </c>
      <c r="E836" s="13" t="s">
        <v>11540</v>
      </c>
      <c r="F836">
        <v>2</v>
      </c>
      <c r="G836" s="11">
        <v>6875.96</v>
      </c>
      <c r="H836" t="s">
        <v>11</v>
      </c>
      <c r="I836" t="s">
        <v>11</v>
      </c>
      <c r="J836" t="s">
        <v>42</v>
      </c>
    </row>
    <row r="837" spans="1:10" x14ac:dyDescent="0.3">
      <c r="A837" t="s">
        <v>868</v>
      </c>
      <c r="B837">
        <v>2004</v>
      </c>
      <c r="C837" t="s">
        <v>30</v>
      </c>
      <c r="D837">
        <v>24</v>
      </c>
      <c r="E837" s="13" t="s">
        <v>11541</v>
      </c>
      <c r="F837">
        <v>0</v>
      </c>
      <c r="G837" s="11">
        <v>6876.53</v>
      </c>
      <c r="H837" t="s">
        <v>11</v>
      </c>
      <c r="I837" t="s">
        <v>16</v>
      </c>
      <c r="J837" t="s">
        <v>23</v>
      </c>
    </row>
    <row r="838" spans="1:10" x14ac:dyDescent="0.3">
      <c r="A838" t="s">
        <v>869</v>
      </c>
      <c r="B838">
        <v>1985</v>
      </c>
      <c r="C838" t="s">
        <v>20</v>
      </c>
      <c r="D838">
        <v>10</v>
      </c>
      <c r="E838" s="13" t="s">
        <v>11542</v>
      </c>
      <c r="F838">
        <v>2</v>
      </c>
      <c r="G838" s="11">
        <v>6877.98</v>
      </c>
      <c r="H838" t="s">
        <v>11</v>
      </c>
      <c r="I838" t="s">
        <v>16</v>
      </c>
      <c r="J838" t="s">
        <v>247</v>
      </c>
    </row>
    <row r="839" spans="1:10" x14ac:dyDescent="0.3">
      <c r="A839" t="s">
        <v>870</v>
      </c>
      <c r="B839">
        <v>1989</v>
      </c>
      <c r="C839" t="s">
        <v>30</v>
      </c>
      <c r="D839">
        <v>21</v>
      </c>
      <c r="E839" s="13" t="s">
        <v>11543</v>
      </c>
      <c r="F839">
        <v>3</v>
      </c>
      <c r="G839" s="11">
        <v>6895.19</v>
      </c>
      <c r="H839" t="s">
        <v>11</v>
      </c>
      <c r="I839" t="s">
        <v>12</v>
      </c>
      <c r="J839" t="s">
        <v>247</v>
      </c>
    </row>
    <row r="840" spans="1:10" x14ac:dyDescent="0.3">
      <c r="A840" t="s">
        <v>871</v>
      </c>
      <c r="B840">
        <v>1984</v>
      </c>
      <c r="C840" t="s">
        <v>20</v>
      </c>
      <c r="D840">
        <v>5</v>
      </c>
      <c r="E840" s="13" t="s">
        <v>11544</v>
      </c>
      <c r="F840">
        <v>2</v>
      </c>
      <c r="G840" s="11">
        <v>6933.24</v>
      </c>
      <c r="H840" t="s">
        <v>11</v>
      </c>
      <c r="I840" t="s">
        <v>12</v>
      </c>
      <c r="J840" t="s">
        <v>23</v>
      </c>
    </row>
    <row r="841" spans="1:10" x14ac:dyDescent="0.3">
      <c r="A841" t="s">
        <v>872</v>
      </c>
      <c r="B841">
        <v>1978</v>
      </c>
      <c r="C841" t="s">
        <v>15</v>
      </c>
      <c r="D841">
        <v>29</v>
      </c>
      <c r="E841" s="13" t="s">
        <v>11545</v>
      </c>
      <c r="F841">
        <v>2</v>
      </c>
      <c r="G841" s="11">
        <v>6938.11</v>
      </c>
      <c r="H841" t="s">
        <v>11</v>
      </c>
      <c r="I841" t="s">
        <v>11</v>
      </c>
      <c r="J841" t="s">
        <v>13</v>
      </c>
    </row>
    <row r="842" spans="1:10" x14ac:dyDescent="0.3">
      <c r="A842" t="s">
        <v>873</v>
      </c>
      <c r="B842">
        <v>1980</v>
      </c>
      <c r="C842" t="s">
        <v>35</v>
      </c>
      <c r="D842">
        <v>30</v>
      </c>
      <c r="E842" s="13" t="s">
        <v>11546</v>
      </c>
      <c r="F842">
        <v>1</v>
      </c>
      <c r="G842" s="11">
        <v>6940.91</v>
      </c>
      <c r="H842" t="s">
        <v>11</v>
      </c>
      <c r="I842" t="s">
        <v>11</v>
      </c>
      <c r="J842" t="s">
        <v>23</v>
      </c>
    </row>
    <row r="843" spans="1:10" x14ac:dyDescent="0.3">
      <c r="A843" t="s">
        <v>874</v>
      </c>
      <c r="B843">
        <v>1980</v>
      </c>
      <c r="C843" t="s">
        <v>37</v>
      </c>
      <c r="D843">
        <v>5</v>
      </c>
      <c r="E843" s="13" t="s">
        <v>11547</v>
      </c>
      <c r="F843">
        <v>2</v>
      </c>
      <c r="G843" s="11">
        <v>6940.94</v>
      </c>
      <c r="H843" t="s">
        <v>11</v>
      </c>
      <c r="I843" t="s">
        <v>12</v>
      </c>
      <c r="J843" t="s">
        <v>13</v>
      </c>
    </row>
    <row r="844" spans="1:10" x14ac:dyDescent="0.3">
      <c r="A844" t="s">
        <v>875</v>
      </c>
      <c r="B844">
        <v>1978</v>
      </c>
      <c r="C844" t="s">
        <v>30</v>
      </c>
      <c r="D844">
        <v>15</v>
      </c>
      <c r="E844" s="13" t="s">
        <v>11475</v>
      </c>
      <c r="F844">
        <v>0</v>
      </c>
      <c r="G844" s="11">
        <v>6948.7</v>
      </c>
      <c r="H844" t="s">
        <v>16</v>
      </c>
      <c r="I844" t="s">
        <v>11</v>
      </c>
      <c r="J844" t="s">
        <v>23</v>
      </c>
    </row>
    <row r="845" spans="1:10" x14ac:dyDescent="0.3">
      <c r="A845" t="s">
        <v>876</v>
      </c>
      <c r="B845">
        <v>1980</v>
      </c>
      <c r="C845" t="s">
        <v>35</v>
      </c>
      <c r="D845">
        <v>18</v>
      </c>
      <c r="E845" s="13" t="s">
        <v>11548</v>
      </c>
      <c r="F845">
        <v>2</v>
      </c>
      <c r="G845" s="11">
        <v>6951.12</v>
      </c>
      <c r="H845" t="s">
        <v>11</v>
      </c>
      <c r="I845" t="s">
        <v>11</v>
      </c>
      <c r="J845" t="s">
        <v>13</v>
      </c>
    </row>
    <row r="846" spans="1:10" x14ac:dyDescent="0.3">
      <c r="A846" t="s">
        <v>877</v>
      </c>
      <c r="B846">
        <v>1975</v>
      </c>
      <c r="C846" t="s">
        <v>18</v>
      </c>
      <c r="D846">
        <v>3</v>
      </c>
      <c r="E846" s="13" t="s">
        <v>11549</v>
      </c>
      <c r="F846">
        <v>1</v>
      </c>
      <c r="G846" s="11">
        <v>6965.21</v>
      </c>
      <c r="H846" t="s">
        <v>11</v>
      </c>
      <c r="I846" t="s">
        <v>12</v>
      </c>
      <c r="J846" t="s">
        <v>13</v>
      </c>
    </row>
    <row r="847" spans="1:10" x14ac:dyDescent="0.3">
      <c r="A847" t="s">
        <v>878</v>
      </c>
      <c r="B847">
        <v>1985</v>
      </c>
      <c r="C847" t="s">
        <v>30</v>
      </c>
      <c r="D847">
        <v>10</v>
      </c>
      <c r="E847" s="13" t="s">
        <v>11550</v>
      </c>
      <c r="F847">
        <v>3</v>
      </c>
      <c r="G847" s="11">
        <v>6985.51</v>
      </c>
      <c r="H847" t="s">
        <v>11</v>
      </c>
      <c r="I847" t="s">
        <v>11</v>
      </c>
      <c r="J847" t="s">
        <v>166</v>
      </c>
    </row>
    <row r="848" spans="1:10" x14ac:dyDescent="0.3">
      <c r="A848" t="s">
        <v>879</v>
      </c>
      <c r="B848">
        <v>1982</v>
      </c>
      <c r="C848" t="s">
        <v>37</v>
      </c>
      <c r="D848">
        <v>18</v>
      </c>
      <c r="E848" s="13" t="s">
        <v>11551</v>
      </c>
      <c r="F848">
        <v>2</v>
      </c>
      <c r="G848" s="11">
        <v>6986.7</v>
      </c>
      <c r="H848" t="s">
        <v>12</v>
      </c>
      <c r="I848" t="s">
        <v>16</v>
      </c>
      <c r="J848" t="s">
        <v>23</v>
      </c>
    </row>
    <row r="849" spans="1:10" x14ac:dyDescent="0.3">
      <c r="A849" t="s">
        <v>880</v>
      </c>
      <c r="B849">
        <v>1982</v>
      </c>
      <c r="C849" t="s">
        <v>20</v>
      </c>
      <c r="D849">
        <v>1</v>
      </c>
      <c r="E849" s="13" t="s">
        <v>11552</v>
      </c>
      <c r="F849">
        <v>3</v>
      </c>
      <c r="G849" s="11">
        <v>6989.95</v>
      </c>
      <c r="H849" t="s">
        <v>11</v>
      </c>
      <c r="I849" t="s">
        <v>16</v>
      </c>
      <c r="J849" t="s">
        <v>13</v>
      </c>
    </row>
    <row r="850" spans="1:10" x14ac:dyDescent="0.3">
      <c r="A850" t="s">
        <v>881</v>
      </c>
      <c r="B850">
        <v>1969</v>
      </c>
      <c r="C850" t="s">
        <v>10</v>
      </c>
      <c r="D850">
        <v>6</v>
      </c>
      <c r="E850" s="13" t="s">
        <v>11553</v>
      </c>
      <c r="F850">
        <v>0</v>
      </c>
      <c r="G850" s="11">
        <v>7003.1</v>
      </c>
      <c r="H850" t="s">
        <v>11</v>
      </c>
      <c r="I850" t="s">
        <v>12</v>
      </c>
      <c r="J850" t="s">
        <v>13</v>
      </c>
    </row>
    <row r="851" spans="1:10" x14ac:dyDescent="0.3">
      <c r="A851" t="s">
        <v>882</v>
      </c>
      <c r="B851">
        <v>1978</v>
      </c>
      <c r="C851" t="s">
        <v>18</v>
      </c>
      <c r="D851">
        <v>2</v>
      </c>
      <c r="E851" s="13" t="s">
        <v>11554</v>
      </c>
      <c r="F851">
        <v>2</v>
      </c>
      <c r="G851" s="11">
        <v>7033.08</v>
      </c>
      <c r="H851" t="s">
        <v>11</v>
      </c>
      <c r="I851" t="s">
        <v>11</v>
      </c>
      <c r="J851" t="s">
        <v>13</v>
      </c>
    </row>
    <row r="852" spans="1:10" x14ac:dyDescent="0.3">
      <c r="A852" t="s">
        <v>883</v>
      </c>
      <c r="B852">
        <v>1995</v>
      </c>
      <c r="C852" t="s">
        <v>37</v>
      </c>
      <c r="D852">
        <v>29</v>
      </c>
      <c r="E852" s="13" t="s">
        <v>11406</v>
      </c>
      <c r="F852">
        <v>0</v>
      </c>
      <c r="G852" s="11">
        <v>7042.11</v>
      </c>
      <c r="H852" t="s">
        <v>11</v>
      </c>
      <c r="I852" t="s">
        <v>12</v>
      </c>
      <c r="J852" t="s">
        <v>23</v>
      </c>
    </row>
    <row r="853" spans="1:10" x14ac:dyDescent="0.3">
      <c r="A853" t="s">
        <v>884</v>
      </c>
      <c r="B853">
        <v>1980</v>
      </c>
      <c r="C853" t="s">
        <v>10</v>
      </c>
      <c r="D853">
        <v>26</v>
      </c>
      <c r="E853" s="13" t="s">
        <v>11555</v>
      </c>
      <c r="F853">
        <v>1</v>
      </c>
      <c r="G853" s="11">
        <v>7045.5</v>
      </c>
      <c r="H853" t="s">
        <v>11</v>
      </c>
      <c r="I853" t="s">
        <v>16</v>
      </c>
      <c r="J853" t="s">
        <v>42</v>
      </c>
    </row>
    <row r="854" spans="1:10" x14ac:dyDescent="0.3">
      <c r="A854" t="s">
        <v>885</v>
      </c>
      <c r="B854">
        <v>1980</v>
      </c>
      <c r="C854" t="s">
        <v>37</v>
      </c>
      <c r="D854">
        <v>22</v>
      </c>
      <c r="E854" s="13" t="s">
        <v>11556</v>
      </c>
      <c r="F854">
        <v>1</v>
      </c>
      <c r="G854" s="11">
        <v>7046.72</v>
      </c>
      <c r="H854" t="s">
        <v>11</v>
      </c>
      <c r="I854" t="s">
        <v>12</v>
      </c>
      <c r="J854" t="s">
        <v>13</v>
      </c>
    </row>
    <row r="855" spans="1:10" x14ac:dyDescent="0.3">
      <c r="A855" t="s">
        <v>886</v>
      </c>
      <c r="B855">
        <v>1980</v>
      </c>
      <c r="C855" t="s">
        <v>10</v>
      </c>
      <c r="D855">
        <v>21</v>
      </c>
      <c r="E855" s="13" t="s">
        <v>11557</v>
      </c>
      <c r="F855">
        <v>0</v>
      </c>
      <c r="G855" s="11">
        <v>7050.02</v>
      </c>
      <c r="H855" t="s">
        <v>11</v>
      </c>
      <c r="I855" t="s">
        <v>16</v>
      </c>
      <c r="J855" t="s">
        <v>247</v>
      </c>
    </row>
    <row r="856" spans="1:10" x14ac:dyDescent="0.3">
      <c r="A856" t="s">
        <v>887</v>
      </c>
      <c r="B856">
        <v>1980</v>
      </c>
      <c r="C856" t="s">
        <v>18</v>
      </c>
      <c r="D856">
        <v>28</v>
      </c>
      <c r="E856" s="13" t="s">
        <v>11177</v>
      </c>
      <c r="F856">
        <v>1</v>
      </c>
      <c r="G856" s="11">
        <v>7050.64</v>
      </c>
      <c r="H856" t="s">
        <v>11</v>
      </c>
      <c r="I856" t="s">
        <v>12</v>
      </c>
      <c r="J856" t="s">
        <v>42</v>
      </c>
    </row>
    <row r="857" spans="1:10" x14ac:dyDescent="0.3">
      <c r="A857" t="s">
        <v>888</v>
      </c>
      <c r="B857">
        <v>1978</v>
      </c>
      <c r="C857" t="s">
        <v>18</v>
      </c>
      <c r="D857">
        <v>24</v>
      </c>
      <c r="E857" s="13" t="s">
        <v>11558</v>
      </c>
      <c r="F857">
        <v>2</v>
      </c>
      <c r="G857" s="11">
        <v>7054.41</v>
      </c>
      <c r="H857" t="s">
        <v>11</v>
      </c>
      <c r="I857" t="s">
        <v>11</v>
      </c>
      <c r="J857" t="s">
        <v>13</v>
      </c>
    </row>
    <row r="858" spans="1:10" x14ac:dyDescent="0.3">
      <c r="A858" t="s">
        <v>889</v>
      </c>
      <c r="B858">
        <v>1982</v>
      </c>
      <c r="C858" t="s">
        <v>37</v>
      </c>
      <c r="D858">
        <v>6</v>
      </c>
      <c r="E858" s="13" t="s">
        <v>11559</v>
      </c>
      <c r="F858">
        <v>1</v>
      </c>
      <c r="G858" s="11">
        <v>7077.19</v>
      </c>
      <c r="H858" t="s">
        <v>11</v>
      </c>
      <c r="I858" t="s">
        <v>12</v>
      </c>
      <c r="J858" t="s">
        <v>247</v>
      </c>
    </row>
    <row r="859" spans="1:10" x14ac:dyDescent="0.3">
      <c r="A859" t="s">
        <v>890</v>
      </c>
      <c r="B859">
        <v>1992</v>
      </c>
      <c r="C859" t="s">
        <v>18</v>
      </c>
      <c r="D859">
        <v>18</v>
      </c>
      <c r="E859" s="13" t="s">
        <v>11560</v>
      </c>
      <c r="F859">
        <v>0</v>
      </c>
      <c r="G859" s="11">
        <v>7096.98</v>
      </c>
      <c r="H859" t="s">
        <v>11</v>
      </c>
      <c r="I859" t="s">
        <v>11</v>
      </c>
      <c r="J859" t="s">
        <v>23</v>
      </c>
    </row>
    <row r="860" spans="1:10" x14ac:dyDescent="0.3">
      <c r="A860" t="s">
        <v>891</v>
      </c>
      <c r="B860">
        <v>1987</v>
      </c>
      <c r="C860" t="s">
        <v>35</v>
      </c>
      <c r="D860">
        <v>11</v>
      </c>
      <c r="E860" s="13" t="s">
        <v>11165</v>
      </c>
      <c r="F860">
        <v>3</v>
      </c>
      <c r="G860" s="11">
        <v>7106.81</v>
      </c>
      <c r="H860" t="s">
        <v>11</v>
      </c>
      <c r="I860" t="s">
        <v>16</v>
      </c>
      <c r="J860" t="s">
        <v>23</v>
      </c>
    </row>
    <row r="861" spans="1:10" x14ac:dyDescent="0.3">
      <c r="A861" t="s">
        <v>892</v>
      </c>
      <c r="B861">
        <v>1968</v>
      </c>
      <c r="C861" t="s">
        <v>18</v>
      </c>
      <c r="D861">
        <v>29</v>
      </c>
      <c r="E861" s="13" t="s">
        <v>11561</v>
      </c>
      <c r="F861">
        <v>0</v>
      </c>
      <c r="G861" s="11">
        <v>7125.25</v>
      </c>
      <c r="H861" t="s">
        <v>12</v>
      </c>
      <c r="I861" t="s">
        <v>11</v>
      </c>
      <c r="J861" t="s">
        <v>13</v>
      </c>
    </row>
    <row r="862" spans="1:10" x14ac:dyDescent="0.3">
      <c r="A862" t="s">
        <v>893</v>
      </c>
      <c r="B862">
        <v>1993</v>
      </c>
      <c r="C862" t="s">
        <v>35</v>
      </c>
      <c r="D862">
        <v>1</v>
      </c>
      <c r="E862" s="13" t="s">
        <v>11562</v>
      </c>
      <c r="F862">
        <v>0</v>
      </c>
      <c r="G862" s="11">
        <v>7128.64</v>
      </c>
      <c r="H862" t="s">
        <v>11</v>
      </c>
      <c r="I862" t="s">
        <v>11</v>
      </c>
      <c r="J862" t="s">
        <v>300</v>
      </c>
    </row>
    <row r="863" spans="1:10" x14ac:dyDescent="0.3">
      <c r="A863" t="s">
        <v>894</v>
      </c>
      <c r="B863">
        <v>1984</v>
      </c>
      <c r="C863" t="s">
        <v>10</v>
      </c>
      <c r="D863">
        <v>7</v>
      </c>
      <c r="E863" s="13" t="s">
        <v>11563</v>
      </c>
      <c r="F863">
        <v>2</v>
      </c>
      <c r="G863" s="11">
        <v>7133.9</v>
      </c>
      <c r="H863" t="s">
        <v>11</v>
      </c>
      <c r="I863" t="s">
        <v>16</v>
      </c>
      <c r="J863" t="s">
        <v>247</v>
      </c>
    </row>
    <row r="864" spans="1:10" x14ac:dyDescent="0.3">
      <c r="A864" t="s">
        <v>895</v>
      </c>
      <c r="B864">
        <v>1999</v>
      </c>
      <c r="C864" t="s">
        <v>35</v>
      </c>
      <c r="D864">
        <v>8</v>
      </c>
      <c r="E864" s="13" t="s">
        <v>11564</v>
      </c>
      <c r="F864">
        <v>0</v>
      </c>
      <c r="G864" s="11">
        <v>7144.4</v>
      </c>
      <c r="H864" t="s">
        <v>11</v>
      </c>
      <c r="I864" t="s">
        <v>16</v>
      </c>
      <c r="J864" t="s">
        <v>632</v>
      </c>
    </row>
    <row r="865" spans="1:10" x14ac:dyDescent="0.3">
      <c r="A865" t="s">
        <v>896</v>
      </c>
      <c r="B865">
        <v>1984</v>
      </c>
      <c r="C865" t="s">
        <v>15</v>
      </c>
      <c r="D865">
        <v>21</v>
      </c>
      <c r="E865" s="13" t="s">
        <v>11565</v>
      </c>
      <c r="F865">
        <v>2</v>
      </c>
      <c r="G865" s="11">
        <v>7144.86</v>
      </c>
      <c r="H865" t="s">
        <v>11</v>
      </c>
      <c r="I865" t="s">
        <v>11</v>
      </c>
      <c r="J865" t="s">
        <v>247</v>
      </c>
    </row>
    <row r="866" spans="1:10" x14ac:dyDescent="0.3">
      <c r="A866" t="s">
        <v>897</v>
      </c>
      <c r="B866">
        <v>1976</v>
      </c>
      <c r="C866" t="s">
        <v>18</v>
      </c>
      <c r="D866">
        <v>24</v>
      </c>
      <c r="E866" s="13" t="s">
        <v>11566</v>
      </c>
      <c r="F866">
        <v>0</v>
      </c>
      <c r="G866" s="11">
        <v>7147.11</v>
      </c>
      <c r="H866" t="s">
        <v>12</v>
      </c>
      <c r="I866" t="s">
        <v>11</v>
      </c>
      <c r="J866" t="s">
        <v>42</v>
      </c>
    </row>
    <row r="867" spans="1:10" x14ac:dyDescent="0.3">
      <c r="A867" t="s">
        <v>898</v>
      </c>
      <c r="B867">
        <v>1978</v>
      </c>
      <c r="C867" t="s">
        <v>10</v>
      </c>
      <c r="D867">
        <v>30</v>
      </c>
      <c r="E867" s="13" t="s">
        <v>11567</v>
      </c>
      <c r="F867">
        <v>1</v>
      </c>
      <c r="G867" s="11">
        <v>7147.47</v>
      </c>
      <c r="H867" t="s">
        <v>11</v>
      </c>
      <c r="I867" t="s">
        <v>12</v>
      </c>
      <c r="J867" t="s">
        <v>13</v>
      </c>
    </row>
    <row r="868" spans="1:10" x14ac:dyDescent="0.3">
      <c r="A868" t="s">
        <v>899</v>
      </c>
      <c r="B868">
        <v>1984</v>
      </c>
      <c r="C868" t="s">
        <v>18</v>
      </c>
      <c r="D868">
        <v>29</v>
      </c>
      <c r="E868" s="13" t="s">
        <v>11568</v>
      </c>
      <c r="F868">
        <v>3</v>
      </c>
      <c r="G868" s="11">
        <v>7151.09</v>
      </c>
      <c r="H868" t="s">
        <v>11</v>
      </c>
      <c r="I868" t="s">
        <v>11</v>
      </c>
      <c r="J868" t="s">
        <v>42</v>
      </c>
    </row>
    <row r="869" spans="1:10" x14ac:dyDescent="0.3">
      <c r="A869" t="s">
        <v>900</v>
      </c>
      <c r="B869">
        <v>1978</v>
      </c>
      <c r="C869" t="s">
        <v>20</v>
      </c>
      <c r="D869">
        <v>6</v>
      </c>
      <c r="E869" s="13" t="s">
        <v>11569</v>
      </c>
      <c r="F869">
        <v>1</v>
      </c>
      <c r="G869" s="11">
        <v>7152.67</v>
      </c>
      <c r="H869" t="s">
        <v>12</v>
      </c>
      <c r="I869" t="s">
        <v>11</v>
      </c>
      <c r="J869" t="s">
        <v>13</v>
      </c>
    </row>
    <row r="870" spans="1:10" x14ac:dyDescent="0.3">
      <c r="A870" t="s">
        <v>901</v>
      </c>
      <c r="B870">
        <v>1981</v>
      </c>
      <c r="C870" t="s">
        <v>10</v>
      </c>
      <c r="D870">
        <v>17</v>
      </c>
      <c r="E870" s="13" t="s">
        <v>11570</v>
      </c>
      <c r="F870">
        <v>1</v>
      </c>
      <c r="G870" s="11">
        <v>7153.55</v>
      </c>
      <c r="H870" t="s">
        <v>11</v>
      </c>
      <c r="I870" t="s">
        <v>16</v>
      </c>
      <c r="J870" t="s">
        <v>23</v>
      </c>
    </row>
    <row r="871" spans="1:10" x14ac:dyDescent="0.3">
      <c r="A871" t="s">
        <v>902</v>
      </c>
      <c r="B871">
        <v>1980</v>
      </c>
      <c r="C871" t="s">
        <v>18</v>
      </c>
      <c r="D871">
        <v>22</v>
      </c>
      <c r="E871" s="13" t="s">
        <v>11571</v>
      </c>
      <c r="F871">
        <v>2</v>
      </c>
      <c r="G871" s="11">
        <v>7160.09</v>
      </c>
      <c r="H871" t="s">
        <v>11</v>
      </c>
      <c r="I871" t="s">
        <v>11</v>
      </c>
      <c r="J871" t="s">
        <v>42</v>
      </c>
    </row>
    <row r="872" spans="1:10" x14ac:dyDescent="0.3">
      <c r="A872" t="s">
        <v>903</v>
      </c>
      <c r="B872">
        <v>1980</v>
      </c>
      <c r="C872" t="s">
        <v>37</v>
      </c>
      <c r="D872">
        <v>7</v>
      </c>
      <c r="E872" s="13" t="s">
        <v>11572</v>
      </c>
      <c r="F872">
        <v>2</v>
      </c>
      <c r="G872" s="11">
        <v>7160.33</v>
      </c>
      <c r="H872" t="s">
        <v>11</v>
      </c>
      <c r="I872" t="s">
        <v>16</v>
      </c>
      <c r="J872" t="s">
        <v>13</v>
      </c>
    </row>
    <row r="873" spans="1:10" x14ac:dyDescent="0.3">
      <c r="A873" t="s">
        <v>904</v>
      </c>
      <c r="B873">
        <v>1980</v>
      </c>
      <c r="C873" t="s">
        <v>20</v>
      </c>
      <c r="D873">
        <v>30</v>
      </c>
      <c r="E873" s="13" t="s">
        <v>11573</v>
      </c>
      <c r="F873">
        <v>2</v>
      </c>
      <c r="G873" s="11">
        <v>7162.01</v>
      </c>
      <c r="H873" t="s">
        <v>11</v>
      </c>
      <c r="I873" t="s">
        <v>12</v>
      </c>
      <c r="J873" t="s">
        <v>13</v>
      </c>
    </row>
    <row r="874" spans="1:10" x14ac:dyDescent="0.3">
      <c r="A874" t="s">
        <v>905</v>
      </c>
      <c r="B874">
        <v>1982</v>
      </c>
      <c r="C874" t="s">
        <v>35</v>
      </c>
      <c r="D874">
        <v>16</v>
      </c>
      <c r="E874" s="13" t="s">
        <v>11574</v>
      </c>
      <c r="F874">
        <v>2</v>
      </c>
      <c r="G874" s="11">
        <v>7173.36</v>
      </c>
      <c r="H874" t="s">
        <v>12</v>
      </c>
      <c r="I874" t="s">
        <v>11</v>
      </c>
      <c r="J874" t="s">
        <v>168</v>
      </c>
    </row>
    <row r="875" spans="1:10" x14ac:dyDescent="0.3">
      <c r="A875" t="s">
        <v>906</v>
      </c>
      <c r="B875">
        <v>1975</v>
      </c>
      <c r="C875" t="s">
        <v>10</v>
      </c>
      <c r="D875">
        <v>19</v>
      </c>
      <c r="E875" s="13" t="s">
        <v>11426</v>
      </c>
      <c r="F875">
        <v>1</v>
      </c>
      <c r="G875" s="11">
        <v>7175.51</v>
      </c>
      <c r="H875" t="s">
        <v>11</v>
      </c>
      <c r="I875" t="s">
        <v>12</v>
      </c>
      <c r="J875" t="s">
        <v>13</v>
      </c>
    </row>
    <row r="876" spans="1:10" x14ac:dyDescent="0.3">
      <c r="A876" t="s">
        <v>907</v>
      </c>
      <c r="B876">
        <v>1968</v>
      </c>
      <c r="C876" t="s">
        <v>35</v>
      </c>
      <c r="D876">
        <v>26</v>
      </c>
      <c r="E876" s="13" t="s">
        <v>11575</v>
      </c>
      <c r="F876">
        <v>0</v>
      </c>
      <c r="G876" s="11">
        <v>7179.52</v>
      </c>
      <c r="H876" t="s">
        <v>12</v>
      </c>
      <c r="I876" t="s">
        <v>12</v>
      </c>
      <c r="J876" t="s">
        <v>13</v>
      </c>
    </row>
    <row r="877" spans="1:10" x14ac:dyDescent="0.3">
      <c r="A877" t="s">
        <v>908</v>
      </c>
      <c r="B877">
        <v>1982</v>
      </c>
      <c r="C877" t="s">
        <v>20</v>
      </c>
      <c r="D877">
        <v>14</v>
      </c>
      <c r="E877" s="13" t="s">
        <v>11576</v>
      </c>
      <c r="F877">
        <v>3</v>
      </c>
      <c r="G877" s="11">
        <v>7196.87</v>
      </c>
      <c r="H877" t="s">
        <v>12</v>
      </c>
      <c r="I877" t="s">
        <v>11</v>
      </c>
      <c r="J877" t="s">
        <v>42</v>
      </c>
    </row>
    <row r="878" spans="1:10" x14ac:dyDescent="0.3">
      <c r="A878" t="s">
        <v>909</v>
      </c>
      <c r="B878">
        <v>1983</v>
      </c>
      <c r="C878" t="s">
        <v>35</v>
      </c>
      <c r="D878">
        <v>11</v>
      </c>
      <c r="E878" s="13" t="s">
        <v>11577</v>
      </c>
      <c r="F878">
        <v>2</v>
      </c>
      <c r="G878" s="11">
        <v>7201.7</v>
      </c>
      <c r="H878" t="s">
        <v>11</v>
      </c>
      <c r="I878" t="s">
        <v>12</v>
      </c>
      <c r="J878" t="s">
        <v>23</v>
      </c>
    </row>
    <row r="879" spans="1:10" x14ac:dyDescent="0.3">
      <c r="A879" t="s">
        <v>910</v>
      </c>
      <c r="B879">
        <v>1983</v>
      </c>
      <c r="C879" t="s">
        <v>15</v>
      </c>
      <c r="D879">
        <v>21</v>
      </c>
      <c r="E879" s="13" t="s">
        <v>11204</v>
      </c>
      <c r="F879">
        <v>2</v>
      </c>
      <c r="G879" s="11">
        <v>7209.49</v>
      </c>
      <c r="H879" t="s">
        <v>11</v>
      </c>
      <c r="I879" t="s">
        <v>12</v>
      </c>
      <c r="J879" t="s">
        <v>23</v>
      </c>
    </row>
    <row r="880" spans="1:10" x14ac:dyDescent="0.3">
      <c r="A880" t="s">
        <v>911</v>
      </c>
      <c r="B880">
        <v>1991</v>
      </c>
      <c r="C880" t="s">
        <v>18</v>
      </c>
      <c r="D880">
        <v>28</v>
      </c>
      <c r="E880" s="13" t="s">
        <v>11578</v>
      </c>
      <c r="F880">
        <v>3</v>
      </c>
      <c r="G880" s="11">
        <v>7220.25</v>
      </c>
      <c r="H880" t="s">
        <v>11</v>
      </c>
      <c r="I880" t="s">
        <v>11</v>
      </c>
      <c r="J880" t="s">
        <v>300</v>
      </c>
    </row>
    <row r="881" spans="1:10" x14ac:dyDescent="0.3">
      <c r="A881" t="s">
        <v>912</v>
      </c>
      <c r="B881">
        <v>1977</v>
      </c>
      <c r="C881" t="s">
        <v>20</v>
      </c>
      <c r="D881">
        <v>15</v>
      </c>
      <c r="E881" s="13" t="s">
        <v>11579</v>
      </c>
      <c r="F881">
        <v>0</v>
      </c>
      <c r="G881" s="11">
        <v>7222.79</v>
      </c>
      <c r="H881" t="s">
        <v>12</v>
      </c>
      <c r="I881" t="s">
        <v>12</v>
      </c>
      <c r="J881" t="s">
        <v>23</v>
      </c>
    </row>
    <row r="882" spans="1:10" x14ac:dyDescent="0.3">
      <c r="A882" t="s">
        <v>913</v>
      </c>
      <c r="B882">
        <v>1986</v>
      </c>
      <c r="C882" t="s">
        <v>10</v>
      </c>
      <c r="D882">
        <v>13</v>
      </c>
      <c r="E882" s="13" t="s">
        <v>11580</v>
      </c>
      <c r="F882">
        <v>3</v>
      </c>
      <c r="G882" s="11">
        <v>7228.22</v>
      </c>
      <c r="H882" t="s">
        <v>11</v>
      </c>
      <c r="I882" t="s">
        <v>16</v>
      </c>
      <c r="J882" t="s">
        <v>247</v>
      </c>
    </row>
    <row r="883" spans="1:10" x14ac:dyDescent="0.3">
      <c r="A883" t="s">
        <v>914</v>
      </c>
      <c r="B883">
        <v>1986</v>
      </c>
      <c r="C883" t="s">
        <v>20</v>
      </c>
      <c r="D883">
        <v>2</v>
      </c>
      <c r="E883" s="13" t="s">
        <v>11581</v>
      </c>
      <c r="F883">
        <v>4</v>
      </c>
      <c r="G883" s="11">
        <v>7243.81</v>
      </c>
      <c r="H883" t="s">
        <v>11</v>
      </c>
      <c r="I883" t="s">
        <v>12</v>
      </c>
      <c r="J883" t="s">
        <v>13</v>
      </c>
    </row>
    <row r="884" spans="1:10" x14ac:dyDescent="0.3">
      <c r="A884" t="s">
        <v>915</v>
      </c>
      <c r="B884">
        <v>1982</v>
      </c>
      <c r="C884" t="s">
        <v>10</v>
      </c>
      <c r="D884">
        <v>24</v>
      </c>
      <c r="E884" s="13" t="s">
        <v>11582</v>
      </c>
      <c r="F884">
        <v>3</v>
      </c>
      <c r="G884" s="11">
        <v>7248.71</v>
      </c>
      <c r="H884" t="s">
        <v>11</v>
      </c>
      <c r="I884" t="s">
        <v>16</v>
      </c>
      <c r="J884" t="s">
        <v>13</v>
      </c>
    </row>
    <row r="885" spans="1:10" x14ac:dyDescent="0.3">
      <c r="A885" t="s">
        <v>916</v>
      </c>
      <c r="B885">
        <v>1981</v>
      </c>
      <c r="C885" t="s">
        <v>35</v>
      </c>
      <c r="D885">
        <v>14</v>
      </c>
      <c r="E885" s="13" t="s">
        <v>11583</v>
      </c>
      <c r="F885">
        <v>2</v>
      </c>
      <c r="G885" s="11">
        <v>7256.72</v>
      </c>
      <c r="H885" t="s">
        <v>12</v>
      </c>
      <c r="I885" t="s">
        <v>11</v>
      </c>
      <c r="J885" t="s">
        <v>23</v>
      </c>
    </row>
    <row r="886" spans="1:10" x14ac:dyDescent="0.3">
      <c r="A886" t="s">
        <v>917</v>
      </c>
      <c r="B886">
        <v>1981</v>
      </c>
      <c r="C886" t="s">
        <v>18</v>
      </c>
      <c r="D886">
        <v>13</v>
      </c>
      <c r="E886" s="13" t="s">
        <v>11584</v>
      </c>
      <c r="F886">
        <v>2</v>
      </c>
      <c r="G886" s="11">
        <v>7261.74</v>
      </c>
      <c r="H886" t="s">
        <v>12</v>
      </c>
      <c r="I886" t="s">
        <v>12</v>
      </c>
      <c r="J886" t="s">
        <v>23</v>
      </c>
    </row>
    <row r="887" spans="1:10" x14ac:dyDescent="0.3">
      <c r="A887" t="s">
        <v>918</v>
      </c>
      <c r="B887">
        <v>1973</v>
      </c>
      <c r="C887" t="s">
        <v>37</v>
      </c>
      <c r="D887">
        <v>25</v>
      </c>
      <c r="E887" s="13" t="s">
        <v>11585</v>
      </c>
      <c r="F887">
        <v>0</v>
      </c>
      <c r="G887" s="11">
        <v>7265.58</v>
      </c>
      <c r="H887" t="s">
        <v>11</v>
      </c>
      <c r="I887" t="s">
        <v>11</v>
      </c>
      <c r="J887" t="s">
        <v>13</v>
      </c>
    </row>
    <row r="888" spans="1:10" x14ac:dyDescent="0.3">
      <c r="A888" t="s">
        <v>919</v>
      </c>
      <c r="B888">
        <v>1981</v>
      </c>
      <c r="C888" t="s">
        <v>35</v>
      </c>
      <c r="D888">
        <v>4</v>
      </c>
      <c r="E888" s="13" t="s">
        <v>11586</v>
      </c>
      <c r="F888">
        <v>2</v>
      </c>
      <c r="G888" s="11">
        <v>7265.7</v>
      </c>
      <c r="H888" t="s">
        <v>12</v>
      </c>
      <c r="I888" t="s">
        <v>12</v>
      </c>
      <c r="J888" t="s">
        <v>23</v>
      </c>
    </row>
    <row r="889" spans="1:10" x14ac:dyDescent="0.3">
      <c r="A889" t="s">
        <v>920</v>
      </c>
      <c r="B889">
        <v>1976</v>
      </c>
      <c r="C889" t="s">
        <v>30</v>
      </c>
      <c r="D889">
        <v>18</v>
      </c>
      <c r="E889" s="13" t="s">
        <v>11587</v>
      </c>
      <c r="F889">
        <v>2</v>
      </c>
      <c r="G889" s="11">
        <v>7273.02</v>
      </c>
      <c r="H889" t="s">
        <v>11</v>
      </c>
      <c r="I889" t="s">
        <v>16</v>
      </c>
      <c r="J889" t="s">
        <v>13</v>
      </c>
    </row>
    <row r="890" spans="1:10" x14ac:dyDescent="0.3">
      <c r="A890" t="s">
        <v>921</v>
      </c>
      <c r="B890">
        <v>1985</v>
      </c>
      <c r="C890" t="s">
        <v>15</v>
      </c>
      <c r="D890">
        <v>2</v>
      </c>
      <c r="E890" s="13" t="s">
        <v>11588</v>
      </c>
      <c r="F890">
        <v>3</v>
      </c>
      <c r="G890" s="11">
        <v>7281.51</v>
      </c>
      <c r="H890" t="s">
        <v>11</v>
      </c>
      <c r="I890" t="s">
        <v>16</v>
      </c>
      <c r="J890" t="s">
        <v>23</v>
      </c>
    </row>
    <row r="891" spans="1:10" x14ac:dyDescent="0.3">
      <c r="A891" t="s">
        <v>922</v>
      </c>
      <c r="B891">
        <v>1966</v>
      </c>
      <c r="C891" t="s">
        <v>30</v>
      </c>
      <c r="D891">
        <v>26</v>
      </c>
      <c r="E891" s="13" t="s">
        <v>11589</v>
      </c>
      <c r="F891">
        <v>0</v>
      </c>
      <c r="G891" s="11">
        <v>7302.46</v>
      </c>
      <c r="H891" t="s">
        <v>12</v>
      </c>
      <c r="I891" t="s">
        <v>16</v>
      </c>
      <c r="J891" t="s">
        <v>23</v>
      </c>
    </row>
    <row r="892" spans="1:10" x14ac:dyDescent="0.3">
      <c r="A892" t="s">
        <v>923</v>
      </c>
      <c r="B892">
        <v>1965</v>
      </c>
      <c r="C892" t="s">
        <v>18</v>
      </c>
      <c r="D892">
        <v>6</v>
      </c>
      <c r="E892" s="13" t="s">
        <v>11590</v>
      </c>
      <c r="F892">
        <v>0</v>
      </c>
      <c r="G892" s="11">
        <v>7304.65</v>
      </c>
      <c r="H892" t="s">
        <v>12</v>
      </c>
      <c r="I892" t="s">
        <v>12</v>
      </c>
      <c r="J892" t="s">
        <v>13</v>
      </c>
    </row>
    <row r="893" spans="1:10" x14ac:dyDescent="0.3">
      <c r="A893" t="s">
        <v>924</v>
      </c>
      <c r="B893">
        <v>1965</v>
      </c>
      <c r="C893" t="s">
        <v>18</v>
      </c>
      <c r="D893">
        <v>25</v>
      </c>
      <c r="E893" s="13" t="s">
        <v>11591</v>
      </c>
      <c r="F893">
        <v>0</v>
      </c>
      <c r="G893" s="11">
        <v>7318.21</v>
      </c>
      <c r="H893" t="s">
        <v>12</v>
      </c>
      <c r="I893" t="s">
        <v>16</v>
      </c>
      <c r="J893" t="s">
        <v>13</v>
      </c>
    </row>
    <row r="894" spans="1:10" x14ac:dyDescent="0.3">
      <c r="A894" t="s">
        <v>925</v>
      </c>
      <c r="B894">
        <v>1972</v>
      </c>
      <c r="C894" t="s">
        <v>35</v>
      </c>
      <c r="D894">
        <v>11</v>
      </c>
      <c r="E894" s="13" t="s">
        <v>11592</v>
      </c>
      <c r="F894">
        <v>0</v>
      </c>
      <c r="G894" s="11">
        <v>7318.22</v>
      </c>
      <c r="H894" t="s">
        <v>11</v>
      </c>
      <c r="I894" t="s">
        <v>12</v>
      </c>
      <c r="J894" t="s">
        <v>23</v>
      </c>
    </row>
    <row r="895" spans="1:10" x14ac:dyDescent="0.3">
      <c r="A895" t="s">
        <v>926</v>
      </c>
      <c r="B895">
        <v>1965</v>
      </c>
      <c r="C895" t="s">
        <v>10</v>
      </c>
      <c r="D895">
        <v>11</v>
      </c>
      <c r="E895" s="13" t="s">
        <v>11422</v>
      </c>
      <c r="F895">
        <v>0</v>
      </c>
      <c r="G895" s="11">
        <v>7322.86</v>
      </c>
      <c r="H895" t="s">
        <v>12</v>
      </c>
      <c r="I895" t="s">
        <v>12</v>
      </c>
      <c r="J895" t="s">
        <v>23</v>
      </c>
    </row>
    <row r="896" spans="1:10" x14ac:dyDescent="0.3">
      <c r="A896" t="s">
        <v>927</v>
      </c>
      <c r="B896">
        <v>2004</v>
      </c>
      <c r="C896" t="s">
        <v>15</v>
      </c>
      <c r="D896">
        <v>15</v>
      </c>
      <c r="E896" s="13" t="s">
        <v>11593</v>
      </c>
      <c r="F896">
        <v>0</v>
      </c>
      <c r="G896" s="11">
        <v>7323.73</v>
      </c>
      <c r="H896" t="s">
        <v>11</v>
      </c>
      <c r="I896" t="s">
        <v>11</v>
      </c>
      <c r="J896" t="s">
        <v>247</v>
      </c>
    </row>
    <row r="897" spans="1:10" x14ac:dyDescent="0.3">
      <c r="A897" t="s">
        <v>928</v>
      </c>
      <c r="B897">
        <v>1979</v>
      </c>
      <c r="C897" t="s">
        <v>18</v>
      </c>
      <c r="D897">
        <v>19</v>
      </c>
      <c r="E897" s="13" t="s">
        <v>11594</v>
      </c>
      <c r="F897">
        <v>0</v>
      </c>
      <c r="G897" s="11">
        <v>7325.05</v>
      </c>
      <c r="H897" t="s">
        <v>11</v>
      </c>
      <c r="I897" t="s">
        <v>12</v>
      </c>
      <c r="J897" t="s">
        <v>247</v>
      </c>
    </row>
    <row r="898" spans="1:10" x14ac:dyDescent="0.3">
      <c r="A898" t="s">
        <v>929</v>
      </c>
      <c r="B898">
        <v>1984</v>
      </c>
      <c r="C898" t="s">
        <v>10</v>
      </c>
      <c r="D898">
        <v>25</v>
      </c>
      <c r="E898" s="13" t="s">
        <v>11595</v>
      </c>
      <c r="F898">
        <v>3</v>
      </c>
      <c r="G898" s="11">
        <v>7325.47</v>
      </c>
      <c r="H898" t="s">
        <v>11</v>
      </c>
      <c r="I898" t="s">
        <v>16</v>
      </c>
      <c r="J898" t="s">
        <v>23</v>
      </c>
    </row>
    <row r="899" spans="1:10" x14ac:dyDescent="0.3">
      <c r="A899" t="s">
        <v>930</v>
      </c>
      <c r="B899">
        <v>1979</v>
      </c>
      <c r="C899" t="s">
        <v>20</v>
      </c>
      <c r="D899">
        <v>19</v>
      </c>
      <c r="E899" s="13" t="s">
        <v>11596</v>
      </c>
      <c r="F899">
        <v>1</v>
      </c>
      <c r="G899" s="11">
        <v>7337.75</v>
      </c>
      <c r="H899" t="s">
        <v>11</v>
      </c>
      <c r="I899" t="s">
        <v>12</v>
      </c>
      <c r="J899" t="s">
        <v>42</v>
      </c>
    </row>
    <row r="900" spans="1:10" x14ac:dyDescent="0.3">
      <c r="A900" t="s">
        <v>931</v>
      </c>
      <c r="B900">
        <v>1986</v>
      </c>
      <c r="C900" t="s">
        <v>18</v>
      </c>
      <c r="D900">
        <v>15</v>
      </c>
      <c r="E900" s="13" t="s">
        <v>11597</v>
      </c>
      <c r="F900">
        <v>3</v>
      </c>
      <c r="G900" s="11">
        <v>7339.93</v>
      </c>
      <c r="H900" t="s">
        <v>11</v>
      </c>
      <c r="I900" t="s">
        <v>11</v>
      </c>
      <c r="J900" t="s">
        <v>23</v>
      </c>
    </row>
    <row r="901" spans="1:10" x14ac:dyDescent="0.3">
      <c r="A901" t="s">
        <v>932</v>
      </c>
      <c r="B901">
        <v>1977</v>
      </c>
      <c r="C901" t="s">
        <v>30</v>
      </c>
      <c r="D901">
        <v>18</v>
      </c>
      <c r="E901" s="13" t="s">
        <v>11598</v>
      </c>
      <c r="F901">
        <v>0</v>
      </c>
      <c r="G901" s="11">
        <v>7345.08</v>
      </c>
      <c r="H901" t="s">
        <v>11</v>
      </c>
      <c r="I901" t="s">
        <v>16</v>
      </c>
      <c r="J901" t="s">
        <v>42</v>
      </c>
    </row>
    <row r="902" spans="1:10" x14ac:dyDescent="0.3">
      <c r="A902" t="s">
        <v>933</v>
      </c>
      <c r="B902">
        <v>1979</v>
      </c>
      <c r="C902" t="s">
        <v>18</v>
      </c>
      <c r="D902">
        <v>26</v>
      </c>
      <c r="E902" s="13" t="s">
        <v>11599</v>
      </c>
      <c r="F902">
        <v>1</v>
      </c>
      <c r="G902" s="11">
        <v>7345.73</v>
      </c>
      <c r="H902" t="s">
        <v>11</v>
      </c>
      <c r="I902" t="s">
        <v>16</v>
      </c>
      <c r="J902" t="s">
        <v>13</v>
      </c>
    </row>
    <row r="903" spans="1:10" x14ac:dyDescent="0.3">
      <c r="A903" t="s">
        <v>934</v>
      </c>
      <c r="B903">
        <v>1977</v>
      </c>
      <c r="C903" t="s">
        <v>30</v>
      </c>
      <c r="D903">
        <v>1</v>
      </c>
      <c r="E903" s="13" t="s">
        <v>11600</v>
      </c>
      <c r="F903">
        <v>0</v>
      </c>
      <c r="G903" s="11">
        <v>7348.14</v>
      </c>
      <c r="H903" t="s">
        <v>11</v>
      </c>
      <c r="I903" t="s">
        <v>16</v>
      </c>
      <c r="J903" t="s">
        <v>42</v>
      </c>
    </row>
    <row r="904" spans="1:10" x14ac:dyDescent="0.3">
      <c r="A904" t="s">
        <v>935</v>
      </c>
      <c r="B904">
        <v>1993</v>
      </c>
      <c r="C904" t="s">
        <v>37</v>
      </c>
      <c r="D904">
        <v>5</v>
      </c>
      <c r="E904" s="13" t="s">
        <v>11601</v>
      </c>
      <c r="F904">
        <v>0</v>
      </c>
      <c r="G904" s="11">
        <v>7349.12</v>
      </c>
      <c r="H904" t="s">
        <v>11</v>
      </c>
      <c r="I904" t="s">
        <v>11</v>
      </c>
      <c r="J904" t="s">
        <v>300</v>
      </c>
    </row>
    <row r="905" spans="1:10" x14ac:dyDescent="0.3">
      <c r="A905" t="s">
        <v>936</v>
      </c>
      <c r="B905">
        <v>1983</v>
      </c>
      <c r="C905" t="s">
        <v>18</v>
      </c>
      <c r="D905">
        <v>21</v>
      </c>
      <c r="E905" s="13" t="s">
        <v>11455</v>
      </c>
      <c r="F905">
        <v>3</v>
      </c>
      <c r="G905" s="11">
        <v>7357.49</v>
      </c>
      <c r="H905" t="s">
        <v>11</v>
      </c>
      <c r="I905" t="s">
        <v>11</v>
      </c>
      <c r="J905" t="s">
        <v>23</v>
      </c>
    </row>
    <row r="906" spans="1:10" x14ac:dyDescent="0.3">
      <c r="A906" t="s">
        <v>937</v>
      </c>
      <c r="B906">
        <v>1981</v>
      </c>
      <c r="C906" t="s">
        <v>10</v>
      </c>
      <c r="D906">
        <v>16</v>
      </c>
      <c r="E906" s="13" t="s">
        <v>11602</v>
      </c>
      <c r="F906">
        <v>1</v>
      </c>
      <c r="G906" s="11">
        <v>7358.18</v>
      </c>
      <c r="H906" t="s">
        <v>11</v>
      </c>
      <c r="I906" t="s">
        <v>12</v>
      </c>
      <c r="J906" t="s">
        <v>247</v>
      </c>
    </row>
    <row r="907" spans="1:10" x14ac:dyDescent="0.3">
      <c r="A907" t="s">
        <v>938</v>
      </c>
      <c r="B907">
        <v>1965</v>
      </c>
      <c r="C907" t="s">
        <v>30</v>
      </c>
      <c r="D907">
        <v>9</v>
      </c>
      <c r="E907" s="13" t="s">
        <v>11603</v>
      </c>
      <c r="F907">
        <v>0</v>
      </c>
      <c r="G907" s="11">
        <v>7362.31</v>
      </c>
      <c r="H907" t="s">
        <v>12</v>
      </c>
      <c r="I907" t="s">
        <v>12</v>
      </c>
      <c r="J907" t="s">
        <v>13</v>
      </c>
    </row>
    <row r="908" spans="1:10" x14ac:dyDescent="0.3">
      <c r="A908" t="s">
        <v>939</v>
      </c>
      <c r="B908">
        <v>1981</v>
      </c>
      <c r="C908" t="s">
        <v>15</v>
      </c>
      <c r="D908">
        <v>24</v>
      </c>
      <c r="E908" s="13" t="s">
        <v>11604</v>
      </c>
      <c r="F908">
        <v>2</v>
      </c>
      <c r="G908" s="11">
        <v>7371.77</v>
      </c>
      <c r="H908" t="s">
        <v>11</v>
      </c>
      <c r="I908" t="s">
        <v>16</v>
      </c>
      <c r="J908" t="s">
        <v>42</v>
      </c>
    </row>
    <row r="909" spans="1:10" x14ac:dyDescent="0.3">
      <c r="A909" t="s">
        <v>940</v>
      </c>
      <c r="B909">
        <v>1993</v>
      </c>
      <c r="C909" t="s">
        <v>10</v>
      </c>
      <c r="D909">
        <v>22</v>
      </c>
      <c r="E909" s="13" t="s">
        <v>11605</v>
      </c>
      <c r="F909">
        <v>0</v>
      </c>
      <c r="G909" s="11">
        <v>7388.85</v>
      </c>
      <c r="H909" t="s">
        <v>11</v>
      </c>
      <c r="I909" t="s">
        <v>11</v>
      </c>
      <c r="J909" t="s">
        <v>535</v>
      </c>
    </row>
    <row r="910" spans="1:10" x14ac:dyDescent="0.3">
      <c r="A910" t="s">
        <v>941</v>
      </c>
      <c r="B910">
        <v>1965</v>
      </c>
      <c r="C910" t="s">
        <v>30</v>
      </c>
      <c r="D910">
        <v>5</v>
      </c>
      <c r="E910" s="13" t="s">
        <v>11606</v>
      </c>
      <c r="F910">
        <v>0</v>
      </c>
      <c r="G910" s="11">
        <v>7403.98</v>
      </c>
      <c r="H910" t="s">
        <v>12</v>
      </c>
      <c r="I910" t="s">
        <v>11</v>
      </c>
      <c r="J910" t="s">
        <v>13</v>
      </c>
    </row>
    <row r="911" spans="1:10" x14ac:dyDescent="0.3">
      <c r="A911" t="s">
        <v>942</v>
      </c>
      <c r="B911">
        <v>1983</v>
      </c>
      <c r="C911" t="s">
        <v>20</v>
      </c>
      <c r="D911">
        <v>19</v>
      </c>
      <c r="E911" s="13" t="s">
        <v>11607</v>
      </c>
      <c r="F911">
        <v>3</v>
      </c>
      <c r="G911" s="11">
        <v>7418.52</v>
      </c>
      <c r="H911" t="s">
        <v>11</v>
      </c>
      <c r="I911" t="s">
        <v>11</v>
      </c>
      <c r="J911" t="s">
        <v>42</v>
      </c>
    </row>
    <row r="912" spans="1:10" x14ac:dyDescent="0.3">
      <c r="A912" t="s">
        <v>943</v>
      </c>
      <c r="B912">
        <v>1978</v>
      </c>
      <c r="C912" t="s">
        <v>15</v>
      </c>
      <c r="D912">
        <v>12</v>
      </c>
      <c r="E912" s="13" t="s">
        <v>11608</v>
      </c>
      <c r="F912">
        <v>0</v>
      </c>
      <c r="G912" s="11">
        <v>7419.48</v>
      </c>
      <c r="H912" t="s">
        <v>11</v>
      </c>
      <c r="I912" t="s">
        <v>11</v>
      </c>
      <c r="J912" t="s">
        <v>23</v>
      </c>
    </row>
    <row r="913" spans="1:10" x14ac:dyDescent="0.3">
      <c r="A913" t="s">
        <v>944</v>
      </c>
      <c r="B913">
        <v>1978</v>
      </c>
      <c r="C913" t="s">
        <v>30</v>
      </c>
      <c r="D913">
        <v>2</v>
      </c>
      <c r="E913" s="13" t="s">
        <v>11609</v>
      </c>
      <c r="F913">
        <v>0</v>
      </c>
      <c r="G913" s="11">
        <v>7421.19</v>
      </c>
      <c r="H913" t="s">
        <v>11</v>
      </c>
      <c r="I913" t="s">
        <v>12</v>
      </c>
      <c r="J913" t="s">
        <v>23</v>
      </c>
    </row>
    <row r="914" spans="1:10" x14ac:dyDescent="0.3">
      <c r="A914" t="s">
        <v>945</v>
      </c>
      <c r="B914">
        <v>1977</v>
      </c>
      <c r="C914" t="s">
        <v>35</v>
      </c>
      <c r="D914">
        <v>25</v>
      </c>
      <c r="E914" s="13" t="s">
        <v>11610</v>
      </c>
      <c r="F914">
        <v>1</v>
      </c>
      <c r="G914" s="11">
        <v>7441.05</v>
      </c>
      <c r="H914" t="s">
        <v>12</v>
      </c>
      <c r="I914" t="s">
        <v>11</v>
      </c>
      <c r="J914" t="s">
        <v>42</v>
      </c>
    </row>
    <row r="915" spans="1:10" x14ac:dyDescent="0.3">
      <c r="A915" t="s">
        <v>946</v>
      </c>
      <c r="B915">
        <v>1979</v>
      </c>
      <c r="C915" t="s">
        <v>20</v>
      </c>
      <c r="D915">
        <v>1</v>
      </c>
      <c r="E915" s="13" t="s">
        <v>11611</v>
      </c>
      <c r="F915">
        <v>2</v>
      </c>
      <c r="G915" s="11">
        <v>7441.5</v>
      </c>
      <c r="H915" t="s">
        <v>12</v>
      </c>
      <c r="I915" t="s">
        <v>11</v>
      </c>
      <c r="J915" t="s">
        <v>42</v>
      </c>
    </row>
    <row r="916" spans="1:10" x14ac:dyDescent="0.3">
      <c r="A916" t="s">
        <v>947</v>
      </c>
      <c r="B916">
        <v>1980</v>
      </c>
      <c r="C916" t="s">
        <v>10</v>
      </c>
      <c r="D916">
        <v>7</v>
      </c>
      <c r="E916" s="13" t="s">
        <v>11612</v>
      </c>
      <c r="F916">
        <v>1</v>
      </c>
      <c r="G916" s="11">
        <v>7443.64</v>
      </c>
      <c r="H916" t="s">
        <v>11</v>
      </c>
      <c r="I916" t="s">
        <v>12</v>
      </c>
      <c r="J916" t="s">
        <v>23</v>
      </c>
    </row>
    <row r="917" spans="1:10" x14ac:dyDescent="0.3">
      <c r="A917" t="s">
        <v>948</v>
      </c>
      <c r="B917">
        <v>1977</v>
      </c>
      <c r="C917" t="s">
        <v>20</v>
      </c>
      <c r="D917">
        <v>25</v>
      </c>
      <c r="E917" s="13" t="s">
        <v>11613</v>
      </c>
      <c r="F917">
        <v>1</v>
      </c>
      <c r="G917" s="11">
        <v>7445.92</v>
      </c>
      <c r="H917" t="s">
        <v>12</v>
      </c>
      <c r="I917" t="s">
        <v>16</v>
      </c>
      <c r="J917" t="s">
        <v>42</v>
      </c>
    </row>
    <row r="918" spans="1:10" x14ac:dyDescent="0.3">
      <c r="A918" t="s">
        <v>949</v>
      </c>
      <c r="B918">
        <v>1977</v>
      </c>
      <c r="C918" t="s">
        <v>20</v>
      </c>
      <c r="D918">
        <v>30</v>
      </c>
      <c r="E918" s="13" t="s">
        <v>11614</v>
      </c>
      <c r="F918">
        <v>0</v>
      </c>
      <c r="G918" s="11">
        <v>7448.4</v>
      </c>
      <c r="H918" t="s">
        <v>12</v>
      </c>
      <c r="I918" t="s">
        <v>12</v>
      </c>
      <c r="J918" t="s">
        <v>356</v>
      </c>
    </row>
    <row r="919" spans="1:10" x14ac:dyDescent="0.3">
      <c r="A919" t="s">
        <v>950</v>
      </c>
      <c r="B919">
        <v>2001</v>
      </c>
      <c r="C919" t="s">
        <v>18</v>
      </c>
      <c r="D919">
        <v>1</v>
      </c>
      <c r="E919" s="13" t="s">
        <v>11615</v>
      </c>
      <c r="F919">
        <v>0</v>
      </c>
      <c r="G919" s="11">
        <v>7450.36</v>
      </c>
      <c r="H919" t="s">
        <v>11</v>
      </c>
      <c r="I919" t="s">
        <v>11</v>
      </c>
      <c r="J919" t="s">
        <v>23</v>
      </c>
    </row>
    <row r="920" spans="1:10" x14ac:dyDescent="0.3">
      <c r="A920" t="s">
        <v>951</v>
      </c>
      <c r="B920">
        <v>1967</v>
      </c>
      <c r="C920" t="s">
        <v>35</v>
      </c>
      <c r="D920">
        <v>4</v>
      </c>
      <c r="E920" s="13" t="s">
        <v>11616</v>
      </c>
      <c r="F920">
        <v>0</v>
      </c>
      <c r="G920" s="11">
        <v>7463.51</v>
      </c>
      <c r="H920" t="s">
        <v>12</v>
      </c>
      <c r="I920" t="s">
        <v>12</v>
      </c>
      <c r="J920" t="s">
        <v>13</v>
      </c>
    </row>
    <row r="921" spans="1:10" x14ac:dyDescent="0.3">
      <c r="A921" t="s">
        <v>952</v>
      </c>
      <c r="B921">
        <v>1996</v>
      </c>
      <c r="C921" t="s">
        <v>18</v>
      </c>
      <c r="D921">
        <v>14</v>
      </c>
      <c r="E921" s="13" t="s">
        <v>11617</v>
      </c>
      <c r="F921">
        <v>0</v>
      </c>
      <c r="G921" s="11">
        <v>7487.38</v>
      </c>
      <c r="H921" t="s">
        <v>11</v>
      </c>
      <c r="I921" t="s">
        <v>12</v>
      </c>
      <c r="J921" t="s">
        <v>23</v>
      </c>
    </row>
    <row r="922" spans="1:10" x14ac:dyDescent="0.3">
      <c r="A922" t="s">
        <v>953</v>
      </c>
      <c r="B922">
        <v>1988</v>
      </c>
      <c r="C922" t="s">
        <v>30</v>
      </c>
      <c r="D922">
        <v>15</v>
      </c>
      <c r="E922" s="13" t="s">
        <v>11618</v>
      </c>
      <c r="F922">
        <v>3</v>
      </c>
      <c r="G922" s="11">
        <v>7494.63</v>
      </c>
      <c r="H922" t="s">
        <v>11</v>
      </c>
      <c r="I922" t="s">
        <v>12</v>
      </c>
      <c r="J922" t="s">
        <v>200</v>
      </c>
    </row>
    <row r="923" spans="1:10" x14ac:dyDescent="0.3">
      <c r="A923" t="s">
        <v>954</v>
      </c>
      <c r="B923">
        <v>1997</v>
      </c>
      <c r="C923" t="s">
        <v>37</v>
      </c>
      <c r="D923">
        <v>28</v>
      </c>
      <c r="E923" s="13" t="s">
        <v>11619</v>
      </c>
      <c r="F923">
        <v>0</v>
      </c>
      <c r="G923" s="11">
        <v>7504.3</v>
      </c>
      <c r="H923" t="s">
        <v>11</v>
      </c>
      <c r="I923" t="s">
        <v>16</v>
      </c>
      <c r="J923" t="s">
        <v>23</v>
      </c>
    </row>
    <row r="924" spans="1:10" x14ac:dyDescent="0.3">
      <c r="A924" t="s">
        <v>955</v>
      </c>
      <c r="B924">
        <v>1983</v>
      </c>
      <c r="C924" t="s">
        <v>10</v>
      </c>
      <c r="D924">
        <v>10</v>
      </c>
      <c r="E924" s="13" t="s">
        <v>11620</v>
      </c>
      <c r="F924">
        <v>4</v>
      </c>
      <c r="G924" s="11">
        <v>7512.27</v>
      </c>
      <c r="H924" t="s">
        <v>12</v>
      </c>
      <c r="I924" t="s">
        <v>11</v>
      </c>
      <c r="J924" t="s">
        <v>42</v>
      </c>
    </row>
    <row r="925" spans="1:10" x14ac:dyDescent="0.3">
      <c r="A925" t="s">
        <v>956</v>
      </c>
      <c r="B925">
        <v>1978</v>
      </c>
      <c r="C925" t="s">
        <v>37</v>
      </c>
      <c r="D925">
        <v>18</v>
      </c>
      <c r="E925" s="13" t="s">
        <v>11309</v>
      </c>
      <c r="F925">
        <v>1</v>
      </c>
      <c r="G925" s="11">
        <v>7518.03</v>
      </c>
      <c r="H925" t="s">
        <v>11</v>
      </c>
      <c r="I925" t="s">
        <v>12</v>
      </c>
      <c r="J925" t="s">
        <v>23</v>
      </c>
    </row>
    <row r="926" spans="1:10" x14ac:dyDescent="0.3">
      <c r="A926" t="s">
        <v>957</v>
      </c>
      <c r="B926">
        <v>1976</v>
      </c>
      <c r="C926" t="s">
        <v>37</v>
      </c>
      <c r="D926">
        <v>10</v>
      </c>
      <c r="E926" s="13" t="s">
        <v>11615</v>
      </c>
      <c r="F926">
        <v>0</v>
      </c>
      <c r="G926" s="11">
        <v>7526.71</v>
      </c>
      <c r="H926" t="s">
        <v>12</v>
      </c>
      <c r="I926" t="s">
        <v>16</v>
      </c>
      <c r="J926" t="s">
        <v>23</v>
      </c>
    </row>
    <row r="927" spans="1:10" x14ac:dyDescent="0.3">
      <c r="A927" t="s">
        <v>958</v>
      </c>
      <c r="B927">
        <v>1978</v>
      </c>
      <c r="C927" t="s">
        <v>30</v>
      </c>
      <c r="D927">
        <v>14</v>
      </c>
      <c r="E927" s="13" t="s">
        <v>11621</v>
      </c>
      <c r="F927">
        <v>2</v>
      </c>
      <c r="G927" s="11">
        <v>7531.7</v>
      </c>
      <c r="H927" t="s">
        <v>11</v>
      </c>
      <c r="I927" t="s">
        <v>16</v>
      </c>
      <c r="J927" t="s">
        <v>13</v>
      </c>
    </row>
    <row r="928" spans="1:10" x14ac:dyDescent="0.3">
      <c r="A928" t="s">
        <v>959</v>
      </c>
      <c r="B928">
        <v>1984</v>
      </c>
      <c r="C928" t="s">
        <v>35</v>
      </c>
      <c r="D928">
        <v>22</v>
      </c>
      <c r="E928" s="13" t="s">
        <v>11622</v>
      </c>
      <c r="F928">
        <v>3</v>
      </c>
      <c r="G928" s="11">
        <v>7537.16</v>
      </c>
      <c r="H928" t="s">
        <v>11</v>
      </c>
      <c r="I928" t="s">
        <v>11</v>
      </c>
      <c r="J928" t="s">
        <v>23</v>
      </c>
    </row>
    <row r="929" spans="1:10" x14ac:dyDescent="0.3">
      <c r="A929" t="s">
        <v>960</v>
      </c>
      <c r="B929">
        <v>1988</v>
      </c>
      <c r="C929" t="s">
        <v>30</v>
      </c>
      <c r="D929">
        <v>15</v>
      </c>
      <c r="E929" s="13" t="s">
        <v>11623</v>
      </c>
      <c r="F929">
        <v>3</v>
      </c>
      <c r="G929" s="11">
        <v>7538.52</v>
      </c>
      <c r="H929" t="s">
        <v>11</v>
      </c>
      <c r="I929" t="s">
        <v>11</v>
      </c>
      <c r="J929" t="s">
        <v>23</v>
      </c>
    </row>
    <row r="930" spans="1:10" x14ac:dyDescent="0.3">
      <c r="A930" t="s">
        <v>961</v>
      </c>
      <c r="B930">
        <v>1994</v>
      </c>
      <c r="C930" t="s">
        <v>35</v>
      </c>
      <c r="D930">
        <v>14</v>
      </c>
      <c r="E930" s="13" t="s">
        <v>11624</v>
      </c>
      <c r="F930">
        <v>0</v>
      </c>
      <c r="G930" s="11">
        <v>7567.13</v>
      </c>
      <c r="H930" t="s">
        <v>11</v>
      </c>
      <c r="I930" t="s">
        <v>11</v>
      </c>
      <c r="J930" t="s">
        <v>300</v>
      </c>
    </row>
    <row r="931" spans="1:10" x14ac:dyDescent="0.3">
      <c r="A931" t="s">
        <v>962</v>
      </c>
      <c r="B931">
        <v>1967</v>
      </c>
      <c r="C931" t="s">
        <v>10</v>
      </c>
      <c r="D931">
        <v>17</v>
      </c>
      <c r="E931" s="13" t="s">
        <v>11625</v>
      </c>
      <c r="F931">
        <v>0</v>
      </c>
      <c r="G931" s="11">
        <v>7585.62</v>
      </c>
      <c r="H931" t="s">
        <v>12</v>
      </c>
      <c r="I931" t="s">
        <v>11</v>
      </c>
      <c r="J931" t="s">
        <v>13</v>
      </c>
    </row>
    <row r="932" spans="1:10" x14ac:dyDescent="0.3">
      <c r="A932" t="s">
        <v>963</v>
      </c>
      <c r="B932">
        <v>1997</v>
      </c>
      <c r="C932" t="s">
        <v>20</v>
      </c>
      <c r="D932">
        <v>30</v>
      </c>
      <c r="E932" s="13" t="s">
        <v>11626</v>
      </c>
      <c r="F932">
        <v>0</v>
      </c>
      <c r="G932" s="11">
        <v>7607.03</v>
      </c>
      <c r="H932" t="s">
        <v>11</v>
      </c>
      <c r="I932" t="s">
        <v>11</v>
      </c>
      <c r="J932" t="s">
        <v>23</v>
      </c>
    </row>
    <row r="933" spans="1:10" x14ac:dyDescent="0.3">
      <c r="A933" t="s">
        <v>964</v>
      </c>
      <c r="B933">
        <v>1968</v>
      </c>
      <c r="C933" t="s">
        <v>10</v>
      </c>
      <c r="D933">
        <v>3</v>
      </c>
      <c r="E933" s="13" t="s">
        <v>11627</v>
      </c>
      <c r="F933">
        <v>0</v>
      </c>
      <c r="G933" s="11">
        <v>7609.6</v>
      </c>
      <c r="H933" t="s">
        <v>12</v>
      </c>
      <c r="I933" t="s">
        <v>11</v>
      </c>
      <c r="J933" t="s">
        <v>23</v>
      </c>
    </row>
    <row r="934" spans="1:10" x14ac:dyDescent="0.3">
      <c r="A934" t="s">
        <v>965</v>
      </c>
      <c r="B934">
        <v>1996</v>
      </c>
      <c r="C934" t="s">
        <v>20</v>
      </c>
      <c r="D934">
        <v>17</v>
      </c>
      <c r="E934" s="13" t="s">
        <v>11542</v>
      </c>
      <c r="F934">
        <v>0</v>
      </c>
      <c r="G934" s="11">
        <v>7623.13</v>
      </c>
      <c r="H934" t="s">
        <v>11</v>
      </c>
      <c r="I934" t="s">
        <v>12</v>
      </c>
      <c r="J934" t="s">
        <v>42</v>
      </c>
    </row>
    <row r="935" spans="1:10" x14ac:dyDescent="0.3">
      <c r="A935" t="s">
        <v>966</v>
      </c>
      <c r="B935">
        <v>1978</v>
      </c>
      <c r="C935" t="s">
        <v>15</v>
      </c>
      <c r="D935">
        <v>28</v>
      </c>
      <c r="E935" s="13" t="s">
        <v>11628</v>
      </c>
      <c r="F935">
        <v>1</v>
      </c>
      <c r="G935" s="11">
        <v>7623.52</v>
      </c>
      <c r="H935" t="s">
        <v>11</v>
      </c>
      <c r="I935" t="s">
        <v>16</v>
      </c>
      <c r="J935" t="s">
        <v>42</v>
      </c>
    </row>
    <row r="936" spans="1:10" x14ac:dyDescent="0.3">
      <c r="A936" t="s">
        <v>967</v>
      </c>
      <c r="B936">
        <v>1978</v>
      </c>
      <c r="C936" t="s">
        <v>15</v>
      </c>
      <c r="D936">
        <v>6</v>
      </c>
      <c r="E936" s="13" t="s">
        <v>11629</v>
      </c>
      <c r="F936">
        <v>1</v>
      </c>
      <c r="G936" s="11">
        <v>7624.63</v>
      </c>
      <c r="H936" t="s">
        <v>11</v>
      </c>
      <c r="I936" t="s">
        <v>16</v>
      </c>
      <c r="J936" t="s">
        <v>42</v>
      </c>
    </row>
    <row r="937" spans="1:10" x14ac:dyDescent="0.3">
      <c r="A937" t="s">
        <v>968</v>
      </c>
      <c r="B937">
        <v>1978</v>
      </c>
      <c r="C937" t="s">
        <v>15</v>
      </c>
      <c r="D937">
        <v>29</v>
      </c>
      <c r="E937" s="13" t="s">
        <v>11630</v>
      </c>
      <c r="F937">
        <v>1</v>
      </c>
      <c r="G937" s="11">
        <v>7626.99</v>
      </c>
      <c r="H937" t="s">
        <v>11</v>
      </c>
      <c r="I937" t="s">
        <v>11</v>
      </c>
      <c r="J937" t="s">
        <v>42</v>
      </c>
    </row>
    <row r="938" spans="1:10" x14ac:dyDescent="0.3">
      <c r="A938" t="s">
        <v>969</v>
      </c>
      <c r="B938">
        <v>1978</v>
      </c>
      <c r="C938" t="s">
        <v>35</v>
      </c>
      <c r="D938">
        <v>24</v>
      </c>
      <c r="E938" s="13" t="s">
        <v>11631</v>
      </c>
      <c r="F938">
        <v>1</v>
      </c>
      <c r="G938" s="11">
        <v>7633.72</v>
      </c>
      <c r="H938" t="s">
        <v>11</v>
      </c>
      <c r="I938" t="s">
        <v>16</v>
      </c>
      <c r="J938" t="s">
        <v>13</v>
      </c>
    </row>
    <row r="939" spans="1:10" x14ac:dyDescent="0.3">
      <c r="A939" t="s">
        <v>970</v>
      </c>
      <c r="B939">
        <v>2001</v>
      </c>
      <c r="C939" t="s">
        <v>30</v>
      </c>
      <c r="D939">
        <v>13</v>
      </c>
      <c r="E939" s="13" t="s">
        <v>11632</v>
      </c>
      <c r="F939">
        <v>0</v>
      </c>
      <c r="G939" s="11">
        <v>7636.92</v>
      </c>
      <c r="H939" t="s">
        <v>11</v>
      </c>
      <c r="I939" t="s">
        <v>12</v>
      </c>
      <c r="J939" t="s">
        <v>23</v>
      </c>
    </row>
    <row r="940" spans="1:10" x14ac:dyDescent="0.3">
      <c r="A940" t="s">
        <v>971</v>
      </c>
      <c r="B940">
        <v>1980</v>
      </c>
      <c r="C940" t="s">
        <v>18</v>
      </c>
      <c r="D940">
        <v>20</v>
      </c>
      <c r="E940" s="13" t="s">
        <v>11633</v>
      </c>
      <c r="F940">
        <v>1</v>
      </c>
      <c r="G940" s="11">
        <v>7639.42</v>
      </c>
      <c r="H940" t="s">
        <v>11</v>
      </c>
      <c r="I940" t="s">
        <v>11</v>
      </c>
      <c r="J940" t="s">
        <v>247</v>
      </c>
    </row>
    <row r="941" spans="1:10" x14ac:dyDescent="0.3">
      <c r="A941" t="s">
        <v>972</v>
      </c>
      <c r="B941">
        <v>1980</v>
      </c>
      <c r="C941" t="s">
        <v>10</v>
      </c>
      <c r="D941">
        <v>24</v>
      </c>
      <c r="E941" s="13" t="s">
        <v>11281</v>
      </c>
      <c r="F941">
        <v>2</v>
      </c>
      <c r="G941" s="11">
        <v>7640.31</v>
      </c>
      <c r="H941" t="s">
        <v>11</v>
      </c>
      <c r="I941" t="s">
        <v>16</v>
      </c>
      <c r="J941" t="s">
        <v>13</v>
      </c>
    </row>
    <row r="942" spans="1:10" x14ac:dyDescent="0.3">
      <c r="A942" t="s">
        <v>973</v>
      </c>
      <c r="B942">
        <v>1999</v>
      </c>
      <c r="C942" t="s">
        <v>18</v>
      </c>
      <c r="D942">
        <v>15</v>
      </c>
      <c r="E942" s="13" t="s">
        <v>11634</v>
      </c>
      <c r="F942">
        <v>0</v>
      </c>
      <c r="G942" s="11">
        <v>7642.05</v>
      </c>
      <c r="H942" t="s">
        <v>11</v>
      </c>
      <c r="I942" t="s">
        <v>11</v>
      </c>
      <c r="J942" t="s">
        <v>535</v>
      </c>
    </row>
    <row r="943" spans="1:10" x14ac:dyDescent="0.3">
      <c r="A943" t="s">
        <v>974</v>
      </c>
      <c r="B943">
        <v>1980</v>
      </c>
      <c r="C943" t="s">
        <v>37</v>
      </c>
      <c r="D943">
        <v>16</v>
      </c>
      <c r="E943" s="13" t="s">
        <v>11635</v>
      </c>
      <c r="F943">
        <v>1</v>
      </c>
      <c r="G943" s="11">
        <v>7650.77</v>
      </c>
      <c r="H943" t="s">
        <v>11</v>
      </c>
      <c r="I943" t="s">
        <v>11</v>
      </c>
      <c r="J943" t="s">
        <v>247</v>
      </c>
    </row>
    <row r="944" spans="1:10" x14ac:dyDescent="0.3">
      <c r="A944" t="s">
        <v>975</v>
      </c>
      <c r="B944">
        <v>1993</v>
      </c>
      <c r="C944" t="s">
        <v>35</v>
      </c>
      <c r="D944">
        <v>10</v>
      </c>
      <c r="E944" s="13" t="s">
        <v>11636</v>
      </c>
      <c r="F944">
        <v>0</v>
      </c>
      <c r="G944" s="11">
        <v>7650.8</v>
      </c>
      <c r="H944" t="s">
        <v>11</v>
      </c>
      <c r="I944" t="s">
        <v>11</v>
      </c>
      <c r="J944" t="s">
        <v>23</v>
      </c>
    </row>
    <row r="945" spans="1:10" x14ac:dyDescent="0.3">
      <c r="A945" t="s">
        <v>976</v>
      </c>
      <c r="B945">
        <v>1998</v>
      </c>
      <c r="C945" t="s">
        <v>20</v>
      </c>
      <c r="D945">
        <v>30</v>
      </c>
      <c r="E945" s="13" t="s">
        <v>11637</v>
      </c>
      <c r="F945">
        <v>0</v>
      </c>
      <c r="G945" s="11">
        <v>7652.26</v>
      </c>
      <c r="H945" t="s">
        <v>11</v>
      </c>
      <c r="I945" t="s">
        <v>12</v>
      </c>
      <c r="J945" t="s">
        <v>249</v>
      </c>
    </row>
    <row r="946" spans="1:10" x14ac:dyDescent="0.3">
      <c r="A946" t="s">
        <v>977</v>
      </c>
      <c r="B946">
        <v>1965</v>
      </c>
      <c r="C946" t="s">
        <v>30</v>
      </c>
      <c r="D946">
        <v>27</v>
      </c>
      <c r="E946" s="13" t="s">
        <v>11638</v>
      </c>
      <c r="F946">
        <v>0</v>
      </c>
      <c r="G946" s="11">
        <v>7657.69</v>
      </c>
      <c r="H946" t="s">
        <v>12</v>
      </c>
      <c r="I946" t="s">
        <v>12</v>
      </c>
      <c r="J946" t="s">
        <v>23</v>
      </c>
    </row>
    <row r="947" spans="1:10" x14ac:dyDescent="0.3">
      <c r="A947" t="s">
        <v>978</v>
      </c>
      <c r="B947">
        <v>1976</v>
      </c>
      <c r="C947" t="s">
        <v>37</v>
      </c>
      <c r="D947">
        <v>9</v>
      </c>
      <c r="E947" s="13" t="s">
        <v>11639</v>
      </c>
      <c r="F947">
        <v>2</v>
      </c>
      <c r="G947" s="11">
        <v>7662.47</v>
      </c>
      <c r="H947" t="s">
        <v>11</v>
      </c>
      <c r="I947" t="s">
        <v>16</v>
      </c>
      <c r="J947" t="s">
        <v>42</v>
      </c>
    </row>
    <row r="948" spans="1:10" x14ac:dyDescent="0.3">
      <c r="A948" t="s">
        <v>979</v>
      </c>
      <c r="B948">
        <v>1996</v>
      </c>
      <c r="C948" t="s">
        <v>15</v>
      </c>
      <c r="D948">
        <v>24</v>
      </c>
      <c r="E948" s="13" t="s">
        <v>11640</v>
      </c>
      <c r="F948">
        <v>0</v>
      </c>
      <c r="G948" s="11">
        <v>7670.75</v>
      </c>
      <c r="H948" t="s">
        <v>11</v>
      </c>
      <c r="I948" t="s">
        <v>11</v>
      </c>
      <c r="J948" t="s">
        <v>632</v>
      </c>
    </row>
    <row r="949" spans="1:10" x14ac:dyDescent="0.3">
      <c r="A949" t="s">
        <v>980</v>
      </c>
      <c r="B949">
        <v>1995</v>
      </c>
      <c r="C949" t="s">
        <v>20</v>
      </c>
      <c r="D949">
        <v>13</v>
      </c>
      <c r="E949" s="13" t="s">
        <v>11641</v>
      </c>
      <c r="F949">
        <v>0</v>
      </c>
      <c r="G949" s="11">
        <v>7676.4</v>
      </c>
      <c r="H949" t="s">
        <v>11</v>
      </c>
      <c r="I949" t="s">
        <v>16</v>
      </c>
      <c r="J949" t="s">
        <v>23</v>
      </c>
    </row>
    <row r="950" spans="1:10" x14ac:dyDescent="0.3">
      <c r="A950" t="s">
        <v>981</v>
      </c>
      <c r="B950">
        <v>1971</v>
      </c>
      <c r="C950" t="s">
        <v>37</v>
      </c>
      <c r="D950">
        <v>11</v>
      </c>
      <c r="E950" s="13" t="s">
        <v>11642</v>
      </c>
      <c r="F950">
        <v>0</v>
      </c>
      <c r="G950" s="11">
        <v>7680.92</v>
      </c>
      <c r="H950" t="s">
        <v>11</v>
      </c>
      <c r="I950" t="s">
        <v>16</v>
      </c>
      <c r="J950" t="s">
        <v>13</v>
      </c>
    </row>
    <row r="951" spans="1:10" x14ac:dyDescent="0.3">
      <c r="A951" t="s">
        <v>982</v>
      </c>
      <c r="B951">
        <v>1981</v>
      </c>
      <c r="C951" t="s">
        <v>30</v>
      </c>
      <c r="D951">
        <v>19</v>
      </c>
      <c r="E951" s="13" t="s">
        <v>11643</v>
      </c>
      <c r="F951">
        <v>1</v>
      </c>
      <c r="G951" s="11">
        <v>7681.17</v>
      </c>
      <c r="H951" t="s">
        <v>11</v>
      </c>
      <c r="I951" t="s">
        <v>11</v>
      </c>
      <c r="J951" t="s">
        <v>516</v>
      </c>
    </row>
    <row r="952" spans="1:10" x14ac:dyDescent="0.3">
      <c r="A952" t="s">
        <v>983</v>
      </c>
      <c r="B952">
        <v>1982</v>
      </c>
      <c r="C952" t="s">
        <v>30</v>
      </c>
      <c r="D952">
        <v>18</v>
      </c>
      <c r="E952" s="13" t="s">
        <v>11644</v>
      </c>
      <c r="F952">
        <v>3</v>
      </c>
      <c r="G952" s="11">
        <v>7682.67</v>
      </c>
      <c r="H952" t="s">
        <v>11</v>
      </c>
      <c r="I952" t="s">
        <v>16</v>
      </c>
      <c r="J952" t="s">
        <v>13</v>
      </c>
    </row>
    <row r="953" spans="1:10" x14ac:dyDescent="0.3">
      <c r="A953" t="s">
        <v>984</v>
      </c>
      <c r="B953">
        <v>1987</v>
      </c>
      <c r="C953" t="s">
        <v>10</v>
      </c>
      <c r="D953">
        <v>12</v>
      </c>
      <c r="E953" s="13" t="s">
        <v>11645</v>
      </c>
      <c r="F953">
        <v>3</v>
      </c>
      <c r="G953" s="11">
        <v>7684.62</v>
      </c>
      <c r="H953" t="s">
        <v>11</v>
      </c>
      <c r="I953" t="s">
        <v>12</v>
      </c>
      <c r="J953" t="s">
        <v>300</v>
      </c>
    </row>
    <row r="954" spans="1:10" x14ac:dyDescent="0.3">
      <c r="A954" t="s">
        <v>985</v>
      </c>
      <c r="B954">
        <v>1978</v>
      </c>
      <c r="C954" t="s">
        <v>30</v>
      </c>
      <c r="D954">
        <v>29</v>
      </c>
      <c r="E954" s="13" t="s">
        <v>11646</v>
      </c>
      <c r="F954">
        <v>2</v>
      </c>
      <c r="G954" s="11">
        <v>7726.85</v>
      </c>
      <c r="H954" t="s">
        <v>16</v>
      </c>
      <c r="I954" t="s">
        <v>11</v>
      </c>
      <c r="J954" t="s">
        <v>42</v>
      </c>
    </row>
    <row r="955" spans="1:10" x14ac:dyDescent="0.3">
      <c r="A955" t="s">
        <v>986</v>
      </c>
      <c r="B955">
        <v>1979</v>
      </c>
      <c r="C955" t="s">
        <v>18</v>
      </c>
      <c r="D955">
        <v>2</v>
      </c>
      <c r="E955" s="13" t="s">
        <v>11647</v>
      </c>
      <c r="F955">
        <v>1</v>
      </c>
      <c r="G955" s="11">
        <v>7727.25</v>
      </c>
      <c r="H955" t="s">
        <v>11</v>
      </c>
      <c r="I955" t="s">
        <v>12</v>
      </c>
      <c r="J955" t="s">
        <v>23</v>
      </c>
    </row>
    <row r="956" spans="1:10" x14ac:dyDescent="0.3">
      <c r="A956" t="s">
        <v>987</v>
      </c>
      <c r="B956">
        <v>1980</v>
      </c>
      <c r="C956" t="s">
        <v>20</v>
      </c>
      <c r="D956">
        <v>10</v>
      </c>
      <c r="E956" s="13" t="s">
        <v>11648</v>
      </c>
      <c r="F956">
        <v>2</v>
      </c>
      <c r="G956" s="11">
        <v>7729.65</v>
      </c>
      <c r="H956" t="s">
        <v>12</v>
      </c>
      <c r="I956" t="s">
        <v>16</v>
      </c>
      <c r="J956" t="s">
        <v>168</v>
      </c>
    </row>
    <row r="957" spans="1:10" x14ac:dyDescent="0.3">
      <c r="A957" t="s">
        <v>988</v>
      </c>
      <c r="B957">
        <v>1978</v>
      </c>
      <c r="C957" t="s">
        <v>30</v>
      </c>
      <c r="D957">
        <v>4</v>
      </c>
      <c r="E957" s="13" t="s">
        <v>11649</v>
      </c>
      <c r="F957">
        <v>2</v>
      </c>
      <c r="G957" s="11">
        <v>7731.43</v>
      </c>
      <c r="H957" t="s">
        <v>12</v>
      </c>
      <c r="I957" t="s">
        <v>11</v>
      </c>
      <c r="J957" t="s">
        <v>13</v>
      </c>
    </row>
    <row r="958" spans="1:10" x14ac:dyDescent="0.3">
      <c r="A958" t="s">
        <v>989</v>
      </c>
      <c r="B958">
        <v>1977</v>
      </c>
      <c r="C958" t="s">
        <v>35</v>
      </c>
      <c r="D958">
        <v>29</v>
      </c>
      <c r="E958" s="13" t="s">
        <v>11431</v>
      </c>
      <c r="F958">
        <v>0</v>
      </c>
      <c r="G958" s="11">
        <v>7731.86</v>
      </c>
      <c r="H958" t="s">
        <v>11</v>
      </c>
      <c r="I958" t="s">
        <v>12</v>
      </c>
      <c r="J958" t="s">
        <v>23</v>
      </c>
    </row>
    <row r="959" spans="1:10" x14ac:dyDescent="0.3">
      <c r="A959" t="s">
        <v>990</v>
      </c>
      <c r="B959">
        <v>1965</v>
      </c>
      <c r="C959" t="s">
        <v>10</v>
      </c>
      <c r="D959">
        <v>18</v>
      </c>
      <c r="E959" s="13" t="s">
        <v>11453</v>
      </c>
      <c r="F959">
        <v>0</v>
      </c>
      <c r="G959" s="11">
        <v>7736.39</v>
      </c>
      <c r="H959" t="s">
        <v>12</v>
      </c>
      <c r="I959" t="s">
        <v>11</v>
      </c>
      <c r="J959" t="s">
        <v>13</v>
      </c>
    </row>
    <row r="960" spans="1:10" x14ac:dyDescent="0.3">
      <c r="A960" t="s">
        <v>991</v>
      </c>
      <c r="B960">
        <v>1978</v>
      </c>
      <c r="C960" t="s">
        <v>20</v>
      </c>
      <c r="D960">
        <v>4</v>
      </c>
      <c r="E960" s="13" t="s">
        <v>11650</v>
      </c>
      <c r="F960">
        <v>2</v>
      </c>
      <c r="G960" s="11">
        <v>7740.34</v>
      </c>
      <c r="H960" t="s">
        <v>16</v>
      </c>
      <c r="I960" t="s">
        <v>16</v>
      </c>
      <c r="J960" t="s">
        <v>42</v>
      </c>
    </row>
    <row r="961" spans="1:10" x14ac:dyDescent="0.3">
      <c r="A961" t="s">
        <v>992</v>
      </c>
      <c r="B961">
        <v>1976</v>
      </c>
      <c r="C961" t="s">
        <v>30</v>
      </c>
      <c r="D961">
        <v>12</v>
      </c>
      <c r="E961" s="13" t="s">
        <v>11651</v>
      </c>
      <c r="F961">
        <v>1</v>
      </c>
      <c r="G961" s="11">
        <v>7742.11</v>
      </c>
      <c r="H961" t="s">
        <v>12</v>
      </c>
      <c r="I961" t="s">
        <v>11</v>
      </c>
      <c r="J961" t="s">
        <v>13</v>
      </c>
    </row>
    <row r="962" spans="1:10" x14ac:dyDescent="0.3">
      <c r="A962" t="s">
        <v>993</v>
      </c>
      <c r="B962">
        <v>1981</v>
      </c>
      <c r="C962" t="s">
        <v>18</v>
      </c>
      <c r="D962">
        <v>30</v>
      </c>
      <c r="E962" s="13" t="s">
        <v>11652</v>
      </c>
      <c r="F962">
        <v>2</v>
      </c>
      <c r="G962" s="11">
        <v>7749.16</v>
      </c>
      <c r="H962" t="s">
        <v>11</v>
      </c>
      <c r="I962" t="s">
        <v>16</v>
      </c>
      <c r="J962" t="s">
        <v>23</v>
      </c>
    </row>
    <row r="963" spans="1:10" x14ac:dyDescent="0.3">
      <c r="A963" t="s">
        <v>994</v>
      </c>
      <c r="B963">
        <v>1997</v>
      </c>
      <c r="C963" t="s">
        <v>30</v>
      </c>
      <c r="D963">
        <v>21</v>
      </c>
      <c r="E963" s="13" t="s">
        <v>11653</v>
      </c>
      <c r="F963">
        <v>0</v>
      </c>
      <c r="G963" s="11">
        <v>7763.06</v>
      </c>
      <c r="H963" t="s">
        <v>11</v>
      </c>
      <c r="I963" t="s">
        <v>16</v>
      </c>
      <c r="J963" t="s">
        <v>23</v>
      </c>
    </row>
    <row r="964" spans="1:10" x14ac:dyDescent="0.3">
      <c r="A964" t="s">
        <v>995</v>
      </c>
      <c r="B964">
        <v>1974</v>
      </c>
      <c r="C964" t="s">
        <v>30</v>
      </c>
      <c r="D964">
        <v>6</v>
      </c>
      <c r="E964" s="13" t="s">
        <v>11654</v>
      </c>
      <c r="F964">
        <v>0</v>
      </c>
      <c r="G964" s="11">
        <v>7789.64</v>
      </c>
      <c r="H964" t="s">
        <v>16</v>
      </c>
      <c r="I964" t="s">
        <v>12</v>
      </c>
      <c r="J964" t="s">
        <v>13</v>
      </c>
    </row>
    <row r="965" spans="1:10" x14ac:dyDescent="0.3">
      <c r="A965" t="s">
        <v>996</v>
      </c>
      <c r="B965">
        <v>1999</v>
      </c>
      <c r="C965" t="s">
        <v>30</v>
      </c>
      <c r="D965">
        <v>25</v>
      </c>
      <c r="E965" s="13" t="s">
        <v>11655</v>
      </c>
      <c r="F965">
        <v>0</v>
      </c>
      <c r="G965" s="11">
        <v>7794.68</v>
      </c>
      <c r="H965" t="s">
        <v>11</v>
      </c>
      <c r="I965" t="s">
        <v>11</v>
      </c>
      <c r="J965" t="s">
        <v>535</v>
      </c>
    </row>
    <row r="966" spans="1:10" x14ac:dyDescent="0.3">
      <c r="A966" t="s">
        <v>997</v>
      </c>
      <c r="B966">
        <v>1997</v>
      </c>
      <c r="C966" t="s">
        <v>30</v>
      </c>
      <c r="D966">
        <v>2</v>
      </c>
      <c r="E966" s="13" t="s">
        <v>11656</v>
      </c>
      <c r="F966">
        <v>0</v>
      </c>
      <c r="G966" s="11">
        <v>7803.77</v>
      </c>
      <c r="H966" t="s">
        <v>11</v>
      </c>
      <c r="I966" t="s">
        <v>12</v>
      </c>
      <c r="J966" t="s">
        <v>23</v>
      </c>
    </row>
    <row r="967" spans="1:10" x14ac:dyDescent="0.3">
      <c r="A967" t="s">
        <v>998</v>
      </c>
      <c r="B967">
        <v>1974</v>
      </c>
      <c r="C967" t="s">
        <v>15</v>
      </c>
      <c r="D967">
        <v>9</v>
      </c>
      <c r="E967" s="13" t="s">
        <v>11288</v>
      </c>
      <c r="F967">
        <v>0</v>
      </c>
      <c r="G967" s="11">
        <v>7804.16</v>
      </c>
      <c r="H967" t="s">
        <v>11</v>
      </c>
      <c r="I967" t="s">
        <v>12</v>
      </c>
      <c r="J967" t="s">
        <v>13</v>
      </c>
    </row>
    <row r="968" spans="1:10" x14ac:dyDescent="0.3">
      <c r="A968" t="s">
        <v>999</v>
      </c>
      <c r="B968">
        <v>1991</v>
      </c>
      <c r="C968" t="s">
        <v>30</v>
      </c>
      <c r="D968">
        <v>21</v>
      </c>
      <c r="E968" s="13" t="s">
        <v>10784</v>
      </c>
      <c r="F968">
        <v>3</v>
      </c>
      <c r="G968" s="11">
        <v>7812.67</v>
      </c>
      <c r="H968" t="s">
        <v>11</v>
      </c>
      <c r="I968" t="s">
        <v>16</v>
      </c>
      <c r="J968" t="s">
        <v>23</v>
      </c>
    </row>
    <row r="969" spans="1:10" x14ac:dyDescent="0.3">
      <c r="A969" t="s">
        <v>1000</v>
      </c>
      <c r="B969">
        <v>1989</v>
      </c>
      <c r="C969" t="s">
        <v>37</v>
      </c>
      <c r="D969">
        <v>12</v>
      </c>
      <c r="E969" s="13" t="s">
        <v>11657</v>
      </c>
      <c r="F969">
        <v>3</v>
      </c>
      <c r="G969" s="11">
        <v>7824.37</v>
      </c>
      <c r="H969" t="s">
        <v>11</v>
      </c>
      <c r="I969" t="s">
        <v>11</v>
      </c>
      <c r="J969" t="s">
        <v>23</v>
      </c>
    </row>
    <row r="970" spans="1:10" x14ac:dyDescent="0.3">
      <c r="A970" t="s">
        <v>1001</v>
      </c>
      <c r="B970">
        <v>2001</v>
      </c>
      <c r="C970" t="s">
        <v>37</v>
      </c>
      <c r="D970">
        <v>5</v>
      </c>
      <c r="E970" s="13" t="s">
        <v>11658</v>
      </c>
      <c r="F970">
        <v>0</v>
      </c>
      <c r="G970" s="11">
        <v>7844.8</v>
      </c>
      <c r="H970" t="s">
        <v>11</v>
      </c>
      <c r="I970" t="s">
        <v>11</v>
      </c>
      <c r="J970" t="s">
        <v>23</v>
      </c>
    </row>
    <row r="971" spans="1:10" x14ac:dyDescent="0.3">
      <c r="A971" t="s">
        <v>1002</v>
      </c>
      <c r="B971">
        <v>1994</v>
      </c>
      <c r="C971" t="s">
        <v>15</v>
      </c>
      <c r="D971">
        <v>17</v>
      </c>
      <c r="E971" s="13" t="s">
        <v>11659</v>
      </c>
      <c r="F971">
        <v>0</v>
      </c>
      <c r="G971" s="11">
        <v>7851.85</v>
      </c>
      <c r="H971" t="s">
        <v>11</v>
      </c>
      <c r="I971" t="s">
        <v>12</v>
      </c>
      <c r="J971" t="s">
        <v>23</v>
      </c>
    </row>
    <row r="972" spans="1:10" x14ac:dyDescent="0.3">
      <c r="A972" t="s">
        <v>1003</v>
      </c>
      <c r="B972">
        <v>1962</v>
      </c>
      <c r="C972" t="s">
        <v>37</v>
      </c>
      <c r="D972">
        <v>10</v>
      </c>
      <c r="E972" s="13" t="s">
        <v>11660</v>
      </c>
      <c r="F972">
        <v>0</v>
      </c>
      <c r="G972" s="11">
        <v>7896.41</v>
      </c>
      <c r="H972" t="s">
        <v>12</v>
      </c>
      <c r="I972" t="s">
        <v>11</v>
      </c>
      <c r="J972" t="s">
        <v>13</v>
      </c>
    </row>
    <row r="973" spans="1:10" x14ac:dyDescent="0.3">
      <c r="A973" t="s">
        <v>1004</v>
      </c>
      <c r="B973">
        <v>1977</v>
      </c>
      <c r="C973" t="s">
        <v>10</v>
      </c>
      <c r="D973">
        <v>20</v>
      </c>
      <c r="E973" s="13" t="s">
        <v>11661</v>
      </c>
      <c r="F973">
        <v>0</v>
      </c>
      <c r="G973" s="11">
        <v>7935.29</v>
      </c>
      <c r="H973" t="s">
        <v>11</v>
      </c>
      <c r="I973" t="s">
        <v>16</v>
      </c>
      <c r="J973" t="s">
        <v>247</v>
      </c>
    </row>
    <row r="974" spans="1:10" x14ac:dyDescent="0.3">
      <c r="A974" t="s">
        <v>1005</v>
      </c>
      <c r="B974">
        <v>1987</v>
      </c>
      <c r="C974" t="s">
        <v>37</v>
      </c>
      <c r="D974">
        <v>29</v>
      </c>
      <c r="E974" s="13" t="s">
        <v>11662</v>
      </c>
      <c r="F974">
        <v>3</v>
      </c>
      <c r="G974" s="11">
        <v>7948.22</v>
      </c>
      <c r="H974" t="s">
        <v>11</v>
      </c>
      <c r="I974" t="s">
        <v>12</v>
      </c>
      <c r="J974" t="s">
        <v>200</v>
      </c>
    </row>
    <row r="975" spans="1:10" x14ac:dyDescent="0.3">
      <c r="A975" t="s">
        <v>1006</v>
      </c>
      <c r="B975">
        <v>1966</v>
      </c>
      <c r="C975" t="s">
        <v>10</v>
      </c>
      <c r="D975">
        <v>9</v>
      </c>
      <c r="E975" s="13" t="s">
        <v>11663</v>
      </c>
      <c r="F975">
        <v>0</v>
      </c>
      <c r="G975" s="11">
        <v>7953.72</v>
      </c>
      <c r="H975" t="s">
        <v>12</v>
      </c>
      <c r="I975" t="s">
        <v>12</v>
      </c>
      <c r="J975" t="s">
        <v>23</v>
      </c>
    </row>
    <row r="976" spans="1:10" x14ac:dyDescent="0.3">
      <c r="A976" t="s">
        <v>1007</v>
      </c>
      <c r="B976">
        <v>1981</v>
      </c>
      <c r="C976" t="s">
        <v>30</v>
      </c>
      <c r="D976">
        <v>28</v>
      </c>
      <c r="E976" s="13" t="s">
        <v>11664</v>
      </c>
      <c r="F976">
        <v>3</v>
      </c>
      <c r="G976" s="11">
        <v>7954.52</v>
      </c>
      <c r="H976" t="s">
        <v>11</v>
      </c>
      <c r="I976" t="s">
        <v>11</v>
      </c>
      <c r="J976" t="s">
        <v>42</v>
      </c>
    </row>
    <row r="977" spans="1:10" x14ac:dyDescent="0.3">
      <c r="A977" t="s">
        <v>1008</v>
      </c>
      <c r="B977">
        <v>1970</v>
      </c>
      <c r="C977" t="s">
        <v>18</v>
      </c>
      <c r="D977">
        <v>19</v>
      </c>
      <c r="E977" s="13" t="s">
        <v>11665</v>
      </c>
      <c r="F977">
        <v>0</v>
      </c>
      <c r="G977" s="11">
        <v>7958.13</v>
      </c>
      <c r="H977" t="s">
        <v>11</v>
      </c>
      <c r="I977" t="s">
        <v>11</v>
      </c>
      <c r="J977" t="s">
        <v>13</v>
      </c>
    </row>
    <row r="978" spans="1:10" x14ac:dyDescent="0.3">
      <c r="A978" t="s">
        <v>1009</v>
      </c>
      <c r="B978">
        <v>1975</v>
      </c>
      <c r="C978" t="s">
        <v>35</v>
      </c>
      <c r="D978">
        <v>10</v>
      </c>
      <c r="E978" s="13" t="s">
        <v>11666</v>
      </c>
      <c r="F978">
        <v>1</v>
      </c>
      <c r="G978" s="11">
        <v>7966.81</v>
      </c>
      <c r="H978" t="s">
        <v>11</v>
      </c>
      <c r="I978" t="s">
        <v>11</v>
      </c>
      <c r="J978" t="s">
        <v>13</v>
      </c>
    </row>
    <row r="979" spans="1:10" x14ac:dyDescent="0.3">
      <c r="A979" t="s">
        <v>1010</v>
      </c>
      <c r="B979">
        <v>1972</v>
      </c>
      <c r="C979" t="s">
        <v>15</v>
      </c>
      <c r="D979">
        <v>23</v>
      </c>
      <c r="E979" s="13" t="s">
        <v>11667</v>
      </c>
      <c r="F979">
        <v>0</v>
      </c>
      <c r="G979" s="11">
        <v>7980.34</v>
      </c>
      <c r="H979" t="s">
        <v>11</v>
      </c>
      <c r="I979" t="s">
        <v>11</v>
      </c>
      <c r="J979" t="s">
        <v>13</v>
      </c>
    </row>
    <row r="980" spans="1:10" x14ac:dyDescent="0.3">
      <c r="A980" t="s">
        <v>1011</v>
      </c>
      <c r="B980">
        <v>1983</v>
      </c>
      <c r="C980" t="s">
        <v>35</v>
      </c>
      <c r="D980">
        <v>28</v>
      </c>
      <c r="E980" s="13" t="s">
        <v>11668</v>
      </c>
      <c r="F980">
        <v>3</v>
      </c>
      <c r="G980" s="11">
        <v>7985.82</v>
      </c>
      <c r="H980" t="s">
        <v>11</v>
      </c>
      <c r="I980" t="s">
        <v>16</v>
      </c>
      <c r="J980" t="s">
        <v>247</v>
      </c>
    </row>
    <row r="981" spans="1:10" x14ac:dyDescent="0.3">
      <c r="A981" t="s">
        <v>1012</v>
      </c>
      <c r="B981">
        <v>1983</v>
      </c>
      <c r="C981" t="s">
        <v>35</v>
      </c>
      <c r="D981">
        <v>20</v>
      </c>
      <c r="E981" s="13" t="s">
        <v>11669</v>
      </c>
      <c r="F981">
        <v>3</v>
      </c>
      <c r="G981" s="11">
        <v>7986.48</v>
      </c>
      <c r="H981" t="s">
        <v>11</v>
      </c>
      <c r="I981" t="s">
        <v>12</v>
      </c>
      <c r="J981" t="s">
        <v>247</v>
      </c>
    </row>
    <row r="982" spans="1:10" x14ac:dyDescent="0.3">
      <c r="A982" t="s">
        <v>1013</v>
      </c>
      <c r="B982">
        <v>1962</v>
      </c>
      <c r="C982" t="s">
        <v>35</v>
      </c>
      <c r="D982">
        <v>22</v>
      </c>
      <c r="E982" s="13" t="s">
        <v>11670</v>
      </c>
      <c r="F982">
        <v>0</v>
      </c>
      <c r="G982" s="11">
        <v>8004.96</v>
      </c>
      <c r="H982" t="s">
        <v>12</v>
      </c>
      <c r="I982" t="s">
        <v>16</v>
      </c>
      <c r="J982" t="s">
        <v>13</v>
      </c>
    </row>
    <row r="983" spans="1:10" x14ac:dyDescent="0.3">
      <c r="A983" t="s">
        <v>1014</v>
      </c>
      <c r="B983">
        <v>1995</v>
      </c>
      <c r="C983" t="s">
        <v>20</v>
      </c>
      <c r="D983">
        <v>18</v>
      </c>
      <c r="E983" s="13" t="s">
        <v>11671</v>
      </c>
      <c r="F983">
        <v>0</v>
      </c>
      <c r="G983" s="11">
        <v>8014.62</v>
      </c>
      <c r="H983" t="s">
        <v>11</v>
      </c>
      <c r="I983" t="s">
        <v>12</v>
      </c>
      <c r="J983" t="s">
        <v>23</v>
      </c>
    </row>
    <row r="984" spans="1:10" x14ac:dyDescent="0.3">
      <c r="A984" t="s">
        <v>1015</v>
      </c>
      <c r="B984">
        <v>1980</v>
      </c>
      <c r="C984" t="s">
        <v>15</v>
      </c>
      <c r="D984">
        <v>8</v>
      </c>
      <c r="E984" s="13" t="s">
        <v>11672</v>
      </c>
      <c r="F984">
        <v>2</v>
      </c>
      <c r="G984" s="11">
        <v>8017.06</v>
      </c>
      <c r="H984" t="s">
        <v>11</v>
      </c>
      <c r="I984" t="s">
        <v>11</v>
      </c>
      <c r="J984" t="s">
        <v>23</v>
      </c>
    </row>
    <row r="985" spans="1:10" x14ac:dyDescent="0.3">
      <c r="A985" t="s">
        <v>1016</v>
      </c>
      <c r="B985">
        <v>1989</v>
      </c>
      <c r="C985" t="s">
        <v>15</v>
      </c>
      <c r="D985">
        <v>3</v>
      </c>
      <c r="E985" s="13" t="s">
        <v>11673</v>
      </c>
      <c r="F985">
        <v>3</v>
      </c>
      <c r="G985" s="11">
        <v>8021.11</v>
      </c>
      <c r="H985" t="s">
        <v>11</v>
      </c>
      <c r="I985" t="s">
        <v>16</v>
      </c>
      <c r="J985" t="s">
        <v>23</v>
      </c>
    </row>
    <row r="986" spans="1:10" x14ac:dyDescent="0.3">
      <c r="A986" t="s">
        <v>1017</v>
      </c>
      <c r="B986">
        <v>1978</v>
      </c>
      <c r="C986" t="s">
        <v>10</v>
      </c>
      <c r="D986">
        <v>17</v>
      </c>
      <c r="E986" s="13" t="s">
        <v>11674</v>
      </c>
      <c r="F986">
        <v>1</v>
      </c>
      <c r="G986" s="11">
        <v>8023.14</v>
      </c>
      <c r="H986" t="s">
        <v>11</v>
      </c>
      <c r="I986" t="s">
        <v>12</v>
      </c>
      <c r="J986" t="s">
        <v>23</v>
      </c>
    </row>
    <row r="987" spans="1:10" x14ac:dyDescent="0.3">
      <c r="A987" t="s">
        <v>1018</v>
      </c>
      <c r="B987">
        <v>1976</v>
      </c>
      <c r="C987" t="s">
        <v>30</v>
      </c>
      <c r="D987">
        <v>20</v>
      </c>
      <c r="E987" s="13" t="s">
        <v>11675</v>
      </c>
      <c r="F987">
        <v>0</v>
      </c>
      <c r="G987" s="11">
        <v>8026.67</v>
      </c>
      <c r="H987" t="s">
        <v>11</v>
      </c>
      <c r="I987" t="s">
        <v>11</v>
      </c>
      <c r="J987" t="s">
        <v>23</v>
      </c>
    </row>
    <row r="988" spans="1:10" x14ac:dyDescent="0.3">
      <c r="A988" t="s">
        <v>1019</v>
      </c>
      <c r="B988">
        <v>1977</v>
      </c>
      <c r="C988" t="s">
        <v>15</v>
      </c>
      <c r="D988">
        <v>6</v>
      </c>
      <c r="E988" s="13" t="s">
        <v>11676</v>
      </c>
      <c r="F988">
        <v>2</v>
      </c>
      <c r="G988" s="11">
        <v>8027.97</v>
      </c>
      <c r="H988" t="s">
        <v>12</v>
      </c>
      <c r="I988" t="s">
        <v>11</v>
      </c>
      <c r="J988" t="s">
        <v>42</v>
      </c>
    </row>
    <row r="989" spans="1:10" x14ac:dyDescent="0.3">
      <c r="A989" t="s">
        <v>1020</v>
      </c>
      <c r="B989">
        <v>2003</v>
      </c>
      <c r="C989" t="s">
        <v>30</v>
      </c>
      <c r="D989">
        <v>12</v>
      </c>
      <c r="E989" s="13" t="s">
        <v>11677</v>
      </c>
      <c r="F989">
        <v>0</v>
      </c>
      <c r="G989" s="11">
        <v>8035.64</v>
      </c>
      <c r="H989" t="s">
        <v>11</v>
      </c>
      <c r="I989" t="s">
        <v>11</v>
      </c>
      <c r="J989" t="s">
        <v>23</v>
      </c>
    </row>
    <row r="990" spans="1:10" x14ac:dyDescent="0.3">
      <c r="A990" t="s">
        <v>1021</v>
      </c>
      <c r="B990">
        <v>1985</v>
      </c>
      <c r="C990" t="s">
        <v>15</v>
      </c>
      <c r="D990">
        <v>28</v>
      </c>
      <c r="E990" s="13" t="s">
        <v>11678</v>
      </c>
      <c r="F990">
        <v>3</v>
      </c>
      <c r="G990" s="11">
        <v>8059.06</v>
      </c>
      <c r="H990" t="s">
        <v>11</v>
      </c>
      <c r="I990" t="s">
        <v>12</v>
      </c>
      <c r="J990" t="s">
        <v>23</v>
      </c>
    </row>
    <row r="991" spans="1:10" x14ac:dyDescent="0.3">
      <c r="A991" t="s">
        <v>1022</v>
      </c>
      <c r="B991">
        <v>1982</v>
      </c>
      <c r="C991" t="s">
        <v>30</v>
      </c>
      <c r="D991">
        <v>27</v>
      </c>
      <c r="E991" s="13" t="s">
        <v>11679</v>
      </c>
      <c r="F991">
        <v>3</v>
      </c>
      <c r="G991" s="11">
        <v>8059.68</v>
      </c>
      <c r="H991" t="s">
        <v>11</v>
      </c>
      <c r="I991" t="s">
        <v>12</v>
      </c>
      <c r="J991" t="s">
        <v>23</v>
      </c>
    </row>
    <row r="992" spans="1:10" x14ac:dyDescent="0.3">
      <c r="A992" t="s">
        <v>1023</v>
      </c>
      <c r="B992">
        <v>1970</v>
      </c>
      <c r="C992" t="s">
        <v>30</v>
      </c>
      <c r="D992">
        <v>12</v>
      </c>
      <c r="E992" s="13" t="s">
        <v>11680</v>
      </c>
      <c r="F992">
        <v>0</v>
      </c>
      <c r="G992" s="11">
        <v>8062.31</v>
      </c>
      <c r="H992" t="s">
        <v>11</v>
      </c>
      <c r="I992" t="s">
        <v>16</v>
      </c>
      <c r="J992" t="s">
        <v>13</v>
      </c>
    </row>
    <row r="993" spans="1:10" x14ac:dyDescent="0.3">
      <c r="A993" t="s">
        <v>1024</v>
      </c>
      <c r="B993">
        <v>1975</v>
      </c>
      <c r="C993" t="s">
        <v>18</v>
      </c>
      <c r="D993">
        <v>28</v>
      </c>
      <c r="E993" s="13" t="s">
        <v>11681</v>
      </c>
      <c r="F993">
        <v>1</v>
      </c>
      <c r="G993" s="11">
        <v>8062.76</v>
      </c>
      <c r="H993" t="s">
        <v>12</v>
      </c>
      <c r="I993" t="s">
        <v>12</v>
      </c>
      <c r="J993" t="s">
        <v>42</v>
      </c>
    </row>
    <row r="994" spans="1:10" x14ac:dyDescent="0.3">
      <c r="A994" t="s">
        <v>1025</v>
      </c>
      <c r="B994">
        <v>1965</v>
      </c>
      <c r="C994" t="s">
        <v>35</v>
      </c>
      <c r="D994">
        <v>11</v>
      </c>
      <c r="E994" s="13" t="s">
        <v>11682</v>
      </c>
      <c r="F994">
        <v>0</v>
      </c>
      <c r="G994" s="11">
        <v>8067.83</v>
      </c>
      <c r="H994" t="s">
        <v>12</v>
      </c>
      <c r="I994" t="s">
        <v>16</v>
      </c>
      <c r="J994" t="s">
        <v>13</v>
      </c>
    </row>
    <row r="995" spans="1:10" x14ac:dyDescent="0.3">
      <c r="A995" t="s">
        <v>1026</v>
      </c>
      <c r="B995">
        <v>1975</v>
      </c>
      <c r="C995" t="s">
        <v>30</v>
      </c>
      <c r="D995">
        <v>15</v>
      </c>
      <c r="E995" s="13" t="s">
        <v>11683</v>
      </c>
      <c r="F995">
        <v>1</v>
      </c>
      <c r="G995" s="11">
        <v>8068.19</v>
      </c>
      <c r="H995" t="s">
        <v>12</v>
      </c>
      <c r="I995" t="s">
        <v>11</v>
      </c>
      <c r="J995" t="s">
        <v>42</v>
      </c>
    </row>
    <row r="996" spans="1:10" x14ac:dyDescent="0.3">
      <c r="A996" t="s">
        <v>1027</v>
      </c>
      <c r="B996">
        <v>1965</v>
      </c>
      <c r="C996" t="s">
        <v>37</v>
      </c>
      <c r="D996">
        <v>21</v>
      </c>
      <c r="E996" s="13" t="s">
        <v>11684</v>
      </c>
      <c r="F996">
        <v>0</v>
      </c>
      <c r="G996" s="11">
        <v>8071.57</v>
      </c>
      <c r="H996" t="s">
        <v>12</v>
      </c>
      <c r="I996" t="s">
        <v>16</v>
      </c>
      <c r="J996" t="s">
        <v>42</v>
      </c>
    </row>
    <row r="997" spans="1:10" x14ac:dyDescent="0.3">
      <c r="A997" t="s">
        <v>1028</v>
      </c>
      <c r="B997">
        <v>1993</v>
      </c>
      <c r="C997" t="s">
        <v>15</v>
      </c>
      <c r="D997">
        <v>7</v>
      </c>
      <c r="E997" s="13" t="s">
        <v>11685</v>
      </c>
      <c r="F997">
        <v>0</v>
      </c>
      <c r="G997" s="11">
        <v>8077.41</v>
      </c>
      <c r="H997" t="s">
        <v>11</v>
      </c>
      <c r="I997" t="s">
        <v>16</v>
      </c>
      <c r="J997" t="s">
        <v>535</v>
      </c>
    </row>
    <row r="998" spans="1:10" x14ac:dyDescent="0.3">
      <c r="A998" t="s">
        <v>1029</v>
      </c>
      <c r="B998">
        <v>2001</v>
      </c>
      <c r="C998" t="s">
        <v>35</v>
      </c>
      <c r="D998">
        <v>28</v>
      </c>
      <c r="E998" s="13" t="s">
        <v>11686</v>
      </c>
      <c r="F998">
        <v>0</v>
      </c>
      <c r="G998" s="11">
        <v>8081.26</v>
      </c>
      <c r="H998" t="s">
        <v>11</v>
      </c>
      <c r="I998" t="s">
        <v>11</v>
      </c>
      <c r="J998" t="s">
        <v>23</v>
      </c>
    </row>
    <row r="999" spans="1:10" x14ac:dyDescent="0.3">
      <c r="A999" t="s">
        <v>1030</v>
      </c>
      <c r="B999">
        <v>1994</v>
      </c>
      <c r="C999" t="s">
        <v>37</v>
      </c>
      <c r="D999">
        <v>12</v>
      </c>
      <c r="E999" s="13" t="s">
        <v>11687</v>
      </c>
      <c r="F999">
        <v>0</v>
      </c>
      <c r="G999" s="11">
        <v>8081.74</v>
      </c>
      <c r="H999" t="s">
        <v>11</v>
      </c>
      <c r="I999" t="s">
        <v>11</v>
      </c>
      <c r="J999" t="s">
        <v>535</v>
      </c>
    </row>
    <row r="1000" spans="1:10" x14ac:dyDescent="0.3">
      <c r="A1000" t="s">
        <v>1031</v>
      </c>
      <c r="B1000">
        <v>1975</v>
      </c>
      <c r="C1000" t="s">
        <v>30</v>
      </c>
      <c r="D1000">
        <v>21</v>
      </c>
      <c r="E1000" s="13" t="s">
        <v>11688</v>
      </c>
      <c r="F1000">
        <v>1</v>
      </c>
      <c r="G1000" s="11">
        <v>8083.92</v>
      </c>
      <c r="H1000" t="s">
        <v>12</v>
      </c>
      <c r="I1000" t="s">
        <v>12</v>
      </c>
      <c r="J1000" t="s">
        <v>13</v>
      </c>
    </row>
    <row r="1001" spans="1:10" x14ac:dyDescent="0.3">
      <c r="A1001" t="s">
        <v>1032</v>
      </c>
      <c r="B1001">
        <v>1967</v>
      </c>
      <c r="C1001" t="s">
        <v>18</v>
      </c>
      <c r="D1001">
        <v>10</v>
      </c>
      <c r="E1001" s="13" t="s">
        <v>11689</v>
      </c>
      <c r="F1001">
        <v>0</v>
      </c>
      <c r="G1001" s="11">
        <v>8091.3</v>
      </c>
      <c r="H1001" t="s">
        <v>12</v>
      </c>
      <c r="I1001" t="s">
        <v>16</v>
      </c>
      <c r="J1001" t="s">
        <v>23</v>
      </c>
    </row>
    <row r="1002" spans="1:10" x14ac:dyDescent="0.3">
      <c r="A1002" t="s">
        <v>1033</v>
      </c>
      <c r="B1002">
        <v>1973</v>
      </c>
      <c r="C1002" t="s">
        <v>37</v>
      </c>
      <c r="D1002">
        <v>11</v>
      </c>
      <c r="E1002" s="13" t="s">
        <v>11690</v>
      </c>
      <c r="F1002">
        <v>0</v>
      </c>
      <c r="G1002" s="11">
        <v>8112.59</v>
      </c>
      <c r="H1002" t="s">
        <v>11</v>
      </c>
      <c r="I1002" t="s">
        <v>11</v>
      </c>
      <c r="J1002" t="s">
        <v>13</v>
      </c>
    </row>
    <row r="1003" spans="1:10" x14ac:dyDescent="0.3">
      <c r="A1003" t="s">
        <v>1034</v>
      </c>
      <c r="B1003">
        <v>1978</v>
      </c>
      <c r="C1003" t="s">
        <v>20</v>
      </c>
      <c r="D1003">
        <v>1</v>
      </c>
      <c r="E1003" s="13" t="s">
        <v>11691</v>
      </c>
      <c r="F1003">
        <v>2</v>
      </c>
      <c r="G1003" s="11">
        <v>8116.27</v>
      </c>
      <c r="H1003" t="s">
        <v>12</v>
      </c>
      <c r="I1003" t="s">
        <v>16</v>
      </c>
      <c r="J1003" t="s">
        <v>23</v>
      </c>
    </row>
    <row r="1004" spans="1:10" x14ac:dyDescent="0.3">
      <c r="A1004" t="s">
        <v>1035</v>
      </c>
      <c r="B1004">
        <v>1973</v>
      </c>
      <c r="C1004" t="s">
        <v>30</v>
      </c>
      <c r="D1004">
        <v>16</v>
      </c>
      <c r="E1004" s="13" t="s">
        <v>11692</v>
      </c>
      <c r="F1004">
        <v>0</v>
      </c>
      <c r="G1004" s="11">
        <v>8116.68</v>
      </c>
      <c r="H1004" t="s">
        <v>12</v>
      </c>
      <c r="I1004" t="s">
        <v>16</v>
      </c>
      <c r="J1004" t="s">
        <v>42</v>
      </c>
    </row>
    <row r="1005" spans="1:10" x14ac:dyDescent="0.3">
      <c r="A1005" t="s">
        <v>1036</v>
      </c>
      <c r="B1005">
        <v>1973</v>
      </c>
      <c r="C1005" t="s">
        <v>35</v>
      </c>
      <c r="D1005">
        <v>30</v>
      </c>
      <c r="E1005" s="13" t="s">
        <v>11693</v>
      </c>
      <c r="F1005">
        <v>0</v>
      </c>
      <c r="G1005" s="11">
        <v>8124.41</v>
      </c>
      <c r="H1005" t="s">
        <v>12</v>
      </c>
      <c r="I1005" t="s">
        <v>16</v>
      </c>
      <c r="J1005" t="s">
        <v>13</v>
      </c>
    </row>
    <row r="1006" spans="1:10" x14ac:dyDescent="0.3">
      <c r="A1006" t="s">
        <v>1037</v>
      </c>
      <c r="B1006">
        <v>1973</v>
      </c>
      <c r="C1006" t="s">
        <v>20</v>
      </c>
      <c r="D1006">
        <v>3</v>
      </c>
      <c r="E1006" s="13" t="s">
        <v>11694</v>
      </c>
      <c r="F1006">
        <v>0</v>
      </c>
      <c r="G1006" s="11">
        <v>8125.78</v>
      </c>
      <c r="H1006" t="s">
        <v>11</v>
      </c>
      <c r="I1006" t="s">
        <v>11</v>
      </c>
      <c r="J1006" t="s">
        <v>13</v>
      </c>
    </row>
    <row r="1007" spans="1:10" x14ac:dyDescent="0.3">
      <c r="A1007" t="s">
        <v>1038</v>
      </c>
      <c r="B1007">
        <v>1990</v>
      </c>
      <c r="C1007" t="s">
        <v>18</v>
      </c>
      <c r="D1007">
        <v>21</v>
      </c>
      <c r="E1007" s="13" t="s">
        <v>11372</v>
      </c>
      <c r="F1007">
        <v>3</v>
      </c>
      <c r="G1007" s="11">
        <v>8157.92</v>
      </c>
      <c r="H1007" t="s">
        <v>11</v>
      </c>
      <c r="I1007" t="s">
        <v>12</v>
      </c>
      <c r="J1007" t="s">
        <v>200</v>
      </c>
    </row>
    <row r="1008" spans="1:10" x14ac:dyDescent="0.3">
      <c r="A1008" t="s">
        <v>1039</v>
      </c>
      <c r="B1008">
        <v>1982</v>
      </c>
      <c r="C1008" t="s">
        <v>18</v>
      </c>
      <c r="D1008">
        <v>28</v>
      </c>
      <c r="E1008" s="13" t="s">
        <v>11695</v>
      </c>
      <c r="F1008">
        <v>4</v>
      </c>
      <c r="G1008" s="11">
        <v>8162.72</v>
      </c>
      <c r="H1008" t="s">
        <v>12</v>
      </c>
      <c r="I1008" t="s">
        <v>12</v>
      </c>
      <c r="J1008" t="s">
        <v>23</v>
      </c>
    </row>
    <row r="1009" spans="1:10" x14ac:dyDescent="0.3">
      <c r="A1009" t="s">
        <v>1040</v>
      </c>
      <c r="B1009">
        <v>1963</v>
      </c>
      <c r="C1009" t="s">
        <v>15</v>
      </c>
      <c r="D1009">
        <v>5</v>
      </c>
      <c r="E1009" s="13" t="s">
        <v>11696</v>
      </c>
      <c r="F1009">
        <v>0</v>
      </c>
      <c r="G1009" s="11">
        <v>8177.9</v>
      </c>
      <c r="H1009" t="s">
        <v>12</v>
      </c>
      <c r="I1009" t="s">
        <v>16</v>
      </c>
      <c r="J1009" t="s">
        <v>13</v>
      </c>
    </row>
    <row r="1010" spans="1:10" x14ac:dyDescent="0.3">
      <c r="A1010" t="s">
        <v>1041</v>
      </c>
      <c r="B1010">
        <v>1983</v>
      </c>
      <c r="C1010" t="s">
        <v>18</v>
      </c>
      <c r="D1010">
        <v>8</v>
      </c>
      <c r="E1010" s="13" t="s">
        <v>11697</v>
      </c>
      <c r="F1010">
        <v>3</v>
      </c>
      <c r="G1010" s="11">
        <v>8179.51</v>
      </c>
      <c r="H1010" t="s">
        <v>11</v>
      </c>
      <c r="I1010" t="s">
        <v>11</v>
      </c>
      <c r="J1010" t="s">
        <v>516</v>
      </c>
    </row>
    <row r="1011" spans="1:10" x14ac:dyDescent="0.3">
      <c r="A1011" t="s">
        <v>1042</v>
      </c>
      <c r="B1011">
        <v>1997</v>
      </c>
      <c r="C1011" t="s">
        <v>37</v>
      </c>
      <c r="D1011">
        <v>21</v>
      </c>
      <c r="E1011" s="13" t="s">
        <v>11698</v>
      </c>
      <c r="F1011">
        <v>0</v>
      </c>
      <c r="G1011" s="11">
        <v>8182.89</v>
      </c>
      <c r="H1011" t="s">
        <v>11</v>
      </c>
      <c r="I1011" t="s">
        <v>16</v>
      </c>
      <c r="J1011" t="s">
        <v>535</v>
      </c>
    </row>
    <row r="1012" spans="1:10" x14ac:dyDescent="0.3">
      <c r="A1012" t="s">
        <v>1043</v>
      </c>
      <c r="B1012">
        <v>1962</v>
      </c>
      <c r="C1012" t="s">
        <v>15</v>
      </c>
      <c r="D1012">
        <v>23</v>
      </c>
      <c r="E1012" s="13" t="s">
        <v>11699</v>
      </c>
      <c r="F1012">
        <v>0</v>
      </c>
      <c r="G1012" s="11">
        <v>8188.12</v>
      </c>
      <c r="H1012" t="s">
        <v>12</v>
      </c>
      <c r="I1012" t="s">
        <v>12</v>
      </c>
      <c r="J1012" t="s">
        <v>13</v>
      </c>
    </row>
    <row r="1013" spans="1:10" x14ac:dyDescent="0.3">
      <c r="A1013" t="s">
        <v>1044</v>
      </c>
      <c r="B1013">
        <v>1978</v>
      </c>
      <c r="C1013" t="s">
        <v>37</v>
      </c>
      <c r="D1013">
        <v>24</v>
      </c>
      <c r="E1013" s="13" t="s">
        <v>11700</v>
      </c>
      <c r="F1013">
        <v>2</v>
      </c>
      <c r="G1013" s="11">
        <v>8211.1</v>
      </c>
      <c r="H1013" t="s">
        <v>11</v>
      </c>
      <c r="I1013" t="s">
        <v>12</v>
      </c>
      <c r="J1013" t="s">
        <v>13</v>
      </c>
    </row>
    <row r="1014" spans="1:10" x14ac:dyDescent="0.3">
      <c r="A1014" t="s">
        <v>1045</v>
      </c>
      <c r="B1014">
        <v>1978</v>
      </c>
      <c r="C1014" t="s">
        <v>18</v>
      </c>
      <c r="D1014">
        <v>30</v>
      </c>
      <c r="E1014" s="13" t="s">
        <v>11701</v>
      </c>
      <c r="F1014">
        <v>2</v>
      </c>
      <c r="G1014" s="11">
        <v>8219.2000000000007</v>
      </c>
      <c r="H1014" t="s">
        <v>11</v>
      </c>
      <c r="I1014" t="s">
        <v>11</v>
      </c>
      <c r="J1014" t="s">
        <v>13</v>
      </c>
    </row>
    <row r="1015" spans="1:10" x14ac:dyDescent="0.3">
      <c r="A1015" t="s">
        <v>1046</v>
      </c>
      <c r="B1015">
        <v>1976</v>
      </c>
      <c r="C1015" t="s">
        <v>20</v>
      </c>
      <c r="D1015">
        <v>3</v>
      </c>
      <c r="E1015" s="13" t="s">
        <v>11221</v>
      </c>
      <c r="F1015">
        <v>1</v>
      </c>
      <c r="G1015" s="11">
        <v>8232.64</v>
      </c>
      <c r="H1015" t="s">
        <v>11</v>
      </c>
      <c r="I1015" t="s">
        <v>12</v>
      </c>
      <c r="J1015" t="s">
        <v>13</v>
      </c>
    </row>
    <row r="1016" spans="1:10" x14ac:dyDescent="0.3">
      <c r="A1016" t="s">
        <v>1047</v>
      </c>
      <c r="B1016">
        <v>1976</v>
      </c>
      <c r="C1016" t="s">
        <v>18</v>
      </c>
      <c r="D1016">
        <v>30</v>
      </c>
      <c r="E1016" s="13" t="s">
        <v>11702</v>
      </c>
      <c r="F1016">
        <v>1</v>
      </c>
      <c r="G1016" s="11">
        <v>8233.1</v>
      </c>
      <c r="H1016" t="s">
        <v>11</v>
      </c>
      <c r="I1016" t="s">
        <v>11</v>
      </c>
      <c r="J1016" t="s">
        <v>13</v>
      </c>
    </row>
    <row r="1017" spans="1:10" x14ac:dyDescent="0.3">
      <c r="A1017" t="s">
        <v>1048</v>
      </c>
      <c r="B1017">
        <v>1976</v>
      </c>
      <c r="C1017" t="s">
        <v>20</v>
      </c>
      <c r="D1017">
        <v>2</v>
      </c>
      <c r="E1017" s="13" t="s">
        <v>11703</v>
      </c>
      <c r="F1017">
        <v>1</v>
      </c>
      <c r="G1017" s="11">
        <v>8240.59</v>
      </c>
      <c r="H1017" t="s">
        <v>11</v>
      </c>
      <c r="I1017" t="s">
        <v>11</v>
      </c>
      <c r="J1017" t="s">
        <v>13</v>
      </c>
    </row>
    <row r="1018" spans="1:10" x14ac:dyDescent="0.3">
      <c r="A1018" t="s">
        <v>1049</v>
      </c>
      <c r="B1018">
        <v>1982</v>
      </c>
      <c r="C1018" t="s">
        <v>20</v>
      </c>
      <c r="D1018">
        <v>27</v>
      </c>
      <c r="E1018" s="13" t="s">
        <v>11704</v>
      </c>
      <c r="F1018">
        <v>3</v>
      </c>
      <c r="G1018" s="11">
        <v>8252.2800000000007</v>
      </c>
      <c r="H1018" t="s">
        <v>11</v>
      </c>
      <c r="I1018" t="s">
        <v>11</v>
      </c>
      <c r="J1018" t="s">
        <v>247</v>
      </c>
    </row>
    <row r="1019" spans="1:10" x14ac:dyDescent="0.3">
      <c r="A1019" t="s">
        <v>1050</v>
      </c>
      <c r="B1019">
        <v>1964</v>
      </c>
      <c r="C1019" t="s">
        <v>20</v>
      </c>
      <c r="D1019">
        <v>5</v>
      </c>
      <c r="E1019" s="13" t="s">
        <v>11705</v>
      </c>
      <c r="F1019">
        <v>0</v>
      </c>
      <c r="G1019" s="11">
        <v>8268</v>
      </c>
      <c r="H1019" t="s">
        <v>12</v>
      </c>
      <c r="I1019" t="s">
        <v>12</v>
      </c>
      <c r="J1019" t="s">
        <v>13</v>
      </c>
    </row>
    <row r="1020" spans="1:10" x14ac:dyDescent="0.3">
      <c r="A1020" t="s">
        <v>1051</v>
      </c>
      <c r="B1020">
        <v>1974</v>
      </c>
      <c r="C1020" t="s">
        <v>35</v>
      </c>
      <c r="D1020">
        <v>5</v>
      </c>
      <c r="E1020" s="13" t="s">
        <v>11706</v>
      </c>
      <c r="F1020">
        <v>0</v>
      </c>
      <c r="G1020" s="11">
        <v>8269.0400000000009</v>
      </c>
      <c r="H1020" t="s">
        <v>11</v>
      </c>
      <c r="I1020" t="s">
        <v>16</v>
      </c>
      <c r="J1020" t="s">
        <v>42</v>
      </c>
    </row>
    <row r="1021" spans="1:10" x14ac:dyDescent="0.3">
      <c r="A1021" t="s">
        <v>1052</v>
      </c>
      <c r="B1021">
        <v>2000</v>
      </c>
      <c r="C1021" t="s">
        <v>15</v>
      </c>
      <c r="D1021">
        <v>28</v>
      </c>
      <c r="E1021" s="13" t="s">
        <v>11707</v>
      </c>
      <c r="F1021">
        <v>0</v>
      </c>
      <c r="G1021" s="11">
        <v>8271.4599999999991</v>
      </c>
      <c r="H1021" t="s">
        <v>11</v>
      </c>
      <c r="I1021" t="s">
        <v>16</v>
      </c>
      <c r="J1021" t="s">
        <v>249</v>
      </c>
    </row>
    <row r="1022" spans="1:10" x14ac:dyDescent="0.3">
      <c r="A1022" t="s">
        <v>1053</v>
      </c>
      <c r="B1022">
        <v>1974</v>
      </c>
      <c r="C1022" t="s">
        <v>20</v>
      </c>
      <c r="D1022">
        <v>26</v>
      </c>
      <c r="E1022" s="13" t="s">
        <v>11708</v>
      </c>
      <c r="F1022">
        <v>0</v>
      </c>
      <c r="G1022" s="11">
        <v>8277.52</v>
      </c>
      <c r="H1022" t="s">
        <v>11</v>
      </c>
      <c r="I1022" t="s">
        <v>11</v>
      </c>
      <c r="J1022" t="s">
        <v>42</v>
      </c>
    </row>
    <row r="1023" spans="1:10" x14ac:dyDescent="0.3">
      <c r="A1023" t="s">
        <v>1054</v>
      </c>
      <c r="B1023">
        <v>1974</v>
      </c>
      <c r="C1023" t="s">
        <v>30</v>
      </c>
      <c r="D1023">
        <v>22</v>
      </c>
      <c r="E1023" s="13" t="s">
        <v>11709</v>
      </c>
      <c r="F1023">
        <v>0</v>
      </c>
      <c r="G1023" s="11">
        <v>8280.6200000000008</v>
      </c>
      <c r="H1023" t="s">
        <v>11</v>
      </c>
      <c r="I1023" t="s">
        <v>11</v>
      </c>
      <c r="J1023" t="s">
        <v>13</v>
      </c>
    </row>
    <row r="1024" spans="1:10" x14ac:dyDescent="0.3">
      <c r="A1024" t="s">
        <v>1055</v>
      </c>
      <c r="B1024">
        <v>1974</v>
      </c>
      <c r="C1024" t="s">
        <v>18</v>
      </c>
      <c r="D1024">
        <v>6</v>
      </c>
      <c r="E1024" s="13" t="s">
        <v>11127</v>
      </c>
      <c r="F1024">
        <v>0</v>
      </c>
      <c r="G1024" s="11">
        <v>8283.68</v>
      </c>
      <c r="H1024" t="s">
        <v>11</v>
      </c>
      <c r="I1024" t="s">
        <v>12</v>
      </c>
      <c r="J1024" t="s">
        <v>13</v>
      </c>
    </row>
    <row r="1025" spans="1:10" x14ac:dyDescent="0.3">
      <c r="A1025" t="s">
        <v>1056</v>
      </c>
      <c r="B1025">
        <v>1978</v>
      </c>
      <c r="C1025" t="s">
        <v>18</v>
      </c>
      <c r="D1025">
        <v>26</v>
      </c>
      <c r="E1025" s="13" t="s">
        <v>11710</v>
      </c>
      <c r="F1025">
        <v>2</v>
      </c>
      <c r="G1025" s="11">
        <v>8302.5400000000009</v>
      </c>
      <c r="H1025" t="s">
        <v>12</v>
      </c>
      <c r="I1025" t="s">
        <v>12</v>
      </c>
      <c r="J1025" t="s">
        <v>168</v>
      </c>
    </row>
    <row r="1026" spans="1:10" x14ac:dyDescent="0.3">
      <c r="A1026" t="s">
        <v>1057</v>
      </c>
      <c r="B1026">
        <v>1979</v>
      </c>
      <c r="C1026" t="s">
        <v>35</v>
      </c>
      <c r="D1026">
        <v>7</v>
      </c>
      <c r="E1026" s="13" t="s">
        <v>11711</v>
      </c>
      <c r="F1026">
        <v>2</v>
      </c>
      <c r="G1026" s="11">
        <v>8310.84</v>
      </c>
      <c r="H1026" t="s">
        <v>11</v>
      </c>
      <c r="I1026" t="s">
        <v>11</v>
      </c>
      <c r="J1026" t="s">
        <v>23</v>
      </c>
    </row>
    <row r="1027" spans="1:10" x14ac:dyDescent="0.3">
      <c r="A1027" t="s">
        <v>1058</v>
      </c>
      <c r="B1027">
        <v>1993</v>
      </c>
      <c r="C1027" t="s">
        <v>18</v>
      </c>
      <c r="D1027">
        <v>22</v>
      </c>
      <c r="E1027" s="13" t="s">
        <v>11712</v>
      </c>
      <c r="F1027">
        <v>0</v>
      </c>
      <c r="G1027" s="11">
        <v>8314.65</v>
      </c>
      <c r="H1027" t="s">
        <v>11</v>
      </c>
      <c r="I1027" t="s">
        <v>16</v>
      </c>
      <c r="J1027" t="s">
        <v>23</v>
      </c>
    </row>
    <row r="1028" spans="1:10" x14ac:dyDescent="0.3">
      <c r="A1028" t="s">
        <v>1059</v>
      </c>
      <c r="B1028">
        <v>1976</v>
      </c>
      <c r="C1028" t="s">
        <v>10</v>
      </c>
      <c r="D1028">
        <v>12</v>
      </c>
      <c r="E1028" s="13" t="s">
        <v>11713</v>
      </c>
      <c r="F1028">
        <v>1</v>
      </c>
      <c r="G1028" s="11">
        <v>8334.4599999999991</v>
      </c>
      <c r="H1028" t="s">
        <v>12</v>
      </c>
      <c r="I1028" t="s">
        <v>11</v>
      </c>
      <c r="J1028" t="s">
        <v>168</v>
      </c>
    </row>
    <row r="1029" spans="1:10" x14ac:dyDescent="0.3">
      <c r="A1029" t="s">
        <v>1060</v>
      </c>
      <c r="B1029">
        <v>1976</v>
      </c>
      <c r="C1029" t="s">
        <v>10</v>
      </c>
      <c r="D1029">
        <v>20</v>
      </c>
      <c r="E1029" s="13" t="s">
        <v>11714</v>
      </c>
      <c r="F1029">
        <v>1</v>
      </c>
      <c r="G1029" s="11">
        <v>8334.59</v>
      </c>
      <c r="H1029" t="s">
        <v>12</v>
      </c>
      <c r="I1029" t="s">
        <v>11</v>
      </c>
      <c r="J1029" t="s">
        <v>168</v>
      </c>
    </row>
    <row r="1030" spans="1:10" x14ac:dyDescent="0.3">
      <c r="A1030" t="s">
        <v>1061</v>
      </c>
      <c r="B1030">
        <v>1976</v>
      </c>
      <c r="C1030" t="s">
        <v>10</v>
      </c>
      <c r="D1030">
        <v>7</v>
      </c>
      <c r="E1030" s="13" t="s">
        <v>11715</v>
      </c>
      <c r="F1030">
        <v>1</v>
      </c>
      <c r="G1030" s="11">
        <v>8342.91</v>
      </c>
      <c r="H1030" t="s">
        <v>12</v>
      </c>
      <c r="I1030" t="s">
        <v>16</v>
      </c>
      <c r="J1030" t="s">
        <v>168</v>
      </c>
    </row>
    <row r="1031" spans="1:10" x14ac:dyDescent="0.3">
      <c r="A1031" t="s">
        <v>1062</v>
      </c>
      <c r="B1031">
        <v>1976</v>
      </c>
      <c r="C1031" t="s">
        <v>18</v>
      </c>
      <c r="D1031">
        <v>12</v>
      </c>
      <c r="E1031" s="13" t="s">
        <v>11716</v>
      </c>
      <c r="F1031">
        <v>2</v>
      </c>
      <c r="G1031" s="11">
        <v>8347.16</v>
      </c>
      <c r="H1031" t="s">
        <v>11</v>
      </c>
      <c r="I1031" t="s">
        <v>16</v>
      </c>
      <c r="J1031" t="s">
        <v>13</v>
      </c>
    </row>
    <row r="1032" spans="1:10" x14ac:dyDescent="0.3">
      <c r="A1032" t="s">
        <v>1063</v>
      </c>
      <c r="B1032">
        <v>1963</v>
      </c>
      <c r="C1032" t="s">
        <v>20</v>
      </c>
      <c r="D1032">
        <v>21</v>
      </c>
      <c r="E1032" s="13" t="s">
        <v>11717</v>
      </c>
      <c r="F1032">
        <v>0</v>
      </c>
      <c r="G1032" s="11">
        <v>8355.5400000000009</v>
      </c>
      <c r="H1032" t="s">
        <v>12</v>
      </c>
      <c r="I1032" t="s">
        <v>12</v>
      </c>
      <c r="J1032" t="s">
        <v>23</v>
      </c>
    </row>
    <row r="1033" spans="1:10" x14ac:dyDescent="0.3">
      <c r="A1033" t="s">
        <v>1064</v>
      </c>
      <c r="B1033">
        <v>1971</v>
      </c>
      <c r="C1033" t="s">
        <v>20</v>
      </c>
      <c r="D1033">
        <v>4</v>
      </c>
      <c r="E1033" s="13" t="s">
        <v>11718</v>
      </c>
      <c r="F1033">
        <v>0</v>
      </c>
      <c r="G1033" s="11">
        <v>8396.6200000000008</v>
      </c>
      <c r="H1033" t="s">
        <v>11</v>
      </c>
      <c r="I1033" t="s">
        <v>12</v>
      </c>
      <c r="J1033" t="s">
        <v>13</v>
      </c>
    </row>
    <row r="1034" spans="1:10" x14ac:dyDescent="0.3">
      <c r="A1034" t="s">
        <v>1065</v>
      </c>
      <c r="B1034">
        <v>1971</v>
      </c>
      <c r="C1034" t="s">
        <v>20</v>
      </c>
      <c r="D1034">
        <v>18</v>
      </c>
      <c r="E1034" s="13" t="s">
        <v>11719</v>
      </c>
      <c r="F1034">
        <v>0</v>
      </c>
      <c r="G1034" s="11">
        <v>8400.01</v>
      </c>
      <c r="H1034" t="s">
        <v>11</v>
      </c>
      <c r="I1034" t="s">
        <v>12</v>
      </c>
      <c r="J1034" t="s">
        <v>13</v>
      </c>
    </row>
    <row r="1035" spans="1:10" x14ac:dyDescent="0.3">
      <c r="A1035" t="s">
        <v>1066</v>
      </c>
      <c r="B1035">
        <v>1979</v>
      </c>
      <c r="C1035" t="s">
        <v>18</v>
      </c>
      <c r="D1035">
        <v>11</v>
      </c>
      <c r="E1035" s="13" t="s">
        <v>11720</v>
      </c>
      <c r="F1035">
        <v>3</v>
      </c>
      <c r="G1035" s="11">
        <v>8410.0499999999993</v>
      </c>
      <c r="H1035" t="s">
        <v>11</v>
      </c>
      <c r="I1035" t="s">
        <v>11</v>
      </c>
      <c r="J1035" t="s">
        <v>23</v>
      </c>
    </row>
    <row r="1036" spans="1:10" x14ac:dyDescent="0.3">
      <c r="A1036" t="s">
        <v>1067</v>
      </c>
      <c r="B1036">
        <v>1977</v>
      </c>
      <c r="C1036" t="s">
        <v>20</v>
      </c>
      <c r="D1036">
        <v>4</v>
      </c>
      <c r="E1036" s="13" t="s">
        <v>11721</v>
      </c>
      <c r="F1036">
        <v>2</v>
      </c>
      <c r="G1036" s="11">
        <v>8413.4599999999991</v>
      </c>
      <c r="H1036" t="s">
        <v>12</v>
      </c>
      <c r="I1036" t="s">
        <v>16</v>
      </c>
      <c r="J1036" t="s">
        <v>23</v>
      </c>
    </row>
    <row r="1037" spans="1:10" x14ac:dyDescent="0.3">
      <c r="A1037" t="s">
        <v>1068</v>
      </c>
      <c r="B1037">
        <v>1975</v>
      </c>
      <c r="C1037" t="s">
        <v>20</v>
      </c>
      <c r="D1037">
        <v>28</v>
      </c>
      <c r="E1037" s="13" t="s">
        <v>11722</v>
      </c>
      <c r="F1037">
        <v>1</v>
      </c>
      <c r="G1037" s="11">
        <v>8428.07</v>
      </c>
      <c r="H1037" t="s">
        <v>12</v>
      </c>
      <c r="I1037" t="s">
        <v>11</v>
      </c>
      <c r="J1037" t="s">
        <v>23</v>
      </c>
    </row>
    <row r="1038" spans="1:10" x14ac:dyDescent="0.3">
      <c r="A1038" t="s">
        <v>1069</v>
      </c>
      <c r="B1038">
        <v>1963</v>
      </c>
      <c r="C1038" t="s">
        <v>20</v>
      </c>
      <c r="D1038">
        <v>24</v>
      </c>
      <c r="E1038" s="13" t="s">
        <v>11723</v>
      </c>
      <c r="F1038">
        <v>0</v>
      </c>
      <c r="G1038" s="11">
        <v>8440.0499999999993</v>
      </c>
      <c r="H1038" t="s">
        <v>12</v>
      </c>
      <c r="I1038" t="s">
        <v>11</v>
      </c>
      <c r="J1038" t="s">
        <v>13</v>
      </c>
    </row>
    <row r="1039" spans="1:10" x14ac:dyDescent="0.3">
      <c r="A1039" t="s">
        <v>1070</v>
      </c>
      <c r="B1039">
        <v>1972</v>
      </c>
      <c r="C1039" t="s">
        <v>20</v>
      </c>
      <c r="D1039">
        <v>9</v>
      </c>
      <c r="E1039" s="13" t="s">
        <v>11724</v>
      </c>
      <c r="F1039">
        <v>0</v>
      </c>
      <c r="G1039" s="11">
        <v>8442.67</v>
      </c>
      <c r="H1039" t="s">
        <v>11</v>
      </c>
      <c r="I1039" t="s">
        <v>12</v>
      </c>
      <c r="J1039" t="s">
        <v>13</v>
      </c>
    </row>
    <row r="1040" spans="1:10" x14ac:dyDescent="0.3">
      <c r="A1040" t="s">
        <v>1071</v>
      </c>
      <c r="B1040">
        <v>1972</v>
      </c>
      <c r="C1040" t="s">
        <v>20</v>
      </c>
      <c r="D1040">
        <v>4</v>
      </c>
      <c r="E1040" s="13" t="s">
        <v>11725</v>
      </c>
      <c r="F1040">
        <v>0</v>
      </c>
      <c r="G1040" s="11">
        <v>8444.4699999999993</v>
      </c>
      <c r="H1040" t="s">
        <v>12</v>
      </c>
      <c r="I1040" t="s">
        <v>16</v>
      </c>
      <c r="J1040" t="s">
        <v>42</v>
      </c>
    </row>
    <row r="1041" spans="1:10" x14ac:dyDescent="0.3">
      <c r="A1041" t="s">
        <v>1072</v>
      </c>
      <c r="B1041">
        <v>1966</v>
      </c>
      <c r="C1041" t="s">
        <v>18</v>
      </c>
      <c r="D1041">
        <v>12</v>
      </c>
      <c r="E1041" s="13" t="s">
        <v>11726</v>
      </c>
      <c r="F1041">
        <v>0</v>
      </c>
      <c r="G1041" s="11">
        <v>8448.66</v>
      </c>
      <c r="H1041" t="s">
        <v>12</v>
      </c>
      <c r="I1041" t="s">
        <v>16</v>
      </c>
      <c r="J1041" t="s">
        <v>13</v>
      </c>
    </row>
    <row r="1042" spans="1:10" x14ac:dyDescent="0.3">
      <c r="A1042" t="s">
        <v>1073</v>
      </c>
      <c r="B1042">
        <v>1984</v>
      </c>
      <c r="C1042" t="s">
        <v>18</v>
      </c>
      <c r="D1042">
        <v>19</v>
      </c>
      <c r="E1042" s="13" t="s">
        <v>11727</v>
      </c>
      <c r="F1042">
        <v>3</v>
      </c>
      <c r="G1042" s="11">
        <v>8450.82</v>
      </c>
      <c r="H1042" t="s">
        <v>11</v>
      </c>
      <c r="I1042" t="s">
        <v>11</v>
      </c>
      <c r="J1042" t="s">
        <v>200</v>
      </c>
    </row>
    <row r="1043" spans="1:10" x14ac:dyDescent="0.3">
      <c r="A1043" t="s">
        <v>1074</v>
      </c>
      <c r="B1043">
        <v>1972</v>
      </c>
      <c r="C1043" t="s">
        <v>30</v>
      </c>
      <c r="D1043">
        <v>26</v>
      </c>
      <c r="E1043" s="13" t="s">
        <v>11728</v>
      </c>
      <c r="F1043">
        <v>0</v>
      </c>
      <c r="G1043" s="11">
        <v>8457.82</v>
      </c>
      <c r="H1043" t="s">
        <v>11</v>
      </c>
      <c r="I1043" t="s">
        <v>12</v>
      </c>
      <c r="J1043" t="s">
        <v>42</v>
      </c>
    </row>
    <row r="1044" spans="1:10" x14ac:dyDescent="0.3">
      <c r="A1044" t="s">
        <v>1075</v>
      </c>
      <c r="B1044">
        <v>1992</v>
      </c>
      <c r="C1044" t="s">
        <v>20</v>
      </c>
      <c r="D1044">
        <v>9</v>
      </c>
      <c r="E1044" s="13" t="s">
        <v>11729</v>
      </c>
      <c r="F1044">
        <v>0</v>
      </c>
      <c r="G1044" s="11">
        <v>8466.35</v>
      </c>
      <c r="H1044" t="s">
        <v>11</v>
      </c>
      <c r="I1044" t="s">
        <v>11</v>
      </c>
      <c r="J1044" t="s">
        <v>23</v>
      </c>
    </row>
    <row r="1045" spans="1:10" x14ac:dyDescent="0.3">
      <c r="A1045" t="s">
        <v>1076</v>
      </c>
      <c r="B1045">
        <v>1993</v>
      </c>
      <c r="C1045" t="s">
        <v>15</v>
      </c>
      <c r="D1045">
        <v>10</v>
      </c>
      <c r="E1045" s="13" t="s">
        <v>11730</v>
      </c>
      <c r="F1045">
        <v>0</v>
      </c>
      <c r="G1045" s="11">
        <v>8471.65</v>
      </c>
      <c r="H1045" t="s">
        <v>11</v>
      </c>
      <c r="I1045" t="s">
        <v>16</v>
      </c>
      <c r="J1045" t="s">
        <v>23</v>
      </c>
    </row>
    <row r="1046" spans="1:10" x14ac:dyDescent="0.3">
      <c r="A1046" t="s">
        <v>1077</v>
      </c>
      <c r="B1046">
        <v>1977</v>
      </c>
      <c r="C1046" t="s">
        <v>30</v>
      </c>
      <c r="D1046">
        <v>26</v>
      </c>
      <c r="E1046" s="13" t="s">
        <v>11731</v>
      </c>
      <c r="F1046">
        <v>2</v>
      </c>
      <c r="G1046" s="11">
        <v>8515.76</v>
      </c>
      <c r="H1046" t="s">
        <v>11</v>
      </c>
      <c r="I1046" t="s">
        <v>11</v>
      </c>
      <c r="J1046" t="s">
        <v>13</v>
      </c>
    </row>
    <row r="1047" spans="1:10" x14ac:dyDescent="0.3">
      <c r="A1047" t="s">
        <v>1078</v>
      </c>
      <c r="B1047">
        <v>1977</v>
      </c>
      <c r="C1047" t="s">
        <v>18</v>
      </c>
      <c r="D1047">
        <v>21</v>
      </c>
      <c r="E1047" s="13" t="s">
        <v>11732</v>
      </c>
      <c r="F1047">
        <v>2</v>
      </c>
      <c r="G1047" s="11">
        <v>8516.83</v>
      </c>
      <c r="H1047" t="s">
        <v>11</v>
      </c>
      <c r="I1047" t="s">
        <v>16</v>
      </c>
      <c r="J1047" t="s">
        <v>13</v>
      </c>
    </row>
    <row r="1048" spans="1:10" x14ac:dyDescent="0.3">
      <c r="A1048" t="s">
        <v>1079</v>
      </c>
      <c r="B1048">
        <v>1977</v>
      </c>
      <c r="C1048" t="s">
        <v>30</v>
      </c>
      <c r="D1048">
        <v>29</v>
      </c>
      <c r="E1048" s="13" t="s">
        <v>11733</v>
      </c>
      <c r="F1048">
        <v>2</v>
      </c>
      <c r="G1048" s="11">
        <v>8520.0300000000007</v>
      </c>
      <c r="H1048" t="s">
        <v>11</v>
      </c>
      <c r="I1048" t="s">
        <v>12</v>
      </c>
      <c r="J1048" t="s">
        <v>42</v>
      </c>
    </row>
    <row r="1049" spans="1:10" x14ac:dyDescent="0.3">
      <c r="A1049" t="s">
        <v>1080</v>
      </c>
      <c r="B1049">
        <v>1979</v>
      </c>
      <c r="C1049" t="s">
        <v>35</v>
      </c>
      <c r="D1049">
        <v>13</v>
      </c>
      <c r="E1049" s="13" t="s">
        <v>11734</v>
      </c>
      <c r="F1049">
        <v>3</v>
      </c>
      <c r="G1049" s="11">
        <v>8522</v>
      </c>
      <c r="H1049" t="s">
        <v>11</v>
      </c>
      <c r="I1049" t="s">
        <v>11</v>
      </c>
      <c r="J1049" t="s">
        <v>42</v>
      </c>
    </row>
    <row r="1050" spans="1:10" x14ac:dyDescent="0.3">
      <c r="A1050" t="s">
        <v>1081</v>
      </c>
      <c r="B1050">
        <v>1977</v>
      </c>
      <c r="C1050" t="s">
        <v>10</v>
      </c>
      <c r="D1050">
        <v>26</v>
      </c>
      <c r="E1050" s="13" t="s">
        <v>11735</v>
      </c>
      <c r="F1050">
        <v>2</v>
      </c>
      <c r="G1050" s="11">
        <v>8527.5300000000007</v>
      </c>
      <c r="H1050" t="s">
        <v>11</v>
      </c>
      <c r="I1050" t="s">
        <v>11</v>
      </c>
      <c r="J1050" t="s">
        <v>13</v>
      </c>
    </row>
    <row r="1051" spans="1:10" x14ac:dyDescent="0.3">
      <c r="A1051" t="s">
        <v>1082</v>
      </c>
      <c r="B1051">
        <v>1983</v>
      </c>
      <c r="C1051" t="s">
        <v>10</v>
      </c>
      <c r="D1051">
        <v>24</v>
      </c>
      <c r="E1051" s="13" t="s">
        <v>11736</v>
      </c>
      <c r="F1051">
        <v>0</v>
      </c>
      <c r="G1051" s="11">
        <v>8534.67</v>
      </c>
      <c r="H1051" t="s">
        <v>11</v>
      </c>
      <c r="I1051" t="s">
        <v>12</v>
      </c>
      <c r="J1051" t="s">
        <v>247</v>
      </c>
    </row>
    <row r="1052" spans="1:10" x14ac:dyDescent="0.3">
      <c r="A1052" t="s">
        <v>1083</v>
      </c>
      <c r="B1052">
        <v>1981</v>
      </c>
      <c r="C1052" t="s">
        <v>30</v>
      </c>
      <c r="D1052">
        <v>27</v>
      </c>
      <c r="E1052" s="13" t="s">
        <v>11737</v>
      </c>
      <c r="F1052">
        <v>3</v>
      </c>
      <c r="G1052" s="11">
        <v>8538.2900000000009</v>
      </c>
      <c r="H1052" t="s">
        <v>11</v>
      </c>
      <c r="I1052" t="s">
        <v>12</v>
      </c>
      <c r="J1052" t="s">
        <v>247</v>
      </c>
    </row>
    <row r="1053" spans="1:10" x14ac:dyDescent="0.3">
      <c r="A1053" t="s">
        <v>1084</v>
      </c>
      <c r="B1053">
        <v>1975</v>
      </c>
      <c r="C1053" t="s">
        <v>15</v>
      </c>
      <c r="D1053">
        <v>6</v>
      </c>
      <c r="E1053" s="13" t="s">
        <v>11738</v>
      </c>
      <c r="F1053">
        <v>1</v>
      </c>
      <c r="G1053" s="11">
        <v>8539.67</v>
      </c>
      <c r="H1053" t="s">
        <v>11</v>
      </c>
      <c r="I1053" t="s">
        <v>12</v>
      </c>
      <c r="J1053" t="s">
        <v>42</v>
      </c>
    </row>
    <row r="1054" spans="1:10" x14ac:dyDescent="0.3">
      <c r="A1054" t="s">
        <v>1085</v>
      </c>
      <c r="B1054">
        <v>1983</v>
      </c>
      <c r="C1054" t="s">
        <v>30</v>
      </c>
      <c r="D1054">
        <v>12</v>
      </c>
      <c r="E1054" s="13" t="s">
        <v>11739</v>
      </c>
      <c r="F1054">
        <v>1</v>
      </c>
      <c r="G1054" s="11">
        <v>8547.69</v>
      </c>
      <c r="H1054" t="s">
        <v>11</v>
      </c>
      <c r="I1054" t="s">
        <v>16</v>
      </c>
      <c r="J1054" t="s">
        <v>13</v>
      </c>
    </row>
    <row r="1055" spans="1:10" x14ac:dyDescent="0.3">
      <c r="A1055" t="s">
        <v>1086</v>
      </c>
      <c r="B1055">
        <v>1975</v>
      </c>
      <c r="C1055" t="s">
        <v>35</v>
      </c>
      <c r="D1055">
        <v>6</v>
      </c>
      <c r="E1055" s="13" t="s">
        <v>11740</v>
      </c>
      <c r="F1055">
        <v>1</v>
      </c>
      <c r="G1055" s="11">
        <v>8551.35</v>
      </c>
      <c r="H1055" t="s">
        <v>11</v>
      </c>
      <c r="I1055" t="s">
        <v>11</v>
      </c>
      <c r="J1055" t="s">
        <v>42</v>
      </c>
    </row>
    <row r="1056" spans="1:10" x14ac:dyDescent="0.3">
      <c r="A1056" t="s">
        <v>1087</v>
      </c>
      <c r="B1056">
        <v>1975</v>
      </c>
      <c r="C1056" t="s">
        <v>35</v>
      </c>
      <c r="D1056">
        <v>21</v>
      </c>
      <c r="E1056" s="13" t="s">
        <v>11741</v>
      </c>
      <c r="F1056">
        <v>1</v>
      </c>
      <c r="G1056" s="11">
        <v>8556.91</v>
      </c>
      <c r="H1056" t="s">
        <v>11</v>
      </c>
      <c r="I1056" t="s">
        <v>16</v>
      </c>
      <c r="J1056" t="s">
        <v>42</v>
      </c>
    </row>
    <row r="1057" spans="1:10" x14ac:dyDescent="0.3">
      <c r="A1057" t="s">
        <v>1088</v>
      </c>
      <c r="B1057">
        <v>1988</v>
      </c>
      <c r="C1057" t="s">
        <v>20</v>
      </c>
      <c r="D1057">
        <v>21</v>
      </c>
      <c r="E1057" s="13" t="s">
        <v>11742</v>
      </c>
      <c r="F1057">
        <v>3</v>
      </c>
      <c r="G1057" s="11">
        <v>8567.25</v>
      </c>
      <c r="H1057" t="s">
        <v>11</v>
      </c>
      <c r="I1057" t="s">
        <v>16</v>
      </c>
      <c r="J1057" t="s">
        <v>23</v>
      </c>
    </row>
    <row r="1058" spans="1:10" x14ac:dyDescent="0.3">
      <c r="A1058" t="s">
        <v>1089</v>
      </c>
      <c r="B1058">
        <v>1975</v>
      </c>
      <c r="C1058" t="s">
        <v>20</v>
      </c>
      <c r="D1058">
        <v>26</v>
      </c>
      <c r="E1058" s="13" t="s">
        <v>11743</v>
      </c>
      <c r="F1058">
        <v>1</v>
      </c>
      <c r="G1058" s="11">
        <v>8569.86</v>
      </c>
      <c r="H1058" t="s">
        <v>11</v>
      </c>
      <c r="I1058" t="s">
        <v>12</v>
      </c>
      <c r="J1058" t="s">
        <v>13</v>
      </c>
    </row>
    <row r="1059" spans="1:10" x14ac:dyDescent="0.3">
      <c r="A1059" t="s">
        <v>1090</v>
      </c>
      <c r="B1059">
        <v>1982</v>
      </c>
      <c r="C1059" t="s">
        <v>30</v>
      </c>
      <c r="D1059">
        <v>6</v>
      </c>
      <c r="E1059" s="13" t="s">
        <v>11744</v>
      </c>
      <c r="F1059">
        <v>3</v>
      </c>
      <c r="G1059" s="11">
        <v>8572.0400000000009</v>
      </c>
      <c r="H1059" t="s">
        <v>11</v>
      </c>
      <c r="I1059" t="s">
        <v>11</v>
      </c>
      <c r="J1059" t="s">
        <v>300</v>
      </c>
    </row>
    <row r="1060" spans="1:10" x14ac:dyDescent="0.3">
      <c r="A1060" t="s">
        <v>1091</v>
      </c>
      <c r="B1060">
        <v>1987</v>
      </c>
      <c r="C1060" t="s">
        <v>15</v>
      </c>
      <c r="D1060">
        <v>11</v>
      </c>
      <c r="E1060" s="13" t="s">
        <v>11745</v>
      </c>
      <c r="F1060">
        <v>3</v>
      </c>
      <c r="G1060" s="11">
        <v>8573.2999999999993</v>
      </c>
      <c r="H1060" t="s">
        <v>11</v>
      </c>
      <c r="I1060" t="s">
        <v>11</v>
      </c>
      <c r="J1060" t="s">
        <v>300</v>
      </c>
    </row>
    <row r="1061" spans="1:10" x14ac:dyDescent="0.3">
      <c r="A1061" t="s">
        <v>1092</v>
      </c>
      <c r="B1061">
        <v>1983</v>
      </c>
      <c r="C1061" t="s">
        <v>30</v>
      </c>
      <c r="D1061">
        <v>30</v>
      </c>
      <c r="E1061" s="13" t="s">
        <v>11746</v>
      </c>
      <c r="F1061">
        <v>5</v>
      </c>
      <c r="G1061" s="11">
        <v>8582.2999999999993</v>
      </c>
      <c r="H1061" t="s">
        <v>11</v>
      </c>
      <c r="I1061" t="s">
        <v>16</v>
      </c>
      <c r="J1061" t="s">
        <v>13</v>
      </c>
    </row>
    <row r="1062" spans="1:10" x14ac:dyDescent="0.3">
      <c r="A1062" t="s">
        <v>1093</v>
      </c>
      <c r="B1062">
        <v>1983</v>
      </c>
      <c r="C1062" t="s">
        <v>10</v>
      </c>
      <c r="D1062">
        <v>25</v>
      </c>
      <c r="E1062" s="13" t="s">
        <v>11747</v>
      </c>
      <c r="F1062">
        <v>5</v>
      </c>
      <c r="G1062" s="11">
        <v>8596.83</v>
      </c>
      <c r="H1062" t="s">
        <v>11</v>
      </c>
      <c r="I1062" t="s">
        <v>12</v>
      </c>
      <c r="J1062" t="s">
        <v>13</v>
      </c>
    </row>
    <row r="1063" spans="1:10" x14ac:dyDescent="0.3">
      <c r="A1063" t="s">
        <v>1094</v>
      </c>
      <c r="B1063">
        <v>1973</v>
      </c>
      <c r="C1063" t="s">
        <v>10</v>
      </c>
      <c r="D1063">
        <v>11</v>
      </c>
      <c r="E1063" s="13" t="s">
        <v>11748</v>
      </c>
      <c r="F1063">
        <v>0</v>
      </c>
      <c r="G1063" s="11">
        <v>8601.33</v>
      </c>
      <c r="H1063" t="s">
        <v>11</v>
      </c>
      <c r="I1063" t="s">
        <v>16</v>
      </c>
      <c r="J1063" t="s">
        <v>13</v>
      </c>
    </row>
    <row r="1064" spans="1:10" x14ac:dyDescent="0.3">
      <c r="A1064" t="s">
        <v>1095</v>
      </c>
      <c r="B1064">
        <v>1977</v>
      </c>
      <c r="C1064" t="s">
        <v>20</v>
      </c>
      <c r="D1064">
        <v>24</v>
      </c>
      <c r="E1064" s="13" t="s">
        <v>11749</v>
      </c>
      <c r="F1064">
        <v>2</v>
      </c>
      <c r="G1064" s="11">
        <v>8603.82</v>
      </c>
      <c r="H1064" t="s">
        <v>11</v>
      </c>
      <c r="I1064" t="s">
        <v>16</v>
      </c>
      <c r="J1064" t="s">
        <v>166</v>
      </c>
    </row>
    <row r="1065" spans="1:10" x14ac:dyDescent="0.3">
      <c r="A1065" t="s">
        <v>1096</v>
      </c>
      <c r="B1065">
        <v>1977</v>
      </c>
      <c r="C1065" t="s">
        <v>15</v>
      </c>
      <c r="D1065">
        <v>12</v>
      </c>
      <c r="E1065" s="13" t="s">
        <v>11750</v>
      </c>
      <c r="F1065">
        <v>2</v>
      </c>
      <c r="G1065" s="11">
        <v>8604.48</v>
      </c>
      <c r="H1065" t="s">
        <v>12</v>
      </c>
      <c r="I1065" t="s">
        <v>11</v>
      </c>
      <c r="J1065" t="s">
        <v>168</v>
      </c>
    </row>
    <row r="1066" spans="1:10" x14ac:dyDescent="0.3">
      <c r="A1066" t="s">
        <v>1097</v>
      </c>
      <c r="B1066">
        <v>1977</v>
      </c>
      <c r="C1066" t="s">
        <v>37</v>
      </c>
      <c r="D1066">
        <v>15</v>
      </c>
      <c r="E1066" s="13" t="s">
        <v>11751</v>
      </c>
      <c r="F1066">
        <v>3</v>
      </c>
      <c r="G1066" s="11">
        <v>8605.36</v>
      </c>
      <c r="H1066" t="s">
        <v>11</v>
      </c>
      <c r="I1066" t="s">
        <v>11</v>
      </c>
      <c r="J1066" t="s">
        <v>13</v>
      </c>
    </row>
    <row r="1067" spans="1:10" x14ac:dyDescent="0.3">
      <c r="A1067" t="s">
        <v>1098</v>
      </c>
      <c r="B1067">
        <v>1979</v>
      </c>
      <c r="C1067" t="s">
        <v>10</v>
      </c>
      <c r="D1067">
        <v>17</v>
      </c>
      <c r="E1067" s="13" t="s">
        <v>11681</v>
      </c>
      <c r="F1067">
        <v>3</v>
      </c>
      <c r="G1067" s="11">
        <v>8606.2199999999993</v>
      </c>
      <c r="H1067" t="s">
        <v>16</v>
      </c>
      <c r="I1067" t="s">
        <v>11</v>
      </c>
      <c r="J1067" t="s">
        <v>276</v>
      </c>
    </row>
    <row r="1068" spans="1:10" x14ac:dyDescent="0.3">
      <c r="A1068" t="s">
        <v>1099</v>
      </c>
      <c r="B1068">
        <v>1977</v>
      </c>
      <c r="C1068" t="s">
        <v>20</v>
      </c>
      <c r="D1068">
        <v>2</v>
      </c>
      <c r="E1068" s="13" t="s">
        <v>11752</v>
      </c>
      <c r="F1068">
        <v>3</v>
      </c>
      <c r="G1068" s="11">
        <v>8615.2999999999993</v>
      </c>
      <c r="H1068" t="s">
        <v>11</v>
      </c>
      <c r="I1068" t="s">
        <v>12</v>
      </c>
      <c r="J1068" t="s">
        <v>42</v>
      </c>
    </row>
    <row r="1069" spans="1:10" x14ac:dyDescent="0.3">
      <c r="A1069" t="s">
        <v>1100</v>
      </c>
      <c r="B1069">
        <v>1975</v>
      </c>
      <c r="C1069" t="s">
        <v>35</v>
      </c>
      <c r="D1069">
        <v>3</v>
      </c>
      <c r="E1069" s="13" t="s">
        <v>11753</v>
      </c>
      <c r="F1069">
        <v>1</v>
      </c>
      <c r="G1069" s="11">
        <v>8627.5400000000009</v>
      </c>
      <c r="H1069" t="s">
        <v>11</v>
      </c>
      <c r="I1069" t="s">
        <v>11</v>
      </c>
      <c r="J1069" t="s">
        <v>356</v>
      </c>
    </row>
    <row r="1070" spans="1:10" x14ac:dyDescent="0.3">
      <c r="A1070" t="s">
        <v>1101</v>
      </c>
      <c r="B1070">
        <v>1965</v>
      </c>
      <c r="C1070" t="s">
        <v>37</v>
      </c>
      <c r="D1070">
        <v>21</v>
      </c>
      <c r="E1070" s="13" t="s">
        <v>11687</v>
      </c>
      <c r="F1070">
        <v>0</v>
      </c>
      <c r="G1070" s="11">
        <v>8665.09</v>
      </c>
      <c r="H1070" t="s">
        <v>12</v>
      </c>
      <c r="I1070" t="s">
        <v>11</v>
      </c>
      <c r="J1070" t="s">
        <v>23</v>
      </c>
    </row>
    <row r="1071" spans="1:10" x14ac:dyDescent="0.3">
      <c r="A1071" t="s">
        <v>1102</v>
      </c>
      <c r="B1071">
        <v>1969</v>
      </c>
      <c r="C1071" t="s">
        <v>35</v>
      </c>
      <c r="D1071">
        <v>10</v>
      </c>
      <c r="E1071" s="13" t="s">
        <v>11754</v>
      </c>
      <c r="F1071">
        <v>0</v>
      </c>
      <c r="G1071" s="11">
        <v>8665.14</v>
      </c>
      <c r="H1071" t="s">
        <v>11</v>
      </c>
      <c r="I1071" t="s">
        <v>12</v>
      </c>
      <c r="J1071" t="s">
        <v>13</v>
      </c>
    </row>
    <row r="1072" spans="1:10" x14ac:dyDescent="0.3">
      <c r="A1072" t="s">
        <v>1103</v>
      </c>
      <c r="B1072">
        <v>1974</v>
      </c>
      <c r="C1072" t="s">
        <v>35</v>
      </c>
      <c r="D1072">
        <v>16</v>
      </c>
      <c r="E1072" s="13" t="s">
        <v>11755</v>
      </c>
      <c r="F1072">
        <v>0</v>
      </c>
      <c r="G1072" s="11">
        <v>8671.19</v>
      </c>
      <c r="H1072" t="s">
        <v>11</v>
      </c>
      <c r="I1072" t="s">
        <v>16</v>
      </c>
      <c r="J1072" t="s">
        <v>23</v>
      </c>
    </row>
    <row r="1073" spans="1:10" x14ac:dyDescent="0.3">
      <c r="A1073" t="s">
        <v>1104</v>
      </c>
      <c r="B1073">
        <v>1973</v>
      </c>
      <c r="C1073" t="s">
        <v>37</v>
      </c>
      <c r="D1073">
        <v>11</v>
      </c>
      <c r="E1073" s="13" t="s">
        <v>11756</v>
      </c>
      <c r="F1073">
        <v>0</v>
      </c>
      <c r="G1073" s="11">
        <v>8688.86</v>
      </c>
      <c r="H1073" t="s">
        <v>11</v>
      </c>
      <c r="I1073" t="s">
        <v>16</v>
      </c>
      <c r="J1073" t="s">
        <v>356</v>
      </c>
    </row>
    <row r="1074" spans="1:10" x14ac:dyDescent="0.3">
      <c r="A1074" t="s">
        <v>1105</v>
      </c>
      <c r="B1074">
        <v>1980</v>
      </c>
      <c r="C1074" t="s">
        <v>37</v>
      </c>
      <c r="D1074">
        <v>28</v>
      </c>
      <c r="E1074" s="13" t="s">
        <v>11757</v>
      </c>
      <c r="F1074">
        <v>2</v>
      </c>
      <c r="G1074" s="11">
        <v>8701.84</v>
      </c>
      <c r="H1074" t="s">
        <v>11</v>
      </c>
      <c r="I1074" t="s">
        <v>12</v>
      </c>
      <c r="J1074" t="s">
        <v>300</v>
      </c>
    </row>
    <row r="1075" spans="1:10" x14ac:dyDescent="0.3">
      <c r="A1075" t="s">
        <v>1106</v>
      </c>
      <c r="B1075">
        <v>1973</v>
      </c>
      <c r="C1075" t="s">
        <v>18</v>
      </c>
      <c r="D1075">
        <v>25</v>
      </c>
      <c r="E1075" s="13" t="s">
        <v>11758</v>
      </c>
      <c r="F1075">
        <v>1</v>
      </c>
      <c r="G1075" s="11">
        <v>8703.4599999999991</v>
      </c>
      <c r="H1075" t="s">
        <v>12</v>
      </c>
      <c r="I1075" t="s">
        <v>12</v>
      </c>
      <c r="J1075" t="s">
        <v>42</v>
      </c>
    </row>
    <row r="1076" spans="1:10" x14ac:dyDescent="0.3">
      <c r="A1076" t="s">
        <v>1107</v>
      </c>
      <c r="B1076">
        <v>1976</v>
      </c>
      <c r="C1076" t="s">
        <v>18</v>
      </c>
      <c r="D1076">
        <v>17</v>
      </c>
      <c r="E1076" s="13" t="s">
        <v>11759</v>
      </c>
      <c r="F1076">
        <v>2</v>
      </c>
      <c r="G1076" s="11">
        <v>8733.23</v>
      </c>
      <c r="H1076" t="s">
        <v>11</v>
      </c>
      <c r="I1076" t="s">
        <v>12</v>
      </c>
      <c r="J1076" t="s">
        <v>23</v>
      </c>
    </row>
    <row r="1077" spans="1:10" x14ac:dyDescent="0.3">
      <c r="A1077" t="s">
        <v>1108</v>
      </c>
      <c r="B1077">
        <v>1999</v>
      </c>
      <c r="C1077" t="s">
        <v>35</v>
      </c>
      <c r="D1077">
        <v>23</v>
      </c>
      <c r="E1077" s="13" t="s">
        <v>11760</v>
      </c>
      <c r="F1077">
        <v>0</v>
      </c>
      <c r="G1077" s="11">
        <v>8747.68</v>
      </c>
      <c r="H1077" t="s">
        <v>11</v>
      </c>
      <c r="I1077" t="s">
        <v>12</v>
      </c>
      <c r="J1077" t="s">
        <v>42</v>
      </c>
    </row>
    <row r="1078" spans="1:10" x14ac:dyDescent="0.3">
      <c r="A1078" t="s">
        <v>1109</v>
      </c>
      <c r="B1078">
        <v>1969</v>
      </c>
      <c r="C1078" t="s">
        <v>20</v>
      </c>
      <c r="D1078">
        <v>9</v>
      </c>
      <c r="E1078" s="13" t="s">
        <v>11761</v>
      </c>
      <c r="F1078">
        <v>0</v>
      </c>
      <c r="G1078" s="11">
        <v>8760.1200000000008</v>
      </c>
      <c r="H1078" t="s">
        <v>11</v>
      </c>
      <c r="I1078" t="s">
        <v>16</v>
      </c>
      <c r="J1078" t="s">
        <v>13</v>
      </c>
    </row>
    <row r="1079" spans="1:10" x14ac:dyDescent="0.3">
      <c r="A1079" t="s">
        <v>1110</v>
      </c>
      <c r="B1079">
        <v>1974</v>
      </c>
      <c r="C1079" t="s">
        <v>20</v>
      </c>
      <c r="D1079">
        <v>6</v>
      </c>
      <c r="E1079" s="13" t="s">
        <v>11762</v>
      </c>
      <c r="F1079">
        <v>1</v>
      </c>
      <c r="G1079" s="11">
        <v>8765.25</v>
      </c>
      <c r="H1079" t="s">
        <v>11</v>
      </c>
      <c r="I1079" t="s">
        <v>12</v>
      </c>
      <c r="J1079" t="s">
        <v>23</v>
      </c>
    </row>
    <row r="1080" spans="1:10" x14ac:dyDescent="0.3">
      <c r="A1080" t="s">
        <v>1111</v>
      </c>
      <c r="B1080">
        <v>1971</v>
      </c>
      <c r="C1080" t="s">
        <v>35</v>
      </c>
      <c r="D1080">
        <v>23</v>
      </c>
      <c r="E1080" s="13" t="s">
        <v>11763</v>
      </c>
      <c r="F1080">
        <v>0</v>
      </c>
      <c r="G1080" s="11">
        <v>8782.4699999999993</v>
      </c>
      <c r="H1080" t="s">
        <v>11</v>
      </c>
      <c r="I1080" t="s">
        <v>12</v>
      </c>
      <c r="J1080" t="s">
        <v>42</v>
      </c>
    </row>
    <row r="1081" spans="1:10" x14ac:dyDescent="0.3">
      <c r="A1081" t="s">
        <v>1112</v>
      </c>
      <c r="B1081">
        <v>1971</v>
      </c>
      <c r="C1081" t="s">
        <v>18</v>
      </c>
      <c r="D1081">
        <v>18</v>
      </c>
      <c r="E1081" s="13" t="s">
        <v>11764</v>
      </c>
      <c r="F1081">
        <v>0</v>
      </c>
      <c r="G1081" s="11">
        <v>8798.59</v>
      </c>
      <c r="H1081" t="s">
        <v>11</v>
      </c>
      <c r="I1081" t="s">
        <v>16</v>
      </c>
      <c r="J1081" t="s">
        <v>42</v>
      </c>
    </row>
    <row r="1082" spans="1:10" x14ac:dyDescent="0.3">
      <c r="A1082" t="s">
        <v>1113</v>
      </c>
      <c r="B1082">
        <v>1965</v>
      </c>
      <c r="C1082" t="s">
        <v>35</v>
      </c>
      <c r="D1082">
        <v>29</v>
      </c>
      <c r="E1082" s="13" t="s">
        <v>11765</v>
      </c>
      <c r="F1082">
        <v>0</v>
      </c>
      <c r="G1082" s="11">
        <v>8800.49</v>
      </c>
      <c r="H1082" t="s">
        <v>12</v>
      </c>
      <c r="I1082" t="s">
        <v>11</v>
      </c>
      <c r="J1082" t="s">
        <v>13</v>
      </c>
    </row>
    <row r="1083" spans="1:10" x14ac:dyDescent="0.3">
      <c r="A1083" t="s">
        <v>1114</v>
      </c>
      <c r="B1083">
        <v>2001</v>
      </c>
      <c r="C1083" t="s">
        <v>15</v>
      </c>
      <c r="D1083">
        <v>7</v>
      </c>
      <c r="E1083" s="13" t="s">
        <v>11766</v>
      </c>
      <c r="F1083">
        <v>0</v>
      </c>
      <c r="G1083" s="11">
        <v>8821.8799999999992</v>
      </c>
      <c r="H1083" t="s">
        <v>11</v>
      </c>
      <c r="I1083" t="s">
        <v>12</v>
      </c>
      <c r="J1083" t="s">
        <v>249</v>
      </c>
    </row>
    <row r="1084" spans="1:10" x14ac:dyDescent="0.3">
      <c r="A1084" t="s">
        <v>1115</v>
      </c>
      <c r="B1084">
        <v>1976</v>
      </c>
      <c r="C1084" t="s">
        <v>18</v>
      </c>
      <c r="D1084">
        <v>14</v>
      </c>
      <c r="E1084" s="13" t="s">
        <v>11767</v>
      </c>
      <c r="F1084">
        <v>2</v>
      </c>
      <c r="G1084" s="11">
        <v>8823.2800000000007</v>
      </c>
      <c r="H1084" t="s">
        <v>11</v>
      </c>
      <c r="I1084" t="s">
        <v>16</v>
      </c>
      <c r="J1084" t="s">
        <v>42</v>
      </c>
    </row>
    <row r="1085" spans="1:10" x14ac:dyDescent="0.3">
      <c r="A1085" t="s">
        <v>1116</v>
      </c>
      <c r="B1085">
        <v>1976</v>
      </c>
      <c r="C1085" t="s">
        <v>37</v>
      </c>
      <c r="D1085">
        <v>19</v>
      </c>
      <c r="E1085" s="13" t="s">
        <v>11768</v>
      </c>
      <c r="F1085">
        <v>1</v>
      </c>
      <c r="G1085" s="11">
        <v>8823.99</v>
      </c>
      <c r="H1085" t="s">
        <v>11</v>
      </c>
      <c r="I1085" t="s">
        <v>12</v>
      </c>
      <c r="J1085" t="s">
        <v>247</v>
      </c>
    </row>
    <row r="1086" spans="1:10" x14ac:dyDescent="0.3">
      <c r="A1086" t="s">
        <v>1117</v>
      </c>
      <c r="B1086">
        <v>1988</v>
      </c>
      <c r="C1086" t="s">
        <v>35</v>
      </c>
      <c r="D1086">
        <v>22</v>
      </c>
      <c r="E1086" s="13" t="s">
        <v>11769</v>
      </c>
      <c r="F1086">
        <v>3</v>
      </c>
      <c r="G1086" s="11">
        <v>8824.27</v>
      </c>
      <c r="H1086" t="s">
        <v>11</v>
      </c>
      <c r="I1086" t="s">
        <v>16</v>
      </c>
      <c r="J1086" t="s">
        <v>200</v>
      </c>
    </row>
    <row r="1087" spans="1:10" x14ac:dyDescent="0.3">
      <c r="A1087" t="s">
        <v>1118</v>
      </c>
      <c r="B1087">
        <v>1976</v>
      </c>
      <c r="C1087" t="s">
        <v>10</v>
      </c>
      <c r="D1087">
        <v>14</v>
      </c>
      <c r="E1087" s="13" t="s">
        <v>11770</v>
      </c>
      <c r="F1087">
        <v>2</v>
      </c>
      <c r="G1087" s="11">
        <v>8825.09</v>
      </c>
      <c r="H1087" t="s">
        <v>11</v>
      </c>
      <c r="I1087" t="s">
        <v>12</v>
      </c>
      <c r="J1087" t="s">
        <v>42</v>
      </c>
    </row>
    <row r="1088" spans="1:10" x14ac:dyDescent="0.3">
      <c r="A1088" t="s">
        <v>1119</v>
      </c>
      <c r="B1088">
        <v>1972</v>
      </c>
      <c r="C1088" t="s">
        <v>15</v>
      </c>
      <c r="D1088">
        <v>14</v>
      </c>
      <c r="E1088" s="13" t="s">
        <v>11771</v>
      </c>
      <c r="F1088">
        <v>0</v>
      </c>
      <c r="G1088" s="11">
        <v>8827.2099999999991</v>
      </c>
      <c r="H1088" t="s">
        <v>12</v>
      </c>
      <c r="I1088" t="s">
        <v>16</v>
      </c>
      <c r="J1088" t="s">
        <v>23</v>
      </c>
    </row>
    <row r="1089" spans="1:10" x14ac:dyDescent="0.3">
      <c r="A1089" t="s">
        <v>1120</v>
      </c>
      <c r="B1089">
        <v>1972</v>
      </c>
      <c r="C1089" t="s">
        <v>15</v>
      </c>
      <c r="D1089">
        <v>22</v>
      </c>
      <c r="E1089" s="13" t="s">
        <v>11772</v>
      </c>
      <c r="F1089">
        <v>0</v>
      </c>
      <c r="G1089" s="11">
        <v>8835.26</v>
      </c>
      <c r="H1089" t="s">
        <v>12</v>
      </c>
      <c r="I1089" t="s">
        <v>11</v>
      </c>
      <c r="J1089" t="s">
        <v>23</v>
      </c>
    </row>
    <row r="1090" spans="1:10" x14ac:dyDescent="0.3">
      <c r="A1090" t="s">
        <v>1121</v>
      </c>
      <c r="B1090">
        <v>1974</v>
      </c>
      <c r="C1090" t="s">
        <v>18</v>
      </c>
      <c r="D1090">
        <v>18</v>
      </c>
      <c r="E1090" s="13" t="s">
        <v>11773</v>
      </c>
      <c r="F1090">
        <v>1</v>
      </c>
      <c r="G1090" s="11">
        <v>8871.15</v>
      </c>
      <c r="H1090" t="s">
        <v>11</v>
      </c>
      <c r="I1090" t="s">
        <v>12</v>
      </c>
      <c r="J1090" t="s">
        <v>13</v>
      </c>
    </row>
    <row r="1091" spans="1:10" x14ac:dyDescent="0.3">
      <c r="A1091" t="s">
        <v>1122</v>
      </c>
      <c r="B1091">
        <v>1973</v>
      </c>
      <c r="C1091" t="s">
        <v>20</v>
      </c>
      <c r="D1091">
        <v>9</v>
      </c>
      <c r="E1091" s="13" t="s">
        <v>11774</v>
      </c>
      <c r="F1091">
        <v>0</v>
      </c>
      <c r="G1091" s="11">
        <v>8890.59</v>
      </c>
      <c r="H1091" t="s">
        <v>11</v>
      </c>
      <c r="I1091" t="s">
        <v>12</v>
      </c>
      <c r="J1091" t="s">
        <v>23</v>
      </c>
    </row>
    <row r="1092" spans="1:10" x14ac:dyDescent="0.3">
      <c r="A1092" t="s">
        <v>1123</v>
      </c>
      <c r="B1092">
        <v>1978</v>
      </c>
      <c r="C1092" t="s">
        <v>30</v>
      </c>
      <c r="D1092">
        <v>16</v>
      </c>
      <c r="E1092" s="13" t="s">
        <v>11775</v>
      </c>
      <c r="F1092">
        <v>3</v>
      </c>
      <c r="G1092" s="11">
        <v>8891.14</v>
      </c>
      <c r="H1092" t="s">
        <v>11</v>
      </c>
      <c r="I1092" t="s">
        <v>12</v>
      </c>
      <c r="J1092" t="s">
        <v>356</v>
      </c>
    </row>
    <row r="1093" spans="1:10" x14ac:dyDescent="0.3">
      <c r="A1093" t="s">
        <v>1124</v>
      </c>
      <c r="B1093">
        <v>1997</v>
      </c>
      <c r="C1093" t="s">
        <v>15</v>
      </c>
      <c r="D1093">
        <v>28</v>
      </c>
      <c r="E1093" s="13" t="s">
        <v>11776</v>
      </c>
      <c r="F1093">
        <v>0</v>
      </c>
      <c r="G1093" s="11">
        <v>8906.14</v>
      </c>
      <c r="H1093" t="s">
        <v>11</v>
      </c>
      <c r="I1093" t="s">
        <v>11</v>
      </c>
      <c r="J1093" t="s">
        <v>23</v>
      </c>
    </row>
    <row r="1094" spans="1:10" x14ac:dyDescent="0.3">
      <c r="A1094" t="s">
        <v>1125</v>
      </c>
      <c r="B1094">
        <v>1967</v>
      </c>
      <c r="C1094" t="s">
        <v>20</v>
      </c>
      <c r="D1094">
        <v>6</v>
      </c>
      <c r="E1094" s="13" t="s">
        <v>11777</v>
      </c>
      <c r="F1094">
        <v>0</v>
      </c>
      <c r="G1094" s="11">
        <v>8908.4699999999993</v>
      </c>
      <c r="H1094" t="s">
        <v>12</v>
      </c>
      <c r="I1094" t="s">
        <v>11</v>
      </c>
      <c r="J1094" t="s">
        <v>13</v>
      </c>
    </row>
    <row r="1095" spans="1:10" x14ac:dyDescent="0.3">
      <c r="A1095" t="s">
        <v>1126</v>
      </c>
      <c r="B1095">
        <v>1975</v>
      </c>
      <c r="C1095" t="s">
        <v>10</v>
      </c>
      <c r="D1095">
        <v>7</v>
      </c>
      <c r="E1095" s="13" t="s">
        <v>11778</v>
      </c>
      <c r="F1095">
        <v>1</v>
      </c>
      <c r="G1095" s="11">
        <v>8930.93</v>
      </c>
      <c r="H1095" t="s">
        <v>11</v>
      </c>
      <c r="I1095" t="s">
        <v>11</v>
      </c>
      <c r="J1095" t="s">
        <v>23</v>
      </c>
    </row>
    <row r="1096" spans="1:10" x14ac:dyDescent="0.3">
      <c r="A1096" t="s">
        <v>1127</v>
      </c>
      <c r="B1096">
        <v>1972</v>
      </c>
      <c r="C1096" t="s">
        <v>18</v>
      </c>
      <c r="D1096">
        <v>6</v>
      </c>
      <c r="E1096" s="13" t="s">
        <v>11414</v>
      </c>
      <c r="F1096">
        <v>0</v>
      </c>
      <c r="G1096" s="11">
        <v>8932.08</v>
      </c>
      <c r="H1096" t="s">
        <v>11</v>
      </c>
      <c r="I1096" t="s">
        <v>16</v>
      </c>
      <c r="J1096" t="s">
        <v>42</v>
      </c>
    </row>
    <row r="1097" spans="1:10" x14ac:dyDescent="0.3">
      <c r="A1097" t="s">
        <v>1128</v>
      </c>
      <c r="B1097">
        <v>1976</v>
      </c>
      <c r="C1097" t="s">
        <v>30</v>
      </c>
      <c r="D1097">
        <v>25</v>
      </c>
      <c r="E1097" s="13" t="s">
        <v>11779</v>
      </c>
      <c r="F1097">
        <v>3</v>
      </c>
      <c r="G1097" s="11">
        <v>8944.1200000000008</v>
      </c>
      <c r="H1097" t="s">
        <v>12</v>
      </c>
      <c r="I1097" t="s">
        <v>11</v>
      </c>
      <c r="J1097" t="s">
        <v>13</v>
      </c>
    </row>
    <row r="1098" spans="1:10" x14ac:dyDescent="0.3">
      <c r="A1098" t="s">
        <v>1129</v>
      </c>
      <c r="B1098">
        <v>1992</v>
      </c>
      <c r="C1098" t="s">
        <v>20</v>
      </c>
      <c r="D1098">
        <v>27</v>
      </c>
      <c r="E1098" s="13" t="s">
        <v>11780</v>
      </c>
      <c r="F1098">
        <v>0</v>
      </c>
      <c r="G1098" s="11">
        <v>8954.99</v>
      </c>
      <c r="H1098" t="s">
        <v>11</v>
      </c>
      <c r="I1098" t="s">
        <v>12</v>
      </c>
      <c r="J1098" t="s">
        <v>535</v>
      </c>
    </row>
    <row r="1099" spans="1:10" x14ac:dyDescent="0.3">
      <c r="A1099" t="s">
        <v>1130</v>
      </c>
      <c r="B1099">
        <v>1974</v>
      </c>
      <c r="C1099" t="s">
        <v>35</v>
      </c>
      <c r="D1099">
        <v>17</v>
      </c>
      <c r="E1099" s="13" t="s">
        <v>11781</v>
      </c>
      <c r="F1099">
        <v>1</v>
      </c>
      <c r="G1099" s="11">
        <v>8964.06</v>
      </c>
      <c r="H1099" t="s">
        <v>12</v>
      </c>
      <c r="I1099" t="s">
        <v>11</v>
      </c>
      <c r="J1099" t="s">
        <v>168</v>
      </c>
    </row>
    <row r="1100" spans="1:10" x14ac:dyDescent="0.3">
      <c r="A1100" t="s">
        <v>1131</v>
      </c>
      <c r="B1100">
        <v>1983</v>
      </c>
      <c r="C1100" t="s">
        <v>10</v>
      </c>
      <c r="D1100">
        <v>15</v>
      </c>
      <c r="E1100" s="13" t="s">
        <v>11687</v>
      </c>
      <c r="F1100">
        <v>5</v>
      </c>
      <c r="G1100" s="11">
        <v>8965.7999999999993</v>
      </c>
      <c r="H1100" t="s">
        <v>11</v>
      </c>
      <c r="I1100" t="s">
        <v>12</v>
      </c>
      <c r="J1100" t="s">
        <v>23</v>
      </c>
    </row>
    <row r="1101" spans="1:10" x14ac:dyDescent="0.3">
      <c r="A1101" t="s">
        <v>1132</v>
      </c>
      <c r="B1101">
        <v>1974</v>
      </c>
      <c r="C1101" t="s">
        <v>20</v>
      </c>
      <c r="D1101">
        <v>8</v>
      </c>
      <c r="E1101" s="13" t="s">
        <v>11782</v>
      </c>
      <c r="F1101">
        <v>2</v>
      </c>
      <c r="G1101" s="11">
        <v>8968.33</v>
      </c>
      <c r="H1101" t="s">
        <v>12</v>
      </c>
      <c r="I1101" t="s">
        <v>11</v>
      </c>
      <c r="J1101" t="s">
        <v>42</v>
      </c>
    </row>
    <row r="1102" spans="1:10" x14ac:dyDescent="0.3">
      <c r="A1102" t="s">
        <v>1133</v>
      </c>
      <c r="B1102">
        <v>1974</v>
      </c>
      <c r="C1102" t="s">
        <v>10</v>
      </c>
      <c r="D1102">
        <v>21</v>
      </c>
      <c r="E1102" s="13" t="s">
        <v>11783</v>
      </c>
      <c r="F1102">
        <v>2</v>
      </c>
      <c r="G1102" s="11">
        <v>8978.19</v>
      </c>
      <c r="H1102" t="s">
        <v>11</v>
      </c>
      <c r="I1102" t="s">
        <v>11</v>
      </c>
      <c r="J1102" t="s">
        <v>13</v>
      </c>
    </row>
    <row r="1103" spans="1:10" x14ac:dyDescent="0.3">
      <c r="A1103" t="s">
        <v>1134</v>
      </c>
      <c r="B1103">
        <v>1973</v>
      </c>
      <c r="C1103" t="s">
        <v>37</v>
      </c>
      <c r="D1103">
        <v>11</v>
      </c>
      <c r="E1103" s="13" t="s">
        <v>11784</v>
      </c>
      <c r="F1103">
        <v>0</v>
      </c>
      <c r="G1103" s="11">
        <v>8988.16</v>
      </c>
      <c r="H1103" t="s">
        <v>11</v>
      </c>
      <c r="I1103" t="s">
        <v>16</v>
      </c>
      <c r="J1103" t="s">
        <v>23</v>
      </c>
    </row>
    <row r="1104" spans="1:10" x14ac:dyDescent="0.3">
      <c r="A1104" t="s">
        <v>1135</v>
      </c>
      <c r="B1104">
        <v>1979</v>
      </c>
      <c r="C1104" t="s">
        <v>30</v>
      </c>
      <c r="D1104">
        <v>16</v>
      </c>
      <c r="E1104" s="13" t="s">
        <v>11785</v>
      </c>
      <c r="F1104">
        <v>2</v>
      </c>
      <c r="G1104" s="11">
        <v>8998.43</v>
      </c>
      <c r="H1104" t="s">
        <v>11</v>
      </c>
      <c r="I1104" t="s">
        <v>16</v>
      </c>
      <c r="J1104" t="s">
        <v>200</v>
      </c>
    </row>
    <row r="1105" spans="1:10" x14ac:dyDescent="0.3">
      <c r="A1105" t="s">
        <v>1136</v>
      </c>
      <c r="B1105">
        <v>1993</v>
      </c>
      <c r="C1105" t="s">
        <v>30</v>
      </c>
      <c r="D1105">
        <v>1</v>
      </c>
      <c r="E1105" s="13" t="s">
        <v>11786</v>
      </c>
      <c r="F1105">
        <v>0</v>
      </c>
      <c r="G1105" s="11">
        <v>9010.2000000000007</v>
      </c>
      <c r="H1105" t="s">
        <v>11</v>
      </c>
      <c r="I1105" t="s">
        <v>12</v>
      </c>
      <c r="J1105" t="s">
        <v>535</v>
      </c>
    </row>
    <row r="1106" spans="1:10" x14ac:dyDescent="0.3">
      <c r="A1106" t="s">
        <v>1137</v>
      </c>
      <c r="B1106">
        <v>1972</v>
      </c>
      <c r="C1106" t="s">
        <v>30</v>
      </c>
      <c r="D1106">
        <v>7</v>
      </c>
      <c r="E1106" s="13" t="s">
        <v>11787</v>
      </c>
      <c r="F1106">
        <v>1</v>
      </c>
      <c r="G1106" s="11">
        <v>9048.0300000000007</v>
      </c>
      <c r="H1106" t="s">
        <v>11</v>
      </c>
      <c r="I1106" t="s">
        <v>11</v>
      </c>
      <c r="J1106" t="s">
        <v>13</v>
      </c>
    </row>
    <row r="1107" spans="1:10" x14ac:dyDescent="0.3">
      <c r="A1107" t="s">
        <v>1138</v>
      </c>
      <c r="B1107">
        <v>1972</v>
      </c>
      <c r="C1107" t="s">
        <v>30</v>
      </c>
      <c r="D1107">
        <v>2</v>
      </c>
      <c r="E1107" s="13" t="s">
        <v>11788</v>
      </c>
      <c r="F1107">
        <v>1</v>
      </c>
      <c r="G1107" s="11">
        <v>9058.73</v>
      </c>
      <c r="H1107" t="s">
        <v>12</v>
      </c>
      <c r="I1107" t="s">
        <v>11</v>
      </c>
      <c r="J1107" t="s">
        <v>13</v>
      </c>
    </row>
    <row r="1108" spans="1:10" x14ac:dyDescent="0.3">
      <c r="A1108" t="s">
        <v>1139</v>
      </c>
      <c r="B1108">
        <v>1977</v>
      </c>
      <c r="C1108" t="s">
        <v>15</v>
      </c>
      <c r="D1108">
        <v>4</v>
      </c>
      <c r="E1108" s="13" t="s">
        <v>11789</v>
      </c>
      <c r="F1108">
        <v>2</v>
      </c>
      <c r="G1108" s="11">
        <v>9095.07</v>
      </c>
      <c r="H1108" t="s">
        <v>11</v>
      </c>
      <c r="I1108" t="s">
        <v>11</v>
      </c>
      <c r="J1108" t="s">
        <v>247</v>
      </c>
    </row>
    <row r="1109" spans="1:10" x14ac:dyDescent="0.3">
      <c r="A1109" t="s">
        <v>1140</v>
      </c>
      <c r="B1109">
        <v>1965</v>
      </c>
      <c r="C1109" t="s">
        <v>15</v>
      </c>
      <c r="D1109">
        <v>9</v>
      </c>
      <c r="E1109" s="13" t="s">
        <v>11790</v>
      </c>
      <c r="F1109">
        <v>0</v>
      </c>
      <c r="G1109" s="11">
        <v>9095.94</v>
      </c>
      <c r="H1109" t="s">
        <v>12</v>
      </c>
      <c r="I1109" t="s">
        <v>16</v>
      </c>
      <c r="J1109" t="s">
        <v>42</v>
      </c>
    </row>
    <row r="1110" spans="1:10" x14ac:dyDescent="0.3">
      <c r="A1110" t="s">
        <v>1141</v>
      </c>
      <c r="B1110">
        <v>1977</v>
      </c>
      <c r="C1110" t="s">
        <v>30</v>
      </c>
      <c r="D1110">
        <v>2</v>
      </c>
      <c r="E1110" s="13" t="s">
        <v>11791</v>
      </c>
      <c r="F1110">
        <v>3</v>
      </c>
      <c r="G1110" s="11">
        <v>9101.7999999999993</v>
      </c>
      <c r="H1110" t="s">
        <v>11</v>
      </c>
      <c r="I1110" t="s">
        <v>16</v>
      </c>
      <c r="J1110" t="s">
        <v>42</v>
      </c>
    </row>
    <row r="1111" spans="1:10" x14ac:dyDescent="0.3">
      <c r="A1111" t="s">
        <v>1142</v>
      </c>
      <c r="B1111">
        <v>1970</v>
      </c>
      <c r="C1111" t="s">
        <v>35</v>
      </c>
      <c r="D1111">
        <v>12</v>
      </c>
      <c r="E1111" s="13" t="s">
        <v>11792</v>
      </c>
      <c r="F1111">
        <v>0</v>
      </c>
      <c r="G1111" s="11">
        <v>9140.9500000000007</v>
      </c>
      <c r="H1111" t="s">
        <v>12</v>
      </c>
      <c r="I1111" t="s">
        <v>12</v>
      </c>
      <c r="J1111" t="s">
        <v>13</v>
      </c>
    </row>
    <row r="1112" spans="1:10" x14ac:dyDescent="0.3">
      <c r="A1112" t="s">
        <v>1143</v>
      </c>
      <c r="B1112">
        <v>1970</v>
      </c>
      <c r="C1112" t="s">
        <v>37</v>
      </c>
      <c r="D1112">
        <v>18</v>
      </c>
      <c r="E1112" s="13" t="s">
        <v>11793</v>
      </c>
      <c r="F1112">
        <v>0</v>
      </c>
      <c r="G1112" s="11">
        <v>9144.57</v>
      </c>
      <c r="H1112" t="s">
        <v>12</v>
      </c>
      <c r="I1112" t="s">
        <v>11</v>
      </c>
      <c r="J1112" t="s">
        <v>42</v>
      </c>
    </row>
    <row r="1113" spans="1:10" x14ac:dyDescent="0.3">
      <c r="A1113" t="s">
        <v>1144</v>
      </c>
      <c r="B1113">
        <v>1982</v>
      </c>
      <c r="C1113" t="s">
        <v>30</v>
      </c>
      <c r="D1113">
        <v>8</v>
      </c>
      <c r="E1113" s="13" t="s">
        <v>11794</v>
      </c>
      <c r="F1113">
        <v>3</v>
      </c>
      <c r="G1113" s="11">
        <v>9147.5</v>
      </c>
      <c r="H1113" t="s">
        <v>11</v>
      </c>
      <c r="I1113" t="s">
        <v>16</v>
      </c>
      <c r="J1113" t="s">
        <v>23</v>
      </c>
    </row>
    <row r="1114" spans="1:10" x14ac:dyDescent="0.3">
      <c r="A1114" t="s">
        <v>1145</v>
      </c>
      <c r="B1114">
        <v>1990</v>
      </c>
      <c r="C1114" t="s">
        <v>35</v>
      </c>
      <c r="D1114">
        <v>23</v>
      </c>
      <c r="E1114" s="13" t="s">
        <v>11795</v>
      </c>
      <c r="F1114">
        <v>3</v>
      </c>
      <c r="G1114" s="11">
        <v>9159.51</v>
      </c>
      <c r="H1114" t="s">
        <v>11</v>
      </c>
      <c r="I1114" t="s">
        <v>11</v>
      </c>
      <c r="J1114" t="s">
        <v>300</v>
      </c>
    </row>
    <row r="1115" spans="1:10" x14ac:dyDescent="0.3">
      <c r="A1115" t="s">
        <v>1146</v>
      </c>
      <c r="B1115">
        <v>1970</v>
      </c>
      <c r="C1115" t="s">
        <v>37</v>
      </c>
      <c r="D1115">
        <v>24</v>
      </c>
      <c r="E1115" s="13" t="s">
        <v>11796</v>
      </c>
      <c r="F1115">
        <v>0</v>
      </c>
      <c r="G1115" s="11">
        <v>9171.75</v>
      </c>
      <c r="H1115" t="s">
        <v>11</v>
      </c>
      <c r="I1115" t="s">
        <v>11</v>
      </c>
      <c r="J1115" t="s">
        <v>23</v>
      </c>
    </row>
    <row r="1116" spans="1:10" x14ac:dyDescent="0.3">
      <c r="A1116" t="s">
        <v>1147</v>
      </c>
      <c r="B1116">
        <v>1971</v>
      </c>
      <c r="C1116" t="s">
        <v>30</v>
      </c>
      <c r="D1116">
        <v>29</v>
      </c>
      <c r="E1116" s="13" t="s">
        <v>11354</v>
      </c>
      <c r="F1116">
        <v>0</v>
      </c>
      <c r="G1116" s="11">
        <v>9174.14</v>
      </c>
      <c r="H1116" t="s">
        <v>12</v>
      </c>
      <c r="I1116" t="s">
        <v>16</v>
      </c>
      <c r="J1116" t="s">
        <v>23</v>
      </c>
    </row>
    <row r="1117" spans="1:10" x14ac:dyDescent="0.3">
      <c r="A1117" t="s">
        <v>1148</v>
      </c>
      <c r="B1117">
        <v>1973</v>
      </c>
      <c r="C1117" t="s">
        <v>30</v>
      </c>
      <c r="D1117">
        <v>25</v>
      </c>
      <c r="E1117" s="13" t="s">
        <v>11797</v>
      </c>
      <c r="F1117">
        <v>1</v>
      </c>
      <c r="G1117" s="11">
        <v>9182.17</v>
      </c>
      <c r="H1117" t="s">
        <v>11</v>
      </c>
      <c r="I1117" t="s">
        <v>12</v>
      </c>
      <c r="J1117" t="s">
        <v>42</v>
      </c>
    </row>
    <row r="1118" spans="1:10" x14ac:dyDescent="0.3">
      <c r="A1118" t="s">
        <v>1149</v>
      </c>
      <c r="B1118">
        <v>1976</v>
      </c>
      <c r="C1118" t="s">
        <v>20</v>
      </c>
      <c r="D1118">
        <v>10</v>
      </c>
      <c r="E1118" s="13" t="s">
        <v>11798</v>
      </c>
      <c r="F1118">
        <v>2</v>
      </c>
      <c r="G1118" s="11">
        <v>9193.84</v>
      </c>
      <c r="H1118" t="s">
        <v>11</v>
      </c>
      <c r="I1118" t="s">
        <v>16</v>
      </c>
      <c r="J1118" t="s">
        <v>23</v>
      </c>
    </row>
    <row r="1119" spans="1:10" x14ac:dyDescent="0.3">
      <c r="A1119" t="s">
        <v>1150</v>
      </c>
      <c r="B1119">
        <v>1986</v>
      </c>
      <c r="C1119" t="s">
        <v>30</v>
      </c>
      <c r="D1119">
        <v>25</v>
      </c>
      <c r="E1119" s="13" t="s">
        <v>11544</v>
      </c>
      <c r="F1119">
        <v>3</v>
      </c>
      <c r="G1119" s="11">
        <v>9210.06</v>
      </c>
      <c r="H1119" t="s">
        <v>11</v>
      </c>
      <c r="I1119" t="s">
        <v>12</v>
      </c>
      <c r="J1119" t="s">
        <v>300</v>
      </c>
    </row>
    <row r="1120" spans="1:10" x14ac:dyDescent="0.3">
      <c r="A1120" t="s">
        <v>1151</v>
      </c>
      <c r="B1120">
        <v>1981</v>
      </c>
      <c r="C1120" t="s">
        <v>30</v>
      </c>
      <c r="D1120">
        <v>5</v>
      </c>
      <c r="E1120" s="13" t="s">
        <v>11799</v>
      </c>
      <c r="F1120">
        <v>5</v>
      </c>
      <c r="G1120" s="11">
        <v>9222.4</v>
      </c>
      <c r="H1120" t="s">
        <v>11</v>
      </c>
      <c r="I1120" t="s">
        <v>12</v>
      </c>
      <c r="J1120" t="s">
        <v>166</v>
      </c>
    </row>
    <row r="1121" spans="1:10" x14ac:dyDescent="0.3">
      <c r="A1121" t="s">
        <v>1152</v>
      </c>
      <c r="B1121">
        <v>1975</v>
      </c>
      <c r="C1121" t="s">
        <v>30</v>
      </c>
      <c r="D1121">
        <v>6</v>
      </c>
      <c r="E1121" s="13" t="s">
        <v>11800</v>
      </c>
      <c r="F1121">
        <v>2</v>
      </c>
      <c r="G1121" s="11">
        <v>9225.26</v>
      </c>
      <c r="H1121" t="s">
        <v>12</v>
      </c>
      <c r="I1121" t="s">
        <v>12</v>
      </c>
      <c r="J1121" t="s">
        <v>164</v>
      </c>
    </row>
    <row r="1122" spans="1:10" x14ac:dyDescent="0.3">
      <c r="A1122" t="s">
        <v>1153</v>
      </c>
      <c r="B1122">
        <v>1980</v>
      </c>
      <c r="C1122" t="s">
        <v>37</v>
      </c>
      <c r="D1122">
        <v>5</v>
      </c>
      <c r="E1122" s="13" t="s">
        <v>11801</v>
      </c>
      <c r="F1122">
        <v>2</v>
      </c>
      <c r="G1122" s="11">
        <v>9247.94</v>
      </c>
      <c r="H1122" t="s">
        <v>11</v>
      </c>
      <c r="I1122" t="s">
        <v>16</v>
      </c>
      <c r="J1122" t="s">
        <v>300</v>
      </c>
    </row>
    <row r="1123" spans="1:10" x14ac:dyDescent="0.3">
      <c r="A1123" t="s">
        <v>1154</v>
      </c>
      <c r="B1123">
        <v>1974</v>
      </c>
      <c r="C1123" t="s">
        <v>35</v>
      </c>
      <c r="D1123">
        <v>21</v>
      </c>
      <c r="E1123" s="13" t="s">
        <v>11802</v>
      </c>
      <c r="F1123">
        <v>1</v>
      </c>
      <c r="G1123" s="11">
        <v>9249.5</v>
      </c>
      <c r="H1123" t="s">
        <v>11</v>
      </c>
      <c r="I1123" t="s">
        <v>16</v>
      </c>
      <c r="J1123" t="s">
        <v>23</v>
      </c>
    </row>
    <row r="1124" spans="1:10" x14ac:dyDescent="0.3">
      <c r="A1124" t="s">
        <v>1155</v>
      </c>
      <c r="B1124">
        <v>1971</v>
      </c>
      <c r="C1124" t="s">
        <v>35</v>
      </c>
      <c r="D1124">
        <v>6</v>
      </c>
      <c r="E1124" s="13" t="s">
        <v>11803</v>
      </c>
      <c r="F1124">
        <v>0</v>
      </c>
      <c r="G1124" s="11">
        <v>9264.7999999999993</v>
      </c>
      <c r="H1124" t="s">
        <v>11</v>
      </c>
      <c r="I1124" t="s">
        <v>16</v>
      </c>
      <c r="J1124" t="s">
        <v>42</v>
      </c>
    </row>
    <row r="1125" spans="1:10" x14ac:dyDescent="0.3">
      <c r="A1125" t="s">
        <v>1156</v>
      </c>
      <c r="B1125">
        <v>1973</v>
      </c>
      <c r="C1125" t="s">
        <v>37</v>
      </c>
      <c r="D1125">
        <v>27</v>
      </c>
      <c r="E1125" s="13" t="s">
        <v>11804</v>
      </c>
      <c r="F1125">
        <v>1</v>
      </c>
      <c r="G1125" s="11">
        <v>9282.48</v>
      </c>
      <c r="H1125" t="s">
        <v>12</v>
      </c>
      <c r="I1125" t="s">
        <v>11</v>
      </c>
      <c r="J1125" t="s">
        <v>168</v>
      </c>
    </row>
    <row r="1126" spans="1:10" x14ac:dyDescent="0.3">
      <c r="A1126" t="s">
        <v>1157</v>
      </c>
      <c r="B1126">
        <v>1971</v>
      </c>
      <c r="C1126" t="s">
        <v>10</v>
      </c>
      <c r="D1126">
        <v>2</v>
      </c>
      <c r="E1126" s="13" t="s">
        <v>11805</v>
      </c>
      <c r="F1126">
        <v>0</v>
      </c>
      <c r="G1126" s="11">
        <v>9283.56</v>
      </c>
      <c r="H1126" t="s">
        <v>11</v>
      </c>
      <c r="I1126" t="s">
        <v>12</v>
      </c>
      <c r="J1126" t="s">
        <v>13</v>
      </c>
    </row>
    <row r="1127" spans="1:10" x14ac:dyDescent="0.3">
      <c r="A1127" t="s">
        <v>1158</v>
      </c>
      <c r="B1127">
        <v>1969</v>
      </c>
      <c r="C1127" t="s">
        <v>15</v>
      </c>
      <c r="D1127">
        <v>26</v>
      </c>
      <c r="E1127" s="13" t="s">
        <v>11806</v>
      </c>
      <c r="F1127">
        <v>0</v>
      </c>
      <c r="G1127" s="11">
        <v>9285.8700000000008</v>
      </c>
      <c r="H1127" t="s">
        <v>11</v>
      </c>
      <c r="I1127" t="s">
        <v>12</v>
      </c>
      <c r="J1127" t="s">
        <v>13</v>
      </c>
    </row>
    <row r="1128" spans="1:10" x14ac:dyDescent="0.3">
      <c r="A1128" t="s">
        <v>1159</v>
      </c>
      <c r="B1128">
        <v>1973</v>
      </c>
      <c r="C1128" t="s">
        <v>37</v>
      </c>
      <c r="D1128">
        <v>16</v>
      </c>
      <c r="E1128" s="13" t="s">
        <v>11804</v>
      </c>
      <c r="F1128">
        <v>1</v>
      </c>
      <c r="G1128" s="11">
        <v>9288.0300000000007</v>
      </c>
      <c r="H1128" t="s">
        <v>11</v>
      </c>
      <c r="I1128" t="s">
        <v>12</v>
      </c>
      <c r="J1128" t="s">
        <v>170</v>
      </c>
    </row>
    <row r="1129" spans="1:10" x14ac:dyDescent="0.3">
      <c r="A1129" t="s">
        <v>1160</v>
      </c>
      <c r="B1129">
        <v>1973</v>
      </c>
      <c r="C1129" t="s">
        <v>20</v>
      </c>
      <c r="D1129">
        <v>18</v>
      </c>
      <c r="E1129" s="13" t="s">
        <v>11807</v>
      </c>
      <c r="F1129">
        <v>1</v>
      </c>
      <c r="G1129" s="11">
        <v>9290.14</v>
      </c>
      <c r="H1129" t="s">
        <v>12</v>
      </c>
      <c r="I1129" t="s">
        <v>12</v>
      </c>
      <c r="J1129" t="s">
        <v>168</v>
      </c>
    </row>
    <row r="1130" spans="1:10" x14ac:dyDescent="0.3">
      <c r="A1130" t="s">
        <v>1161</v>
      </c>
      <c r="B1130">
        <v>1976</v>
      </c>
      <c r="C1130" t="s">
        <v>15</v>
      </c>
      <c r="D1130">
        <v>3</v>
      </c>
      <c r="E1130" s="13" t="s">
        <v>11808</v>
      </c>
      <c r="F1130">
        <v>3</v>
      </c>
      <c r="G1130" s="11">
        <v>9301.89</v>
      </c>
      <c r="H1130" t="s">
        <v>11</v>
      </c>
      <c r="I1130" t="s">
        <v>16</v>
      </c>
      <c r="J1130" t="s">
        <v>23</v>
      </c>
    </row>
    <row r="1131" spans="1:10" x14ac:dyDescent="0.3">
      <c r="A1131" t="s">
        <v>1162</v>
      </c>
      <c r="B1131">
        <v>1973</v>
      </c>
      <c r="C1131" t="s">
        <v>37</v>
      </c>
      <c r="D1131">
        <v>16</v>
      </c>
      <c r="E1131" s="13" t="s">
        <v>11809</v>
      </c>
      <c r="F1131">
        <v>2</v>
      </c>
      <c r="G1131" s="11">
        <v>9304.7000000000007</v>
      </c>
      <c r="H1131" t="s">
        <v>12</v>
      </c>
      <c r="I1131" t="s">
        <v>12</v>
      </c>
      <c r="J1131" t="s">
        <v>13</v>
      </c>
    </row>
    <row r="1132" spans="1:10" x14ac:dyDescent="0.3">
      <c r="A1132" t="s">
        <v>1163</v>
      </c>
      <c r="B1132">
        <v>1963</v>
      </c>
      <c r="C1132" t="s">
        <v>18</v>
      </c>
      <c r="D1132">
        <v>8</v>
      </c>
      <c r="E1132" s="13" t="s">
        <v>11810</v>
      </c>
      <c r="F1132">
        <v>0</v>
      </c>
      <c r="G1132" s="11">
        <v>9310.81</v>
      </c>
      <c r="H1132" t="s">
        <v>12</v>
      </c>
      <c r="I1132" t="s">
        <v>16</v>
      </c>
      <c r="J1132" t="s">
        <v>13</v>
      </c>
    </row>
    <row r="1133" spans="1:10" x14ac:dyDescent="0.3">
      <c r="A1133" t="s">
        <v>1164</v>
      </c>
      <c r="B1133">
        <v>1977</v>
      </c>
      <c r="C1133" t="s">
        <v>37</v>
      </c>
      <c r="D1133">
        <v>12</v>
      </c>
      <c r="E1133" s="13" t="s">
        <v>11811</v>
      </c>
      <c r="F1133">
        <v>2</v>
      </c>
      <c r="G1133" s="11">
        <v>9315.41</v>
      </c>
      <c r="H1133" t="s">
        <v>11</v>
      </c>
      <c r="I1133" t="s">
        <v>16</v>
      </c>
      <c r="J1133" t="s">
        <v>247</v>
      </c>
    </row>
    <row r="1134" spans="1:10" x14ac:dyDescent="0.3">
      <c r="A1134" t="s">
        <v>1165</v>
      </c>
      <c r="B1134">
        <v>1988</v>
      </c>
      <c r="C1134" t="s">
        <v>10</v>
      </c>
      <c r="D1134">
        <v>9</v>
      </c>
      <c r="E1134" s="13" t="s">
        <v>11812</v>
      </c>
      <c r="F1134">
        <v>3</v>
      </c>
      <c r="G1134" s="11">
        <v>9320.26</v>
      </c>
      <c r="H1134" t="s">
        <v>11</v>
      </c>
      <c r="I1134" t="s">
        <v>16</v>
      </c>
      <c r="J1134" t="s">
        <v>23</v>
      </c>
    </row>
    <row r="1135" spans="1:10" x14ac:dyDescent="0.3">
      <c r="A1135" t="s">
        <v>1166</v>
      </c>
      <c r="B1135">
        <v>1996</v>
      </c>
      <c r="C1135" t="s">
        <v>37</v>
      </c>
      <c r="D1135">
        <v>12</v>
      </c>
      <c r="E1135" s="13" t="s">
        <v>11813</v>
      </c>
      <c r="F1135">
        <v>0</v>
      </c>
      <c r="G1135" s="11">
        <v>9338.61</v>
      </c>
      <c r="H1135" t="s">
        <v>11</v>
      </c>
      <c r="I1135" t="s">
        <v>16</v>
      </c>
      <c r="J1135" t="s">
        <v>535</v>
      </c>
    </row>
    <row r="1136" spans="1:10" x14ac:dyDescent="0.3">
      <c r="A1136" t="s">
        <v>1167</v>
      </c>
      <c r="B1136">
        <v>1988</v>
      </c>
      <c r="C1136" t="s">
        <v>10</v>
      </c>
      <c r="D1136">
        <v>1</v>
      </c>
      <c r="E1136" s="13" t="s">
        <v>11814</v>
      </c>
      <c r="F1136">
        <v>3</v>
      </c>
      <c r="G1136" s="11">
        <v>9344.2000000000007</v>
      </c>
      <c r="H1136" t="s">
        <v>11</v>
      </c>
      <c r="I1136" t="s">
        <v>16</v>
      </c>
      <c r="J1136" t="s">
        <v>300</v>
      </c>
    </row>
    <row r="1137" spans="1:10" x14ac:dyDescent="0.3">
      <c r="A1137" t="s">
        <v>1168</v>
      </c>
      <c r="B1137">
        <v>1971</v>
      </c>
      <c r="C1137" t="s">
        <v>37</v>
      </c>
      <c r="D1137">
        <v>8</v>
      </c>
      <c r="E1137" s="13" t="s">
        <v>11815</v>
      </c>
      <c r="F1137">
        <v>0</v>
      </c>
      <c r="G1137" s="11">
        <v>9361.33</v>
      </c>
      <c r="H1137" t="s">
        <v>12</v>
      </c>
      <c r="I1137" t="s">
        <v>16</v>
      </c>
      <c r="J1137" t="s">
        <v>168</v>
      </c>
    </row>
    <row r="1138" spans="1:10" x14ac:dyDescent="0.3">
      <c r="A1138" t="s">
        <v>1169</v>
      </c>
      <c r="B1138">
        <v>1969</v>
      </c>
      <c r="C1138" t="s">
        <v>15</v>
      </c>
      <c r="D1138">
        <v>24</v>
      </c>
      <c r="E1138" s="13" t="s">
        <v>11794</v>
      </c>
      <c r="F1138">
        <v>0</v>
      </c>
      <c r="G1138" s="11">
        <v>9377.4500000000007</v>
      </c>
      <c r="H1138" t="s">
        <v>11</v>
      </c>
      <c r="I1138" t="s">
        <v>12</v>
      </c>
      <c r="J1138" t="s">
        <v>13</v>
      </c>
    </row>
    <row r="1139" spans="1:10" x14ac:dyDescent="0.3">
      <c r="A1139" t="s">
        <v>1170</v>
      </c>
      <c r="B1139">
        <v>1971</v>
      </c>
      <c r="C1139" t="s">
        <v>15</v>
      </c>
      <c r="D1139">
        <v>26</v>
      </c>
      <c r="E1139" s="13" t="s">
        <v>11816</v>
      </c>
      <c r="F1139">
        <v>1</v>
      </c>
      <c r="G1139" s="11">
        <v>9377.9</v>
      </c>
      <c r="H1139" t="s">
        <v>11</v>
      </c>
      <c r="I1139" t="s">
        <v>16</v>
      </c>
      <c r="J1139" t="s">
        <v>13</v>
      </c>
    </row>
    <row r="1140" spans="1:10" x14ac:dyDescent="0.3">
      <c r="A1140" t="s">
        <v>1171</v>
      </c>
      <c r="B1140">
        <v>1975</v>
      </c>
      <c r="C1140" t="s">
        <v>30</v>
      </c>
      <c r="D1140">
        <v>2</v>
      </c>
      <c r="E1140" s="13" t="s">
        <v>11817</v>
      </c>
      <c r="F1140">
        <v>1</v>
      </c>
      <c r="G1140" s="11">
        <v>9380.75</v>
      </c>
      <c r="H1140" t="s">
        <v>11</v>
      </c>
      <c r="I1140" t="s">
        <v>11</v>
      </c>
      <c r="J1140" t="s">
        <v>247</v>
      </c>
    </row>
    <row r="1141" spans="1:10" x14ac:dyDescent="0.3">
      <c r="A1141" t="s">
        <v>1172</v>
      </c>
      <c r="B1141">
        <v>1971</v>
      </c>
      <c r="C1141" t="s">
        <v>30</v>
      </c>
      <c r="D1141">
        <v>29</v>
      </c>
      <c r="E1141" s="13" t="s">
        <v>11818</v>
      </c>
      <c r="F1141">
        <v>1</v>
      </c>
      <c r="G1141" s="11">
        <v>9386.16</v>
      </c>
      <c r="H1141" t="s">
        <v>12</v>
      </c>
      <c r="I1141" t="s">
        <v>11</v>
      </c>
      <c r="J1141" t="s">
        <v>13</v>
      </c>
    </row>
    <row r="1142" spans="1:10" x14ac:dyDescent="0.3">
      <c r="A1142" t="s">
        <v>1173</v>
      </c>
      <c r="B1142">
        <v>1971</v>
      </c>
      <c r="C1142" t="s">
        <v>37</v>
      </c>
      <c r="D1142">
        <v>20</v>
      </c>
      <c r="E1142" s="13" t="s">
        <v>11806</v>
      </c>
      <c r="F1142">
        <v>1</v>
      </c>
      <c r="G1142" s="11">
        <v>9391.35</v>
      </c>
      <c r="H1142" t="s">
        <v>12</v>
      </c>
      <c r="I1142" t="s">
        <v>12</v>
      </c>
      <c r="J1142" t="s">
        <v>42</v>
      </c>
    </row>
    <row r="1143" spans="1:10" x14ac:dyDescent="0.3">
      <c r="A1143" t="s">
        <v>1174</v>
      </c>
      <c r="B1143">
        <v>1976</v>
      </c>
      <c r="C1143" t="s">
        <v>37</v>
      </c>
      <c r="D1143">
        <v>17</v>
      </c>
      <c r="E1143" s="13" t="s">
        <v>11819</v>
      </c>
      <c r="F1143">
        <v>2</v>
      </c>
      <c r="G1143" s="11">
        <v>9411.01</v>
      </c>
      <c r="H1143" t="s">
        <v>11</v>
      </c>
      <c r="I1143" t="s">
        <v>12</v>
      </c>
      <c r="J1143" t="s">
        <v>247</v>
      </c>
    </row>
    <row r="1144" spans="1:10" x14ac:dyDescent="0.3">
      <c r="A1144" t="s">
        <v>1175</v>
      </c>
      <c r="B1144">
        <v>1976</v>
      </c>
      <c r="C1144" t="s">
        <v>37</v>
      </c>
      <c r="D1144">
        <v>30</v>
      </c>
      <c r="E1144" s="13" t="s">
        <v>11820</v>
      </c>
      <c r="F1144">
        <v>3</v>
      </c>
      <c r="G1144" s="11">
        <v>9414.92</v>
      </c>
      <c r="H1144" t="s">
        <v>11</v>
      </c>
      <c r="I1144" t="s">
        <v>11</v>
      </c>
      <c r="J1144" t="s">
        <v>42</v>
      </c>
    </row>
    <row r="1145" spans="1:10" x14ac:dyDescent="0.3">
      <c r="A1145" t="s">
        <v>1176</v>
      </c>
      <c r="B1145">
        <v>1976</v>
      </c>
      <c r="C1145" t="s">
        <v>15</v>
      </c>
      <c r="D1145">
        <v>3</v>
      </c>
      <c r="E1145" s="13" t="s">
        <v>11821</v>
      </c>
      <c r="F1145">
        <v>2</v>
      </c>
      <c r="G1145" s="11">
        <v>9432.93</v>
      </c>
      <c r="H1145" t="s">
        <v>11</v>
      </c>
      <c r="I1145" t="s">
        <v>16</v>
      </c>
      <c r="J1145" t="s">
        <v>247</v>
      </c>
    </row>
    <row r="1146" spans="1:10" x14ac:dyDescent="0.3">
      <c r="A1146" t="s">
        <v>1177</v>
      </c>
      <c r="B1146">
        <v>1974</v>
      </c>
      <c r="C1146" t="s">
        <v>15</v>
      </c>
      <c r="D1146">
        <v>27</v>
      </c>
      <c r="E1146" s="13" t="s">
        <v>11749</v>
      </c>
      <c r="F1146">
        <v>1</v>
      </c>
      <c r="G1146" s="11">
        <v>9447.25</v>
      </c>
      <c r="H1146" t="s">
        <v>11</v>
      </c>
      <c r="I1146" t="s">
        <v>16</v>
      </c>
      <c r="J1146" t="s">
        <v>247</v>
      </c>
    </row>
    <row r="1147" spans="1:10" x14ac:dyDescent="0.3">
      <c r="A1147" t="s">
        <v>1178</v>
      </c>
      <c r="B1147">
        <v>1974</v>
      </c>
      <c r="C1147" t="s">
        <v>18</v>
      </c>
      <c r="D1147">
        <v>8</v>
      </c>
      <c r="E1147" s="13" t="s">
        <v>11822</v>
      </c>
      <c r="F1147">
        <v>1</v>
      </c>
      <c r="G1147" s="11">
        <v>9447.3799999999992</v>
      </c>
      <c r="H1147" t="s">
        <v>11</v>
      </c>
      <c r="I1147" t="s">
        <v>12</v>
      </c>
      <c r="J1147" t="s">
        <v>247</v>
      </c>
    </row>
    <row r="1148" spans="1:10" x14ac:dyDescent="0.3">
      <c r="A1148" t="s">
        <v>1179</v>
      </c>
      <c r="B1148">
        <v>1987</v>
      </c>
      <c r="C1148" t="s">
        <v>15</v>
      </c>
      <c r="D1148">
        <v>14</v>
      </c>
      <c r="E1148" s="13" t="s">
        <v>11823</v>
      </c>
      <c r="F1148">
        <v>3</v>
      </c>
      <c r="G1148" s="11">
        <v>9448.42</v>
      </c>
      <c r="H1148" t="s">
        <v>11</v>
      </c>
      <c r="I1148" t="s">
        <v>12</v>
      </c>
      <c r="J1148" t="s">
        <v>300</v>
      </c>
    </row>
    <row r="1149" spans="1:10" x14ac:dyDescent="0.3">
      <c r="A1149" t="s">
        <v>1180</v>
      </c>
      <c r="B1149">
        <v>1979</v>
      </c>
      <c r="C1149" t="s">
        <v>10</v>
      </c>
      <c r="D1149">
        <v>17</v>
      </c>
      <c r="E1149" s="13" t="s">
        <v>11824</v>
      </c>
      <c r="F1149">
        <v>2</v>
      </c>
      <c r="G1149" s="11">
        <v>9453.92</v>
      </c>
      <c r="H1149" t="s">
        <v>11</v>
      </c>
      <c r="I1149" t="s">
        <v>11</v>
      </c>
      <c r="J1149" t="s">
        <v>300</v>
      </c>
    </row>
    <row r="1150" spans="1:10" x14ac:dyDescent="0.3">
      <c r="A1150" t="s">
        <v>1181</v>
      </c>
      <c r="B1150">
        <v>1969</v>
      </c>
      <c r="C1150" t="s">
        <v>18</v>
      </c>
      <c r="D1150">
        <v>4</v>
      </c>
      <c r="E1150" s="13" t="s">
        <v>11825</v>
      </c>
      <c r="F1150">
        <v>0</v>
      </c>
      <c r="G1150" s="11">
        <v>9487.64</v>
      </c>
      <c r="H1150" t="s">
        <v>11</v>
      </c>
      <c r="I1150" t="s">
        <v>11</v>
      </c>
      <c r="J1150" t="s">
        <v>13</v>
      </c>
    </row>
    <row r="1151" spans="1:10" x14ac:dyDescent="0.3">
      <c r="A1151" t="s">
        <v>1182</v>
      </c>
      <c r="B1151">
        <v>1976</v>
      </c>
      <c r="C1151" t="s">
        <v>15</v>
      </c>
      <c r="D1151">
        <v>28</v>
      </c>
      <c r="E1151" s="13" t="s">
        <v>11826</v>
      </c>
      <c r="F1151">
        <v>3</v>
      </c>
      <c r="G1151" s="11">
        <v>9500.57</v>
      </c>
      <c r="H1151" t="s">
        <v>11</v>
      </c>
      <c r="I1151" t="s">
        <v>12</v>
      </c>
      <c r="J1151" t="s">
        <v>356</v>
      </c>
    </row>
    <row r="1152" spans="1:10" x14ac:dyDescent="0.3">
      <c r="A1152" t="s">
        <v>1183</v>
      </c>
      <c r="B1152">
        <v>1969</v>
      </c>
      <c r="C1152" t="s">
        <v>35</v>
      </c>
      <c r="D1152">
        <v>24</v>
      </c>
      <c r="E1152" s="13" t="s">
        <v>11827</v>
      </c>
      <c r="F1152">
        <v>0</v>
      </c>
      <c r="G1152" s="11">
        <v>9504.31</v>
      </c>
      <c r="H1152" t="s">
        <v>12</v>
      </c>
      <c r="I1152" t="s">
        <v>11</v>
      </c>
      <c r="J1152" t="s">
        <v>13</v>
      </c>
    </row>
    <row r="1153" spans="1:10" x14ac:dyDescent="0.3">
      <c r="A1153" t="s">
        <v>1184</v>
      </c>
      <c r="B1153">
        <v>1992</v>
      </c>
      <c r="C1153" t="s">
        <v>35</v>
      </c>
      <c r="D1153">
        <v>22</v>
      </c>
      <c r="E1153" s="13" t="s">
        <v>11828</v>
      </c>
      <c r="F1153">
        <v>0</v>
      </c>
      <c r="G1153" s="11">
        <v>9507.68</v>
      </c>
      <c r="H1153" t="s">
        <v>11</v>
      </c>
      <c r="I1153" t="s">
        <v>16</v>
      </c>
      <c r="J1153" t="s">
        <v>23</v>
      </c>
    </row>
    <row r="1154" spans="1:10" x14ac:dyDescent="0.3">
      <c r="A1154" t="s">
        <v>1185</v>
      </c>
      <c r="B1154">
        <v>1971</v>
      </c>
      <c r="C1154" t="s">
        <v>15</v>
      </c>
      <c r="D1154">
        <v>29</v>
      </c>
      <c r="E1154" s="13" t="s">
        <v>11829</v>
      </c>
      <c r="F1154">
        <v>0</v>
      </c>
      <c r="G1154" s="11">
        <v>9528.9</v>
      </c>
      <c r="H1154" t="s">
        <v>11</v>
      </c>
      <c r="I1154" t="s">
        <v>11</v>
      </c>
      <c r="J1154" t="s">
        <v>42</v>
      </c>
    </row>
    <row r="1155" spans="1:10" x14ac:dyDescent="0.3">
      <c r="A1155" t="s">
        <v>1186</v>
      </c>
      <c r="B1155">
        <v>1973</v>
      </c>
      <c r="C1155" t="s">
        <v>30</v>
      </c>
      <c r="D1155">
        <v>21</v>
      </c>
      <c r="E1155" s="13" t="s">
        <v>11829</v>
      </c>
      <c r="F1155">
        <v>0</v>
      </c>
      <c r="G1155" s="11">
        <v>9538.65</v>
      </c>
      <c r="H1155" t="s">
        <v>11</v>
      </c>
      <c r="I1155" t="s">
        <v>12</v>
      </c>
      <c r="J1155" t="s">
        <v>300</v>
      </c>
    </row>
    <row r="1156" spans="1:10" x14ac:dyDescent="0.3">
      <c r="A1156" t="s">
        <v>1187</v>
      </c>
      <c r="B1156">
        <v>1975</v>
      </c>
      <c r="C1156" t="s">
        <v>10</v>
      </c>
      <c r="D1156">
        <v>28</v>
      </c>
      <c r="E1156" s="13" t="s">
        <v>11830</v>
      </c>
      <c r="F1156">
        <v>1</v>
      </c>
      <c r="G1156" s="11">
        <v>9540.17</v>
      </c>
      <c r="H1156" t="s">
        <v>11</v>
      </c>
      <c r="I1156" t="s">
        <v>11</v>
      </c>
      <c r="J1156" t="s">
        <v>247</v>
      </c>
    </row>
    <row r="1157" spans="1:10" x14ac:dyDescent="0.3">
      <c r="A1157" t="s">
        <v>1188</v>
      </c>
      <c r="B1157">
        <v>1972</v>
      </c>
      <c r="C1157" t="s">
        <v>20</v>
      </c>
      <c r="D1157">
        <v>22</v>
      </c>
      <c r="E1157" s="13" t="s">
        <v>11831</v>
      </c>
      <c r="F1157">
        <v>0</v>
      </c>
      <c r="G1157" s="11">
        <v>9541.7000000000007</v>
      </c>
      <c r="H1157" t="s">
        <v>11</v>
      </c>
      <c r="I1157" t="s">
        <v>16</v>
      </c>
      <c r="J1157" t="s">
        <v>247</v>
      </c>
    </row>
    <row r="1158" spans="1:10" x14ac:dyDescent="0.3">
      <c r="A1158" t="s">
        <v>1189</v>
      </c>
      <c r="B1158">
        <v>1972</v>
      </c>
      <c r="C1158" t="s">
        <v>20</v>
      </c>
      <c r="D1158">
        <v>22</v>
      </c>
      <c r="E1158" s="13" t="s">
        <v>11832</v>
      </c>
      <c r="F1158">
        <v>1</v>
      </c>
      <c r="G1158" s="11">
        <v>9549.57</v>
      </c>
      <c r="H1158" t="s">
        <v>11</v>
      </c>
      <c r="I1158" t="s">
        <v>16</v>
      </c>
      <c r="J1158" t="s">
        <v>13</v>
      </c>
    </row>
    <row r="1159" spans="1:10" x14ac:dyDescent="0.3">
      <c r="A1159" t="s">
        <v>1190</v>
      </c>
      <c r="B1159">
        <v>1974</v>
      </c>
      <c r="C1159" t="s">
        <v>35</v>
      </c>
      <c r="D1159">
        <v>14</v>
      </c>
      <c r="E1159" s="13" t="s">
        <v>11833</v>
      </c>
      <c r="F1159">
        <v>3</v>
      </c>
      <c r="G1159" s="11">
        <v>9563.0300000000007</v>
      </c>
      <c r="H1159" t="s">
        <v>12</v>
      </c>
      <c r="I1159" t="s">
        <v>16</v>
      </c>
      <c r="J1159" t="s">
        <v>42</v>
      </c>
    </row>
    <row r="1160" spans="1:10" x14ac:dyDescent="0.3">
      <c r="A1160" t="s">
        <v>1191</v>
      </c>
      <c r="B1160">
        <v>1973</v>
      </c>
      <c r="C1160" t="s">
        <v>30</v>
      </c>
      <c r="D1160">
        <v>1</v>
      </c>
      <c r="E1160" s="13" t="s">
        <v>11280</v>
      </c>
      <c r="F1160">
        <v>1</v>
      </c>
      <c r="G1160" s="11">
        <v>9566.99</v>
      </c>
      <c r="H1160" t="s">
        <v>11</v>
      </c>
      <c r="I1160" t="s">
        <v>16</v>
      </c>
      <c r="J1160" t="s">
        <v>23</v>
      </c>
    </row>
    <row r="1161" spans="1:10" x14ac:dyDescent="0.3">
      <c r="A1161" t="s">
        <v>1192</v>
      </c>
      <c r="B1161">
        <v>1966</v>
      </c>
      <c r="C1161" t="s">
        <v>30</v>
      </c>
      <c r="D1161">
        <v>4</v>
      </c>
      <c r="E1161" s="13" t="s">
        <v>11834</v>
      </c>
      <c r="F1161">
        <v>0</v>
      </c>
      <c r="G1161" s="11">
        <v>9582.5400000000009</v>
      </c>
      <c r="H1161" t="s">
        <v>12</v>
      </c>
      <c r="I1161" t="s">
        <v>11</v>
      </c>
      <c r="J1161" t="s">
        <v>13</v>
      </c>
    </row>
    <row r="1162" spans="1:10" x14ac:dyDescent="0.3">
      <c r="A1162" t="s">
        <v>1193</v>
      </c>
      <c r="B1162">
        <v>1973</v>
      </c>
      <c r="C1162" t="s">
        <v>15</v>
      </c>
      <c r="D1162">
        <v>28</v>
      </c>
      <c r="E1162" s="13" t="s">
        <v>11835</v>
      </c>
      <c r="F1162">
        <v>1</v>
      </c>
      <c r="G1162" s="11">
        <v>9583.89</v>
      </c>
      <c r="H1162" t="s">
        <v>11</v>
      </c>
      <c r="I1162" t="s">
        <v>12</v>
      </c>
      <c r="J1162" t="s">
        <v>23</v>
      </c>
    </row>
    <row r="1163" spans="1:10" x14ac:dyDescent="0.3">
      <c r="A1163" t="s">
        <v>1194</v>
      </c>
      <c r="B1163">
        <v>1981</v>
      </c>
      <c r="C1163" t="s">
        <v>37</v>
      </c>
      <c r="D1163">
        <v>18</v>
      </c>
      <c r="E1163" s="13" t="s">
        <v>11836</v>
      </c>
      <c r="F1163">
        <v>1</v>
      </c>
      <c r="G1163" s="11">
        <v>9584.0400000000009</v>
      </c>
      <c r="H1163" t="s">
        <v>11</v>
      </c>
      <c r="I1163" t="s">
        <v>16</v>
      </c>
      <c r="J1163" t="s">
        <v>300</v>
      </c>
    </row>
    <row r="1164" spans="1:10" x14ac:dyDescent="0.3">
      <c r="A1164" t="s">
        <v>1195</v>
      </c>
      <c r="B1164">
        <v>1964</v>
      </c>
      <c r="C1164" t="s">
        <v>30</v>
      </c>
      <c r="D1164">
        <v>15</v>
      </c>
      <c r="E1164" s="13" t="s">
        <v>11837</v>
      </c>
      <c r="F1164">
        <v>0</v>
      </c>
      <c r="G1164" s="11">
        <v>9597.6299999999992</v>
      </c>
      <c r="H1164" t="s">
        <v>12</v>
      </c>
      <c r="I1164" t="s">
        <v>12</v>
      </c>
      <c r="J1164" t="s">
        <v>13</v>
      </c>
    </row>
    <row r="1165" spans="1:10" x14ac:dyDescent="0.3">
      <c r="A1165" t="s">
        <v>1196</v>
      </c>
      <c r="B1165">
        <v>1972</v>
      </c>
      <c r="C1165" t="s">
        <v>30</v>
      </c>
      <c r="D1165">
        <v>27</v>
      </c>
      <c r="E1165" s="13" t="s">
        <v>11838</v>
      </c>
      <c r="F1165">
        <v>1</v>
      </c>
      <c r="G1165" s="11">
        <v>9617.66</v>
      </c>
      <c r="H1165" t="s">
        <v>12</v>
      </c>
      <c r="I1165" t="s">
        <v>12</v>
      </c>
      <c r="J1165" t="s">
        <v>168</v>
      </c>
    </row>
    <row r="1166" spans="1:10" x14ac:dyDescent="0.3">
      <c r="A1166" t="s">
        <v>1197</v>
      </c>
      <c r="B1166">
        <v>1982</v>
      </c>
      <c r="C1166" t="s">
        <v>35</v>
      </c>
      <c r="D1166">
        <v>29</v>
      </c>
      <c r="E1166" s="13" t="s">
        <v>11839</v>
      </c>
      <c r="F1166">
        <v>3</v>
      </c>
      <c r="G1166" s="11">
        <v>9619.18</v>
      </c>
      <c r="H1166" t="s">
        <v>11</v>
      </c>
      <c r="I1166" t="s">
        <v>16</v>
      </c>
      <c r="J1166" t="s">
        <v>200</v>
      </c>
    </row>
    <row r="1167" spans="1:10" x14ac:dyDescent="0.3">
      <c r="A1167" t="s">
        <v>1198</v>
      </c>
      <c r="B1167">
        <v>1975</v>
      </c>
      <c r="C1167" t="s">
        <v>37</v>
      </c>
      <c r="D1167">
        <v>29</v>
      </c>
      <c r="E1167" s="13" t="s">
        <v>11840</v>
      </c>
      <c r="F1167">
        <v>3</v>
      </c>
      <c r="G1167" s="11">
        <v>9620.33</v>
      </c>
      <c r="H1167" t="s">
        <v>12</v>
      </c>
      <c r="I1167" t="s">
        <v>12</v>
      </c>
      <c r="J1167" t="s">
        <v>23</v>
      </c>
    </row>
    <row r="1168" spans="1:10" x14ac:dyDescent="0.3">
      <c r="A1168" t="s">
        <v>1199</v>
      </c>
      <c r="B1168">
        <v>1970</v>
      </c>
      <c r="C1168" t="s">
        <v>30</v>
      </c>
      <c r="D1168">
        <v>16</v>
      </c>
      <c r="E1168" s="13" t="s">
        <v>11841</v>
      </c>
      <c r="F1168">
        <v>0</v>
      </c>
      <c r="G1168" s="11">
        <v>9625.92</v>
      </c>
      <c r="H1168" t="s">
        <v>11</v>
      </c>
      <c r="I1168" t="s">
        <v>12</v>
      </c>
      <c r="J1168" t="s">
        <v>42</v>
      </c>
    </row>
    <row r="1169" spans="1:10" x14ac:dyDescent="0.3">
      <c r="A1169" t="s">
        <v>1200</v>
      </c>
      <c r="B1169">
        <v>1998</v>
      </c>
      <c r="C1169" t="s">
        <v>18</v>
      </c>
      <c r="D1169">
        <v>23</v>
      </c>
      <c r="E1169" s="13" t="s">
        <v>11842</v>
      </c>
      <c r="F1169">
        <v>0</v>
      </c>
      <c r="G1169" s="11">
        <v>9628.7900000000009</v>
      </c>
      <c r="H1169" t="s">
        <v>11</v>
      </c>
      <c r="I1169" t="s">
        <v>11</v>
      </c>
      <c r="J1169" t="s">
        <v>535</v>
      </c>
    </row>
    <row r="1170" spans="1:10" x14ac:dyDescent="0.3">
      <c r="A1170" t="s">
        <v>1201</v>
      </c>
      <c r="B1170">
        <v>1979</v>
      </c>
      <c r="C1170" t="s">
        <v>30</v>
      </c>
      <c r="D1170">
        <v>19</v>
      </c>
      <c r="E1170" s="13" t="s">
        <v>11843</v>
      </c>
      <c r="F1170">
        <v>2</v>
      </c>
      <c r="G1170" s="11">
        <v>9630.2999999999993</v>
      </c>
      <c r="H1170" t="s">
        <v>11</v>
      </c>
      <c r="I1170" t="s">
        <v>11</v>
      </c>
      <c r="J1170" t="s">
        <v>300</v>
      </c>
    </row>
    <row r="1171" spans="1:10" x14ac:dyDescent="0.3">
      <c r="A1171" t="s">
        <v>1202</v>
      </c>
      <c r="B1171">
        <v>1972</v>
      </c>
      <c r="C1171" t="s">
        <v>37</v>
      </c>
      <c r="D1171">
        <v>23</v>
      </c>
      <c r="E1171" s="13" t="s">
        <v>11844</v>
      </c>
      <c r="F1171">
        <v>2</v>
      </c>
      <c r="G1171" s="11">
        <v>9630.4</v>
      </c>
      <c r="H1171" t="s">
        <v>11</v>
      </c>
      <c r="I1171" t="s">
        <v>11</v>
      </c>
      <c r="J1171" t="s">
        <v>42</v>
      </c>
    </row>
    <row r="1172" spans="1:10" x14ac:dyDescent="0.3">
      <c r="A1172" t="s">
        <v>1203</v>
      </c>
      <c r="B1172">
        <v>1968</v>
      </c>
      <c r="C1172" t="s">
        <v>18</v>
      </c>
      <c r="D1172">
        <v>22</v>
      </c>
      <c r="E1172" s="13" t="s">
        <v>11845</v>
      </c>
      <c r="F1172">
        <v>0</v>
      </c>
      <c r="G1172" s="11">
        <v>9630.91</v>
      </c>
      <c r="H1172" t="s">
        <v>12</v>
      </c>
      <c r="I1172" t="s">
        <v>11</v>
      </c>
      <c r="J1172" t="s">
        <v>13</v>
      </c>
    </row>
    <row r="1173" spans="1:10" x14ac:dyDescent="0.3">
      <c r="A1173" t="s">
        <v>1204</v>
      </c>
      <c r="B1173">
        <v>1970</v>
      </c>
      <c r="C1173" t="s">
        <v>20</v>
      </c>
      <c r="D1173">
        <v>30</v>
      </c>
      <c r="E1173" s="13" t="s">
        <v>11846</v>
      </c>
      <c r="F1173">
        <v>0</v>
      </c>
      <c r="G1173" s="11">
        <v>9634.5400000000009</v>
      </c>
      <c r="H1173" t="s">
        <v>11</v>
      </c>
      <c r="I1173" t="s">
        <v>11</v>
      </c>
      <c r="J1173" t="s">
        <v>42</v>
      </c>
    </row>
    <row r="1174" spans="1:10" x14ac:dyDescent="0.3">
      <c r="A1174" t="s">
        <v>1205</v>
      </c>
      <c r="B1174">
        <v>1971</v>
      </c>
      <c r="C1174" t="s">
        <v>10</v>
      </c>
      <c r="D1174">
        <v>19</v>
      </c>
      <c r="E1174" s="13" t="s">
        <v>11847</v>
      </c>
      <c r="F1174">
        <v>0</v>
      </c>
      <c r="G1174" s="11">
        <v>9644.25</v>
      </c>
      <c r="H1174" t="s">
        <v>11</v>
      </c>
      <c r="I1174" t="s">
        <v>16</v>
      </c>
      <c r="J1174" t="s">
        <v>23</v>
      </c>
    </row>
    <row r="1175" spans="1:10" x14ac:dyDescent="0.3">
      <c r="A1175" t="s">
        <v>1206</v>
      </c>
      <c r="B1175">
        <v>1974</v>
      </c>
      <c r="C1175" t="s">
        <v>10</v>
      </c>
      <c r="D1175">
        <v>8</v>
      </c>
      <c r="E1175" s="13" t="s">
        <v>11848</v>
      </c>
      <c r="F1175">
        <v>0</v>
      </c>
      <c r="G1175" s="11">
        <v>9653.81</v>
      </c>
      <c r="H1175" t="s">
        <v>11</v>
      </c>
      <c r="I1175" t="s">
        <v>11</v>
      </c>
      <c r="J1175" t="s">
        <v>42</v>
      </c>
    </row>
    <row r="1176" spans="1:10" x14ac:dyDescent="0.3">
      <c r="A1176" t="s">
        <v>1207</v>
      </c>
      <c r="B1176">
        <v>1981</v>
      </c>
      <c r="C1176" t="s">
        <v>35</v>
      </c>
      <c r="D1176">
        <v>8</v>
      </c>
      <c r="E1176" s="13" t="s">
        <v>11849</v>
      </c>
      <c r="F1176">
        <v>1</v>
      </c>
      <c r="G1176" s="11">
        <v>9664.34</v>
      </c>
      <c r="H1176" t="s">
        <v>11</v>
      </c>
      <c r="I1176" t="s">
        <v>12</v>
      </c>
      <c r="J1176" t="s">
        <v>42</v>
      </c>
    </row>
    <row r="1177" spans="1:10" x14ac:dyDescent="0.3">
      <c r="A1177" t="s">
        <v>1208</v>
      </c>
      <c r="B1177">
        <v>1966</v>
      </c>
      <c r="C1177" t="s">
        <v>20</v>
      </c>
      <c r="D1177">
        <v>16</v>
      </c>
      <c r="E1177" s="13" t="s">
        <v>11850</v>
      </c>
      <c r="F1177">
        <v>0</v>
      </c>
      <c r="G1177" s="11">
        <v>9684.2900000000009</v>
      </c>
      <c r="H1177" t="s">
        <v>12</v>
      </c>
      <c r="I1177" t="s">
        <v>11</v>
      </c>
      <c r="J1177" t="s">
        <v>13</v>
      </c>
    </row>
    <row r="1178" spans="1:10" x14ac:dyDescent="0.3">
      <c r="A1178" t="s">
        <v>1209</v>
      </c>
      <c r="B1178">
        <v>1964</v>
      </c>
      <c r="C1178" t="s">
        <v>15</v>
      </c>
      <c r="D1178">
        <v>7</v>
      </c>
      <c r="E1178" s="13" t="s">
        <v>11851</v>
      </c>
      <c r="F1178">
        <v>0</v>
      </c>
      <c r="G1178" s="11">
        <v>9698.42</v>
      </c>
      <c r="H1178" t="s">
        <v>12</v>
      </c>
      <c r="I1178" t="s">
        <v>12</v>
      </c>
      <c r="J1178" t="s">
        <v>13</v>
      </c>
    </row>
    <row r="1179" spans="1:10" x14ac:dyDescent="0.3">
      <c r="A1179" t="s">
        <v>1210</v>
      </c>
      <c r="B1179">
        <v>1977</v>
      </c>
      <c r="C1179" t="s">
        <v>20</v>
      </c>
      <c r="D1179">
        <v>19</v>
      </c>
      <c r="E1179" s="13" t="s">
        <v>11852</v>
      </c>
      <c r="F1179">
        <v>3</v>
      </c>
      <c r="G1179" s="11">
        <v>9704.67</v>
      </c>
      <c r="H1179" t="s">
        <v>11</v>
      </c>
      <c r="I1179" t="s">
        <v>12</v>
      </c>
      <c r="J1179" t="s">
        <v>247</v>
      </c>
    </row>
    <row r="1180" spans="1:10" x14ac:dyDescent="0.3">
      <c r="A1180" t="s">
        <v>1211</v>
      </c>
      <c r="B1180">
        <v>1972</v>
      </c>
      <c r="C1180" t="s">
        <v>10</v>
      </c>
      <c r="D1180">
        <v>10</v>
      </c>
      <c r="E1180" s="13" t="s">
        <v>11853</v>
      </c>
      <c r="F1180">
        <v>0</v>
      </c>
      <c r="G1180" s="11">
        <v>9710.7099999999991</v>
      </c>
      <c r="H1180" t="s">
        <v>11</v>
      </c>
      <c r="I1180" t="s">
        <v>16</v>
      </c>
      <c r="J1180" t="s">
        <v>300</v>
      </c>
    </row>
    <row r="1181" spans="1:10" x14ac:dyDescent="0.3">
      <c r="A1181" t="s">
        <v>1212</v>
      </c>
      <c r="B1181">
        <v>1975</v>
      </c>
      <c r="C1181" t="s">
        <v>18</v>
      </c>
      <c r="D1181">
        <v>27</v>
      </c>
      <c r="E1181" s="13" t="s">
        <v>11854</v>
      </c>
      <c r="F1181">
        <v>2</v>
      </c>
      <c r="G1181" s="11">
        <v>9715.84</v>
      </c>
      <c r="H1181" t="s">
        <v>11</v>
      </c>
      <c r="I1181" t="s">
        <v>16</v>
      </c>
      <c r="J1181" t="s">
        <v>247</v>
      </c>
    </row>
    <row r="1182" spans="1:10" x14ac:dyDescent="0.3">
      <c r="A1182" t="s">
        <v>1213</v>
      </c>
      <c r="B1182">
        <v>1970</v>
      </c>
      <c r="C1182" t="s">
        <v>20</v>
      </c>
      <c r="D1182">
        <v>12</v>
      </c>
      <c r="E1182" s="13" t="s">
        <v>11855</v>
      </c>
      <c r="F1182">
        <v>0</v>
      </c>
      <c r="G1182" s="11">
        <v>9722.77</v>
      </c>
      <c r="H1182" t="s">
        <v>12</v>
      </c>
      <c r="I1182" t="s">
        <v>16</v>
      </c>
      <c r="J1182" t="s">
        <v>168</v>
      </c>
    </row>
    <row r="1183" spans="1:10" x14ac:dyDescent="0.3">
      <c r="A1183" t="s">
        <v>1214</v>
      </c>
      <c r="B1183">
        <v>1970</v>
      </c>
      <c r="C1183" t="s">
        <v>35</v>
      </c>
      <c r="D1183">
        <v>18</v>
      </c>
      <c r="E1183" s="13" t="s">
        <v>11856</v>
      </c>
      <c r="F1183">
        <v>1</v>
      </c>
      <c r="G1183" s="11">
        <v>9724.5300000000007</v>
      </c>
      <c r="H1183" t="s">
        <v>12</v>
      </c>
      <c r="I1183" t="s">
        <v>16</v>
      </c>
      <c r="J1183" t="s">
        <v>42</v>
      </c>
    </row>
    <row r="1184" spans="1:10" x14ac:dyDescent="0.3">
      <c r="A1184" t="s">
        <v>1215</v>
      </c>
      <c r="B1184">
        <v>1970</v>
      </c>
      <c r="C1184" t="s">
        <v>10</v>
      </c>
      <c r="D1184">
        <v>4</v>
      </c>
      <c r="E1184" s="13" t="s">
        <v>11857</v>
      </c>
      <c r="F1184">
        <v>1</v>
      </c>
      <c r="G1184" s="11">
        <v>9748.91</v>
      </c>
      <c r="H1184" t="s">
        <v>11</v>
      </c>
      <c r="I1184" t="s">
        <v>16</v>
      </c>
      <c r="J1184" t="s">
        <v>13</v>
      </c>
    </row>
    <row r="1185" spans="1:10" x14ac:dyDescent="0.3">
      <c r="A1185" t="s">
        <v>1216</v>
      </c>
      <c r="B1185">
        <v>2001</v>
      </c>
      <c r="C1185" t="s">
        <v>10</v>
      </c>
      <c r="D1185">
        <v>14</v>
      </c>
      <c r="E1185" s="13" t="s">
        <v>11858</v>
      </c>
      <c r="F1185">
        <v>0</v>
      </c>
      <c r="G1185" s="11">
        <v>9753.49</v>
      </c>
      <c r="H1185" t="s">
        <v>11</v>
      </c>
      <c r="I1185" t="s">
        <v>11</v>
      </c>
      <c r="J1185" t="s">
        <v>23</v>
      </c>
    </row>
    <row r="1186" spans="1:10" x14ac:dyDescent="0.3">
      <c r="A1186" t="s">
        <v>1217</v>
      </c>
      <c r="B1186">
        <v>1965</v>
      </c>
      <c r="C1186" t="s">
        <v>20</v>
      </c>
      <c r="D1186">
        <v>5</v>
      </c>
      <c r="E1186" s="13" t="s">
        <v>11859</v>
      </c>
      <c r="F1186">
        <v>0</v>
      </c>
      <c r="G1186" s="11">
        <v>9764.08</v>
      </c>
      <c r="H1186" t="s">
        <v>12</v>
      </c>
      <c r="I1186" t="s">
        <v>16</v>
      </c>
      <c r="J1186" t="s">
        <v>23</v>
      </c>
    </row>
    <row r="1187" spans="1:10" x14ac:dyDescent="0.3">
      <c r="A1187" t="s">
        <v>1218</v>
      </c>
      <c r="B1187">
        <v>1973</v>
      </c>
      <c r="C1187" t="s">
        <v>10</v>
      </c>
      <c r="D1187">
        <v>7</v>
      </c>
      <c r="E1187" s="13" t="s">
        <v>11860</v>
      </c>
      <c r="F1187">
        <v>1</v>
      </c>
      <c r="G1187" s="11">
        <v>9778.35</v>
      </c>
      <c r="H1187" t="s">
        <v>11</v>
      </c>
      <c r="I1187" t="s">
        <v>11</v>
      </c>
      <c r="J1187" t="s">
        <v>247</v>
      </c>
    </row>
    <row r="1188" spans="1:10" x14ac:dyDescent="0.3">
      <c r="A1188" t="s">
        <v>1219</v>
      </c>
      <c r="B1188">
        <v>1996</v>
      </c>
      <c r="C1188" t="s">
        <v>35</v>
      </c>
      <c r="D1188">
        <v>8</v>
      </c>
      <c r="E1188" s="13" t="s">
        <v>11861</v>
      </c>
      <c r="F1188">
        <v>0</v>
      </c>
      <c r="G1188" s="11">
        <v>9787.32</v>
      </c>
      <c r="H1188" t="s">
        <v>11</v>
      </c>
      <c r="I1188" t="s">
        <v>12</v>
      </c>
      <c r="J1188" t="s">
        <v>249</v>
      </c>
    </row>
    <row r="1189" spans="1:10" x14ac:dyDescent="0.3">
      <c r="A1189" t="s">
        <v>1220</v>
      </c>
      <c r="B1189">
        <v>1977</v>
      </c>
      <c r="C1189" t="s">
        <v>18</v>
      </c>
      <c r="D1189">
        <v>7</v>
      </c>
      <c r="E1189" s="13" t="s">
        <v>11862</v>
      </c>
      <c r="F1189">
        <v>5</v>
      </c>
      <c r="G1189" s="11">
        <v>9788.8700000000008</v>
      </c>
      <c r="H1189" t="s">
        <v>12</v>
      </c>
      <c r="I1189" t="s">
        <v>11</v>
      </c>
      <c r="J1189" t="s">
        <v>13</v>
      </c>
    </row>
    <row r="1190" spans="1:10" x14ac:dyDescent="0.3">
      <c r="A1190" t="s">
        <v>1221</v>
      </c>
      <c r="B1190">
        <v>1973</v>
      </c>
      <c r="C1190" t="s">
        <v>20</v>
      </c>
      <c r="D1190">
        <v>17</v>
      </c>
      <c r="E1190" s="13" t="s">
        <v>11226</v>
      </c>
      <c r="F1190">
        <v>2</v>
      </c>
      <c r="G1190" s="11">
        <v>9800.89</v>
      </c>
      <c r="H1190" t="s">
        <v>11</v>
      </c>
      <c r="I1190" t="s">
        <v>16</v>
      </c>
      <c r="J1190" t="s">
        <v>13</v>
      </c>
    </row>
    <row r="1191" spans="1:10" x14ac:dyDescent="0.3">
      <c r="A1191" t="s">
        <v>1222</v>
      </c>
      <c r="B1191">
        <v>1972</v>
      </c>
      <c r="C1191" t="s">
        <v>18</v>
      </c>
      <c r="D1191">
        <v>28</v>
      </c>
      <c r="E1191" s="13" t="s">
        <v>11863</v>
      </c>
      <c r="F1191">
        <v>0</v>
      </c>
      <c r="G1191" s="11">
        <v>9819.25</v>
      </c>
      <c r="H1191" t="s">
        <v>11</v>
      </c>
      <c r="I1191" t="s">
        <v>11</v>
      </c>
      <c r="J1191" t="s">
        <v>300</v>
      </c>
    </row>
    <row r="1192" spans="1:10" x14ac:dyDescent="0.3">
      <c r="A1192" t="s">
        <v>1223</v>
      </c>
      <c r="B1192">
        <v>1972</v>
      </c>
      <c r="C1192" t="s">
        <v>20</v>
      </c>
      <c r="D1192">
        <v>26</v>
      </c>
      <c r="E1192" s="13" t="s">
        <v>11864</v>
      </c>
      <c r="F1192">
        <v>0</v>
      </c>
      <c r="G1192" s="11">
        <v>9836.2099999999991</v>
      </c>
      <c r="H1192" t="s">
        <v>11</v>
      </c>
      <c r="I1192" t="s">
        <v>12</v>
      </c>
      <c r="J1192" t="s">
        <v>300</v>
      </c>
    </row>
    <row r="1193" spans="1:10" x14ac:dyDescent="0.3">
      <c r="A1193" t="s">
        <v>1224</v>
      </c>
      <c r="B1193">
        <v>1992</v>
      </c>
      <c r="C1193" t="s">
        <v>35</v>
      </c>
      <c r="D1193">
        <v>13</v>
      </c>
      <c r="E1193" s="13" t="s">
        <v>11865</v>
      </c>
      <c r="F1193">
        <v>0</v>
      </c>
      <c r="G1193" s="11">
        <v>9844.4500000000007</v>
      </c>
      <c r="H1193" t="s">
        <v>11</v>
      </c>
      <c r="I1193" t="s">
        <v>16</v>
      </c>
      <c r="J1193" t="s">
        <v>23</v>
      </c>
    </row>
    <row r="1194" spans="1:10" x14ac:dyDescent="0.3">
      <c r="A1194" t="s">
        <v>1225</v>
      </c>
      <c r="B1194">
        <v>1968</v>
      </c>
      <c r="C1194" t="s">
        <v>15</v>
      </c>
      <c r="D1194">
        <v>4</v>
      </c>
      <c r="E1194" s="13" t="s">
        <v>11866</v>
      </c>
      <c r="F1194">
        <v>0</v>
      </c>
      <c r="G1194" s="11">
        <v>9850.43</v>
      </c>
      <c r="H1194" t="s">
        <v>12</v>
      </c>
      <c r="I1194" t="s">
        <v>12</v>
      </c>
      <c r="J1194" t="s">
        <v>42</v>
      </c>
    </row>
    <row r="1195" spans="1:10" x14ac:dyDescent="0.3">
      <c r="A1195" t="s">
        <v>1226</v>
      </c>
      <c r="B1195">
        <v>1971</v>
      </c>
      <c r="C1195" t="s">
        <v>37</v>
      </c>
      <c r="D1195">
        <v>23</v>
      </c>
      <c r="E1195" s="13" t="s">
        <v>11867</v>
      </c>
      <c r="F1195">
        <v>1</v>
      </c>
      <c r="G1195" s="11">
        <v>9855.1299999999992</v>
      </c>
      <c r="H1195" t="s">
        <v>11</v>
      </c>
      <c r="I1195" t="s">
        <v>12</v>
      </c>
      <c r="J1195" t="s">
        <v>13</v>
      </c>
    </row>
    <row r="1196" spans="1:10" x14ac:dyDescent="0.3">
      <c r="A1196" t="s">
        <v>1227</v>
      </c>
      <c r="B1196">
        <v>1971</v>
      </c>
      <c r="C1196" t="s">
        <v>10</v>
      </c>
      <c r="D1196">
        <v>17</v>
      </c>
      <c r="E1196" s="13" t="s">
        <v>11868</v>
      </c>
      <c r="F1196">
        <v>1</v>
      </c>
      <c r="G1196" s="11">
        <v>9861.0300000000007</v>
      </c>
      <c r="H1196" t="s">
        <v>11</v>
      </c>
      <c r="I1196" t="s">
        <v>11</v>
      </c>
      <c r="J1196" t="s">
        <v>42</v>
      </c>
    </row>
    <row r="1197" spans="1:10" x14ac:dyDescent="0.3">
      <c r="A1197" t="s">
        <v>1228</v>
      </c>
      <c r="B1197">
        <v>1969</v>
      </c>
      <c r="C1197" t="s">
        <v>37</v>
      </c>
      <c r="D1197">
        <v>20</v>
      </c>
      <c r="E1197" s="13" t="s">
        <v>11869</v>
      </c>
      <c r="F1197">
        <v>0</v>
      </c>
      <c r="G1197" s="11">
        <v>9863.4699999999993</v>
      </c>
      <c r="H1197" t="s">
        <v>12</v>
      </c>
      <c r="I1197" t="s">
        <v>12</v>
      </c>
      <c r="J1197" t="s">
        <v>23</v>
      </c>
    </row>
    <row r="1198" spans="1:10" x14ac:dyDescent="0.3">
      <c r="A1198" t="s">
        <v>1229</v>
      </c>
      <c r="B1198">
        <v>1971</v>
      </c>
      <c r="C1198" t="s">
        <v>15</v>
      </c>
      <c r="D1198">
        <v>9</v>
      </c>
      <c r="E1198" s="13" t="s">
        <v>11870</v>
      </c>
      <c r="F1198">
        <v>0</v>
      </c>
      <c r="G1198" s="11">
        <v>9866.2999999999993</v>
      </c>
      <c r="H1198" t="s">
        <v>11</v>
      </c>
      <c r="I1198" t="s">
        <v>12</v>
      </c>
      <c r="J1198" t="s">
        <v>247</v>
      </c>
    </row>
    <row r="1199" spans="1:10" x14ac:dyDescent="0.3">
      <c r="A1199" t="s">
        <v>1230</v>
      </c>
      <c r="B1199">
        <v>1969</v>
      </c>
      <c r="C1199" t="s">
        <v>35</v>
      </c>
      <c r="D1199">
        <v>13</v>
      </c>
      <c r="E1199" s="13" t="s">
        <v>11871</v>
      </c>
      <c r="F1199">
        <v>0</v>
      </c>
      <c r="G1199" s="11">
        <v>9869.81</v>
      </c>
      <c r="H1199" t="s">
        <v>12</v>
      </c>
      <c r="I1199" t="s">
        <v>12</v>
      </c>
      <c r="J1199" t="s">
        <v>23</v>
      </c>
    </row>
    <row r="1200" spans="1:10" x14ac:dyDescent="0.3">
      <c r="A1200" t="s">
        <v>1231</v>
      </c>
      <c r="B1200">
        <v>1998</v>
      </c>
      <c r="C1200" t="s">
        <v>10</v>
      </c>
      <c r="D1200">
        <v>6</v>
      </c>
      <c r="E1200" s="13" t="s">
        <v>11872</v>
      </c>
      <c r="F1200">
        <v>0</v>
      </c>
      <c r="G1200" s="11">
        <v>9870.59</v>
      </c>
      <c r="H1200" t="s">
        <v>11</v>
      </c>
      <c r="I1200" t="s">
        <v>11</v>
      </c>
      <c r="J1200" t="s">
        <v>249</v>
      </c>
    </row>
    <row r="1201" spans="1:10" x14ac:dyDescent="0.3">
      <c r="A1201" t="s">
        <v>1232</v>
      </c>
      <c r="B1201">
        <v>1971</v>
      </c>
      <c r="C1201" t="s">
        <v>30</v>
      </c>
      <c r="D1201">
        <v>22</v>
      </c>
      <c r="E1201" s="13" t="s">
        <v>11873</v>
      </c>
      <c r="F1201">
        <v>1</v>
      </c>
      <c r="G1201" s="11">
        <v>9872.7000000000007</v>
      </c>
      <c r="H1201" t="s">
        <v>11</v>
      </c>
      <c r="I1201" t="s">
        <v>11</v>
      </c>
      <c r="J1201" t="s">
        <v>42</v>
      </c>
    </row>
    <row r="1202" spans="1:10" x14ac:dyDescent="0.3">
      <c r="A1202" t="s">
        <v>1233</v>
      </c>
      <c r="B1202">
        <v>1971</v>
      </c>
      <c r="C1202" t="s">
        <v>10</v>
      </c>
      <c r="D1202">
        <v>3</v>
      </c>
      <c r="E1202" s="13" t="s">
        <v>11874</v>
      </c>
      <c r="F1202">
        <v>0</v>
      </c>
      <c r="G1202" s="11">
        <v>9875.68</v>
      </c>
      <c r="H1202" t="s">
        <v>11</v>
      </c>
      <c r="I1202" t="s">
        <v>12</v>
      </c>
      <c r="J1202" t="s">
        <v>247</v>
      </c>
    </row>
    <row r="1203" spans="1:10" x14ac:dyDescent="0.3">
      <c r="A1203" t="s">
        <v>1234</v>
      </c>
      <c r="B1203">
        <v>1971</v>
      </c>
      <c r="C1203" t="s">
        <v>37</v>
      </c>
      <c r="D1203">
        <v>3</v>
      </c>
      <c r="E1203" s="13" t="s">
        <v>11875</v>
      </c>
      <c r="F1203">
        <v>1</v>
      </c>
      <c r="G1203" s="11">
        <v>9877.61</v>
      </c>
      <c r="H1203" t="s">
        <v>11</v>
      </c>
      <c r="I1203" t="s">
        <v>16</v>
      </c>
      <c r="J1203" t="s">
        <v>13</v>
      </c>
    </row>
    <row r="1204" spans="1:10" x14ac:dyDescent="0.3">
      <c r="A1204" t="s">
        <v>1235</v>
      </c>
      <c r="B1204">
        <v>1971</v>
      </c>
      <c r="C1204" t="s">
        <v>15</v>
      </c>
      <c r="D1204">
        <v>8</v>
      </c>
      <c r="E1204" s="13" t="s">
        <v>11876</v>
      </c>
      <c r="F1204">
        <v>1</v>
      </c>
      <c r="G1204" s="11">
        <v>9880.07</v>
      </c>
      <c r="H1204" t="s">
        <v>11</v>
      </c>
      <c r="I1204" t="s">
        <v>12</v>
      </c>
      <c r="J1204" t="s">
        <v>42</v>
      </c>
    </row>
    <row r="1205" spans="1:10" x14ac:dyDescent="0.3">
      <c r="A1205" t="s">
        <v>1236</v>
      </c>
      <c r="B1205">
        <v>1966</v>
      </c>
      <c r="C1205" t="s">
        <v>15</v>
      </c>
      <c r="D1205">
        <v>5</v>
      </c>
      <c r="E1205" s="13" t="s">
        <v>11877</v>
      </c>
      <c r="F1205">
        <v>0</v>
      </c>
      <c r="G1205" s="11">
        <v>9890.23</v>
      </c>
      <c r="H1205" t="s">
        <v>12</v>
      </c>
      <c r="I1205" t="s">
        <v>12</v>
      </c>
      <c r="J1205" t="s">
        <v>13</v>
      </c>
    </row>
    <row r="1206" spans="1:10" x14ac:dyDescent="0.3">
      <c r="A1206" t="s">
        <v>1237</v>
      </c>
      <c r="B1206">
        <v>1996</v>
      </c>
      <c r="C1206" t="s">
        <v>10</v>
      </c>
      <c r="D1206">
        <v>8</v>
      </c>
      <c r="E1206" s="13" t="s">
        <v>11878</v>
      </c>
      <c r="F1206">
        <v>0</v>
      </c>
      <c r="G1206" s="11">
        <v>9894.69</v>
      </c>
      <c r="H1206" t="s">
        <v>11</v>
      </c>
      <c r="I1206" t="s">
        <v>12</v>
      </c>
      <c r="J1206" t="s">
        <v>23</v>
      </c>
    </row>
    <row r="1207" spans="1:10" x14ac:dyDescent="0.3">
      <c r="A1207" t="s">
        <v>1238</v>
      </c>
      <c r="B1207">
        <v>1962</v>
      </c>
      <c r="C1207" t="s">
        <v>35</v>
      </c>
      <c r="D1207">
        <v>17</v>
      </c>
      <c r="E1207" s="13" t="s">
        <v>11879</v>
      </c>
      <c r="F1207">
        <v>0</v>
      </c>
      <c r="G1207" s="11">
        <v>9907.83</v>
      </c>
      <c r="H1207" t="s">
        <v>12</v>
      </c>
      <c r="I1207" t="s">
        <v>11</v>
      </c>
      <c r="J1207" t="s">
        <v>13</v>
      </c>
    </row>
    <row r="1208" spans="1:10" x14ac:dyDescent="0.3">
      <c r="A1208" t="s">
        <v>1239</v>
      </c>
      <c r="B1208">
        <v>1972</v>
      </c>
      <c r="C1208" t="s">
        <v>20</v>
      </c>
      <c r="D1208">
        <v>14</v>
      </c>
      <c r="E1208" s="13" t="s">
        <v>11880</v>
      </c>
      <c r="F1208">
        <v>1</v>
      </c>
      <c r="G1208" s="11">
        <v>9910.36</v>
      </c>
      <c r="H1208" t="s">
        <v>11</v>
      </c>
      <c r="I1208" t="s">
        <v>12</v>
      </c>
      <c r="J1208" t="s">
        <v>23</v>
      </c>
    </row>
    <row r="1209" spans="1:10" x14ac:dyDescent="0.3">
      <c r="A1209" t="s">
        <v>1240</v>
      </c>
      <c r="B1209">
        <v>1985</v>
      </c>
      <c r="C1209" t="s">
        <v>35</v>
      </c>
      <c r="D1209">
        <v>19</v>
      </c>
      <c r="E1209" s="13" t="s">
        <v>11881</v>
      </c>
      <c r="F1209">
        <v>3</v>
      </c>
      <c r="G1209" s="11">
        <v>9930.64</v>
      </c>
      <c r="H1209" t="s">
        <v>11</v>
      </c>
      <c r="I1209" t="s">
        <v>12</v>
      </c>
      <c r="J1209" t="s">
        <v>200</v>
      </c>
    </row>
    <row r="1210" spans="1:10" x14ac:dyDescent="0.3">
      <c r="A1210" t="s">
        <v>1241</v>
      </c>
      <c r="B1210">
        <v>1983</v>
      </c>
      <c r="C1210" t="s">
        <v>30</v>
      </c>
      <c r="D1210">
        <v>3</v>
      </c>
      <c r="E1210" s="13" t="s">
        <v>11882</v>
      </c>
      <c r="F1210">
        <v>3</v>
      </c>
      <c r="G1210" s="11">
        <v>9931.9599999999991</v>
      </c>
      <c r="H1210" t="s">
        <v>11</v>
      </c>
      <c r="I1210" t="s">
        <v>11</v>
      </c>
      <c r="J1210" t="s">
        <v>23</v>
      </c>
    </row>
    <row r="1211" spans="1:10" x14ac:dyDescent="0.3">
      <c r="A1211" t="s">
        <v>1242</v>
      </c>
      <c r="B1211">
        <v>1964</v>
      </c>
      <c r="C1211" t="s">
        <v>20</v>
      </c>
      <c r="D1211">
        <v>11</v>
      </c>
      <c r="E1211" s="13" t="s">
        <v>11883</v>
      </c>
      <c r="F1211">
        <v>0</v>
      </c>
      <c r="G1211" s="11">
        <v>9933.44</v>
      </c>
      <c r="H1211" t="s">
        <v>12</v>
      </c>
      <c r="I1211" t="s">
        <v>12</v>
      </c>
      <c r="J1211" t="s">
        <v>13</v>
      </c>
    </row>
    <row r="1212" spans="1:10" x14ac:dyDescent="0.3">
      <c r="A1212" t="s">
        <v>1243</v>
      </c>
      <c r="B1212">
        <v>1971</v>
      </c>
      <c r="C1212" t="s">
        <v>30</v>
      </c>
      <c r="D1212">
        <v>26</v>
      </c>
      <c r="E1212" s="13" t="s">
        <v>11884</v>
      </c>
      <c r="F1212">
        <v>1</v>
      </c>
      <c r="G1212" s="11">
        <v>9957.7199999999993</v>
      </c>
      <c r="H1212" t="s">
        <v>11</v>
      </c>
      <c r="I1212" t="s">
        <v>12</v>
      </c>
      <c r="J1212" t="s">
        <v>170</v>
      </c>
    </row>
    <row r="1213" spans="1:10" x14ac:dyDescent="0.3">
      <c r="A1213" t="s">
        <v>1244</v>
      </c>
      <c r="B1213">
        <v>1971</v>
      </c>
      <c r="C1213" t="s">
        <v>37</v>
      </c>
      <c r="D1213">
        <v>6</v>
      </c>
      <c r="E1213" s="13" t="s">
        <v>11885</v>
      </c>
      <c r="F1213">
        <v>1</v>
      </c>
      <c r="G1213" s="11">
        <v>9964.06</v>
      </c>
      <c r="H1213" t="s">
        <v>11</v>
      </c>
      <c r="I1213" t="s">
        <v>11</v>
      </c>
      <c r="J1213" t="s">
        <v>166</v>
      </c>
    </row>
    <row r="1214" spans="1:10" x14ac:dyDescent="0.3">
      <c r="A1214" t="s">
        <v>1245</v>
      </c>
      <c r="B1214">
        <v>1970</v>
      </c>
      <c r="C1214" t="s">
        <v>35</v>
      </c>
      <c r="D1214">
        <v>11</v>
      </c>
      <c r="E1214" s="13" t="s">
        <v>11886</v>
      </c>
      <c r="F1214">
        <v>0</v>
      </c>
      <c r="G1214" s="11">
        <v>9991.0400000000009</v>
      </c>
      <c r="H1214" t="s">
        <v>11</v>
      </c>
      <c r="I1214" t="s">
        <v>12</v>
      </c>
      <c r="J1214" t="s">
        <v>23</v>
      </c>
    </row>
    <row r="1215" spans="1:10" x14ac:dyDescent="0.3">
      <c r="A1215" t="s">
        <v>1246</v>
      </c>
      <c r="B1215">
        <v>1988</v>
      </c>
      <c r="C1215" t="s">
        <v>10</v>
      </c>
      <c r="D1215">
        <v>3</v>
      </c>
      <c r="E1215" s="13" t="s">
        <v>11887</v>
      </c>
      <c r="F1215">
        <v>3</v>
      </c>
      <c r="G1215" s="11">
        <v>10011.44</v>
      </c>
      <c r="H1215" t="s">
        <v>12</v>
      </c>
      <c r="I1215" t="s">
        <v>12</v>
      </c>
      <c r="J1215" t="s">
        <v>535</v>
      </c>
    </row>
    <row r="1216" spans="1:10" x14ac:dyDescent="0.3">
      <c r="A1216" t="s">
        <v>1247</v>
      </c>
      <c r="B1216">
        <v>1979</v>
      </c>
      <c r="C1216" t="s">
        <v>30</v>
      </c>
      <c r="D1216">
        <v>28</v>
      </c>
      <c r="E1216" s="13" t="s">
        <v>11888</v>
      </c>
      <c r="F1216">
        <v>2</v>
      </c>
      <c r="G1216" s="11">
        <v>10027.15</v>
      </c>
      <c r="H1216" t="s">
        <v>12</v>
      </c>
      <c r="I1216" t="s">
        <v>16</v>
      </c>
      <c r="J1216" t="s">
        <v>300</v>
      </c>
    </row>
    <row r="1217" spans="1:10" x14ac:dyDescent="0.3">
      <c r="A1217" t="s">
        <v>1248</v>
      </c>
      <c r="B1217">
        <v>1974</v>
      </c>
      <c r="C1217" t="s">
        <v>35</v>
      </c>
      <c r="D1217">
        <v>30</v>
      </c>
      <c r="E1217" s="13" t="s">
        <v>11889</v>
      </c>
      <c r="F1217">
        <v>2</v>
      </c>
      <c r="G1217" s="11">
        <v>10043.25</v>
      </c>
      <c r="H1217" t="s">
        <v>12</v>
      </c>
      <c r="I1217" t="s">
        <v>11</v>
      </c>
      <c r="J1217" t="s">
        <v>247</v>
      </c>
    </row>
    <row r="1218" spans="1:10" x14ac:dyDescent="0.3">
      <c r="A1218" t="s">
        <v>1249</v>
      </c>
      <c r="B1218">
        <v>1969</v>
      </c>
      <c r="C1218" t="s">
        <v>35</v>
      </c>
      <c r="D1218">
        <v>22</v>
      </c>
      <c r="E1218" s="13" t="s">
        <v>11890</v>
      </c>
      <c r="F1218">
        <v>1</v>
      </c>
      <c r="G1218" s="11">
        <v>10065.41</v>
      </c>
      <c r="H1218" t="s">
        <v>12</v>
      </c>
      <c r="I1218" t="s">
        <v>11</v>
      </c>
      <c r="J1218" t="s">
        <v>42</v>
      </c>
    </row>
    <row r="1219" spans="1:10" x14ac:dyDescent="0.3">
      <c r="A1219" t="s">
        <v>1250</v>
      </c>
      <c r="B1219">
        <v>1969</v>
      </c>
      <c r="C1219" t="s">
        <v>37</v>
      </c>
      <c r="D1219">
        <v>27</v>
      </c>
      <c r="E1219" s="13" t="s">
        <v>11891</v>
      </c>
      <c r="F1219">
        <v>0</v>
      </c>
      <c r="G1219" s="11">
        <v>10072.06</v>
      </c>
      <c r="H1219" t="s">
        <v>12</v>
      </c>
      <c r="I1219" t="s">
        <v>16</v>
      </c>
      <c r="J1219" t="s">
        <v>356</v>
      </c>
    </row>
    <row r="1220" spans="1:10" x14ac:dyDescent="0.3">
      <c r="A1220" t="s">
        <v>1251</v>
      </c>
      <c r="B1220">
        <v>1969</v>
      </c>
      <c r="C1220" t="s">
        <v>10</v>
      </c>
      <c r="D1220">
        <v>3</v>
      </c>
      <c r="E1220" s="13" t="s">
        <v>11892</v>
      </c>
      <c r="F1220">
        <v>1</v>
      </c>
      <c r="G1220" s="11">
        <v>10085.85</v>
      </c>
      <c r="H1220" t="s">
        <v>12</v>
      </c>
      <c r="I1220" t="s">
        <v>12</v>
      </c>
      <c r="J1220" t="s">
        <v>42</v>
      </c>
    </row>
    <row r="1221" spans="1:10" x14ac:dyDescent="0.3">
      <c r="A1221" t="s">
        <v>1252</v>
      </c>
      <c r="B1221">
        <v>1976</v>
      </c>
      <c r="C1221" t="s">
        <v>30</v>
      </c>
      <c r="D1221">
        <v>19</v>
      </c>
      <c r="E1221" s="13" t="s">
        <v>11893</v>
      </c>
      <c r="F1221">
        <v>5</v>
      </c>
      <c r="G1221" s="11">
        <v>10096.969999999999</v>
      </c>
      <c r="H1221" t="s">
        <v>12</v>
      </c>
      <c r="I1221" t="s">
        <v>11</v>
      </c>
      <c r="J1221" t="s">
        <v>42</v>
      </c>
    </row>
    <row r="1222" spans="1:10" x14ac:dyDescent="0.3">
      <c r="A1222" t="s">
        <v>1253</v>
      </c>
      <c r="B1222">
        <v>1972</v>
      </c>
      <c r="C1222" t="s">
        <v>37</v>
      </c>
      <c r="D1222">
        <v>19</v>
      </c>
      <c r="E1222" s="13" t="s">
        <v>11894</v>
      </c>
      <c r="F1222">
        <v>1</v>
      </c>
      <c r="G1222" s="11">
        <v>10106.129999999999</v>
      </c>
      <c r="H1222" t="s">
        <v>12</v>
      </c>
      <c r="I1222" t="s">
        <v>16</v>
      </c>
      <c r="J1222" t="s">
        <v>247</v>
      </c>
    </row>
    <row r="1223" spans="1:10" x14ac:dyDescent="0.3">
      <c r="A1223" t="s">
        <v>1254</v>
      </c>
      <c r="B1223">
        <v>1972</v>
      </c>
      <c r="C1223" t="s">
        <v>35</v>
      </c>
      <c r="D1223">
        <v>8</v>
      </c>
      <c r="E1223" s="13" t="s">
        <v>11895</v>
      </c>
      <c r="F1223">
        <v>2</v>
      </c>
      <c r="G1223" s="11">
        <v>10107.219999999999</v>
      </c>
      <c r="H1223" t="s">
        <v>12</v>
      </c>
      <c r="I1223" t="s">
        <v>16</v>
      </c>
      <c r="J1223" t="s">
        <v>13</v>
      </c>
    </row>
    <row r="1224" spans="1:10" x14ac:dyDescent="0.3">
      <c r="A1224" t="s">
        <v>1255</v>
      </c>
      <c r="B1224">
        <v>1975</v>
      </c>
      <c r="C1224" t="s">
        <v>10</v>
      </c>
      <c r="D1224">
        <v>2</v>
      </c>
      <c r="E1224" s="13" t="s">
        <v>11896</v>
      </c>
      <c r="F1224">
        <v>3</v>
      </c>
      <c r="G1224" s="11">
        <v>10115.01</v>
      </c>
      <c r="H1224" t="s">
        <v>12</v>
      </c>
      <c r="I1224" t="s">
        <v>12</v>
      </c>
      <c r="J1224" t="s">
        <v>23</v>
      </c>
    </row>
    <row r="1225" spans="1:10" x14ac:dyDescent="0.3">
      <c r="A1225" t="s">
        <v>1256</v>
      </c>
      <c r="B1225">
        <v>1972</v>
      </c>
      <c r="C1225" t="s">
        <v>15</v>
      </c>
      <c r="D1225">
        <v>16</v>
      </c>
      <c r="E1225" s="13" t="s">
        <v>11897</v>
      </c>
      <c r="F1225">
        <v>2</v>
      </c>
      <c r="G1225" s="11">
        <v>10118.42</v>
      </c>
      <c r="H1225" t="s">
        <v>12</v>
      </c>
      <c r="I1225" t="s">
        <v>12</v>
      </c>
      <c r="J1225" t="s">
        <v>42</v>
      </c>
    </row>
    <row r="1226" spans="1:10" x14ac:dyDescent="0.3">
      <c r="A1226" t="s">
        <v>1257</v>
      </c>
      <c r="B1226">
        <v>1997</v>
      </c>
      <c r="C1226" t="s">
        <v>20</v>
      </c>
      <c r="D1226">
        <v>5</v>
      </c>
      <c r="E1226" s="13" t="s">
        <v>11898</v>
      </c>
      <c r="F1226">
        <v>0</v>
      </c>
      <c r="G1226" s="11">
        <v>10139.84</v>
      </c>
      <c r="H1226" t="s">
        <v>12</v>
      </c>
      <c r="I1226" t="s">
        <v>11</v>
      </c>
      <c r="J1226" t="s">
        <v>23</v>
      </c>
    </row>
    <row r="1227" spans="1:10" x14ac:dyDescent="0.3">
      <c r="A1227" t="s">
        <v>1258</v>
      </c>
      <c r="B1227">
        <v>1974</v>
      </c>
      <c r="C1227" t="s">
        <v>30</v>
      </c>
      <c r="D1227">
        <v>30</v>
      </c>
      <c r="E1227" s="13" t="s">
        <v>11850</v>
      </c>
      <c r="F1227">
        <v>3</v>
      </c>
      <c r="G1227" s="11">
        <v>10141.14</v>
      </c>
      <c r="H1227" t="s">
        <v>12</v>
      </c>
      <c r="I1227" t="s">
        <v>16</v>
      </c>
      <c r="J1227" t="s">
        <v>168</v>
      </c>
    </row>
    <row r="1228" spans="1:10" x14ac:dyDescent="0.3">
      <c r="A1228" t="s">
        <v>1259</v>
      </c>
      <c r="B1228">
        <v>1981</v>
      </c>
      <c r="C1228" t="s">
        <v>18</v>
      </c>
      <c r="D1228">
        <v>12</v>
      </c>
      <c r="E1228" s="13" t="s">
        <v>11899</v>
      </c>
      <c r="F1228">
        <v>1</v>
      </c>
      <c r="G1228" s="11">
        <v>10146.129999999999</v>
      </c>
      <c r="H1228" t="s">
        <v>12</v>
      </c>
      <c r="I1228" t="s">
        <v>16</v>
      </c>
      <c r="J1228" t="s">
        <v>200</v>
      </c>
    </row>
    <row r="1229" spans="1:10" x14ac:dyDescent="0.3">
      <c r="A1229" t="s">
        <v>1260</v>
      </c>
      <c r="B1229">
        <v>1973</v>
      </c>
      <c r="C1229" t="s">
        <v>37</v>
      </c>
      <c r="D1229">
        <v>13</v>
      </c>
      <c r="E1229" s="13" t="s">
        <v>11900</v>
      </c>
      <c r="F1229">
        <v>2</v>
      </c>
      <c r="G1229" s="11">
        <v>10156.780000000001</v>
      </c>
      <c r="H1229" t="s">
        <v>12</v>
      </c>
      <c r="I1229" t="s">
        <v>11</v>
      </c>
      <c r="J1229" t="s">
        <v>23</v>
      </c>
    </row>
    <row r="1230" spans="1:10" x14ac:dyDescent="0.3">
      <c r="A1230" t="s">
        <v>1261</v>
      </c>
      <c r="B1230">
        <v>1972</v>
      </c>
      <c r="C1230" t="s">
        <v>10</v>
      </c>
      <c r="D1230">
        <v>10</v>
      </c>
      <c r="E1230" s="13" t="s">
        <v>11901</v>
      </c>
      <c r="F1230">
        <v>0</v>
      </c>
      <c r="G1230" s="11">
        <v>10160.870000000001</v>
      </c>
      <c r="H1230" t="s">
        <v>12</v>
      </c>
      <c r="I1230" t="s">
        <v>12</v>
      </c>
      <c r="J1230" t="s">
        <v>200</v>
      </c>
    </row>
    <row r="1231" spans="1:10" x14ac:dyDescent="0.3">
      <c r="A1231" t="s">
        <v>1262</v>
      </c>
      <c r="B1231">
        <v>1985</v>
      </c>
      <c r="C1231" t="s">
        <v>37</v>
      </c>
      <c r="D1231">
        <v>16</v>
      </c>
      <c r="E1231" s="13" t="s">
        <v>11902</v>
      </c>
      <c r="F1231">
        <v>3</v>
      </c>
      <c r="G1231" s="11">
        <v>10191.82</v>
      </c>
      <c r="H1231" t="s">
        <v>12</v>
      </c>
      <c r="I1231" t="s">
        <v>11</v>
      </c>
      <c r="J1231" t="s">
        <v>535</v>
      </c>
    </row>
    <row r="1232" spans="1:10" x14ac:dyDescent="0.3">
      <c r="A1232" t="s">
        <v>1263</v>
      </c>
      <c r="B1232">
        <v>1970</v>
      </c>
      <c r="C1232" t="s">
        <v>30</v>
      </c>
      <c r="D1232">
        <v>24</v>
      </c>
      <c r="E1232" s="13" t="s">
        <v>11903</v>
      </c>
      <c r="F1232">
        <v>0</v>
      </c>
      <c r="G1232" s="11">
        <v>10197.77</v>
      </c>
      <c r="H1232" t="s">
        <v>12</v>
      </c>
      <c r="I1232" t="s">
        <v>16</v>
      </c>
      <c r="J1232" t="s">
        <v>247</v>
      </c>
    </row>
    <row r="1233" spans="1:10" x14ac:dyDescent="0.3">
      <c r="A1233" t="s">
        <v>1264</v>
      </c>
      <c r="B1233">
        <v>1967</v>
      </c>
      <c r="C1233" t="s">
        <v>20</v>
      </c>
      <c r="D1233">
        <v>26</v>
      </c>
      <c r="E1233" s="13" t="s">
        <v>11904</v>
      </c>
      <c r="F1233">
        <v>0</v>
      </c>
      <c r="G1233" s="11">
        <v>10214.64</v>
      </c>
      <c r="H1233" t="s">
        <v>12</v>
      </c>
      <c r="I1233" t="s">
        <v>11</v>
      </c>
      <c r="J1233" t="s">
        <v>42</v>
      </c>
    </row>
    <row r="1234" spans="1:10" x14ac:dyDescent="0.3">
      <c r="A1234" t="s">
        <v>1265</v>
      </c>
      <c r="B1234">
        <v>1967</v>
      </c>
      <c r="C1234" t="s">
        <v>18</v>
      </c>
      <c r="D1234">
        <v>28</v>
      </c>
      <c r="E1234" s="13" t="s">
        <v>11905</v>
      </c>
      <c r="F1234">
        <v>0</v>
      </c>
      <c r="G1234" s="11">
        <v>10226.280000000001</v>
      </c>
      <c r="H1234" t="s">
        <v>12</v>
      </c>
      <c r="I1234" t="s">
        <v>12</v>
      </c>
      <c r="J1234" t="s">
        <v>13</v>
      </c>
    </row>
    <row r="1235" spans="1:10" x14ac:dyDescent="0.3">
      <c r="A1235" t="s">
        <v>1266</v>
      </c>
      <c r="B1235">
        <v>1968</v>
      </c>
      <c r="C1235" t="s">
        <v>20</v>
      </c>
      <c r="D1235">
        <v>23</v>
      </c>
      <c r="E1235" s="13" t="s">
        <v>11906</v>
      </c>
      <c r="F1235">
        <v>0</v>
      </c>
      <c r="G1235" s="11">
        <v>10231.5</v>
      </c>
      <c r="H1235" t="s">
        <v>12</v>
      </c>
      <c r="I1235" t="s">
        <v>16</v>
      </c>
      <c r="J1235" t="s">
        <v>23</v>
      </c>
    </row>
    <row r="1236" spans="1:10" x14ac:dyDescent="0.3">
      <c r="A1236" t="s">
        <v>1267</v>
      </c>
      <c r="B1236">
        <v>1975</v>
      </c>
      <c r="C1236" t="s">
        <v>35</v>
      </c>
      <c r="D1236">
        <v>15</v>
      </c>
      <c r="E1236" s="13" t="s">
        <v>11907</v>
      </c>
      <c r="F1236">
        <v>1</v>
      </c>
      <c r="G1236" s="11">
        <v>10259.129999999999</v>
      </c>
      <c r="H1236" t="s">
        <v>12</v>
      </c>
      <c r="I1236" t="s">
        <v>11</v>
      </c>
      <c r="J1236" t="s">
        <v>42</v>
      </c>
    </row>
    <row r="1237" spans="1:10" x14ac:dyDescent="0.3">
      <c r="A1237" t="s">
        <v>1268</v>
      </c>
      <c r="B1237">
        <v>1973</v>
      </c>
      <c r="C1237" t="s">
        <v>20</v>
      </c>
      <c r="D1237">
        <v>5</v>
      </c>
      <c r="E1237" s="13" t="s">
        <v>11908</v>
      </c>
      <c r="F1237">
        <v>3</v>
      </c>
      <c r="G1237" s="11">
        <v>10264.44</v>
      </c>
      <c r="H1237" t="s">
        <v>12</v>
      </c>
      <c r="I1237" t="s">
        <v>11</v>
      </c>
      <c r="J1237" t="s">
        <v>23</v>
      </c>
    </row>
    <row r="1238" spans="1:10" x14ac:dyDescent="0.3">
      <c r="A1238" t="s">
        <v>1269</v>
      </c>
      <c r="B1238">
        <v>1973</v>
      </c>
      <c r="C1238" t="s">
        <v>15</v>
      </c>
      <c r="D1238">
        <v>27</v>
      </c>
      <c r="E1238" s="13" t="s">
        <v>11720</v>
      </c>
      <c r="F1238">
        <v>3</v>
      </c>
      <c r="G1238" s="11">
        <v>10269.459999999999</v>
      </c>
      <c r="H1238" t="s">
        <v>12</v>
      </c>
      <c r="I1238" t="s">
        <v>12</v>
      </c>
      <c r="J1238" t="s">
        <v>23</v>
      </c>
    </row>
    <row r="1239" spans="1:10" x14ac:dyDescent="0.3">
      <c r="A1239" t="s">
        <v>1270</v>
      </c>
      <c r="B1239">
        <v>1970</v>
      </c>
      <c r="C1239" t="s">
        <v>18</v>
      </c>
      <c r="D1239">
        <v>21</v>
      </c>
      <c r="E1239" s="13" t="s">
        <v>11909</v>
      </c>
      <c r="F1239">
        <v>0</v>
      </c>
      <c r="G1239" s="11">
        <v>10274.33</v>
      </c>
      <c r="H1239" t="s">
        <v>12</v>
      </c>
      <c r="I1239" t="s">
        <v>16</v>
      </c>
      <c r="J1239" t="s">
        <v>247</v>
      </c>
    </row>
    <row r="1240" spans="1:10" x14ac:dyDescent="0.3">
      <c r="A1240" t="s">
        <v>1271</v>
      </c>
      <c r="B1240">
        <v>1988</v>
      </c>
      <c r="C1240" t="s">
        <v>20</v>
      </c>
      <c r="D1240">
        <v>14</v>
      </c>
      <c r="E1240" s="13" t="s">
        <v>11001</v>
      </c>
      <c r="F1240">
        <v>3</v>
      </c>
      <c r="G1240" s="11">
        <v>10276.99</v>
      </c>
      <c r="H1240" t="s">
        <v>12</v>
      </c>
      <c r="I1240" t="s">
        <v>16</v>
      </c>
      <c r="J1240" t="s">
        <v>300</v>
      </c>
    </row>
    <row r="1241" spans="1:10" x14ac:dyDescent="0.3">
      <c r="A1241" t="s">
        <v>1272</v>
      </c>
      <c r="B1241">
        <v>1963</v>
      </c>
      <c r="C1241" t="s">
        <v>20</v>
      </c>
      <c r="D1241">
        <v>24</v>
      </c>
      <c r="E1241" s="13" t="s">
        <v>11910</v>
      </c>
      <c r="F1241">
        <v>0</v>
      </c>
      <c r="G1241" s="11">
        <v>10308.040000000001</v>
      </c>
      <c r="H1241" t="s">
        <v>12</v>
      </c>
      <c r="I1241" t="s">
        <v>16</v>
      </c>
      <c r="J1241" t="s">
        <v>13</v>
      </c>
    </row>
    <row r="1242" spans="1:10" x14ac:dyDescent="0.3">
      <c r="A1242" t="s">
        <v>1273</v>
      </c>
      <c r="B1242">
        <v>1962</v>
      </c>
      <c r="C1242" t="s">
        <v>10</v>
      </c>
      <c r="D1242">
        <v>12</v>
      </c>
      <c r="E1242" s="13" t="s">
        <v>11484</v>
      </c>
      <c r="F1242">
        <v>0</v>
      </c>
      <c r="G1242" s="11">
        <v>10310.780000000001</v>
      </c>
      <c r="H1242" t="s">
        <v>12</v>
      </c>
      <c r="I1242" t="s">
        <v>12</v>
      </c>
      <c r="J1242" t="s">
        <v>23</v>
      </c>
    </row>
    <row r="1243" spans="1:10" x14ac:dyDescent="0.3">
      <c r="A1243" t="s">
        <v>1274</v>
      </c>
      <c r="B1243">
        <v>1991</v>
      </c>
      <c r="C1243" t="s">
        <v>15</v>
      </c>
      <c r="D1243">
        <v>17</v>
      </c>
      <c r="E1243" s="13" t="s">
        <v>11911</v>
      </c>
      <c r="F1243">
        <v>3</v>
      </c>
      <c r="G1243" s="11">
        <v>10315.91</v>
      </c>
      <c r="H1243" t="s">
        <v>12</v>
      </c>
      <c r="I1243" t="s">
        <v>11</v>
      </c>
      <c r="J1243" t="s">
        <v>23</v>
      </c>
    </row>
    <row r="1244" spans="1:10" x14ac:dyDescent="0.3">
      <c r="A1244" t="s">
        <v>1275</v>
      </c>
      <c r="B1244">
        <v>1991</v>
      </c>
      <c r="C1244" t="s">
        <v>35</v>
      </c>
      <c r="D1244">
        <v>21</v>
      </c>
      <c r="E1244" s="13" t="s">
        <v>11912</v>
      </c>
      <c r="F1244">
        <v>3</v>
      </c>
      <c r="G1244" s="11">
        <v>10322.9</v>
      </c>
      <c r="H1244" t="s">
        <v>12</v>
      </c>
      <c r="I1244" t="s">
        <v>16</v>
      </c>
      <c r="J1244" t="s">
        <v>535</v>
      </c>
    </row>
    <row r="1245" spans="1:10" x14ac:dyDescent="0.3">
      <c r="A1245" t="s">
        <v>1276</v>
      </c>
      <c r="B1245">
        <v>1970</v>
      </c>
      <c r="C1245" t="s">
        <v>30</v>
      </c>
      <c r="D1245">
        <v>1</v>
      </c>
      <c r="E1245" s="13" t="s">
        <v>11913</v>
      </c>
      <c r="F1245">
        <v>2</v>
      </c>
      <c r="G1245" s="11">
        <v>10325.209999999999</v>
      </c>
      <c r="H1245" t="s">
        <v>12</v>
      </c>
      <c r="I1245" t="s">
        <v>12</v>
      </c>
      <c r="J1245" t="s">
        <v>42</v>
      </c>
    </row>
    <row r="1246" spans="1:10" x14ac:dyDescent="0.3">
      <c r="A1246" t="s">
        <v>1277</v>
      </c>
      <c r="B1246">
        <v>1982</v>
      </c>
      <c r="C1246" t="s">
        <v>10</v>
      </c>
      <c r="D1246">
        <v>21</v>
      </c>
      <c r="E1246" s="13" t="s">
        <v>11914</v>
      </c>
      <c r="F1246">
        <v>3</v>
      </c>
      <c r="G1246" s="11">
        <v>10329.06</v>
      </c>
      <c r="H1246" t="s">
        <v>12</v>
      </c>
      <c r="I1246" t="s">
        <v>16</v>
      </c>
      <c r="J1246" t="s">
        <v>300</v>
      </c>
    </row>
    <row r="1247" spans="1:10" x14ac:dyDescent="0.3">
      <c r="A1247" t="s">
        <v>1278</v>
      </c>
      <c r="B1247">
        <v>1968</v>
      </c>
      <c r="C1247" t="s">
        <v>10</v>
      </c>
      <c r="D1247">
        <v>19</v>
      </c>
      <c r="E1247" s="13" t="s">
        <v>11915</v>
      </c>
      <c r="F1247">
        <v>0</v>
      </c>
      <c r="G1247" s="11">
        <v>10338.93</v>
      </c>
      <c r="H1247" t="s">
        <v>12</v>
      </c>
      <c r="I1247" t="s">
        <v>16</v>
      </c>
      <c r="J1247" t="s">
        <v>13</v>
      </c>
    </row>
    <row r="1248" spans="1:10" x14ac:dyDescent="0.3">
      <c r="A1248" t="s">
        <v>1279</v>
      </c>
      <c r="B1248">
        <v>1973</v>
      </c>
      <c r="C1248" t="s">
        <v>35</v>
      </c>
      <c r="D1248">
        <v>8</v>
      </c>
      <c r="E1248" s="13" t="s">
        <v>11916</v>
      </c>
      <c r="F1248">
        <v>0</v>
      </c>
      <c r="G1248" s="11">
        <v>10345.93</v>
      </c>
      <c r="H1248" t="s">
        <v>12</v>
      </c>
      <c r="I1248" t="s">
        <v>11</v>
      </c>
      <c r="J1248" t="s">
        <v>300</v>
      </c>
    </row>
    <row r="1249" spans="1:10" x14ac:dyDescent="0.3">
      <c r="A1249" t="s">
        <v>1280</v>
      </c>
      <c r="B1249">
        <v>1974</v>
      </c>
      <c r="C1249" t="s">
        <v>20</v>
      </c>
      <c r="D1249">
        <v>29</v>
      </c>
      <c r="E1249" s="13" t="s">
        <v>11917</v>
      </c>
      <c r="F1249">
        <v>0</v>
      </c>
      <c r="G1249" s="11">
        <v>10352.48</v>
      </c>
      <c r="H1249" t="s">
        <v>12</v>
      </c>
      <c r="I1249" t="s">
        <v>16</v>
      </c>
      <c r="J1249" t="s">
        <v>23</v>
      </c>
    </row>
    <row r="1250" spans="1:10" x14ac:dyDescent="0.3">
      <c r="A1250" t="s">
        <v>1281</v>
      </c>
      <c r="B1250">
        <v>1969</v>
      </c>
      <c r="C1250" t="s">
        <v>18</v>
      </c>
      <c r="D1250">
        <v>17</v>
      </c>
      <c r="E1250" s="13" t="s">
        <v>11918</v>
      </c>
      <c r="F1250">
        <v>0</v>
      </c>
      <c r="G1250" s="11">
        <v>10355.64</v>
      </c>
      <c r="H1250" t="s">
        <v>12</v>
      </c>
      <c r="I1250" t="s">
        <v>16</v>
      </c>
      <c r="J1250" t="s">
        <v>23</v>
      </c>
    </row>
    <row r="1251" spans="1:10" x14ac:dyDescent="0.3">
      <c r="A1251" t="s">
        <v>1282</v>
      </c>
      <c r="B1251">
        <v>1971</v>
      </c>
      <c r="C1251" t="s">
        <v>20</v>
      </c>
      <c r="D1251">
        <v>6</v>
      </c>
      <c r="E1251" s="13" t="s">
        <v>11919</v>
      </c>
      <c r="F1251">
        <v>0</v>
      </c>
      <c r="G1251" s="11">
        <v>10356.67</v>
      </c>
      <c r="H1251" t="s">
        <v>12</v>
      </c>
      <c r="I1251" t="s">
        <v>16</v>
      </c>
      <c r="J1251" t="s">
        <v>200</v>
      </c>
    </row>
    <row r="1252" spans="1:10" x14ac:dyDescent="0.3">
      <c r="A1252" t="s">
        <v>1283</v>
      </c>
      <c r="B1252">
        <v>1973</v>
      </c>
      <c r="C1252" t="s">
        <v>20</v>
      </c>
      <c r="D1252">
        <v>29</v>
      </c>
      <c r="E1252" s="13" t="s">
        <v>11920</v>
      </c>
      <c r="F1252">
        <v>2</v>
      </c>
      <c r="G1252" s="11">
        <v>10370.91</v>
      </c>
      <c r="H1252" t="s">
        <v>12</v>
      </c>
      <c r="I1252" t="s">
        <v>12</v>
      </c>
      <c r="J1252" t="s">
        <v>247</v>
      </c>
    </row>
    <row r="1253" spans="1:10" x14ac:dyDescent="0.3">
      <c r="A1253" t="s">
        <v>1284</v>
      </c>
      <c r="B1253">
        <v>1973</v>
      </c>
      <c r="C1253" t="s">
        <v>20</v>
      </c>
      <c r="D1253">
        <v>19</v>
      </c>
      <c r="E1253" s="13" t="s">
        <v>11921</v>
      </c>
      <c r="F1253">
        <v>3</v>
      </c>
      <c r="G1253" s="11">
        <v>10381.48</v>
      </c>
      <c r="H1253" t="s">
        <v>12</v>
      </c>
      <c r="I1253" t="s">
        <v>12</v>
      </c>
      <c r="J1253" t="s">
        <v>13</v>
      </c>
    </row>
    <row r="1254" spans="1:10" x14ac:dyDescent="0.3">
      <c r="A1254" t="s">
        <v>1285</v>
      </c>
      <c r="B1254">
        <v>1969</v>
      </c>
      <c r="C1254" t="s">
        <v>10</v>
      </c>
      <c r="D1254">
        <v>7</v>
      </c>
      <c r="E1254" s="13" t="s">
        <v>11687</v>
      </c>
      <c r="F1254">
        <v>0</v>
      </c>
      <c r="G1254" s="11">
        <v>10403.27</v>
      </c>
      <c r="H1254" t="s">
        <v>12</v>
      </c>
      <c r="I1254" t="s">
        <v>11</v>
      </c>
      <c r="J1254" t="s">
        <v>516</v>
      </c>
    </row>
    <row r="1255" spans="1:10" x14ac:dyDescent="0.3">
      <c r="A1255" t="s">
        <v>1286</v>
      </c>
      <c r="B1255">
        <v>1975</v>
      </c>
      <c r="C1255" t="s">
        <v>18</v>
      </c>
      <c r="D1255">
        <v>5</v>
      </c>
      <c r="E1255" s="13" t="s">
        <v>11922</v>
      </c>
      <c r="F1255">
        <v>4</v>
      </c>
      <c r="G1255" s="11">
        <v>10407.09</v>
      </c>
      <c r="H1255" t="s">
        <v>12</v>
      </c>
      <c r="I1255" t="s">
        <v>16</v>
      </c>
      <c r="J1255" t="s">
        <v>164</v>
      </c>
    </row>
    <row r="1256" spans="1:10" x14ac:dyDescent="0.3">
      <c r="A1256" t="s">
        <v>1287</v>
      </c>
      <c r="B1256">
        <v>1980</v>
      </c>
      <c r="C1256" t="s">
        <v>37</v>
      </c>
      <c r="D1256">
        <v>24</v>
      </c>
      <c r="E1256" s="13" t="s">
        <v>11923</v>
      </c>
      <c r="F1256">
        <v>2</v>
      </c>
      <c r="G1256" s="11">
        <v>10407.98</v>
      </c>
      <c r="H1256" t="s">
        <v>12</v>
      </c>
      <c r="I1256" t="s">
        <v>16</v>
      </c>
      <c r="J1256" t="s">
        <v>300</v>
      </c>
    </row>
    <row r="1257" spans="1:10" x14ac:dyDescent="0.3">
      <c r="A1257" t="s">
        <v>1288</v>
      </c>
      <c r="B1257">
        <v>1973</v>
      </c>
      <c r="C1257" t="s">
        <v>37</v>
      </c>
      <c r="D1257">
        <v>11</v>
      </c>
      <c r="E1257" s="13" t="s">
        <v>11924</v>
      </c>
      <c r="F1257">
        <v>0</v>
      </c>
      <c r="G1257" s="11">
        <v>10419.59</v>
      </c>
      <c r="H1257" t="s">
        <v>12</v>
      </c>
      <c r="I1257" t="s">
        <v>11</v>
      </c>
      <c r="J1257" t="s">
        <v>200</v>
      </c>
    </row>
    <row r="1258" spans="1:10" x14ac:dyDescent="0.3">
      <c r="A1258" t="s">
        <v>1289</v>
      </c>
      <c r="B1258">
        <v>1979</v>
      </c>
      <c r="C1258" t="s">
        <v>15</v>
      </c>
      <c r="D1258">
        <v>25</v>
      </c>
      <c r="E1258" s="13" t="s">
        <v>11925</v>
      </c>
      <c r="F1258">
        <v>2</v>
      </c>
      <c r="G1258" s="11">
        <v>10419.65</v>
      </c>
      <c r="H1258" t="s">
        <v>12</v>
      </c>
      <c r="I1258" t="s">
        <v>11</v>
      </c>
      <c r="J1258" t="s">
        <v>200</v>
      </c>
    </row>
    <row r="1259" spans="1:10" x14ac:dyDescent="0.3">
      <c r="A1259" t="s">
        <v>1290</v>
      </c>
      <c r="B1259">
        <v>1968</v>
      </c>
      <c r="C1259" t="s">
        <v>30</v>
      </c>
      <c r="D1259">
        <v>27</v>
      </c>
      <c r="E1259" s="13" t="s">
        <v>11926</v>
      </c>
      <c r="F1259">
        <v>0</v>
      </c>
      <c r="G1259" s="11">
        <v>10422.92</v>
      </c>
      <c r="H1259" t="s">
        <v>12</v>
      </c>
      <c r="I1259" t="s">
        <v>16</v>
      </c>
      <c r="J1259" t="s">
        <v>356</v>
      </c>
    </row>
    <row r="1260" spans="1:10" x14ac:dyDescent="0.3">
      <c r="A1260" t="s">
        <v>1291</v>
      </c>
      <c r="B1260">
        <v>1968</v>
      </c>
      <c r="C1260" t="s">
        <v>35</v>
      </c>
      <c r="D1260">
        <v>23</v>
      </c>
      <c r="E1260" s="13" t="s">
        <v>11927</v>
      </c>
      <c r="F1260">
        <v>0</v>
      </c>
      <c r="G1260" s="11">
        <v>10435.07</v>
      </c>
      <c r="H1260" t="s">
        <v>12</v>
      </c>
      <c r="I1260" t="s">
        <v>16</v>
      </c>
      <c r="J1260" t="s">
        <v>168</v>
      </c>
    </row>
    <row r="1261" spans="1:10" x14ac:dyDescent="0.3">
      <c r="A1261" t="s">
        <v>1292</v>
      </c>
      <c r="B1261">
        <v>1968</v>
      </c>
      <c r="C1261" t="s">
        <v>35</v>
      </c>
      <c r="D1261">
        <v>29</v>
      </c>
      <c r="E1261" s="13" t="s">
        <v>11928</v>
      </c>
      <c r="F1261">
        <v>1</v>
      </c>
      <c r="G1261" s="11">
        <v>10436.1</v>
      </c>
      <c r="H1261" t="s">
        <v>12</v>
      </c>
      <c r="I1261" t="s">
        <v>12</v>
      </c>
      <c r="J1261" t="s">
        <v>42</v>
      </c>
    </row>
    <row r="1262" spans="1:10" x14ac:dyDescent="0.3">
      <c r="A1262" t="s">
        <v>1293</v>
      </c>
      <c r="B1262">
        <v>1968</v>
      </c>
      <c r="C1262" t="s">
        <v>15</v>
      </c>
      <c r="D1262">
        <v>8</v>
      </c>
      <c r="E1262" s="13" t="s">
        <v>11929</v>
      </c>
      <c r="F1262">
        <v>1</v>
      </c>
      <c r="G1262" s="11">
        <v>10450.549999999999</v>
      </c>
      <c r="H1262" t="s">
        <v>12</v>
      </c>
      <c r="I1262" t="s">
        <v>16</v>
      </c>
      <c r="J1262" t="s">
        <v>42</v>
      </c>
    </row>
    <row r="1263" spans="1:10" x14ac:dyDescent="0.3">
      <c r="A1263" t="s">
        <v>1294</v>
      </c>
      <c r="B1263">
        <v>1964</v>
      </c>
      <c r="C1263" t="s">
        <v>37</v>
      </c>
      <c r="D1263">
        <v>14</v>
      </c>
      <c r="E1263" s="13" t="s">
        <v>11930</v>
      </c>
      <c r="F1263">
        <v>0</v>
      </c>
      <c r="G1263" s="11">
        <v>10455.1</v>
      </c>
      <c r="H1263" t="s">
        <v>12</v>
      </c>
      <c r="I1263" t="s">
        <v>16</v>
      </c>
      <c r="J1263" t="s">
        <v>23</v>
      </c>
    </row>
    <row r="1264" spans="1:10" x14ac:dyDescent="0.3">
      <c r="A1264" t="s">
        <v>1295</v>
      </c>
      <c r="B1264">
        <v>1976</v>
      </c>
      <c r="C1264" t="s">
        <v>35</v>
      </c>
      <c r="D1264">
        <v>3</v>
      </c>
      <c r="E1264" s="13" t="s">
        <v>11931</v>
      </c>
      <c r="F1264">
        <v>2</v>
      </c>
      <c r="G1264" s="11">
        <v>10455.14</v>
      </c>
      <c r="H1264" t="s">
        <v>12</v>
      </c>
      <c r="I1264" t="s">
        <v>11</v>
      </c>
      <c r="J1264" t="s">
        <v>300</v>
      </c>
    </row>
    <row r="1265" spans="1:10" x14ac:dyDescent="0.3">
      <c r="A1265" t="s">
        <v>1296</v>
      </c>
      <c r="B1265">
        <v>1964</v>
      </c>
      <c r="C1265" t="s">
        <v>10</v>
      </c>
      <c r="D1265">
        <v>27</v>
      </c>
      <c r="E1265" s="13" t="s">
        <v>11932</v>
      </c>
      <c r="F1265">
        <v>0</v>
      </c>
      <c r="G1265" s="11">
        <v>10459.19</v>
      </c>
      <c r="H1265" t="s">
        <v>12</v>
      </c>
      <c r="I1265" t="s">
        <v>16</v>
      </c>
      <c r="J1265" t="s">
        <v>13</v>
      </c>
    </row>
    <row r="1266" spans="1:10" x14ac:dyDescent="0.3">
      <c r="A1266" t="s">
        <v>1297</v>
      </c>
      <c r="B1266">
        <v>1969</v>
      </c>
      <c r="C1266" t="s">
        <v>20</v>
      </c>
      <c r="D1266">
        <v>22</v>
      </c>
      <c r="E1266" s="13" t="s">
        <v>11891</v>
      </c>
      <c r="F1266">
        <v>1</v>
      </c>
      <c r="G1266" s="11">
        <v>10461.98</v>
      </c>
      <c r="H1266" t="s">
        <v>12</v>
      </c>
      <c r="I1266" t="s">
        <v>16</v>
      </c>
      <c r="J1266" t="s">
        <v>23</v>
      </c>
    </row>
    <row r="1267" spans="1:10" x14ac:dyDescent="0.3">
      <c r="A1267" t="s">
        <v>1298</v>
      </c>
      <c r="B1267">
        <v>1987</v>
      </c>
      <c r="C1267" t="s">
        <v>18</v>
      </c>
      <c r="D1267">
        <v>28</v>
      </c>
      <c r="E1267" s="13" t="s">
        <v>11933</v>
      </c>
      <c r="F1267">
        <v>3</v>
      </c>
      <c r="G1267" s="11">
        <v>10464.83</v>
      </c>
      <c r="H1267" t="s">
        <v>12</v>
      </c>
      <c r="I1267" t="s">
        <v>16</v>
      </c>
      <c r="J1267" t="s">
        <v>23</v>
      </c>
    </row>
    <row r="1268" spans="1:10" x14ac:dyDescent="0.3">
      <c r="A1268" t="s">
        <v>1299</v>
      </c>
      <c r="B1268">
        <v>1978</v>
      </c>
      <c r="C1268" t="s">
        <v>35</v>
      </c>
      <c r="D1268">
        <v>21</v>
      </c>
      <c r="E1268" s="13" t="s">
        <v>11934</v>
      </c>
      <c r="F1268">
        <v>2</v>
      </c>
      <c r="G1268" s="11">
        <v>10486.55</v>
      </c>
      <c r="H1268" t="s">
        <v>12</v>
      </c>
      <c r="I1268" t="s">
        <v>12</v>
      </c>
      <c r="J1268" t="s">
        <v>200</v>
      </c>
    </row>
    <row r="1269" spans="1:10" x14ac:dyDescent="0.3">
      <c r="A1269" t="s">
        <v>1300</v>
      </c>
      <c r="B1269">
        <v>1972</v>
      </c>
      <c r="C1269" t="s">
        <v>37</v>
      </c>
      <c r="D1269">
        <v>19</v>
      </c>
      <c r="E1269" s="13" t="s">
        <v>11935</v>
      </c>
      <c r="F1269">
        <v>2</v>
      </c>
      <c r="G1269" s="11">
        <v>10493.95</v>
      </c>
      <c r="H1269" t="s">
        <v>12</v>
      </c>
      <c r="I1269" t="s">
        <v>16</v>
      </c>
      <c r="J1269" t="s">
        <v>23</v>
      </c>
    </row>
    <row r="1270" spans="1:10" x14ac:dyDescent="0.3">
      <c r="A1270" t="s">
        <v>1301</v>
      </c>
      <c r="B1270">
        <v>1977</v>
      </c>
      <c r="C1270" t="s">
        <v>37</v>
      </c>
      <c r="D1270">
        <v>25</v>
      </c>
      <c r="E1270" s="13" t="s">
        <v>11936</v>
      </c>
      <c r="F1270">
        <v>2</v>
      </c>
      <c r="G1270" s="11">
        <v>10495.6</v>
      </c>
      <c r="H1270" t="s">
        <v>12</v>
      </c>
      <c r="I1270" t="s">
        <v>16</v>
      </c>
      <c r="J1270" t="s">
        <v>23</v>
      </c>
    </row>
    <row r="1271" spans="1:10" x14ac:dyDescent="0.3">
      <c r="A1271" t="s">
        <v>1302</v>
      </c>
      <c r="B1271">
        <v>1971</v>
      </c>
      <c r="C1271" t="s">
        <v>20</v>
      </c>
      <c r="D1271">
        <v>26</v>
      </c>
      <c r="E1271" s="13" t="s">
        <v>11937</v>
      </c>
      <c r="F1271">
        <v>0</v>
      </c>
      <c r="G1271" s="11">
        <v>10546.48</v>
      </c>
      <c r="H1271" t="s">
        <v>12</v>
      </c>
      <c r="I1271" t="s">
        <v>12</v>
      </c>
      <c r="J1271" t="s">
        <v>42</v>
      </c>
    </row>
    <row r="1272" spans="1:10" x14ac:dyDescent="0.3">
      <c r="A1272" t="s">
        <v>1303</v>
      </c>
      <c r="B1272">
        <v>1971</v>
      </c>
      <c r="C1272" t="s">
        <v>18</v>
      </c>
      <c r="D1272">
        <v>29</v>
      </c>
      <c r="E1272" s="13" t="s">
        <v>11938</v>
      </c>
      <c r="F1272">
        <v>3</v>
      </c>
      <c r="G1272" s="11">
        <v>10560.49</v>
      </c>
      <c r="H1272" t="s">
        <v>12</v>
      </c>
      <c r="I1272" t="s">
        <v>11</v>
      </c>
      <c r="J1272" t="s">
        <v>13</v>
      </c>
    </row>
    <row r="1273" spans="1:10" x14ac:dyDescent="0.3">
      <c r="A1273" t="s">
        <v>1304</v>
      </c>
      <c r="B1273">
        <v>1969</v>
      </c>
      <c r="C1273" t="s">
        <v>10</v>
      </c>
      <c r="D1273">
        <v>17</v>
      </c>
      <c r="E1273" s="13" t="s">
        <v>11939</v>
      </c>
      <c r="F1273">
        <v>0</v>
      </c>
      <c r="G1273" s="11">
        <v>10564.88</v>
      </c>
      <c r="H1273" t="s">
        <v>12</v>
      </c>
      <c r="I1273" t="s">
        <v>16</v>
      </c>
      <c r="J1273" t="s">
        <v>247</v>
      </c>
    </row>
    <row r="1274" spans="1:10" x14ac:dyDescent="0.3">
      <c r="A1274" t="s">
        <v>1305</v>
      </c>
      <c r="B1274">
        <v>1966</v>
      </c>
      <c r="C1274" t="s">
        <v>30</v>
      </c>
      <c r="D1274">
        <v>11</v>
      </c>
      <c r="E1274" s="13" t="s">
        <v>11940</v>
      </c>
      <c r="F1274">
        <v>0</v>
      </c>
      <c r="G1274" s="11">
        <v>10577.09</v>
      </c>
      <c r="H1274" t="s">
        <v>12</v>
      </c>
      <c r="I1274" t="s">
        <v>12</v>
      </c>
      <c r="J1274" t="s">
        <v>42</v>
      </c>
    </row>
    <row r="1275" spans="1:10" x14ac:dyDescent="0.3">
      <c r="A1275" t="s">
        <v>1306</v>
      </c>
      <c r="B1275">
        <v>1969</v>
      </c>
      <c r="C1275" t="s">
        <v>30</v>
      </c>
      <c r="D1275">
        <v>25</v>
      </c>
      <c r="E1275" s="13" t="s">
        <v>11941</v>
      </c>
      <c r="F1275">
        <v>1</v>
      </c>
      <c r="G1275" s="11">
        <v>10579.71</v>
      </c>
      <c r="H1275" t="s">
        <v>12</v>
      </c>
      <c r="I1275" t="s">
        <v>12</v>
      </c>
      <c r="J1275" t="s">
        <v>13</v>
      </c>
    </row>
    <row r="1276" spans="1:10" x14ac:dyDescent="0.3">
      <c r="A1276" t="s">
        <v>1307</v>
      </c>
      <c r="B1276">
        <v>1966</v>
      </c>
      <c r="C1276" t="s">
        <v>15</v>
      </c>
      <c r="D1276">
        <v>3</v>
      </c>
      <c r="E1276" s="13" t="s">
        <v>11942</v>
      </c>
      <c r="F1276">
        <v>0</v>
      </c>
      <c r="G1276" s="11">
        <v>10594.23</v>
      </c>
      <c r="H1276" t="s">
        <v>12</v>
      </c>
      <c r="I1276" t="s">
        <v>12</v>
      </c>
      <c r="J1276" t="s">
        <v>13</v>
      </c>
    </row>
    <row r="1277" spans="1:10" x14ac:dyDescent="0.3">
      <c r="A1277" t="s">
        <v>1308</v>
      </c>
      <c r="B1277">
        <v>1967</v>
      </c>
      <c r="C1277" t="s">
        <v>15</v>
      </c>
      <c r="D1277">
        <v>29</v>
      </c>
      <c r="E1277" s="13" t="s">
        <v>11943</v>
      </c>
      <c r="F1277">
        <v>0</v>
      </c>
      <c r="G1277" s="11">
        <v>10594.5</v>
      </c>
      <c r="H1277" t="s">
        <v>12</v>
      </c>
      <c r="I1277" t="s">
        <v>16</v>
      </c>
      <c r="J1277" t="s">
        <v>23</v>
      </c>
    </row>
    <row r="1278" spans="1:10" x14ac:dyDescent="0.3">
      <c r="A1278" t="s">
        <v>1309</v>
      </c>
      <c r="B1278">
        <v>1972</v>
      </c>
      <c r="C1278" t="s">
        <v>30</v>
      </c>
      <c r="D1278">
        <v>14</v>
      </c>
      <c r="E1278" s="13" t="s">
        <v>11944</v>
      </c>
      <c r="F1278">
        <v>3</v>
      </c>
      <c r="G1278" s="11">
        <v>10600.55</v>
      </c>
      <c r="H1278" t="s">
        <v>12</v>
      </c>
      <c r="I1278" t="s">
        <v>16</v>
      </c>
      <c r="J1278" t="s">
        <v>23</v>
      </c>
    </row>
    <row r="1279" spans="1:10" x14ac:dyDescent="0.3">
      <c r="A1279" t="s">
        <v>1310</v>
      </c>
      <c r="B1279">
        <v>1966</v>
      </c>
      <c r="C1279" t="s">
        <v>10</v>
      </c>
      <c r="D1279">
        <v>20</v>
      </c>
      <c r="E1279" s="13" t="s">
        <v>11945</v>
      </c>
      <c r="F1279">
        <v>0</v>
      </c>
      <c r="G1279" s="11">
        <v>10601.41</v>
      </c>
      <c r="H1279" t="s">
        <v>12</v>
      </c>
      <c r="I1279" t="s">
        <v>11</v>
      </c>
      <c r="J1279" t="s">
        <v>42</v>
      </c>
    </row>
    <row r="1280" spans="1:10" x14ac:dyDescent="0.3">
      <c r="A1280" t="s">
        <v>1311</v>
      </c>
      <c r="B1280">
        <v>1967</v>
      </c>
      <c r="C1280" t="s">
        <v>18</v>
      </c>
      <c r="D1280">
        <v>23</v>
      </c>
      <c r="E1280" s="13" t="s">
        <v>11946</v>
      </c>
      <c r="F1280">
        <v>0</v>
      </c>
      <c r="G1280" s="11">
        <v>10601.63</v>
      </c>
      <c r="H1280" t="s">
        <v>12</v>
      </c>
      <c r="I1280" t="s">
        <v>11</v>
      </c>
      <c r="J1280" t="s">
        <v>23</v>
      </c>
    </row>
    <row r="1281" spans="1:10" x14ac:dyDescent="0.3">
      <c r="A1281" t="s">
        <v>1312</v>
      </c>
      <c r="B1281">
        <v>1966</v>
      </c>
      <c r="C1281" t="s">
        <v>10</v>
      </c>
      <c r="D1281">
        <v>2</v>
      </c>
      <c r="E1281" s="13" t="s">
        <v>11324</v>
      </c>
      <c r="F1281">
        <v>0</v>
      </c>
      <c r="G1281" s="11">
        <v>10602.39</v>
      </c>
      <c r="H1281" t="s">
        <v>12</v>
      </c>
      <c r="I1281" t="s">
        <v>12</v>
      </c>
      <c r="J1281" t="s">
        <v>42</v>
      </c>
    </row>
    <row r="1282" spans="1:10" x14ac:dyDescent="0.3">
      <c r="A1282" t="s">
        <v>1313</v>
      </c>
      <c r="B1282">
        <v>1965</v>
      </c>
      <c r="C1282" t="s">
        <v>18</v>
      </c>
      <c r="D1282">
        <v>27</v>
      </c>
      <c r="E1282" s="13" t="s">
        <v>11947</v>
      </c>
      <c r="F1282">
        <v>0</v>
      </c>
      <c r="G1282" s="11">
        <v>10608.67</v>
      </c>
      <c r="H1282" t="s">
        <v>12</v>
      </c>
      <c r="I1282" t="s">
        <v>12</v>
      </c>
      <c r="J1282" t="s">
        <v>23</v>
      </c>
    </row>
    <row r="1283" spans="1:10" x14ac:dyDescent="0.3">
      <c r="A1283" t="s">
        <v>1314</v>
      </c>
      <c r="B1283">
        <v>1992</v>
      </c>
      <c r="C1283" t="s">
        <v>10</v>
      </c>
      <c r="D1283">
        <v>23</v>
      </c>
      <c r="E1283" s="13" t="s">
        <v>11948</v>
      </c>
      <c r="F1283">
        <v>0</v>
      </c>
      <c r="G1283" s="11">
        <v>10617.04</v>
      </c>
      <c r="H1283" t="s">
        <v>12</v>
      </c>
      <c r="I1283" t="s">
        <v>12</v>
      </c>
      <c r="J1283" t="s">
        <v>535</v>
      </c>
    </row>
    <row r="1284" spans="1:10" x14ac:dyDescent="0.3">
      <c r="A1284" t="s">
        <v>1315</v>
      </c>
      <c r="B1284">
        <v>1990</v>
      </c>
      <c r="C1284" t="s">
        <v>10</v>
      </c>
      <c r="D1284">
        <v>6</v>
      </c>
      <c r="E1284" s="13" t="s">
        <v>11949</v>
      </c>
      <c r="F1284">
        <v>3</v>
      </c>
      <c r="G1284" s="11">
        <v>10620.26</v>
      </c>
      <c r="H1284" t="s">
        <v>12</v>
      </c>
      <c r="I1284" t="s">
        <v>12</v>
      </c>
      <c r="J1284" t="s">
        <v>23</v>
      </c>
    </row>
    <row r="1285" spans="1:10" x14ac:dyDescent="0.3">
      <c r="A1285" t="s">
        <v>1316</v>
      </c>
      <c r="B1285">
        <v>1964</v>
      </c>
      <c r="C1285" t="s">
        <v>35</v>
      </c>
      <c r="D1285">
        <v>8</v>
      </c>
      <c r="E1285" s="13" t="s">
        <v>11950</v>
      </c>
      <c r="F1285">
        <v>0</v>
      </c>
      <c r="G1285" s="11">
        <v>10627.81</v>
      </c>
      <c r="H1285" t="s">
        <v>12</v>
      </c>
      <c r="I1285" t="s">
        <v>12</v>
      </c>
      <c r="J1285" t="s">
        <v>13</v>
      </c>
    </row>
    <row r="1286" spans="1:10" x14ac:dyDescent="0.3">
      <c r="A1286" t="s">
        <v>1317</v>
      </c>
      <c r="B1286">
        <v>1976</v>
      </c>
      <c r="C1286" t="s">
        <v>15</v>
      </c>
      <c r="D1286">
        <v>22</v>
      </c>
      <c r="E1286" s="13" t="s">
        <v>11951</v>
      </c>
      <c r="F1286">
        <v>2</v>
      </c>
      <c r="G1286" s="11">
        <v>10665.44</v>
      </c>
      <c r="H1286" t="s">
        <v>12</v>
      </c>
      <c r="I1286" t="s">
        <v>11</v>
      </c>
      <c r="J1286" t="s">
        <v>300</v>
      </c>
    </row>
    <row r="1287" spans="1:10" x14ac:dyDescent="0.3">
      <c r="A1287" t="s">
        <v>1318</v>
      </c>
      <c r="B1287">
        <v>1962</v>
      </c>
      <c r="C1287" t="s">
        <v>20</v>
      </c>
      <c r="D1287">
        <v>7</v>
      </c>
      <c r="E1287" s="13" t="s">
        <v>11952</v>
      </c>
      <c r="F1287">
        <v>0</v>
      </c>
      <c r="G1287" s="11">
        <v>10676.83</v>
      </c>
      <c r="H1287" t="s">
        <v>12</v>
      </c>
      <c r="I1287" t="s">
        <v>12</v>
      </c>
      <c r="J1287" t="s">
        <v>13</v>
      </c>
    </row>
    <row r="1288" spans="1:10" x14ac:dyDescent="0.3">
      <c r="A1288" t="s">
        <v>1319</v>
      </c>
      <c r="B1288">
        <v>1977</v>
      </c>
      <c r="C1288" t="s">
        <v>35</v>
      </c>
      <c r="D1288">
        <v>2</v>
      </c>
      <c r="E1288" s="13" t="s">
        <v>11953</v>
      </c>
      <c r="F1288">
        <v>2</v>
      </c>
      <c r="G1288" s="11">
        <v>10690.11</v>
      </c>
      <c r="H1288" t="s">
        <v>12</v>
      </c>
      <c r="I1288" t="s">
        <v>11</v>
      </c>
      <c r="J1288" t="s">
        <v>300</v>
      </c>
    </row>
    <row r="1289" spans="1:10" x14ac:dyDescent="0.3">
      <c r="A1289" t="s">
        <v>1320</v>
      </c>
      <c r="B1289">
        <v>1976</v>
      </c>
      <c r="C1289" t="s">
        <v>20</v>
      </c>
      <c r="D1289">
        <v>30</v>
      </c>
      <c r="E1289" s="13" t="s">
        <v>11954</v>
      </c>
      <c r="F1289">
        <v>2</v>
      </c>
      <c r="G1289" s="11">
        <v>10698.38</v>
      </c>
      <c r="H1289" t="s">
        <v>12</v>
      </c>
      <c r="I1289" t="s">
        <v>16</v>
      </c>
      <c r="J1289" t="s">
        <v>200</v>
      </c>
    </row>
    <row r="1290" spans="1:10" x14ac:dyDescent="0.3">
      <c r="A1290" t="s">
        <v>1321</v>
      </c>
      <c r="B1290">
        <v>1972</v>
      </c>
      <c r="C1290" t="s">
        <v>37</v>
      </c>
      <c r="D1290">
        <v>24</v>
      </c>
      <c r="E1290" s="13" t="s">
        <v>11955</v>
      </c>
      <c r="F1290">
        <v>3</v>
      </c>
      <c r="G1290" s="11">
        <v>10702.64</v>
      </c>
      <c r="H1290" t="s">
        <v>12</v>
      </c>
      <c r="I1290" t="s">
        <v>12</v>
      </c>
      <c r="J1290" t="s">
        <v>13</v>
      </c>
    </row>
    <row r="1291" spans="1:10" x14ac:dyDescent="0.3">
      <c r="A1291" t="s">
        <v>1322</v>
      </c>
      <c r="B1291">
        <v>1967</v>
      </c>
      <c r="C1291" t="s">
        <v>10</v>
      </c>
      <c r="D1291">
        <v>30</v>
      </c>
      <c r="E1291" s="13" t="s">
        <v>11956</v>
      </c>
      <c r="F1291">
        <v>0</v>
      </c>
      <c r="G1291" s="11">
        <v>10704.47</v>
      </c>
      <c r="H1291" t="s">
        <v>12</v>
      </c>
      <c r="I1291" t="s">
        <v>11</v>
      </c>
      <c r="J1291" t="s">
        <v>42</v>
      </c>
    </row>
    <row r="1292" spans="1:10" x14ac:dyDescent="0.3">
      <c r="A1292" t="s">
        <v>1323</v>
      </c>
      <c r="B1292">
        <v>1967</v>
      </c>
      <c r="C1292" t="s">
        <v>37</v>
      </c>
      <c r="D1292">
        <v>5</v>
      </c>
      <c r="E1292" s="13" t="s">
        <v>11957</v>
      </c>
      <c r="F1292">
        <v>0</v>
      </c>
      <c r="G1292" s="11">
        <v>10713.64</v>
      </c>
      <c r="H1292" t="s">
        <v>12</v>
      </c>
      <c r="I1292" t="s">
        <v>12</v>
      </c>
      <c r="J1292" t="s">
        <v>42</v>
      </c>
    </row>
    <row r="1293" spans="1:10" x14ac:dyDescent="0.3">
      <c r="A1293" t="s">
        <v>1324</v>
      </c>
      <c r="B1293">
        <v>1992</v>
      </c>
      <c r="C1293" t="s">
        <v>18</v>
      </c>
      <c r="D1293">
        <v>25</v>
      </c>
      <c r="E1293" s="13" t="s">
        <v>11325</v>
      </c>
      <c r="F1293">
        <v>0</v>
      </c>
      <c r="G1293" s="11">
        <v>10719.57</v>
      </c>
      <c r="H1293" t="s">
        <v>12</v>
      </c>
      <c r="I1293" t="s">
        <v>16</v>
      </c>
      <c r="J1293" t="s">
        <v>23</v>
      </c>
    </row>
    <row r="1294" spans="1:10" x14ac:dyDescent="0.3">
      <c r="A1294" t="s">
        <v>1325</v>
      </c>
      <c r="B1294">
        <v>1974</v>
      </c>
      <c r="C1294" t="s">
        <v>30</v>
      </c>
      <c r="D1294">
        <v>9</v>
      </c>
      <c r="E1294" s="13" t="s">
        <v>11958</v>
      </c>
      <c r="F1294">
        <v>4</v>
      </c>
      <c r="G1294" s="11">
        <v>10736.87</v>
      </c>
      <c r="H1294" t="s">
        <v>12</v>
      </c>
      <c r="I1294" t="s">
        <v>16</v>
      </c>
      <c r="J1294" t="s">
        <v>168</v>
      </c>
    </row>
    <row r="1295" spans="1:10" x14ac:dyDescent="0.3">
      <c r="A1295" t="s">
        <v>1326</v>
      </c>
      <c r="B1295">
        <v>1986</v>
      </c>
      <c r="C1295" t="s">
        <v>35</v>
      </c>
      <c r="D1295">
        <v>29</v>
      </c>
      <c r="E1295" s="13" t="s">
        <v>11026</v>
      </c>
      <c r="F1295">
        <v>3</v>
      </c>
      <c r="G1295" s="11">
        <v>10749.02</v>
      </c>
      <c r="H1295" t="s">
        <v>12</v>
      </c>
      <c r="I1295" t="s">
        <v>16</v>
      </c>
      <c r="J1295" t="s">
        <v>535</v>
      </c>
    </row>
    <row r="1296" spans="1:10" x14ac:dyDescent="0.3">
      <c r="A1296" t="s">
        <v>1327</v>
      </c>
      <c r="B1296">
        <v>1989</v>
      </c>
      <c r="C1296" t="s">
        <v>15</v>
      </c>
      <c r="D1296">
        <v>25</v>
      </c>
      <c r="E1296" s="13" t="s">
        <v>11959</v>
      </c>
      <c r="F1296">
        <v>3</v>
      </c>
      <c r="G1296" s="11">
        <v>10769.75</v>
      </c>
      <c r="H1296" t="s">
        <v>12</v>
      </c>
      <c r="I1296" t="s">
        <v>11</v>
      </c>
      <c r="J1296" t="s">
        <v>632</v>
      </c>
    </row>
    <row r="1297" spans="1:10" x14ac:dyDescent="0.3">
      <c r="A1297" t="s">
        <v>1328</v>
      </c>
      <c r="B1297">
        <v>1967</v>
      </c>
      <c r="C1297" t="s">
        <v>15</v>
      </c>
      <c r="D1297">
        <v>11</v>
      </c>
      <c r="E1297" s="13" t="s">
        <v>11960</v>
      </c>
      <c r="F1297">
        <v>1</v>
      </c>
      <c r="G1297" s="11">
        <v>10791.96</v>
      </c>
      <c r="H1297" t="s">
        <v>12</v>
      </c>
      <c r="I1297" t="s">
        <v>11</v>
      </c>
      <c r="J1297" t="s">
        <v>42</v>
      </c>
    </row>
    <row r="1298" spans="1:10" x14ac:dyDescent="0.3">
      <c r="A1298" t="s">
        <v>1329</v>
      </c>
      <c r="B1298">
        <v>1999</v>
      </c>
      <c r="C1298" t="s">
        <v>30</v>
      </c>
      <c r="D1298">
        <v>24</v>
      </c>
      <c r="E1298" s="13" t="s">
        <v>11961</v>
      </c>
      <c r="F1298">
        <v>0</v>
      </c>
      <c r="G1298" s="11">
        <v>10795.94</v>
      </c>
      <c r="H1298" t="s">
        <v>12</v>
      </c>
      <c r="I1298" t="s">
        <v>16</v>
      </c>
      <c r="J1298" t="s">
        <v>42</v>
      </c>
    </row>
    <row r="1299" spans="1:10" x14ac:dyDescent="0.3">
      <c r="A1299" t="s">
        <v>1330</v>
      </c>
      <c r="B1299">
        <v>1967</v>
      </c>
      <c r="C1299" t="s">
        <v>37</v>
      </c>
      <c r="D1299">
        <v>23</v>
      </c>
      <c r="E1299" s="13" t="s">
        <v>11962</v>
      </c>
      <c r="F1299">
        <v>0</v>
      </c>
      <c r="G1299" s="11">
        <v>10796.35</v>
      </c>
      <c r="H1299" t="s">
        <v>12</v>
      </c>
      <c r="I1299" t="s">
        <v>16</v>
      </c>
      <c r="J1299" t="s">
        <v>166</v>
      </c>
    </row>
    <row r="1300" spans="1:10" x14ac:dyDescent="0.3">
      <c r="A1300" t="s">
        <v>1331</v>
      </c>
      <c r="B1300">
        <v>1970</v>
      </c>
      <c r="C1300" t="s">
        <v>37</v>
      </c>
      <c r="D1300">
        <v>28</v>
      </c>
      <c r="E1300" s="13" t="s">
        <v>11963</v>
      </c>
      <c r="F1300">
        <v>1</v>
      </c>
      <c r="G1300" s="11">
        <v>10797.34</v>
      </c>
      <c r="H1300" t="s">
        <v>12</v>
      </c>
      <c r="I1300" t="s">
        <v>11</v>
      </c>
      <c r="J1300" t="s">
        <v>249</v>
      </c>
    </row>
    <row r="1301" spans="1:10" x14ac:dyDescent="0.3">
      <c r="A1301" t="s">
        <v>1332</v>
      </c>
      <c r="B1301">
        <v>1970</v>
      </c>
      <c r="C1301" t="s">
        <v>30</v>
      </c>
      <c r="D1301">
        <v>18</v>
      </c>
      <c r="E1301" s="13" t="s">
        <v>11964</v>
      </c>
      <c r="F1301">
        <v>2</v>
      </c>
      <c r="G1301" s="11">
        <v>10806.84</v>
      </c>
      <c r="H1301" t="s">
        <v>12</v>
      </c>
      <c r="I1301" t="s">
        <v>11</v>
      </c>
      <c r="J1301" t="s">
        <v>42</v>
      </c>
    </row>
    <row r="1302" spans="1:10" x14ac:dyDescent="0.3">
      <c r="A1302" t="s">
        <v>1333</v>
      </c>
      <c r="B1302">
        <v>1967</v>
      </c>
      <c r="C1302" t="s">
        <v>37</v>
      </c>
      <c r="D1302">
        <v>2</v>
      </c>
      <c r="E1302" s="13" t="s">
        <v>11965</v>
      </c>
      <c r="F1302">
        <v>1</v>
      </c>
      <c r="G1302" s="11">
        <v>10807.49</v>
      </c>
      <c r="H1302" t="s">
        <v>12</v>
      </c>
      <c r="I1302" t="s">
        <v>11</v>
      </c>
      <c r="J1302" t="s">
        <v>13</v>
      </c>
    </row>
    <row r="1303" spans="1:10" x14ac:dyDescent="0.3">
      <c r="A1303" t="s">
        <v>1334</v>
      </c>
      <c r="B1303">
        <v>1968</v>
      </c>
      <c r="C1303" t="s">
        <v>10</v>
      </c>
      <c r="D1303">
        <v>28</v>
      </c>
      <c r="E1303" s="13" t="s">
        <v>11966</v>
      </c>
      <c r="F1303">
        <v>1</v>
      </c>
      <c r="G1303" s="11">
        <v>10825.25</v>
      </c>
      <c r="H1303" t="s">
        <v>12</v>
      </c>
      <c r="I1303" t="s">
        <v>12</v>
      </c>
      <c r="J1303" t="s">
        <v>23</v>
      </c>
    </row>
    <row r="1304" spans="1:10" x14ac:dyDescent="0.3">
      <c r="A1304" t="s">
        <v>1335</v>
      </c>
      <c r="B1304">
        <v>1971</v>
      </c>
      <c r="C1304" t="s">
        <v>30</v>
      </c>
      <c r="D1304">
        <v>20</v>
      </c>
      <c r="E1304" s="13" t="s">
        <v>11967</v>
      </c>
      <c r="F1304">
        <v>2</v>
      </c>
      <c r="G1304" s="11">
        <v>10848.13</v>
      </c>
      <c r="H1304" t="s">
        <v>12</v>
      </c>
      <c r="I1304" t="s">
        <v>12</v>
      </c>
      <c r="J1304" t="s">
        <v>23</v>
      </c>
    </row>
    <row r="1305" spans="1:10" x14ac:dyDescent="0.3">
      <c r="A1305" t="s">
        <v>1336</v>
      </c>
      <c r="B1305">
        <v>1994</v>
      </c>
      <c r="C1305" t="s">
        <v>20</v>
      </c>
      <c r="D1305">
        <v>6</v>
      </c>
      <c r="E1305" s="13" t="s">
        <v>11968</v>
      </c>
      <c r="F1305">
        <v>0</v>
      </c>
      <c r="G1305" s="11">
        <v>10886.66</v>
      </c>
      <c r="H1305" t="s">
        <v>12</v>
      </c>
      <c r="I1305" t="s">
        <v>12</v>
      </c>
      <c r="J1305" t="s">
        <v>23</v>
      </c>
    </row>
    <row r="1306" spans="1:10" x14ac:dyDescent="0.3">
      <c r="A1306" t="s">
        <v>1337</v>
      </c>
      <c r="B1306">
        <v>1968</v>
      </c>
      <c r="C1306" t="s">
        <v>15</v>
      </c>
      <c r="D1306">
        <v>13</v>
      </c>
      <c r="E1306" s="13" t="s">
        <v>11969</v>
      </c>
      <c r="F1306">
        <v>0</v>
      </c>
      <c r="G1306" s="11">
        <v>10923.93</v>
      </c>
      <c r="H1306" t="s">
        <v>12</v>
      </c>
      <c r="I1306" t="s">
        <v>16</v>
      </c>
      <c r="J1306" t="s">
        <v>247</v>
      </c>
    </row>
    <row r="1307" spans="1:10" x14ac:dyDescent="0.3">
      <c r="A1307" t="s">
        <v>1338</v>
      </c>
      <c r="B1307">
        <v>1968</v>
      </c>
      <c r="C1307" t="s">
        <v>15</v>
      </c>
      <c r="D1307">
        <v>12</v>
      </c>
      <c r="E1307" s="13" t="s">
        <v>11970</v>
      </c>
      <c r="F1307">
        <v>1</v>
      </c>
      <c r="G1307" s="11">
        <v>10928.85</v>
      </c>
      <c r="H1307" t="s">
        <v>12</v>
      </c>
      <c r="I1307" t="s">
        <v>12</v>
      </c>
      <c r="J1307" t="s">
        <v>13</v>
      </c>
    </row>
    <row r="1308" spans="1:10" x14ac:dyDescent="0.3">
      <c r="A1308" t="s">
        <v>1339</v>
      </c>
      <c r="B1308">
        <v>1969</v>
      </c>
      <c r="C1308" t="s">
        <v>15</v>
      </c>
      <c r="D1308">
        <v>10</v>
      </c>
      <c r="E1308" s="13" t="s">
        <v>11971</v>
      </c>
      <c r="F1308">
        <v>1</v>
      </c>
      <c r="G1308" s="11">
        <v>10942.13</v>
      </c>
      <c r="H1308" t="s">
        <v>12</v>
      </c>
      <c r="I1308" t="s">
        <v>12</v>
      </c>
      <c r="J1308" t="s">
        <v>23</v>
      </c>
    </row>
    <row r="1309" spans="1:10" x14ac:dyDescent="0.3">
      <c r="A1309" t="s">
        <v>1340</v>
      </c>
      <c r="B1309">
        <v>1965</v>
      </c>
      <c r="C1309" t="s">
        <v>30</v>
      </c>
      <c r="D1309">
        <v>4</v>
      </c>
      <c r="E1309" s="13" t="s">
        <v>11660</v>
      </c>
      <c r="F1309">
        <v>0</v>
      </c>
      <c r="G1309" s="11">
        <v>10959.33</v>
      </c>
      <c r="H1309" t="s">
        <v>12</v>
      </c>
      <c r="I1309" t="s">
        <v>12</v>
      </c>
      <c r="J1309" t="s">
        <v>42</v>
      </c>
    </row>
    <row r="1310" spans="1:10" x14ac:dyDescent="0.3">
      <c r="A1310" t="s">
        <v>1341</v>
      </c>
      <c r="B1310">
        <v>1969</v>
      </c>
      <c r="C1310" t="s">
        <v>35</v>
      </c>
      <c r="D1310">
        <v>14</v>
      </c>
      <c r="E1310" s="13" t="s">
        <v>11972</v>
      </c>
      <c r="F1310">
        <v>1</v>
      </c>
      <c r="G1310" s="11">
        <v>10959.69</v>
      </c>
      <c r="H1310" t="s">
        <v>12</v>
      </c>
      <c r="I1310" t="s">
        <v>12</v>
      </c>
      <c r="J1310" t="s">
        <v>23</v>
      </c>
    </row>
    <row r="1311" spans="1:10" x14ac:dyDescent="0.3">
      <c r="A1311" t="s">
        <v>1342</v>
      </c>
      <c r="B1311">
        <v>1965</v>
      </c>
      <c r="C1311" t="s">
        <v>18</v>
      </c>
      <c r="D1311">
        <v>19</v>
      </c>
      <c r="E1311" s="13" t="s">
        <v>11973</v>
      </c>
      <c r="F1311">
        <v>0</v>
      </c>
      <c r="G1311" s="11">
        <v>10965.45</v>
      </c>
      <c r="H1311" t="s">
        <v>12</v>
      </c>
      <c r="I1311" t="s">
        <v>11</v>
      </c>
      <c r="J1311" t="s">
        <v>42</v>
      </c>
    </row>
    <row r="1312" spans="1:10" x14ac:dyDescent="0.3">
      <c r="A1312" t="s">
        <v>1343</v>
      </c>
      <c r="B1312">
        <v>1966</v>
      </c>
      <c r="C1312" t="s">
        <v>10</v>
      </c>
      <c r="D1312">
        <v>9</v>
      </c>
      <c r="E1312" s="13" t="s">
        <v>11974</v>
      </c>
      <c r="F1312">
        <v>0</v>
      </c>
      <c r="G1312" s="11">
        <v>10976.25</v>
      </c>
      <c r="H1312" t="s">
        <v>12</v>
      </c>
      <c r="I1312" t="s">
        <v>11</v>
      </c>
      <c r="J1312" t="s">
        <v>23</v>
      </c>
    </row>
    <row r="1313" spans="1:10" x14ac:dyDescent="0.3">
      <c r="A1313" t="s">
        <v>1344</v>
      </c>
      <c r="B1313">
        <v>1973</v>
      </c>
      <c r="C1313" t="s">
        <v>37</v>
      </c>
      <c r="D1313">
        <v>21</v>
      </c>
      <c r="E1313" s="13" t="s">
        <v>11975</v>
      </c>
      <c r="F1313">
        <v>4</v>
      </c>
      <c r="G1313" s="11">
        <v>10977.21</v>
      </c>
      <c r="H1313" t="s">
        <v>12</v>
      </c>
      <c r="I1313" t="s">
        <v>16</v>
      </c>
      <c r="J1313" t="s">
        <v>13</v>
      </c>
    </row>
    <row r="1314" spans="1:10" x14ac:dyDescent="0.3">
      <c r="A1314" t="s">
        <v>1345</v>
      </c>
      <c r="B1314">
        <v>1965</v>
      </c>
      <c r="C1314" t="s">
        <v>30</v>
      </c>
      <c r="D1314">
        <v>18</v>
      </c>
      <c r="E1314" s="13" t="s">
        <v>11976</v>
      </c>
      <c r="F1314">
        <v>0</v>
      </c>
      <c r="G1314" s="11">
        <v>10982.5</v>
      </c>
      <c r="H1314" t="s">
        <v>12</v>
      </c>
      <c r="I1314" t="s">
        <v>12</v>
      </c>
      <c r="J1314" t="s">
        <v>13</v>
      </c>
    </row>
    <row r="1315" spans="1:10" x14ac:dyDescent="0.3">
      <c r="A1315" t="s">
        <v>1346</v>
      </c>
      <c r="B1315">
        <v>2000</v>
      </c>
      <c r="C1315" t="s">
        <v>20</v>
      </c>
      <c r="D1315">
        <v>17</v>
      </c>
      <c r="E1315" s="13" t="s">
        <v>11977</v>
      </c>
      <c r="F1315">
        <v>0</v>
      </c>
      <c r="G1315" s="11">
        <v>10991.58</v>
      </c>
      <c r="H1315" t="s">
        <v>12</v>
      </c>
      <c r="I1315" t="s">
        <v>12</v>
      </c>
      <c r="J1315" t="s">
        <v>23</v>
      </c>
    </row>
    <row r="1316" spans="1:10" x14ac:dyDescent="0.3">
      <c r="A1316" t="s">
        <v>1347</v>
      </c>
      <c r="B1316">
        <v>1968</v>
      </c>
      <c r="C1316" t="s">
        <v>37</v>
      </c>
      <c r="D1316">
        <v>24</v>
      </c>
      <c r="E1316" s="13" t="s">
        <v>11978</v>
      </c>
      <c r="F1316">
        <v>2</v>
      </c>
      <c r="G1316" s="11">
        <v>11013.71</v>
      </c>
      <c r="H1316" t="s">
        <v>12</v>
      </c>
      <c r="I1316" t="s">
        <v>16</v>
      </c>
      <c r="J1316" t="s">
        <v>13</v>
      </c>
    </row>
    <row r="1317" spans="1:10" x14ac:dyDescent="0.3">
      <c r="A1317" t="s">
        <v>1348</v>
      </c>
      <c r="B1317">
        <v>1974</v>
      </c>
      <c r="C1317" t="s">
        <v>30</v>
      </c>
      <c r="D1317">
        <v>15</v>
      </c>
      <c r="E1317" s="13" t="s">
        <v>11979</v>
      </c>
      <c r="F1317">
        <v>4</v>
      </c>
      <c r="G1317" s="11">
        <v>11015.17</v>
      </c>
      <c r="H1317" t="s">
        <v>12</v>
      </c>
      <c r="I1317" t="s">
        <v>16</v>
      </c>
      <c r="J1317" t="s">
        <v>23</v>
      </c>
    </row>
    <row r="1318" spans="1:10" x14ac:dyDescent="0.3">
      <c r="A1318" t="s">
        <v>1349</v>
      </c>
      <c r="B1318">
        <v>1991</v>
      </c>
      <c r="C1318" t="s">
        <v>18</v>
      </c>
      <c r="D1318">
        <v>26</v>
      </c>
      <c r="E1318" s="13" t="s">
        <v>11980</v>
      </c>
      <c r="F1318">
        <v>3</v>
      </c>
      <c r="G1318" s="11">
        <v>11018.05</v>
      </c>
      <c r="H1318" t="s">
        <v>12</v>
      </c>
      <c r="I1318" t="s">
        <v>11</v>
      </c>
      <c r="J1318" t="s">
        <v>23</v>
      </c>
    </row>
    <row r="1319" spans="1:10" x14ac:dyDescent="0.3">
      <c r="A1319" t="s">
        <v>1350</v>
      </c>
      <c r="B1319">
        <v>1996</v>
      </c>
      <c r="C1319" t="s">
        <v>10</v>
      </c>
      <c r="D1319">
        <v>21</v>
      </c>
      <c r="E1319" s="13" t="s">
        <v>11886</v>
      </c>
      <c r="F1319">
        <v>0</v>
      </c>
      <c r="G1319" s="11">
        <v>11028.56</v>
      </c>
      <c r="H1319" t="s">
        <v>12</v>
      </c>
      <c r="I1319" t="s">
        <v>12</v>
      </c>
      <c r="J1319" t="s">
        <v>23</v>
      </c>
    </row>
    <row r="1320" spans="1:10" x14ac:dyDescent="0.3">
      <c r="A1320" t="s">
        <v>1351</v>
      </c>
      <c r="B1320">
        <v>1974</v>
      </c>
      <c r="C1320" t="s">
        <v>30</v>
      </c>
      <c r="D1320">
        <v>10</v>
      </c>
      <c r="E1320" s="13" t="s">
        <v>11981</v>
      </c>
      <c r="F1320">
        <v>4</v>
      </c>
      <c r="G1320" s="11">
        <v>11033.66</v>
      </c>
      <c r="H1320" t="s">
        <v>12</v>
      </c>
      <c r="I1320" t="s">
        <v>12</v>
      </c>
      <c r="J1320" t="s">
        <v>23</v>
      </c>
    </row>
    <row r="1321" spans="1:10" x14ac:dyDescent="0.3">
      <c r="A1321" t="s">
        <v>1352</v>
      </c>
      <c r="B1321">
        <v>1989</v>
      </c>
      <c r="C1321" t="s">
        <v>37</v>
      </c>
      <c r="D1321">
        <v>25</v>
      </c>
      <c r="E1321" s="13" t="s">
        <v>11982</v>
      </c>
      <c r="F1321">
        <v>3</v>
      </c>
      <c r="G1321" s="11">
        <v>11037.51</v>
      </c>
      <c r="H1321" t="s">
        <v>12</v>
      </c>
      <c r="I1321" t="s">
        <v>16</v>
      </c>
      <c r="J1321" t="s">
        <v>23</v>
      </c>
    </row>
    <row r="1322" spans="1:10" x14ac:dyDescent="0.3">
      <c r="A1322" t="s">
        <v>1353</v>
      </c>
      <c r="B1322">
        <v>1974</v>
      </c>
      <c r="C1322" t="s">
        <v>35</v>
      </c>
      <c r="D1322">
        <v>30</v>
      </c>
      <c r="E1322" s="13" t="s">
        <v>11867</v>
      </c>
      <c r="F1322">
        <v>0</v>
      </c>
      <c r="G1322" s="11">
        <v>11037.85</v>
      </c>
      <c r="H1322" t="s">
        <v>12</v>
      </c>
      <c r="I1322" t="s">
        <v>11</v>
      </c>
      <c r="J1322" t="s">
        <v>200</v>
      </c>
    </row>
    <row r="1323" spans="1:10" x14ac:dyDescent="0.3">
      <c r="A1323" t="s">
        <v>1354</v>
      </c>
      <c r="B1323">
        <v>2001</v>
      </c>
      <c r="C1323" t="s">
        <v>30</v>
      </c>
      <c r="D1323">
        <v>17</v>
      </c>
      <c r="E1323" s="13" t="s">
        <v>11983</v>
      </c>
      <c r="F1323">
        <v>0</v>
      </c>
      <c r="G1323" s="11">
        <v>11046.02</v>
      </c>
      <c r="H1323" t="s">
        <v>12</v>
      </c>
      <c r="I1323" t="s">
        <v>16</v>
      </c>
      <c r="J1323" t="s">
        <v>535</v>
      </c>
    </row>
    <row r="1324" spans="1:10" x14ac:dyDescent="0.3">
      <c r="A1324" t="s">
        <v>1355</v>
      </c>
      <c r="B1324">
        <v>2000</v>
      </c>
      <c r="C1324" t="s">
        <v>20</v>
      </c>
      <c r="D1324">
        <v>18</v>
      </c>
      <c r="E1324" s="13" t="s">
        <v>11984</v>
      </c>
      <c r="F1324">
        <v>0</v>
      </c>
      <c r="G1324" s="11">
        <v>11068.7</v>
      </c>
      <c r="H1324" t="s">
        <v>12</v>
      </c>
      <c r="I1324" t="s">
        <v>16</v>
      </c>
      <c r="J1324" t="s">
        <v>42</v>
      </c>
    </row>
    <row r="1325" spans="1:10" x14ac:dyDescent="0.3">
      <c r="A1325" t="s">
        <v>1356</v>
      </c>
      <c r="B1325">
        <v>1971</v>
      </c>
      <c r="C1325" t="s">
        <v>15</v>
      </c>
      <c r="D1325">
        <v>9</v>
      </c>
      <c r="E1325" s="13" t="s">
        <v>11985</v>
      </c>
      <c r="F1325">
        <v>0</v>
      </c>
      <c r="G1325" s="11">
        <v>11068.77</v>
      </c>
      <c r="H1325" t="s">
        <v>12</v>
      </c>
      <c r="I1325" t="s">
        <v>11</v>
      </c>
      <c r="J1325" t="s">
        <v>23</v>
      </c>
    </row>
    <row r="1326" spans="1:10" x14ac:dyDescent="0.3">
      <c r="A1326" t="s">
        <v>1357</v>
      </c>
      <c r="B1326">
        <v>1966</v>
      </c>
      <c r="C1326" t="s">
        <v>15</v>
      </c>
      <c r="D1326">
        <v>7</v>
      </c>
      <c r="E1326" s="13" t="s">
        <v>11986</v>
      </c>
      <c r="F1326">
        <v>0</v>
      </c>
      <c r="G1326" s="11">
        <v>11070.54</v>
      </c>
      <c r="H1326" t="s">
        <v>12</v>
      </c>
      <c r="I1326" t="s">
        <v>12</v>
      </c>
      <c r="J1326" t="s">
        <v>42</v>
      </c>
    </row>
    <row r="1327" spans="1:10" x14ac:dyDescent="0.3">
      <c r="A1327" t="s">
        <v>1358</v>
      </c>
      <c r="B1327">
        <v>1966</v>
      </c>
      <c r="C1327" t="s">
        <v>15</v>
      </c>
      <c r="D1327">
        <v>20</v>
      </c>
      <c r="E1327" s="13" t="s">
        <v>11987</v>
      </c>
      <c r="F1327">
        <v>0</v>
      </c>
      <c r="G1327" s="11">
        <v>11073.18</v>
      </c>
      <c r="H1327" t="s">
        <v>12</v>
      </c>
      <c r="I1327" t="s">
        <v>12</v>
      </c>
      <c r="J1327" t="s">
        <v>42</v>
      </c>
    </row>
    <row r="1328" spans="1:10" x14ac:dyDescent="0.3">
      <c r="A1328" t="s">
        <v>1359</v>
      </c>
      <c r="B1328">
        <v>1967</v>
      </c>
      <c r="C1328" t="s">
        <v>20</v>
      </c>
      <c r="D1328">
        <v>4</v>
      </c>
      <c r="E1328" s="13" t="s">
        <v>11988</v>
      </c>
      <c r="F1328">
        <v>0</v>
      </c>
      <c r="G1328" s="11">
        <v>11082.58</v>
      </c>
      <c r="H1328" t="s">
        <v>12</v>
      </c>
      <c r="I1328" t="s">
        <v>11</v>
      </c>
      <c r="J1328" t="s">
        <v>23</v>
      </c>
    </row>
    <row r="1329" spans="1:10" x14ac:dyDescent="0.3">
      <c r="A1329" t="s">
        <v>1360</v>
      </c>
      <c r="B1329">
        <v>1972</v>
      </c>
      <c r="C1329" t="s">
        <v>37</v>
      </c>
      <c r="D1329">
        <v>7</v>
      </c>
      <c r="E1329" s="13" t="s">
        <v>11989</v>
      </c>
      <c r="F1329">
        <v>3</v>
      </c>
      <c r="G1329" s="11">
        <v>11085.59</v>
      </c>
      <c r="H1329" t="s">
        <v>12</v>
      </c>
      <c r="I1329" t="s">
        <v>11</v>
      </c>
      <c r="J1329" t="s">
        <v>23</v>
      </c>
    </row>
    <row r="1330" spans="1:10" x14ac:dyDescent="0.3">
      <c r="A1330" t="s">
        <v>1361</v>
      </c>
      <c r="B1330">
        <v>1966</v>
      </c>
      <c r="C1330" t="s">
        <v>20</v>
      </c>
      <c r="D1330">
        <v>9</v>
      </c>
      <c r="E1330" s="13" t="s">
        <v>11990</v>
      </c>
      <c r="F1330">
        <v>0</v>
      </c>
      <c r="G1330" s="11">
        <v>11090.72</v>
      </c>
      <c r="H1330" t="s">
        <v>12</v>
      </c>
      <c r="I1330" t="s">
        <v>16</v>
      </c>
      <c r="J1330" t="s">
        <v>13</v>
      </c>
    </row>
    <row r="1331" spans="1:10" x14ac:dyDescent="0.3">
      <c r="A1331" t="s">
        <v>1362</v>
      </c>
      <c r="B1331">
        <v>1966</v>
      </c>
      <c r="C1331" t="s">
        <v>10</v>
      </c>
      <c r="D1331">
        <v>5</v>
      </c>
      <c r="E1331" s="13" t="s">
        <v>11991</v>
      </c>
      <c r="F1331">
        <v>0</v>
      </c>
      <c r="G1331" s="11">
        <v>11093.62</v>
      </c>
      <c r="H1331" t="s">
        <v>12</v>
      </c>
      <c r="I1331" t="s">
        <v>16</v>
      </c>
      <c r="J1331" t="s">
        <v>13</v>
      </c>
    </row>
    <row r="1332" spans="1:10" x14ac:dyDescent="0.3">
      <c r="A1332" t="s">
        <v>1363</v>
      </c>
      <c r="B1332">
        <v>1980</v>
      </c>
      <c r="C1332" t="s">
        <v>35</v>
      </c>
      <c r="D1332">
        <v>20</v>
      </c>
      <c r="E1332" s="13" t="s">
        <v>11992</v>
      </c>
      <c r="F1332">
        <v>2</v>
      </c>
      <c r="G1332" s="11">
        <v>11103.33</v>
      </c>
      <c r="H1332" t="s">
        <v>12</v>
      </c>
      <c r="I1332" t="s">
        <v>16</v>
      </c>
      <c r="J1332" t="s">
        <v>300</v>
      </c>
    </row>
    <row r="1333" spans="1:10" x14ac:dyDescent="0.3">
      <c r="A1333" t="s">
        <v>1364</v>
      </c>
      <c r="B1333">
        <v>1969</v>
      </c>
      <c r="C1333" t="s">
        <v>15</v>
      </c>
      <c r="D1333">
        <v>30</v>
      </c>
      <c r="E1333" s="13" t="s">
        <v>11993</v>
      </c>
      <c r="F1333">
        <v>2</v>
      </c>
      <c r="G1333" s="11">
        <v>11150.78</v>
      </c>
      <c r="H1333" t="s">
        <v>12</v>
      </c>
      <c r="I1333" t="s">
        <v>11</v>
      </c>
      <c r="J1333" t="s">
        <v>42</v>
      </c>
    </row>
    <row r="1334" spans="1:10" x14ac:dyDescent="0.3">
      <c r="A1334" t="s">
        <v>1365</v>
      </c>
      <c r="B1334">
        <v>1969</v>
      </c>
      <c r="C1334" t="s">
        <v>18</v>
      </c>
      <c r="D1334">
        <v>25</v>
      </c>
      <c r="E1334" s="13" t="s">
        <v>11994</v>
      </c>
      <c r="F1334">
        <v>2</v>
      </c>
      <c r="G1334" s="11">
        <v>11163.57</v>
      </c>
      <c r="H1334" t="s">
        <v>12</v>
      </c>
      <c r="I1334" t="s">
        <v>11</v>
      </c>
      <c r="J1334" t="s">
        <v>42</v>
      </c>
    </row>
    <row r="1335" spans="1:10" x14ac:dyDescent="0.3">
      <c r="A1335" t="s">
        <v>1366</v>
      </c>
      <c r="B1335">
        <v>1966</v>
      </c>
      <c r="C1335" t="s">
        <v>35</v>
      </c>
      <c r="D1335">
        <v>6</v>
      </c>
      <c r="E1335" s="13" t="s">
        <v>11995</v>
      </c>
      <c r="F1335">
        <v>0</v>
      </c>
      <c r="G1335" s="11">
        <v>11165.42</v>
      </c>
      <c r="H1335" t="s">
        <v>12</v>
      </c>
      <c r="I1335" t="s">
        <v>16</v>
      </c>
      <c r="J1335" t="s">
        <v>168</v>
      </c>
    </row>
    <row r="1336" spans="1:10" x14ac:dyDescent="0.3">
      <c r="A1336" t="s">
        <v>1367</v>
      </c>
      <c r="B1336">
        <v>1972</v>
      </c>
      <c r="C1336" t="s">
        <v>20</v>
      </c>
      <c r="D1336">
        <v>3</v>
      </c>
      <c r="E1336" s="13" t="s">
        <v>11996</v>
      </c>
      <c r="F1336">
        <v>0</v>
      </c>
      <c r="G1336" s="11">
        <v>11186.2</v>
      </c>
      <c r="H1336" t="s">
        <v>12</v>
      </c>
      <c r="I1336" t="s">
        <v>11</v>
      </c>
      <c r="J1336" t="s">
        <v>300</v>
      </c>
    </row>
    <row r="1337" spans="1:10" x14ac:dyDescent="0.3">
      <c r="A1337" t="s">
        <v>1368</v>
      </c>
      <c r="B1337">
        <v>1970</v>
      </c>
      <c r="C1337" t="s">
        <v>18</v>
      </c>
      <c r="D1337">
        <v>14</v>
      </c>
      <c r="E1337" s="13" t="s">
        <v>11997</v>
      </c>
      <c r="F1337">
        <v>2</v>
      </c>
      <c r="G1337" s="11">
        <v>11187.66</v>
      </c>
      <c r="H1337" t="s">
        <v>12</v>
      </c>
      <c r="I1337" t="s">
        <v>11</v>
      </c>
      <c r="J1337" t="s">
        <v>23</v>
      </c>
    </row>
    <row r="1338" spans="1:10" x14ac:dyDescent="0.3">
      <c r="A1338" t="s">
        <v>1369</v>
      </c>
      <c r="B1338">
        <v>1976</v>
      </c>
      <c r="C1338" t="s">
        <v>18</v>
      </c>
      <c r="D1338">
        <v>28</v>
      </c>
      <c r="E1338" s="13" t="s">
        <v>11998</v>
      </c>
      <c r="F1338">
        <v>2</v>
      </c>
      <c r="G1338" s="11">
        <v>11217.35</v>
      </c>
      <c r="H1338" t="s">
        <v>12</v>
      </c>
      <c r="I1338" t="s">
        <v>11</v>
      </c>
      <c r="J1338" t="s">
        <v>200</v>
      </c>
    </row>
    <row r="1339" spans="1:10" x14ac:dyDescent="0.3">
      <c r="A1339" t="s">
        <v>1370</v>
      </c>
      <c r="B1339">
        <v>1969</v>
      </c>
      <c r="C1339" t="s">
        <v>30</v>
      </c>
      <c r="D1339">
        <v>30</v>
      </c>
      <c r="E1339" s="13" t="s">
        <v>11999</v>
      </c>
      <c r="F1339">
        <v>2</v>
      </c>
      <c r="G1339" s="11">
        <v>11244.38</v>
      </c>
      <c r="H1339" t="s">
        <v>12</v>
      </c>
      <c r="I1339" t="s">
        <v>16</v>
      </c>
      <c r="J1339" t="s">
        <v>168</v>
      </c>
    </row>
    <row r="1340" spans="1:10" x14ac:dyDescent="0.3">
      <c r="A1340" t="s">
        <v>1371</v>
      </c>
      <c r="B1340">
        <v>1989</v>
      </c>
      <c r="C1340" t="s">
        <v>30</v>
      </c>
      <c r="D1340">
        <v>17</v>
      </c>
      <c r="E1340" s="13" t="s">
        <v>12000</v>
      </c>
      <c r="F1340">
        <v>3</v>
      </c>
      <c r="G1340" s="11">
        <v>11250.43</v>
      </c>
      <c r="H1340" t="s">
        <v>12</v>
      </c>
      <c r="I1340" t="s">
        <v>11</v>
      </c>
      <c r="J1340" t="s">
        <v>535</v>
      </c>
    </row>
    <row r="1341" spans="1:10" x14ac:dyDescent="0.3">
      <c r="A1341" t="s">
        <v>1372</v>
      </c>
      <c r="B1341">
        <v>1969</v>
      </c>
      <c r="C1341" t="s">
        <v>35</v>
      </c>
      <c r="D1341">
        <v>20</v>
      </c>
      <c r="E1341" s="13" t="s">
        <v>11881</v>
      </c>
      <c r="F1341">
        <v>3</v>
      </c>
      <c r="G1341" s="11">
        <v>11253.42</v>
      </c>
      <c r="H1341" t="s">
        <v>12</v>
      </c>
      <c r="I1341" t="s">
        <v>16</v>
      </c>
      <c r="J1341" t="s">
        <v>42</v>
      </c>
    </row>
    <row r="1342" spans="1:10" x14ac:dyDescent="0.3">
      <c r="A1342" t="s">
        <v>1373</v>
      </c>
      <c r="B1342">
        <v>1981</v>
      </c>
      <c r="C1342" t="s">
        <v>37</v>
      </c>
      <c r="D1342">
        <v>2</v>
      </c>
      <c r="E1342" s="13" t="s">
        <v>10878</v>
      </c>
      <c r="F1342">
        <v>1</v>
      </c>
      <c r="G1342" s="11">
        <v>11255.29</v>
      </c>
      <c r="H1342" t="s">
        <v>12</v>
      </c>
      <c r="I1342" t="s">
        <v>16</v>
      </c>
      <c r="J1342" t="s">
        <v>535</v>
      </c>
    </row>
    <row r="1343" spans="1:10" x14ac:dyDescent="0.3">
      <c r="A1343" t="s">
        <v>1374</v>
      </c>
      <c r="B1343">
        <v>1969</v>
      </c>
      <c r="C1343" t="s">
        <v>37</v>
      </c>
      <c r="D1343">
        <v>11</v>
      </c>
      <c r="E1343" s="13" t="s">
        <v>12001</v>
      </c>
      <c r="F1343">
        <v>3</v>
      </c>
      <c r="G1343" s="11">
        <v>11264.54</v>
      </c>
      <c r="H1343" t="s">
        <v>12</v>
      </c>
      <c r="I1343" t="s">
        <v>11</v>
      </c>
      <c r="J1343" t="s">
        <v>42</v>
      </c>
    </row>
    <row r="1344" spans="1:10" x14ac:dyDescent="0.3">
      <c r="A1344" t="s">
        <v>1375</v>
      </c>
      <c r="B1344">
        <v>1971</v>
      </c>
      <c r="C1344" t="s">
        <v>30</v>
      </c>
      <c r="D1344">
        <v>26</v>
      </c>
      <c r="E1344" s="13" t="s">
        <v>12002</v>
      </c>
      <c r="F1344">
        <v>0</v>
      </c>
      <c r="G1344" s="11">
        <v>11265.71</v>
      </c>
      <c r="H1344" t="s">
        <v>12</v>
      </c>
      <c r="I1344" t="s">
        <v>16</v>
      </c>
      <c r="J1344" t="s">
        <v>200</v>
      </c>
    </row>
    <row r="1345" spans="1:10" x14ac:dyDescent="0.3">
      <c r="A1345" t="s">
        <v>1376</v>
      </c>
      <c r="B1345">
        <v>2004</v>
      </c>
      <c r="C1345" t="s">
        <v>37</v>
      </c>
      <c r="D1345">
        <v>4</v>
      </c>
      <c r="E1345" s="13" t="s">
        <v>12003</v>
      </c>
      <c r="F1345">
        <v>1</v>
      </c>
      <c r="G1345" s="11">
        <v>11272.33</v>
      </c>
      <c r="H1345" t="s">
        <v>12</v>
      </c>
      <c r="I1345" t="s">
        <v>11</v>
      </c>
      <c r="J1345" t="s">
        <v>166</v>
      </c>
    </row>
    <row r="1346" spans="1:10" x14ac:dyDescent="0.3">
      <c r="A1346" t="s">
        <v>1377</v>
      </c>
      <c r="B1346">
        <v>1967</v>
      </c>
      <c r="C1346" t="s">
        <v>18</v>
      </c>
      <c r="D1346">
        <v>14</v>
      </c>
      <c r="E1346" s="13" t="s">
        <v>12004</v>
      </c>
      <c r="F1346">
        <v>0</v>
      </c>
      <c r="G1346" s="11">
        <v>11286.54</v>
      </c>
      <c r="H1346" t="s">
        <v>12</v>
      </c>
      <c r="I1346" t="s">
        <v>12</v>
      </c>
      <c r="J1346" t="s">
        <v>247</v>
      </c>
    </row>
    <row r="1347" spans="1:10" x14ac:dyDescent="0.3">
      <c r="A1347" t="s">
        <v>1378</v>
      </c>
      <c r="B1347">
        <v>1970</v>
      </c>
      <c r="C1347" t="s">
        <v>18</v>
      </c>
      <c r="D1347">
        <v>22</v>
      </c>
      <c r="E1347" s="13" t="s">
        <v>12005</v>
      </c>
      <c r="F1347">
        <v>3</v>
      </c>
      <c r="G1347" s="11">
        <v>11289.11</v>
      </c>
      <c r="H1347" t="s">
        <v>12</v>
      </c>
      <c r="I1347" t="s">
        <v>16</v>
      </c>
      <c r="J1347" t="s">
        <v>23</v>
      </c>
    </row>
    <row r="1348" spans="1:10" x14ac:dyDescent="0.3">
      <c r="A1348" t="s">
        <v>1379</v>
      </c>
      <c r="B1348">
        <v>1988</v>
      </c>
      <c r="C1348" t="s">
        <v>15</v>
      </c>
      <c r="D1348">
        <v>14</v>
      </c>
      <c r="E1348" s="13" t="s">
        <v>12006</v>
      </c>
      <c r="F1348">
        <v>3</v>
      </c>
      <c r="G1348" s="11">
        <v>11294.57</v>
      </c>
      <c r="H1348" t="s">
        <v>12</v>
      </c>
      <c r="I1348" t="s">
        <v>16</v>
      </c>
      <c r="J1348" t="s">
        <v>632</v>
      </c>
    </row>
    <row r="1349" spans="1:10" x14ac:dyDescent="0.3">
      <c r="A1349" t="s">
        <v>1380</v>
      </c>
      <c r="B1349">
        <v>1972</v>
      </c>
      <c r="C1349" t="s">
        <v>20</v>
      </c>
      <c r="D1349">
        <v>25</v>
      </c>
      <c r="E1349" s="13" t="s">
        <v>12007</v>
      </c>
      <c r="F1349">
        <v>4</v>
      </c>
      <c r="G1349" s="11">
        <v>11299.34</v>
      </c>
      <c r="H1349" t="s">
        <v>12</v>
      </c>
      <c r="I1349" t="s">
        <v>11</v>
      </c>
      <c r="J1349" t="s">
        <v>42</v>
      </c>
    </row>
    <row r="1350" spans="1:10" x14ac:dyDescent="0.3">
      <c r="A1350" t="s">
        <v>1381</v>
      </c>
      <c r="B1350">
        <v>1968</v>
      </c>
      <c r="C1350" t="s">
        <v>37</v>
      </c>
      <c r="D1350">
        <v>6</v>
      </c>
      <c r="E1350" s="13" t="s">
        <v>12008</v>
      </c>
      <c r="F1350">
        <v>1</v>
      </c>
      <c r="G1350" s="11">
        <v>11305.93</v>
      </c>
      <c r="H1350" t="s">
        <v>12</v>
      </c>
      <c r="I1350" t="s">
        <v>16</v>
      </c>
      <c r="J1350" t="s">
        <v>23</v>
      </c>
    </row>
    <row r="1351" spans="1:10" x14ac:dyDescent="0.3">
      <c r="A1351" t="s">
        <v>1382</v>
      </c>
      <c r="B1351">
        <v>1963</v>
      </c>
      <c r="C1351" t="s">
        <v>15</v>
      </c>
      <c r="D1351">
        <v>22</v>
      </c>
      <c r="E1351" s="13" t="s">
        <v>12009</v>
      </c>
      <c r="F1351">
        <v>0</v>
      </c>
      <c r="G1351" s="11">
        <v>11312.33</v>
      </c>
      <c r="H1351" t="s">
        <v>12</v>
      </c>
      <c r="I1351" t="s">
        <v>12</v>
      </c>
      <c r="J1351" t="s">
        <v>23</v>
      </c>
    </row>
    <row r="1352" spans="1:10" x14ac:dyDescent="0.3">
      <c r="A1352" t="s">
        <v>1383</v>
      </c>
      <c r="B1352">
        <v>1995</v>
      </c>
      <c r="C1352" t="s">
        <v>30</v>
      </c>
      <c r="D1352">
        <v>10</v>
      </c>
      <c r="E1352" s="13" t="s">
        <v>12010</v>
      </c>
      <c r="F1352">
        <v>0</v>
      </c>
      <c r="G1352" s="11">
        <v>11318.57</v>
      </c>
      <c r="H1352" t="s">
        <v>12</v>
      </c>
      <c r="I1352" t="s">
        <v>11</v>
      </c>
      <c r="J1352" t="s">
        <v>535</v>
      </c>
    </row>
    <row r="1353" spans="1:10" x14ac:dyDescent="0.3">
      <c r="A1353" t="s">
        <v>1384</v>
      </c>
      <c r="B1353">
        <v>1963</v>
      </c>
      <c r="C1353" t="s">
        <v>10</v>
      </c>
      <c r="D1353">
        <v>11</v>
      </c>
      <c r="E1353" s="13" t="s">
        <v>12011</v>
      </c>
      <c r="F1353">
        <v>0</v>
      </c>
      <c r="G1353" s="11">
        <v>11319.12</v>
      </c>
      <c r="H1353" t="s">
        <v>12</v>
      </c>
      <c r="I1353" t="s">
        <v>16</v>
      </c>
      <c r="J1353" t="s">
        <v>23</v>
      </c>
    </row>
    <row r="1354" spans="1:10" x14ac:dyDescent="0.3">
      <c r="A1354" t="s">
        <v>1385</v>
      </c>
      <c r="B1354">
        <v>2002</v>
      </c>
      <c r="C1354" t="s">
        <v>20</v>
      </c>
      <c r="D1354">
        <v>20</v>
      </c>
      <c r="E1354" s="13" t="s">
        <v>12012</v>
      </c>
      <c r="F1354">
        <v>0</v>
      </c>
      <c r="G1354" s="11">
        <v>11321.49</v>
      </c>
      <c r="H1354" t="s">
        <v>12</v>
      </c>
      <c r="I1354" t="s">
        <v>12</v>
      </c>
      <c r="J1354" t="s">
        <v>23</v>
      </c>
    </row>
    <row r="1355" spans="1:10" x14ac:dyDescent="0.3">
      <c r="A1355" t="s">
        <v>1386</v>
      </c>
      <c r="B1355">
        <v>1989</v>
      </c>
      <c r="C1355" t="s">
        <v>35</v>
      </c>
      <c r="D1355">
        <v>19</v>
      </c>
      <c r="E1355" s="13" t="s">
        <v>12013</v>
      </c>
      <c r="F1355">
        <v>1</v>
      </c>
      <c r="G1355" s="11">
        <v>11326.71</v>
      </c>
      <c r="H1355" t="s">
        <v>12</v>
      </c>
      <c r="I1355" t="s">
        <v>12</v>
      </c>
      <c r="J1355" t="s">
        <v>13</v>
      </c>
    </row>
    <row r="1356" spans="1:10" x14ac:dyDescent="0.3">
      <c r="A1356" t="s">
        <v>1387</v>
      </c>
      <c r="B1356">
        <v>1968</v>
      </c>
      <c r="C1356" t="s">
        <v>15</v>
      </c>
      <c r="D1356">
        <v>2</v>
      </c>
      <c r="E1356" s="13" t="s">
        <v>12014</v>
      </c>
      <c r="F1356">
        <v>0</v>
      </c>
      <c r="G1356" s="11">
        <v>11344.32</v>
      </c>
      <c r="H1356" t="s">
        <v>12</v>
      </c>
      <c r="I1356" t="s">
        <v>11</v>
      </c>
      <c r="J1356" t="s">
        <v>200</v>
      </c>
    </row>
    <row r="1357" spans="1:10" x14ac:dyDescent="0.3">
      <c r="A1357" t="s">
        <v>1388</v>
      </c>
      <c r="B1357">
        <v>1964</v>
      </c>
      <c r="C1357" t="s">
        <v>10</v>
      </c>
      <c r="D1357">
        <v>12</v>
      </c>
      <c r="E1357" s="13" t="s">
        <v>12015</v>
      </c>
      <c r="F1357">
        <v>0</v>
      </c>
      <c r="G1357" s="11">
        <v>11345.52</v>
      </c>
      <c r="H1357" t="s">
        <v>12</v>
      </c>
      <c r="I1357" t="s">
        <v>12</v>
      </c>
      <c r="J1357" t="s">
        <v>42</v>
      </c>
    </row>
    <row r="1358" spans="1:10" x14ac:dyDescent="0.3">
      <c r="A1358" t="s">
        <v>1389</v>
      </c>
      <c r="B1358">
        <v>1965</v>
      </c>
      <c r="C1358" t="s">
        <v>15</v>
      </c>
      <c r="D1358">
        <v>29</v>
      </c>
      <c r="E1358" s="13" t="s">
        <v>12016</v>
      </c>
      <c r="F1358">
        <v>0</v>
      </c>
      <c r="G1358" s="11">
        <v>11353.23</v>
      </c>
      <c r="H1358" t="s">
        <v>12</v>
      </c>
      <c r="I1358" t="s">
        <v>16</v>
      </c>
      <c r="J1358" t="s">
        <v>23</v>
      </c>
    </row>
    <row r="1359" spans="1:10" x14ac:dyDescent="0.3">
      <c r="A1359" t="s">
        <v>1390</v>
      </c>
      <c r="B1359">
        <v>1965</v>
      </c>
      <c r="C1359" t="s">
        <v>20</v>
      </c>
      <c r="D1359">
        <v>26</v>
      </c>
      <c r="E1359" s="13" t="s">
        <v>12017</v>
      </c>
      <c r="F1359">
        <v>0</v>
      </c>
      <c r="G1359" s="11">
        <v>11356.66</v>
      </c>
      <c r="H1359" t="s">
        <v>12</v>
      </c>
      <c r="I1359" t="s">
        <v>12</v>
      </c>
      <c r="J1359" t="s">
        <v>23</v>
      </c>
    </row>
    <row r="1360" spans="1:10" x14ac:dyDescent="0.3">
      <c r="A1360" t="s">
        <v>1391</v>
      </c>
      <c r="B1360">
        <v>1964</v>
      </c>
      <c r="C1360" t="s">
        <v>10</v>
      </c>
      <c r="D1360">
        <v>4</v>
      </c>
      <c r="E1360" s="13" t="s">
        <v>12018</v>
      </c>
      <c r="F1360">
        <v>0</v>
      </c>
      <c r="G1360" s="11">
        <v>11362.76</v>
      </c>
      <c r="H1360" t="s">
        <v>12</v>
      </c>
      <c r="I1360" t="s">
        <v>16</v>
      </c>
      <c r="J1360" t="s">
        <v>42</v>
      </c>
    </row>
    <row r="1361" spans="1:10" x14ac:dyDescent="0.3">
      <c r="A1361" t="s">
        <v>1392</v>
      </c>
      <c r="B1361">
        <v>1964</v>
      </c>
      <c r="C1361" t="s">
        <v>10</v>
      </c>
      <c r="D1361">
        <v>3</v>
      </c>
      <c r="E1361" s="13" t="s">
        <v>12019</v>
      </c>
      <c r="F1361">
        <v>0</v>
      </c>
      <c r="G1361" s="11">
        <v>11363.28</v>
      </c>
      <c r="H1361" t="s">
        <v>12</v>
      </c>
      <c r="I1361" t="s">
        <v>16</v>
      </c>
      <c r="J1361" t="s">
        <v>13</v>
      </c>
    </row>
    <row r="1362" spans="1:10" x14ac:dyDescent="0.3">
      <c r="A1362" t="s">
        <v>1393</v>
      </c>
      <c r="B1362">
        <v>1964</v>
      </c>
      <c r="C1362" t="s">
        <v>30</v>
      </c>
      <c r="D1362">
        <v>13</v>
      </c>
      <c r="E1362" s="13" t="s">
        <v>12020</v>
      </c>
      <c r="F1362">
        <v>0</v>
      </c>
      <c r="G1362" s="11">
        <v>11365.95</v>
      </c>
      <c r="H1362" t="s">
        <v>12</v>
      </c>
      <c r="I1362" t="s">
        <v>11</v>
      </c>
      <c r="J1362" t="s">
        <v>42</v>
      </c>
    </row>
    <row r="1363" spans="1:10" x14ac:dyDescent="0.3">
      <c r="A1363" t="s">
        <v>1394</v>
      </c>
      <c r="B1363">
        <v>1979</v>
      </c>
      <c r="C1363" t="s">
        <v>18</v>
      </c>
      <c r="D1363">
        <v>7</v>
      </c>
      <c r="E1363" s="13" t="s">
        <v>10999</v>
      </c>
      <c r="F1363">
        <v>2</v>
      </c>
      <c r="G1363" s="11">
        <v>11369.39</v>
      </c>
      <c r="H1363" t="s">
        <v>12</v>
      </c>
      <c r="I1363" t="s">
        <v>16</v>
      </c>
      <c r="J1363" t="s">
        <v>535</v>
      </c>
    </row>
    <row r="1364" spans="1:10" x14ac:dyDescent="0.3">
      <c r="A1364" t="s">
        <v>1395</v>
      </c>
      <c r="B1364">
        <v>1972</v>
      </c>
      <c r="C1364" t="s">
        <v>30</v>
      </c>
      <c r="D1364">
        <v>6</v>
      </c>
      <c r="E1364" s="13" t="s">
        <v>12021</v>
      </c>
      <c r="F1364">
        <v>0</v>
      </c>
      <c r="G1364" s="11">
        <v>11378.57</v>
      </c>
      <c r="H1364" t="s">
        <v>12</v>
      </c>
      <c r="I1364" t="s">
        <v>11</v>
      </c>
      <c r="J1364" t="s">
        <v>200</v>
      </c>
    </row>
    <row r="1365" spans="1:10" x14ac:dyDescent="0.3">
      <c r="A1365" t="s">
        <v>1396</v>
      </c>
      <c r="B1365">
        <v>1964</v>
      </c>
      <c r="C1365" t="s">
        <v>18</v>
      </c>
      <c r="D1365">
        <v>13</v>
      </c>
      <c r="E1365" s="13" t="s">
        <v>12022</v>
      </c>
      <c r="F1365">
        <v>0</v>
      </c>
      <c r="G1365" s="11">
        <v>11381.33</v>
      </c>
      <c r="H1365" t="s">
        <v>12</v>
      </c>
      <c r="I1365" t="s">
        <v>11</v>
      </c>
      <c r="J1365" t="s">
        <v>13</v>
      </c>
    </row>
    <row r="1366" spans="1:10" x14ac:dyDescent="0.3">
      <c r="A1366" t="s">
        <v>1397</v>
      </c>
      <c r="B1366">
        <v>1997</v>
      </c>
      <c r="C1366" t="s">
        <v>10</v>
      </c>
      <c r="D1366">
        <v>28</v>
      </c>
      <c r="E1366" s="13" t="s">
        <v>12023</v>
      </c>
      <c r="F1366">
        <v>0</v>
      </c>
      <c r="G1366" s="11">
        <v>11388.27</v>
      </c>
      <c r="H1366" t="s">
        <v>12</v>
      </c>
      <c r="I1366" t="s">
        <v>11</v>
      </c>
      <c r="J1366" t="s">
        <v>535</v>
      </c>
    </row>
    <row r="1367" spans="1:10" x14ac:dyDescent="0.3">
      <c r="A1367" t="s">
        <v>1398</v>
      </c>
      <c r="B1367">
        <v>1967</v>
      </c>
      <c r="C1367" t="s">
        <v>30</v>
      </c>
      <c r="D1367">
        <v>19</v>
      </c>
      <c r="E1367" s="13" t="s">
        <v>12024</v>
      </c>
      <c r="F1367">
        <v>1</v>
      </c>
      <c r="G1367" s="11">
        <v>11394.07</v>
      </c>
      <c r="H1367" t="s">
        <v>12</v>
      </c>
      <c r="I1367" t="s">
        <v>16</v>
      </c>
      <c r="J1367" t="s">
        <v>170</v>
      </c>
    </row>
    <row r="1368" spans="1:10" x14ac:dyDescent="0.3">
      <c r="A1368" t="s">
        <v>1399</v>
      </c>
      <c r="B1368">
        <v>1970</v>
      </c>
      <c r="C1368" t="s">
        <v>37</v>
      </c>
      <c r="D1368">
        <v>2</v>
      </c>
      <c r="E1368" s="13" t="s">
        <v>12025</v>
      </c>
      <c r="F1368">
        <v>2</v>
      </c>
      <c r="G1368" s="11">
        <v>11396.9</v>
      </c>
      <c r="H1368" t="s">
        <v>12</v>
      </c>
      <c r="I1368" t="s">
        <v>12</v>
      </c>
      <c r="J1368" t="s">
        <v>247</v>
      </c>
    </row>
    <row r="1369" spans="1:10" x14ac:dyDescent="0.3">
      <c r="A1369" t="s">
        <v>1400</v>
      </c>
      <c r="B1369">
        <v>1970</v>
      </c>
      <c r="C1369" t="s">
        <v>37</v>
      </c>
      <c r="D1369">
        <v>7</v>
      </c>
      <c r="E1369" s="13" t="s">
        <v>12026</v>
      </c>
      <c r="F1369">
        <v>3</v>
      </c>
      <c r="G1369" s="11">
        <v>11411.69</v>
      </c>
      <c r="H1369" t="s">
        <v>12</v>
      </c>
      <c r="I1369" t="s">
        <v>11</v>
      </c>
      <c r="J1369" t="s">
        <v>42</v>
      </c>
    </row>
    <row r="1370" spans="1:10" x14ac:dyDescent="0.3">
      <c r="A1370" t="s">
        <v>1401</v>
      </c>
      <c r="B1370">
        <v>1983</v>
      </c>
      <c r="C1370" t="s">
        <v>37</v>
      </c>
      <c r="D1370">
        <v>23</v>
      </c>
      <c r="E1370" s="13" t="s">
        <v>12027</v>
      </c>
      <c r="F1370">
        <v>3</v>
      </c>
      <c r="G1370" s="11">
        <v>11412.02</v>
      </c>
      <c r="H1370" t="s">
        <v>12</v>
      </c>
      <c r="I1370" t="s">
        <v>16</v>
      </c>
      <c r="J1370" t="s">
        <v>300</v>
      </c>
    </row>
    <row r="1371" spans="1:10" x14ac:dyDescent="0.3">
      <c r="A1371" t="s">
        <v>1402</v>
      </c>
      <c r="B1371">
        <v>1985</v>
      </c>
      <c r="C1371" t="s">
        <v>18</v>
      </c>
      <c r="D1371">
        <v>9</v>
      </c>
      <c r="E1371" s="13" t="s">
        <v>12028</v>
      </c>
      <c r="F1371">
        <v>3</v>
      </c>
      <c r="G1371" s="11">
        <v>11419.49</v>
      </c>
      <c r="H1371" t="s">
        <v>12</v>
      </c>
      <c r="I1371" t="s">
        <v>16</v>
      </c>
      <c r="J1371" t="s">
        <v>23</v>
      </c>
    </row>
    <row r="1372" spans="1:10" x14ac:dyDescent="0.3">
      <c r="A1372" t="s">
        <v>1403</v>
      </c>
      <c r="B1372">
        <v>1980</v>
      </c>
      <c r="C1372" t="s">
        <v>10</v>
      </c>
      <c r="D1372">
        <v>17</v>
      </c>
      <c r="E1372" s="13" t="s">
        <v>12029</v>
      </c>
      <c r="F1372">
        <v>2</v>
      </c>
      <c r="G1372" s="11">
        <v>11435.74</v>
      </c>
      <c r="H1372" t="s">
        <v>12</v>
      </c>
      <c r="I1372" t="s">
        <v>12</v>
      </c>
      <c r="J1372" t="s">
        <v>300</v>
      </c>
    </row>
    <row r="1373" spans="1:10" x14ac:dyDescent="0.3">
      <c r="A1373" t="s">
        <v>1404</v>
      </c>
      <c r="B1373">
        <v>1971</v>
      </c>
      <c r="C1373" t="s">
        <v>20</v>
      </c>
      <c r="D1373">
        <v>12</v>
      </c>
      <c r="E1373" s="13" t="s">
        <v>12030</v>
      </c>
      <c r="F1373">
        <v>3</v>
      </c>
      <c r="G1373" s="11">
        <v>11436.74</v>
      </c>
      <c r="H1373" t="s">
        <v>12</v>
      </c>
      <c r="I1373" t="s">
        <v>12</v>
      </c>
      <c r="J1373" t="s">
        <v>23</v>
      </c>
    </row>
    <row r="1374" spans="1:10" x14ac:dyDescent="0.3">
      <c r="A1374" t="s">
        <v>1405</v>
      </c>
      <c r="B1374">
        <v>1966</v>
      </c>
      <c r="C1374" t="s">
        <v>18</v>
      </c>
      <c r="D1374">
        <v>14</v>
      </c>
      <c r="E1374" s="13" t="s">
        <v>12031</v>
      </c>
      <c r="F1374">
        <v>0</v>
      </c>
      <c r="G1374" s="11">
        <v>11454.02</v>
      </c>
      <c r="H1374" t="s">
        <v>12</v>
      </c>
      <c r="I1374" t="s">
        <v>16</v>
      </c>
      <c r="J1374" t="s">
        <v>23</v>
      </c>
    </row>
    <row r="1375" spans="1:10" x14ac:dyDescent="0.3">
      <c r="A1375" t="s">
        <v>1406</v>
      </c>
      <c r="B1375">
        <v>1965</v>
      </c>
      <c r="C1375" t="s">
        <v>18</v>
      </c>
      <c r="D1375">
        <v>23</v>
      </c>
      <c r="E1375" s="13" t="s">
        <v>12032</v>
      </c>
      <c r="F1375">
        <v>0</v>
      </c>
      <c r="G1375" s="11">
        <v>11455.28</v>
      </c>
      <c r="H1375" t="s">
        <v>12</v>
      </c>
      <c r="I1375" t="s">
        <v>11</v>
      </c>
      <c r="J1375" t="s">
        <v>42</v>
      </c>
    </row>
    <row r="1376" spans="1:10" x14ac:dyDescent="0.3">
      <c r="A1376" t="s">
        <v>1407</v>
      </c>
      <c r="B1376">
        <v>1966</v>
      </c>
      <c r="C1376" t="s">
        <v>20</v>
      </c>
      <c r="D1376">
        <v>7</v>
      </c>
      <c r="E1376" s="13" t="s">
        <v>12033</v>
      </c>
      <c r="F1376">
        <v>0</v>
      </c>
      <c r="G1376" s="11">
        <v>11478.14</v>
      </c>
      <c r="H1376" t="s">
        <v>12</v>
      </c>
      <c r="I1376" t="s">
        <v>11</v>
      </c>
      <c r="J1376" t="s">
        <v>200</v>
      </c>
    </row>
    <row r="1377" spans="1:10" x14ac:dyDescent="0.3">
      <c r="A1377" t="s">
        <v>1408</v>
      </c>
      <c r="B1377">
        <v>2004</v>
      </c>
      <c r="C1377" t="s">
        <v>20</v>
      </c>
      <c r="D1377">
        <v>10</v>
      </c>
      <c r="E1377" s="13" t="s">
        <v>12034</v>
      </c>
      <c r="F1377">
        <v>0</v>
      </c>
      <c r="G1377" s="11">
        <v>11482.63</v>
      </c>
      <c r="H1377" t="s">
        <v>12</v>
      </c>
      <c r="I1377" t="s">
        <v>11</v>
      </c>
      <c r="J1377" t="s">
        <v>13</v>
      </c>
    </row>
    <row r="1378" spans="1:10" x14ac:dyDescent="0.3">
      <c r="A1378" t="s">
        <v>1409</v>
      </c>
      <c r="B1378">
        <v>1970</v>
      </c>
      <c r="C1378" t="s">
        <v>37</v>
      </c>
      <c r="D1378">
        <v>13</v>
      </c>
      <c r="E1378" s="13" t="s">
        <v>12035</v>
      </c>
      <c r="F1378">
        <v>3</v>
      </c>
      <c r="G1378" s="11">
        <v>11488.32</v>
      </c>
      <c r="H1378" t="s">
        <v>12</v>
      </c>
      <c r="I1378" t="s">
        <v>16</v>
      </c>
      <c r="J1378" t="s">
        <v>276</v>
      </c>
    </row>
    <row r="1379" spans="1:10" x14ac:dyDescent="0.3">
      <c r="A1379" t="s">
        <v>1410</v>
      </c>
      <c r="B1379">
        <v>1983</v>
      </c>
      <c r="C1379" t="s">
        <v>18</v>
      </c>
      <c r="D1379">
        <v>7</v>
      </c>
      <c r="E1379" s="13" t="s">
        <v>12036</v>
      </c>
      <c r="F1379">
        <v>3</v>
      </c>
      <c r="G1379" s="11">
        <v>11492.46</v>
      </c>
      <c r="H1379" t="s">
        <v>12</v>
      </c>
      <c r="I1379" t="s">
        <v>12</v>
      </c>
      <c r="J1379" t="s">
        <v>535</v>
      </c>
    </row>
    <row r="1380" spans="1:10" x14ac:dyDescent="0.3">
      <c r="A1380" t="s">
        <v>1411</v>
      </c>
      <c r="B1380">
        <v>1969</v>
      </c>
      <c r="C1380" t="s">
        <v>35</v>
      </c>
      <c r="D1380">
        <v>11</v>
      </c>
      <c r="E1380" s="13" t="s">
        <v>12037</v>
      </c>
      <c r="F1380">
        <v>0</v>
      </c>
      <c r="G1380" s="11">
        <v>11497.69</v>
      </c>
      <c r="H1380" t="s">
        <v>12</v>
      </c>
      <c r="I1380" t="s">
        <v>16</v>
      </c>
      <c r="J1380" t="s">
        <v>23</v>
      </c>
    </row>
    <row r="1381" spans="1:10" x14ac:dyDescent="0.3">
      <c r="A1381" t="s">
        <v>1412</v>
      </c>
      <c r="B1381">
        <v>1989</v>
      </c>
      <c r="C1381" t="s">
        <v>37</v>
      </c>
      <c r="D1381">
        <v>6</v>
      </c>
      <c r="E1381" s="13" t="s">
        <v>12038</v>
      </c>
      <c r="F1381">
        <v>3</v>
      </c>
      <c r="G1381" s="11">
        <v>11511.61</v>
      </c>
      <c r="H1381" t="s">
        <v>12</v>
      </c>
      <c r="I1381" t="s">
        <v>12</v>
      </c>
      <c r="J1381" t="s">
        <v>535</v>
      </c>
    </row>
    <row r="1382" spans="1:10" x14ac:dyDescent="0.3">
      <c r="A1382" t="s">
        <v>1413</v>
      </c>
      <c r="B1382">
        <v>1968</v>
      </c>
      <c r="C1382" t="s">
        <v>18</v>
      </c>
      <c r="D1382">
        <v>24</v>
      </c>
      <c r="E1382" s="13" t="s">
        <v>12039</v>
      </c>
      <c r="F1382">
        <v>1</v>
      </c>
      <c r="G1382" s="11">
        <v>11512.41</v>
      </c>
      <c r="H1382" t="s">
        <v>12</v>
      </c>
      <c r="I1382" t="s">
        <v>16</v>
      </c>
      <c r="J1382" t="s">
        <v>247</v>
      </c>
    </row>
    <row r="1383" spans="1:10" x14ac:dyDescent="0.3">
      <c r="A1383" t="s">
        <v>1414</v>
      </c>
      <c r="B1383">
        <v>1971</v>
      </c>
      <c r="C1383" t="s">
        <v>30</v>
      </c>
      <c r="D1383">
        <v>19</v>
      </c>
      <c r="E1383" s="13" t="s">
        <v>12040</v>
      </c>
      <c r="F1383">
        <v>4</v>
      </c>
      <c r="G1383" s="11">
        <v>11520.1</v>
      </c>
      <c r="H1383" t="s">
        <v>12</v>
      </c>
      <c r="I1383" t="s">
        <v>16</v>
      </c>
      <c r="J1383" t="s">
        <v>23</v>
      </c>
    </row>
    <row r="1384" spans="1:10" x14ac:dyDescent="0.3">
      <c r="A1384" t="s">
        <v>1415</v>
      </c>
      <c r="B1384">
        <v>1988</v>
      </c>
      <c r="C1384" t="s">
        <v>18</v>
      </c>
      <c r="D1384">
        <v>12</v>
      </c>
      <c r="E1384" s="13" t="s">
        <v>12041</v>
      </c>
      <c r="F1384">
        <v>3</v>
      </c>
      <c r="G1384" s="11">
        <v>11524.25</v>
      </c>
      <c r="H1384" t="s">
        <v>12</v>
      </c>
      <c r="I1384" t="s">
        <v>16</v>
      </c>
      <c r="J1384" t="s">
        <v>535</v>
      </c>
    </row>
    <row r="1385" spans="1:10" x14ac:dyDescent="0.3">
      <c r="A1385" t="s">
        <v>1416</v>
      </c>
      <c r="B1385">
        <v>1970</v>
      </c>
      <c r="C1385" t="s">
        <v>10</v>
      </c>
      <c r="D1385">
        <v>23</v>
      </c>
      <c r="E1385" s="13" t="s">
        <v>12042</v>
      </c>
      <c r="F1385">
        <v>0</v>
      </c>
      <c r="G1385" s="11">
        <v>11530.12</v>
      </c>
      <c r="H1385" t="s">
        <v>12</v>
      </c>
      <c r="I1385" t="s">
        <v>16</v>
      </c>
      <c r="J1385" t="s">
        <v>23</v>
      </c>
    </row>
    <row r="1386" spans="1:10" x14ac:dyDescent="0.3">
      <c r="A1386" t="s">
        <v>1417</v>
      </c>
      <c r="B1386">
        <v>1965</v>
      </c>
      <c r="C1386" t="s">
        <v>37</v>
      </c>
      <c r="D1386">
        <v>3</v>
      </c>
      <c r="E1386" s="13" t="s">
        <v>12043</v>
      </c>
      <c r="F1386">
        <v>0</v>
      </c>
      <c r="G1386" s="11">
        <v>11534.87</v>
      </c>
      <c r="H1386" t="s">
        <v>12</v>
      </c>
      <c r="I1386" t="s">
        <v>16</v>
      </c>
      <c r="J1386" t="s">
        <v>356</v>
      </c>
    </row>
    <row r="1387" spans="1:10" x14ac:dyDescent="0.3">
      <c r="A1387" t="s">
        <v>1418</v>
      </c>
      <c r="B1387">
        <v>1968</v>
      </c>
      <c r="C1387" t="s">
        <v>15</v>
      </c>
      <c r="D1387">
        <v>14</v>
      </c>
      <c r="E1387" s="13" t="s">
        <v>12044</v>
      </c>
      <c r="F1387">
        <v>2</v>
      </c>
      <c r="G1387" s="11">
        <v>11538.42</v>
      </c>
      <c r="H1387" t="s">
        <v>12</v>
      </c>
      <c r="I1387" t="s">
        <v>16</v>
      </c>
      <c r="J1387" t="s">
        <v>42</v>
      </c>
    </row>
    <row r="1388" spans="1:10" x14ac:dyDescent="0.3">
      <c r="A1388" t="s">
        <v>1419</v>
      </c>
      <c r="B1388">
        <v>1971</v>
      </c>
      <c r="C1388" t="s">
        <v>30</v>
      </c>
      <c r="D1388">
        <v>1</v>
      </c>
      <c r="E1388" s="13" t="s">
        <v>12045</v>
      </c>
      <c r="F1388">
        <v>0</v>
      </c>
      <c r="G1388" s="11">
        <v>11540.25</v>
      </c>
      <c r="H1388" t="s">
        <v>12</v>
      </c>
      <c r="I1388" t="s">
        <v>16</v>
      </c>
      <c r="J1388" t="s">
        <v>23</v>
      </c>
    </row>
    <row r="1389" spans="1:10" x14ac:dyDescent="0.3">
      <c r="A1389" t="s">
        <v>1420</v>
      </c>
      <c r="B1389">
        <v>1973</v>
      </c>
      <c r="C1389" t="s">
        <v>10</v>
      </c>
      <c r="D1389">
        <v>23</v>
      </c>
      <c r="E1389" s="13" t="s">
        <v>12046</v>
      </c>
      <c r="F1389">
        <v>5</v>
      </c>
      <c r="G1389" s="11">
        <v>11552.9</v>
      </c>
      <c r="H1389" t="s">
        <v>12</v>
      </c>
      <c r="I1389" t="s">
        <v>11</v>
      </c>
      <c r="J1389" t="s">
        <v>42</v>
      </c>
    </row>
    <row r="1390" spans="1:10" x14ac:dyDescent="0.3">
      <c r="A1390" t="s">
        <v>1421</v>
      </c>
      <c r="B1390">
        <v>1965</v>
      </c>
      <c r="C1390" t="s">
        <v>37</v>
      </c>
      <c r="D1390">
        <v>27</v>
      </c>
      <c r="E1390" s="13" t="s">
        <v>12047</v>
      </c>
      <c r="F1390">
        <v>1</v>
      </c>
      <c r="G1390" s="11">
        <v>11554.22</v>
      </c>
      <c r="H1390" t="s">
        <v>12</v>
      </c>
      <c r="I1390" t="s">
        <v>16</v>
      </c>
      <c r="J1390" t="s">
        <v>13</v>
      </c>
    </row>
    <row r="1391" spans="1:10" x14ac:dyDescent="0.3">
      <c r="A1391" t="s">
        <v>1422</v>
      </c>
      <c r="B1391">
        <v>1965</v>
      </c>
      <c r="C1391" t="s">
        <v>30</v>
      </c>
      <c r="D1391">
        <v>25</v>
      </c>
      <c r="E1391" s="13" t="s">
        <v>12048</v>
      </c>
      <c r="F1391">
        <v>0</v>
      </c>
      <c r="G1391" s="11">
        <v>11566.3</v>
      </c>
      <c r="H1391" t="s">
        <v>12</v>
      </c>
      <c r="I1391" t="s">
        <v>12</v>
      </c>
      <c r="J1391" t="s">
        <v>168</v>
      </c>
    </row>
    <row r="1392" spans="1:10" x14ac:dyDescent="0.3">
      <c r="A1392" t="s">
        <v>1423</v>
      </c>
      <c r="B1392">
        <v>1965</v>
      </c>
      <c r="C1392" t="s">
        <v>15</v>
      </c>
      <c r="D1392">
        <v>6</v>
      </c>
      <c r="E1392" s="13" t="s">
        <v>12049</v>
      </c>
      <c r="F1392">
        <v>1</v>
      </c>
      <c r="G1392" s="11">
        <v>11576.13</v>
      </c>
      <c r="H1392" t="s">
        <v>12</v>
      </c>
      <c r="I1392" t="s">
        <v>12</v>
      </c>
      <c r="J1392" t="s">
        <v>42</v>
      </c>
    </row>
    <row r="1393" spans="1:10" x14ac:dyDescent="0.3">
      <c r="A1393" t="s">
        <v>1424</v>
      </c>
      <c r="B1393">
        <v>1964</v>
      </c>
      <c r="C1393" t="s">
        <v>18</v>
      </c>
      <c r="D1393">
        <v>20</v>
      </c>
      <c r="E1393" s="13" t="s">
        <v>12050</v>
      </c>
      <c r="F1393">
        <v>0</v>
      </c>
      <c r="G1393" s="11">
        <v>11602.75</v>
      </c>
      <c r="H1393" t="s">
        <v>12</v>
      </c>
      <c r="I1393" t="s">
        <v>16</v>
      </c>
      <c r="J1393" t="s">
        <v>516</v>
      </c>
    </row>
    <row r="1394" spans="1:10" x14ac:dyDescent="0.3">
      <c r="A1394" t="s">
        <v>1425</v>
      </c>
      <c r="B1394">
        <v>1986</v>
      </c>
      <c r="C1394" t="s">
        <v>10</v>
      </c>
      <c r="D1394">
        <v>17</v>
      </c>
      <c r="E1394" s="13" t="s">
        <v>12051</v>
      </c>
      <c r="F1394">
        <v>3</v>
      </c>
      <c r="G1394" s="11">
        <v>11625.11</v>
      </c>
      <c r="H1394" t="s">
        <v>12</v>
      </c>
      <c r="I1394" t="s">
        <v>12</v>
      </c>
      <c r="J1394" t="s">
        <v>632</v>
      </c>
    </row>
    <row r="1395" spans="1:10" x14ac:dyDescent="0.3">
      <c r="A1395" t="s">
        <v>1426</v>
      </c>
      <c r="B1395">
        <v>1966</v>
      </c>
      <c r="C1395" t="s">
        <v>37</v>
      </c>
      <c r="D1395">
        <v>4</v>
      </c>
      <c r="E1395" s="13" t="s">
        <v>12052</v>
      </c>
      <c r="F1395">
        <v>0</v>
      </c>
      <c r="G1395" s="11">
        <v>11657.72</v>
      </c>
      <c r="H1395" t="s">
        <v>12</v>
      </c>
      <c r="I1395" t="s">
        <v>11</v>
      </c>
      <c r="J1395" t="s">
        <v>247</v>
      </c>
    </row>
    <row r="1396" spans="1:10" x14ac:dyDescent="0.3">
      <c r="A1396" t="s">
        <v>1427</v>
      </c>
      <c r="B1396">
        <v>1994</v>
      </c>
      <c r="C1396" t="s">
        <v>10</v>
      </c>
      <c r="D1396">
        <v>20</v>
      </c>
      <c r="E1396" s="13" t="s">
        <v>12053</v>
      </c>
      <c r="F1396">
        <v>0</v>
      </c>
      <c r="G1396" s="11">
        <v>11657.81</v>
      </c>
      <c r="H1396" t="s">
        <v>12</v>
      </c>
      <c r="I1396" t="s">
        <v>11</v>
      </c>
      <c r="J1396" t="s">
        <v>249</v>
      </c>
    </row>
    <row r="1397" spans="1:10" x14ac:dyDescent="0.3">
      <c r="A1397" t="s">
        <v>1428</v>
      </c>
      <c r="B1397">
        <v>1966</v>
      </c>
      <c r="C1397" t="s">
        <v>10</v>
      </c>
      <c r="D1397">
        <v>6</v>
      </c>
      <c r="E1397" s="13" t="s">
        <v>11484</v>
      </c>
      <c r="F1397">
        <v>0</v>
      </c>
      <c r="G1397" s="11">
        <v>11658.12</v>
      </c>
      <c r="H1397" t="s">
        <v>12</v>
      </c>
      <c r="I1397" t="s">
        <v>16</v>
      </c>
      <c r="J1397" t="s">
        <v>247</v>
      </c>
    </row>
    <row r="1398" spans="1:10" x14ac:dyDescent="0.3">
      <c r="A1398" t="s">
        <v>1429</v>
      </c>
      <c r="B1398">
        <v>1966</v>
      </c>
      <c r="C1398" t="s">
        <v>35</v>
      </c>
      <c r="D1398">
        <v>23</v>
      </c>
      <c r="E1398" s="13" t="s">
        <v>12054</v>
      </c>
      <c r="F1398">
        <v>0</v>
      </c>
      <c r="G1398" s="11">
        <v>11658.38</v>
      </c>
      <c r="H1398" t="s">
        <v>12</v>
      </c>
      <c r="I1398" t="s">
        <v>12</v>
      </c>
      <c r="J1398" t="s">
        <v>247</v>
      </c>
    </row>
    <row r="1399" spans="1:10" x14ac:dyDescent="0.3">
      <c r="A1399" t="s">
        <v>1430</v>
      </c>
      <c r="B1399">
        <v>1966</v>
      </c>
      <c r="C1399" t="s">
        <v>15</v>
      </c>
      <c r="D1399">
        <v>9</v>
      </c>
      <c r="E1399" s="13" t="s">
        <v>12055</v>
      </c>
      <c r="F1399">
        <v>1</v>
      </c>
      <c r="G1399" s="11">
        <v>11674.13</v>
      </c>
      <c r="H1399" t="s">
        <v>12</v>
      </c>
      <c r="I1399" t="s">
        <v>16</v>
      </c>
      <c r="J1399" t="s">
        <v>42</v>
      </c>
    </row>
    <row r="1400" spans="1:10" x14ac:dyDescent="0.3">
      <c r="A1400" t="s">
        <v>1431</v>
      </c>
      <c r="B1400">
        <v>1970</v>
      </c>
      <c r="C1400" t="s">
        <v>30</v>
      </c>
      <c r="D1400">
        <v>1</v>
      </c>
      <c r="E1400" s="13" t="s">
        <v>12056</v>
      </c>
      <c r="F1400">
        <v>0</v>
      </c>
      <c r="G1400" s="11">
        <v>11696.52</v>
      </c>
      <c r="H1400" t="s">
        <v>12</v>
      </c>
      <c r="I1400" t="s">
        <v>16</v>
      </c>
      <c r="J1400" t="s">
        <v>300</v>
      </c>
    </row>
    <row r="1401" spans="1:10" x14ac:dyDescent="0.3">
      <c r="A1401" t="s">
        <v>1432</v>
      </c>
      <c r="B1401">
        <v>1982</v>
      </c>
      <c r="C1401" t="s">
        <v>37</v>
      </c>
      <c r="D1401">
        <v>21</v>
      </c>
      <c r="E1401" s="13" t="s">
        <v>12057</v>
      </c>
      <c r="F1401">
        <v>3</v>
      </c>
      <c r="G1401" s="11">
        <v>11712.97</v>
      </c>
      <c r="H1401" t="s">
        <v>12</v>
      </c>
      <c r="I1401" t="s">
        <v>11</v>
      </c>
      <c r="J1401" t="s">
        <v>300</v>
      </c>
    </row>
    <row r="1402" spans="1:10" x14ac:dyDescent="0.3">
      <c r="A1402" t="s">
        <v>1433</v>
      </c>
      <c r="B1402">
        <v>1969</v>
      </c>
      <c r="C1402" t="s">
        <v>37</v>
      </c>
      <c r="D1402">
        <v>12</v>
      </c>
      <c r="E1402" s="13" t="s">
        <v>12058</v>
      </c>
      <c r="F1402">
        <v>2</v>
      </c>
      <c r="G1402" s="11">
        <v>11729.68</v>
      </c>
      <c r="H1402" t="s">
        <v>12</v>
      </c>
      <c r="I1402" t="s">
        <v>16</v>
      </c>
      <c r="J1402" t="s">
        <v>247</v>
      </c>
    </row>
    <row r="1403" spans="1:10" x14ac:dyDescent="0.3">
      <c r="A1403" t="s">
        <v>1434</v>
      </c>
      <c r="B1403">
        <v>1984</v>
      </c>
      <c r="C1403" t="s">
        <v>15</v>
      </c>
      <c r="D1403">
        <v>26</v>
      </c>
      <c r="E1403" s="13" t="s">
        <v>12059</v>
      </c>
      <c r="F1403">
        <v>3</v>
      </c>
      <c r="G1403" s="11">
        <v>11730.82</v>
      </c>
      <c r="H1403" t="s">
        <v>12</v>
      </c>
      <c r="I1403" t="s">
        <v>12</v>
      </c>
      <c r="J1403" t="s">
        <v>535</v>
      </c>
    </row>
    <row r="1404" spans="1:10" x14ac:dyDescent="0.3">
      <c r="A1404" t="s">
        <v>1435</v>
      </c>
      <c r="B1404">
        <v>1964</v>
      </c>
      <c r="C1404" t="s">
        <v>15</v>
      </c>
      <c r="D1404">
        <v>9</v>
      </c>
      <c r="E1404" s="13" t="s">
        <v>12060</v>
      </c>
      <c r="F1404">
        <v>0</v>
      </c>
      <c r="G1404" s="11">
        <v>11735.88</v>
      </c>
      <c r="H1404" t="s">
        <v>12</v>
      </c>
      <c r="I1404" t="s">
        <v>16</v>
      </c>
      <c r="J1404" t="s">
        <v>23</v>
      </c>
    </row>
    <row r="1405" spans="1:10" x14ac:dyDescent="0.3">
      <c r="A1405" t="s">
        <v>1436</v>
      </c>
      <c r="B1405">
        <v>1988</v>
      </c>
      <c r="C1405" t="s">
        <v>20</v>
      </c>
      <c r="D1405">
        <v>5</v>
      </c>
      <c r="E1405" s="13" t="s">
        <v>12061</v>
      </c>
      <c r="F1405">
        <v>2</v>
      </c>
      <c r="G1405" s="11">
        <v>11737.85</v>
      </c>
      <c r="H1405" t="s">
        <v>12</v>
      </c>
      <c r="I1405" t="s">
        <v>16</v>
      </c>
      <c r="J1405" t="s">
        <v>42</v>
      </c>
    </row>
    <row r="1406" spans="1:10" x14ac:dyDescent="0.3">
      <c r="A1406" t="s">
        <v>1437</v>
      </c>
      <c r="B1406">
        <v>1969</v>
      </c>
      <c r="C1406" t="s">
        <v>15</v>
      </c>
      <c r="D1406">
        <v>12</v>
      </c>
      <c r="E1406" s="13" t="s">
        <v>12062</v>
      </c>
      <c r="F1406">
        <v>3</v>
      </c>
      <c r="G1406" s="11">
        <v>11741.73</v>
      </c>
      <c r="H1406" t="s">
        <v>12</v>
      </c>
      <c r="I1406" t="s">
        <v>16</v>
      </c>
      <c r="J1406" t="s">
        <v>42</v>
      </c>
    </row>
    <row r="1407" spans="1:10" x14ac:dyDescent="0.3">
      <c r="A1407" t="s">
        <v>1438</v>
      </c>
      <c r="B1407">
        <v>1963</v>
      </c>
      <c r="C1407" t="s">
        <v>18</v>
      </c>
      <c r="D1407">
        <v>9</v>
      </c>
      <c r="E1407" s="13" t="s">
        <v>12063</v>
      </c>
      <c r="F1407">
        <v>0</v>
      </c>
      <c r="G1407" s="11">
        <v>11743.3</v>
      </c>
      <c r="H1407" t="s">
        <v>12</v>
      </c>
      <c r="I1407" t="s">
        <v>12</v>
      </c>
      <c r="J1407" t="s">
        <v>13</v>
      </c>
    </row>
    <row r="1408" spans="1:10" x14ac:dyDescent="0.3">
      <c r="A1408" t="s">
        <v>1439</v>
      </c>
      <c r="B1408">
        <v>1964</v>
      </c>
      <c r="C1408" t="s">
        <v>30</v>
      </c>
      <c r="D1408">
        <v>2</v>
      </c>
      <c r="E1408" s="13" t="s">
        <v>12064</v>
      </c>
      <c r="F1408">
        <v>0</v>
      </c>
      <c r="G1408" s="11">
        <v>11743.93</v>
      </c>
      <c r="H1408" t="s">
        <v>12</v>
      </c>
      <c r="I1408" t="s">
        <v>16</v>
      </c>
      <c r="J1408" t="s">
        <v>23</v>
      </c>
    </row>
    <row r="1409" spans="1:10" x14ac:dyDescent="0.3">
      <c r="A1409" t="s">
        <v>1440</v>
      </c>
      <c r="B1409">
        <v>1979</v>
      </c>
      <c r="C1409" t="s">
        <v>15</v>
      </c>
      <c r="D1409">
        <v>6</v>
      </c>
      <c r="E1409" s="13" t="s">
        <v>12040</v>
      </c>
      <c r="F1409">
        <v>2</v>
      </c>
      <c r="G1409" s="11">
        <v>11752.68</v>
      </c>
      <c r="H1409" t="s">
        <v>12</v>
      </c>
      <c r="I1409" t="s">
        <v>16</v>
      </c>
      <c r="J1409" t="s">
        <v>535</v>
      </c>
    </row>
    <row r="1410" spans="1:10" x14ac:dyDescent="0.3">
      <c r="A1410" t="s">
        <v>1441</v>
      </c>
      <c r="B1410">
        <v>1966</v>
      </c>
      <c r="C1410" t="s">
        <v>10</v>
      </c>
      <c r="D1410">
        <v>25</v>
      </c>
      <c r="E1410" s="13" t="s">
        <v>12065</v>
      </c>
      <c r="F1410">
        <v>1</v>
      </c>
      <c r="G1410" s="11">
        <v>11763</v>
      </c>
      <c r="H1410" t="s">
        <v>12</v>
      </c>
      <c r="I1410" t="s">
        <v>12</v>
      </c>
      <c r="J1410" t="s">
        <v>168</v>
      </c>
    </row>
    <row r="1411" spans="1:10" x14ac:dyDescent="0.3">
      <c r="A1411" t="s">
        <v>1442</v>
      </c>
      <c r="B1411">
        <v>1982</v>
      </c>
      <c r="C1411" t="s">
        <v>15</v>
      </c>
      <c r="D1411">
        <v>20</v>
      </c>
      <c r="E1411" s="13" t="s">
        <v>11880</v>
      </c>
      <c r="F1411">
        <v>3</v>
      </c>
      <c r="G1411" s="11">
        <v>11773.06</v>
      </c>
      <c r="H1411" t="s">
        <v>12</v>
      </c>
      <c r="I1411" t="s">
        <v>12</v>
      </c>
      <c r="J1411" t="s">
        <v>535</v>
      </c>
    </row>
    <row r="1412" spans="1:10" x14ac:dyDescent="0.3">
      <c r="A1412" t="s">
        <v>1443</v>
      </c>
      <c r="B1412">
        <v>1965</v>
      </c>
      <c r="C1412" t="s">
        <v>37</v>
      </c>
      <c r="D1412">
        <v>3</v>
      </c>
      <c r="E1412" s="13" t="s">
        <v>12066</v>
      </c>
      <c r="F1412">
        <v>0</v>
      </c>
      <c r="G1412" s="11">
        <v>11830.61</v>
      </c>
      <c r="H1412" t="s">
        <v>12</v>
      </c>
      <c r="I1412" t="s">
        <v>16</v>
      </c>
      <c r="J1412" t="s">
        <v>23</v>
      </c>
    </row>
    <row r="1413" spans="1:10" x14ac:dyDescent="0.3">
      <c r="A1413" t="s">
        <v>1444</v>
      </c>
      <c r="B1413">
        <v>1964</v>
      </c>
      <c r="C1413" t="s">
        <v>18</v>
      </c>
      <c r="D1413">
        <v>27</v>
      </c>
      <c r="E1413" s="13" t="s">
        <v>12067</v>
      </c>
      <c r="F1413">
        <v>0</v>
      </c>
      <c r="G1413" s="11">
        <v>11833.78</v>
      </c>
      <c r="H1413" t="s">
        <v>12</v>
      </c>
      <c r="I1413" t="s">
        <v>12</v>
      </c>
      <c r="J1413" t="s">
        <v>13</v>
      </c>
    </row>
    <row r="1414" spans="1:10" x14ac:dyDescent="0.3">
      <c r="A1414" t="s">
        <v>1445</v>
      </c>
      <c r="B1414">
        <v>1964</v>
      </c>
      <c r="C1414" t="s">
        <v>20</v>
      </c>
      <c r="D1414">
        <v>11</v>
      </c>
      <c r="E1414" s="13" t="s">
        <v>12068</v>
      </c>
      <c r="F1414">
        <v>0</v>
      </c>
      <c r="G1414" s="11">
        <v>11837.16</v>
      </c>
      <c r="H1414" t="s">
        <v>12</v>
      </c>
      <c r="I1414" t="s">
        <v>12</v>
      </c>
      <c r="J1414" t="s">
        <v>42</v>
      </c>
    </row>
    <row r="1415" spans="1:10" x14ac:dyDescent="0.3">
      <c r="A1415" t="s">
        <v>1446</v>
      </c>
      <c r="B1415">
        <v>1965</v>
      </c>
      <c r="C1415" t="s">
        <v>20</v>
      </c>
      <c r="D1415">
        <v>25</v>
      </c>
      <c r="E1415" s="13" t="s">
        <v>12065</v>
      </c>
      <c r="F1415">
        <v>0</v>
      </c>
      <c r="G1415" s="11">
        <v>11840.78</v>
      </c>
      <c r="H1415" t="s">
        <v>12</v>
      </c>
      <c r="I1415" t="s">
        <v>11</v>
      </c>
      <c r="J1415" t="s">
        <v>23</v>
      </c>
    </row>
    <row r="1416" spans="1:10" x14ac:dyDescent="0.3">
      <c r="A1416" t="s">
        <v>1447</v>
      </c>
      <c r="B1416">
        <v>1964</v>
      </c>
      <c r="C1416" t="s">
        <v>10</v>
      </c>
      <c r="D1416">
        <v>11</v>
      </c>
      <c r="E1416" s="13" t="s">
        <v>12069</v>
      </c>
      <c r="F1416">
        <v>0</v>
      </c>
      <c r="G1416" s="11">
        <v>11842.44</v>
      </c>
      <c r="H1416" t="s">
        <v>12</v>
      </c>
      <c r="I1416" t="s">
        <v>11</v>
      </c>
      <c r="J1416" t="s">
        <v>42</v>
      </c>
    </row>
    <row r="1417" spans="1:10" x14ac:dyDescent="0.3">
      <c r="A1417" t="s">
        <v>1448</v>
      </c>
      <c r="B1417">
        <v>1965</v>
      </c>
      <c r="C1417" t="s">
        <v>15</v>
      </c>
      <c r="D1417">
        <v>10</v>
      </c>
      <c r="E1417" s="13" t="s">
        <v>12070</v>
      </c>
      <c r="F1417">
        <v>0</v>
      </c>
      <c r="G1417" s="11">
        <v>11842.62</v>
      </c>
      <c r="H1417" t="s">
        <v>12</v>
      </c>
      <c r="I1417" t="s">
        <v>12</v>
      </c>
      <c r="J1417" t="s">
        <v>23</v>
      </c>
    </row>
    <row r="1418" spans="1:10" x14ac:dyDescent="0.3">
      <c r="A1418" t="s">
        <v>1449</v>
      </c>
      <c r="B1418">
        <v>1964</v>
      </c>
      <c r="C1418" t="s">
        <v>18</v>
      </c>
      <c r="D1418">
        <v>27</v>
      </c>
      <c r="E1418" s="13" t="s">
        <v>12071</v>
      </c>
      <c r="F1418">
        <v>0</v>
      </c>
      <c r="G1418" s="11">
        <v>11848.14</v>
      </c>
      <c r="H1418" t="s">
        <v>12</v>
      </c>
      <c r="I1418" t="s">
        <v>11</v>
      </c>
      <c r="J1418" t="s">
        <v>42</v>
      </c>
    </row>
    <row r="1419" spans="1:10" x14ac:dyDescent="0.3">
      <c r="A1419" t="s">
        <v>1450</v>
      </c>
      <c r="B1419">
        <v>1964</v>
      </c>
      <c r="C1419" t="s">
        <v>20</v>
      </c>
      <c r="D1419">
        <v>29</v>
      </c>
      <c r="E1419" s="13" t="s">
        <v>12072</v>
      </c>
      <c r="F1419">
        <v>0</v>
      </c>
      <c r="G1419" s="11">
        <v>11856.41</v>
      </c>
      <c r="H1419" t="s">
        <v>12</v>
      </c>
      <c r="I1419" t="s">
        <v>11</v>
      </c>
      <c r="J1419" t="s">
        <v>13</v>
      </c>
    </row>
    <row r="1420" spans="1:10" x14ac:dyDescent="0.3">
      <c r="A1420" t="s">
        <v>1451</v>
      </c>
      <c r="B1420">
        <v>1974</v>
      </c>
      <c r="C1420" t="s">
        <v>10</v>
      </c>
      <c r="D1420">
        <v>7</v>
      </c>
      <c r="E1420" s="13" t="s">
        <v>12073</v>
      </c>
      <c r="F1420">
        <v>0</v>
      </c>
      <c r="G1420" s="11">
        <v>11858.56</v>
      </c>
      <c r="H1420" t="s">
        <v>12</v>
      </c>
      <c r="I1420" t="s">
        <v>12</v>
      </c>
      <c r="J1420" t="s">
        <v>42</v>
      </c>
    </row>
    <row r="1421" spans="1:10" x14ac:dyDescent="0.3">
      <c r="A1421" t="s">
        <v>1452</v>
      </c>
      <c r="B1421">
        <v>1967</v>
      </c>
      <c r="C1421" t="s">
        <v>35</v>
      </c>
      <c r="D1421">
        <v>24</v>
      </c>
      <c r="E1421" s="13" t="s">
        <v>10817</v>
      </c>
      <c r="F1421">
        <v>1</v>
      </c>
      <c r="G1421" s="11">
        <v>11879.1</v>
      </c>
      <c r="H1421" t="s">
        <v>12</v>
      </c>
      <c r="I1421" t="s">
        <v>12</v>
      </c>
      <c r="J1421" t="s">
        <v>247</v>
      </c>
    </row>
    <row r="1422" spans="1:10" x14ac:dyDescent="0.3">
      <c r="A1422" t="s">
        <v>1453</v>
      </c>
      <c r="B1422">
        <v>1967</v>
      </c>
      <c r="C1422" t="s">
        <v>10</v>
      </c>
      <c r="D1422">
        <v>14</v>
      </c>
      <c r="E1422" s="13" t="s">
        <v>12074</v>
      </c>
      <c r="F1422">
        <v>2</v>
      </c>
      <c r="G1422" s="11">
        <v>11881.36</v>
      </c>
      <c r="H1422" t="s">
        <v>12</v>
      </c>
      <c r="I1422" t="s">
        <v>11</v>
      </c>
      <c r="J1422" t="s">
        <v>42</v>
      </c>
    </row>
    <row r="1423" spans="1:10" x14ac:dyDescent="0.3">
      <c r="A1423" t="s">
        <v>1454</v>
      </c>
      <c r="B1423">
        <v>1967</v>
      </c>
      <c r="C1423" t="s">
        <v>37</v>
      </c>
      <c r="D1423">
        <v>29</v>
      </c>
      <c r="E1423" s="13" t="s">
        <v>12075</v>
      </c>
      <c r="F1423">
        <v>2</v>
      </c>
      <c r="G1423" s="11">
        <v>11881.97</v>
      </c>
      <c r="H1423" t="s">
        <v>12</v>
      </c>
      <c r="I1423" t="s">
        <v>16</v>
      </c>
      <c r="J1423" t="s">
        <v>13</v>
      </c>
    </row>
    <row r="1424" spans="1:10" x14ac:dyDescent="0.3">
      <c r="A1424" t="s">
        <v>1455</v>
      </c>
      <c r="B1424">
        <v>2004</v>
      </c>
      <c r="C1424" t="s">
        <v>18</v>
      </c>
      <c r="D1424">
        <v>2</v>
      </c>
      <c r="E1424" s="13" t="s">
        <v>12076</v>
      </c>
      <c r="F1424">
        <v>2</v>
      </c>
      <c r="G1424" s="11">
        <v>11884.05</v>
      </c>
      <c r="H1424" t="s">
        <v>12</v>
      </c>
      <c r="I1424" t="s">
        <v>12</v>
      </c>
      <c r="J1424" t="s">
        <v>13</v>
      </c>
    </row>
    <row r="1425" spans="1:10" x14ac:dyDescent="0.3">
      <c r="A1425" t="s">
        <v>1456</v>
      </c>
      <c r="B1425">
        <v>1964</v>
      </c>
      <c r="C1425" t="s">
        <v>15</v>
      </c>
      <c r="D1425">
        <v>19</v>
      </c>
      <c r="E1425" s="13" t="s">
        <v>12077</v>
      </c>
      <c r="F1425">
        <v>0</v>
      </c>
      <c r="G1425" s="11">
        <v>11918.2</v>
      </c>
      <c r="H1425" t="s">
        <v>12</v>
      </c>
      <c r="I1425" t="s">
        <v>16</v>
      </c>
      <c r="J1425" t="s">
        <v>300</v>
      </c>
    </row>
    <row r="1426" spans="1:10" x14ac:dyDescent="0.3">
      <c r="A1426" t="s">
        <v>1457</v>
      </c>
      <c r="B1426">
        <v>1964</v>
      </c>
      <c r="C1426" t="s">
        <v>30</v>
      </c>
      <c r="D1426">
        <v>20</v>
      </c>
      <c r="E1426" s="13" t="s">
        <v>12078</v>
      </c>
      <c r="F1426">
        <v>0</v>
      </c>
      <c r="G1426" s="11">
        <v>11931.13</v>
      </c>
      <c r="H1426" t="s">
        <v>12</v>
      </c>
      <c r="I1426" t="s">
        <v>16</v>
      </c>
      <c r="J1426" t="s">
        <v>166</v>
      </c>
    </row>
    <row r="1427" spans="1:10" x14ac:dyDescent="0.3">
      <c r="A1427" t="s">
        <v>1458</v>
      </c>
      <c r="B1427">
        <v>1964</v>
      </c>
      <c r="C1427" t="s">
        <v>35</v>
      </c>
      <c r="D1427">
        <v>2</v>
      </c>
      <c r="E1427" s="13" t="s">
        <v>12079</v>
      </c>
      <c r="F1427">
        <v>0</v>
      </c>
      <c r="G1427" s="11">
        <v>11938.26</v>
      </c>
      <c r="H1427" t="s">
        <v>12</v>
      </c>
      <c r="I1427" t="s">
        <v>12</v>
      </c>
      <c r="J1427" t="s">
        <v>166</v>
      </c>
    </row>
    <row r="1428" spans="1:10" x14ac:dyDescent="0.3">
      <c r="A1428" t="s">
        <v>1459</v>
      </c>
      <c r="B1428">
        <v>1991</v>
      </c>
      <c r="C1428" t="s">
        <v>37</v>
      </c>
      <c r="D1428">
        <v>19</v>
      </c>
      <c r="E1428" s="13" t="s">
        <v>12069</v>
      </c>
      <c r="F1428">
        <v>3</v>
      </c>
      <c r="G1428" s="11">
        <v>11941.83</v>
      </c>
      <c r="H1428" t="s">
        <v>12</v>
      </c>
      <c r="I1428" t="s">
        <v>16</v>
      </c>
      <c r="J1428" t="s">
        <v>249</v>
      </c>
    </row>
    <row r="1429" spans="1:10" x14ac:dyDescent="0.3">
      <c r="A1429" t="s">
        <v>1460</v>
      </c>
      <c r="B1429">
        <v>1964</v>
      </c>
      <c r="C1429" t="s">
        <v>30</v>
      </c>
      <c r="D1429">
        <v>25</v>
      </c>
      <c r="E1429" s="13" t="s">
        <v>12080</v>
      </c>
      <c r="F1429">
        <v>0</v>
      </c>
      <c r="G1429" s="11">
        <v>11944.59</v>
      </c>
      <c r="H1429" t="s">
        <v>12</v>
      </c>
      <c r="I1429" t="s">
        <v>11</v>
      </c>
      <c r="J1429" t="s">
        <v>168</v>
      </c>
    </row>
    <row r="1430" spans="1:10" x14ac:dyDescent="0.3">
      <c r="A1430" t="s">
        <v>1461</v>
      </c>
      <c r="B1430">
        <v>1965</v>
      </c>
      <c r="C1430" t="s">
        <v>15</v>
      </c>
      <c r="D1430">
        <v>1</v>
      </c>
      <c r="E1430" s="13" t="s">
        <v>12081</v>
      </c>
      <c r="F1430">
        <v>1</v>
      </c>
      <c r="G1430" s="11">
        <v>11945.13</v>
      </c>
      <c r="H1430" t="s">
        <v>12</v>
      </c>
      <c r="I1430" t="s">
        <v>11</v>
      </c>
      <c r="J1430" t="s">
        <v>23</v>
      </c>
    </row>
    <row r="1431" spans="1:10" x14ac:dyDescent="0.3">
      <c r="A1431" t="s">
        <v>1462</v>
      </c>
      <c r="B1431">
        <v>1964</v>
      </c>
      <c r="C1431" t="s">
        <v>20</v>
      </c>
      <c r="D1431">
        <v>29</v>
      </c>
      <c r="E1431" s="13" t="s">
        <v>12082</v>
      </c>
      <c r="F1431">
        <v>1</v>
      </c>
      <c r="G1431" s="11">
        <v>11946.63</v>
      </c>
      <c r="H1431" t="s">
        <v>12</v>
      </c>
      <c r="I1431" t="s">
        <v>11</v>
      </c>
      <c r="J1431" t="s">
        <v>13</v>
      </c>
    </row>
    <row r="1432" spans="1:10" x14ac:dyDescent="0.3">
      <c r="A1432" t="s">
        <v>1463</v>
      </c>
      <c r="B1432">
        <v>1967</v>
      </c>
      <c r="C1432" t="s">
        <v>30</v>
      </c>
      <c r="D1432">
        <v>22</v>
      </c>
      <c r="E1432" s="13" t="s">
        <v>12083</v>
      </c>
      <c r="F1432">
        <v>3</v>
      </c>
      <c r="G1432" s="11">
        <v>11987.17</v>
      </c>
      <c r="H1432" t="s">
        <v>12</v>
      </c>
      <c r="I1432" t="s">
        <v>12</v>
      </c>
      <c r="J1432" t="s">
        <v>13</v>
      </c>
    </row>
    <row r="1433" spans="1:10" x14ac:dyDescent="0.3">
      <c r="A1433" t="s">
        <v>1464</v>
      </c>
      <c r="B1433">
        <v>1983</v>
      </c>
      <c r="C1433" t="s">
        <v>10</v>
      </c>
      <c r="D1433">
        <v>4</v>
      </c>
      <c r="E1433" s="13" t="s">
        <v>12084</v>
      </c>
      <c r="F1433">
        <v>3</v>
      </c>
      <c r="G1433" s="11">
        <v>11987.68</v>
      </c>
      <c r="H1433" t="s">
        <v>12</v>
      </c>
      <c r="I1433" t="s">
        <v>11</v>
      </c>
      <c r="J1433" t="s">
        <v>535</v>
      </c>
    </row>
    <row r="1434" spans="1:10" x14ac:dyDescent="0.3">
      <c r="A1434" t="s">
        <v>1465</v>
      </c>
      <c r="B1434">
        <v>1993</v>
      </c>
      <c r="C1434" t="s">
        <v>30</v>
      </c>
      <c r="D1434">
        <v>12</v>
      </c>
      <c r="E1434" s="13" t="s">
        <v>12085</v>
      </c>
      <c r="F1434">
        <v>0</v>
      </c>
      <c r="G1434" s="11">
        <v>11994.89</v>
      </c>
      <c r="H1434" t="s">
        <v>12</v>
      </c>
      <c r="I1434" t="s">
        <v>11</v>
      </c>
      <c r="J1434" t="s">
        <v>23</v>
      </c>
    </row>
    <row r="1435" spans="1:10" x14ac:dyDescent="0.3">
      <c r="A1435" t="s">
        <v>1466</v>
      </c>
      <c r="B1435">
        <v>1982</v>
      </c>
      <c r="C1435" t="s">
        <v>37</v>
      </c>
      <c r="D1435">
        <v>17</v>
      </c>
      <c r="E1435" s="13" t="s">
        <v>12086</v>
      </c>
      <c r="F1435">
        <v>3</v>
      </c>
      <c r="G1435" s="11">
        <v>12001.29</v>
      </c>
      <c r="H1435" t="s">
        <v>12</v>
      </c>
      <c r="I1435" t="s">
        <v>12</v>
      </c>
      <c r="J1435" t="s">
        <v>300</v>
      </c>
    </row>
    <row r="1436" spans="1:10" x14ac:dyDescent="0.3">
      <c r="A1436" t="s">
        <v>1467</v>
      </c>
      <c r="B1436">
        <v>1965</v>
      </c>
      <c r="C1436" t="s">
        <v>18</v>
      </c>
      <c r="D1436">
        <v>9</v>
      </c>
      <c r="E1436" s="13" t="s">
        <v>12087</v>
      </c>
      <c r="F1436">
        <v>0</v>
      </c>
      <c r="G1436" s="11">
        <v>12029.29</v>
      </c>
      <c r="H1436" t="s">
        <v>12</v>
      </c>
      <c r="I1436" t="s">
        <v>11</v>
      </c>
      <c r="J1436" t="s">
        <v>247</v>
      </c>
    </row>
    <row r="1437" spans="1:10" x14ac:dyDescent="0.3">
      <c r="A1437" t="s">
        <v>1468</v>
      </c>
      <c r="B1437">
        <v>1965</v>
      </c>
      <c r="C1437" t="s">
        <v>37</v>
      </c>
      <c r="D1437">
        <v>29</v>
      </c>
      <c r="E1437" s="13" t="s">
        <v>12088</v>
      </c>
      <c r="F1437">
        <v>1</v>
      </c>
      <c r="G1437" s="11">
        <v>12032.33</v>
      </c>
      <c r="H1437" t="s">
        <v>12</v>
      </c>
      <c r="I1437" t="s">
        <v>16</v>
      </c>
      <c r="J1437" t="s">
        <v>42</v>
      </c>
    </row>
    <row r="1438" spans="1:10" x14ac:dyDescent="0.3">
      <c r="A1438" t="s">
        <v>1469</v>
      </c>
      <c r="B1438">
        <v>1979</v>
      </c>
      <c r="C1438" t="s">
        <v>37</v>
      </c>
      <c r="D1438">
        <v>16</v>
      </c>
      <c r="E1438" s="13" t="s">
        <v>12089</v>
      </c>
      <c r="F1438">
        <v>2</v>
      </c>
      <c r="G1438" s="11">
        <v>12035.18</v>
      </c>
      <c r="H1438" t="s">
        <v>12</v>
      </c>
      <c r="I1438" t="s">
        <v>12</v>
      </c>
      <c r="J1438" t="s">
        <v>300</v>
      </c>
    </row>
    <row r="1439" spans="1:10" x14ac:dyDescent="0.3">
      <c r="A1439" t="s">
        <v>1470</v>
      </c>
      <c r="B1439">
        <v>1966</v>
      </c>
      <c r="C1439" t="s">
        <v>15</v>
      </c>
      <c r="D1439">
        <v>24</v>
      </c>
      <c r="E1439" s="13" t="s">
        <v>12090</v>
      </c>
      <c r="F1439">
        <v>1</v>
      </c>
      <c r="G1439" s="11">
        <v>12044.34</v>
      </c>
      <c r="H1439" t="s">
        <v>12</v>
      </c>
      <c r="I1439" t="s">
        <v>16</v>
      </c>
      <c r="J1439" t="s">
        <v>23</v>
      </c>
    </row>
    <row r="1440" spans="1:10" x14ac:dyDescent="0.3">
      <c r="A1440" t="s">
        <v>1471</v>
      </c>
      <c r="B1440">
        <v>1986</v>
      </c>
      <c r="C1440" t="s">
        <v>20</v>
      </c>
      <c r="D1440">
        <v>7</v>
      </c>
      <c r="E1440" s="13" t="s">
        <v>12091</v>
      </c>
      <c r="F1440">
        <v>3</v>
      </c>
      <c r="G1440" s="11">
        <v>12048.13</v>
      </c>
      <c r="H1440" t="s">
        <v>12</v>
      </c>
      <c r="I1440" t="s">
        <v>11</v>
      </c>
      <c r="J1440" t="s">
        <v>535</v>
      </c>
    </row>
    <row r="1441" spans="1:10" x14ac:dyDescent="0.3">
      <c r="A1441" t="s">
        <v>1472</v>
      </c>
      <c r="B1441">
        <v>1984</v>
      </c>
      <c r="C1441" t="s">
        <v>20</v>
      </c>
      <c r="D1441">
        <v>2</v>
      </c>
      <c r="E1441" s="13" t="s">
        <v>12092</v>
      </c>
      <c r="F1441">
        <v>3</v>
      </c>
      <c r="G1441" s="11">
        <v>12091.34</v>
      </c>
      <c r="H1441" t="s">
        <v>12</v>
      </c>
      <c r="I1441" t="s">
        <v>11</v>
      </c>
      <c r="J1441" t="s">
        <v>632</v>
      </c>
    </row>
    <row r="1442" spans="1:10" x14ac:dyDescent="0.3">
      <c r="A1442" t="s">
        <v>1473</v>
      </c>
      <c r="B1442">
        <v>1968</v>
      </c>
      <c r="C1442" t="s">
        <v>18</v>
      </c>
      <c r="D1442">
        <v>21</v>
      </c>
      <c r="E1442" s="13" t="s">
        <v>12093</v>
      </c>
      <c r="F1442">
        <v>3</v>
      </c>
      <c r="G1442" s="11">
        <v>12094.48</v>
      </c>
      <c r="H1442" t="s">
        <v>12</v>
      </c>
      <c r="I1442" t="s">
        <v>12</v>
      </c>
      <c r="J1442" t="s">
        <v>42</v>
      </c>
    </row>
    <row r="1443" spans="1:10" x14ac:dyDescent="0.3">
      <c r="A1443" t="s">
        <v>1474</v>
      </c>
      <c r="B1443">
        <v>1968</v>
      </c>
      <c r="C1443" t="s">
        <v>30</v>
      </c>
      <c r="D1443">
        <v>9</v>
      </c>
      <c r="E1443" s="13" t="s">
        <v>12094</v>
      </c>
      <c r="F1443">
        <v>2</v>
      </c>
      <c r="G1443" s="11">
        <v>12096.65</v>
      </c>
      <c r="H1443" t="s">
        <v>12</v>
      </c>
      <c r="I1443" t="s">
        <v>16</v>
      </c>
      <c r="J1443" t="s">
        <v>247</v>
      </c>
    </row>
    <row r="1444" spans="1:10" x14ac:dyDescent="0.3">
      <c r="A1444" t="s">
        <v>1475</v>
      </c>
      <c r="B1444">
        <v>1968</v>
      </c>
      <c r="C1444" t="s">
        <v>37</v>
      </c>
      <c r="D1444">
        <v>25</v>
      </c>
      <c r="E1444" s="13" t="s">
        <v>12095</v>
      </c>
      <c r="F1444">
        <v>3</v>
      </c>
      <c r="G1444" s="11">
        <v>12105.32</v>
      </c>
      <c r="H1444" t="s">
        <v>12</v>
      </c>
      <c r="I1444" t="s">
        <v>12</v>
      </c>
      <c r="J1444" t="s">
        <v>42</v>
      </c>
    </row>
    <row r="1445" spans="1:10" x14ac:dyDescent="0.3">
      <c r="A1445" t="s">
        <v>1476</v>
      </c>
      <c r="B1445">
        <v>1963</v>
      </c>
      <c r="C1445" t="s">
        <v>10</v>
      </c>
      <c r="D1445">
        <v>20</v>
      </c>
      <c r="E1445" s="13" t="s">
        <v>12096</v>
      </c>
      <c r="F1445">
        <v>0</v>
      </c>
      <c r="G1445" s="11">
        <v>12124.99</v>
      </c>
      <c r="H1445" t="s">
        <v>12</v>
      </c>
      <c r="I1445" t="s">
        <v>16</v>
      </c>
      <c r="J1445" t="s">
        <v>23</v>
      </c>
    </row>
    <row r="1446" spans="1:10" x14ac:dyDescent="0.3">
      <c r="A1446" t="s">
        <v>1477</v>
      </c>
      <c r="B1446">
        <v>1963</v>
      </c>
      <c r="C1446" t="s">
        <v>18</v>
      </c>
      <c r="D1446">
        <v>4</v>
      </c>
      <c r="E1446" s="13" t="s">
        <v>12097</v>
      </c>
      <c r="F1446">
        <v>0</v>
      </c>
      <c r="G1446" s="11">
        <v>12129.61</v>
      </c>
      <c r="H1446" t="s">
        <v>12</v>
      </c>
      <c r="I1446" t="s">
        <v>16</v>
      </c>
      <c r="J1446" t="s">
        <v>23</v>
      </c>
    </row>
    <row r="1447" spans="1:10" x14ac:dyDescent="0.3">
      <c r="A1447" t="s">
        <v>1478</v>
      </c>
      <c r="B1447">
        <v>1991</v>
      </c>
      <c r="C1447" t="s">
        <v>15</v>
      </c>
      <c r="D1447">
        <v>6</v>
      </c>
      <c r="E1447" s="13" t="s">
        <v>12098</v>
      </c>
      <c r="F1447">
        <v>3</v>
      </c>
      <c r="G1447" s="11">
        <v>12130.8</v>
      </c>
      <c r="H1447" t="s">
        <v>12</v>
      </c>
      <c r="I1447" t="s">
        <v>12</v>
      </c>
      <c r="J1447" t="s">
        <v>535</v>
      </c>
    </row>
    <row r="1448" spans="1:10" x14ac:dyDescent="0.3">
      <c r="A1448" t="s">
        <v>1479</v>
      </c>
      <c r="B1448">
        <v>1974</v>
      </c>
      <c r="C1448" t="s">
        <v>20</v>
      </c>
      <c r="D1448">
        <v>16</v>
      </c>
      <c r="E1448" s="13" t="s">
        <v>12099</v>
      </c>
      <c r="F1448">
        <v>0</v>
      </c>
      <c r="G1448" s="11">
        <v>12137.6</v>
      </c>
      <c r="H1448" t="s">
        <v>12</v>
      </c>
      <c r="I1448" t="s">
        <v>12</v>
      </c>
      <c r="J1448" t="s">
        <v>23</v>
      </c>
    </row>
    <row r="1449" spans="1:10" x14ac:dyDescent="0.3">
      <c r="A1449" t="s">
        <v>1480</v>
      </c>
      <c r="B1449">
        <v>1962</v>
      </c>
      <c r="C1449" t="s">
        <v>15</v>
      </c>
      <c r="D1449">
        <v>4</v>
      </c>
      <c r="E1449" s="13" t="s">
        <v>11312</v>
      </c>
      <c r="F1449">
        <v>0</v>
      </c>
      <c r="G1449" s="11">
        <v>12142.58</v>
      </c>
      <c r="H1449" t="s">
        <v>12</v>
      </c>
      <c r="I1449" t="s">
        <v>11</v>
      </c>
      <c r="J1449" t="s">
        <v>13</v>
      </c>
    </row>
    <row r="1450" spans="1:10" x14ac:dyDescent="0.3">
      <c r="A1450" t="s">
        <v>1481</v>
      </c>
      <c r="B1450">
        <v>1962</v>
      </c>
      <c r="C1450" t="s">
        <v>20</v>
      </c>
      <c r="D1450">
        <v>15</v>
      </c>
      <c r="E1450" s="13" t="s">
        <v>12100</v>
      </c>
      <c r="F1450">
        <v>0</v>
      </c>
      <c r="G1450" s="11">
        <v>12146.97</v>
      </c>
      <c r="H1450" t="s">
        <v>12</v>
      </c>
      <c r="I1450" t="s">
        <v>12</v>
      </c>
      <c r="J1450" t="s">
        <v>42</v>
      </c>
    </row>
    <row r="1451" spans="1:10" x14ac:dyDescent="0.3">
      <c r="A1451" t="s">
        <v>1482</v>
      </c>
      <c r="B1451">
        <v>1987</v>
      </c>
      <c r="C1451" t="s">
        <v>37</v>
      </c>
      <c r="D1451">
        <v>5</v>
      </c>
      <c r="E1451" s="13" t="s">
        <v>12101</v>
      </c>
      <c r="F1451">
        <v>3</v>
      </c>
      <c r="G1451" s="11">
        <v>12148.2</v>
      </c>
      <c r="H1451" t="s">
        <v>12</v>
      </c>
      <c r="I1451" t="s">
        <v>12</v>
      </c>
      <c r="J1451" t="s">
        <v>23</v>
      </c>
    </row>
    <row r="1452" spans="1:10" x14ac:dyDescent="0.3">
      <c r="A1452" t="s">
        <v>1483</v>
      </c>
      <c r="B1452">
        <v>1991</v>
      </c>
      <c r="C1452" t="s">
        <v>35</v>
      </c>
      <c r="D1452">
        <v>29</v>
      </c>
      <c r="E1452" s="13" t="s">
        <v>12102</v>
      </c>
      <c r="F1452">
        <v>3</v>
      </c>
      <c r="G1452" s="11">
        <v>12198.64</v>
      </c>
      <c r="H1452" t="s">
        <v>12</v>
      </c>
      <c r="I1452" t="s">
        <v>12</v>
      </c>
      <c r="J1452" t="s">
        <v>535</v>
      </c>
    </row>
    <row r="1453" spans="1:10" x14ac:dyDescent="0.3">
      <c r="A1453" t="s">
        <v>1484</v>
      </c>
      <c r="B1453">
        <v>1977</v>
      </c>
      <c r="C1453" t="s">
        <v>35</v>
      </c>
      <c r="D1453">
        <v>14</v>
      </c>
      <c r="E1453" s="13" t="s">
        <v>12103</v>
      </c>
      <c r="F1453">
        <v>2</v>
      </c>
      <c r="G1453" s="11">
        <v>12218.7</v>
      </c>
      <c r="H1453" t="s">
        <v>12</v>
      </c>
      <c r="I1453" t="s">
        <v>16</v>
      </c>
      <c r="J1453" t="s">
        <v>23</v>
      </c>
    </row>
    <row r="1454" spans="1:10" x14ac:dyDescent="0.3">
      <c r="A1454" t="s">
        <v>1485</v>
      </c>
      <c r="B1454">
        <v>1964</v>
      </c>
      <c r="C1454" t="s">
        <v>10</v>
      </c>
      <c r="D1454">
        <v>20</v>
      </c>
      <c r="E1454" s="13" t="s">
        <v>12104</v>
      </c>
      <c r="F1454">
        <v>0</v>
      </c>
      <c r="G1454" s="11">
        <v>12222.9</v>
      </c>
      <c r="H1454" t="s">
        <v>12</v>
      </c>
      <c r="I1454" t="s">
        <v>11</v>
      </c>
      <c r="J1454" t="s">
        <v>23</v>
      </c>
    </row>
    <row r="1455" spans="1:10" x14ac:dyDescent="0.3">
      <c r="A1455" t="s">
        <v>1486</v>
      </c>
      <c r="B1455">
        <v>1964</v>
      </c>
      <c r="C1455" t="s">
        <v>10</v>
      </c>
      <c r="D1455">
        <v>2</v>
      </c>
      <c r="E1455" s="13" t="s">
        <v>12105</v>
      </c>
      <c r="F1455">
        <v>0</v>
      </c>
      <c r="G1455" s="11">
        <v>12224.35</v>
      </c>
      <c r="H1455" t="s">
        <v>12</v>
      </c>
      <c r="I1455" t="s">
        <v>16</v>
      </c>
      <c r="J1455" t="s">
        <v>23</v>
      </c>
    </row>
    <row r="1456" spans="1:10" x14ac:dyDescent="0.3">
      <c r="A1456" t="s">
        <v>1487</v>
      </c>
      <c r="B1456">
        <v>1964</v>
      </c>
      <c r="C1456" t="s">
        <v>18</v>
      </c>
      <c r="D1456">
        <v>24</v>
      </c>
      <c r="E1456" s="13" t="s">
        <v>12106</v>
      </c>
      <c r="F1456">
        <v>0</v>
      </c>
      <c r="G1456" s="11">
        <v>12231.61</v>
      </c>
      <c r="H1456" t="s">
        <v>12</v>
      </c>
      <c r="I1456" t="s">
        <v>12</v>
      </c>
      <c r="J1456" t="s">
        <v>23</v>
      </c>
    </row>
    <row r="1457" spans="1:10" x14ac:dyDescent="0.3">
      <c r="A1457" t="s">
        <v>1488</v>
      </c>
      <c r="B1457">
        <v>1963</v>
      </c>
      <c r="C1457" t="s">
        <v>10</v>
      </c>
      <c r="D1457">
        <v>19</v>
      </c>
      <c r="E1457" s="13" t="s">
        <v>12107</v>
      </c>
      <c r="F1457">
        <v>0</v>
      </c>
      <c r="G1457" s="11">
        <v>12233.83</v>
      </c>
      <c r="H1457" t="s">
        <v>12</v>
      </c>
      <c r="I1457" t="s">
        <v>16</v>
      </c>
      <c r="J1457" t="s">
        <v>42</v>
      </c>
    </row>
    <row r="1458" spans="1:10" x14ac:dyDescent="0.3">
      <c r="A1458" t="s">
        <v>1489</v>
      </c>
      <c r="B1458">
        <v>1964</v>
      </c>
      <c r="C1458" t="s">
        <v>37</v>
      </c>
      <c r="D1458">
        <v>15</v>
      </c>
      <c r="E1458" s="13" t="s">
        <v>12108</v>
      </c>
      <c r="F1458">
        <v>0</v>
      </c>
      <c r="G1458" s="11">
        <v>12235.84</v>
      </c>
      <c r="H1458" t="s">
        <v>12</v>
      </c>
      <c r="I1458" t="s">
        <v>12</v>
      </c>
      <c r="J1458" t="s">
        <v>23</v>
      </c>
    </row>
    <row r="1459" spans="1:10" x14ac:dyDescent="0.3">
      <c r="A1459" t="s">
        <v>1490</v>
      </c>
      <c r="B1459">
        <v>1966</v>
      </c>
      <c r="C1459" t="s">
        <v>10</v>
      </c>
      <c r="D1459">
        <v>29</v>
      </c>
      <c r="E1459" s="13" t="s">
        <v>12109</v>
      </c>
      <c r="F1459">
        <v>0</v>
      </c>
      <c r="G1459" s="11">
        <v>12237.73</v>
      </c>
      <c r="H1459" t="s">
        <v>12</v>
      </c>
      <c r="I1459" t="s">
        <v>12</v>
      </c>
      <c r="J1459" t="s">
        <v>23</v>
      </c>
    </row>
    <row r="1460" spans="1:10" x14ac:dyDescent="0.3">
      <c r="A1460" t="s">
        <v>1491</v>
      </c>
      <c r="B1460">
        <v>1963</v>
      </c>
      <c r="C1460" t="s">
        <v>10</v>
      </c>
      <c r="D1460">
        <v>17</v>
      </c>
      <c r="E1460" s="13" t="s">
        <v>12110</v>
      </c>
      <c r="F1460">
        <v>0</v>
      </c>
      <c r="G1460" s="11">
        <v>12244.53</v>
      </c>
      <c r="H1460" t="s">
        <v>12</v>
      </c>
      <c r="I1460" t="s">
        <v>16</v>
      </c>
      <c r="J1460" t="s">
        <v>13</v>
      </c>
    </row>
    <row r="1461" spans="1:10" x14ac:dyDescent="0.3">
      <c r="A1461" t="s">
        <v>1492</v>
      </c>
      <c r="B1461">
        <v>1974</v>
      </c>
      <c r="C1461" t="s">
        <v>18</v>
      </c>
      <c r="D1461">
        <v>23</v>
      </c>
      <c r="E1461" s="13" t="s">
        <v>12111</v>
      </c>
      <c r="F1461">
        <v>0</v>
      </c>
      <c r="G1461" s="11">
        <v>12245.17</v>
      </c>
      <c r="H1461" t="s">
        <v>12</v>
      </c>
      <c r="I1461" t="s">
        <v>16</v>
      </c>
      <c r="J1461" t="s">
        <v>23</v>
      </c>
    </row>
    <row r="1462" spans="1:10" x14ac:dyDescent="0.3">
      <c r="A1462" t="s">
        <v>1493</v>
      </c>
      <c r="B1462">
        <v>1989</v>
      </c>
      <c r="C1462" t="s">
        <v>15</v>
      </c>
      <c r="D1462">
        <v>23</v>
      </c>
      <c r="E1462" s="13" t="s">
        <v>12112</v>
      </c>
      <c r="F1462">
        <v>3</v>
      </c>
      <c r="G1462" s="11">
        <v>12254.44</v>
      </c>
      <c r="H1462" t="s">
        <v>12</v>
      </c>
      <c r="I1462" t="s">
        <v>12</v>
      </c>
      <c r="J1462" t="s">
        <v>535</v>
      </c>
    </row>
    <row r="1463" spans="1:10" x14ac:dyDescent="0.3">
      <c r="A1463" t="s">
        <v>1494</v>
      </c>
      <c r="B1463">
        <v>1986</v>
      </c>
      <c r="C1463" t="s">
        <v>35</v>
      </c>
      <c r="D1463">
        <v>13</v>
      </c>
      <c r="E1463" s="13" t="s">
        <v>12113</v>
      </c>
      <c r="F1463">
        <v>3</v>
      </c>
      <c r="G1463" s="11">
        <v>12255.04</v>
      </c>
      <c r="H1463" t="s">
        <v>12</v>
      </c>
      <c r="I1463" t="s">
        <v>11</v>
      </c>
      <c r="J1463" t="s">
        <v>535</v>
      </c>
    </row>
    <row r="1464" spans="1:10" x14ac:dyDescent="0.3">
      <c r="A1464" t="s">
        <v>1495</v>
      </c>
      <c r="B1464">
        <v>1966</v>
      </c>
      <c r="C1464" t="s">
        <v>30</v>
      </c>
      <c r="D1464">
        <v>6</v>
      </c>
      <c r="E1464" s="13" t="s">
        <v>12114</v>
      </c>
      <c r="F1464">
        <v>2</v>
      </c>
      <c r="G1464" s="11">
        <v>12265.51</v>
      </c>
      <c r="H1464" t="s">
        <v>12</v>
      </c>
      <c r="I1464" t="s">
        <v>12</v>
      </c>
      <c r="J1464" t="s">
        <v>13</v>
      </c>
    </row>
    <row r="1465" spans="1:10" x14ac:dyDescent="0.3">
      <c r="A1465" t="s">
        <v>1496</v>
      </c>
      <c r="B1465">
        <v>1967</v>
      </c>
      <c r="C1465" t="s">
        <v>30</v>
      </c>
      <c r="D1465">
        <v>30</v>
      </c>
      <c r="E1465" s="13" t="s">
        <v>12115</v>
      </c>
      <c r="F1465">
        <v>2</v>
      </c>
      <c r="G1465" s="11">
        <v>12268.63</v>
      </c>
      <c r="H1465" t="s">
        <v>12</v>
      </c>
      <c r="I1465" t="s">
        <v>16</v>
      </c>
      <c r="J1465" t="s">
        <v>23</v>
      </c>
    </row>
    <row r="1466" spans="1:10" x14ac:dyDescent="0.3">
      <c r="A1466" t="s">
        <v>1497</v>
      </c>
      <c r="B1466">
        <v>1967</v>
      </c>
      <c r="C1466" t="s">
        <v>35</v>
      </c>
      <c r="D1466">
        <v>28</v>
      </c>
      <c r="E1466" s="13" t="s">
        <v>12116</v>
      </c>
      <c r="F1466">
        <v>2</v>
      </c>
      <c r="G1466" s="11">
        <v>12269.69</v>
      </c>
      <c r="H1466" t="s">
        <v>12</v>
      </c>
      <c r="I1466" t="s">
        <v>11</v>
      </c>
      <c r="J1466" t="s">
        <v>23</v>
      </c>
    </row>
    <row r="1467" spans="1:10" x14ac:dyDescent="0.3">
      <c r="A1467" t="s">
        <v>1498</v>
      </c>
      <c r="B1467">
        <v>1966</v>
      </c>
      <c r="C1467" t="s">
        <v>15</v>
      </c>
      <c r="D1467">
        <v>16</v>
      </c>
      <c r="E1467" s="13" t="s">
        <v>12117</v>
      </c>
      <c r="F1467">
        <v>0</v>
      </c>
      <c r="G1467" s="11">
        <v>12282.03</v>
      </c>
      <c r="H1467" t="s">
        <v>12</v>
      </c>
      <c r="I1467" t="s">
        <v>16</v>
      </c>
      <c r="J1467" t="s">
        <v>200</v>
      </c>
    </row>
    <row r="1468" spans="1:10" x14ac:dyDescent="0.3">
      <c r="A1468" t="s">
        <v>1499</v>
      </c>
      <c r="B1468">
        <v>1990</v>
      </c>
      <c r="C1468" t="s">
        <v>37</v>
      </c>
      <c r="D1468">
        <v>29</v>
      </c>
      <c r="E1468" s="13" t="s">
        <v>12118</v>
      </c>
      <c r="F1468">
        <v>3</v>
      </c>
      <c r="G1468" s="11">
        <v>12282.38</v>
      </c>
      <c r="H1468" t="s">
        <v>12</v>
      </c>
      <c r="I1468" t="s">
        <v>16</v>
      </c>
      <c r="J1468" t="s">
        <v>42</v>
      </c>
    </row>
    <row r="1469" spans="1:10" x14ac:dyDescent="0.3">
      <c r="A1469" t="s">
        <v>1500</v>
      </c>
      <c r="B1469">
        <v>1963</v>
      </c>
      <c r="C1469" t="s">
        <v>37</v>
      </c>
      <c r="D1469">
        <v>28</v>
      </c>
      <c r="E1469" s="13" t="s">
        <v>12119</v>
      </c>
      <c r="F1469">
        <v>0</v>
      </c>
      <c r="G1469" s="11">
        <v>12299.59</v>
      </c>
      <c r="H1469" t="s">
        <v>12</v>
      </c>
      <c r="I1469" t="s">
        <v>16</v>
      </c>
      <c r="J1469" t="s">
        <v>200</v>
      </c>
    </row>
    <row r="1470" spans="1:10" x14ac:dyDescent="0.3">
      <c r="A1470" t="s">
        <v>1501</v>
      </c>
      <c r="B1470">
        <v>1963</v>
      </c>
      <c r="C1470" t="s">
        <v>35</v>
      </c>
      <c r="D1470">
        <v>29</v>
      </c>
      <c r="E1470" s="13" t="s">
        <v>12120</v>
      </c>
      <c r="F1470">
        <v>0</v>
      </c>
      <c r="G1470" s="11">
        <v>12323.94</v>
      </c>
      <c r="H1470" t="s">
        <v>12</v>
      </c>
      <c r="I1470" t="s">
        <v>12</v>
      </c>
      <c r="J1470" t="s">
        <v>356</v>
      </c>
    </row>
    <row r="1471" spans="1:10" x14ac:dyDescent="0.3">
      <c r="A1471" t="s">
        <v>1502</v>
      </c>
      <c r="B1471">
        <v>1963</v>
      </c>
      <c r="C1471" t="s">
        <v>35</v>
      </c>
      <c r="D1471">
        <v>2</v>
      </c>
      <c r="E1471" s="13" t="s">
        <v>12121</v>
      </c>
      <c r="F1471">
        <v>1</v>
      </c>
      <c r="G1471" s="11">
        <v>12333.83</v>
      </c>
      <c r="H1471" t="s">
        <v>12</v>
      </c>
      <c r="I1471" t="s">
        <v>11</v>
      </c>
      <c r="J1471" t="s">
        <v>42</v>
      </c>
    </row>
    <row r="1472" spans="1:10" x14ac:dyDescent="0.3">
      <c r="A1472" t="s">
        <v>1503</v>
      </c>
      <c r="B1472">
        <v>1963</v>
      </c>
      <c r="C1472" t="s">
        <v>20</v>
      </c>
      <c r="D1472">
        <v>22</v>
      </c>
      <c r="E1472" s="13" t="s">
        <v>12122</v>
      </c>
      <c r="F1472">
        <v>1</v>
      </c>
      <c r="G1472" s="11">
        <v>12347.17</v>
      </c>
      <c r="H1472" t="s">
        <v>12</v>
      </c>
      <c r="I1472" t="s">
        <v>12</v>
      </c>
      <c r="J1472" t="s">
        <v>42</v>
      </c>
    </row>
    <row r="1473" spans="1:10" x14ac:dyDescent="0.3">
      <c r="A1473" t="s">
        <v>1504</v>
      </c>
      <c r="B1473">
        <v>1966</v>
      </c>
      <c r="C1473" t="s">
        <v>30</v>
      </c>
      <c r="D1473">
        <v>29</v>
      </c>
      <c r="E1473" s="13" t="s">
        <v>11384</v>
      </c>
      <c r="F1473">
        <v>3</v>
      </c>
      <c r="G1473" s="11">
        <v>12363.55</v>
      </c>
      <c r="H1473" t="s">
        <v>12</v>
      </c>
      <c r="I1473" t="s">
        <v>12</v>
      </c>
      <c r="J1473" t="s">
        <v>42</v>
      </c>
    </row>
    <row r="1474" spans="1:10" x14ac:dyDescent="0.3">
      <c r="A1474" t="s">
        <v>1505</v>
      </c>
      <c r="B1474">
        <v>1962</v>
      </c>
      <c r="C1474" t="s">
        <v>20</v>
      </c>
      <c r="D1474">
        <v>26</v>
      </c>
      <c r="E1474" s="13" t="s">
        <v>12123</v>
      </c>
      <c r="F1474">
        <v>0</v>
      </c>
      <c r="G1474" s="11">
        <v>12369.89</v>
      </c>
      <c r="H1474" t="s">
        <v>12</v>
      </c>
      <c r="I1474" t="s">
        <v>11</v>
      </c>
      <c r="J1474" t="s">
        <v>247</v>
      </c>
    </row>
    <row r="1475" spans="1:10" x14ac:dyDescent="0.3">
      <c r="A1475" t="s">
        <v>1506</v>
      </c>
      <c r="B1475">
        <v>1989</v>
      </c>
      <c r="C1475" t="s">
        <v>30</v>
      </c>
      <c r="D1475">
        <v>29</v>
      </c>
      <c r="E1475" s="13" t="s">
        <v>12124</v>
      </c>
      <c r="F1475">
        <v>0</v>
      </c>
      <c r="G1475" s="11">
        <v>12404.88</v>
      </c>
      <c r="H1475" t="s">
        <v>12</v>
      </c>
      <c r="I1475" t="s">
        <v>12</v>
      </c>
      <c r="J1475" t="s">
        <v>168</v>
      </c>
    </row>
    <row r="1476" spans="1:10" x14ac:dyDescent="0.3">
      <c r="A1476" t="s">
        <v>1507</v>
      </c>
      <c r="B1476">
        <v>1972</v>
      </c>
      <c r="C1476" t="s">
        <v>35</v>
      </c>
      <c r="D1476">
        <v>21</v>
      </c>
      <c r="E1476" s="13" t="s">
        <v>12125</v>
      </c>
      <c r="F1476">
        <v>0</v>
      </c>
      <c r="G1476" s="11">
        <v>12407.3</v>
      </c>
      <c r="H1476" t="s">
        <v>12</v>
      </c>
      <c r="I1476" t="s">
        <v>11</v>
      </c>
      <c r="J1476" t="s">
        <v>300</v>
      </c>
    </row>
    <row r="1477" spans="1:10" x14ac:dyDescent="0.3">
      <c r="A1477" t="s">
        <v>1508</v>
      </c>
      <c r="B1477">
        <v>1979</v>
      </c>
      <c r="C1477" t="s">
        <v>10</v>
      </c>
      <c r="D1477">
        <v>14</v>
      </c>
      <c r="E1477" s="13" t="s">
        <v>12126</v>
      </c>
      <c r="F1477">
        <v>2</v>
      </c>
      <c r="G1477" s="11">
        <v>12408.29</v>
      </c>
      <c r="H1477" t="s">
        <v>12</v>
      </c>
      <c r="I1477" t="s">
        <v>16</v>
      </c>
      <c r="J1477" t="s">
        <v>632</v>
      </c>
    </row>
    <row r="1478" spans="1:10" x14ac:dyDescent="0.3">
      <c r="A1478" t="s">
        <v>1509</v>
      </c>
      <c r="B1478">
        <v>1964</v>
      </c>
      <c r="C1478" t="s">
        <v>35</v>
      </c>
      <c r="D1478">
        <v>4</v>
      </c>
      <c r="E1478" s="13" t="s">
        <v>11967</v>
      </c>
      <c r="F1478">
        <v>0</v>
      </c>
      <c r="G1478" s="11">
        <v>12430.95</v>
      </c>
      <c r="H1478" t="s">
        <v>12</v>
      </c>
      <c r="I1478" t="s">
        <v>12</v>
      </c>
      <c r="J1478" t="s">
        <v>247</v>
      </c>
    </row>
    <row r="1479" spans="1:10" x14ac:dyDescent="0.3">
      <c r="A1479" t="s">
        <v>1510</v>
      </c>
      <c r="B1479">
        <v>1995</v>
      </c>
      <c r="C1479" t="s">
        <v>35</v>
      </c>
      <c r="D1479">
        <v>9</v>
      </c>
      <c r="E1479" s="13" t="s">
        <v>12127</v>
      </c>
      <c r="F1479">
        <v>0</v>
      </c>
      <c r="G1479" s="11">
        <v>12452.25</v>
      </c>
      <c r="H1479" t="s">
        <v>12</v>
      </c>
      <c r="I1479" t="s">
        <v>12</v>
      </c>
      <c r="J1479" t="s">
        <v>23</v>
      </c>
    </row>
    <row r="1480" spans="1:10" x14ac:dyDescent="0.3">
      <c r="A1480" t="s">
        <v>1511</v>
      </c>
      <c r="B1480">
        <v>1968</v>
      </c>
      <c r="C1480" t="s">
        <v>15</v>
      </c>
      <c r="D1480">
        <v>26</v>
      </c>
      <c r="E1480" s="13" t="s">
        <v>12128</v>
      </c>
      <c r="F1480">
        <v>3</v>
      </c>
      <c r="G1480" s="11">
        <v>12475.35</v>
      </c>
      <c r="H1480" t="s">
        <v>12</v>
      </c>
      <c r="I1480" t="s">
        <v>16</v>
      </c>
      <c r="J1480" t="s">
        <v>23</v>
      </c>
    </row>
    <row r="1481" spans="1:10" x14ac:dyDescent="0.3">
      <c r="A1481" t="s">
        <v>1512</v>
      </c>
      <c r="B1481">
        <v>1968</v>
      </c>
      <c r="C1481" t="s">
        <v>15</v>
      </c>
      <c r="D1481">
        <v>12</v>
      </c>
      <c r="E1481" s="13" t="s">
        <v>12129</v>
      </c>
      <c r="F1481">
        <v>3</v>
      </c>
      <c r="G1481" s="11">
        <v>12479.71</v>
      </c>
      <c r="H1481" t="s">
        <v>12</v>
      </c>
      <c r="I1481" t="s">
        <v>12</v>
      </c>
      <c r="J1481" t="s">
        <v>23</v>
      </c>
    </row>
    <row r="1482" spans="1:10" x14ac:dyDescent="0.3">
      <c r="A1482" t="s">
        <v>1513</v>
      </c>
      <c r="B1482">
        <v>1967</v>
      </c>
      <c r="C1482" t="s">
        <v>20</v>
      </c>
      <c r="D1482">
        <v>1</v>
      </c>
      <c r="E1482" s="13" t="s">
        <v>12130</v>
      </c>
      <c r="F1482">
        <v>3</v>
      </c>
      <c r="G1482" s="11">
        <v>12485.8</v>
      </c>
      <c r="H1482" t="s">
        <v>12</v>
      </c>
      <c r="I1482" t="s">
        <v>12</v>
      </c>
      <c r="J1482" t="s">
        <v>13</v>
      </c>
    </row>
    <row r="1483" spans="1:10" x14ac:dyDescent="0.3">
      <c r="A1483" t="s">
        <v>1514</v>
      </c>
      <c r="B1483">
        <v>1968</v>
      </c>
      <c r="C1483" t="s">
        <v>30</v>
      </c>
      <c r="D1483">
        <v>3</v>
      </c>
      <c r="E1483" s="13" t="s">
        <v>12131</v>
      </c>
      <c r="F1483">
        <v>3</v>
      </c>
      <c r="G1483" s="11">
        <v>12495.29</v>
      </c>
      <c r="H1483" t="s">
        <v>12</v>
      </c>
      <c r="I1483" t="s">
        <v>12</v>
      </c>
      <c r="J1483" t="s">
        <v>23</v>
      </c>
    </row>
    <row r="1484" spans="1:10" x14ac:dyDescent="0.3">
      <c r="A1484" t="s">
        <v>1515</v>
      </c>
      <c r="B1484">
        <v>1966</v>
      </c>
      <c r="C1484" t="s">
        <v>10</v>
      </c>
      <c r="D1484">
        <v>12</v>
      </c>
      <c r="E1484" s="13" t="s">
        <v>12131</v>
      </c>
      <c r="F1484">
        <v>0</v>
      </c>
      <c r="G1484" s="11">
        <v>12499.88</v>
      </c>
      <c r="H1484" t="s">
        <v>12</v>
      </c>
      <c r="I1484" t="s">
        <v>11</v>
      </c>
      <c r="J1484" t="s">
        <v>23</v>
      </c>
    </row>
    <row r="1485" spans="1:10" x14ac:dyDescent="0.3">
      <c r="A1485" t="s">
        <v>1516</v>
      </c>
      <c r="B1485">
        <v>1962</v>
      </c>
      <c r="C1485" t="s">
        <v>37</v>
      </c>
      <c r="D1485">
        <v>16</v>
      </c>
      <c r="E1485" s="13" t="s">
        <v>11803</v>
      </c>
      <c r="F1485">
        <v>0</v>
      </c>
      <c r="G1485" s="11">
        <v>12523.6</v>
      </c>
      <c r="H1485" t="s">
        <v>12</v>
      </c>
      <c r="I1485" t="s">
        <v>12</v>
      </c>
      <c r="J1485" t="s">
        <v>23</v>
      </c>
    </row>
    <row r="1486" spans="1:10" x14ac:dyDescent="0.3">
      <c r="A1486" t="s">
        <v>1517</v>
      </c>
      <c r="B1486">
        <v>1961</v>
      </c>
      <c r="C1486" t="s">
        <v>15</v>
      </c>
      <c r="D1486">
        <v>28</v>
      </c>
      <c r="E1486" s="13" t="s">
        <v>12132</v>
      </c>
      <c r="F1486">
        <v>0</v>
      </c>
      <c r="G1486" s="11">
        <v>12557.61</v>
      </c>
      <c r="H1486" t="s">
        <v>12</v>
      </c>
      <c r="I1486" t="s">
        <v>12</v>
      </c>
      <c r="J1486" t="s">
        <v>13</v>
      </c>
    </row>
    <row r="1487" spans="1:10" x14ac:dyDescent="0.3">
      <c r="A1487" t="s">
        <v>1518</v>
      </c>
      <c r="B1487">
        <v>1961</v>
      </c>
      <c r="C1487" t="s">
        <v>15</v>
      </c>
      <c r="D1487">
        <v>28</v>
      </c>
      <c r="E1487" s="13" t="s">
        <v>12133</v>
      </c>
      <c r="F1487">
        <v>0</v>
      </c>
      <c r="G1487" s="11">
        <v>12574.05</v>
      </c>
      <c r="H1487" t="s">
        <v>12</v>
      </c>
      <c r="I1487" t="s">
        <v>16</v>
      </c>
      <c r="J1487" t="s">
        <v>42</v>
      </c>
    </row>
    <row r="1488" spans="1:10" x14ac:dyDescent="0.3">
      <c r="A1488" t="s">
        <v>1519</v>
      </c>
      <c r="B1488">
        <v>1969</v>
      </c>
      <c r="C1488" t="s">
        <v>15</v>
      </c>
      <c r="D1488">
        <v>26</v>
      </c>
      <c r="E1488" s="13" t="s">
        <v>12134</v>
      </c>
      <c r="F1488">
        <v>0</v>
      </c>
      <c r="G1488" s="11">
        <v>12579.92</v>
      </c>
      <c r="H1488" t="s">
        <v>12</v>
      </c>
      <c r="I1488" t="s">
        <v>16</v>
      </c>
      <c r="J1488" t="s">
        <v>200</v>
      </c>
    </row>
    <row r="1489" spans="1:10" x14ac:dyDescent="0.3">
      <c r="A1489" t="s">
        <v>1520</v>
      </c>
      <c r="B1489">
        <v>1970</v>
      </c>
      <c r="C1489" t="s">
        <v>18</v>
      </c>
      <c r="D1489">
        <v>18</v>
      </c>
      <c r="E1489" s="13" t="s">
        <v>12135</v>
      </c>
      <c r="F1489">
        <v>5</v>
      </c>
      <c r="G1489" s="11">
        <v>12592.53</v>
      </c>
      <c r="H1489" t="s">
        <v>12</v>
      </c>
      <c r="I1489" t="s">
        <v>11</v>
      </c>
      <c r="J1489" t="s">
        <v>13</v>
      </c>
    </row>
    <row r="1490" spans="1:10" x14ac:dyDescent="0.3">
      <c r="A1490" t="s">
        <v>1521</v>
      </c>
      <c r="B1490">
        <v>1988</v>
      </c>
      <c r="C1490" t="s">
        <v>35</v>
      </c>
      <c r="D1490">
        <v>11</v>
      </c>
      <c r="E1490" s="13" t="s">
        <v>12136</v>
      </c>
      <c r="F1490">
        <v>3</v>
      </c>
      <c r="G1490" s="11">
        <v>12600.46</v>
      </c>
      <c r="H1490" t="s">
        <v>12</v>
      </c>
      <c r="I1490" t="s">
        <v>16</v>
      </c>
      <c r="J1490" t="s">
        <v>249</v>
      </c>
    </row>
    <row r="1491" spans="1:10" x14ac:dyDescent="0.3">
      <c r="A1491" t="s">
        <v>1522</v>
      </c>
      <c r="B1491">
        <v>1998</v>
      </c>
      <c r="C1491" t="s">
        <v>15</v>
      </c>
      <c r="D1491">
        <v>18</v>
      </c>
      <c r="E1491" s="13" t="s">
        <v>12137</v>
      </c>
      <c r="F1491">
        <v>1</v>
      </c>
      <c r="G1491" s="11">
        <v>12609.89</v>
      </c>
      <c r="H1491" t="s">
        <v>12</v>
      </c>
      <c r="I1491" t="s">
        <v>12</v>
      </c>
      <c r="J1491" t="s">
        <v>23</v>
      </c>
    </row>
    <row r="1492" spans="1:10" x14ac:dyDescent="0.3">
      <c r="A1492" t="s">
        <v>1523</v>
      </c>
      <c r="B1492">
        <v>1963</v>
      </c>
      <c r="C1492" t="s">
        <v>35</v>
      </c>
      <c r="D1492">
        <v>19</v>
      </c>
      <c r="E1492" s="13" t="s">
        <v>12138</v>
      </c>
      <c r="F1492">
        <v>0</v>
      </c>
      <c r="G1492" s="11">
        <v>12622.18</v>
      </c>
      <c r="H1492" t="s">
        <v>12</v>
      </c>
      <c r="I1492" t="s">
        <v>16</v>
      </c>
      <c r="J1492" t="s">
        <v>23</v>
      </c>
    </row>
    <row r="1493" spans="1:10" x14ac:dyDescent="0.3">
      <c r="A1493" t="s">
        <v>1524</v>
      </c>
      <c r="B1493">
        <v>1970</v>
      </c>
      <c r="C1493" t="s">
        <v>30</v>
      </c>
      <c r="D1493">
        <v>28</v>
      </c>
      <c r="E1493" s="13" t="s">
        <v>12139</v>
      </c>
      <c r="F1493">
        <v>0</v>
      </c>
      <c r="G1493" s="11">
        <v>12624.74</v>
      </c>
      <c r="H1493" t="s">
        <v>12</v>
      </c>
      <c r="I1493" t="s">
        <v>16</v>
      </c>
      <c r="J1493" t="s">
        <v>23</v>
      </c>
    </row>
    <row r="1494" spans="1:10" x14ac:dyDescent="0.3">
      <c r="A1494" t="s">
        <v>1525</v>
      </c>
      <c r="B1494">
        <v>1965</v>
      </c>
      <c r="C1494" t="s">
        <v>37</v>
      </c>
      <c r="D1494">
        <v>4</v>
      </c>
      <c r="E1494" s="13" t="s">
        <v>12140</v>
      </c>
      <c r="F1494">
        <v>2</v>
      </c>
      <c r="G1494" s="11">
        <v>12629.17</v>
      </c>
      <c r="H1494" t="s">
        <v>12</v>
      </c>
      <c r="I1494" t="s">
        <v>16</v>
      </c>
      <c r="J1494" t="s">
        <v>13</v>
      </c>
    </row>
    <row r="1495" spans="1:10" x14ac:dyDescent="0.3">
      <c r="A1495" t="s">
        <v>1526</v>
      </c>
      <c r="B1495">
        <v>1962</v>
      </c>
      <c r="C1495" t="s">
        <v>15</v>
      </c>
      <c r="D1495">
        <v>22</v>
      </c>
      <c r="E1495" s="13" t="s">
        <v>12141</v>
      </c>
      <c r="F1495">
        <v>0</v>
      </c>
      <c r="G1495" s="11">
        <v>12629.9</v>
      </c>
      <c r="H1495" t="s">
        <v>12</v>
      </c>
      <c r="I1495" t="s">
        <v>12</v>
      </c>
      <c r="J1495" t="s">
        <v>13</v>
      </c>
    </row>
    <row r="1496" spans="1:10" x14ac:dyDescent="0.3">
      <c r="A1496" t="s">
        <v>1527</v>
      </c>
      <c r="B1496">
        <v>1962</v>
      </c>
      <c r="C1496" t="s">
        <v>10</v>
      </c>
      <c r="D1496">
        <v>22</v>
      </c>
      <c r="E1496" s="13" t="s">
        <v>12142</v>
      </c>
      <c r="F1496">
        <v>0</v>
      </c>
      <c r="G1496" s="11">
        <v>12638.2</v>
      </c>
      <c r="H1496" t="s">
        <v>12</v>
      </c>
      <c r="I1496" t="s">
        <v>16</v>
      </c>
      <c r="J1496" t="s">
        <v>42</v>
      </c>
    </row>
    <row r="1497" spans="1:10" x14ac:dyDescent="0.3">
      <c r="A1497" t="s">
        <v>1528</v>
      </c>
      <c r="B1497">
        <v>1972</v>
      </c>
      <c r="C1497" t="s">
        <v>20</v>
      </c>
      <c r="D1497">
        <v>5</v>
      </c>
      <c r="E1497" s="13" t="s">
        <v>12143</v>
      </c>
      <c r="F1497">
        <v>0</v>
      </c>
      <c r="G1497" s="11">
        <v>12640.24</v>
      </c>
      <c r="H1497" t="s">
        <v>12</v>
      </c>
      <c r="I1497" t="s">
        <v>16</v>
      </c>
      <c r="J1497" t="s">
        <v>42</v>
      </c>
    </row>
    <row r="1498" spans="1:10" x14ac:dyDescent="0.3">
      <c r="A1498" t="s">
        <v>1529</v>
      </c>
      <c r="B1498">
        <v>1966</v>
      </c>
      <c r="C1498" t="s">
        <v>30</v>
      </c>
      <c r="D1498">
        <v>17</v>
      </c>
      <c r="E1498" s="13" t="s">
        <v>12144</v>
      </c>
      <c r="F1498">
        <v>2</v>
      </c>
      <c r="G1498" s="11">
        <v>12643.38</v>
      </c>
      <c r="H1498" t="s">
        <v>12</v>
      </c>
      <c r="I1498" t="s">
        <v>16</v>
      </c>
      <c r="J1498" t="s">
        <v>23</v>
      </c>
    </row>
    <row r="1499" spans="1:10" x14ac:dyDescent="0.3">
      <c r="A1499" t="s">
        <v>1530</v>
      </c>
      <c r="B1499">
        <v>1962</v>
      </c>
      <c r="C1499" t="s">
        <v>10</v>
      </c>
      <c r="D1499">
        <v>11</v>
      </c>
      <c r="E1499" s="13" t="s">
        <v>12145</v>
      </c>
      <c r="F1499">
        <v>0</v>
      </c>
      <c r="G1499" s="11">
        <v>12644.59</v>
      </c>
      <c r="H1499" t="s">
        <v>12</v>
      </c>
      <c r="I1499" t="s">
        <v>11</v>
      </c>
      <c r="J1499" t="s">
        <v>42</v>
      </c>
    </row>
    <row r="1500" spans="1:10" x14ac:dyDescent="0.3">
      <c r="A1500" t="s">
        <v>1531</v>
      </c>
      <c r="B1500">
        <v>1965</v>
      </c>
      <c r="C1500" t="s">
        <v>20</v>
      </c>
      <c r="D1500">
        <v>14</v>
      </c>
      <c r="E1500" s="13" t="s">
        <v>12146</v>
      </c>
      <c r="F1500">
        <v>2</v>
      </c>
      <c r="G1500" s="11">
        <v>12646.21</v>
      </c>
      <c r="H1500" t="s">
        <v>12</v>
      </c>
      <c r="I1500" t="s">
        <v>11</v>
      </c>
      <c r="J1500" t="s">
        <v>42</v>
      </c>
    </row>
    <row r="1501" spans="1:10" x14ac:dyDescent="0.3">
      <c r="A1501" t="s">
        <v>1532</v>
      </c>
      <c r="B1501">
        <v>1962</v>
      </c>
      <c r="C1501" t="s">
        <v>35</v>
      </c>
      <c r="D1501">
        <v>27</v>
      </c>
      <c r="E1501" s="13" t="s">
        <v>12147</v>
      </c>
      <c r="F1501">
        <v>0</v>
      </c>
      <c r="G1501" s="11">
        <v>12648.7</v>
      </c>
      <c r="H1501" t="s">
        <v>12</v>
      </c>
      <c r="I1501" t="s">
        <v>11</v>
      </c>
      <c r="J1501" t="s">
        <v>13</v>
      </c>
    </row>
    <row r="1502" spans="1:10" x14ac:dyDescent="0.3">
      <c r="A1502" t="s">
        <v>1533</v>
      </c>
      <c r="B1502">
        <v>1974</v>
      </c>
      <c r="C1502" t="s">
        <v>20</v>
      </c>
      <c r="D1502">
        <v>24</v>
      </c>
      <c r="E1502" s="13" t="s">
        <v>12148</v>
      </c>
      <c r="F1502">
        <v>0</v>
      </c>
      <c r="G1502" s="11">
        <v>12697.48</v>
      </c>
      <c r="H1502" t="s">
        <v>12</v>
      </c>
      <c r="I1502" t="s">
        <v>12</v>
      </c>
      <c r="J1502" t="s">
        <v>300</v>
      </c>
    </row>
    <row r="1503" spans="1:10" x14ac:dyDescent="0.3">
      <c r="A1503" t="s">
        <v>1534</v>
      </c>
      <c r="B1503">
        <v>1992</v>
      </c>
      <c r="C1503" t="s">
        <v>10</v>
      </c>
      <c r="D1503">
        <v>7</v>
      </c>
      <c r="E1503" s="13" t="s">
        <v>12149</v>
      </c>
      <c r="F1503">
        <v>0</v>
      </c>
      <c r="G1503" s="11">
        <v>12699.56</v>
      </c>
      <c r="H1503" t="s">
        <v>12</v>
      </c>
      <c r="I1503" t="s">
        <v>11</v>
      </c>
      <c r="J1503" t="s">
        <v>42</v>
      </c>
    </row>
    <row r="1504" spans="1:10" x14ac:dyDescent="0.3">
      <c r="A1504" t="s">
        <v>1535</v>
      </c>
      <c r="B1504">
        <v>1964</v>
      </c>
      <c r="C1504" t="s">
        <v>15</v>
      </c>
      <c r="D1504">
        <v>28</v>
      </c>
      <c r="E1504" s="13" t="s">
        <v>12150</v>
      </c>
      <c r="F1504">
        <v>0</v>
      </c>
      <c r="G1504" s="11">
        <v>12700.63</v>
      </c>
      <c r="H1504" t="s">
        <v>12</v>
      </c>
      <c r="I1504" t="s">
        <v>12</v>
      </c>
      <c r="J1504" t="s">
        <v>42</v>
      </c>
    </row>
    <row r="1505" spans="1:10" x14ac:dyDescent="0.3">
      <c r="A1505" t="s">
        <v>1536</v>
      </c>
      <c r="B1505">
        <v>1970</v>
      </c>
      <c r="C1505" t="s">
        <v>10</v>
      </c>
      <c r="D1505">
        <v>8</v>
      </c>
      <c r="E1505" s="13" t="s">
        <v>12151</v>
      </c>
      <c r="F1505">
        <v>0</v>
      </c>
      <c r="G1505" s="11">
        <v>12713</v>
      </c>
      <c r="H1505" t="s">
        <v>12</v>
      </c>
      <c r="I1505" t="s">
        <v>16</v>
      </c>
      <c r="J1505" t="s">
        <v>42</v>
      </c>
    </row>
    <row r="1506" spans="1:10" x14ac:dyDescent="0.3">
      <c r="A1506" t="s">
        <v>1537</v>
      </c>
      <c r="B1506">
        <v>1988</v>
      </c>
      <c r="C1506" t="s">
        <v>10</v>
      </c>
      <c r="D1506">
        <v>17</v>
      </c>
      <c r="E1506" s="13" t="s">
        <v>12152</v>
      </c>
      <c r="F1506">
        <v>3</v>
      </c>
      <c r="G1506" s="11">
        <v>12718.21</v>
      </c>
      <c r="H1506" t="s">
        <v>12</v>
      </c>
      <c r="I1506" t="s">
        <v>16</v>
      </c>
      <c r="J1506" t="s">
        <v>535</v>
      </c>
    </row>
    <row r="1507" spans="1:10" x14ac:dyDescent="0.3">
      <c r="A1507" t="s">
        <v>1538</v>
      </c>
      <c r="B1507">
        <v>1962</v>
      </c>
      <c r="C1507" t="s">
        <v>20</v>
      </c>
      <c r="D1507">
        <v>2</v>
      </c>
      <c r="E1507" s="13" t="s">
        <v>11986</v>
      </c>
      <c r="F1507">
        <v>0</v>
      </c>
      <c r="G1507" s="11">
        <v>12731</v>
      </c>
      <c r="H1507" t="s">
        <v>12</v>
      </c>
      <c r="I1507" t="s">
        <v>12</v>
      </c>
      <c r="J1507" t="s">
        <v>168</v>
      </c>
    </row>
    <row r="1508" spans="1:10" x14ac:dyDescent="0.3">
      <c r="A1508" t="s">
        <v>1539</v>
      </c>
      <c r="B1508">
        <v>1962</v>
      </c>
      <c r="C1508" t="s">
        <v>37</v>
      </c>
      <c r="D1508">
        <v>1</v>
      </c>
      <c r="E1508" s="13" t="s">
        <v>12153</v>
      </c>
      <c r="F1508">
        <v>0</v>
      </c>
      <c r="G1508" s="11">
        <v>12741.17</v>
      </c>
      <c r="H1508" t="s">
        <v>12</v>
      </c>
      <c r="I1508" t="s">
        <v>16</v>
      </c>
      <c r="J1508" t="s">
        <v>356</v>
      </c>
    </row>
    <row r="1509" spans="1:10" x14ac:dyDescent="0.3">
      <c r="A1509" t="s">
        <v>1540</v>
      </c>
      <c r="B1509">
        <v>1975</v>
      </c>
      <c r="C1509" t="s">
        <v>20</v>
      </c>
      <c r="D1509">
        <v>25</v>
      </c>
      <c r="E1509" s="13" t="s">
        <v>12154</v>
      </c>
      <c r="F1509">
        <v>1</v>
      </c>
      <c r="G1509" s="11">
        <v>12770.27</v>
      </c>
      <c r="H1509" t="s">
        <v>12</v>
      </c>
      <c r="I1509" t="s">
        <v>12</v>
      </c>
      <c r="J1509" t="s">
        <v>300</v>
      </c>
    </row>
    <row r="1510" spans="1:10" x14ac:dyDescent="0.3">
      <c r="A1510" t="s">
        <v>1541</v>
      </c>
      <c r="B1510">
        <v>1972</v>
      </c>
      <c r="C1510" t="s">
        <v>37</v>
      </c>
      <c r="D1510">
        <v>7</v>
      </c>
      <c r="E1510" s="13" t="s">
        <v>12155</v>
      </c>
      <c r="F1510">
        <v>0</v>
      </c>
      <c r="G1510" s="11">
        <v>12776.05</v>
      </c>
      <c r="H1510" t="s">
        <v>12</v>
      </c>
      <c r="I1510" t="s">
        <v>12</v>
      </c>
      <c r="J1510" t="s">
        <v>535</v>
      </c>
    </row>
    <row r="1511" spans="1:10" x14ac:dyDescent="0.3">
      <c r="A1511" t="s">
        <v>1542</v>
      </c>
      <c r="B1511">
        <v>1963</v>
      </c>
      <c r="C1511" t="s">
        <v>30</v>
      </c>
      <c r="D1511">
        <v>5</v>
      </c>
      <c r="E1511" s="13" t="s">
        <v>12093</v>
      </c>
      <c r="F1511">
        <v>0</v>
      </c>
      <c r="G1511" s="11">
        <v>12788.03</v>
      </c>
      <c r="H1511" t="s">
        <v>12</v>
      </c>
      <c r="I1511" t="s">
        <v>12</v>
      </c>
      <c r="J1511" t="s">
        <v>200</v>
      </c>
    </row>
    <row r="1512" spans="1:10" x14ac:dyDescent="0.3">
      <c r="A1512" t="s">
        <v>1543</v>
      </c>
      <c r="B1512">
        <v>1983</v>
      </c>
      <c r="C1512" t="s">
        <v>37</v>
      </c>
      <c r="D1512">
        <v>29</v>
      </c>
      <c r="E1512" s="13" t="s">
        <v>12156</v>
      </c>
      <c r="F1512">
        <v>3</v>
      </c>
      <c r="G1512" s="11">
        <v>12788.18</v>
      </c>
      <c r="H1512" t="s">
        <v>12</v>
      </c>
      <c r="I1512" t="s">
        <v>16</v>
      </c>
      <c r="J1512" t="s">
        <v>535</v>
      </c>
    </row>
    <row r="1513" spans="1:10" x14ac:dyDescent="0.3">
      <c r="A1513" t="s">
        <v>1544</v>
      </c>
      <c r="B1513">
        <v>1978</v>
      </c>
      <c r="C1513" t="s">
        <v>10</v>
      </c>
      <c r="D1513">
        <v>24</v>
      </c>
      <c r="E1513" s="13" t="s">
        <v>12157</v>
      </c>
      <c r="F1513">
        <v>0</v>
      </c>
      <c r="G1513" s="11">
        <v>12797.21</v>
      </c>
      <c r="H1513" t="s">
        <v>12</v>
      </c>
      <c r="I1513" t="s">
        <v>16</v>
      </c>
      <c r="J1513" t="s">
        <v>247</v>
      </c>
    </row>
    <row r="1514" spans="1:10" x14ac:dyDescent="0.3">
      <c r="A1514" t="s">
        <v>1545</v>
      </c>
      <c r="B1514">
        <v>1963</v>
      </c>
      <c r="C1514" t="s">
        <v>10</v>
      </c>
      <c r="D1514">
        <v>20</v>
      </c>
      <c r="E1514" s="13" t="s">
        <v>12158</v>
      </c>
      <c r="F1514">
        <v>0</v>
      </c>
      <c r="G1514" s="11">
        <v>12815.44</v>
      </c>
      <c r="H1514" t="s">
        <v>12</v>
      </c>
      <c r="I1514" t="s">
        <v>12</v>
      </c>
      <c r="J1514" t="s">
        <v>247</v>
      </c>
    </row>
    <row r="1515" spans="1:10" x14ac:dyDescent="0.3">
      <c r="A1515" t="s">
        <v>1546</v>
      </c>
      <c r="B1515">
        <v>1967</v>
      </c>
      <c r="C1515" t="s">
        <v>20</v>
      </c>
      <c r="D1515">
        <v>25</v>
      </c>
      <c r="E1515" s="13" t="s">
        <v>12159</v>
      </c>
      <c r="F1515">
        <v>0</v>
      </c>
      <c r="G1515" s="11">
        <v>12823.25</v>
      </c>
      <c r="H1515" t="s">
        <v>12</v>
      </c>
      <c r="I1515" t="s">
        <v>12</v>
      </c>
      <c r="J1515" t="s">
        <v>300</v>
      </c>
    </row>
    <row r="1516" spans="1:10" x14ac:dyDescent="0.3">
      <c r="A1516" t="s">
        <v>1547</v>
      </c>
      <c r="B1516">
        <v>2004</v>
      </c>
      <c r="C1516" t="s">
        <v>15</v>
      </c>
      <c r="D1516">
        <v>9</v>
      </c>
      <c r="E1516" s="13" t="s">
        <v>12160</v>
      </c>
      <c r="F1516">
        <v>2</v>
      </c>
      <c r="G1516" s="11">
        <v>12829.46</v>
      </c>
      <c r="H1516" t="s">
        <v>12</v>
      </c>
      <c r="I1516" t="s">
        <v>12</v>
      </c>
      <c r="J1516" t="s">
        <v>168</v>
      </c>
    </row>
    <row r="1517" spans="1:10" x14ac:dyDescent="0.3">
      <c r="A1517" t="s">
        <v>1548</v>
      </c>
      <c r="B1517">
        <v>1993</v>
      </c>
      <c r="C1517" t="s">
        <v>20</v>
      </c>
      <c r="D1517">
        <v>27</v>
      </c>
      <c r="E1517" s="13" t="s">
        <v>12161</v>
      </c>
      <c r="F1517">
        <v>0</v>
      </c>
      <c r="G1517" s="11">
        <v>12847.24</v>
      </c>
      <c r="H1517" t="s">
        <v>12</v>
      </c>
      <c r="I1517" t="s">
        <v>11</v>
      </c>
      <c r="J1517" t="s">
        <v>23</v>
      </c>
    </row>
    <row r="1518" spans="1:10" x14ac:dyDescent="0.3">
      <c r="A1518" t="s">
        <v>1549</v>
      </c>
      <c r="B1518">
        <v>1973</v>
      </c>
      <c r="C1518" t="s">
        <v>20</v>
      </c>
      <c r="D1518">
        <v>22</v>
      </c>
      <c r="E1518" s="13" t="s">
        <v>10819</v>
      </c>
      <c r="F1518">
        <v>0</v>
      </c>
      <c r="G1518" s="11">
        <v>12852.37</v>
      </c>
      <c r="H1518" t="s">
        <v>12</v>
      </c>
      <c r="I1518" t="s">
        <v>16</v>
      </c>
      <c r="J1518" t="s">
        <v>23</v>
      </c>
    </row>
    <row r="1519" spans="1:10" x14ac:dyDescent="0.3">
      <c r="A1519" t="s">
        <v>1550</v>
      </c>
      <c r="B1519">
        <v>1963</v>
      </c>
      <c r="C1519" t="s">
        <v>20</v>
      </c>
      <c r="D1519">
        <v>27</v>
      </c>
      <c r="E1519" s="13" t="s">
        <v>12162</v>
      </c>
      <c r="F1519">
        <v>0</v>
      </c>
      <c r="G1519" s="11">
        <v>12856.84</v>
      </c>
      <c r="H1519" t="s">
        <v>12</v>
      </c>
      <c r="I1519" t="s">
        <v>12</v>
      </c>
      <c r="J1519" t="s">
        <v>300</v>
      </c>
    </row>
    <row r="1520" spans="1:10" x14ac:dyDescent="0.3">
      <c r="A1520" t="s">
        <v>1551</v>
      </c>
      <c r="B1520">
        <v>1984</v>
      </c>
      <c r="C1520" t="s">
        <v>35</v>
      </c>
      <c r="D1520">
        <v>6</v>
      </c>
      <c r="E1520" s="13" t="s">
        <v>12163</v>
      </c>
      <c r="F1520">
        <v>3</v>
      </c>
      <c r="G1520" s="11">
        <v>12870.31</v>
      </c>
      <c r="H1520" t="s">
        <v>12</v>
      </c>
      <c r="I1520" t="s">
        <v>12</v>
      </c>
      <c r="J1520" t="s">
        <v>23</v>
      </c>
    </row>
    <row r="1521" spans="1:10" x14ac:dyDescent="0.3">
      <c r="A1521" t="s">
        <v>1552</v>
      </c>
      <c r="B1521">
        <v>2004</v>
      </c>
      <c r="C1521" t="s">
        <v>10</v>
      </c>
      <c r="D1521">
        <v>9</v>
      </c>
      <c r="E1521" s="13" t="s">
        <v>12164</v>
      </c>
      <c r="F1521">
        <v>0</v>
      </c>
      <c r="G1521" s="11">
        <v>12890.06</v>
      </c>
      <c r="H1521" t="s">
        <v>12</v>
      </c>
      <c r="I1521" t="s">
        <v>16</v>
      </c>
      <c r="J1521" t="s">
        <v>166</v>
      </c>
    </row>
    <row r="1522" spans="1:10" x14ac:dyDescent="0.3">
      <c r="A1522" t="s">
        <v>1553</v>
      </c>
      <c r="B1522">
        <v>1963</v>
      </c>
      <c r="C1522" t="s">
        <v>35</v>
      </c>
      <c r="D1522">
        <v>16</v>
      </c>
      <c r="E1522" s="13" t="s">
        <v>12165</v>
      </c>
      <c r="F1522">
        <v>1</v>
      </c>
      <c r="G1522" s="11">
        <v>12913.99</v>
      </c>
      <c r="H1522" t="s">
        <v>12</v>
      </c>
      <c r="I1522" t="s">
        <v>11</v>
      </c>
      <c r="J1522" t="s">
        <v>168</v>
      </c>
    </row>
    <row r="1523" spans="1:10" x14ac:dyDescent="0.3">
      <c r="A1523" t="s">
        <v>1554</v>
      </c>
      <c r="B1523">
        <v>1963</v>
      </c>
      <c r="C1523" t="s">
        <v>20</v>
      </c>
      <c r="D1523">
        <v>1</v>
      </c>
      <c r="E1523" s="13" t="s">
        <v>12166</v>
      </c>
      <c r="F1523">
        <v>2</v>
      </c>
      <c r="G1523" s="11">
        <v>12925.89</v>
      </c>
      <c r="H1523" t="s">
        <v>12</v>
      </c>
      <c r="I1523" t="s">
        <v>11</v>
      </c>
      <c r="J1523" t="s">
        <v>13</v>
      </c>
    </row>
    <row r="1524" spans="1:10" x14ac:dyDescent="0.3">
      <c r="A1524" t="s">
        <v>1555</v>
      </c>
      <c r="B1524">
        <v>1963</v>
      </c>
      <c r="C1524" t="s">
        <v>35</v>
      </c>
      <c r="D1524">
        <v>14</v>
      </c>
      <c r="E1524" s="13" t="s">
        <v>12167</v>
      </c>
      <c r="F1524">
        <v>2</v>
      </c>
      <c r="G1524" s="11">
        <v>12928.79</v>
      </c>
      <c r="H1524" t="s">
        <v>12</v>
      </c>
      <c r="I1524" t="s">
        <v>11</v>
      </c>
      <c r="J1524" t="s">
        <v>13</v>
      </c>
    </row>
    <row r="1525" spans="1:10" x14ac:dyDescent="0.3">
      <c r="A1525" t="s">
        <v>1556</v>
      </c>
      <c r="B1525">
        <v>1966</v>
      </c>
      <c r="C1525" t="s">
        <v>30</v>
      </c>
      <c r="D1525">
        <v>22</v>
      </c>
      <c r="E1525" s="13" t="s">
        <v>12168</v>
      </c>
      <c r="F1525">
        <v>4</v>
      </c>
      <c r="G1525" s="11">
        <v>12949.16</v>
      </c>
      <c r="H1525" t="s">
        <v>12</v>
      </c>
      <c r="I1525" t="s">
        <v>12</v>
      </c>
      <c r="J1525" t="s">
        <v>13</v>
      </c>
    </row>
    <row r="1526" spans="1:10" x14ac:dyDescent="0.3">
      <c r="A1526" t="s">
        <v>1557</v>
      </c>
      <c r="B1526">
        <v>1961</v>
      </c>
      <c r="C1526" t="s">
        <v>35</v>
      </c>
      <c r="D1526">
        <v>20</v>
      </c>
      <c r="E1526" s="13" t="s">
        <v>12169</v>
      </c>
      <c r="F1526">
        <v>0</v>
      </c>
      <c r="G1526" s="11">
        <v>12950.07</v>
      </c>
      <c r="H1526" t="s">
        <v>12</v>
      </c>
      <c r="I1526" t="s">
        <v>16</v>
      </c>
      <c r="J1526" t="s">
        <v>23</v>
      </c>
    </row>
    <row r="1527" spans="1:10" x14ac:dyDescent="0.3">
      <c r="A1527" t="s">
        <v>1558</v>
      </c>
      <c r="B1527">
        <v>1960</v>
      </c>
      <c r="C1527" t="s">
        <v>15</v>
      </c>
      <c r="D1527">
        <v>4</v>
      </c>
      <c r="E1527" s="13" t="s">
        <v>12170</v>
      </c>
      <c r="F1527">
        <v>0</v>
      </c>
      <c r="G1527" s="11">
        <v>12957.12</v>
      </c>
      <c r="H1527" t="s">
        <v>12</v>
      </c>
      <c r="I1527" t="s">
        <v>16</v>
      </c>
      <c r="J1527" t="s">
        <v>42</v>
      </c>
    </row>
    <row r="1528" spans="1:10" x14ac:dyDescent="0.3">
      <c r="A1528" t="s">
        <v>1559</v>
      </c>
      <c r="B1528">
        <v>1960</v>
      </c>
      <c r="C1528" t="s">
        <v>18</v>
      </c>
      <c r="D1528">
        <v>22</v>
      </c>
      <c r="E1528" s="13" t="s">
        <v>12171</v>
      </c>
      <c r="F1528">
        <v>0</v>
      </c>
      <c r="G1528" s="11">
        <v>12979.36</v>
      </c>
      <c r="H1528" t="s">
        <v>12</v>
      </c>
      <c r="I1528" t="s">
        <v>16</v>
      </c>
      <c r="J1528" t="s">
        <v>42</v>
      </c>
    </row>
    <row r="1529" spans="1:10" x14ac:dyDescent="0.3">
      <c r="A1529" t="s">
        <v>1560</v>
      </c>
      <c r="B1529">
        <v>1960</v>
      </c>
      <c r="C1529" t="s">
        <v>20</v>
      </c>
      <c r="D1529">
        <v>23</v>
      </c>
      <c r="E1529" s="13" t="s">
        <v>12172</v>
      </c>
      <c r="F1529">
        <v>0</v>
      </c>
      <c r="G1529" s="11">
        <v>12981.35</v>
      </c>
      <c r="H1529" t="s">
        <v>12</v>
      </c>
      <c r="I1529" t="s">
        <v>12</v>
      </c>
      <c r="J1529" t="s">
        <v>13</v>
      </c>
    </row>
    <row r="1530" spans="1:10" x14ac:dyDescent="0.3">
      <c r="A1530" t="s">
        <v>1561</v>
      </c>
      <c r="B1530">
        <v>1960</v>
      </c>
      <c r="C1530" t="s">
        <v>15</v>
      </c>
      <c r="D1530">
        <v>28</v>
      </c>
      <c r="E1530" s="13" t="s">
        <v>12173</v>
      </c>
      <c r="F1530">
        <v>0</v>
      </c>
      <c r="G1530" s="11">
        <v>12982.87</v>
      </c>
      <c r="H1530" t="s">
        <v>12</v>
      </c>
      <c r="I1530" t="s">
        <v>16</v>
      </c>
      <c r="J1530" t="s">
        <v>13</v>
      </c>
    </row>
    <row r="1531" spans="1:10" x14ac:dyDescent="0.3">
      <c r="A1531" t="s">
        <v>1562</v>
      </c>
      <c r="B1531">
        <v>1979</v>
      </c>
      <c r="C1531" t="s">
        <v>15</v>
      </c>
      <c r="D1531">
        <v>27</v>
      </c>
      <c r="E1531" s="13" t="s">
        <v>12174</v>
      </c>
      <c r="F1531">
        <v>2</v>
      </c>
      <c r="G1531" s="11">
        <v>12994.12</v>
      </c>
      <c r="H1531" t="s">
        <v>12</v>
      </c>
      <c r="I1531" t="s">
        <v>11</v>
      </c>
      <c r="J1531" t="s">
        <v>535</v>
      </c>
    </row>
    <row r="1532" spans="1:10" x14ac:dyDescent="0.3">
      <c r="A1532" t="s">
        <v>1563</v>
      </c>
      <c r="B1532">
        <v>1981</v>
      </c>
      <c r="C1532" t="s">
        <v>37</v>
      </c>
      <c r="D1532">
        <v>30</v>
      </c>
      <c r="E1532" s="13" t="s">
        <v>12175</v>
      </c>
      <c r="F1532">
        <v>1</v>
      </c>
      <c r="G1532" s="11">
        <v>13002.91</v>
      </c>
      <c r="H1532" t="s">
        <v>12</v>
      </c>
      <c r="I1532" t="s">
        <v>16</v>
      </c>
      <c r="J1532" t="s">
        <v>23</v>
      </c>
    </row>
    <row r="1533" spans="1:10" x14ac:dyDescent="0.3">
      <c r="A1533" t="s">
        <v>1564</v>
      </c>
      <c r="B1533">
        <v>1962</v>
      </c>
      <c r="C1533" t="s">
        <v>18</v>
      </c>
      <c r="D1533">
        <v>24</v>
      </c>
      <c r="E1533" s="13" t="s">
        <v>12176</v>
      </c>
      <c r="F1533">
        <v>0</v>
      </c>
      <c r="G1533" s="11">
        <v>13004.95</v>
      </c>
      <c r="H1533" t="s">
        <v>12</v>
      </c>
      <c r="I1533" t="s">
        <v>16</v>
      </c>
      <c r="J1533" t="s">
        <v>23</v>
      </c>
    </row>
    <row r="1534" spans="1:10" x14ac:dyDescent="0.3">
      <c r="A1534" t="s">
        <v>1565</v>
      </c>
      <c r="B1534">
        <v>1969</v>
      </c>
      <c r="C1534" t="s">
        <v>30</v>
      </c>
      <c r="D1534">
        <v>13</v>
      </c>
      <c r="E1534" s="13" t="s">
        <v>12177</v>
      </c>
      <c r="F1534">
        <v>0</v>
      </c>
      <c r="G1534" s="11">
        <v>13008.07</v>
      </c>
      <c r="H1534" t="s">
        <v>12</v>
      </c>
      <c r="I1534" t="s">
        <v>12</v>
      </c>
      <c r="J1534" t="s">
        <v>23</v>
      </c>
    </row>
    <row r="1535" spans="1:10" x14ac:dyDescent="0.3">
      <c r="A1535" t="s">
        <v>1566</v>
      </c>
      <c r="B1535">
        <v>1972</v>
      </c>
      <c r="C1535" t="s">
        <v>20</v>
      </c>
      <c r="D1535">
        <v>27</v>
      </c>
      <c r="E1535" s="13" t="s">
        <v>12178</v>
      </c>
      <c r="F1535">
        <v>0</v>
      </c>
      <c r="G1535" s="11">
        <v>13010.86</v>
      </c>
      <c r="H1535" t="s">
        <v>12</v>
      </c>
      <c r="I1535" t="s">
        <v>11</v>
      </c>
      <c r="J1535" t="s">
        <v>23</v>
      </c>
    </row>
    <row r="1536" spans="1:10" x14ac:dyDescent="0.3">
      <c r="A1536" t="s">
        <v>1567</v>
      </c>
      <c r="B1536">
        <v>1962</v>
      </c>
      <c r="C1536" t="s">
        <v>10</v>
      </c>
      <c r="D1536">
        <v>20</v>
      </c>
      <c r="E1536" s="13" t="s">
        <v>12179</v>
      </c>
      <c r="F1536">
        <v>0</v>
      </c>
      <c r="G1536" s="11">
        <v>13012.21</v>
      </c>
      <c r="H1536" t="s">
        <v>12</v>
      </c>
      <c r="I1536" t="s">
        <v>16</v>
      </c>
      <c r="J1536" t="s">
        <v>23</v>
      </c>
    </row>
    <row r="1537" spans="1:10" x14ac:dyDescent="0.3">
      <c r="A1537" t="s">
        <v>1568</v>
      </c>
      <c r="B1537">
        <v>1964</v>
      </c>
      <c r="C1537" t="s">
        <v>20</v>
      </c>
      <c r="D1537">
        <v>23</v>
      </c>
      <c r="E1537" s="13" t="s">
        <v>12180</v>
      </c>
      <c r="F1537">
        <v>1</v>
      </c>
      <c r="G1537" s="11">
        <v>13019.16</v>
      </c>
      <c r="H1537" t="s">
        <v>12</v>
      </c>
      <c r="I1537" t="s">
        <v>16</v>
      </c>
      <c r="J1537" t="s">
        <v>247</v>
      </c>
    </row>
    <row r="1538" spans="1:10" x14ac:dyDescent="0.3">
      <c r="A1538" t="s">
        <v>1569</v>
      </c>
      <c r="B1538">
        <v>1965</v>
      </c>
      <c r="C1538" t="s">
        <v>15</v>
      </c>
      <c r="D1538">
        <v>4</v>
      </c>
      <c r="E1538" s="13" t="s">
        <v>12181</v>
      </c>
      <c r="F1538">
        <v>0</v>
      </c>
      <c r="G1538" s="11">
        <v>13023.93</v>
      </c>
      <c r="H1538" t="s">
        <v>12</v>
      </c>
      <c r="I1538" t="s">
        <v>11</v>
      </c>
      <c r="J1538" t="s">
        <v>200</v>
      </c>
    </row>
    <row r="1539" spans="1:10" x14ac:dyDescent="0.3">
      <c r="A1539" t="s">
        <v>1570</v>
      </c>
      <c r="B1539">
        <v>1961</v>
      </c>
      <c r="C1539" t="s">
        <v>15</v>
      </c>
      <c r="D1539">
        <v>9</v>
      </c>
      <c r="E1539" s="13" t="s">
        <v>12182</v>
      </c>
      <c r="F1539">
        <v>0</v>
      </c>
      <c r="G1539" s="11">
        <v>13041.92</v>
      </c>
      <c r="H1539" t="s">
        <v>12</v>
      </c>
      <c r="I1539" t="s">
        <v>16</v>
      </c>
      <c r="J1539" t="s">
        <v>42</v>
      </c>
    </row>
    <row r="1540" spans="1:10" x14ac:dyDescent="0.3">
      <c r="A1540" t="s">
        <v>1571</v>
      </c>
      <c r="B1540">
        <v>1969</v>
      </c>
      <c r="C1540" t="s">
        <v>20</v>
      </c>
      <c r="D1540">
        <v>23</v>
      </c>
      <c r="E1540" s="13" t="s">
        <v>12183</v>
      </c>
      <c r="F1540">
        <v>0</v>
      </c>
      <c r="G1540" s="11">
        <v>13044.41</v>
      </c>
      <c r="H1540" t="s">
        <v>12</v>
      </c>
      <c r="I1540" t="s">
        <v>16</v>
      </c>
      <c r="J1540" t="s">
        <v>23</v>
      </c>
    </row>
    <row r="1541" spans="1:10" x14ac:dyDescent="0.3">
      <c r="A1541" t="s">
        <v>1572</v>
      </c>
      <c r="B1541">
        <v>1967</v>
      </c>
      <c r="C1541" t="s">
        <v>35</v>
      </c>
      <c r="D1541">
        <v>6</v>
      </c>
      <c r="E1541" s="13" t="s">
        <v>11671</v>
      </c>
      <c r="F1541">
        <v>3</v>
      </c>
      <c r="G1541" s="11">
        <v>13047.33</v>
      </c>
      <c r="H1541" t="s">
        <v>12</v>
      </c>
      <c r="I1541" t="s">
        <v>12</v>
      </c>
      <c r="J1541" t="s">
        <v>247</v>
      </c>
    </row>
    <row r="1542" spans="1:10" x14ac:dyDescent="0.3">
      <c r="A1542" t="s">
        <v>1573</v>
      </c>
      <c r="B1542">
        <v>1985</v>
      </c>
      <c r="C1542" t="s">
        <v>37</v>
      </c>
      <c r="D1542">
        <v>26</v>
      </c>
      <c r="E1542" s="13" t="s">
        <v>12184</v>
      </c>
      <c r="F1542">
        <v>3</v>
      </c>
      <c r="G1542" s="11">
        <v>13051.22</v>
      </c>
      <c r="H1542" t="s">
        <v>12</v>
      </c>
      <c r="I1542" t="s">
        <v>16</v>
      </c>
      <c r="J1542" t="s">
        <v>535</v>
      </c>
    </row>
    <row r="1543" spans="1:10" x14ac:dyDescent="0.3">
      <c r="A1543" t="s">
        <v>1574</v>
      </c>
      <c r="B1543">
        <v>1961</v>
      </c>
      <c r="C1543" t="s">
        <v>15</v>
      </c>
      <c r="D1543">
        <v>6</v>
      </c>
      <c r="E1543" s="13" t="s">
        <v>12185</v>
      </c>
      <c r="F1543">
        <v>0</v>
      </c>
      <c r="G1543" s="11">
        <v>13063.88</v>
      </c>
      <c r="H1543" t="s">
        <v>12</v>
      </c>
      <c r="I1543" t="s">
        <v>11</v>
      </c>
      <c r="J1543" t="s">
        <v>42</v>
      </c>
    </row>
    <row r="1544" spans="1:10" x14ac:dyDescent="0.3">
      <c r="A1544" t="s">
        <v>1575</v>
      </c>
      <c r="B1544">
        <v>1978</v>
      </c>
      <c r="C1544" t="s">
        <v>10</v>
      </c>
      <c r="D1544">
        <v>17</v>
      </c>
      <c r="E1544" s="13" t="s">
        <v>11444</v>
      </c>
      <c r="F1544">
        <v>2</v>
      </c>
      <c r="G1544" s="11">
        <v>13101.74</v>
      </c>
      <c r="H1544" t="s">
        <v>12</v>
      </c>
      <c r="I1544" t="s">
        <v>11</v>
      </c>
      <c r="J1544" t="s">
        <v>535</v>
      </c>
    </row>
    <row r="1545" spans="1:10" x14ac:dyDescent="0.3">
      <c r="A1545" t="s">
        <v>1576</v>
      </c>
      <c r="B1545">
        <v>1971</v>
      </c>
      <c r="C1545" t="s">
        <v>37</v>
      </c>
      <c r="D1545">
        <v>30</v>
      </c>
      <c r="E1545" s="13" t="s">
        <v>12186</v>
      </c>
      <c r="F1545">
        <v>0</v>
      </c>
      <c r="G1545" s="11">
        <v>13110.79</v>
      </c>
      <c r="H1545" t="s">
        <v>12</v>
      </c>
      <c r="I1545" t="s">
        <v>11</v>
      </c>
      <c r="J1545" t="s">
        <v>42</v>
      </c>
    </row>
    <row r="1546" spans="1:10" x14ac:dyDescent="0.3">
      <c r="A1546" t="s">
        <v>1577</v>
      </c>
      <c r="B1546">
        <v>1962</v>
      </c>
      <c r="C1546" t="s">
        <v>35</v>
      </c>
      <c r="D1546">
        <v>2</v>
      </c>
      <c r="E1546" s="13" t="s">
        <v>12187</v>
      </c>
      <c r="F1546">
        <v>1</v>
      </c>
      <c r="G1546" s="11">
        <v>13112.6</v>
      </c>
      <c r="H1546" t="s">
        <v>12</v>
      </c>
      <c r="I1546" t="s">
        <v>12</v>
      </c>
      <c r="J1546" t="s">
        <v>23</v>
      </c>
    </row>
    <row r="1547" spans="1:10" x14ac:dyDescent="0.3">
      <c r="A1547" t="s">
        <v>1578</v>
      </c>
      <c r="B1547">
        <v>1992</v>
      </c>
      <c r="C1547" t="s">
        <v>35</v>
      </c>
      <c r="D1547">
        <v>12</v>
      </c>
      <c r="E1547" s="13" t="s">
        <v>12188</v>
      </c>
      <c r="F1547">
        <v>0</v>
      </c>
      <c r="G1547" s="11">
        <v>13113.51</v>
      </c>
      <c r="H1547" t="s">
        <v>12</v>
      </c>
      <c r="I1547" t="s">
        <v>11</v>
      </c>
      <c r="J1547" t="s">
        <v>535</v>
      </c>
    </row>
    <row r="1548" spans="1:10" x14ac:dyDescent="0.3">
      <c r="A1548" t="s">
        <v>1579</v>
      </c>
      <c r="B1548">
        <v>1963</v>
      </c>
      <c r="C1548" t="s">
        <v>20</v>
      </c>
      <c r="D1548">
        <v>14</v>
      </c>
      <c r="E1548" s="13" t="s">
        <v>12189</v>
      </c>
      <c r="F1548">
        <v>0</v>
      </c>
      <c r="G1548" s="11">
        <v>13116.84</v>
      </c>
      <c r="H1548" t="s">
        <v>12</v>
      </c>
      <c r="I1548" t="s">
        <v>16</v>
      </c>
      <c r="J1548" t="s">
        <v>23</v>
      </c>
    </row>
    <row r="1549" spans="1:10" x14ac:dyDescent="0.3">
      <c r="A1549" t="s">
        <v>1580</v>
      </c>
      <c r="B1549">
        <v>1999</v>
      </c>
      <c r="C1549" t="s">
        <v>35</v>
      </c>
      <c r="D1549">
        <v>16</v>
      </c>
      <c r="E1549" s="13" t="s">
        <v>12189</v>
      </c>
      <c r="F1549">
        <v>0</v>
      </c>
      <c r="G1549" s="11">
        <v>13126.68</v>
      </c>
      <c r="H1549" t="s">
        <v>12</v>
      </c>
      <c r="I1549" t="s">
        <v>12</v>
      </c>
      <c r="J1549" t="s">
        <v>42</v>
      </c>
    </row>
    <row r="1550" spans="1:10" x14ac:dyDescent="0.3">
      <c r="A1550" t="s">
        <v>1581</v>
      </c>
      <c r="B1550">
        <v>1961</v>
      </c>
      <c r="C1550" t="s">
        <v>20</v>
      </c>
      <c r="D1550">
        <v>7</v>
      </c>
      <c r="E1550" s="13" t="s">
        <v>12190</v>
      </c>
      <c r="F1550">
        <v>0</v>
      </c>
      <c r="G1550" s="11">
        <v>13129.6</v>
      </c>
      <c r="H1550" t="s">
        <v>12</v>
      </c>
      <c r="I1550" t="s">
        <v>11</v>
      </c>
      <c r="J1550" t="s">
        <v>356</v>
      </c>
    </row>
    <row r="1551" spans="1:10" x14ac:dyDescent="0.3">
      <c r="A1551" t="s">
        <v>1582</v>
      </c>
      <c r="B1551">
        <v>1961</v>
      </c>
      <c r="C1551" t="s">
        <v>30</v>
      </c>
      <c r="D1551">
        <v>6</v>
      </c>
      <c r="E1551" s="13" t="s">
        <v>12191</v>
      </c>
      <c r="F1551">
        <v>0</v>
      </c>
      <c r="G1551" s="11">
        <v>13143.34</v>
      </c>
      <c r="H1551" t="s">
        <v>12</v>
      </c>
      <c r="I1551" t="s">
        <v>11</v>
      </c>
      <c r="J1551" t="s">
        <v>516</v>
      </c>
    </row>
    <row r="1552" spans="1:10" x14ac:dyDescent="0.3">
      <c r="A1552" t="s">
        <v>1583</v>
      </c>
      <c r="B1552">
        <v>1961</v>
      </c>
      <c r="C1552" t="s">
        <v>30</v>
      </c>
      <c r="D1552">
        <v>6</v>
      </c>
      <c r="E1552" s="13" t="s">
        <v>12192</v>
      </c>
      <c r="F1552">
        <v>0</v>
      </c>
      <c r="G1552" s="11">
        <v>13143.86</v>
      </c>
      <c r="H1552" t="s">
        <v>12</v>
      </c>
      <c r="I1552" t="s">
        <v>11</v>
      </c>
      <c r="J1552" t="s">
        <v>168</v>
      </c>
    </row>
    <row r="1553" spans="1:10" x14ac:dyDescent="0.3">
      <c r="A1553" t="s">
        <v>1584</v>
      </c>
      <c r="B1553">
        <v>1962</v>
      </c>
      <c r="C1553" t="s">
        <v>35</v>
      </c>
      <c r="D1553">
        <v>5</v>
      </c>
      <c r="E1553" s="13" t="s">
        <v>12193</v>
      </c>
      <c r="F1553">
        <v>0</v>
      </c>
      <c r="G1553" s="11">
        <v>13204.29</v>
      </c>
      <c r="H1553" t="s">
        <v>12</v>
      </c>
      <c r="I1553" t="s">
        <v>16</v>
      </c>
      <c r="J1553" t="s">
        <v>247</v>
      </c>
    </row>
    <row r="1554" spans="1:10" x14ac:dyDescent="0.3">
      <c r="A1554" t="s">
        <v>1585</v>
      </c>
      <c r="B1554">
        <v>1982</v>
      </c>
      <c r="C1554" t="s">
        <v>37</v>
      </c>
      <c r="D1554">
        <v>15</v>
      </c>
      <c r="E1554" s="13" t="s">
        <v>12194</v>
      </c>
      <c r="F1554">
        <v>3</v>
      </c>
      <c r="G1554" s="11">
        <v>13214.43</v>
      </c>
      <c r="H1554" t="s">
        <v>12</v>
      </c>
      <c r="I1554" t="s">
        <v>11</v>
      </c>
      <c r="J1554" t="s">
        <v>23</v>
      </c>
    </row>
    <row r="1555" spans="1:10" x14ac:dyDescent="0.3">
      <c r="A1555" t="s">
        <v>1586</v>
      </c>
      <c r="B1555">
        <v>1962</v>
      </c>
      <c r="C1555" t="s">
        <v>30</v>
      </c>
      <c r="D1555">
        <v>7</v>
      </c>
      <c r="E1555" s="13" t="s">
        <v>12195</v>
      </c>
      <c r="F1555">
        <v>0</v>
      </c>
      <c r="G1555" s="11">
        <v>13217.09</v>
      </c>
      <c r="H1555" t="s">
        <v>12</v>
      </c>
      <c r="I1555" t="s">
        <v>16</v>
      </c>
      <c r="J1555" t="s">
        <v>247</v>
      </c>
    </row>
    <row r="1556" spans="1:10" x14ac:dyDescent="0.3">
      <c r="A1556" t="s">
        <v>1587</v>
      </c>
      <c r="B1556">
        <v>1965</v>
      </c>
      <c r="C1556" t="s">
        <v>15</v>
      </c>
      <c r="D1556">
        <v>13</v>
      </c>
      <c r="E1556" s="13" t="s">
        <v>11074</v>
      </c>
      <c r="F1556">
        <v>2</v>
      </c>
      <c r="G1556" s="11">
        <v>13224.06</v>
      </c>
      <c r="H1556" t="s">
        <v>12</v>
      </c>
      <c r="I1556" t="s">
        <v>12</v>
      </c>
      <c r="J1556" t="s">
        <v>247</v>
      </c>
    </row>
    <row r="1557" spans="1:10" x14ac:dyDescent="0.3">
      <c r="A1557" t="s">
        <v>1588</v>
      </c>
      <c r="B1557">
        <v>1962</v>
      </c>
      <c r="C1557" t="s">
        <v>15</v>
      </c>
      <c r="D1557">
        <v>24</v>
      </c>
      <c r="E1557" s="13" t="s">
        <v>12196</v>
      </c>
      <c r="F1557">
        <v>1</v>
      </c>
      <c r="G1557" s="11">
        <v>13224.69</v>
      </c>
      <c r="H1557" t="s">
        <v>12</v>
      </c>
      <c r="I1557" t="s">
        <v>11</v>
      </c>
      <c r="J1557" t="s">
        <v>42</v>
      </c>
    </row>
    <row r="1558" spans="1:10" x14ac:dyDescent="0.3">
      <c r="A1558" t="s">
        <v>1589</v>
      </c>
      <c r="B1558">
        <v>1962</v>
      </c>
      <c r="C1558" t="s">
        <v>37</v>
      </c>
      <c r="D1558">
        <v>11</v>
      </c>
      <c r="E1558" s="13" t="s">
        <v>12197</v>
      </c>
      <c r="F1558">
        <v>0</v>
      </c>
      <c r="G1558" s="11">
        <v>13228.85</v>
      </c>
      <c r="H1558" t="s">
        <v>12</v>
      </c>
      <c r="I1558" t="s">
        <v>12</v>
      </c>
      <c r="J1558" t="s">
        <v>249</v>
      </c>
    </row>
    <row r="1559" spans="1:10" x14ac:dyDescent="0.3">
      <c r="A1559" t="s">
        <v>1590</v>
      </c>
      <c r="B1559">
        <v>1994</v>
      </c>
      <c r="C1559" t="s">
        <v>10</v>
      </c>
      <c r="D1559">
        <v>1</v>
      </c>
      <c r="E1559" s="13" t="s">
        <v>12198</v>
      </c>
      <c r="F1559">
        <v>0</v>
      </c>
      <c r="G1559" s="11">
        <v>13292.52</v>
      </c>
      <c r="H1559" t="s">
        <v>12</v>
      </c>
      <c r="I1559" t="s">
        <v>12</v>
      </c>
      <c r="J1559" t="s">
        <v>23</v>
      </c>
    </row>
    <row r="1560" spans="1:10" x14ac:dyDescent="0.3">
      <c r="A1560" t="s">
        <v>1591</v>
      </c>
      <c r="B1560">
        <v>1976</v>
      </c>
      <c r="C1560" t="s">
        <v>35</v>
      </c>
      <c r="D1560">
        <v>23</v>
      </c>
      <c r="E1560" s="13" t="s">
        <v>12199</v>
      </c>
      <c r="F1560">
        <v>2</v>
      </c>
      <c r="G1560" s="11">
        <v>13333.71</v>
      </c>
      <c r="H1560" t="s">
        <v>12</v>
      </c>
      <c r="I1560" t="s">
        <v>11</v>
      </c>
      <c r="J1560" t="s">
        <v>23</v>
      </c>
    </row>
    <row r="1561" spans="1:10" x14ac:dyDescent="0.3">
      <c r="A1561" t="s">
        <v>1592</v>
      </c>
      <c r="B1561">
        <v>1960</v>
      </c>
      <c r="C1561" t="s">
        <v>15</v>
      </c>
      <c r="D1561">
        <v>11</v>
      </c>
      <c r="E1561" s="13" t="s">
        <v>12200</v>
      </c>
      <c r="F1561">
        <v>0</v>
      </c>
      <c r="G1561" s="11">
        <v>13352.1</v>
      </c>
      <c r="H1561" t="s">
        <v>12</v>
      </c>
      <c r="I1561" t="s">
        <v>16</v>
      </c>
      <c r="J1561" t="s">
        <v>23</v>
      </c>
    </row>
    <row r="1562" spans="1:10" x14ac:dyDescent="0.3">
      <c r="A1562" t="s">
        <v>1593</v>
      </c>
      <c r="B1562">
        <v>1990</v>
      </c>
      <c r="C1562" t="s">
        <v>37</v>
      </c>
      <c r="D1562">
        <v>2</v>
      </c>
      <c r="E1562" s="13" t="s">
        <v>12201</v>
      </c>
      <c r="F1562">
        <v>3</v>
      </c>
      <c r="G1562" s="11">
        <v>13360.94</v>
      </c>
      <c r="H1562" t="s">
        <v>12</v>
      </c>
      <c r="I1562" t="s">
        <v>16</v>
      </c>
      <c r="J1562" t="s">
        <v>23</v>
      </c>
    </row>
    <row r="1563" spans="1:10" x14ac:dyDescent="0.3">
      <c r="A1563" t="s">
        <v>1594</v>
      </c>
      <c r="B1563">
        <v>1964</v>
      </c>
      <c r="C1563" t="s">
        <v>20</v>
      </c>
      <c r="D1563">
        <v>24</v>
      </c>
      <c r="E1563" s="13" t="s">
        <v>12202</v>
      </c>
      <c r="F1563">
        <v>0</v>
      </c>
      <c r="G1563" s="11">
        <v>13375.76</v>
      </c>
      <c r="H1563" t="s">
        <v>12</v>
      </c>
      <c r="I1563" t="s">
        <v>11</v>
      </c>
      <c r="J1563" t="s">
        <v>200</v>
      </c>
    </row>
    <row r="1564" spans="1:10" x14ac:dyDescent="0.3">
      <c r="A1564" t="s">
        <v>1595</v>
      </c>
      <c r="B1564">
        <v>1979</v>
      </c>
      <c r="C1564" t="s">
        <v>20</v>
      </c>
      <c r="D1564">
        <v>30</v>
      </c>
      <c r="E1564" s="13" t="s">
        <v>12203</v>
      </c>
      <c r="F1564">
        <v>2</v>
      </c>
      <c r="G1564" s="11">
        <v>13377.41</v>
      </c>
      <c r="H1564" t="s">
        <v>12</v>
      </c>
      <c r="I1564" t="s">
        <v>12</v>
      </c>
      <c r="J1564" t="s">
        <v>535</v>
      </c>
    </row>
    <row r="1565" spans="1:10" x14ac:dyDescent="0.3">
      <c r="A1565" t="s">
        <v>1596</v>
      </c>
      <c r="B1565">
        <v>1984</v>
      </c>
      <c r="C1565" t="s">
        <v>18</v>
      </c>
      <c r="D1565">
        <v>6</v>
      </c>
      <c r="E1565" s="13" t="s">
        <v>12204</v>
      </c>
      <c r="F1565">
        <v>3</v>
      </c>
      <c r="G1565" s="11">
        <v>13383.67</v>
      </c>
      <c r="H1565" t="s">
        <v>12</v>
      </c>
      <c r="I1565" t="s">
        <v>11</v>
      </c>
      <c r="J1565" t="s">
        <v>249</v>
      </c>
    </row>
    <row r="1566" spans="1:10" x14ac:dyDescent="0.3">
      <c r="A1566" t="s">
        <v>1597</v>
      </c>
      <c r="B1566">
        <v>1959</v>
      </c>
      <c r="C1566" t="s">
        <v>30</v>
      </c>
      <c r="D1566">
        <v>9</v>
      </c>
      <c r="E1566" s="13" t="s">
        <v>12205</v>
      </c>
      <c r="F1566">
        <v>0</v>
      </c>
      <c r="G1566" s="11">
        <v>13390.56</v>
      </c>
      <c r="H1566" t="s">
        <v>12</v>
      </c>
      <c r="I1566" t="s">
        <v>12</v>
      </c>
      <c r="J1566" t="s">
        <v>42</v>
      </c>
    </row>
    <row r="1567" spans="1:10" x14ac:dyDescent="0.3">
      <c r="A1567" t="s">
        <v>1598</v>
      </c>
      <c r="B1567">
        <v>1959</v>
      </c>
      <c r="C1567" t="s">
        <v>15</v>
      </c>
      <c r="D1567">
        <v>25</v>
      </c>
      <c r="E1567" s="13" t="s">
        <v>12206</v>
      </c>
      <c r="F1567">
        <v>0</v>
      </c>
      <c r="G1567" s="11">
        <v>13393.76</v>
      </c>
      <c r="H1567" t="s">
        <v>12</v>
      </c>
      <c r="I1567" t="s">
        <v>16</v>
      </c>
      <c r="J1567" t="s">
        <v>42</v>
      </c>
    </row>
    <row r="1568" spans="1:10" x14ac:dyDescent="0.3">
      <c r="A1568" t="s">
        <v>1599</v>
      </c>
      <c r="B1568">
        <v>1959</v>
      </c>
      <c r="C1568" t="s">
        <v>30</v>
      </c>
      <c r="D1568">
        <v>20</v>
      </c>
      <c r="E1568" s="13" t="s">
        <v>12207</v>
      </c>
      <c r="F1568">
        <v>0</v>
      </c>
      <c r="G1568" s="11">
        <v>13405.39</v>
      </c>
      <c r="H1568" t="s">
        <v>12</v>
      </c>
      <c r="I1568" t="s">
        <v>12</v>
      </c>
      <c r="J1568" t="s">
        <v>13</v>
      </c>
    </row>
    <row r="1569" spans="1:10" x14ac:dyDescent="0.3">
      <c r="A1569" t="s">
        <v>1600</v>
      </c>
      <c r="B1569">
        <v>1992</v>
      </c>
      <c r="C1569" t="s">
        <v>30</v>
      </c>
      <c r="D1569">
        <v>19</v>
      </c>
      <c r="E1569" s="13" t="s">
        <v>12208</v>
      </c>
      <c r="F1569">
        <v>0</v>
      </c>
      <c r="G1569" s="11">
        <v>13412.97</v>
      </c>
      <c r="H1569" t="s">
        <v>12</v>
      </c>
      <c r="I1569" t="s">
        <v>12</v>
      </c>
      <c r="J1569" t="s">
        <v>249</v>
      </c>
    </row>
    <row r="1570" spans="1:10" x14ac:dyDescent="0.3">
      <c r="A1570" t="s">
        <v>1601</v>
      </c>
      <c r="B1570">
        <v>1961</v>
      </c>
      <c r="C1570" t="s">
        <v>10</v>
      </c>
      <c r="D1570">
        <v>22</v>
      </c>
      <c r="E1570" s="13" t="s">
        <v>12209</v>
      </c>
      <c r="F1570">
        <v>0</v>
      </c>
      <c r="G1570" s="11">
        <v>13415.04</v>
      </c>
      <c r="H1570" t="s">
        <v>12</v>
      </c>
      <c r="I1570" t="s">
        <v>11</v>
      </c>
      <c r="J1570" t="s">
        <v>23</v>
      </c>
    </row>
    <row r="1571" spans="1:10" x14ac:dyDescent="0.3">
      <c r="A1571" t="s">
        <v>1602</v>
      </c>
      <c r="B1571">
        <v>1994</v>
      </c>
      <c r="C1571" t="s">
        <v>18</v>
      </c>
      <c r="D1571">
        <v>17</v>
      </c>
      <c r="E1571" s="13" t="s">
        <v>12210</v>
      </c>
      <c r="F1571">
        <v>0</v>
      </c>
      <c r="G1571" s="11">
        <v>13417.05</v>
      </c>
      <c r="H1571" t="s">
        <v>12</v>
      </c>
      <c r="I1571" t="s">
        <v>12</v>
      </c>
      <c r="J1571" t="s">
        <v>23</v>
      </c>
    </row>
    <row r="1572" spans="1:10" x14ac:dyDescent="0.3">
      <c r="A1572" t="s">
        <v>1603</v>
      </c>
      <c r="B1572">
        <v>1961</v>
      </c>
      <c r="C1572" t="s">
        <v>15</v>
      </c>
      <c r="D1572">
        <v>3</v>
      </c>
      <c r="E1572" s="13" t="s">
        <v>12211</v>
      </c>
      <c r="F1572">
        <v>0</v>
      </c>
      <c r="G1572" s="11">
        <v>13429.04</v>
      </c>
      <c r="H1572" t="s">
        <v>12</v>
      </c>
      <c r="I1572" t="s">
        <v>12</v>
      </c>
      <c r="J1572" t="s">
        <v>23</v>
      </c>
    </row>
    <row r="1573" spans="1:10" x14ac:dyDescent="0.3">
      <c r="A1573" t="s">
        <v>1604</v>
      </c>
      <c r="B1573">
        <v>1966</v>
      </c>
      <c r="C1573" t="s">
        <v>15</v>
      </c>
      <c r="D1573">
        <v>14</v>
      </c>
      <c r="E1573" s="13" t="s">
        <v>12212</v>
      </c>
      <c r="F1573">
        <v>3</v>
      </c>
      <c r="G1573" s="11">
        <v>13430.27</v>
      </c>
      <c r="H1573" t="s">
        <v>12</v>
      </c>
      <c r="I1573" t="s">
        <v>12</v>
      </c>
      <c r="J1573" t="s">
        <v>247</v>
      </c>
    </row>
    <row r="1574" spans="1:10" x14ac:dyDescent="0.3">
      <c r="A1574" t="s">
        <v>1605</v>
      </c>
      <c r="B1574">
        <v>1975</v>
      </c>
      <c r="C1574" t="s">
        <v>18</v>
      </c>
      <c r="D1574">
        <v>29</v>
      </c>
      <c r="E1574" s="13" t="s">
        <v>12213</v>
      </c>
      <c r="F1574">
        <v>1</v>
      </c>
      <c r="G1574" s="11">
        <v>13440.7</v>
      </c>
      <c r="H1574" t="s">
        <v>12</v>
      </c>
      <c r="I1574" t="s">
        <v>11</v>
      </c>
      <c r="J1574" t="s">
        <v>23</v>
      </c>
    </row>
    <row r="1575" spans="1:10" x14ac:dyDescent="0.3">
      <c r="A1575" t="s">
        <v>1606</v>
      </c>
      <c r="B1575">
        <v>1960</v>
      </c>
      <c r="C1575" t="s">
        <v>35</v>
      </c>
      <c r="D1575">
        <v>13</v>
      </c>
      <c r="E1575" s="13" t="s">
        <v>11878</v>
      </c>
      <c r="F1575">
        <v>0</v>
      </c>
      <c r="G1575" s="11">
        <v>13451.12</v>
      </c>
      <c r="H1575" t="s">
        <v>12</v>
      </c>
      <c r="I1575" t="s">
        <v>16</v>
      </c>
      <c r="J1575" t="s">
        <v>42</v>
      </c>
    </row>
    <row r="1576" spans="1:10" x14ac:dyDescent="0.3">
      <c r="A1576" t="s">
        <v>1607</v>
      </c>
      <c r="B1576">
        <v>1960</v>
      </c>
      <c r="C1576" t="s">
        <v>10</v>
      </c>
      <c r="D1576">
        <v>11</v>
      </c>
      <c r="E1576" s="13" t="s">
        <v>12214</v>
      </c>
      <c r="F1576">
        <v>0</v>
      </c>
      <c r="G1576" s="11">
        <v>13457.96</v>
      </c>
      <c r="H1576" t="s">
        <v>12</v>
      </c>
      <c r="I1576" t="s">
        <v>16</v>
      </c>
      <c r="J1576" t="s">
        <v>13</v>
      </c>
    </row>
    <row r="1577" spans="1:10" x14ac:dyDescent="0.3">
      <c r="A1577" t="s">
        <v>1608</v>
      </c>
      <c r="B1577">
        <v>1960</v>
      </c>
      <c r="C1577" t="s">
        <v>30</v>
      </c>
      <c r="D1577">
        <v>16</v>
      </c>
      <c r="E1577" s="13" t="s">
        <v>12215</v>
      </c>
      <c r="F1577">
        <v>0</v>
      </c>
      <c r="G1577" s="11">
        <v>13462.52</v>
      </c>
      <c r="H1577" t="s">
        <v>12</v>
      </c>
      <c r="I1577" t="s">
        <v>11</v>
      </c>
      <c r="J1577" t="s">
        <v>42</v>
      </c>
    </row>
    <row r="1578" spans="1:10" x14ac:dyDescent="0.3">
      <c r="A1578" t="s">
        <v>1609</v>
      </c>
      <c r="B1578">
        <v>1985</v>
      </c>
      <c r="C1578" t="s">
        <v>35</v>
      </c>
      <c r="D1578">
        <v>19</v>
      </c>
      <c r="E1578" s="13" t="s">
        <v>12216</v>
      </c>
      <c r="F1578">
        <v>3</v>
      </c>
      <c r="G1578" s="11">
        <v>13465.8</v>
      </c>
      <c r="H1578" t="s">
        <v>12</v>
      </c>
      <c r="I1578" t="s">
        <v>16</v>
      </c>
      <c r="J1578" t="s">
        <v>23</v>
      </c>
    </row>
    <row r="1579" spans="1:10" x14ac:dyDescent="0.3">
      <c r="A1579" t="s">
        <v>1610</v>
      </c>
      <c r="B1579">
        <v>1960</v>
      </c>
      <c r="C1579" t="s">
        <v>10</v>
      </c>
      <c r="D1579">
        <v>28</v>
      </c>
      <c r="E1579" s="13" t="s">
        <v>12217</v>
      </c>
      <c r="F1579">
        <v>0</v>
      </c>
      <c r="G1579" s="11">
        <v>13470.8</v>
      </c>
      <c r="H1579" t="s">
        <v>12</v>
      </c>
      <c r="I1579" t="s">
        <v>11</v>
      </c>
      <c r="J1579" t="s">
        <v>13</v>
      </c>
    </row>
    <row r="1580" spans="1:10" x14ac:dyDescent="0.3">
      <c r="A1580" t="s">
        <v>1611</v>
      </c>
      <c r="B1580">
        <v>1960</v>
      </c>
      <c r="C1580" t="s">
        <v>10</v>
      </c>
      <c r="D1580">
        <v>24</v>
      </c>
      <c r="E1580" s="13" t="s">
        <v>12218</v>
      </c>
      <c r="F1580">
        <v>0</v>
      </c>
      <c r="G1580" s="11">
        <v>13470.86</v>
      </c>
      <c r="H1580" t="s">
        <v>12</v>
      </c>
      <c r="I1580" t="s">
        <v>12</v>
      </c>
      <c r="J1580" t="s">
        <v>42</v>
      </c>
    </row>
    <row r="1581" spans="1:10" x14ac:dyDescent="0.3">
      <c r="A1581" t="s">
        <v>1612</v>
      </c>
      <c r="B1581">
        <v>1975</v>
      </c>
      <c r="C1581" t="s">
        <v>35</v>
      </c>
      <c r="D1581">
        <v>7</v>
      </c>
      <c r="E1581" s="13" t="s">
        <v>12212</v>
      </c>
      <c r="F1581">
        <v>1</v>
      </c>
      <c r="G1581" s="11">
        <v>13472.19</v>
      </c>
      <c r="H1581" t="s">
        <v>12</v>
      </c>
      <c r="I1581" t="s">
        <v>11</v>
      </c>
      <c r="J1581" t="s">
        <v>23</v>
      </c>
    </row>
    <row r="1582" spans="1:10" x14ac:dyDescent="0.3">
      <c r="A1582" t="s">
        <v>1613</v>
      </c>
      <c r="B1582">
        <v>1990</v>
      </c>
      <c r="C1582" t="s">
        <v>35</v>
      </c>
      <c r="D1582">
        <v>30</v>
      </c>
      <c r="E1582" s="13" t="s">
        <v>12219</v>
      </c>
      <c r="F1582">
        <v>3</v>
      </c>
      <c r="G1582" s="11">
        <v>13480.83</v>
      </c>
      <c r="H1582" t="s">
        <v>12</v>
      </c>
      <c r="I1582" t="s">
        <v>11</v>
      </c>
      <c r="J1582" t="s">
        <v>249</v>
      </c>
    </row>
    <row r="1583" spans="1:10" x14ac:dyDescent="0.3">
      <c r="A1583" t="s">
        <v>1614</v>
      </c>
      <c r="B1583">
        <v>1963</v>
      </c>
      <c r="C1583" t="s">
        <v>37</v>
      </c>
      <c r="D1583">
        <v>14</v>
      </c>
      <c r="E1583" s="13" t="s">
        <v>12220</v>
      </c>
      <c r="F1583">
        <v>0</v>
      </c>
      <c r="G1583" s="11">
        <v>13511.28</v>
      </c>
      <c r="H1583" t="s">
        <v>12</v>
      </c>
      <c r="I1583" t="s">
        <v>16</v>
      </c>
      <c r="J1583" t="s">
        <v>23</v>
      </c>
    </row>
    <row r="1584" spans="1:10" x14ac:dyDescent="0.3">
      <c r="A1584" t="s">
        <v>1615</v>
      </c>
      <c r="B1584">
        <v>1960</v>
      </c>
      <c r="C1584" t="s">
        <v>10</v>
      </c>
      <c r="D1584">
        <v>11</v>
      </c>
      <c r="E1584" s="13" t="s">
        <v>12221</v>
      </c>
      <c r="F1584">
        <v>0</v>
      </c>
      <c r="G1584" s="11">
        <v>13555</v>
      </c>
      <c r="H1584" t="s">
        <v>12</v>
      </c>
      <c r="I1584" t="s">
        <v>12</v>
      </c>
      <c r="J1584" t="s">
        <v>356</v>
      </c>
    </row>
    <row r="1585" spans="1:10" x14ac:dyDescent="0.3">
      <c r="A1585" t="s">
        <v>1616</v>
      </c>
      <c r="B1585">
        <v>1968</v>
      </c>
      <c r="C1585" t="s">
        <v>10</v>
      </c>
      <c r="D1585">
        <v>15</v>
      </c>
      <c r="E1585" s="13" t="s">
        <v>12222</v>
      </c>
      <c r="F1585">
        <v>0</v>
      </c>
      <c r="G1585" s="11">
        <v>13566.04</v>
      </c>
      <c r="H1585" t="s">
        <v>12</v>
      </c>
      <c r="I1585" t="s">
        <v>12</v>
      </c>
      <c r="J1585" t="s">
        <v>535</v>
      </c>
    </row>
    <row r="1586" spans="1:10" x14ac:dyDescent="0.3">
      <c r="A1586" t="s">
        <v>1617</v>
      </c>
      <c r="B1586">
        <v>1992</v>
      </c>
      <c r="C1586" t="s">
        <v>35</v>
      </c>
      <c r="D1586">
        <v>14</v>
      </c>
      <c r="E1586" s="13" t="s">
        <v>12223</v>
      </c>
      <c r="F1586">
        <v>0</v>
      </c>
      <c r="G1586" s="11">
        <v>13588.17</v>
      </c>
      <c r="H1586" t="s">
        <v>12</v>
      </c>
      <c r="I1586" t="s">
        <v>16</v>
      </c>
      <c r="J1586" t="s">
        <v>23</v>
      </c>
    </row>
    <row r="1587" spans="1:10" x14ac:dyDescent="0.3">
      <c r="A1587" t="s">
        <v>1618</v>
      </c>
      <c r="B1587">
        <v>1964</v>
      </c>
      <c r="C1587" t="s">
        <v>20</v>
      </c>
      <c r="D1587">
        <v>10</v>
      </c>
      <c r="E1587" s="13" t="s">
        <v>12224</v>
      </c>
      <c r="F1587">
        <v>2</v>
      </c>
      <c r="G1587" s="11">
        <v>13607.37</v>
      </c>
      <c r="H1587" t="s">
        <v>12</v>
      </c>
      <c r="I1587" t="s">
        <v>16</v>
      </c>
      <c r="J1587" t="s">
        <v>247</v>
      </c>
    </row>
    <row r="1588" spans="1:10" x14ac:dyDescent="0.3">
      <c r="A1588" t="s">
        <v>1619</v>
      </c>
      <c r="B1588">
        <v>1961</v>
      </c>
      <c r="C1588" t="s">
        <v>15</v>
      </c>
      <c r="D1588">
        <v>18</v>
      </c>
      <c r="E1588" s="13" t="s">
        <v>12225</v>
      </c>
      <c r="F1588">
        <v>0</v>
      </c>
      <c r="G1588" s="11">
        <v>13616.36</v>
      </c>
      <c r="H1588" t="s">
        <v>12</v>
      </c>
      <c r="I1588" t="s">
        <v>12</v>
      </c>
      <c r="J1588" t="s">
        <v>247</v>
      </c>
    </row>
    <row r="1589" spans="1:10" x14ac:dyDescent="0.3">
      <c r="A1589" t="s">
        <v>1620</v>
      </c>
      <c r="B1589">
        <v>1969</v>
      </c>
      <c r="C1589" t="s">
        <v>10</v>
      </c>
      <c r="D1589">
        <v>26</v>
      </c>
      <c r="E1589" s="13" t="s">
        <v>12226</v>
      </c>
      <c r="F1589">
        <v>0</v>
      </c>
      <c r="G1589" s="11">
        <v>13622.01</v>
      </c>
      <c r="H1589" t="s">
        <v>12</v>
      </c>
      <c r="I1589" t="s">
        <v>12</v>
      </c>
      <c r="J1589" t="s">
        <v>23</v>
      </c>
    </row>
    <row r="1590" spans="1:10" x14ac:dyDescent="0.3">
      <c r="A1590" t="s">
        <v>1621</v>
      </c>
      <c r="B1590">
        <v>1961</v>
      </c>
      <c r="C1590" t="s">
        <v>30</v>
      </c>
      <c r="D1590">
        <v>24</v>
      </c>
      <c r="E1590" s="13" t="s">
        <v>12227</v>
      </c>
      <c r="F1590">
        <v>0</v>
      </c>
      <c r="G1590" s="11">
        <v>13635.64</v>
      </c>
      <c r="H1590" t="s">
        <v>12</v>
      </c>
      <c r="I1590" t="s">
        <v>12</v>
      </c>
      <c r="J1590" t="s">
        <v>247</v>
      </c>
    </row>
    <row r="1591" spans="1:10" x14ac:dyDescent="0.3">
      <c r="A1591" t="s">
        <v>1622</v>
      </c>
      <c r="B1591">
        <v>1984</v>
      </c>
      <c r="C1591" t="s">
        <v>10</v>
      </c>
      <c r="D1591">
        <v>20</v>
      </c>
      <c r="E1591" s="13" t="s">
        <v>12228</v>
      </c>
      <c r="F1591">
        <v>3</v>
      </c>
      <c r="G1591" s="11">
        <v>13638.06</v>
      </c>
      <c r="H1591" t="s">
        <v>12</v>
      </c>
      <c r="I1591" t="s">
        <v>12</v>
      </c>
      <c r="J1591" t="s">
        <v>249</v>
      </c>
    </row>
    <row r="1592" spans="1:10" x14ac:dyDescent="0.3">
      <c r="A1592" t="s">
        <v>1623</v>
      </c>
      <c r="B1592">
        <v>1963</v>
      </c>
      <c r="C1592" t="s">
        <v>35</v>
      </c>
      <c r="D1592">
        <v>4</v>
      </c>
      <c r="E1592" s="13" t="s">
        <v>12229</v>
      </c>
      <c r="F1592">
        <v>0</v>
      </c>
      <c r="G1592" s="11">
        <v>13677.68</v>
      </c>
      <c r="H1592" t="s">
        <v>12</v>
      </c>
      <c r="I1592" t="s">
        <v>11</v>
      </c>
      <c r="J1592" t="s">
        <v>300</v>
      </c>
    </row>
    <row r="1593" spans="1:10" x14ac:dyDescent="0.3">
      <c r="A1593" t="s">
        <v>1624</v>
      </c>
      <c r="B1593">
        <v>1985</v>
      </c>
      <c r="C1593" t="s">
        <v>20</v>
      </c>
      <c r="D1593">
        <v>14</v>
      </c>
      <c r="E1593" s="13" t="s">
        <v>12230</v>
      </c>
      <c r="F1593">
        <v>3</v>
      </c>
      <c r="G1593" s="11">
        <v>13685.51</v>
      </c>
      <c r="H1593" t="s">
        <v>12</v>
      </c>
      <c r="I1593" t="s">
        <v>16</v>
      </c>
      <c r="J1593" t="s">
        <v>535</v>
      </c>
    </row>
    <row r="1594" spans="1:10" x14ac:dyDescent="0.3">
      <c r="A1594" t="s">
        <v>1625</v>
      </c>
      <c r="B1594">
        <v>1986</v>
      </c>
      <c r="C1594" t="s">
        <v>15</v>
      </c>
      <c r="D1594">
        <v>24</v>
      </c>
      <c r="E1594" s="13" t="s">
        <v>11536</v>
      </c>
      <c r="F1594">
        <v>3</v>
      </c>
      <c r="G1594" s="11">
        <v>13714.55</v>
      </c>
      <c r="H1594" t="s">
        <v>12</v>
      </c>
      <c r="I1594" t="s">
        <v>11</v>
      </c>
      <c r="J1594" t="s">
        <v>249</v>
      </c>
    </row>
    <row r="1595" spans="1:10" x14ac:dyDescent="0.3">
      <c r="A1595" t="s">
        <v>1626</v>
      </c>
      <c r="B1595">
        <v>1981</v>
      </c>
      <c r="C1595" t="s">
        <v>35</v>
      </c>
      <c r="D1595">
        <v>2</v>
      </c>
      <c r="E1595" s="13" t="s">
        <v>11088</v>
      </c>
      <c r="F1595">
        <v>1</v>
      </c>
      <c r="G1595" s="11">
        <v>13725.47</v>
      </c>
      <c r="H1595" t="s">
        <v>12</v>
      </c>
      <c r="I1595" t="s">
        <v>11</v>
      </c>
      <c r="J1595" t="s">
        <v>247</v>
      </c>
    </row>
    <row r="1596" spans="1:10" x14ac:dyDescent="0.3">
      <c r="A1596" t="s">
        <v>1627</v>
      </c>
      <c r="B1596">
        <v>1985</v>
      </c>
      <c r="C1596" t="s">
        <v>35</v>
      </c>
      <c r="D1596">
        <v>29</v>
      </c>
      <c r="E1596" s="13" t="s">
        <v>12231</v>
      </c>
      <c r="F1596">
        <v>3</v>
      </c>
      <c r="G1596" s="11">
        <v>13726.21</v>
      </c>
      <c r="H1596" t="s">
        <v>12</v>
      </c>
      <c r="I1596" t="s">
        <v>12</v>
      </c>
      <c r="J1596" t="s">
        <v>535</v>
      </c>
    </row>
    <row r="1597" spans="1:10" x14ac:dyDescent="0.3">
      <c r="A1597" t="s">
        <v>1628</v>
      </c>
      <c r="B1597">
        <v>1969</v>
      </c>
      <c r="C1597" t="s">
        <v>37</v>
      </c>
      <c r="D1597">
        <v>23</v>
      </c>
      <c r="E1597" s="13" t="s">
        <v>12232</v>
      </c>
      <c r="F1597">
        <v>0</v>
      </c>
      <c r="G1597" s="11">
        <v>13746.74</v>
      </c>
      <c r="H1597" t="s">
        <v>12</v>
      </c>
      <c r="I1597" t="s">
        <v>11</v>
      </c>
      <c r="J1597" t="s">
        <v>535</v>
      </c>
    </row>
    <row r="1598" spans="1:10" x14ac:dyDescent="0.3">
      <c r="A1598" t="s">
        <v>1629</v>
      </c>
      <c r="B1598">
        <v>2004</v>
      </c>
      <c r="C1598" t="s">
        <v>10</v>
      </c>
      <c r="D1598">
        <v>16</v>
      </c>
      <c r="E1598" s="13" t="s">
        <v>12233</v>
      </c>
      <c r="F1598">
        <v>0</v>
      </c>
      <c r="G1598" s="11">
        <v>13747.87</v>
      </c>
      <c r="H1598" t="s">
        <v>12</v>
      </c>
      <c r="I1598" t="s">
        <v>11</v>
      </c>
      <c r="J1598" t="s">
        <v>170</v>
      </c>
    </row>
    <row r="1599" spans="1:10" x14ac:dyDescent="0.3">
      <c r="A1599" t="s">
        <v>1630</v>
      </c>
      <c r="B1599">
        <v>1959</v>
      </c>
      <c r="C1599" t="s">
        <v>35</v>
      </c>
      <c r="D1599">
        <v>6</v>
      </c>
      <c r="E1599" s="13" t="s">
        <v>12234</v>
      </c>
      <c r="F1599">
        <v>0</v>
      </c>
      <c r="G1599" s="11">
        <v>13770.1</v>
      </c>
      <c r="H1599" t="s">
        <v>12</v>
      </c>
      <c r="I1599" t="s">
        <v>16</v>
      </c>
      <c r="J1599" t="s">
        <v>23</v>
      </c>
    </row>
    <row r="1600" spans="1:10" x14ac:dyDescent="0.3">
      <c r="A1600" t="s">
        <v>1631</v>
      </c>
      <c r="B1600">
        <v>1966</v>
      </c>
      <c r="C1600" t="s">
        <v>15</v>
      </c>
      <c r="D1600">
        <v>10</v>
      </c>
      <c r="E1600" s="13" t="s">
        <v>12235</v>
      </c>
      <c r="F1600">
        <v>0</v>
      </c>
      <c r="G1600" s="11">
        <v>13801.61</v>
      </c>
      <c r="H1600" t="s">
        <v>12</v>
      </c>
      <c r="I1600" t="s">
        <v>12</v>
      </c>
      <c r="J1600" t="s">
        <v>535</v>
      </c>
    </row>
    <row r="1601" spans="1:10" x14ac:dyDescent="0.3">
      <c r="A1601" t="s">
        <v>1632</v>
      </c>
      <c r="B1601">
        <v>1986</v>
      </c>
      <c r="C1601" t="s">
        <v>30</v>
      </c>
      <c r="D1601">
        <v>8</v>
      </c>
      <c r="E1601" s="13" t="s">
        <v>12236</v>
      </c>
      <c r="F1601">
        <v>3</v>
      </c>
      <c r="G1601" s="11">
        <v>13819.49</v>
      </c>
      <c r="H1601" t="s">
        <v>12</v>
      </c>
      <c r="I1601" t="s">
        <v>11</v>
      </c>
      <c r="J1601" t="s">
        <v>23</v>
      </c>
    </row>
    <row r="1602" spans="1:10" x14ac:dyDescent="0.3">
      <c r="A1602" t="s">
        <v>1633</v>
      </c>
      <c r="B1602">
        <v>1958</v>
      </c>
      <c r="C1602" t="s">
        <v>15</v>
      </c>
      <c r="D1602">
        <v>25</v>
      </c>
      <c r="E1602" s="13" t="s">
        <v>12237</v>
      </c>
      <c r="F1602">
        <v>0</v>
      </c>
      <c r="G1602" s="11">
        <v>13822.8</v>
      </c>
      <c r="H1602" t="s">
        <v>12</v>
      </c>
      <c r="I1602" t="s">
        <v>12</v>
      </c>
      <c r="J1602" t="s">
        <v>42</v>
      </c>
    </row>
    <row r="1603" spans="1:10" x14ac:dyDescent="0.3">
      <c r="A1603" t="s">
        <v>1634</v>
      </c>
      <c r="B1603">
        <v>1958</v>
      </c>
      <c r="C1603" t="s">
        <v>30</v>
      </c>
      <c r="D1603">
        <v>10</v>
      </c>
      <c r="E1603" s="13" t="s">
        <v>12238</v>
      </c>
      <c r="F1603">
        <v>0</v>
      </c>
      <c r="G1603" s="11">
        <v>13831.12</v>
      </c>
      <c r="H1603" t="s">
        <v>12</v>
      </c>
      <c r="I1603" t="s">
        <v>16</v>
      </c>
      <c r="J1603" t="s">
        <v>13</v>
      </c>
    </row>
    <row r="1604" spans="1:10" x14ac:dyDescent="0.3">
      <c r="A1604" t="s">
        <v>1635</v>
      </c>
      <c r="B1604">
        <v>2003</v>
      </c>
      <c r="C1604" t="s">
        <v>18</v>
      </c>
      <c r="D1604">
        <v>7</v>
      </c>
      <c r="E1604" s="13" t="s">
        <v>12239</v>
      </c>
      <c r="F1604">
        <v>0</v>
      </c>
      <c r="G1604" s="11">
        <v>13844.51</v>
      </c>
      <c r="H1604" t="s">
        <v>11</v>
      </c>
      <c r="I1604" t="s">
        <v>16</v>
      </c>
      <c r="J1604" t="s">
        <v>42</v>
      </c>
    </row>
    <row r="1605" spans="1:10" x14ac:dyDescent="0.3">
      <c r="A1605" t="s">
        <v>1636</v>
      </c>
      <c r="B1605">
        <v>1960</v>
      </c>
      <c r="C1605" t="s">
        <v>10</v>
      </c>
      <c r="D1605">
        <v>21</v>
      </c>
      <c r="E1605" s="13" t="s">
        <v>12240</v>
      </c>
      <c r="F1605">
        <v>0</v>
      </c>
      <c r="G1605" s="11">
        <v>13844.8</v>
      </c>
      <c r="H1605" t="s">
        <v>11</v>
      </c>
      <c r="I1605" t="s">
        <v>11</v>
      </c>
      <c r="J1605" t="s">
        <v>23</v>
      </c>
    </row>
    <row r="1606" spans="1:10" x14ac:dyDescent="0.3">
      <c r="A1606" t="s">
        <v>1637</v>
      </c>
      <c r="B1606">
        <v>1978</v>
      </c>
      <c r="C1606" t="s">
        <v>30</v>
      </c>
      <c r="D1606">
        <v>19</v>
      </c>
      <c r="E1606" s="13" t="s">
        <v>12241</v>
      </c>
      <c r="F1606">
        <v>2</v>
      </c>
      <c r="G1606" s="11">
        <v>13874.89</v>
      </c>
      <c r="H1606" t="s">
        <v>11</v>
      </c>
      <c r="I1606" t="s">
        <v>16</v>
      </c>
      <c r="J1606" t="s">
        <v>23</v>
      </c>
    </row>
    <row r="1607" spans="1:10" x14ac:dyDescent="0.3">
      <c r="A1607" t="s">
        <v>1638</v>
      </c>
      <c r="B1607">
        <v>1959</v>
      </c>
      <c r="C1607" t="s">
        <v>37</v>
      </c>
      <c r="D1607">
        <v>5</v>
      </c>
      <c r="E1607" s="13" t="s">
        <v>12242</v>
      </c>
      <c r="F1607">
        <v>0</v>
      </c>
      <c r="G1607" s="11">
        <v>13880.95</v>
      </c>
      <c r="H1607" t="s">
        <v>11</v>
      </c>
      <c r="I1607" t="s">
        <v>11</v>
      </c>
      <c r="J1607" t="s">
        <v>42</v>
      </c>
    </row>
    <row r="1608" spans="1:10" x14ac:dyDescent="0.3">
      <c r="A1608" t="s">
        <v>1639</v>
      </c>
      <c r="B1608">
        <v>1985</v>
      </c>
      <c r="C1608" t="s">
        <v>20</v>
      </c>
      <c r="D1608">
        <v>25</v>
      </c>
      <c r="E1608" s="13" t="s">
        <v>12243</v>
      </c>
      <c r="F1608">
        <v>3</v>
      </c>
      <c r="G1608" s="11">
        <v>13886.4</v>
      </c>
      <c r="H1608" t="s">
        <v>11</v>
      </c>
      <c r="I1608" t="s">
        <v>11</v>
      </c>
      <c r="J1608" t="s">
        <v>23</v>
      </c>
    </row>
    <row r="1609" spans="1:10" x14ac:dyDescent="0.3">
      <c r="A1609" t="s">
        <v>1640</v>
      </c>
      <c r="B1609">
        <v>1959</v>
      </c>
      <c r="C1609" t="s">
        <v>30</v>
      </c>
      <c r="D1609">
        <v>29</v>
      </c>
      <c r="E1609" s="13" t="s">
        <v>12244</v>
      </c>
      <c r="F1609">
        <v>0</v>
      </c>
      <c r="G1609" s="11">
        <v>13887.2</v>
      </c>
      <c r="H1609" t="s">
        <v>11</v>
      </c>
      <c r="I1609" t="s">
        <v>12</v>
      </c>
      <c r="J1609" t="s">
        <v>13</v>
      </c>
    </row>
    <row r="1610" spans="1:10" x14ac:dyDescent="0.3">
      <c r="A1610" t="s">
        <v>1641</v>
      </c>
      <c r="B1610">
        <v>1959</v>
      </c>
      <c r="C1610" t="s">
        <v>10</v>
      </c>
      <c r="D1610">
        <v>7</v>
      </c>
      <c r="E1610" s="13" t="s">
        <v>12245</v>
      </c>
      <c r="F1610">
        <v>0</v>
      </c>
      <c r="G1610" s="11">
        <v>13887.97</v>
      </c>
      <c r="H1610" t="s">
        <v>11</v>
      </c>
      <c r="I1610" t="s">
        <v>11</v>
      </c>
      <c r="J1610" t="s">
        <v>13</v>
      </c>
    </row>
    <row r="1611" spans="1:10" x14ac:dyDescent="0.3">
      <c r="A1611" t="s">
        <v>1642</v>
      </c>
      <c r="B1611">
        <v>1962</v>
      </c>
      <c r="C1611" t="s">
        <v>10</v>
      </c>
      <c r="D1611">
        <v>27</v>
      </c>
      <c r="E1611" s="13" t="s">
        <v>11240</v>
      </c>
      <c r="F1611">
        <v>3</v>
      </c>
      <c r="G1611" s="11">
        <v>13919.82</v>
      </c>
      <c r="H1611" t="s">
        <v>11</v>
      </c>
      <c r="I1611" t="s">
        <v>11</v>
      </c>
      <c r="J1611" t="s">
        <v>13</v>
      </c>
    </row>
    <row r="1612" spans="1:10" x14ac:dyDescent="0.3">
      <c r="A1612" t="s">
        <v>1643</v>
      </c>
      <c r="B1612">
        <v>1960</v>
      </c>
      <c r="C1612" t="s">
        <v>18</v>
      </c>
      <c r="D1612">
        <v>18</v>
      </c>
      <c r="E1612" s="13" t="s">
        <v>12246</v>
      </c>
      <c r="F1612">
        <v>1</v>
      </c>
      <c r="G1612" s="11">
        <v>13937.67</v>
      </c>
      <c r="H1612" t="s">
        <v>11</v>
      </c>
      <c r="I1612" t="s">
        <v>16</v>
      </c>
      <c r="J1612" t="s">
        <v>23</v>
      </c>
    </row>
    <row r="1613" spans="1:10" x14ac:dyDescent="0.3">
      <c r="A1613" t="s">
        <v>1644</v>
      </c>
      <c r="B1613">
        <v>1959</v>
      </c>
      <c r="C1613" t="s">
        <v>35</v>
      </c>
      <c r="D1613">
        <v>29</v>
      </c>
      <c r="E1613" s="13" t="s">
        <v>12247</v>
      </c>
      <c r="F1613">
        <v>0</v>
      </c>
      <c r="G1613" s="11">
        <v>13974.46</v>
      </c>
      <c r="H1613" t="s">
        <v>11</v>
      </c>
      <c r="I1613" t="s">
        <v>11</v>
      </c>
      <c r="J1613" t="s">
        <v>166</v>
      </c>
    </row>
    <row r="1614" spans="1:10" x14ac:dyDescent="0.3">
      <c r="A1614" t="s">
        <v>1645</v>
      </c>
      <c r="B1614">
        <v>1990</v>
      </c>
      <c r="C1614" t="s">
        <v>10</v>
      </c>
      <c r="D1614">
        <v>13</v>
      </c>
      <c r="E1614" s="13" t="s">
        <v>12248</v>
      </c>
      <c r="F1614">
        <v>3</v>
      </c>
      <c r="G1614" s="11">
        <v>13979.45</v>
      </c>
      <c r="H1614" t="s">
        <v>11</v>
      </c>
      <c r="I1614" t="s">
        <v>16</v>
      </c>
      <c r="J1614" t="s">
        <v>249</v>
      </c>
    </row>
    <row r="1615" spans="1:10" x14ac:dyDescent="0.3">
      <c r="A1615" t="s">
        <v>1646</v>
      </c>
      <c r="B1615">
        <v>1959</v>
      </c>
      <c r="C1615" t="s">
        <v>20</v>
      </c>
      <c r="D1615">
        <v>6</v>
      </c>
      <c r="E1615" s="13" t="s">
        <v>12249</v>
      </c>
      <c r="F1615">
        <v>0</v>
      </c>
      <c r="G1615" s="11">
        <v>13981.85</v>
      </c>
      <c r="H1615" t="s">
        <v>11</v>
      </c>
      <c r="I1615" t="s">
        <v>16</v>
      </c>
      <c r="J1615" t="s">
        <v>168</v>
      </c>
    </row>
    <row r="1616" spans="1:10" x14ac:dyDescent="0.3">
      <c r="A1616" t="s">
        <v>1647</v>
      </c>
      <c r="B1616">
        <v>1963</v>
      </c>
      <c r="C1616" t="s">
        <v>30</v>
      </c>
      <c r="D1616">
        <v>23</v>
      </c>
      <c r="E1616" s="13" t="s">
        <v>12250</v>
      </c>
      <c r="F1616">
        <v>3</v>
      </c>
      <c r="G1616" s="11">
        <v>14001.13</v>
      </c>
      <c r="H1616" t="s">
        <v>11</v>
      </c>
      <c r="I1616" t="s">
        <v>16</v>
      </c>
      <c r="J1616" t="s">
        <v>13</v>
      </c>
    </row>
    <row r="1617" spans="1:10" x14ac:dyDescent="0.3">
      <c r="A1617" t="s">
        <v>1648</v>
      </c>
      <c r="B1617">
        <v>1963</v>
      </c>
      <c r="C1617" t="s">
        <v>10</v>
      </c>
      <c r="D1617">
        <v>6</v>
      </c>
      <c r="E1617" s="13" t="s">
        <v>12251</v>
      </c>
      <c r="F1617">
        <v>3</v>
      </c>
      <c r="G1617" s="11">
        <v>14001.29</v>
      </c>
      <c r="H1617" t="s">
        <v>11</v>
      </c>
      <c r="I1617" t="s">
        <v>11</v>
      </c>
      <c r="J1617" t="s">
        <v>13</v>
      </c>
    </row>
    <row r="1618" spans="1:10" x14ac:dyDescent="0.3">
      <c r="A1618" t="s">
        <v>1649</v>
      </c>
      <c r="B1618">
        <v>1963</v>
      </c>
      <c r="C1618" t="s">
        <v>10</v>
      </c>
      <c r="D1618">
        <v>8</v>
      </c>
      <c r="E1618" s="13" t="s">
        <v>12252</v>
      </c>
      <c r="F1618">
        <v>3</v>
      </c>
      <c r="G1618" s="11">
        <v>14007.22</v>
      </c>
      <c r="H1618" t="s">
        <v>11</v>
      </c>
      <c r="I1618" t="s">
        <v>12</v>
      </c>
      <c r="J1618" t="s">
        <v>42</v>
      </c>
    </row>
    <row r="1619" spans="1:10" x14ac:dyDescent="0.3">
      <c r="A1619" t="s">
        <v>1650</v>
      </c>
      <c r="B1619">
        <v>1960</v>
      </c>
      <c r="C1619" t="s">
        <v>15</v>
      </c>
      <c r="D1619">
        <v>8</v>
      </c>
      <c r="E1619" s="13" t="s">
        <v>12253</v>
      </c>
      <c r="F1619">
        <v>0</v>
      </c>
      <c r="G1619" s="11">
        <v>14043.48</v>
      </c>
      <c r="H1619" t="s">
        <v>11</v>
      </c>
      <c r="I1619" t="s">
        <v>12</v>
      </c>
      <c r="J1619" t="s">
        <v>247</v>
      </c>
    </row>
    <row r="1620" spans="1:10" x14ac:dyDescent="0.3">
      <c r="A1620" t="s">
        <v>1651</v>
      </c>
      <c r="B1620">
        <v>1991</v>
      </c>
      <c r="C1620" t="s">
        <v>20</v>
      </c>
      <c r="D1620">
        <v>12</v>
      </c>
      <c r="E1620" s="13" t="s">
        <v>12254</v>
      </c>
      <c r="F1620">
        <v>3</v>
      </c>
      <c r="G1620" s="11">
        <v>14081.93</v>
      </c>
      <c r="H1620" t="s">
        <v>11</v>
      </c>
      <c r="I1620" t="s">
        <v>12</v>
      </c>
      <c r="J1620" t="s">
        <v>23</v>
      </c>
    </row>
    <row r="1621" spans="1:10" x14ac:dyDescent="0.3">
      <c r="A1621" t="s">
        <v>1652</v>
      </c>
      <c r="B1621">
        <v>1976</v>
      </c>
      <c r="C1621" t="s">
        <v>20</v>
      </c>
      <c r="D1621">
        <v>26</v>
      </c>
      <c r="E1621" s="13" t="s">
        <v>11165</v>
      </c>
      <c r="F1621">
        <v>2</v>
      </c>
      <c r="G1621" s="11">
        <v>14098.07</v>
      </c>
      <c r="H1621" t="s">
        <v>11</v>
      </c>
      <c r="I1621" t="s">
        <v>12</v>
      </c>
      <c r="J1621" t="s">
        <v>249</v>
      </c>
    </row>
    <row r="1622" spans="1:10" x14ac:dyDescent="0.3">
      <c r="A1622" t="s">
        <v>1653</v>
      </c>
      <c r="B1622">
        <v>1961</v>
      </c>
      <c r="C1622" t="s">
        <v>18</v>
      </c>
      <c r="D1622">
        <v>14</v>
      </c>
      <c r="E1622" s="13" t="s">
        <v>12255</v>
      </c>
      <c r="F1622">
        <v>2</v>
      </c>
      <c r="G1622" s="11">
        <v>14119.62</v>
      </c>
      <c r="H1622" t="s">
        <v>11</v>
      </c>
      <c r="I1622" t="s">
        <v>16</v>
      </c>
      <c r="J1622" t="s">
        <v>23</v>
      </c>
    </row>
    <row r="1623" spans="1:10" x14ac:dyDescent="0.3">
      <c r="A1623" t="s">
        <v>1654</v>
      </c>
      <c r="B1623">
        <v>2004</v>
      </c>
      <c r="C1623" t="s">
        <v>10</v>
      </c>
      <c r="D1623">
        <v>6</v>
      </c>
      <c r="E1623" s="13" t="s">
        <v>12256</v>
      </c>
      <c r="F1623">
        <v>0</v>
      </c>
      <c r="G1623" s="11">
        <v>14133.04</v>
      </c>
      <c r="H1623" t="s">
        <v>11</v>
      </c>
      <c r="I1623" t="s">
        <v>12</v>
      </c>
      <c r="J1623" t="s">
        <v>13</v>
      </c>
    </row>
    <row r="1624" spans="1:10" x14ac:dyDescent="0.3">
      <c r="A1624" t="s">
        <v>1655</v>
      </c>
      <c r="B1624">
        <v>1984</v>
      </c>
      <c r="C1624" t="s">
        <v>10</v>
      </c>
      <c r="D1624">
        <v>7</v>
      </c>
      <c r="E1624" s="13" t="s">
        <v>12257</v>
      </c>
      <c r="F1624">
        <v>3</v>
      </c>
      <c r="G1624" s="11">
        <v>14152.46</v>
      </c>
      <c r="H1624" t="s">
        <v>11</v>
      </c>
      <c r="I1624" t="s">
        <v>16</v>
      </c>
      <c r="J1624" t="s">
        <v>23</v>
      </c>
    </row>
    <row r="1625" spans="1:10" x14ac:dyDescent="0.3">
      <c r="A1625" t="s">
        <v>1656</v>
      </c>
      <c r="B1625">
        <v>1968</v>
      </c>
      <c r="C1625" t="s">
        <v>30</v>
      </c>
      <c r="D1625">
        <v>25</v>
      </c>
      <c r="E1625" s="13" t="s">
        <v>12258</v>
      </c>
      <c r="F1625">
        <v>0</v>
      </c>
      <c r="G1625" s="11">
        <v>14193.55</v>
      </c>
      <c r="H1625" t="s">
        <v>11</v>
      </c>
      <c r="I1625" t="s">
        <v>16</v>
      </c>
      <c r="J1625" t="s">
        <v>535</v>
      </c>
    </row>
    <row r="1626" spans="1:10" x14ac:dyDescent="0.3">
      <c r="A1626" t="s">
        <v>1657</v>
      </c>
      <c r="B1626">
        <v>1983</v>
      </c>
      <c r="C1626" t="s">
        <v>15</v>
      </c>
      <c r="D1626">
        <v>17</v>
      </c>
      <c r="E1626" s="13" t="s">
        <v>12259</v>
      </c>
      <c r="F1626">
        <v>3</v>
      </c>
      <c r="G1626" s="11">
        <v>14209.4</v>
      </c>
      <c r="H1626" t="s">
        <v>11</v>
      </c>
      <c r="I1626" t="s">
        <v>16</v>
      </c>
      <c r="J1626" t="s">
        <v>535</v>
      </c>
    </row>
    <row r="1627" spans="1:10" x14ac:dyDescent="0.3">
      <c r="A1627" t="s">
        <v>1658</v>
      </c>
      <c r="B1627">
        <v>1958</v>
      </c>
      <c r="C1627" t="s">
        <v>20</v>
      </c>
      <c r="D1627">
        <v>21</v>
      </c>
      <c r="E1627" s="13" t="s">
        <v>12260</v>
      </c>
      <c r="F1627">
        <v>0</v>
      </c>
      <c r="G1627" s="11">
        <v>14210.54</v>
      </c>
      <c r="H1627" t="s">
        <v>11</v>
      </c>
      <c r="I1627" t="s">
        <v>11</v>
      </c>
      <c r="J1627" t="s">
        <v>23</v>
      </c>
    </row>
    <row r="1628" spans="1:10" x14ac:dyDescent="0.3">
      <c r="A1628" t="s">
        <v>1659</v>
      </c>
      <c r="B1628">
        <v>1961</v>
      </c>
      <c r="C1628" t="s">
        <v>20</v>
      </c>
      <c r="D1628">
        <v>25</v>
      </c>
      <c r="E1628" s="13" t="s">
        <v>12261</v>
      </c>
      <c r="F1628">
        <v>2</v>
      </c>
      <c r="G1628" s="11">
        <v>14235.07</v>
      </c>
      <c r="H1628" t="s">
        <v>11</v>
      </c>
      <c r="I1628" t="s">
        <v>16</v>
      </c>
      <c r="J1628" t="s">
        <v>42</v>
      </c>
    </row>
    <row r="1629" spans="1:10" x14ac:dyDescent="0.3">
      <c r="A1629" t="s">
        <v>1660</v>
      </c>
      <c r="B1629">
        <v>1959</v>
      </c>
      <c r="C1629" t="s">
        <v>37</v>
      </c>
      <c r="D1629">
        <v>10</v>
      </c>
      <c r="E1629" s="13" t="s">
        <v>12262</v>
      </c>
      <c r="F1629">
        <v>0</v>
      </c>
      <c r="G1629" s="11">
        <v>14254.61</v>
      </c>
      <c r="H1629" t="s">
        <v>11</v>
      </c>
      <c r="I1629" t="s">
        <v>16</v>
      </c>
      <c r="J1629" t="s">
        <v>23</v>
      </c>
    </row>
    <row r="1630" spans="1:10" x14ac:dyDescent="0.3">
      <c r="A1630" t="s">
        <v>1661</v>
      </c>
      <c r="B1630">
        <v>1959</v>
      </c>
      <c r="C1630" t="s">
        <v>15</v>
      </c>
      <c r="D1630">
        <v>8</v>
      </c>
      <c r="E1630" s="13" t="s">
        <v>10976</v>
      </c>
      <c r="F1630">
        <v>0</v>
      </c>
      <c r="G1630" s="11">
        <v>14256.19</v>
      </c>
      <c r="H1630" t="s">
        <v>11</v>
      </c>
      <c r="I1630" t="s">
        <v>12</v>
      </c>
      <c r="J1630" t="s">
        <v>23</v>
      </c>
    </row>
    <row r="1631" spans="1:10" x14ac:dyDescent="0.3">
      <c r="A1631" t="s">
        <v>1662</v>
      </c>
      <c r="B1631">
        <v>1974</v>
      </c>
      <c r="C1631" t="s">
        <v>30</v>
      </c>
      <c r="D1631">
        <v>26</v>
      </c>
      <c r="E1631" s="13" t="s">
        <v>12263</v>
      </c>
      <c r="F1631">
        <v>0</v>
      </c>
      <c r="G1631" s="11">
        <v>14256.79</v>
      </c>
      <c r="H1631" t="s">
        <v>11</v>
      </c>
      <c r="I1631" t="s">
        <v>11</v>
      </c>
      <c r="J1631" t="s">
        <v>535</v>
      </c>
    </row>
    <row r="1632" spans="1:10" x14ac:dyDescent="0.3">
      <c r="A1632" t="s">
        <v>1663</v>
      </c>
      <c r="B1632">
        <v>1972</v>
      </c>
      <c r="C1632" t="s">
        <v>10</v>
      </c>
      <c r="D1632">
        <v>13</v>
      </c>
      <c r="E1632" s="13" t="s">
        <v>12264</v>
      </c>
      <c r="F1632">
        <v>0</v>
      </c>
      <c r="G1632" s="11">
        <v>14258.33</v>
      </c>
      <c r="H1632" t="s">
        <v>11</v>
      </c>
      <c r="I1632" t="s">
        <v>11</v>
      </c>
      <c r="J1632" t="s">
        <v>535</v>
      </c>
    </row>
    <row r="1633" spans="1:10" x14ac:dyDescent="0.3">
      <c r="A1633" t="s">
        <v>1664</v>
      </c>
      <c r="B1633">
        <v>2004</v>
      </c>
      <c r="C1633" t="s">
        <v>20</v>
      </c>
      <c r="D1633">
        <v>6</v>
      </c>
      <c r="E1633" s="13" t="s">
        <v>12265</v>
      </c>
      <c r="F1633">
        <v>0</v>
      </c>
      <c r="G1633" s="11">
        <v>14283.46</v>
      </c>
      <c r="H1633" t="s">
        <v>11</v>
      </c>
      <c r="I1633" t="s">
        <v>11</v>
      </c>
      <c r="J1633" t="s">
        <v>247</v>
      </c>
    </row>
    <row r="1634" spans="1:10" x14ac:dyDescent="0.3">
      <c r="A1634" t="s">
        <v>1665</v>
      </c>
      <c r="B1634">
        <v>1968</v>
      </c>
      <c r="C1634" t="s">
        <v>30</v>
      </c>
      <c r="D1634">
        <v>15</v>
      </c>
      <c r="E1634" s="13" t="s">
        <v>12266</v>
      </c>
      <c r="F1634">
        <v>0</v>
      </c>
      <c r="G1634" s="11">
        <v>14285.9</v>
      </c>
      <c r="H1634" t="s">
        <v>11</v>
      </c>
      <c r="I1634" t="s">
        <v>12</v>
      </c>
      <c r="J1634" t="s">
        <v>23</v>
      </c>
    </row>
    <row r="1635" spans="1:10" x14ac:dyDescent="0.3">
      <c r="A1635" t="s">
        <v>1666</v>
      </c>
      <c r="B1635">
        <v>1958</v>
      </c>
      <c r="C1635" t="s">
        <v>37</v>
      </c>
      <c r="D1635">
        <v>15</v>
      </c>
      <c r="E1635" s="13" t="s">
        <v>12267</v>
      </c>
      <c r="F1635">
        <v>0</v>
      </c>
      <c r="G1635" s="11">
        <v>14313.85</v>
      </c>
      <c r="H1635" t="s">
        <v>11</v>
      </c>
      <c r="I1635" t="s">
        <v>12</v>
      </c>
      <c r="J1635" t="s">
        <v>13</v>
      </c>
    </row>
    <row r="1636" spans="1:10" x14ac:dyDescent="0.3">
      <c r="A1636" t="s">
        <v>1667</v>
      </c>
      <c r="B1636">
        <v>1958</v>
      </c>
      <c r="C1636" t="s">
        <v>10</v>
      </c>
      <c r="D1636">
        <v>10</v>
      </c>
      <c r="E1636" s="13" t="s">
        <v>12268</v>
      </c>
      <c r="F1636">
        <v>0</v>
      </c>
      <c r="G1636" s="11">
        <v>14319.03</v>
      </c>
      <c r="H1636" t="s">
        <v>11</v>
      </c>
      <c r="I1636" t="s">
        <v>11</v>
      </c>
      <c r="J1636" t="s">
        <v>42</v>
      </c>
    </row>
    <row r="1637" spans="1:10" x14ac:dyDescent="0.3">
      <c r="A1637" t="s">
        <v>1668</v>
      </c>
      <c r="B1637">
        <v>1969</v>
      </c>
      <c r="C1637" t="s">
        <v>20</v>
      </c>
      <c r="D1637">
        <v>26</v>
      </c>
      <c r="E1637" s="13" t="s">
        <v>12269</v>
      </c>
      <c r="F1637">
        <v>0</v>
      </c>
      <c r="G1637" s="11">
        <v>14337.91</v>
      </c>
      <c r="H1637" t="s">
        <v>11</v>
      </c>
      <c r="I1637" t="s">
        <v>12</v>
      </c>
      <c r="J1637" t="s">
        <v>632</v>
      </c>
    </row>
    <row r="1638" spans="1:10" x14ac:dyDescent="0.3">
      <c r="A1638" t="s">
        <v>1669</v>
      </c>
      <c r="B1638">
        <v>1959</v>
      </c>
      <c r="C1638" t="s">
        <v>30</v>
      </c>
      <c r="D1638">
        <v>24</v>
      </c>
      <c r="E1638" s="13" t="s">
        <v>12270</v>
      </c>
      <c r="F1638">
        <v>1</v>
      </c>
      <c r="G1638" s="11">
        <v>14349.85</v>
      </c>
      <c r="H1638" t="s">
        <v>11</v>
      </c>
      <c r="I1638" t="s">
        <v>11</v>
      </c>
      <c r="J1638" t="s">
        <v>23</v>
      </c>
    </row>
    <row r="1639" spans="1:10" x14ac:dyDescent="0.3">
      <c r="A1639" t="s">
        <v>1670</v>
      </c>
      <c r="B1639">
        <v>1967</v>
      </c>
      <c r="C1639" t="s">
        <v>37</v>
      </c>
      <c r="D1639">
        <v>10</v>
      </c>
      <c r="E1639" s="13" t="s">
        <v>12271</v>
      </c>
      <c r="F1639">
        <v>0</v>
      </c>
      <c r="G1639" s="11">
        <v>14355.43</v>
      </c>
      <c r="H1639" t="s">
        <v>11</v>
      </c>
      <c r="I1639" t="s">
        <v>16</v>
      </c>
      <c r="J1639" t="s">
        <v>535</v>
      </c>
    </row>
    <row r="1640" spans="1:10" x14ac:dyDescent="0.3">
      <c r="A1640" t="s">
        <v>1671</v>
      </c>
      <c r="B1640">
        <v>1988</v>
      </c>
      <c r="C1640" t="s">
        <v>15</v>
      </c>
      <c r="D1640">
        <v>16</v>
      </c>
      <c r="E1640" s="13" t="s">
        <v>12272</v>
      </c>
      <c r="F1640">
        <v>1</v>
      </c>
      <c r="G1640" s="11">
        <v>14358.36</v>
      </c>
      <c r="H1640" t="s">
        <v>11</v>
      </c>
      <c r="I1640" t="s">
        <v>11</v>
      </c>
      <c r="J1640" t="s">
        <v>42</v>
      </c>
    </row>
    <row r="1641" spans="1:10" x14ac:dyDescent="0.3">
      <c r="A1641" t="s">
        <v>1672</v>
      </c>
      <c r="B1641">
        <v>1963</v>
      </c>
      <c r="C1641" t="s">
        <v>10</v>
      </c>
      <c r="D1641">
        <v>16</v>
      </c>
      <c r="E1641" s="13" t="s">
        <v>12273</v>
      </c>
      <c r="F1641">
        <v>3</v>
      </c>
      <c r="G1641" s="11">
        <v>14382.71</v>
      </c>
      <c r="H1641" t="s">
        <v>11</v>
      </c>
      <c r="I1641" t="s">
        <v>11</v>
      </c>
      <c r="J1641" t="s">
        <v>23</v>
      </c>
    </row>
    <row r="1642" spans="1:10" x14ac:dyDescent="0.3">
      <c r="A1642" t="s">
        <v>1673</v>
      </c>
      <c r="B1642">
        <v>1965</v>
      </c>
      <c r="C1642" t="s">
        <v>18</v>
      </c>
      <c r="D1642">
        <v>22</v>
      </c>
      <c r="E1642" s="13" t="s">
        <v>12274</v>
      </c>
      <c r="F1642">
        <v>4</v>
      </c>
      <c r="G1642" s="11">
        <v>14394.4</v>
      </c>
      <c r="H1642" t="s">
        <v>11</v>
      </c>
      <c r="I1642" t="s">
        <v>12</v>
      </c>
      <c r="J1642" t="s">
        <v>247</v>
      </c>
    </row>
    <row r="1643" spans="1:10" x14ac:dyDescent="0.3">
      <c r="A1643" t="s">
        <v>1674</v>
      </c>
      <c r="B1643">
        <v>1958</v>
      </c>
      <c r="C1643" t="s">
        <v>20</v>
      </c>
      <c r="D1643">
        <v>14</v>
      </c>
      <c r="E1643" s="13" t="s">
        <v>10983</v>
      </c>
      <c r="F1643">
        <v>0</v>
      </c>
      <c r="G1643" s="11">
        <v>14394.56</v>
      </c>
      <c r="H1643" t="s">
        <v>11</v>
      </c>
      <c r="I1643" t="s">
        <v>16</v>
      </c>
      <c r="J1643" t="s">
        <v>170</v>
      </c>
    </row>
    <row r="1644" spans="1:10" x14ac:dyDescent="0.3">
      <c r="A1644" t="s">
        <v>1675</v>
      </c>
      <c r="B1644">
        <v>1958</v>
      </c>
      <c r="C1644" t="s">
        <v>10</v>
      </c>
      <c r="D1644">
        <v>29</v>
      </c>
      <c r="E1644" s="13" t="s">
        <v>12275</v>
      </c>
      <c r="F1644">
        <v>0</v>
      </c>
      <c r="G1644" s="11">
        <v>14410.93</v>
      </c>
      <c r="H1644" t="s">
        <v>11</v>
      </c>
      <c r="I1644" t="s">
        <v>11</v>
      </c>
      <c r="J1644" t="s">
        <v>168</v>
      </c>
    </row>
    <row r="1645" spans="1:10" x14ac:dyDescent="0.3">
      <c r="A1645" t="s">
        <v>1676</v>
      </c>
      <c r="B1645">
        <v>1958</v>
      </c>
      <c r="C1645" t="s">
        <v>20</v>
      </c>
      <c r="D1645">
        <v>20</v>
      </c>
      <c r="E1645" s="13" t="s">
        <v>12276</v>
      </c>
      <c r="F1645">
        <v>1</v>
      </c>
      <c r="G1645" s="11">
        <v>14418.28</v>
      </c>
      <c r="H1645" t="s">
        <v>11</v>
      </c>
      <c r="I1645" t="s">
        <v>12</v>
      </c>
      <c r="J1645" t="s">
        <v>13</v>
      </c>
    </row>
    <row r="1646" spans="1:10" x14ac:dyDescent="0.3">
      <c r="A1646" t="s">
        <v>1677</v>
      </c>
      <c r="B1646">
        <v>1999</v>
      </c>
      <c r="C1646" t="s">
        <v>35</v>
      </c>
      <c r="D1646">
        <v>10</v>
      </c>
      <c r="E1646" s="13" t="s">
        <v>12277</v>
      </c>
      <c r="F1646">
        <v>2</v>
      </c>
      <c r="G1646" s="11">
        <v>14426.07</v>
      </c>
      <c r="H1646" t="s">
        <v>11</v>
      </c>
      <c r="I1646" t="s">
        <v>16</v>
      </c>
      <c r="J1646" t="s">
        <v>23</v>
      </c>
    </row>
    <row r="1647" spans="1:10" x14ac:dyDescent="0.3">
      <c r="A1647" t="s">
        <v>1678</v>
      </c>
      <c r="B1647">
        <v>1967</v>
      </c>
      <c r="C1647" t="s">
        <v>35</v>
      </c>
      <c r="D1647">
        <v>15</v>
      </c>
      <c r="E1647" s="13" t="s">
        <v>12278</v>
      </c>
      <c r="F1647">
        <v>0</v>
      </c>
      <c r="G1647" s="11">
        <v>14426.66</v>
      </c>
      <c r="H1647" t="s">
        <v>11</v>
      </c>
      <c r="I1647" t="s">
        <v>11</v>
      </c>
      <c r="J1647" t="s">
        <v>535</v>
      </c>
    </row>
    <row r="1648" spans="1:10" x14ac:dyDescent="0.3">
      <c r="A1648" t="s">
        <v>1679</v>
      </c>
      <c r="B1648">
        <v>1967</v>
      </c>
      <c r="C1648" t="s">
        <v>15</v>
      </c>
      <c r="D1648">
        <v>4</v>
      </c>
      <c r="E1648" s="13" t="s">
        <v>12279</v>
      </c>
      <c r="F1648">
        <v>0</v>
      </c>
      <c r="G1648" s="11">
        <v>14427.63</v>
      </c>
      <c r="H1648" t="s">
        <v>11</v>
      </c>
      <c r="I1648" t="s">
        <v>11</v>
      </c>
      <c r="J1648" t="s">
        <v>300</v>
      </c>
    </row>
    <row r="1649" spans="1:10" x14ac:dyDescent="0.3">
      <c r="A1649" t="s">
        <v>1680</v>
      </c>
      <c r="B1649">
        <v>1959</v>
      </c>
      <c r="C1649" t="s">
        <v>18</v>
      </c>
      <c r="D1649">
        <v>29</v>
      </c>
      <c r="E1649" s="13" t="s">
        <v>12280</v>
      </c>
      <c r="F1649">
        <v>0</v>
      </c>
      <c r="G1649" s="11">
        <v>14449.85</v>
      </c>
      <c r="H1649" t="s">
        <v>11</v>
      </c>
      <c r="I1649" t="s">
        <v>16</v>
      </c>
      <c r="J1649" t="s">
        <v>247</v>
      </c>
    </row>
    <row r="1650" spans="1:10" x14ac:dyDescent="0.3">
      <c r="A1650" t="s">
        <v>1681</v>
      </c>
      <c r="B1650">
        <v>1959</v>
      </c>
      <c r="C1650" t="s">
        <v>35</v>
      </c>
      <c r="D1650">
        <v>3</v>
      </c>
      <c r="E1650" s="13" t="s">
        <v>12281</v>
      </c>
      <c r="F1650">
        <v>0</v>
      </c>
      <c r="G1650" s="11">
        <v>14451.84</v>
      </c>
      <c r="H1650" t="s">
        <v>11</v>
      </c>
      <c r="I1650" t="s">
        <v>12</v>
      </c>
      <c r="J1650" t="s">
        <v>249</v>
      </c>
    </row>
    <row r="1651" spans="1:10" x14ac:dyDescent="0.3">
      <c r="A1651" t="s">
        <v>1682</v>
      </c>
      <c r="B1651">
        <v>1996</v>
      </c>
      <c r="C1651" t="s">
        <v>15</v>
      </c>
      <c r="D1651">
        <v>10</v>
      </c>
      <c r="E1651" s="13" t="s">
        <v>12282</v>
      </c>
      <c r="F1651">
        <v>2</v>
      </c>
      <c r="G1651" s="11">
        <v>14455.64</v>
      </c>
      <c r="H1651" t="s">
        <v>11</v>
      </c>
      <c r="I1651" t="s">
        <v>12</v>
      </c>
      <c r="J1651" t="s">
        <v>247</v>
      </c>
    </row>
    <row r="1652" spans="1:10" x14ac:dyDescent="0.3">
      <c r="A1652" t="s">
        <v>1683</v>
      </c>
      <c r="B1652">
        <v>1976</v>
      </c>
      <c r="C1652" t="s">
        <v>15</v>
      </c>
      <c r="D1652">
        <v>27</v>
      </c>
      <c r="E1652" s="13" t="s">
        <v>11407</v>
      </c>
      <c r="F1652">
        <v>2</v>
      </c>
      <c r="G1652" s="11">
        <v>14470.01</v>
      </c>
      <c r="H1652" t="s">
        <v>11</v>
      </c>
      <c r="I1652" t="s">
        <v>12</v>
      </c>
      <c r="J1652" t="s">
        <v>23</v>
      </c>
    </row>
    <row r="1653" spans="1:10" x14ac:dyDescent="0.3">
      <c r="A1653" t="s">
        <v>1684</v>
      </c>
      <c r="B1653">
        <v>1959</v>
      </c>
      <c r="C1653" t="s">
        <v>15</v>
      </c>
      <c r="D1653">
        <v>20</v>
      </c>
      <c r="E1653" s="13" t="s">
        <v>12283</v>
      </c>
      <c r="F1653">
        <v>1</v>
      </c>
      <c r="G1653" s="11">
        <v>14474.68</v>
      </c>
      <c r="H1653" t="s">
        <v>11</v>
      </c>
      <c r="I1653" t="s">
        <v>11</v>
      </c>
      <c r="J1653" t="s">
        <v>13</v>
      </c>
    </row>
    <row r="1654" spans="1:10" x14ac:dyDescent="0.3">
      <c r="A1654" t="s">
        <v>1685</v>
      </c>
      <c r="B1654">
        <v>1979</v>
      </c>
      <c r="C1654" t="s">
        <v>37</v>
      </c>
      <c r="D1654">
        <v>20</v>
      </c>
      <c r="E1654" s="13" t="s">
        <v>12284</v>
      </c>
      <c r="F1654">
        <v>5</v>
      </c>
      <c r="G1654" s="11">
        <v>14478.33</v>
      </c>
      <c r="H1654" t="s">
        <v>11</v>
      </c>
      <c r="I1654" t="s">
        <v>11</v>
      </c>
      <c r="J1654" t="s">
        <v>13</v>
      </c>
    </row>
    <row r="1655" spans="1:10" x14ac:dyDescent="0.3">
      <c r="A1655" t="s">
        <v>1686</v>
      </c>
      <c r="B1655">
        <v>1989</v>
      </c>
      <c r="C1655" t="s">
        <v>10</v>
      </c>
      <c r="D1655">
        <v>22</v>
      </c>
      <c r="E1655" s="13" t="s">
        <v>12285</v>
      </c>
      <c r="F1655">
        <v>3</v>
      </c>
      <c r="G1655" s="11">
        <v>14507.46</v>
      </c>
      <c r="H1655" t="s">
        <v>11</v>
      </c>
      <c r="I1655" t="s">
        <v>12</v>
      </c>
      <c r="J1655" t="s">
        <v>23</v>
      </c>
    </row>
    <row r="1656" spans="1:10" x14ac:dyDescent="0.3">
      <c r="A1656" t="s">
        <v>1687</v>
      </c>
      <c r="B1656">
        <v>1989</v>
      </c>
      <c r="C1656" t="s">
        <v>10</v>
      </c>
      <c r="D1656">
        <v>14</v>
      </c>
      <c r="E1656" s="13" t="s">
        <v>12218</v>
      </c>
      <c r="F1656">
        <v>3</v>
      </c>
      <c r="G1656" s="11">
        <v>14547.26</v>
      </c>
      <c r="H1656" t="s">
        <v>11</v>
      </c>
      <c r="I1656" t="s">
        <v>12</v>
      </c>
      <c r="J1656" t="s">
        <v>42</v>
      </c>
    </row>
    <row r="1657" spans="1:10" x14ac:dyDescent="0.3">
      <c r="A1657" t="s">
        <v>1688</v>
      </c>
      <c r="B1657">
        <v>1998</v>
      </c>
      <c r="C1657" t="s">
        <v>20</v>
      </c>
      <c r="D1657">
        <v>12</v>
      </c>
      <c r="E1657" s="13" t="s">
        <v>12286</v>
      </c>
      <c r="F1657">
        <v>0</v>
      </c>
      <c r="G1657" s="11">
        <v>14571.89</v>
      </c>
      <c r="H1657" t="s">
        <v>11</v>
      </c>
      <c r="I1657" t="s">
        <v>16</v>
      </c>
      <c r="J1657" t="s">
        <v>247</v>
      </c>
    </row>
    <row r="1658" spans="1:10" x14ac:dyDescent="0.3">
      <c r="A1658" t="s">
        <v>1689</v>
      </c>
      <c r="B1658">
        <v>1962</v>
      </c>
      <c r="C1658" t="s">
        <v>30</v>
      </c>
      <c r="D1658">
        <v>3</v>
      </c>
      <c r="E1658" s="13" t="s">
        <v>12287</v>
      </c>
      <c r="F1658">
        <v>0</v>
      </c>
      <c r="G1658" s="11">
        <v>14574.64</v>
      </c>
      <c r="H1658" t="s">
        <v>11</v>
      </c>
      <c r="I1658" t="s">
        <v>16</v>
      </c>
      <c r="J1658" t="s">
        <v>200</v>
      </c>
    </row>
    <row r="1659" spans="1:10" x14ac:dyDescent="0.3">
      <c r="A1659" t="s">
        <v>1690</v>
      </c>
      <c r="B1659">
        <v>1963</v>
      </c>
      <c r="C1659" t="s">
        <v>37</v>
      </c>
      <c r="D1659">
        <v>14</v>
      </c>
      <c r="E1659" s="13" t="s">
        <v>11910</v>
      </c>
      <c r="F1659">
        <v>3</v>
      </c>
      <c r="G1659" s="11">
        <v>14590.63</v>
      </c>
      <c r="H1659" t="s">
        <v>11</v>
      </c>
      <c r="I1659" t="s">
        <v>16</v>
      </c>
      <c r="J1659" t="s">
        <v>247</v>
      </c>
    </row>
    <row r="1660" spans="1:10" x14ac:dyDescent="0.3">
      <c r="A1660" t="s">
        <v>1691</v>
      </c>
      <c r="B1660">
        <v>1967</v>
      </c>
      <c r="C1660" t="s">
        <v>10</v>
      </c>
      <c r="D1660">
        <v>18</v>
      </c>
      <c r="E1660" s="13" t="s">
        <v>12127</v>
      </c>
      <c r="F1660">
        <v>0</v>
      </c>
      <c r="G1660" s="11">
        <v>14600.62</v>
      </c>
      <c r="H1660" t="s">
        <v>11</v>
      </c>
      <c r="I1660" t="s">
        <v>12</v>
      </c>
      <c r="J1660" t="s">
        <v>632</v>
      </c>
    </row>
    <row r="1661" spans="1:10" x14ac:dyDescent="0.3">
      <c r="A1661" t="s">
        <v>1692</v>
      </c>
      <c r="B1661">
        <v>1965</v>
      </c>
      <c r="C1661" t="s">
        <v>15</v>
      </c>
      <c r="D1661">
        <v>8</v>
      </c>
      <c r="E1661" s="13" t="s">
        <v>12288</v>
      </c>
      <c r="F1661">
        <v>0</v>
      </c>
      <c r="G1661" s="11">
        <v>14612.33</v>
      </c>
      <c r="H1661" t="s">
        <v>11</v>
      </c>
      <c r="I1661" t="s">
        <v>12</v>
      </c>
      <c r="J1661" t="s">
        <v>300</v>
      </c>
    </row>
    <row r="1662" spans="1:10" x14ac:dyDescent="0.3">
      <c r="A1662" t="s">
        <v>1693</v>
      </c>
      <c r="B1662">
        <v>1991</v>
      </c>
      <c r="C1662" t="s">
        <v>35</v>
      </c>
      <c r="D1662">
        <v>21</v>
      </c>
      <c r="E1662" s="13" t="s">
        <v>11866</v>
      </c>
      <c r="F1662">
        <v>3</v>
      </c>
      <c r="G1662" s="11">
        <v>14630.52</v>
      </c>
      <c r="H1662" t="s">
        <v>11</v>
      </c>
      <c r="I1662" t="s">
        <v>12</v>
      </c>
      <c r="J1662" t="s">
        <v>42</v>
      </c>
    </row>
    <row r="1663" spans="1:10" x14ac:dyDescent="0.3">
      <c r="A1663" t="s">
        <v>1694</v>
      </c>
      <c r="B1663">
        <v>1967</v>
      </c>
      <c r="C1663" t="s">
        <v>20</v>
      </c>
      <c r="D1663">
        <v>1</v>
      </c>
      <c r="E1663" s="13" t="s">
        <v>12289</v>
      </c>
      <c r="F1663">
        <v>0</v>
      </c>
      <c r="G1663" s="11">
        <v>14640.35</v>
      </c>
      <c r="H1663" t="s">
        <v>11</v>
      </c>
      <c r="I1663" t="s">
        <v>12</v>
      </c>
      <c r="J1663" t="s">
        <v>535</v>
      </c>
    </row>
    <row r="1664" spans="1:10" x14ac:dyDescent="0.3">
      <c r="A1664" t="s">
        <v>1695</v>
      </c>
      <c r="B1664">
        <v>1981</v>
      </c>
      <c r="C1664" t="s">
        <v>15</v>
      </c>
      <c r="D1664">
        <v>13</v>
      </c>
      <c r="E1664" s="13" t="s">
        <v>12290</v>
      </c>
      <c r="F1664">
        <v>1</v>
      </c>
      <c r="G1664" s="11">
        <v>14657.2</v>
      </c>
      <c r="H1664" t="s">
        <v>11</v>
      </c>
      <c r="I1664" t="s">
        <v>16</v>
      </c>
      <c r="J1664" t="s">
        <v>23</v>
      </c>
    </row>
    <row r="1665" spans="1:10" x14ac:dyDescent="0.3">
      <c r="A1665" t="s">
        <v>1696</v>
      </c>
      <c r="B1665">
        <v>1969</v>
      </c>
      <c r="C1665" t="s">
        <v>37</v>
      </c>
      <c r="D1665">
        <v>20</v>
      </c>
      <c r="E1665" s="13" t="s">
        <v>12291</v>
      </c>
      <c r="F1665">
        <v>0</v>
      </c>
      <c r="G1665" s="11">
        <v>14665.75</v>
      </c>
      <c r="H1665" t="s">
        <v>11</v>
      </c>
      <c r="I1665" t="s">
        <v>16</v>
      </c>
      <c r="J1665" t="s">
        <v>23</v>
      </c>
    </row>
    <row r="1666" spans="1:10" x14ac:dyDescent="0.3">
      <c r="A1666" t="s">
        <v>1697</v>
      </c>
      <c r="B1666">
        <v>1958</v>
      </c>
      <c r="C1666" t="s">
        <v>10</v>
      </c>
      <c r="D1666">
        <v>23</v>
      </c>
      <c r="E1666" s="13" t="s">
        <v>12292</v>
      </c>
      <c r="F1666">
        <v>0</v>
      </c>
      <c r="G1666" s="11">
        <v>14692.67</v>
      </c>
      <c r="H1666" t="s">
        <v>11</v>
      </c>
      <c r="I1666" t="s">
        <v>16</v>
      </c>
      <c r="J1666" t="s">
        <v>23</v>
      </c>
    </row>
    <row r="1667" spans="1:10" x14ac:dyDescent="0.3">
      <c r="A1667" t="s">
        <v>1698</v>
      </c>
      <c r="B1667">
        <v>1982</v>
      </c>
      <c r="C1667" t="s">
        <v>20</v>
      </c>
      <c r="D1667">
        <v>4</v>
      </c>
      <c r="E1667" s="13" t="s">
        <v>12293</v>
      </c>
      <c r="F1667">
        <v>3</v>
      </c>
      <c r="G1667" s="11">
        <v>14696.77</v>
      </c>
      <c r="H1667" t="s">
        <v>11</v>
      </c>
      <c r="I1667" t="s">
        <v>11</v>
      </c>
      <c r="J1667" t="s">
        <v>42</v>
      </c>
    </row>
    <row r="1668" spans="1:10" x14ac:dyDescent="0.3">
      <c r="A1668" t="s">
        <v>1699</v>
      </c>
      <c r="B1668">
        <v>2002</v>
      </c>
      <c r="C1668" t="s">
        <v>20</v>
      </c>
      <c r="D1668">
        <v>24</v>
      </c>
      <c r="E1668" s="13" t="s">
        <v>12294</v>
      </c>
      <c r="F1668">
        <v>0</v>
      </c>
      <c r="G1668" s="11">
        <v>14711.74</v>
      </c>
      <c r="H1668" t="s">
        <v>11</v>
      </c>
      <c r="I1668" t="s">
        <v>11</v>
      </c>
      <c r="J1668" t="s">
        <v>23</v>
      </c>
    </row>
    <row r="1669" spans="1:10" x14ac:dyDescent="0.3">
      <c r="A1669" t="s">
        <v>1700</v>
      </c>
      <c r="B1669">
        <v>1962</v>
      </c>
      <c r="C1669" t="s">
        <v>10</v>
      </c>
      <c r="D1669">
        <v>29</v>
      </c>
      <c r="E1669" s="13" t="s">
        <v>11241</v>
      </c>
      <c r="F1669">
        <v>0</v>
      </c>
      <c r="G1669" s="11">
        <v>14738.43</v>
      </c>
      <c r="H1669" t="s">
        <v>11</v>
      </c>
      <c r="I1669" t="s">
        <v>12</v>
      </c>
      <c r="J1669" t="s">
        <v>300</v>
      </c>
    </row>
    <row r="1670" spans="1:10" x14ac:dyDescent="0.3">
      <c r="A1670" t="s">
        <v>1701</v>
      </c>
      <c r="B1670">
        <v>1965</v>
      </c>
      <c r="C1670" t="s">
        <v>10</v>
      </c>
      <c r="D1670">
        <v>27</v>
      </c>
      <c r="E1670" s="13" t="s">
        <v>12295</v>
      </c>
      <c r="F1670">
        <v>0</v>
      </c>
      <c r="G1670" s="11">
        <v>14750.42</v>
      </c>
      <c r="H1670" t="s">
        <v>11</v>
      </c>
      <c r="I1670" t="s">
        <v>11</v>
      </c>
      <c r="J1670" t="s">
        <v>535</v>
      </c>
    </row>
    <row r="1671" spans="1:10" x14ac:dyDescent="0.3">
      <c r="A1671" t="s">
        <v>1702</v>
      </c>
      <c r="B1671">
        <v>1975</v>
      </c>
      <c r="C1671" t="s">
        <v>30</v>
      </c>
      <c r="D1671">
        <v>10</v>
      </c>
      <c r="E1671" s="13" t="s">
        <v>12296</v>
      </c>
      <c r="F1671">
        <v>1</v>
      </c>
      <c r="G1671" s="11">
        <v>14819</v>
      </c>
      <c r="H1671" t="s">
        <v>11</v>
      </c>
      <c r="I1671" t="s">
        <v>12</v>
      </c>
      <c r="J1671" t="s">
        <v>249</v>
      </c>
    </row>
    <row r="1672" spans="1:10" x14ac:dyDescent="0.3">
      <c r="A1672" t="s">
        <v>1703</v>
      </c>
      <c r="B1672">
        <v>1979</v>
      </c>
      <c r="C1672" t="s">
        <v>37</v>
      </c>
      <c r="D1672">
        <v>18</v>
      </c>
      <c r="E1672" s="13" t="s">
        <v>12297</v>
      </c>
      <c r="F1672">
        <v>2</v>
      </c>
      <c r="G1672" s="11">
        <v>14839.34</v>
      </c>
      <c r="H1672" t="s">
        <v>11</v>
      </c>
      <c r="I1672" t="s">
        <v>12</v>
      </c>
      <c r="J1672" t="s">
        <v>535</v>
      </c>
    </row>
    <row r="1673" spans="1:10" x14ac:dyDescent="0.3">
      <c r="A1673" t="s">
        <v>1704</v>
      </c>
      <c r="B1673">
        <v>1981</v>
      </c>
      <c r="C1673" t="s">
        <v>18</v>
      </c>
      <c r="D1673">
        <v>5</v>
      </c>
      <c r="E1673" s="13" t="s">
        <v>12298</v>
      </c>
      <c r="F1673">
        <v>1</v>
      </c>
      <c r="G1673" s="11">
        <v>14843.96</v>
      </c>
      <c r="H1673" t="s">
        <v>11</v>
      </c>
      <c r="I1673" t="s">
        <v>12</v>
      </c>
      <c r="J1673" t="s">
        <v>535</v>
      </c>
    </row>
    <row r="1674" spans="1:10" x14ac:dyDescent="0.3">
      <c r="A1674" t="s">
        <v>1705</v>
      </c>
      <c r="B1674">
        <v>1970</v>
      </c>
      <c r="C1674" t="s">
        <v>15</v>
      </c>
      <c r="D1674">
        <v>11</v>
      </c>
      <c r="E1674" s="13" t="s">
        <v>11926</v>
      </c>
      <c r="F1674">
        <v>0</v>
      </c>
      <c r="G1674" s="11">
        <v>14847.63</v>
      </c>
      <c r="H1674" t="s">
        <v>11</v>
      </c>
      <c r="I1674" t="s">
        <v>11</v>
      </c>
      <c r="J1674" t="s">
        <v>249</v>
      </c>
    </row>
    <row r="1675" spans="1:10" x14ac:dyDescent="0.3">
      <c r="A1675" t="s">
        <v>1706</v>
      </c>
      <c r="B1675">
        <v>1958</v>
      </c>
      <c r="C1675" t="s">
        <v>37</v>
      </c>
      <c r="D1675">
        <v>17</v>
      </c>
      <c r="E1675" s="13" t="s">
        <v>12299</v>
      </c>
      <c r="F1675">
        <v>0</v>
      </c>
      <c r="G1675" s="11">
        <v>14901.52</v>
      </c>
      <c r="H1675" t="s">
        <v>11</v>
      </c>
      <c r="I1675" t="s">
        <v>11</v>
      </c>
      <c r="J1675" t="s">
        <v>247</v>
      </c>
    </row>
    <row r="1676" spans="1:10" x14ac:dyDescent="0.3">
      <c r="A1676" t="s">
        <v>1707</v>
      </c>
      <c r="B1676">
        <v>1981</v>
      </c>
      <c r="C1676" t="s">
        <v>10</v>
      </c>
      <c r="D1676">
        <v>4</v>
      </c>
      <c r="E1676" s="13" t="s">
        <v>12273</v>
      </c>
      <c r="F1676">
        <v>1</v>
      </c>
      <c r="G1676" s="11">
        <v>14908.27</v>
      </c>
      <c r="H1676" t="s">
        <v>11</v>
      </c>
      <c r="I1676" t="s">
        <v>16</v>
      </c>
      <c r="J1676" t="s">
        <v>42</v>
      </c>
    </row>
    <row r="1677" spans="1:10" x14ac:dyDescent="0.3">
      <c r="A1677" t="s">
        <v>1708</v>
      </c>
      <c r="B1677">
        <v>1968</v>
      </c>
      <c r="C1677" t="s">
        <v>15</v>
      </c>
      <c r="D1677">
        <v>8</v>
      </c>
      <c r="E1677" s="13" t="s">
        <v>12300</v>
      </c>
      <c r="F1677">
        <v>0</v>
      </c>
      <c r="G1677" s="11">
        <v>14926.97</v>
      </c>
      <c r="H1677" t="s">
        <v>11</v>
      </c>
      <c r="I1677" t="s">
        <v>11</v>
      </c>
      <c r="J1677" t="s">
        <v>23</v>
      </c>
    </row>
    <row r="1678" spans="1:10" x14ac:dyDescent="0.3">
      <c r="A1678" t="s">
        <v>1709</v>
      </c>
      <c r="B1678">
        <v>1962</v>
      </c>
      <c r="C1678" t="s">
        <v>15</v>
      </c>
      <c r="D1678">
        <v>29</v>
      </c>
      <c r="E1678" s="13" t="s">
        <v>12301</v>
      </c>
      <c r="F1678">
        <v>0</v>
      </c>
      <c r="G1678" s="11">
        <v>14945.34</v>
      </c>
      <c r="H1678" t="s">
        <v>11</v>
      </c>
      <c r="I1678" t="s">
        <v>16</v>
      </c>
      <c r="J1678" t="s">
        <v>300</v>
      </c>
    </row>
    <row r="1679" spans="1:10" x14ac:dyDescent="0.3">
      <c r="A1679" t="s">
        <v>1710</v>
      </c>
      <c r="B1679">
        <v>1958</v>
      </c>
      <c r="C1679" t="s">
        <v>10</v>
      </c>
      <c r="D1679">
        <v>29</v>
      </c>
      <c r="E1679" s="13" t="s">
        <v>11922</v>
      </c>
      <c r="F1679">
        <v>2</v>
      </c>
      <c r="G1679" s="11">
        <v>14988.43</v>
      </c>
      <c r="H1679" t="s">
        <v>11</v>
      </c>
      <c r="I1679" t="s">
        <v>12</v>
      </c>
      <c r="J1679" t="s">
        <v>42</v>
      </c>
    </row>
    <row r="1680" spans="1:10" x14ac:dyDescent="0.3">
      <c r="A1680" t="s">
        <v>1711</v>
      </c>
      <c r="B1680">
        <v>1995</v>
      </c>
      <c r="C1680" t="s">
        <v>35</v>
      </c>
      <c r="D1680">
        <v>2</v>
      </c>
      <c r="E1680" s="13" t="s">
        <v>12302</v>
      </c>
      <c r="F1680">
        <v>2</v>
      </c>
      <c r="G1680" s="11">
        <v>15006.58</v>
      </c>
      <c r="H1680" t="s">
        <v>11</v>
      </c>
      <c r="I1680" t="s">
        <v>11</v>
      </c>
      <c r="J1680" t="s">
        <v>247</v>
      </c>
    </row>
    <row r="1681" spans="1:10" x14ac:dyDescent="0.3">
      <c r="A1681" t="s">
        <v>1712</v>
      </c>
      <c r="B1681">
        <v>1960</v>
      </c>
      <c r="C1681" t="s">
        <v>35</v>
      </c>
      <c r="D1681">
        <v>8</v>
      </c>
      <c r="E1681" s="13" t="s">
        <v>12303</v>
      </c>
      <c r="F1681">
        <v>2</v>
      </c>
      <c r="G1681" s="11">
        <v>15019.76</v>
      </c>
      <c r="H1681" t="s">
        <v>11</v>
      </c>
      <c r="I1681" t="s">
        <v>11</v>
      </c>
      <c r="J1681" t="s">
        <v>23</v>
      </c>
    </row>
    <row r="1682" spans="1:10" x14ac:dyDescent="0.3">
      <c r="A1682" t="s">
        <v>1713</v>
      </c>
      <c r="B1682">
        <v>1979</v>
      </c>
      <c r="C1682" t="s">
        <v>15</v>
      </c>
      <c r="D1682">
        <v>25</v>
      </c>
      <c r="E1682" s="13" t="s">
        <v>12304</v>
      </c>
      <c r="F1682">
        <v>2</v>
      </c>
      <c r="G1682" s="11">
        <v>15025.76</v>
      </c>
      <c r="H1682" t="s">
        <v>11</v>
      </c>
      <c r="I1682" t="s">
        <v>16</v>
      </c>
      <c r="J1682" t="s">
        <v>42</v>
      </c>
    </row>
    <row r="1683" spans="1:10" x14ac:dyDescent="0.3">
      <c r="A1683" t="s">
        <v>1714</v>
      </c>
      <c r="B1683">
        <v>1970</v>
      </c>
      <c r="C1683" t="s">
        <v>20</v>
      </c>
      <c r="D1683">
        <v>11</v>
      </c>
      <c r="E1683" s="13" t="s">
        <v>12305</v>
      </c>
      <c r="F1683">
        <v>0</v>
      </c>
      <c r="G1683" s="11">
        <v>15026.3</v>
      </c>
      <c r="H1683" t="s">
        <v>11</v>
      </c>
      <c r="I1683" t="s">
        <v>12</v>
      </c>
      <c r="J1683" t="s">
        <v>42</v>
      </c>
    </row>
    <row r="1684" spans="1:10" x14ac:dyDescent="0.3">
      <c r="A1684" t="s">
        <v>1715</v>
      </c>
      <c r="B1684">
        <v>1971</v>
      </c>
      <c r="C1684" t="s">
        <v>35</v>
      </c>
      <c r="D1684">
        <v>15</v>
      </c>
      <c r="E1684" s="13" t="s">
        <v>12306</v>
      </c>
      <c r="F1684">
        <v>0</v>
      </c>
      <c r="G1684" s="11">
        <v>15038.51</v>
      </c>
      <c r="H1684" t="s">
        <v>11</v>
      </c>
      <c r="I1684" t="s">
        <v>12</v>
      </c>
      <c r="J1684" t="s">
        <v>249</v>
      </c>
    </row>
    <row r="1685" spans="1:10" x14ac:dyDescent="0.3">
      <c r="A1685" t="s">
        <v>1716</v>
      </c>
      <c r="B1685">
        <v>1968</v>
      </c>
      <c r="C1685" t="s">
        <v>18</v>
      </c>
      <c r="D1685">
        <v>12</v>
      </c>
      <c r="E1685" s="13" t="s">
        <v>11430</v>
      </c>
      <c r="F1685">
        <v>0</v>
      </c>
      <c r="G1685" s="11">
        <v>15052.68</v>
      </c>
      <c r="H1685" t="s">
        <v>11</v>
      </c>
      <c r="I1685" t="s">
        <v>11</v>
      </c>
      <c r="J1685" t="s">
        <v>632</v>
      </c>
    </row>
    <row r="1686" spans="1:10" x14ac:dyDescent="0.3">
      <c r="A1686" t="s">
        <v>1717</v>
      </c>
      <c r="B1686">
        <v>1975</v>
      </c>
      <c r="C1686" t="s">
        <v>37</v>
      </c>
      <c r="D1686">
        <v>26</v>
      </c>
      <c r="E1686" s="13" t="s">
        <v>12307</v>
      </c>
      <c r="F1686">
        <v>1</v>
      </c>
      <c r="G1686" s="11">
        <v>15090.35</v>
      </c>
      <c r="H1686" t="s">
        <v>11</v>
      </c>
      <c r="I1686" t="s">
        <v>16</v>
      </c>
      <c r="J1686" t="s">
        <v>249</v>
      </c>
    </row>
    <row r="1687" spans="1:10" x14ac:dyDescent="0.3">
      <c r="A1687" t="s">
        <v>1718</v>
      </c>
      <c r="B1687">
        <v>1972</v>
      </c>
      <c r="C1687" t="s">
        <v>15</v>
      </c>
      <c r="D1687">
        <v>7</v>
      </c>
      <c r="E1687" s="13" t="s">
        <v>12308</v>
      </c>
      <c r="F1687">
        <v>0</v>
      </c>
      <c r="G1687" s="11">
        <v>15103.69</v>
      </c>
      <c r="H1687" t="s">
        <v>11</v>
      </c>
      <c r="I1687" t="s">
        <v>16</v>
      </c>
      <c r="J1687" t="s">
        <v>23</v>
      </c>
    </row>
    <row r="1688" spans="1:10" x14ac:dyDescent="0.3">
      <c r="A1688" t="s">
        <v>1719</v>
      </c>
      <c r="B1688">
        <v>1978</v>
      </c>
      <c r="C1688" t="s">
        <v>20</v>
      </c>
      <c r="D1688">
        <v>5</v>
      </c>
      <c r="E1688" s="13" t="s">
        <v>12309</v>
      </c>
      <c r="F1688">
        <v>2</v>
      </c>
      <c r="G1688" s="11">
        <v>15123.19</v>
      </c>
      <c r="H1688" t="s">
        <v>11</v>
      </c>
      <c r="I1688" t="s">
        <v>16</v>
      </c>
      <c r="J1688" t="s">
        <v>42</v>
      </c>
    </row>
    <row r="1689" spans="1:10" x14ac:dyDescent="0.3">
      <c r="A1689" t="s">
        <v>1720</v>
      </c>
      <c r="B1689">
        <v>1971</v>
      </c>
      <c r="C1689" t="s">
        <v>15</v>
      </c>
      <c r="D1689">
        <v>25</v>
      </c>
      <c r="E1689" s="13" t="s">
        <v>12310</v>
      </c>
      <c r="F1689">
        <v>0</v>
      </c>
      <c r="G1689" s="11">
        <v>15150.44</v>
      </c>
      <c r="H1689" t="s">
        <v>11</v>
      </c>
      <c r="I1689" t="s">
        <v>16</v>
      </c>
      <c r="J1689" t="s">
        <v>249</v>
      </c>
    </row>
    <row r="1690" spans="1:10" x14ac:dyDescent="0.3">
      <c r="A1690" t="s">
        <v>1721</v>
      </c>
      <c r="B1690">
        <v>1962</v>
      </c>
      <c r="C1690" t="s">
        <v>37</v>
      </c>
      <c r="D1690">
        <v>25</v>
      </c>
      <c r="E1690" s="13" t="s">
        <v>12311</v>
      </c>
      <c r="F1690">
        <v>0</v>
      </c>
      <c r="G1690" s="11">
        <v>15161.25</v>
      </c>
      <c r="H1690" t="s">
        <v>11</v>
      </c>
      <c r="I1690" t="s">
        <v>11</v>
      </c>
      <c r="J1690" t="s">
        <v>23</v>
      </c>
    </row>
    <row r="1691" spans="1:10" x14ac:dyDescent="0.3">
      <c r="A1691" t="s">
        <v>1722</v>
      </c>
      <c r="B1691">
        <v>1959</v>
      </c>
      <c r="C1691" t="s">
        <v>18</v>
      </c>
      <c r="D1691">
        <v>4</v>
      </c>
      <c r="E1691" s="13" t="s">
        <v>12312</v>
      </c>
      <c r="F1691">
        <v>3</v>
      </c>
      <c r="G1691" s="11">
        <v>15161.53</v>
      </c>
      <c r="H1691" t="s">
        <v>11</v>
      </c>
      <c r="I1691" t="s">
        <v>16</v>
      </c>
      <c r="J1691" t="s">
        <v>13</v>
      </c>
    </row>
    <row r="1692" spans="1:10" x14ac:dyDescent="0.3">
      <c r="A1692" t="s">
        <v>1723</v>
      </c>
      <c r="B1692">
        <v>1959</v>
      </c>
      <c r="C1692" t="s">
        <v>30</v>
      </c>
      <c r="D1692">
        <v>3</v>
      </c>
      <c r="E1692" s="13" t="s">
        <v>12313</v>
      </c>
      <c r="F1692">
        <v>3</v>
      </c>
      <c r="G1692" s="11">
        <v>15170.07</v>
      </c>
      <c r="H1692" t="s">
        <v>11</v>
      </c>
      <c r="I1692" t="s">
        <v>12</v>
      </c>
      <c r="J1692" t="s">
        <v>42</v>
      </c>
    </row>
    <row r="1693" spans="1:10" x14ac:dyDescent="0.3">
      <c r="A1693" t="s">
        <v>1724</v>
      </c>
      <c r="B1693">
        <v>1962</v>
      </c>
      <c r="C1693" t="s">
        <v>18</v>
      </c>
      <c r="D1693">
        <v>17</v>
      </c>
      <c r="E1693" s="13" t="s">
        <v>12314</v>
      </c>
      <c r="F1693">
        <v>0</v>
      </c>
      <c r="G1693" s="11">
        <v>15174.81</v>
      </c>
      <c r="H1693" t="s">
        <v>11</v>
      </c>
      <c r="I1693" t="s">
        <v>16</v>
      </c>
      <c r="J1693" t="s">
        <v>23</v>
      </c>
    </row>
    <row r="1694" spans="1:10" x14ac:dyDescent="0.3">
      <c r="A1694" t="s">
        <v>1725</v>
      </c>
      <c r="B1694">
        <v>1978</v>
      </c>
      <c r="C1694" t="s">
        <v>15</v>
      </c>
      <c r="D1694">
        <v>23</v>
      </c>
      <c r="E1694" s="13" t="s">
        <v>12315</v>
      </c>
      <c r="F1694">
        <v>2</v>
      </c>
      <c r="G1694" s="11">
        <v>15207.92</v>
      </c>
      <c r="H1694" t="s">
        <v>11</v>
      </c>
      <c r="I1694" t="s">
        <v>16</v>
      </c>
      <c r="J1694" t="s">
        <v>23</v>
      </c>
    </row>
    <row r="1695" spans="1:10" x14ac:dyDescent="0.3">
      <c r="A1695" t="s">
        <v>1726</v>
      </c>
      <c r="B1695">
        <v>1960</v>
      </c>
      <c r="C1695" t="s">
        <v>10</v>
      </c>
      <c r="D1695">
        <v>25</v>
      </c>
      <c r="E1695" s="13" t="s">
        <v>11855</v>
      </c>
      <c r="F1695">
        <v>2</v>
      </c>
      <c r="G1695" s="11">
        <v>15230.32</v>
      </c>
      <c r="H1695" t="s">
        <v>11</v>
      </c>
      <c r="I1695" t="s">
        <v>11</v>
      </c>
      <c r="J1695" t="s">
        <v>247</v>
      </c>
    </row>
    <row r="1696" spans="1:10" x14ac:dyDescent="0.3">
      <c r="A1696" t="s">
        <v>1727</v>
      </c>
      <c r="B1696">
        <v>1969</v>
      </c>
      <c r="C1696" t="s">
        <v>20</v>
      </c>
      <c r="D1696">
        <v>16</v>
      </c>
      <c r="E1696" s="13" t="s">
        <v>12316</v>
      </c>
      <c r="F1696">
        <v>0</v>
      </c>
      <c r="G1696" s="11">
        <v>15260.52</v>
      </c>
      <c r="H1696" t="s">
        <v>11</v>
      </c>
      <c r="I1696" t="s">
        <v>11</v>
      </c>
      <c r="J1696" t="s">
        <v>249</v>
      </c>
    </row>
    <row r="1697" spans="1:10" x14ac:dyDescent="0.3">
      <c r="A1697" t="s">
        <v>1728</v>
      </c>
      <c r="B1697">
        <v>1963</v>
      </c>
      <c r="C1697" t="s">
        <v>30</v>
      </c>
      <c r="D1697">
        <v>13</v>
      </c>
      <c r="E1697" s="13" t="s">
        <v>11516</v>
      </c>
      <c r="F1697">
        <v>0</v>
      </c>
      <c r="G1697" s="11">
        <v>15322.77</v>
      </c>
      <c r="H1697" t="s">
        <v>11</v>
      </c>
      <c r="I1697" t="s">
        <v>12</v>
      </c>
      <c r="J1697" t="s">
        <v>300</v>
      </c>
    </row>
    <row r="1698" spans="1:10" x14ac:dyDescent="0.3">
      <c r="A1698" t="s">
        <v>1729</v>
      </c>
      <c r="B1698">
        <v>2001</v>
      </c>
      <c r="C1698" t="s">
        <v>10</v>
      </c>
      <c r="D1698">
        <v>14</v>
      </c>
      <c r="E1698" s="13" t="s">
        <v>12317</v>
      </c>
      <c r="F1698">
        <v>1</v>
      </c>
      <c r="G1698" s="11">
        <v>15359.1</v>
      </c>
      <c r="H1698" t="s">
        <v>11</v>
      </c>
      <c r="I1698" t="s">
        <v>12</v>
      </c>
      <c r="J1698" t="s">
        <v>247</v>
      </c>
    </row>
    <row r="1699" spans="1:10" x14ac:dyDescent="0.3">
      <c r="A1699" t="s">
        <v>1730</v>
      </c>
      <c r="B1699">
        <v>1988</v>
      </c>
      <c r="C1699" t="s">
        <v>30</v>
      </c>
      <c r="D1699">
        <v>17</v>
      </c>
      <c r="E1699" s="13" t="s">
        <v>12318</v>
      </c>
      <c r="F1699">
        <v>3</v>
      </c>
      <c r="G1699" s="11">
        <v>15361.5</v>
      </c>
      <c r="H1699" t="s">
        <v>11</v>
      </c>
      <c r="I1699" t="s">
        <v>12</v>
      </c>
      <c r="J1699" t="s">
        <v>249</v>
      </c>
    </row>
    <row r="1700" spans="1:10" x14ac:dyDescent="0.3">
      <c r="A1700" t="s">
        <v>1731</v>
      </c>
      <c r="B1700">
        <v>1968</v>
      </c>
      <c r="C1700" t="s">
        <v>10</v>
      </c>
      <c r="D1700">
        <v>18</v>
      </c>
      <c r="E1700" s="13" t="s">
        <v>12319</v>
      </c>
      <c r="F1700">
        <v>0</v>
      </c>
      <c r="G1700" s="11">
        <v>15363.77</v>
      </c>
      <c r="H1700" t="s">
        <v>11</v>
      </c>
      <c r="I1700" t="s">
        <v>16</v>
      </c>
      <c r="J1700" t="s">
        <v>535</v>
      </c>
    </row>
    <row r="1701" spans="1:10" x14ac:dyDescent="0.3">
      <c r="A1701" t="s">
        <v>1732</v>
      </c>
      <c r="B1701">
        <v>1962</v>
      </c>
      <c r="C1701" t="s">
        <v>20</v>
      </c>
      <c r="D1701">
        <v>6</v>
      </c>
      <c r="E1701" s="13" t="s">
        <v>11711</v>
      </c>
      <c r="F1701">
        <v>0</v>
      </c>
      <c r="G1701" s="11">
        <v>15368.22</v>
      </c>
      <c r="H1701" t="s">
        <v>11</v>
      </c>
      <c r="I1701" t="s">
        <v>11</v>
      </c>
      <c r="J1701" t="s">
        <v>42</v>
      </c>
    </row>
    <row r="1702" spans="1:10" x14ac:dyDescent="0.3">
      <c r="A1702" t="s">
        <v>1733</v>
      </c>
      <c r="B1702">
        <v>1964</v>
      </c>
      <c r="C1702" t="s">
        <v>20</v>
      </c>
      <c r="D1702">
        <v>4</v>
      </c>
      <c r="E1702" s="13" t="s">
        <v>12320</v>
      </c>
      <c r="F1702">
        <v>0</v>
      </c>
      <c r="G1702" s="11">
        <v>15377.77</v>
      </c>
      <c r="H1702" t="s">
        <v>11</v>
      </c>
      <c r="I1702" t="s">
        <v>11</v>
      </c>
      <c r="J1702" t="s">
        <v>23</v>
      </c>
    </row>
    <row r="1703" spans="1:10" x14ac:dyDescent="0.3">
      <c r="A1703" t="s">
        <v>1734</v>
      </c>
      <c r="B1703">
        <v>1990</v>
      </c>
      <c r="C1703" t="s">
        <v>37</v>
      </c>
      <c r="D1703">
        <v>25</v>
      </c>
      <c r="E1703" s="13" t="s">
        <v>12321</v>
      </c>
      <c r="F1703">
        <v>3</v>
      </c>
      <c r="G1703" s="11">
        <v>15440.2</v>
      </c>
      <c r="H1703" t="s">
        <v>11</v>
      </c>
      <c r="I1703" t="s">
        <v>16</v>
      </c>
      <c r="J1703" t="s">
        <v>23</v>
      </c>
    </row>
    <row r="1704" spans="1:10" x14ac:dyDescent="0.3">
      <c r="A1704" t="s">
        <v>1735</v>
      </c>
      <c r="B1704">
        <v>1976</v>
      </c>
      <c r="C1704" t="s">
        <v>10</v>
      </c>
      <c r="D1704">
        <v>20</v>
      </c>
      <c r="E1704" s="13" t="s">
        <v>12322</v>
      </c>
      <c r="F1704">
        <v>2</v>
      </c>
      <c r="G1704" s="11">
        <v>15450.48</v>
      </c>
      <c r="H1704" t="s">
        <v>11</v>
      </c>
      <c r="I1704" t="s">
        <v>16</v>
      </c>
      <c r="J1704" t="s">
        <v>535</v>
      </c>
    </row>
    <row r="1705" spans="1:10" x14ac:dyDescent="0.3">
      <c r="A1705" t="s">
        <v>1736</v>
      </c>
      <c r="B1705">
        <v>2004</v>
      </c>
      <c r="C1705" t="s">
        <v>10</v>
      </c>
      <c r="D1705">
        <v>17</v>
      </c>
      <c r="E1705" s="13" t="s">
        <v>12323</v>
      </c>
      <c r="F1705">
        <v>0</v>
      </c>
      <c r="G1705" s="11">
        <v>15518.18</v>
      </c>
      <c r="H1705" t="s">
        <v>11</v>
      </c>
      <c r="I1705" t="s">
        <v>12</v>
      </c>
      <c r="J1705" t="s">
        <v>164</v>
      </c>
    </row>
    <row r="1706" spans="1:10" x14ac:dyDescent="0.3">
      <c r="A1706" t="s">
        <v>1737</v>
      </c>
      <c r="B1706">
        <v>1974</v>
      </c>
      <c r="C1706" t="s">
        <v>18</v>
      </c>
      <c r="D1706">
        <v>28</v>
      </c>
      <c r="E1706" s="13" t="s">
        <v>12324</v>
      </c>
      <c r="F1706">
        <v>0</v>
      </c>
      <c r="G1706" s="11">
        <v>15532.16</v>
      </c>
      <c r="H1706" t="s">
        <v>11</v>
      </c>
      <c r="I1706" t="s">
        <v>11</v>
      </c>
      <c r="J1706" t="s">
        <v>535</v>
      </c>
    </row>
    <row r="1707" spans="1:10" x14ac:dyDescent="0.3">
      <c r="A1707" t="s">
        <v>1738</v>
      </c>
      <c r="B1707">
        <v>1959</v>
      </c>
      <c r="C1707" t="s">
        <v>37</v>
      </c>
      <c r="D1707">
        <v>2</v>
      </c>
      <c r="E1707" s="13" t="s">
        <v>12325</v>
      </c>
      <c r="F1707">
        <v>3</v>
      </c>
      <c r="G1707" s="11">
        <v>15555.19</v>
      </c>
      <c r="H1707" t="s">
        <v>11</v>
      </c>
      <c r="I1707" t="s">
        <v>12</v>
      </c>
      <c r="J1707" t="s">
        <v>23</v>
      </c>
    </row>
    <row r="1708" spans="1:10" x14ac:dyDescent="0.3">
      <c r="A1708" t="s">
        <v>1739</v>
      </c>
      <c r="B1708">
        <v>1974</v>
      </c>
      <c r="C1708" t="s">
        <v>10</v>
      </c>
      <c r="D1708">
        <v>30</v>
      </c>
      <c r="E1708" s="13" t="s">
        <v>12326</v>
      </c>
      <c r="F1708">
        <v>0</v>
      </c>
      <c r="G1708" s="11">
        <v>15556.67</v>
      </c>
      <c r="H1708" t="s">
        <v>11</v>
      </c>
      <c r="I1708" t="s">
        <v>11</v>
      </c>
      <c r="J1708" t="s">
        <v>23</v>
      </c>
    </row>
    <row r="1709" spans="1:10" x14ac:dyDescent="0.3">
      <c r="A1709" t="s">
        <v>1740</v>
      </c>
      <c r="B1709">
        <v>1965</v>
      </c>
      <c r="C1709" t="s">
        <v>37</v>
      </c>
      <c r="D1709">
        <v>28</v>
      </c>
      <c r="E1709" s="13" t="s">
        <v>12327</v>
      </c>
      <c r="F1709">
        <v>0</v>
      </c>
      <c r="G1709" s="11">
        <v>15608.58</v>
      </c>
      <c r="H1709" t="s">
        <v>11</v>
      </c>
      <c r="I1709" t="s">
        <v>11</v>
      </c>
      <c r="J1709" t="s">
        <v>535</v>
      </c>
    </row>
    <row r="1710" spans="1:10" x14ac:dyDescent="0.3">
      <c r="A1710" t="s">
        <v>1741</v>
      </c>
      <c r="B1710">
        <v>1960</v>
      </c>
      <c r="C1710" t="s">
        <v>18</v>
      </c>
      <c r="D1710">
        <v>6</v>
      </c>
      <c r="E1710" s="13" t="s">
        <v>12328</v>
      </c>
      <c r="F1710">
        <v>3</v>
      </c>
      <c r="G1710" s="11">
        <v>15612.19</v>
      </c>
      <c r="H1710" t="s">
        <v>11</v>
      </c>
      <c r="I1710" t="s">
        <v>11</v>
      </c>
      <c r="J1710" t="s">
        <v>23</v>
      </c>
    </row>
    <row r="1711" spans="1:10" x14ac:dyDescent="0.3">
      <c r="A1711" t="s">
        <v>1742</v>
      </c>
      <c r="B1711">
        <v>1988</v>
      </c>
      <c r="C1711" t="s">
        <v>30</v>
      </c>
      <c r="D1711">
        <v>22</v>
      </c>
      <c r="E1711" s="13" t="s">
        <v>12329</v>
      </c>
      <c r="F1711">
        <v>3</v>
      </c>
      <c r="G1711" s="11">
        <v>15646.28</v>
      </c>
      <c r="H1711" t="s">
        <v>11</v>
      </c>
      <c r="I1711" t="s">
        <v>11</v>
      </c>
      <c r="J1711" t="s">
        <v>42</v>
      </c>
    </row>
    <row r="1712" spans="1:10" x14ac:dyDescent="0.3">
      <c r="A1712" t="s">
        <v>1743</v>
      </c>
      <c r="B1712">
        <v>1973</v>
      </c>
      <c r="C1712" t="s">
        <v>18</v>
      </c>
      <c r="D1712">
        <v>26</v>
      </c>
      <c r="E1712" s="13" t="s">
        <v>12330</v>
      </c>
      <c r="F1712">
        <v>0</v>
      </c>
      <c r="G1712" s="11">
        <v>15670.3</v>
      </c>
      <c r="H1712" t="s">
        <v>11</v>
      </c>
      <c r="I1712" t="s">
        <v>11</v>
      </c>
      <c r="J1712" t="s">
        <v>535</v>
      </c>
    </row>
    <row r="1713" spans="1:10" x14ac:dyDescent="0.3">
      <c r="A1713" t="s">
        <v>1744</v>
      </c>
      <c r="B1713">
        <v>1976</v>
      </c>
      <c r="C1713" t="s">
        <v>20</v>
      </c>
      <c r="D1713">
        <v>20</v>
      </c>
      <c r="E1713" s="13" t="s">
        <v>12331</v>
      </c>
      <c r="F1713">
        <v>2</v>
      </c>
      <c r="G1713" s="11">
        <v>15698.86</v>
      </c>
      <c r="H1713" t="s">
        <v>11</v>
      </c>
      <c r="I1713" t="s">
        <v>11</v>
      </c>
      <c r="J1713" t="s">
        <v>23</v>
      </c>
    </row>
    <row r="1714" spans="1:10" x14ac:dyDescent="0.3">
      <c r="A1714" t="s">
        <v>1745</v>
      </c>
      <c r="B1714">
        <v>1974</v>
      </c>
      <c r="C1714" t="s">
        <v>35</v>
      </c>
      <c r="D1714">
        <v>29</v>
      </c>
      <c r="E1714" s="13" t="s">
        <v>12332</v>
      </c>
      <c r="F1714">
        <v>0</v>
      </c>
      <c r="G1714" s="11">
        <v>15746.62</v>
      </c>
      <c r="H1714" t="s">
        <v>11</v>
      </c>
      <c r="I1714" t="s">
        <v>16</v>
      </c>
      <c r="J1714" t="s">
        <v>23</v>
      </c>
    </row>
    <row r="1715" spans="1:10" x14ac:dyDescent="0.3">
      <c r="A1715" t="s">
        <v>1746</v>
      </c>
      <c r="B1715">
        <v>1997</v>
      </c>
      <c r="C1715" t="s">
        <v>37</v>
      </c>
      <c r="D1715">
        <v>9</v>
      </c>
      <c r="E1715" s="13" t="s">
        <v>12333</v>
      </c>
      <c r="F1715">
        <v>0</v>
      </c>
      <c r="G1715" s="11">
        <v>15817.99</v>
      </c>
      <c r="H1715" t="s">
        <v>11</v>
      </c>
      <c r="I1715" t="s">
        <v>11</v>
      </c>
      <c r="J1715" t="s">
        <v>23</v>
      </c>
    </row>
    <row r="1716" spans="1:10" x14ac:dyDescent="0.3">
      <c r="A1716" t="s">
        <v>1747</v>
      </c>
      <c r="B1716">
        <v>1984</v>
      </c>
      <c r="C1716" t="s">
        <v>18</v>
      </c>
      <c r="D1716">
        <v>26</v>
      </c>
      <c r="E1716" s="13" t="s">
        <v>12334</v>
      </c>
      <c r="F1716">
        <v>0</v>
      </c>
      <c r="G1716" s="11">
        <v>15820.7</v>
      </c>
      <c r="H1716" t="s">
        <v>11</v>
      </c>
      <c r="I1716" t="s">
        <v>12</v>
      </c>
      <c r="J1716" t="s">
        <v>42</v>
      </c>
    </row>
    <row r="1717" spans="1:10" x14ac:dyDescent="0.3">
      <c r="A1717" t="s">
        <v>1748</v>
      </c>
      <c r="B1717">
        <v>1982</v>
      </c>
      <c r="C1717" t="s">
        <v>15</v>
      </c>
      <c r="D1717">
        <v>11</v>
      </c>
      <c r="E1717" s="13" t="s">
        <v>11579</v>
      </c>
      <c r="F1717">
        <v>4</v>
      </c>
      <c r="G1717" s="11">
        <v>15828.82</v>
      </c>
      <c r="H1717" t="s">
        <v>11</v>
      </c>
      <c r="I1717" t="s">
        <v>12</v>
      </c>
      <c r="J1717" t="s">
        <v>42</v>
      </c>
    </row>
    <row r="1718" spans="1:10" x14ac:dyDescent="0.3">
      <c r="A1718" t="s">
        <v>1749</v>
      </c>
      <c r="B1718">
        <v>1962</v>
      </c>
      <c r="C1718" t="s">
        <v>30</v>
      </c>
      <c r="D1718">
        <v>25</v>
      </c>
      <c r="E1718" s="13" t="s">
        <v>12335</v>
      </c>
      <c r="F1718">
        <v>0</v>
      </c>
      <c r="G1718" s="11">
        <v>15840.81</v>
      </c>
      <c r="H1718" t="s">
        <v>11</v>
      </c>
      <c r="I1718" t="s">
        <v>16</v>
      </c>
      <c r="J1718" t="s">
        <v>632</v>
      </c>
    </row>
    <row r="1719" spans="1:10" x14ac:dyDescent="0.3">
      <c r="A1719" t="s">
        <v>1750</v>
      </c>
      <c r="B1719">
        <v>1980</v>
      </c>
      <c r="C1719" t="s">
        <v>37</v>
      </c>
      <c r="D1719">
        <v>12</v>
      </c>
      <c r="E1719" s="13" t="s">
        <v>12336</v>
      </c>
      <c r="F1719">
        <v>2</v>
      </c>
      <c r="G1719" s="11">
        <v>15922.29</v>
      </c>
      <c r="H1719" t="s">
        <v>11</v>
      </c>
      <c r="I1719" t="s">
        <v>12</v>
      </c>
      <c r="J1719" t="s">
        <v>535</v>
      </c>
    </row>
    <row r="1720" spans="1:10" x14ac:dyDescent="0.3">
      <c r="A1720" t="s">
        <v>1751</v>
      </c>
      <c r="B1720">
        <v>1982</v>
      </c>
      <c r="C1720" t="s">
        <v>10</v>
      </c>
      <c r="D1720">
        <v>24</v>
      </c>
      <c r="E1720" s="13" t="s">
        <v>12337</v>
      </c>
      <c r="F1720">
        <v>3</v>
      </c>
      <c r="G1720" s="11">
        <v>15965.29</v>
      </c>
      <c r="H1720" t="s">
        <v>11</v>
      </c>
      <c r="I1720" t="s">
        <v>16</v>
      </c>
      <c r="J1720" t="s">
        <v>23</v>
      </c>
    </row>
    <row r="1721" spans="1:10" x14ac:dyDescent="0.3">
      <c r="A1721" t="s">
        <v>1752</v>
      </c>
      <c r="B1721">
        <v>1980</v>
      </c>
      <c r="C1721" t="s">
        <v>20</v>
      </c>
      <c r="D1721">
        <v>19</v>
      </c>
      <c r="E1721" s="13" t="s">
        <v>12338</v>
      </c>
      <c r="F1721">
        <v>2</v>
      </c>
      <c r="G1721" s="11">
        <v>15966.19</v>
      </c>
      <c r="H1721" t="s">
        <v>11</v>
      </c>
      <c r="I1721" t="s">
        <v>11</v>
      </c>
      <c r="J1721" t="s">
        <v>23</v>
      </c>
    </row>
    <row r="1722" spans="1:10" x14ac:dyDescent="0.3">
      <c r="A1722" t="s">
        <v>1753</v>
      </c>
      <c r="B1722">
        <v>1988</v>
      </c>
      <c r="C1722" t="s">
        <v>30</v>
      </c>
      <c r="D1722">
        <v>5</v>
      </c>
      <c r="E1722" s="13" t="s">
        <v>12339</v>
      </c>
      <c r="F1722">
        <v>3</v>
      </c>
      <c r="G1722" s="11">
        <v>16059.06</v>
      </c>
      <c r="H1722" t="s">
        <v>11</v>
      </c>
      <c r="I1722" t="s">
        <v>12</v>
      </c>
      <c r="J1722" t="s">
        <v>23</v>
      </c>
    </row>
    <row r="1723" spans="1:10" x14ac:dyDescent="0.3">
      <c r="A1723" t="s">
        <v>1754</v>
      </c>
      <c r="B1723">
        <v>1978</v>
      </c>
      <c r="C1723" t="s">
        <v>20</v>
      </c>
      <c r="D1723">
        <v>16</v>
      </c>
      <c r="E1723" s="13" t="s">
        <v>12340</v>
      </c>
      <c r="F1723">
        <v>2</v>
      </c>
      <c r="G1723" s="11">
        <v>16062.89</v>
      </c>
      <c r="H1723" t="s">
        <v>11</v>
      </c>
      <c r="I1723" t="s">
        <v>11</v>
      </c>
      <c r="J1723" t="s">
        <v>535</v>
      </c>
    </row>
    <row r="1724" spans="1:10" x14ac:dyDescent="0.3">
      <c r="A1724" t="s">
        <v>1755</v>
      </c>
      <c r="B1724">
        <v>1958</v>
      </c>
      <c r="C1724" t="s">
        <v>37</v>
      </c>
      <c r="D1724">
        <v>22</v>
      </c>
      <c r="E1724" s="13" t="s">
        <v>12341</v>
      </c>
      <c r="F1724">
        <v>2</v>
      </c>
      <c r="G1724" s="11">
        <v>16069.08</v>
      </c>
      <c r="H1724" t="s">
        <v>11</v>
      </c>
      <c r="I1724" t="s">
        <v>11</v>
      </c>
      <c r="J1724" t="s">
        <v>247</v>
      </c>
    </row>
    <row r="1725" spans="1:10" x14ac:dyDescent="0.3">
      <c r="A1725" t="s">
        <v>1756</v>
      </c>
      <c r="B1725">
        <v>1958</v>
      </c>
      <c r="C1725" t="s">
        <v>18</v>
      </c>
      <c r="D1725">
        <v>21</v>
      </c>
      <c r="E1725" s="13" t="s">
        <v>12342</v>
      </c>
      <c r="F1725">
        <v>3</v>
      </c>
      <c r="G1725" s="11">
        <v>16085.13</v>
      </c>
      <c r="H1725" t="s">
        <v>11</v>
      </c>
      <c r="I1725" t="s">
        <v>11</v>
      </c>
      <c r="J1725" t="s">
        <v>13</v>
      </c>
    </row>
    <row r="1726" spans="1:10" x14ac:dyDescent="0.3">
      <c r="A1726" t="s">
        <v>1757</v>
      </c>
      <c r="B1726">
        <v>1985</v>
      </c>
      <c r="C1726" t="s">
        <v>35</v>
      </c>
      <c r="D1726">
        <v>27</v>
      </c>
      <c r="E1726" s="13" t="s">
        <v>12082</v>
      </c>
      <c r="F1726">
        <v>3</v>
      </c>
      <c r="G1726" s="11">
        <v>16097.94</v>
      </c>
      <c r="H1726" t="s">
        <v>11</v>
      </c>
      <c r="I1726" t="s">
        <v>12</v>
      </c>
      <c r="J1726" t="s">
        <v>23</v>
      </c>
    </row>
    <row r="1727" spans="1:10" x14ac:dyDescent="0.3">
      <c r="A1727" t="s">
        <v>1758</v>
      </c>
      <c r="B1727">
        <v>1993</v>
      </c>
      <c r="C1727" t="s">
        <v>35</v>
      </c>
      <c r="D1727">
        <v>8</v>
      </c>
      <c r="E1727" s="13" t="s">
        <v>12343</v>
      </c>
      <c r="F1727">
        <v>0</v>
      </c>
      <c r="G1727" s="11">
        <v>16115.3</v>
      </c>
      <c r="H1727" t="s">
        <v>11</v>
      </c>
      <c r="I1727" t="s">
        <v>16</v>
      </c>
      <c r="J1727" t="s">
        <v>247</v>
      </c>
    </row>
    <row r="1728" spans="1:10" x14ac:dyDescent="0.3">
      <c r="A1728" t="s">
        <v>1759</v>
      </c>
      <c r="B1728">
        <v>1987</v>
      </c>
      <c r="C1728" t="s">
        <v>37</v>
      </c>
      <c r="D1728">
        <v>6</v>
      </c>
      <c r="E1728" s="13" t="s">
        <v>11270</v>
      </c>
      <c r="F1728">
        <v>3</v>
      </c>
      <c r="G1728" s="11">
        <v>16122.65</v>
      </c>
      <c r="H1728" t="s">
        <v>11</v>
      </c>
      <c r="I1728" t="s">
        <v>16</v>
      </c>
      <c r="J1728" t="s">
        <v>42</v>
      </c>
    </row>
    <row r="1729" spans="1:10" x14ac:dyDescent="0.3">
      <c r="A1729" t="s">
        <v>1760</v>
      </c>
      <c r="B1729">
        <v>1993</v>
      </c>
      <c r="C1729" t="s">
        <v>30</v>
      </c>
      <c r="D1729">
        <v>12</v>
      </c>
      <c r="E1729" s="13" t="s">
        <v>12344</v>
      </c>
      <c r="F1729">
        <v>0</v>
      </c>
      <c r="G1729" s="11">
        <v>16138.76</v>
      </c>
      <c r="H1729" t="s">
        <v>11</v>
      </c>
      <c r="I1729" t="s">
        <v>12</v>
      </c>
      <c r="J1729" t="s">
        <v>356</v>
      </c>
    </row>
    <row r="1730" spans="1:10" x14ac:dyDescent="0.3">
      <c r="A1730" t="s">
        <v>1761</v>
      </c>
      <c r="B1730">
        <v>1982</v>
      </c>
      <c r="C1730" t="s">
        <v>10</v>
      </c>
      <c r="D1730">
        <v>6</v>
      </c>
      <c r="E1730" s="13" t="s">
        <v>12345</v>
      </c>
      <c r="F1730">
        <v>3</v>
      </c>
      <c r="G1730" s="11">
        <v>16152.04</v>
      </c>
      <c r="H1730" t="s">
        <v>11</v>
      </c>
      <c r="I1730" t="s">
        <v>16</v>
      </c>
      <c r="J1730" t="s">
        <v>535</v>
      </c>
    </row>
    <row r="1731" spans="1:10" x14ac:dyDescent="0.3">
      <c r="A1731" t="s">
        <v>1762</v>
      </c>
      <c r="B1731">
        <v>1974</v>
      </c>
      <c r="C1731" t="s">
        <v>20</v>
      </c>
      <c r="D1731">
        <v>11</v>
      </c>
      <c r="E1731" s="13" t="s">
        <v>12346</v>
      </c>
      <c r="F1731">
        <v>0</v>
      </c>
      <c r="G1731" s="11">
        <v>16190.97</v>
      </c>
      <c r="H1731" t="s">
        <v>11</v>
      </c>
      <c r="I1731" t="s">
        <v>12</v>
      </c>
      <c r="J1731" t="s">
        <v>23</v>
      </c>
    </row>
    <row r="1732" spans="1:10" x14ac:dyDescent="0.3">
      <c r="A1732" t="s">
        <v>1763</v>
      </c>
      <c r="B1732">
        <v>1988</v>
      </c>
      <c r="C1732" t="s">
        <v>35</v>
      </c>
      <c r="D1732">
        <v>6</v>
      </c>
      <c r="E1732" s="13" t="s">
        <v>12347</v>
      </c>
      <c r="F1732">
        <v>3</v>
      </c>
      <c r="G1732" s="11">
        <v>16199.1</v>
      </c>
      <c r="H1732" t="s">
        <v>11</v>
      </c>
      <c r="I1732" t="s">
        <v>11</v>
      </c>
      <c r="J1732" t="s">
        <v>23</v>
      </c>
    </row>
    <row r="1733" spans="1:10" x14ac:dyDescent="0.3">
      <c r="A1733" t="s">
        <v>1764</v>
      </c>
      <c r="B1733">
        <v>1988</v>
      </c>
      <c r="C1733" t="s">
        <v>35</v>
      </c>
      <c r="D1733">
        <v>21</v>
      </c>
      <c r="E1733" s="13" t="s">
        <v>11100</v>
      </c>
      <c r="F1733">
        <v>3</v>
      </c>
      <c r="G1733" s="11">
        <v>16205.88</v>
      </c>
      <c r="H1733" t="s">
        <v>11</v>
      </c>
      <c r="I1733" t="s">
        <v>16</v>
      </c>
      <c r="J1733" t="s">
        <v>23</v>
      </c>
    </row>
    <row r="1734" spans="1:10" x14ac:dyDescent="0.3">
      <c r="A1734" t="s">
        <v>1765</v>
      </c>
      <c r="B1734">
        <v>2002</v>
      </c>
      <c r="C1734" t="s">
        <v>20</v>
      </c>
      <c r="D1734">
        <v>8</v>
      </c>
      <c r="E1734" s="13" t="s">
        <v>12348</v>
      </c>
      <c r="F1734">
        <v>0</v>
      </c>
      <c r="G1734" s="11">
        <v>16232.85</v>
      </c>
      <c r="H1734" t="s">
        <v>11</v>
      </c>
      <c r="I1734" t="s">
        <v>16</v>
      </c>
      <c r="J1734" t="s">
        <v>42</v>
      </c>
    </row>
    <row r="1735" spans="1:10" x14ac:dyDescent="0.3">
      <c r="A1735" t="s">
        <v>1766</v>
      </c>
      <c r="B1735">
        <v>1972</v>
      </c>
      <c r="C1735" t="s">
        <v>10</v>
      </c>
      <c r="D1735">
        <v>30</v>
      </c>
      <c r="E1735" s="13" t="s">
        <v>11603</v>
      </c>
      <c r="F1735">
        <v>0</v>
      </c>
      <c r="G1735" s="11">
        <v>16267.32</v>
      </c>
      <c r="H1735" t="s">
        <v>11</v>
      </c>
      <c r="I1735" t="s">
        <v>11</v>
      </c>
      <c r="J1735" t="s">
        <v>249</v>
      </c>
    </row>
    <row r="1736" spans="1:10" x14ac:dyDescent="0.3">
      <c r="A1736" t="s">
        <v>1767</v>
      </c>
      <c r="B1736">
        <v>2003</v>
      </c>
      <c r="C1736" t="s">
        <v>35</v>
      </c>
      <c r="D1736">
        <v>24</v>
      </c>
      <c r="E1736" s="13" t="s">
        <v>12349</v>
      </c>
      <c r="F1736">
        <v>0</v>
      </c>
      <c r="G1736" s="11">
        <v>16297.85</v>
      </c>
      <c r="H1736" t="s">
        <v>11</v>
      </c>
      <c r="I1736" t="s">
        <v>12</v>
      </c>
      <c r="J1736" t="s">
        <v>42</v>
      </c>
    </row>
    <row r="1737" spans="1:10" x14ac:dyDescent="0.3">
      <c r="A1737" t="s">
        <v>1768</v>
      </c>
      <c r="B1737">
        <v>1969</v>
      </c>
      <c r="C1737" t="s">
        <v>35</v>
      </c>
      <c r="D1737">
        <v>8</v>
      </c>
      <c r="E1737" s="13" t="s">
        <v>12350</v>
      </c>
      <c r="F1737">
        <v>0</v>
      </c>
      <c r="G1737" s="11">
        <v>16311.05</v>
      </c>
      <c r="H1737" t="s">
        <v>11</v>
      </c>
      <c r="I1737" t="s">
        <v>12</v>
      </c>
      <c r="J1737" t="s">
        <v>535</v>
      </c>
    </row>
    <row r="1738" spans="1:10" x14ac:dyDescent="0.3">
      <c r="A1738" t="s">
        <v>1769</v>
      </c>
      <c r="B1738">
        <v>1965</v>
      </c>
      <c r="C1738" t="s">
        <v>30</v>
      </c>
      <c r="D1738">
        <v>5</v>
      </c>
      <c r="E1738" s="13" t="s">
        <v>12351</v>
      </c>
      <c r="F1738">
        <v>0</v>
      </c>
      <c r="G1738" s="11">
        <v>16351.42</v>
      </c>
      <c r="H1738" t="s">
        <v>11</v>
      </c>
      <c r="I1738" t="s">
        <v>12</v>
      </c>
      <c r="J1738" t="s">
        <v>535</v>
      </c>
    </row>
    <row r="1739" spans="1:10" x14ac:dyDescent="0.3">
      <c r="A1739" t="s">
        <v>1770</v>
      </c>
      <c r="B1739">
        <v>1995</v>
      </c>
      <c r="C1739" t="s">
        <v>20</v>
      </c>
      <c r="D1739">
        <v>28</v>
      </c>
      <c r="E1739" s="13" t="s">
        <v>12352</v>
      </c>
      <c r="F1739">
        <v>3</v>
      </c>
      <c r="G1739" s="11">
        <v>16420.490000000002</v>
      </c>
      <c r="H1739" t="s">
        <v>11</v>
      </c>
      <c r="I1739" t="s">
        <v>12</v>
      </c>
      <c r="J1739" t="s">
        <v>23</v>
      </c>
    </row>
    <row r="1740" spans="1:10" x14ac:dyDescent="0.3">
      <c r="A1740" t="s">
        <v>1771</v>
      </c>
      <c r="B1740">
        <v>2003</v>
      </c>
      <c r="C1740" t="s">
        <v>30</v>
      </c>
      <c r="D1740">
        <v>20</v>
      </c>
      <c r="E1740" s="13" t="s">
        <v>12353</v>
      </c>
      <c r="F1740">
        <v>1</v>
      </c>
      <c r="G1740" s="11">
        <v>16450.89</v>
      </c>
      <c r="H1740" t="s">
        <v>11</v>
      </c>
      <c r="I1740" t="s">
        <v>16</v>
      </c>
      <c r="J1740" t="s">
        <v>23</v>
      </c>
    </row>
    <row r="1741" spans="1:10" x14ac:dyDescent="0.3">
      <c r="A1741" t="s">
        <v>1772</v>
      </c>
      <c r="B1741">
        <v>1958</v>
      </c>
      <c r="C1741" t="s">
        <v>37</v>
      </c>
      <c r="D1741">
        <v>10</v>
      </c>
      <c r="E1741" s="13" t="s">
        <v>12354</v>
      </c>
      <c r="F1741">
        <v>3</v>
      </c>
      <c r="G1741" s="11">
        <v>16455.71</v>
      </c>
      <c r="H1741" t="s">
        <v>11</v>
      </c>
      <c r="I1741" t="s">
        <v>11</v>
      </c>
      <c r="J1741" t="s">
        <v>23</v>
      </c>
    </row>
    <row r="1742" spans="1:10" x14ac:dyDescent="0.3">
      <c r="A1742" t="s">
        <v>1773</v>
      </c>
      <c r="B1742">
        <v>1995</v>
      </c>
      <c r="C1742" t="s">
        <v>30</v>
      </c>
      <c r="D1742">
        <v>23</v>
      </c>
      <c r="E1742" s="13" t="s">
        <v>12355</v>
      </c>
      <c r="F1742">
        <v>0</v>
      </c>
      <c r="G1742" s="11">
        <v>16577.78</v>
      </c>
      <c r="H1742" t="s">
        <v>11</v>
      </c>
      <c r="I1742" t="s">
        <v>16</v>
      </c>
      <c r="J1742" t="s">
        <v>13</v>
      </c>
    </row>
    <row r="1743" spans="1:10" x14ac:dyDescent="0.3">
      <c r="A1743" t="s">
        <v>1774</v>
      </c>
      <c r="B1743">
        <v>2001</v>
      </c>
      <c r="C1743" t="s">
        <v>18</v>
      </c>
      <c r="D1743">
        <v>25</v>
      </c>
      <c r="E1743" s="13" t="s">
        <v>12356</v>
      </c>
      <c r="F1743">
        <v>0</v>
      </c>
      <c r="G1743" s="11">
        <v>16586.5</v>
      </c>
      <c r="H1743" t="s">
        <v>11</v>
      </c>
      <c r="I1743" t="s">
        <v>16</v>
      </c>
      <c r="J1743" t="s">
        <v>13</v>
      </c>
    </row>
    <row r="1744" spans="1:10" x14ac:dyDescent="0.3">
      <c r="A1744" t="s">
        <v>1775</v>
      </c>
      <c r="B1744">
        <v>1963</v>
      </c>
      <c r="C1744" t="s">
        <v>18</v>
      </c>
      <c r="D1744">
        <v>25</v>
      </c>
      <c r="E1744" s="13" t="s">
        <v>11610</v>
      </c>
      <c r="F1744">
        <v>0</v>
      </c>
      <c r="G1744" s="11">
        <v>16587.96</v>
      </c>
      <c r="H1744" t="s">
        <v>11</v>
      </c>
      <c r="I1744" t="s">
        <v>11</v>
      </c>
      <c r="J1744" t="s">
        <v>249</v>
      </c>
    </row>
    <row r="1745" spans="1:10" x14ac:dyDescent="0.3">
      <c r="A1745" t="s">
        <v>1776</v>
      </c>
      <c r="B1745">
        <v>1970</v>
      </c>
      <c r="C1745" t="s">
        <v>10</v>
      </c>
      <c r="D1745">
        <v>10</v>
      </c>
      <c r="E1745" s="13" t="s">
        <v>12357</v>
      </c>
      <c r="F1745">
        <v>0</v>
      </c>
      <c r="G1745" s="11">
        <v>16600.16</v>
      </c>
      <c r="H1745" t="s">
        <v>11</v>
      </c>
      <c r="I1745" t="s">
        <v>11</v>
      </c>
      <c r="J1745" t="s">
        <v>42</v>
      </c>
    </row>
    <row r="1746" spans="1:10" x14ac:dyDescent="0.3">
      <c r="A1746" t="s">
        <v>1777</v>
      </c>
      <c r="B1746">
        <v>1975</v>
      </c>
      <c r="C1746" t="s">
        <v>10</v>
      </c>
      <c r="D1746">
        <v>24</v>
      </c>
      <c r="E1746" s="13" t="s">
        <v>12358</v>
      </c>
      <c r="F1746">
        <v>1</v>
      </c>
      <c r="G1746" s="11">
        <v>16602.18</v>
      </c>
      <c r="H1746" t="s">
        <v>11</v>
      </c>
      <c r="I1746" t="s">
        <v>16</v>
      </c>
      <c r="J1746" t="s">
        <v>535</v>
      </c>
    </row>
    <row r="1747" spans="1:10" x14ac:dyDescent="0.3">
      <c r="A1747" t="s">
        <v>1778</v>
      </c>
      <c r="B1747">
        <v>1977</v>
      </c>
      <c r="C1747" t="s">
        <v>20</v>
      </c>
      <c r="D1747">
        <v>25</v>
      </c>
      <c r="E1747" s="13" t="s">
        <v>12359</v>
      </c>
      <c r="F1747">
        <v>2</v>
      </c>
      <c r="G1747" s="11">
        <v>16631.61</v>
      </c>
      <c r="H1747" t="s">
        <v>11</v>
      </c>
      <c r="I1747" t="s">
        <v>16</v>
      </c>
      <c r="J1747" t="s">
        <v>23</v>
      </c>
    </row>
    <row r="1748" spans="1:10" x14ac:dyDescent="0.3">
      <c r="A1748" t="s">
        <v>1779</v>
      </c>
      <c r="B1748">
        <v>1993</v>
      </c>
      <c r="C1748" t="s">
        <v>15</v>
      </c>
      <c r="D1748">
        <v>5</v>
      </c>
      <c r="E1748" s="13" t="s">
        <v>12292</v>
      </c>
      <c r="F1748">
        <v>1</v>
      </c>
      <c r="G1748" s="11">
        <v>16657.72</v>
      </c>
      <c r="H1748" t="s">
        <v>11</v>
      </c>
      <c r="I1748" t="s">
        <v>16</v>
      </c>
      <c r="J1748" t="s">
        <v>247</v>
      </c>
    </row>
    <row r="1749" spans="1:10" x14ac:dyDescent="0.3">
      <c r="A1749" t="s">
        <v>1780</v>
      </c>
      <c r="B1749">
        <v>1974</v>
      </c>
      <c r="C1749" t="s">
        <v>35</v>
      </c>
      <c r="D1749">
        <v>28</v>
      </c>
      <c r="E1749" s="13" t="s">
        <v>12360</v>
      </c>
      <c r="F1749">
        <v>0</v>
      </c>
      <c r="G1749" s="11">
        <v>16770.990000000002</v>
      </c>
      <c r="H1749" t="s">
        <v>11</v>
      </c>
      <c r="I1749" t="s">
        <v>16</v>
      </c>
      <c r="J1749" t="s">
        <v>23</v>
      </c>
    </row>
    <row r="1750" spans="1:10" x14ac:dyDescent="0.3">
      <c r="A1750" t="s">
        <v>1781</v>
      </c>
      <c r="B1750">
        <v>1989</v>
      </c>
      <c r="C1750" t="s">
        <v>20</v>
      </c>
      <c r="D1750">
        <v>23</v>
      </c>
      <c r="E1750" s="13" t="s">
        <v>12361</v>
      </c>
      <c r="F1750">
        <v>2</v>
      </c>
      <c r="G1750" s="11">
        <v>16776.3</v>
      </c>
      <c r="H1750" t="s">
        <v>11</v>
      </c>
      <c r="I1750" t="s">
        <v>11</v>
      </c>
      <c r="J1750" t="s">
        <v>247</v>
      </c>
    </row>
    <row r="1751" spans="1:10" x14ac:dyDescent="0.3">
      <c r="A1751" t="s">
        <v>1782</v>
      </c>
      <c r="B1751">
        <v>1962</v>
      </c>
      <c r="C1751" t="s">
        <v>10</v>
      </c>
      <c r="D1751">
        <v>29</v>
      </c>
      <c r="E1751" s="13" t="s">
        <v>12362</v>
      </c>
      <c r="F1751">
        <v>0</v>
      </c>
      <c r="G1751" s="11">
        <v>16779.400000000001</v>
      </c>
      <c r="H1751" t="s">
        <v>11</v>
      </c>
      <c r="I1751" t="s">
        <v>11</v>
      </c>
      <c r="J1751" t="s">
        <v>535</v>
      </c>
    </row>
    <row r="1752" spans="1:10" x14ac:dyDescent="0.3">
      <c r="A1752" t="s">
        <v>1783</v>
      </c>
      <c r="B1752">
        <v>1995</v>
      </c>
      <c r="C1752" t="s">
        <v>37</v>
      </c>
      <c r="D1752">
        <v>19</v>
      </c>
      <c r="E1752" s="13" t="s">
        <v>12363</v>
      </c>
      <c r="F1752">
        <v>1</v>
      </c>
      <c r="G1752" s="11">
        <v>16796.41</v>
      </c>
      <c r="H1752" t="s">
        <v>11</v>
      </c>
      <c r="I1752" t="s">
        <v>12</v>
      </c>
      <c r="J1752" t="s">
        <v>247</v>
      </c>
    </row>
    <row r="1753" spans="1:10" x14ac:dyDescent="0.3">
      <c r="A1753" t="s">
        <v>1784</v>
      </c>
      <c r="B1753">
        <v>1974</v>
      </c>
      <c r="C1753" t="s">
        <v>35</v>
      </c>
      <c r="D1753">
        <v>8</v>
      </c>
      <c r="E1753" s="13" t="s">
        <v>11607</v>
      </c>
      <c r="F1753">
        <v>0</v>
      </c>
      <c r="G1753" s="11">
        <v>16841.32</v>
      </c>
      <c r="H1753" t="s">
        <v>11</v>
      </c>
      <c r="I1753" t="s">
        <v>12</v>
      </c>
      <c r="J1753" t="s">
        <v>42</v>
      </c>
    </row>
    <row r="1754" spans="1:10" x14ac:dyDescent="0.3">
      <c r="A1754" t="s">
        <v>1785</v>
      </c>
      <c r="B1754">
        <v>2003</v>
      </c>
      <c r="C1754" t="s">
        <v>20</v>
      </c>
      <c r="D1754">
        <v>10</v>
      </c>
      <c r="E1754" s="13" t="s">
        <v>12364</v>
      </c>
      <c r="F1754">
        <v>0</v>
      </c>
      <c r="G1754" s="11">
        <v>16884.919999999998</v>
      </c>
      <c r="H1754" t="s">
        <v>11</v>
      </c>
      <c r="I1754" t="s">
        <v>11</v>
      </c>
      <c r="J1754" t="s">
        <v>42</v>
      </c>
    </row>
    <row r="1755" spans="1:10" x14ac:dyDescent="0.3">
      <c r="A1755" t="s">
        <v>1786</v>
      </c>
      <c r="B1755">
        <v>1968</v>
      </c>
      <c r="C1755" t="s">
        <v>37</v>
      </c>
      <c r="D1755">
        <v>21</v>
      </c>
      <c r="E1755" s="13" t="s">
        <v>11477</v>
      </c>
      <c r="F1755">
        <v>0</v>
      </c>
      <c r="G1755" s="11">
        <v>16903.5</v>
      </c>
      <c r="H1755" t="s">
        <v>11</v>
      </c>
      <c r="I1755" t="s">
        <v>12</v>
      </c>
      <c r="J1755" t="s">
        <v>23</v>
      </c>
    </row>
    <row r="1756" spans="1:10" x14ac:dyDescent="0.3">
      <c r="A1756" t="s">
        <v>1787</v>
      </c>
      <c r="B1756">
        <v>1977</v>
      </c>
      <c r="C1756" t="s">
        <v>35</v>
      </c>
      <c r="D1756">
        <v>25</v>
      </c>
      <c r="E1756" s="13" t="s">
        <v>12365</v>
      </c>
      <c r="F1756">
        <v>2</v>
      </c>
      <c r="G1756" s="11">
        <v>16921.09</v>
      </c>
      <c r="H1756" t="s">
        <v>11</v>
      </c>
      <c r="I1756" t="s">
        <v>12</v>
      </c>
      <c r="J1756" t="s">
        <v>249</v>
      </c>
    </row>
    <row r="1757" spans="1:10" x14ac:dyDescent="0.3">
      <c r="A1757" t="s">
        <v>1788</v>
      </c>
      <c r="B1757">
        <v>1980</v>
      </c>
      <c r="C1757" t="s">
        <v>10</v>
      </c>
      <c r="D1757">
        <v>16</v>
      </c>
      <c r="E1757" s="13" t="s">
        <v>12366</v>
      </c>
      <c r="F1757">
        <v>2</v>
      </c>
      <c r="G1757" s="11">
        <v>16990.55</v>
      </c>
      <c r="H1757" t="s">
        <v>11</v>
      </c>
      <c r="I1757" t="s">
        <v>12</v>
      </c>
      <c r="J1757" t="s">
        <v>23</v>
      </c>
    </row>
    <row r="1758" spans="1:10" x14ac:dyDescent="0.3">
      <c r="A1758" t="s">
        <v>1789</v>
      </c>
      <c r="B1758">
        <v>1971</v>
      </c>
      <c r="C1758" t="s">
        <v>35</v>
      </c>
      <c r="D1758">
        <v>22</v>
      </c>
      <c r="E1758" s="13" t="s">
        <v>12367</v>
      </c>
      <c r="F1758">
        <v>0</v>
      </c>
      <c r="G1758" s="11">
        <v>17016.009999999998</v>
      </c>
      <c r="H1758" t="s">
        <v>11</v>
      </c>
      <c r="I1758" t="s">
        <v>11</v>
      </c>
      <c r="J1758" t="s">
        <v>249</v>
      </c>
    </row>
    <row r="1759" spans="1:10" x14ac:dyDescent="0.3">
      <c r="A1759" t="s">
        <v>1790</v>
      </c>
      <c r="B1759">
        <v>1996</v>
      </c>
      <c r="C1759" t="s">
        <v>18</v>
      </c>
      <c r="D1759">
        <v>10</v>
      </c>
      <c r="E1759" s="13" t="s">
        <v>12368</v>
      </c>
      <c r="F1759">
        <v>0</v>
      </c>
      <c r="G1759" s="11">
        <v>17043.34</v>
      </c>
      <c r="H1759" t="s">
        <v>11</v>
      </c>
      <c r="I1759" t="s">
        <v>12</v>
      </c>
      <c r="J1759" t="s">
        <v>13</v>
      </c>
    </row>
    <row r="1760" spans="1:10" x14ac:dyDescent="0.3">
      <c r="A1760" t="s">
        <v>1791</v>
      </c>
      <c r="B1760">
        <v>2003</v>
      </c>
      <c r="C1760" t="s">
        <v>30</v>
      </c>
      <c r="D1760">
        <v>26</v>
      </c>
      <c r="E1760" s="13" t="s">
        <v>12369</v>
      </c>
      <c r="F1760">
        <v>0</v>
      </c>
      <c r="G1760" s="11">
        <v>17081.080000000002</v>
      </c>
      <c r="H1760" t="s">
        <v>11</v>
      </c>
      <c r="I1760" t="s">
        <v>11</v>
      </c>
      <c r="J1760" t="s">
        <v>42</v>
      </c>
    </row>
    <row r="1761" spans="1:10" x14ac:dyDescent="0.3">
      <c r="A1761" t="s">
        <v>1792</v>
      </c>
      <c r="B1761">
        <v>2002</v>
      </c>
      <c r="C1761" t="s">
        <v>18</v>
      </c>
      <c r="D1761">
        <v>28</v>
      </c>
      <c r="E1761" s="13" t="s">
        <v>12370</v>
      </c>
      <c r="F1761">
        <v>1</v>
      </c>
      <c r="G1761" s="11">
        <v>17085.27</v>
      </c>
      <c r="H1761" t="s">
        <v>11</v>
      </c>
      <c r="I1761" t="s">
        <v>12</v>
      </c>
      <c r="J1761" t="s">
        <v>13</v>
      </c>
    </row>
    <row r="1762" spans="1:10" x14ac:dyDescent="0.3">
      <c r="A1762" t="s">
        <v>1793</v>
      </c>
      <c r="B1762">
        <v>1998</v>
      </c>
      <c r="C1762" t="s">
        <v>18</v>
      </c>
      <c r="D1762">
        <v>3</v>
      </c>
      <c r="E1762" s="13" t="s">
        <v>12371</v>
      </c>
      <c r="F1762">
        <v>4</v>
      </c>
      <c r="G1762" s="11">
        <v>17128.43</v>
      </c>
      <c r="H1762" t="s">
        <v>11</v>
      </c>
      <c r="I1762" t="s">
        <v>12</v>
      </c>
      <c r="J1762" t="s">
        <v>168</v>
      </c>
    </row>
    <row r="1763" spans="1:10" x14ac:dyDescent="0.3">
      <c r="A1763" t="s">
        <v>1794</v>
      </c>
      <c r="B1763">
        <v>1965</v>
      </c>
      <c r="C1763" t="s">
        <v>20</v>
      </c>
      <c r="D1763">
        <v>16</v>
      </c>
      <c r="E1763" s="13" t="s">
        <v>12372</v>
      </c>
      <c r="F1763">
        <v>0</v>
      </c>
      <c r="G1763" s="11">
        <v>17172.27</v>
      </c>
      <c r="H1763" t="s">
        <v>11</v>
      </c>
      <c r="I1763" t="s">
        <v>11</v>
      </c>
      <c r="J1763" t="s">
        <v>535</v>
      </c>
    </row>
    <row r="1764" spans="1:10" x14ac:dyDescent="0.3">
      <c r="A1764" t="s">
        <v>1795</v>
      </c>
      <c r="B1764">
        <v>1964</v>
      </c>
      <c r="C1764" t="s">
        <v>18</v>
      </c>
      <c r="D1764">
        <v>7</v>
      </c>
      <c r="E1764" s="13" t="s">
        <v>12373</v>
      </c>
      <c r="F1764">
        <v>0</v>
      </c>
      <c r="G1764" s="11">
        <v>17174.52</v>
      </c>
      <c r="H1764" t="s">
        <v>11</v>
      </c>
      <c r="I1764" t="s">
        <v>11</v>
      </c>
      <c r="J1764" t="s">
        <v>23</v>
      </c>
    </row>
    <row r="1765" spans="1:10" x14ac:dyDescent="0.3">
      <c r="A1765" t="s">
        <v>1796</v>
      </c>
      <c r="B1765">
        <v>2004</v>
      </c>
      <c r="C1765" t="s">
        <v>35</v>
      </c>
      <c r="D1765">
        <v>18</v>
      </c>
      <c r="E1765" s="13" t="s">
        <v>12374</v>
      </c>
      <c r="F1765">
        <v>1</v>
      </c>
      <c r="G1765" s="11">
        <v>17178.68</v>
      </c>
      <c r="H1765" t="s">
        <v>11</v>
      </c>
      <c r="I1765" t="s">
        <v>11</v>
      </c>
      <c r="J1765" t="s">
        <v>166</v>
      </c>
    </row>
    <row r="1766" spans="1:10" x14ac:dyDescent="0.3">
      <c r="A1766" t="s">
        <v>1797</v>
      </c>
      <c r="B1766">
        <v>1982</v>
      </c>
      <c r="C1766" t="s">
        <v>37</v>
      </c>
      <c r="D1766">
        <v>22</v>
      </c>
      <c r="E1766" s="13" t="s">
        <v>12375</v>
      </c>
      <c r="F1766">
        <v>1</v>
      </c>
      <c r="G1766" s="11">
        <v>17179.52</v>
      </c>
      <c r="H1766" t="s">
        <v>11</v>
      </c>
      <c r="I1766" t="s">
        <v>16</v>
      </c>
      <c r="J1766" t="s">
        <v>13</v>
      </c>
    </row>
    <row r="1767" spans="1:10" x14ac:dyDescent="0.3">
      <c r="A1767" t="s">
        <v>1798</v>
      </c>
      <c r="B1767">
        <v>1975</v>
      </c>
      <c r="C1767" t="s">
        <v>35</v>
      </c>
      <c r="D1767">
        <v>25</v>
      </c>
      <c r="E1767" s="13" t="s">
        <v>12376</v>
      </c>
      <c r="F1767">
        <v>1</v>
      </c>
      <c r="G1767" s="11">
        <v>17253.43</v>
      </c>
      <c r="H1767" t="s">
        <v>11</v>
      </c>
      <c r="I1767" t="s">
        <v>12</v>
      </c>
      <c r="J1767" t="s">
        <v>535</v>
      </c>
    </row>
    <row r="1768" spans="1:10" x14ac:dyDescent="0.3">
      <c r="A1768" t="s">
        <v>1799</v>
      </c>
      <c r="B1768">
        <v>1963</v>
      </c>
      <c r="C1768" t="s">
        <v>10</v>
      </c>
      <c r="D1768">
        <v>12</v>
      </c>
      <c r="E1768" s="13" t="s">
        <v>12377</v>
      </c>
      <c r="F1768">
        <v>0</v>
      </c>
      <c r="G1768" s="11">
        <v>17337.580000000002</v>
      </c>
      <c r="H1768" t="s">
        <v>11</v>
      </c>
      <c r="I1768" t="s">
        <v>12</v>
      </c>
      <c r="J1768" t="s">
        <v>249</v>
      </c>
    </row>
    <row r="1769" spans="1:10" x14ac:dyDescent="0.3">
      <c r="A1769" t="s">
        <v>1800</v>
      </c>
      <c r="B1769">
        <v>2003</v>
      </c>
      <c r="C1769" t="s">
        <v>15</v>
      </c>
      <c r="D1769">
        <v>1</v>
      </c>
      <c r="E1769" s="13" t="s">
        <v>12378</v>
      </c>
      <c r="F1769">
        <v>0</v>
      </c>
      <c r="G1769" s="11">
        <v>17352.68</v>
      </c>
      <c r="H1769" t="s">
        <v>11</v>
      </c>
      <c r="I1769" t="s">
        <v>12</v>
      </c>
      <c r="J1769" t="s">
        <v>23</v>
      </c>
    </row>
    <row r="1770" spans="1:10" x14ac:dyDescent="0.3">
      <c r="A1770" t="s">
        <v>1801</v>
      </c>
      <c r="B1770">
        <v>1992</v>
      </c>
      <c r="C1770" t="s">
        <v>37</v>
      </c>
      <c r="D1770">
        <v>18</v>
      </c>
      <c r="E1770" s="13" t="s">
        <v>12379</v>
      </c>
      <c r="F1770">
        <v>2</v>
      </c>
      <c r="G1770" s="11">
        <v>17361.77</v>
      </c>
      <c r="H1770" t="s">
        <v>11</v>
      </c>
      <c r="I1770" t="s">
        <v>16</v>
      </c>
      <c r="J1770" t="s">
        <v>23</v>
      </c>
    </row>
    <row r="1771" spans="1:10" x14ac:dyDescent="0.3">
      <c r="A1771" t="s">
        <v>1802</v>
      </c>
      <c r="B1771">
        <v>2003</v>
      </c>
      <c r="C1771" t="s">
        <v>15</v>
      </c>
      <c r="D1771">
        <v>2</v>
      </c>
      <c r="E1771" s="13" t="s">
        <v>12380</v>
      </c>
      <c r="F1771">
        <v>0</v>
      </c>
      <c r="G1771" s="11">
        <v>17468.98</v>
      </c>
      <c r="H1771" t="s">
        <v>11</v>
      </c>
      <c r="I1771" t="s">
        <v>16</v>
      </c>
      <c r="J1771" t="s">
        <v>23</v>
      </c>
    </row>
    <row r="1772" spans="1:10" x14ac:dyDescent="0.3">
      <c r="A1772" t="s">
        <v>1803</v>
      </c>
      <c r="B1772">
        <v>1971</v>
      </c>
      <c r="C1772" t="s">
        <v>18</v>
      </c>
      <c r="D1772">
        <v>8</v>
      </c>
      <c r="E1772" s="13" t="s">
        <v>12381</v>
      </c>
      <c r="F1772">
        <v>0</v>
      </c>
      <c r="G1772" s="11">
        <v>17479.53</v>
      </c>
      <c r="H1772" t="s">
        <v>16</v>
      </c>
      <c r="I1772" t="s">
        <v>16</v>
      </c>
      <c r="J1772" t="s">
        <v>23</v>
      </c>
    </row>
    <row r="1773" spans="1:10" x14ac:dyDescent="0.3">
      <c r="A1773" t="s">
        <v>1804</v>
      </c>
      <c r="B1773">
        <v>1990</v>
      </c>
      <c r="C1773" t="s">
        <v>30</v>
      </c>
      <c r="D1773">
        <v>29</v>
      </c>
      <c r="E1773" s="13" t="s">
        <v>12382</v>
      </c>
      <c r="F1773">
        <v>0</v>
      </c>
      <c r="G1773" s="11">
        <v>17496.310000000001</v>
      </c>
      <c r="H1773" t="s">
        <v>16</v>
      </c>
      <c r="I1773" t="s">
        <v>11</v>
      </c>
      <c r="J1773" t="s">
        <v>42</v>
      </c>
    </row>
    <row r="1774" spans="1:10" x14ac:dyDescent="0.3">
      <c r="A1774" t="s">
        <v>1805</v>
      </c>
      <c r="B1774">
        <v>1965</v>
      </c>
      <c r="C1774" t="s">
        <v>18</v>
      </c>
      <c r="D1774">
        <v>16</v>
      </c>
      <c r="E1774" s="13" t="s">
        <v>12383</v>
      </c>
      <c r="F1774">
        <v>0</v>
      </c>
      <c r="G1774" s="11">
        <v>17505.650000000001</v>
      </c>
      <c r="H1774" t="s">
        <v>16</v>
      </c>
      <c r="I1774" t="s">
        <v>11</v>
      </c>
      <c r="J1774" t="s">
        <v>249</v>
      </c>
    </row>
    <row r="1775" spans="1:10" x14ac:dyDescent="0.3">
      <c r="A1775" t="s">
        <v>1806</v>
      </c>
      <c r="B1775">
        <v>1968</v>
      </c>
      <c r="C1775" t="s">
        <v>10</v>
      </c>
      <c r="D1775">
        <v>12</v>
      </c>
      <c r="E1775" s="13" t="s">
        <v>12384</v>
      </c>
      <c r="F1775">
        <v>0</v>
      </c>
      <c r="G1775" s="11">
        <v>17507.47</v>
      </c>
      <c r="H1775" t="s">
        <v>16</v>
      </c>
      <c r="I1775" t="s">
        <v>16</v>
      </c>
      <c r="J1775" t="s">
        <v>535</v>
      </c>
    </row>
    <row r="1776" spans="1:10" x14ac:dyDescent="0.3">
      <c r="A1776" t="s">
        <v>1807</v>
      </c>
      <c r="B1776">
        <v>1963</v>
      </c>
      <c r="C1776" t="s">
        <v>15</v>
      </c>
      <c r="D1776">
        <v>16</v>
      </c>
      <c r="E1776" s="13" t="s">
        <v>12319</v>
      </c>
      <c r="F1776">
        <v>0</v>
      </c>
      <c r="G1776" s="11">
        <v>17556.88</v>
      </c>
      <c r="H1776" t="s">
        <v>16</v>
      </c>
      <c r="I1776" t="s">
        <v>11</v>
      </c>
      <c r="J1776" t="s">
        <v>23</v>
      </c>
    </row>
    <row r="1777" spans="1:10" x14ac:dyDescent="0.3">
      <c r="A1777" t="s">
        <v>1808</v>
      </c>
      <c r="B1777">
        <v>2002</v>
      </c>
      <c r="C1777" t="s">
        <v>35</v>
      </c>
      <c r="D1777">
        <v>25</v>
      </c>
      <c r="E1777" s="13" t="s">
        <v>11074</v>
      </c>
      <c r="F1777">
        <v>1</v>
      </c>
      <c r="G1777" s="11">
        <v>17560.38</v>
      </c>
      <c r="H1777" t="s">
        <v>16</v>
      </c>
      <c r="I1777" t="s">
        <v>16</v>
      </c>
      <c r="J1777" t="s">
        <v>23</v>
      </c>
    </row>
    <row r="1778" spans="1:10" x14ac:dyDescent="0.3">
      <c r="A1778" t="s">
        <v>1809</v>
      </c>
      <c r="B1778">
        <v>1970</v>
      </c>
      <c r="C1778" t="s">
        <v>10</v>
      </c>
      <c r="D1778">
        <v>26</v>
      </c>
      <c r="E1778" s="13" t="s">
        <v>12385</v>
      </c>
      <c r="F1778">
        <v>0</v>
      </c>
      <c r="G1778" s="11">
        <v>17584.72</v>
      </c>
      <c r="H1778" t="s">
        <v>16</v>
      </c>
      <c r="I1778" t="s">
        <v>12</v>
      </c>
      <c r="J1778" t="s">
        <v>23</v>
      </c>
    </row>
    <row r="1779" spans="1:10" x14ac:dyDescent="0.3">
      <c r="A1779" t="s">
        <v>1810</v>
      </c>
      <c r="B1779">
        <v>1990</v>
      </c>
      <c r="C1779" t="s">
        <v>37</v>
      </c>
      <c r="D1779">
        <v>25</v>
      </c>
      <c r="E1779" s="13" t="s">
        <v>12386</v>
      </c>
      <c r="F1779">
        <v>1</v>
      </c>
      <c r="G1779" s="11">
        <v>17626.240000000002</v>
      </c>
      <c r="H1779" t="s">
        <v>16</v>
      </c>
      <c r="I1779" t="s">
        <v>12</v>
      </c>
      <c r="J1779" t="s">
        <v>13</v>
      </c>
    </row>
    <row r="1780" spans="1:10" x14ac:dyDescent="0.3">
      <c r="A1780" t="s">
        <v>1811</v>
      </c>
      <c r="B1780">
        <v>1994</v>
      </c>
      <c r="C1780" t="s">
        <v>10</v>
      </c>
      <c r="D1780">
        <v>1</v>
      </c>
      <c r="E1780" s="13" t="s">
        <v>11447</v>
      </c>
      <c r="F1780">
        <v>3</v>
      </c>
      <c r="G1780" s="11">
        <v>17663.14</v>
      </c>
      <c r="H1780" t="s">
        <v>16</v>
      </c>
      <c r="I1780" t="s">
        <v>12</v>
      </c>
      <c r="J1780" t="s">
        <v>13</v>
      </c>
    </row>
    <row r="1781" spans="1:10" x14ac:dyDescent="0.3">
      <c r="A1781" t="s">
        <v>1812</v>
      </c>
      <c r="B1781">
        <v>2003</v>
      </c>
      <c r="C1781" t="s">
        <v>10</v>
      </c>
      <c r="D1781">
        <v>14</v>
      </c>
      <c r="E1781" s="13" t="s">
        <v>12387</v>
      </c>
      <c r="F1781">
        <v>0</v>
      </c>
      <c r="G1781" s="11">
        <v>17748.509999999998</v>
      </c>
      <c r="H1781" t="s">
        <v>16</v>
      </c>
      <c r="I1781" t="s">
        <v>16</v>
      </c>
      <c r="J1781" t="s">
        <v>23</v>
      </c>
    </row>
    <row r="1782" spans="1:10" x14ac:dyDescent="0.3">
      <c r="A1782" t="s">
        <v>1813</v>
      </c>
      <c r="B1782">
        <v>1966</v>
      </c>
      <c r="C1782" t="s">
        <v>18</v>
      </c>
      <c r="D1782">
        <v>21</v>
      </c>
      <c r="E1782" s="13" t="s">
        <v>11431</v>
      </c>
      <c r="F1782">
        <v>0</v>
      </c>
      <c r="G1782" s="11">
        <v>17777.73</v>
      </c>
      <c r="H1782" t="s">
        <v>16</v>
      </c>
      <c r="I1782" t="s">
        <v>12</v>
      </c>
      <c r="J1782" t="s">
        <v>23</v>
      </c>
    </row>
    <row r="1783" spans="1:10" x14ac:dyDescent="0.3">
      <c r="A1783" t="s">
        <v>1814</v>
      </c>
      <c r="B1783">
        <v>1979</v>
      </c>
      <c r="C1783" t="s">
        <v>37</v>
      </c>
      <c r="D1783">
        <v>10</v>
      </c>
      <c r="E1783" s="13" t="s">
        <v>11006</v>
      </c>
      <c r="F1783">
        <v>2</v>
      </c>
      <c r="G1783" s="11">
        <v>17779.939999999999</v>
      </c>
      <c r="H1783" t="s">
        <v>16</v>
      </c>
      <c r="I1783" t="s">
        <v>11</v>
      </c>
      <c r="J1783" t="s">
        <v>23</v>
      </c>
    </row>
    <row r="1784" spans="1:10" x14ac:dyDescent="0.3">
      <c r="A1784" t="s">
        <v>1815</v>
      </c>
      <c r="B1784">
        <v>1963</v>
      </c>
      <c r="C1784" t="s">
        <v>30</v>
      </c>
      <c r="D1784">
        <v>8</v>
      </c>
      <c r="E1784" s="13" t="s">
        <v>12388</v>
      </c>
      <c r="F1784">
        <v>0</v>
      </c>
      <c r="G1784" s="11">
        <v>17832.599999999999</v>
      </c>
      <c r="H1784" t="s">
        <v>16</v>
      </c>
      <c r="I1784" t="s">
        <v>11</v>
      </c>
      <c r="J1784" t="s">
        <v>23</v>
      </c>
    </row>
    <row r="1785" spans="1:10" x14ac:dyDescent="0.3">
      <c r="A1785" t="s">
        <v>1816</v>
      </c>
      <c r="B1785">
        <v>1976</v>
      </c>
      <c r="C1785" t="s">
        <v>30</v>
      </c>
      <c r="D1785">
        <v>12</v>
      </c>
      <c r="E1785" s="13" t="s">
        <v>12389</v>
      </c>
      <c r="F1785">
        <v>2</v>
      </c>
      <c r="G1785" s="11">
        <v>17862.919999999998</v>
      </c>
      <c r="H1785" t="s">
        <v>16</v>
      </c>
      <c r="I1785" t="s">
        <v>11</v>
      </c>
      <c r="J1785" t="s">
        <v>23</v>
      </c>
    </row>
    <row r="1786" spans="1:10" x14ac:dyDescent="0.3">
      <c r="A1786" t="s">
        <v>1817</v>
      </c>
      <c r="B1786">
        <v>1997</v>
      </c>
      <c r="C1786" t="s">
        <v>35</v>
      </c>
      <c r="D1786">
        <v>26</v>
      </c>
      <c r="E1786" s="13" t="s">
        <v>12390</v>
      </c>
      <c r="F1786">
        <v>0</v>
      </c>
      <c r="G1786" s="11">
        <v>17878.900000000001</v>
      </c>
      <c r="H1786" t="s">
        <v>16</v>
      </c>
      <c r="I1786" t="s">
        <v>11</v>
      </c>
      <c r="J1786" t="s">
        <v>247</v>
      </c>
    </row>
    <row r="1787" spans="1:10" x14ac:dyDescent="0.3">
      <c r="A1787" t="s">
        <v>1818</v>
      </c>
      <c r="B1787">
        <v>1979</v>
      </c>
      <c r="C1787" t="s">
        <v>15</v>
      </c>
      <c r="D1787">
        <v>12</v>
      </c>
      <c r="E1787" s="13" t="s">
        <v>12391</v>
      </c>
      <c r="F1787">
        <v>2</v>
      </c>
      <c r="G1787" s="11">
        <v>17882.669999999998</v>
      </c>
      <c r="H1787" t="s">
        <v>16</v>
      </c>
      <c r="I1787" t="s">
        <v>12</v>
      </c>
      <c r="J1787" t="s">
        <v>23</v>
      </c>
    </row>
    <row r="1788" spans="1:10" x14ac:dyDescent="0.3">
      <c r="A1788" t="s">
        <v>1819</v>
      </c>
      <c r="B1788">
        <v>1989</v>
      </c>
      <c r="C1788" t="s">
        <v>30</v>
      </c>
      <c r="D1788">
        <v>4</v>
      </c>
      <c r="E1788" s="13" t="s">
        <v>11851</v>
      </c>
      <c r="F1788">
        <v>0</v>
      </c>
      <c r="G1788" s="11">
        <v>17904.53</v>
      </c>
      <c r="H1788" t="s">
        <v>16</v>
      </c>
      <c r="I1788" t="s">
        <v>11</v>
      </c>
      <c r="J1788" t="s">
        <v>356</v>
      </c>
    </row>
    <row r="1789" spans="1:10" x14ac:dyDescent="0.3">
      <c r="A1789" t="s">
        <v>1820</v>
      </c>
      <c r="B1789">
        <v>1977</v>
      </c>
      <c r="C1789" t="s">
        <v>37</v>
      </c>
      <c r="D1789">
        <v>17</v>
      </c>
      <c r="E1789" s="13" t="s">
        <v>12392</v>
      </c>
      <c r="F1789">
        <v>0</v>
      </c>
      <c r="G1789" s="11">
        <v>17929.3</v>
      </c>
      <c r="H1789" t="s">
        <v>16</v>
      </c>
      <c r="I1789" t="s">
        <v>11</v>
      </c>
      <c r="J1789" t="s">
        <v>13</v>
      </c>
    </row>
    <row r="1790" spans="1:10" x14ac:dyDescent="0.3">
      <c r="A1790" t="s">
        <v>1821</v>
      </c>
      <c r="B1790">
        <v>2001</v>
      </c>
      <c r="C1790" t="s">
        <v>20</v>
      </c>
      <c r="D1790">
        <v>28</v>
      </c>
      <c r="E1790" s="13" t="s">
        <v>12393</v>
      </c>
      <c r="F1790">
        <v>4</v>
      </c>
      <c r="G1790" s="11">
        <v>17942.11</v>
      </c>
      <c r="H1790" t="s">
        <v>16</v>
      </c>
      <c r="I1790" t="s">
        <v>11</v>
      </c>
      <c r="J1790" t="s">
        <v>42</v>
      </c>
    </row>
    <row r="1791" spans="1:10" x14ac:dyDescent="0.3">
      <c r="A1791" t="s">
        <v>1822</v>
      </c>
      <c r="B1791">
        <v>1975</v>
      </c>
      <c r="C1791" t="s">
        <v>18</v>
      </c>
      <c r="D1791">
        <v>27</v>
      </c>
      <c r="E1791" s="13" t="s">
        <v>12394</v>
      </c>
      <c r="F1791">
        <v>1</v>
      </c>
      <c r="G1791" s="11">
        <v>18031.16</v>
      </c>
      <c r="H1791" t="s">
        <v>16</v>
      </c>
      <c r="I1791" t="s">
        <v>12</v>
      </c>
      <c r="J1791" t="s">
        <v>249</v>
      </c>
    </row>
    <row r="1792" spans="1:10" x14ac:dyDescent="0.3">
      <c r="A1792" t="s">
        <v>1823</v>
      </c>
      <c r="B1792">
        <v>1965</v>
      </c>
      <c r="C1792" t="s">
        <v>37</v>
      </c>
      <c r="D1792">
        <v>17</v>
      </c>
      <c r="E1792" s="13" t="s">
        <v>12395</v>
      </c>
      <c r="F1792">
        <v>0</v>
      </c>
      <c r="G1792" s="11">
        <v>18031.189999999999</v>
      </c>
      <c r="H1792" t="s">
        <v>16</v>
      </c>
      <c r="I1792" t="s">
        <v>11</v>
      </c>
      <c r="J1792" t="s">
        <v>23</v>
      </c>
    </row>
    <row r="1793" spans="1:10" x14ac:dyDescent="0.3">
      <c r="A1793" t="s">
        <v>1824</v>
      </c>
      <c r="B1793">
        <v>1999</v>
      </c>
      <c r="C1793" t="s">
        <v>37</v>
      </c>
      <c r="D1793">
        <v>24</v>
      </c>
      <c r="E1793" s="13" t="s">
        <v>12396</v>
      </c>
      <c r="F1793">
        <v>0</v>
      </c>
      <c r="G1793" s="11">
        <v>18033.97</v>
      </c>
      <c r="H1793" t="s">
        <v>16</v>
      </c>
      <c r="I1793" t="s">
        <v>16</v>
      </c>
      <c r="J1793" t="s">
        <v>23</v>
      </c>
    </row>
    <row r="1794" spans="1:10" x14ac:dyDescent="0.3">
      <c r="A1794" t="s">
        <v>1825</v>
      </c>
      <c r="B1794">
        <v>1993</v>
      </c>
      <c r="C1794" t="s">
        <v>10</v>
      </c>
      <c r="D1794">
        <v>12</v>
      </c>
      <c r="E1794" s="13" t="s">
        <v>12031</v>
      </c>
      <c r="F1794">
        <v>2</v>
      </c>
      <c r="G1794" s="11">
        <v>18157.88</v>
      </c>
      <c r="H1794" t="s">
        <v>16</v>
      </c>
      <c r="I1794" t="s">
        <v>16</v>
      </c>
      <c r="J1794" t="s">
        <v>23</v>
      </c>
    </row>
    <row r="1795" spans="1:10" x14ac:dyDescent="0.3">
      <c r="A1795" t="s">
        <v>1826</v>
      </c>
      <c r="B1795">
        <v>1963</v>
      </c>
      <c r="C1795" t="s">
        <v>10</v>
      </c>
      <c r="D1795">
        <v>4</v>
      </c>
      <c r="E1795" s="13" t="s">
        <v>12397</v>
      </c>
      <c r="F1795">
        <v>0</v>
      </c>
      <c r="G1795" s="11">
        <v>18208.34</v>
      </c>
      <c r="H1795" t="s">
        <v>16</v>
      </c>
      <c r="I1795" t="s">
        <v>11</v>
      </c>
      <c r="J1795" t="s">
        <v>535</v>
      </c>
    </row>
    <row r="1796" spans="1:10" x14ac:dyDescent="0.3">
      <c r="A1796" t="s">
        <v>1827</v>
      </c>
      <c r="B1796">
        <v>1997</v>
      </c>
      <c r="C1796" t="s">
        <v>18</v>
      </c>
      <c r="D1796">
        <v>15</v>
      </c>
      <c r="E1796" s="13" t="s">
        <v>12398</v>
      </c>
      <c r="F1796">
        <v>1</v>
      </c>
      <c r="G1796" s="11">
        <v>18218.16</v>
      </c>
      <c r="H1796" t="s">
        <v>16</v>
      </c>
      <c r="I1796" t="s">
        <v>16</v>
      </c>
      <c r="J1796" t="s">
        <v>13</v>
      </c>
    </row>
    <row r="1797" spans="1:10" x14ac:dyDescent="0.3">
      <c r="A1797" t="s">
        <v>1828</v>
      </c>
      <c r="B1797">
        <v>2004</v>
      </c>
      <c r="C1797" t="s">
        <v>20</v>
      </c>
      <c r="D1797">
        <v>10</v>
      </c>
      <c r="E1797" s="13" t="s">
        <v>10763</v>
      </c>
      <c r="F1797">
        <v>3</v>
      </c>
      <c r="G1797" s="11">
        <v>18223.45</v>
      </c>
      <c r="H1797" t="s">
        <v>16</v>
      </c>
      <c r="I1797" t="s">
        <v>12</v>
      </c>
      <c r="J1797" t="s">
        <v>13</v>
      </c>
    </row>
    <row r="1798" spans="1:10" x14ac:dyDescent="0.3">
      <c r="A1798" t="s">
        <v>1829</v>
      </c>
      <c r="B1798">
        <v>1995</v>
      </c>
      <c r="C1798" t="s">
        <v>35</v>
      </c>
      <c r="D1798">
        <v>3</v>
      </c>
      <c r="E1798" s="13" t="s">
        <v>12399</v>
      </c>
      <c r="F1798">
        <v>0</v>
      </c>
      <c r="G1798" s="11">
        <v>18246.5</v>
      </c>
      <c r="H1798" t="s">
        <v>16</v>
      </c>
      <c r="I1798" t="s">
        <v>16</v>
      </c>
      <c r="J1798" t="s">
        <v>13</v>
      </c>
    </row>
    <row r="1799" spans="1:10" x14ac:dyDescent="0.3">
      <c r="A1799" t="s">
        <v>1830</v>
      </c>
      <c r="B1799">
        <v>1992</v>
      </c>
      <c r="C1799" t="s">
        <v>30</v>
      </c>
      <c r="D1799">
        <v>25</v>
      </c>
      <c r="E1799" s="13" t="s">
        <v>12400</v>
      </c>
      <c r="F1799">
        <v>3</v>
      </c>
      <c r="G1799" s="11">
        <v>18259.22</v>
      </c>
      <c r="H1799" t="s">
        <v>16</v>
      </c>
      <c r="I1799" t="s">
        <v>12</v>
      </c>
      <c r="J1799" t="s">
        <v>42</v>
      </c>
    </row>
    <row r="1800" spans="1:10" x14ac:dyDescent="0.3">
      <c r="A1800" t="s">
        <v>1831</v>
      </c>
      <c r="B1800">
        <v>1995</v>
      </c>
      <c r="C1800" t="s">
        <v>10</v>
      </c>
      <c r="D1800">
        <v>4</v>
      </c>
      <c r="E1800" s="13" t="s">
        <v>12401</v>
      </c>
      <c r="F1800">
        <v>0</v>
      </c>
      <c r="G1800" s="11">
        <v>18310.740000000002</v>
      </c>
      <c r="H1800" t="s">
        <v>16</v>
      </c>
      <c r="I1800" t="s">
        <v>12</v>
      </c>
      <c r="J1800" t="s">
        <v>23</v>
      </c>
    </row>
    <row r="1801" spans="1:10" x14ac:dyDescent="0.3">
      <c r="A1801" t="s">
        <v>1832</v>
      </c>
      <c r="B1801">
        <v>1999</v>
      </c>
      <c r="C1801" t="s">
        <v>30</v>
      </c>
      <c r="D1801">
        <v>15</v>
      </c>
      <c r="E1801" s="13" t="s">
        <v>12402</v>
      </c>
      <c r="F1801">
        <v>1</v>
      </c>
      <c r="G1801" s="11">
        <v>18328.240000000002</v>
      </c>
      <c r="H1801" t="s">
        <v>16</v>
      </c>
      <c r="I1801" t="s">
        <v>11</v>
      </c>
      <c r="J1801" t="s">
        <v>13</v>
      </c>
    </row>
    <row r="1802" spans="1:10" x14ac:dyDescent="0.3">
      <c r="A1802" t="s">
        <v>1833</v>
      </c>
      <c r="B1802">
        <v>1964</v>
      </c>
      <c r="C1802" t="s">
        <v>20</v>
      </c>
      <c r="D1802">
        <v>26</v>
      </c>
      <c r="E1802" s="13" t="s">
        <v>12403</v>
      </c>
      <c r="F1802">
        <v>0</v>
      </c>
      <c r="G1802" s="11">
        <v>18443.11</v>
      </c>
      <c r="H1802" t="s">
        <v>16</v>
      </c>
      <c r="I1802" t="s">
        <v>11</v>
      </c>
      <c r="J1802" t="s">
        <v>23</v>
      </c>
    </row>
    <row r="1803" spans="1:10" x14ac:dyDescent="0.3">
      <c r="A1803" t="s">
        <v>1834</v>
      </c>
      <c r="B1803">
        <v>1986</v>
      </c>
      <c r="C1803" t="s">
        <v>35</v>
      </c>
      <c r="D1803">
        <v>12</v>
      </c>
      <c r="E1803" s="13" t="s">
        <v>12404</v>
      </c>
      <c r="F1803">
        <v>2</v>
      </c>
      <c r="G1803" s="11">
        <v>18608.259999999998</v>
      </c>
      <c r="H1803" t="s">
        <v>16</v>
      </c>
      <c r="I1803" t="s">
        <v>12</v>
      </c>
      <c r="J1803" t="s">
        <v>42</v>
      </c>
    </row>
    <row r="1804" spans="1:10" x14ac:dyDescent="0.3">
      <c r="A1804" t="s">
        <v>1835</v>
      </c>
      <c r="B1804">
        <v>1998</v>
      </c>
      <c r="C1804" t="s">
        <v>20</v>
      </c>
      <c r="D1804">
        <v>23</v>
      </c>
      <c r="E1804" s="13" t="s">
        <v>12405</v>
      </c>
      <c r="F1804">
        <v>0</v>
      </c>
      <c r="G1804" s="11">
        <v>18648.419999999998</v>
      </c>
      <c r="H1804" t="s">
        <v>16</v>
      </c>
      <c r="I1804" t="s">
        <v>16</v>
      </c>
      <c r="J1804" t="s">
        <v>166</v>
      </c>
    </row>
    <row r="1805" spans="1:10" x14ac:dyDescent="0.3">
      <c r="A1805" t="s">
        <v>1836</v>
      </c>
      <c r="B1805">
        <v>1970</v>
      </c>
      <c r="C1805" t="s">
        <v>37</v>
      </c>
      <c r="D1805">
        <v>17</v>
      </c>
      <c r="E1805" s="13" t="s">
        <v>12406</v>
      </c>
      <c r="F1805">
        <v>0</v>
      </c>
      <c r="G1805" s="11">
        <v>18682.740000000002</v>
      </c>
      <c r="H1805" t="s">
        <v>16</v>
      </c>
      <c r="I1805" t="s">
        <v>12</v>
      </c>
      <c r="J1805" t="s">
        <v>23</v>
      </c>
    </row>
    <row r="1806" spans="1:10" x14ac:dyDescent="0.3">
      <c r="A1806" t="s">
        <v>1837</v>
      </c>
      <c r="B1806">
        <v>1967</v>
      </c>
      <c r="C1806" t="s">
        <v>35</v>
      </c>
      <c r="D1806">
        <v>30</v>
      </c>
      <c r="E1806" s="13" t="s">
        <v>12407</v>
      </c>
      <c r="F1806">
        <v>0</v>
      </c>
      <c r="G1806" s="11">
        <v>18694.689999999999</v>
      </c>
      <c r="H1806" t="s">
        <v>16</v>
      </c>
      <c r="I1806" t="s">
        <v>16</v>
      </c>
      <c r="J1806" t="s">
        <v>249</v>
      </c>
    </row>
    <row r="1807" spans="1:10" x14ac:dyDescent="0.3">
      <c r="A1807" t="s">
        <v>1838</v>
      </c>
      <c r="B1807">
        <v>1992</v>
      </c>
      <c r="C1807" t="s">
        <v>30</v>
      </c>
      <c r="D1807">
        <v>27</v>
      </c>
      <c r="E1807" s="13" t="s">
        <v>12408</v>
      </c>
      <c r="F1807">
        <v>3</v>
      </c>
      <c r="G1807" s="11">
        <v>18765.88</v>
      </c>
      <c r="H1807" t="s">
        <v>16</v>
      </c>
      <c r="I1807" t="s">
        <v>11</v>
      </c>
      <c r="J1807" t="s">
        <v>23</v>
      </c>
    </row>
    <row r="1808" spans="1:10" x14ac:dyDescent="0.3">
      <c r="A1808" t="s">
        <v>1839</v>
      </c>
      <c r="B1808">
        <v>1979</v>
      </c>
      <c r="C1808" t="s">
        <v>15</v>
      </c>
      <c r="D1808">
        <v>19</v>
      </c>
      <c r="E1808" s="13" t="s">
        <v>12409</v>
      </c>
      <c r="F1808">
        <v>2</v>
      </c>
      <c r="G1808" s="11">
        <v>18767.740000000002</v>
      </c>
      <c r="H1808" t="s">
        <v>16</v>
      </c>
      <c r="I1808" t="s">
        <v>16</v>
      </c>
      <c r="J1808" t="s">
        <v>13</v>
      </c>
    </row>
    <row r="1809" spans="1:10" x14ac:dyDescent="0.3">
      <c r="A1809" t="s">
        <v>1840</v>
      </c>
      <c r="B1809">
        <v>1995</v>
      </c>
      <c r="C1809" t="s">
        <v>15</v>
      </c>
      <c r="D1809">
        <v>28</v>
      </c>
      <c r="E1809" s="13" t="s">
        <v>12410</v>
      </c>
      <c r="F1809">
        <v>3</v>
      </c>
      <c r="G1809" s="11">
        <v>18804.75</v>
      </c>
      <c r="H1809" t="s">
        <v>16</v>
      </c>
      <c r="I1809" t="s">
        <v>16</v>
      </c>
      <c r="J1809" t="s">
        <v>23</v>
      </c>
    </row>
    <row r="1810" spans="1:10" x14ac:dyDescent="0.3">
      <c r="A1810" t="s">
        <v>1841</v>
      </c>
      <c r="B1810">
        <v>1979</v>
      </c>
      <c r="C1810" t="s">
        <v>37</v>
      </c>
      <c r="D1810">
        <v>15</v>
      </c>
      <c r="E1810" s="13" t="s">
        <v>12411</v>
      </c>
      <c r="F1810">
        <v>2</v>
      </c>
      <c r="G1810" s="11">
        <v>18806.150000000001</v>
      </c>
      <c r="H1810" t="s">
        <v>16</v>
      </c>
      <c r="I1810" t="s">
        <v>11</v>
      </c>
      <c r="J1810" t="s">
        <v>13</v>
      </c>
    </row>
    <row r="1811" spans="1:10" x14ac:dyDescent="0.3">
      <c r="A1811" t="s">
        <v>1842</v>
      </c>
      <c r="B1811">
        <v>1962</v>
      </c>
      <c r="C1811" t="s">
        <v>30</v>
      </c>
      <c r="D1811">
        <v>18</v>
      </c>
      <c r="E1811" s="13" t="s">
        <v>12412</v>
      </c>
      <c r="F1811">
        <v>0</v>
      </c>
      <c r="G1811" s="11">
        <v>18815.53</v>
      </c>
      <c r="H1811" t="s">
        <v>16</v>
      </c>
      <c r="I1811" t="s">
        <v>16</v>
      </c>
      <c r="J1811" t="s">
        <v>249</v>
      </c>
    </row>
    <row r="1812" spans="1:10" x14ac:dyDescent="0.3">
      <c r="A1812" t="s">
        <v>1843</v>
      </c>
      <c r="B1812">
        <v>2003</v>
      </c>
      <c r="C1812" t="s">
        <v>10</v>
      </c>
      <c r="D1812">
        <v>24</v>
      </c>
      <c r="E1812" s="13" t="s">
        <v>12413</v>
      </c>
      <c r="F1812">
        <v>3</v>
      </c>
      <c r="G1812" s="11">
        <v>18838.7</v>
      </c>
      <c r="H1812" t="s">
        <v>16</v>
      </c>
      <c r="I1812" t="s">
        <v>12</v>
      </c>
      <c r="J1812" t="s">
        <v>23</v>
      </c>
    </row>
    <row r="1813" spans="1:10" x14ac:dyDescent="0.3">
      <c r="A1813" t="s">
        <v>1844</v>
      </c>
      <c r="B1813">
        <v>1963</v>
      </c>
      <c r="C1813" t="s">
        <v>30</v>
      </c>
      <c r="D1813">
        <v>6</v>
      </c>
      <c r="E1813" s="13" t="s">
        <v>12414</v>
      </c>
      <c r="F1813">
        <v>0</v>
      </c>
      <c r="G1813" s="11">
        <v>18883.330000000002</v>
      </c>
      <c r="H1813" t="s">
        <v>16</v>
      </c>
      <c r="I1813" t="s">
        <v>16</v>
      </c>
      <c r="J1813" t="s">
        <v>535</v>
      </c>
    </row>
    <row r="1814" spans="1:10" x14ac:dyDescent="0.3">
      <c r="A1814" t="s">
        <v>1845</v>
      </c>
      <c r="B1814">
        <v>1995</v>
      </c>
      <c r="C1814" t="s">
        <v>20</v>
      </c>
      <c r="D1814">
        <v>27</v>
      </c>
      <c r="E1814" s="13" t="s">
        <v>12415</v>
      </c>
      <c r="F1814">
        <v>1</v>
      </c>
      <c r="G1814" s="11">
        <v>18903.490000000002</v>
      </c>
      <c r="H1814" t="s">
        <v>16</v>
      </c>
      <c r="I1814" t="s">
        <v>11</v>
      </c>
      <c r="J1814" t="s">
        <v>247</v>
      </c>
    </row>
    <row r="1815" spans="1:10" x14ac:dyDescent="0.3">
      <c r="A1815" t="s">
        <v>1846</v>
      </c>
      <c r="B1815">
        <v>1969</v>
      </c>
      <c r="C1815" t="s">
        <v>35</v>
      </c>
      <c r="D1815">
        <v>3</v>
      </c>
      <c r="E1815" s="13" t="s">
        <v>10757</v>
      </c>
      <c r="F1815">
        <v>0</v>
      </c>
      <c r="G1815" s="11">
        <v>18932.810000000001</v>
      </c>
      <c r="H1815" t="s">
        <v>16</v>
      </c>
      <c r="I1815" t="s">
        <v>12</v>
      </c>
      <c r="J1815" t="s">
        <v>23</v>
      </c>
    </row>
    <row r="1816" spans="1:10" x14ac:dyDescent="0.3">
      <c r="A1816" t="s">
        <v>1847</v>
      </c>
      <c r="B1816">
        <v>1963</v>
      </c>
      <c r="C1816" t="s">
        <v>37</v>
      </c>
      <c r="D1816">
        <v>20</v>
      </c>
      <c r="E1816" s="13" t="s">
        <v>11152</v>
      </c>
      <c r="F1816">
        <v>0</v>
      </c>
      <c r="G1816" s="11">
        <v>18954.560000000001</v>
      </c>
      <c r="H1816" t="s">
        <v>16</v>
      </c>
      <c r="I1816" t="s">
        <v>16</v>
      </c>
      <c r="J1816" t="s">
        <v>535</v>
      </c>
    </row>
    <row r="1817" spans="1:10" x14ac:dyDescent="0.3">
      <c r="A1817" t="s">
        <v>1848</v>
      </c>
      <c r="B1817">
        <v>1998</v>
      </c>
      <c r="C1817" t="s">
        <v>35</v>
      </c>
      <c r="D1817">
        <v>6</v>
      </c>
      <c r="E1817" s="13" t="s">
        <v>12416</v>
      </c>
      <c r="F1817">
        <v>0</v>
      </c>
      <c r="G1817" s="11">
        <v>18955.22</v>
      </c>
      <c r="H1817" t="s">
        <v>16</v>
      </c>
      <c r="I1817" t="s">
        <v>12</v>
      </c>
      <c r="J1817" t="s">
        <v>42</v>
      </c>
    </row>
    <row r="1818" spans="1:10" x14ac:dyDescent="0.3">
      <c r="A1818" t="s">
        <v>1849</v>
      </c>
      <c r="B1818">
        <v>1992</v>
      </c>
      <c r="C1818" t="s">
        <v>15</v>
      </c>
      <c r="D1818">
        <v>30</v>
      </c>
      <c r="E1818" s="13" t="s">
        <v>12417</v>
      </c>
      <c r="F1818">
        <v>1</v>
      </c>
      <c r="G1818" s="11">
        <v>18963.169999999998</v>
      </c>
      <c r="H1818" t="s">
        <v>16</v>
      </c>
      <c r="I1818" t="s">
        <v>16</v>
      </c>
      <c r="J1818" t="s">
        <v>13</v>
      </c>
    </row>
    <row r="1819" spans="1:10" x14ac:dyDescent="0.3">
      <c r="A1819" t="s">
        <v>1850</v>
      </c>
      <c r="B1819">
        <v>1988</v>
      </c>
      <c r="C1819" t="s">
        <v>37</v>
      </c>
      <c r="D1819">
        <v>24</v>
      </c>
      <c r="E1819" s="13" t="s">
        <v>10788</v>
      </c>
      <c r="F1819">
        <v>2</v>
      </c>
      <c r="G1819" s="11">
        <v>18972.5</v>
      </c>
      <c r="H1819" t="s">
        <v>16</v>
      </c>
      <c r="I1819" t="s">
        <v>12</v>
      </c>
      <c r="J1819" t="s">
        <v>13</v>
      </c>
    </row>
    <row r="1820" spans="1:10" x14ac:dyDescent="0.3">
      <c r="A1820" t="s">
        <v>1851</v>
      </c>
      <c r="B1820">
        <v>1983</v>
      </c>
      <c r="C1820" t="s">
        <v>30</v>
      </c>
      <c r="D1820">
        <v>19</v>
      </c>
      <c r="E1820" s="13" t="s">
        <v>12418</v>
      </c>
      <c r="F1820">
        <v>5</v>
      </c>
      <c r="G1820" s="11">
        <v>19023.259999999998</v>
      </c>
      <c r="H1820" t="s">
        <v>16</v>
      </c>
      <c r="I1820" t="s">
        <v>12</v>
      </c>
      <c r="J1820" t="s">
        <v>42</v>
      </c>
    </row>
    <row r="1821" spans="1:10" x14ac:dyDescent="0.3">
      <c r="A1821" t="s">
        <v>1852</v>
      </c>
      <c r="B1821">
        <v>1989</v>
      </c>
      <c r="C1821" t="s">
        <v>18</v>
      </c>
      <c r="D1821">
        <v>5</v>
      </c>
      <c r="E1821" s="13" t="s">
        <v>12419</v>
      </c>
      <c r="F1821">
        <v>1</v>
      </c>
      <c r="G1821" s="11">
        <v>19040.88</v>
      </c>
      <c r="H1821" t="s">
        <v>16</v>
      </c>
      <c r="I1821" t="s">
        <v>12</v>
      </c>
      <c r="J1821" t="s">
        <v>42</v>
      </c>
    </row>
    <row r="1822" spans="1:10" x14ac:dyDescent="0.3">
      <c r="A1822" t="s">
        <v>1853</v>
      </c>
      <c r="B1822">
        <v>1993</v>
      </c>
      <c r="C1822" t="s">
        <v>20</v>
      </c>
      <c r="D1822">
        <v>28</v>
      </c>
      <c r="E1822" s="13" t="s">
        <v>11293</v>
      </c>
      <c r="F1822">
        <v>1</v>
      </c>
      <c r="G1822" s="11">
        <v>19107.78</v>
      </c>
      <c r="H1822" t="s">
        <v>16</v>
      </c>
      <c r="I1822" t="s">
        <v>11</v>
      </c>
      <c r="J1822" t="s">
        <v>13</v>
      </c>
    </row>
    <row r="1823" spans="1:10" x14ac:dyDescent="0.3">
      <c r="A1823" t="s">
        <v>1854</v>
      </c>
      <c r="B1823">
        <v>1979</v>
      </c>
      <c r="C1823" t="s">
        <v>10</v>
      </c>
      <c r="D1823">
        <v>2</v>
      </c>
      <c r="E1823" s="13" t="s">
        <v>12420</v>
      </c>
      <c r="F1823">
        <v>2</v>
      </c>
      <c r="G1823" s="11">
        <v>19144.580000000002</v>
      </c>
      <c r="H1823" t="s">
        <v>16</v>
      </c>
      <c r="I1823" t="s">
        <v>16</v>
      </c>
      <c r="J1823" t="s">
        <v>247</v>
      </c>
    </row>
    <row r="1824" spans="1:10" x14ac:dyDescent="0.3">
      <c r="A1824" t="s">
        <v>1855</v>
      </c>
      <c r="B1824">
        <v>1991</v>
      </c>
      <c r="C1824" t="s">
        <v>20</v>
      </c>
      <c r="D1824">
        <v>16</v>
      </c>
      <c r="E1824" s="13" t="s">
        <v>12421</v>
      </c>
      <c r="F1824">
        <v>3</v>
      </c>
      <c r="G1824" s="11">
        <v>19199.939999999999</v>
      </c>
      <c r="H1824" t="s">
        <v>16</v>
      </c>
      <c r="I1824" t="s">
        <v>12</v>
      </c>
      <c r="J1824" t="s">
        <v>42</v>
      </c>
    </row>
    <row r="1825" spans="1:10" x14ac:dyDescent="0.3">
      <c r="A1825" t="s">
        <v>1856</v>
      </c>
      <c r="B1825">
        <v>1985</v>
      </c>
      <c r="C1825" t="s">
        <v>30</v>
      </c>
      <c r="D1825">
        <v>28</v>
      </c>
      <c r="E1825" s="13" t="s">
        <v>12422</v>
      </c>
      <c r="F1825">
        <v>0</v>
      </c>
      <c r="G1825" s="11">
        <v>19214.71</v>
      </c>
      <c r="H1825" t="s">
        <v>16</v>
      </c>
      <c r="I1825" t="s">
        <v>12</v>
      </c>
      <c r="J1825" t="s">
        <v>13</v>
      </c>
    </row>
    <row r="1826" spans="1:10" x14ac:dyDescent="0.3">
      <c r="A1826" t="s">
        <v>1857</v>
      </c>
      <c r="B1826">
        <v>1967</v>
      </c>
      <c r="C1826" t="s">
        <v>10</v>
      </c>
      <c r="D1826">
        <v>29</v>
      </c>
      <c r="E1826" s="13" t="s">
        <v>12423</v>
      </c>
      <c r="F1826">
        <v>0</v>
      </c>
      <c r="G1826" s="11">
        <v>19259.96</v>
      </c>
      <c r="H1826" t="s">
        <v>16</v>
      </c>
      <c r="I1826" t="s">
        <v>16</v>
      </c>
      <c r="J1826" t="s">
        <v>23</v>
      </c>
    </row>
    <row r="1827" spans="1:10" x14ac:dyDescent="0.3">
      <c r="A1827" t="s">
        <v>1858</v>
      </c>
      <c r="B1827">
        <v>1966</v>
      </c>
      <c r="C1827" t="s">
        <v>15</v>
      </c>
      <c r="D1827">
        <v>15</v>
      </c>
      <c r="E1827" s="13" t="s">
        <v>12424</v>
      </c>
      <c r="F1827">
        <v>0</v>
      </c>
      <c r="G1827" s="11">
        <v>19321.060000000001</v>
      </c>
      <c r="H1827" t="s">
        <v>16</v>
      </c>
      <c r="I1827" t="s">
        <v>16</v>
      </c>
      <c r="J1827" t="s">
        <v>23</v>
      </c>
    </row>
    <row r="1828" spans="1:10" x14ac:dyDescent="0.3">
      <c r="A1828" t="s">
        <v>1859</v>
      </c>
      <c r="B1828">
        <v>1991</v>
      </c>
      <c r="C1828" t="s">
        <v>35</v>
      </c>
      <c r="D1828">
        <v>24</v>
      </c>
      <c r="E1828" s="13" t="s">
        <v>12425</v>
      </c>
      <c r="F1828">
        <v>0</v>
      </c>
      <c r="G1828" s="11">
        <v>19350.37</v>
      </c>
      <c r="H1828" t="s">
        <v>16</v>
      </c>
      <c r="I1828" t="s">
        <v>12</v>
      </c>
      <c r="J1828" t="s">
        <v>13</v>
      </c>
    </row>
    <row r="1829" spans="1:10" x14ac:dyDescent="0.3">
      <c r="A1829" t="s">
        <v>1860</v>
      </c>
      <c r="B1829">
        <v>1987</v>
      </c>
      <c r="C1829" t="s">
        <v>18</v>
      </c>
      <c r="D1829">
        <v>30</v>
      </c>
      <c r="E1829" s="13" t="s">
        <v>12426</v>
      </c>
      <c r="F1829">
        <v>3</v>
      </c>
      <c r="G1829" s="11">
        <v>19362</v>
      </c>
      <c r="H1829" t="s">
        <v>16</v>
      </c>
      <c r="I1829" t="s">
        <v>12</v>
      </c>
      <c r="J1829" t="s">
        <v>13</v>
      </c>
    </row>
    <row r="1830" spans="1:10" x14ac:dyDescent="0.3">
      <c r="A1830" t="s">
        <v>1861</v>
      </c>
      <c r="B1830">
        <v>1993</v>
      </c>
      <c r="C1830" t="s">
        <v>20</v>
      </c>
      <c r="D1830">
        <v>6</v>
      </c>
      <c r="E1830" s="13" t="s">
        <v>11669</v>
      </c>
      <c r="F1830">
        <v>2</v>
      </c>
      <c r="G1830" s="11">
        <v>19442.349999999999</v>
      </c>
      <c r="H1830" t="s">
        <v>16</v>
      </c>
      <c r="I1830" t="s">
        <v>12</v>
      </c>
      <c r="J1830" t="s">
        <v>23</v>
      </c>
    </row>
    <row r="1831" spans="1:10" x14ac:dyDescent="0.3">
      <c r="A1831" t="s">
        <v>1862</v>
      </c>
      <c r="B1831">
        <v>1982</v>
      </c>
      <c r="C1831" t="s">
        <v>30</v>
      </c>
      <c r="D1831">
        <v>15</v>
      </c>
      <c r="E1831" s="13" t="s">
        <v>12427</v>
      </c>
      <c r="F1831">
        <v>2</v>
      </c>
      <c r="G1831" s="11">
        <v>19444.27</v>
      </c>
      <c r="H1831" t="s">
        <v>16</v>
      </c>
      <c r="I1831" t="s">
        <v>16</v>
      </c>
      <c r="J1831" t="s">
        <v>13</v>
      </c>
    </row>
    <row r="1832" spans="1:10" x14ac:dyDescent="0.3">
      <c r="A1832" t="s">
        <v>1863</v>
      </c>
      <c r="B1832">
        <v>1987</v>
      </c>
      <c r="C1832" t="s">
        <v>15</v>
      </c>
      <c r="D1832">
        <v>30</v>
      </c>
      <c r="E1832" s="13" t="s">
        <v>12428</v>
      </c>
      <c r="F1832">
        <v>4</v>
      </c>
      <c r="G1832" s="11">
        <v>19496.72</v>
      </c>
      <c r="H1832" t="s">
        <v>16</v>
      </c>
      <c r="I1832" t="s">
        <v>12</v>
      </c>
      <c r="J1832" t="s">
        <v>166</v>
      </c>
    </row>
    <row r="1833" spans="1:10" x14ac:dyDescent="0.3">
      <c r="A1833" t="s">
        <v>1864</v>
      </c>
      <c r="B1833">
        <v>1980</v>
      </c>
      <c r="C1833" t="s">
        <v>15</v>
      </c>
      <c r="D1833">
        <v>8</v>
      </c>
      <c r="E1833" s="13" t="s">
        <v>12429</v>
      </c>
      <c r="F1833">
        <v>0</v>
      </c>
      <c r="G1833" s="11">
        <v>19515.54</v>
      </c>
      <c r="H1833" t="s">
        <v>16</v>
      </c>
      <c r="I1833" t="s">
        <v>16</v>
      </c>
      <c r="J1833" t="s">
        <v>13</v>
      </c>
    </row>
    <row r="1834" spans="1:10" x14ac:dyDescent="0.3">
      <c r="A1834" t="s">
        <v>1865</v>
      </c>
      <c r="B1834">
        <v>1992</v>
      </c>
      <c r="C1834" t="s">
        <v>35</v>
      </c>
      <c r="D1834">
        <v>19</v>
      </c>
      <c r="E1834" s="13" t="s">
        <v>12430</v>
      </c>
      <c r="F1834">
        <v>1</v>
      </c>
      <c r="G1834" s="11">
        <v>19521.97</v>
      </c>
      <c r="H1834" t="s">
        <v>16</v>
      </c>
      <c r="I1834" t="s">
        <v>11</v>
      </c>
      <c r="J1834" t="s">
        <v>13</v>
      </c>
    </row>
    <row r="1835" spans="1:10" x14ac:dyDescent="0.3">
      <c r="A1835" t="s">
        <v>1866</v>
      </c>
      <c r="B1835">
        <v>1985</v>
      </c>
      <c r="C1835" t="s">
        <v>20</v>
      </c>
      <c r="D1835">
        <v>17</v>
      </c>
      <c r="E1835" s="13" t="s">
        <v>12431</v>
      </c>
      <c r="F1835">
        <v>0</v>
      </c>
      <c r="G1835" s="11">
        <v>19539.240000000002</v>
      </c>
      <c r="H1835" t="s">
        <v>16</v>
      </c>
      <c r="I1835" t="s">
        <v>16</v>
      </c>
      <c r="J1835" t="s">
        <v>13</v>
      </c>
    </row>
    <row r="1836" spans="1:10" x14ac:dyDescent="0.3">
      <c r="A1836" t="s">
        <v>1867</v>
      </c>
      <c r="B1836">
        <v>1963</v>
      </c>
      <c r="C1836" t="s">
        <v>10</v>
      </c>
      <c r="D1836">
        <v>14</v>
      </c>
      <c r="E1836" s="13" t="s">
        <v>11214</v>
      </c>
      <c r="F1836">
        <v>0</v>
      </c>
      <c r="G1836" s="11">
        <v>19551.34</v>
      </c>
      <c r="H1836" t="s">
        <v>16</v>
      </c>
      <c r="I1836" t="s">
        <v>12</v>
      </c>
      <c r="J1836" t="s">
        <v>23</v>
      </c>
    </row>
    <row r="1837" spans="1:10" x14ac:dyDescent="0.3">
      <c r="A1837" t="s">
        <v>1868</v>
      </c>
      <c r="B1837">
        <v>1978</v>
      </c>
      <c r="C1837" t="s">
        <v>20</v>
      </c>
      <c r="D1837">
        <v>24</v>
      </c>
      <c r="E1837" s="13" t="s">
        <v>12432</v>
      </c>
      <c r="F1837">
        <v>1</v>
      </c>
      <c r="G1837" s="11">
        <v>19594.810000000001</v>
      </c>
      <c r="H1837" t="s">
        <v>16</v>
      </c>
      <c r="I1837" t="s">
        <v>16</v>
      </c>
      <c r="J1837" t="s">
        <v>247</v>
      </c>
    </row>
    <row r="1838" spans="1:10" x14ac:dyDescent="0.3">
      <c r="A1838" t="s">
        <v>1869</v>
      </c>
      <c r="B1838">
        <v>1994</v>
      </c>
      <c r="C1838" t="s">
        <v>35</v>
      </c>
      <c r="D1838">
        <v>27</v>
      </c>
      <c r="E1838" s="13" t="s">
        <v>12433</v>
      </c>
      <c r="F1838">
        <v>0</v>
      </c>
      <c r="G1838" s="11">
        <v>19673.34</v>
      </c>
      <c r="H1838" t="s">
        <v>16</v>
      </c>
      <c r="I1838" t="s">
        <v>11</v>
      </c>
      <c r="J1838" t="s">
        <v>23</v>
      </c>
    </row>
    <row r="1839" spans="1:10" x14ac:dyDescent="0.3">
      <c r="A1839" t="s">
        <v>1870</v>
      </c>
      <c r="B1839">
        <v>1990</v>
      </c>
      <c r="C1839" t="s">
        <v>35</v>
      </c>
      <c r="D1839">
        <v>8</v>
      </c>
      <c r="E1839" s="13" t="s">
        <v>12434</v>
      </c>
      <c r="F1839">
        <v>1</v>
      </c>
      <c r="G1839" s="11">
        <v>19719.689999999999</v>
      </c>
      <c r="H1839" t="s">
        <v>16</v>
      </c>
      <c r="I1839" t="s">
        <v>11</v>
      </c>
      <c r="J1839" t="s">
        <v>13</v>
      </c>
    </row>
    <row r="1840" spans="1:10" x14ac:dyDescent="0.3">
      <c r="A1840" t="s">
        <v>1871</v>
      </c>
      <c r="B1840">
        <v>1972</v>
      </c>
      <c r="C1840" t="s">
        <v>18</v>
      </c>
      <c r="D1840">
        <v>14</v>
      </c>
      <c r="E1840" s="13" t="s">
        <v>12435</v>
      </c>
      <c r="F1840">
        <v>3</v>
      </c>
      <c r="G1840" s="11">
        <v>19749.38</v>
      </c>
      <c r="H1840" t="s">
        <v>16</v>
      </c>
      <c r="I1840" t="s">
        <v>12</v>
      </c>
      <c r="J1840" t="s">
        <v>13</v>
      </c>
    </row>
    <row r="1841" spans="1:10" x14ac:dyDescent="0.3">
      <c r="A1841" t="s">
        <v>1872</v>
      </c>
      <c r="B1841">
        <v>1979</v>
      </c>
      <c r="C1841" t="s">
        <v>37</v>
      </c>
      <c r="D1841">
        <v>30</v>
      </c>
      <c r="E1841" s="13" t="s">
        <v>12436</v>
      </c>
      <c r="F1841">
        <v>2</v>
      </c>
      <c r="G1841" s="11">
        <v>19798.05</v>
      </c>
      <c r="H1841" t="s">
        <v>16</v>
      </c>
      <c r="I1841" t="s">
        <v>16</v>
      </c>
      <c r="J1841" t="s">
        <v>247</v>
      </c>
    </row>
    <row r="1842" spans="1:10" x14ac:dyDescent="0.3">
      <c r="A1842" t="s">
        <v>1873</v>
      </c>
      <c r="B1842">
        <v>1997</v>
      </c>
      <c r="C1842" t="s">
        <v>37</v>
      </c>
      <c r="D1842">
        <v>18</v>
      </c>
      <c r="E1842" s="13" t="s">
        <v>12437</v>
      </c>
      <c r="F1842">
        <v>3</v>
      </c>
      <c r="G1842" s="11">
        <v>19933.46</v>
      </c>
      <c r="H1842" t="s">
        <v>16</v>
      </c>
      <c r="I1842" t="s">
        <v>12</v>
      </c>
      <c r="J1842" t="s">
        <v>42</v>
      </c>
    </row>
    <row r="1843" spans="1:10" x14ac:dyDescent="0.3">
      <c r="A1843" t="s">
        <v>1874</v>
      </c>
      <c r="B1843">
        <v>1980</v>
      </c>
      <c r="C1843" t="s">
        <v>37</v>
      </c>
      <c r="D1843">
        <v>9</v>
      </c>
      <c r="E1843" s="13" t="s">
        <v>12438</v>
      </c>
      <c r="F1843">
        <v>0</v>
      </c>
      <c r="G1843" s="11">
        <v>19964.75</v>
      </c>
      <c r="H1843" t="s">
        <v>16</v>
      </c>
      <c r="I1843" t="s">
        <v>11</v>
      </c>
      <c r="J1843" t="s">
        <v>247</v>
      </c>
    </row>
    <row r="1844" spans="1:10" x14ac:dyDescent="0.3">
      <c r="A1844" t="s">
        <v>1875</v>
      </c>
      <c r="B1844">
        <v>1966</v>
      </c>
      <c r="C1844" t="s">
        <v>35</v>
      </c>
      <c r="D1844">
        <v>10</v>
      </c>
      <c r="E1844" s="13" t="s">
        <v>12439</v>
      </c>
      <c r="F1844">
        <v>0</v>
      </c>
      <c r="G1844" s="11">
        <v>19995.29</v>
      </c>
      <c r="H1844" t="s">
        <v>16</v>
      </c>
      <c r="I1844" t="s">
        <v>12</v>
      </c>
      <c r="J1844" t="s">
        <v>535</v>
      </c>
    </row>
    <row r="1845" spans="1:10" x14ac:dyDescent="0.3">
      <c r="A1845" t="s">
        <v>1876</v>
      </c>
      <c r="B1845">
        <v>1988</v>
      </c>
      <c r="C1845" t="s">
        <v>10</v>
      </c>
      <c r="D1845">
        <v>25</v>
      </c>
      <c r="E1845" s="13" t="s">
        <v>12440</v>
      </c>
      <c r="F1845">
        <v>1</v>
      </c>
      <c r="G1845" s="11">
        <v>20009.63</v>
      </c>
      <c r="H1845" t="s">
        <v>11</v>
      </c>
      <c r="I1845" t="s">
        <v>16</v>
      </c>
      <c r="J1845" t="s">
        <v>23</v>
      </c>
    </row>
    <row r="1846" spans="1:10" x14ac:dyDescent="0.3">
      <c r="A1846" t="s">
        <v>1877</v>
      </c>
      <c r="B1846">
        <v>1983</v>
      </c>
      <c r="C1846" t="s">
        <v>37</v>
      </c>
      <c r="D1846">
        <v>6</v>
      </c>
      <c r="E1846" s="13" t="s">
        <v>12441</v>
      </c>
      <c r="F1846">
        <v>0</v>
      </c>
      <c r="G1846" s="11">
        <v>20149.32</v>
      </c>
      <c r="H1846" t="s">
        <v>11</v>
      </c>
      <c r="I1846" t="s">
        <v>16</v>
      </c>
      <c r="J1846" t="s">
        <v>168</v>
      </c>
    </row>
    <row r="1847" spans="1:10" x14ac:dyDescent="0.3">
      <c r="A1847" t="s">
        <v>1878</v>
      </c>
      <c r="B1847">
        <v>2002</v>
      </c>
      <c r="C1847" t="s">
        <v>10</v>
      </c>
      <c r="D1847">
        <v>9</v>
      </c>
      <c r="E1847" s="13" t="s">
        <v>12442</v>
      </c>
      <c r="F1847">
        <v>0</v>
      </c>
      <c r="G1847" s="11">
        <v>20167.34</v>
      </c>
      <c r="H1847" t="s">
        <v>12</v>
      </c>
      <c r="I1847" t="s">
        <v>12</v>
      </c>
      <c r="J1847" t="s">
        <v>42</v>
      </c>
    </row>
    <row r="1848" spans="1:10" x14ac:dyDescent="0.3">
      <c r="A1848" t="s">
        <v>1879</v>
      </c>
      <c r="B1848">
        <v>1994</v>
      </c>
      <c r="C1848" t="s">
        <v>18</v>
      </c>
      <c r="D1848">
        <v>8</v>
      </c>
      <c r="E1848" s="13" t="s">
        <v>12443</v>
      </c>
      <c r="F1848">
        <v>2</v>
      </c>
      <c r="G1848" s="11">
        <v>20177.669999999998</v>
      </c>
      <c r="H1848" t="s">
        <v>11</v>
      </c>
      <c r="I1848" t="s">
        <v>16</v>
      </c>
      <c r="J1848" t="s">
        <v>42</v>
      </c>
    </row>
    <row r="1849" spans="1:10" x14ac:dyDescent="0.3">
      <c r="A1849" t="s">
        <v>1880</v>
      </c>
      <c r="B1849">
        <v>1987</v>
      </c>
      <c r="C1849" t="s">
        <v>37</v>
      </c>
      <c r="D1849">
        <v>17</v>
      </c>
      <c r="E1849" s="13" t="s">
        <v>12428</v>
      </c>
      <c r="F1849">
        <v>0</v>
      </c>
      <c r="G1849" s="11">
        <v>20234.849999999999</v>
      </c>
      <c r="H1849" t="s">
        <v>11</v>
      </c>
      <c r="I1849" t="s">
        <v>12</v>
      </c>
      <c r="J1849" t="s">
        <v>23</v>
      </c>
    </row>
    <row r="1850" spans="1:10" x14ac:dyDescent="0.3">
      <c r="A1850" t="s">
        <v>1881</v>
      </c>
      <c r="B1850">
        <v>1966</v>
      </c>
      <c r="C1850" t="s">
        <v>35</v>
      </c>
      <c r="D1850">
        <v>22</v>
      </c>
      <c r="E1850" s="13" t="s">
        <v>12444</v>
      </c>
      <c r="F1850">
        <v>0</v>
      </c>
      <c r="G1850" s="11">
        <v>20253.84</v>
      </c>
      <c r="H1850" t="s">
        <v>11</v>
      </c>
      <c r="I1850" t="s">
        <v>12</v>
      </c>
      <c r="J1850" t="s">
        <v>23</v>
      </c>
    </row>
    <row r="1851" spans="1:10" x14ac:dyDescent="0.3">
      <c r="A1851" t="s">
        <v>1882</v>
      </c>
      <c r="B1851">
        <v>1993</v>
      </c>
      <c r="C1851" t="s">
        <v>20</v>
      </c>
      <c r="D1851">
        <v>7</v>
      </c>
      <c r="E1851" s="13" t="s">
        <v>12445</v>
      </c>
      <c r="F1851">
        <v>1</v>
      </c>
      <c r="G1851" s="11">
        <v>20277.810000000001</v>
      </c>
      <c r="H1851" t="s">
        <v>12</v>
      </c>
      <c r="I1851" t="s">
        <v>12</v>
      </c>
      <c r="J1851" t="s">
        <v>168</v>
      </c>
    </row>
    <row r="1852" spans="1:10" x14ac:dyDescent="0.3">
      <c r="A1852" t="s">
        <v>1883</v>
      </c>
      <c r="B1852">
        <v>1985</v>
      </c>
      <c r="C1852" t="s">
        <v>20</v>
      </c>
      <c r="D1852">
        <v>17</v>
      </c>
      <c r="E1852" s="13" t="s">
        <v>12446</v>
      </c>
      <c r="F1852">
        <v>1</v>
      </c>
      <c r="G1852" s="11">
        <v>20296.86</v>
      </c>
      <c r="H1852" t="s">
        <v>12</v>
      </c>
      <c r="I1852" t="s">
        <v>16</v>
      </c>
      <c r="J1852" t="s">
        <v>247</v>
      </c>
    </row>
    <row r="1853" spans="1:10" x14ac:dyDescent="0.3">
      <c r="A1853" t="s">
        <v>1884</v>
      </c>
      <c r="B1853">
        <v>1962</v>
      </c>
      <c r="C1853" t="s">
        <v>10</v>
      </c>
      <c r="D1853">
        <v>2</v>
      </c>
      <c r="E1853" s="13" t="s">
        <v>12447</v>
      </c>
      <c r="F1853">
        <v>0</v>
      </c>
      <c r="G1853" s="11">
        <v>20354.5</v>
      </c>
      <c r="H1853" t="s">
        <v>12</v>
      </c>
      <c r="I1853" t="s">
        <v>11</v>
      </c>
      <c r="J1853" t="s">
        <v>535</v>
      </c>
    </row>
    <row r="1854" spans="1:10" x14ac:dyDescent="0.3">
      <c r="A1854" t="s">
        <v>1885</v>
      </c>
      <c r="B1854">
        <v>1985</v>
      </c>
      <c r="C1854" t="s">
        <v>10</v>
      </c>
      <c r="D1854">
        <v>12</v>
      </c>
      <c r="E1854" s="13" t="s">
        <v>11660</v>
      </c>
      <c r="F1854">
        <v>0</v>
      </c>
      <c r="G1854" s="11">
        <v>20420.599999999999</v>
      </c>
      <c r="H1854" t="s">
        <v>12</v>
      </c>
      <c r="I1854" t="s">
        <v>11</v>
      </c>
      <c r="J1854" t="s">
        <v>42</v>
      </c>
    </row>
    <row r="1855" spans="1:10" x14ac:dyDescent="0.3">
      <c r="A1855" t="s">
        <v>1886</v>
      </c>
      <c r="B1855">
        <v>1962</v>
      </c>
      <c r="C1855" t="s">
        <v>37</v>
      </c>
      <c r="D1855">
        <v>18</v>
      </c>
      <c r="E1855" s="13" t="s">
        <v>12448</v>
      </c>
      <c r="F1855">
        <v>0</v>
      </c>
      <c r="G1855" s="11">
        <v>20446.849999999999</v>
      </c>
      <c r="H1855" t="s">
        <v>11</v>
      </c>
      <c r="I1855" t="s">
        <v>16</v>
      </c>
      <c r="J1855" t="s">
        <v>23</v>
      </c>
    </row>
    <row r="1856" spans="1:10" x14ac:dyDescent="0.3">
      <c r="A1856" t="s">
        <v>1887</v>
      </c>
      <c r="B1856">
        <v>1969</v>
      </c>
      <c r="C1856" t="s">
        <v>37</v>
      </c>
      <c r="D1856">
        <v>13</v>
      </c>
      <c r="E1856" s="13" t="s">
        <v>12449</v>
      </c>
      <c r="F1856">
        <v>3</v>
      </c>
      <c r="G1856" s="11">
        <v>20463</v>
      </c>
      <c r="H1856" t="s">
        <v>11</v>
      </c>
      <c r="I1856" t="s">
        <v>11</v>
      </c>
      <c r="J1856" t="s">
        <v>13</v>
      </c>
    </row>
    <row r="1857" spans="1:10" x14ac:dyDescent="0.3">
      <c r="A1857" t="s">
        <v>1888</v>
      </c>
      <c r="B1857">
        <v>1966</v>
      </c>
      <c r="C1857" t="s">
        <v>10</v>
      </c>
      <c r="D1857">
        <v>9</v>
      </c>
      <c r="E1857" s="13" t="s">
        <v>11118</v>
      </c>
      <c r="F1857">
        <v>0</v>
      </c>
      <c r="G1857" s="11">
        <v>20568.32</v>
      </c>
      <c r="H1857" t="s">
        <v>12</v>
      </c>
      <c r="I1857" t="s">
        <v>11</v>
      </c>
      <c r="J1857" t="s">
        <v>23</v>
      </c>
    </row>
    <row r="1858" spans="1:10" x14ac:dyDescent="0.3">
      <c r="A1858" t="s">
        <v>1889</v>
      </c>
      <c r="B1858">
        <v>1967</v>
      </c>
      <c r="C1858" t="s">
        <v>30</v>
      </c>
      <c r="D1858">
        <v>17</v>
      </c>
      <c r="E1858" s="13" t="s">
        <v>12450</v>
      </c>
      <c r="F1858">
        <v>0</v>
      </c>
      <c r="G1858" s="11">
        <v>20630.28</v>
      </c>
      <c r="H1858" t="s">
        <v>11</v>
      </c>
      <c r="I1858" t="s">
        <v>12</v>
      </c>
      <c r="J1858" t="s">
        <v>42</v>
      </c>
    </row>
    <row r="1859" spans="1:10" x14ac:dyDescent="0.3">
      <c r="A1859" t="s">
        <v>1890</v>
      </c>
      <c r="B1859">
        <v>1965</v>
      </c>
      <c r="C1859" t="s">
        <v>35</v>
      </c>
      <c r="D1859">
        <v>1</v>
      </c>
      <c r="E1859" s="13" t="s">
        <v>12451</v>
      </c>
      <c r="F1859">
        <v>0</v>
      </c>
      <c r="G1859" s="11">
        <v>20709.02</v>
      </c>
      <c r="H1859" t="s">
        <v>12</v>
      </c>
      <c r="I1859" t="s">
        <v>11</v>
      </c>
      <c r="J1859" t="s">
        <v>166</v>
      </c>
    </row>
    <row r="1860" spans="1:10" x14ac:dyDescent="0.3">
      <c r="A1860" t="s">
        <v>1891</v>
      </c>
      <c r="B1860">
        <v>1992</v>
      </c>
      <c r="C1860" t="s">
        <v>20</v>
      </c>
      <c r="D1860">
        <v>14</v>
      </c>
      <c r="E1860" s="13" t="s">
        <v>12452</v>
      </c>
      <c r="F1860">
        <v>3</v>
      </c>
      <c r="G1860" s="11">
        <v>20745.990000000002</v>
      </c>
      <c r="H1860" t="s">
        <v>12</v>
      </c>
      <c r="I1860" t="s">
        <v>16</v>
      </c>
      <c r="J1860" t="s">
        <v>23</v>
      </c>
    </row>
    <row r="1861" spans="1:10" x14ac:dyDescent="0.3">
      <c r="A1861" t="s">
        <v>1892</v>
      </c>
      <c r="B1861">
        <v>1986</v>
      </c>
      <c r="C1861" t="s">
        <v>35</v>
      </c>
      <c r="D1861">
        <v>4</v>
      </c>
      <c r="E1861" s="13" t="s">
        <v>12074</v>
      </c>
      <c r="F1861">
        <v>1</v>
      </c>
      <c r="G1861" s="11">
        <v>20773.63</v>
      </c>
      <c r="H1861" t="s">
        <v>11</v>
      </c>
      <c r="I1861" t="s">
        <v>12</v>
      </c>
      <c r="J1861" t="s">
        <v>356</v>
      </c>
    </row>
    <row r="1862" spans="1:10" x14ac:dyDescent="0.3">
      <c r="A1862" t="s">
        <v>1893</v>
      </c>
      <c r="B1862">
        <v>1967</v>
      </c>
      <c r="C1862" t="s">
        <v>20</v>
      </c>
      <c r="D1862">
        <v>8</v>
      </c>
      <c r="E1862" s="13" t="s">
        <v>12453</v>
      </c>
      <c r="F1862">
        <v>0</v>
      </c>
      <c r="G1862" s="11">
        <v>20781.490000000002</v>
      </c>
      <c r="H1862" t="s">
        <v>11</v>
      </c>
      <c r="I1862" t="s">
        <v>12</v>
      </c>
      <c r="J1862" t="s">
        <v>13</v>
      </c>
    </row>
    <row r="1863" spans="1:10" x14ac:dyDescent="0.3">
      <c r="A1863" t="s">
        <v>1894</v>
      </c>
      <c r="B1863">
        <v>1975</v>
      </c>
      <c r="C1863" t="s">
        <v>30</v>
      </c>
      <c r="D1863">
        <v>8</v>
      </c>
      <c r="E1863" s="13" t="s">
        <v>12454</v>
      </c>
      <c r="F1863">
        <v>0</v>
      </c>
      <c r="G1863" s="11">
        <v>20878.78</v>
      </c>
      <c r="H1863" t="s">
        <v>11</v>
      </c>
      <c r="I1863" t="s">
        <v>16</v>
      </c>
      <c r="J1863" t="s">
        <v>247</v>
      </c>
    </row>
    <row r="1864" spans="1:10" x14ac:dyDescent="0.3">
      <c r="A1864" t="s">
        <v>1895</v>
      </c>
      <c r="B1864">
        <v>1964</v>
      </c>
      <c r="C1864" t="s">
        <v>15</v>
      </c>
      <c r="D1864">
        <v>19</v>
      </c>
      <c r="E1864" s="13" t="s">
        <v>12455</v>
      </c>
      <c r="F1864">
        <v>0</v>
      </c>
      <c r="G1864" s="11">
        <v>20893.060000000001</v>
      </c>
      <c r="H1864" t="s">
        <v>11</v>
      </c>
      <c r="I1864" t="s">
        <v>12</v>
      </c>
      <c r="J1864" t="s">
        <v>23</v>
      </c>
    </row>
    <row r="1865" spans="1:10" x14ac:dyDescent="0.3">
      <c r="A1865" t="s">
        <v>1896</v>
      </c>
      <c r="B1865">
        <v>1987</v>
      </c>
      <c r="C1865" t="s">
        <v>15</v>
      </c>
      <c r="D1865">
        <v>27</v>
      </c>
      <c r="E1865" s="13" t="s">
        <v>12456</v>
      </c>
      <c r="F1865">
        <v>2</v>
      </c>
      <c r="G1865" s="11">
        <v>20984.09</v>
      </c>
      <c r="H1865" t="s">
        <v>11</v>
      </c>
      <c r="I1865" t="s">
        <v>11</v>
      </c>
      <c r="J1865" t="s">
        <v>164</v>
      </c>
    </row>
    <row r="1866" spans="1:10" x14ac:dyDescent="0.3">
      <c r="A1866" t="s">
        <v>1897</v>
      </c>
      <c r="B1866">
        <v>1983</v>
      </c>
      <c r="C1866" t="s">
        <v>10</v>
      </c>
      <c r="D1866">
        <v>2</v>
      </c>
      <c r="E1866" s="13" t="s">
        <v>12457</v>
      </c>
      <c r="F1866">
        <v>1</v>
      </c>
      <c r="G1866" s="11">
        <v>21082.16</v>
      </c>
      <c r="H1866" t="s">
        <v>12</v>
      </c>
      <c r="I1866" t="s">
        <v>11</v>
      </c>
      <c r="J1866" t="s">
        <v>42</v>
      </c>
    </row>
    <row r="1867" spans="1:10" x14ac:dyDescent="0.3">
      <c r="A1867" t="s">
        <v>1898</v>
      </c>
      <c r="B1867">
        <v>1977</v>
      </c>
      <c r="C1867" t="s">
        <v>15</v>
      </c>
      <c r="D1867">
        <v>23</v>
      </c>
      <c r="E1867" s="13" t="s">
        <v>12458</v>
      </c>
      <c r="F1867">
        <v>2</v>
      </c>
      <c r="G1867" s="11">
        <v>21098.55</v>
      </c>
      <c r="H1867" t="s">
        <v>12</v>
      </c>
      <c r="I1867" t="s">
        <v>12</v>
      </c>
      <c r="J1867" t="s">
        <v>23</v>
      </c>
    </row>
    <row r="1868" spans="1:10" x14ac:dyDescent="0.3">
      <c r="A1868" t="s">
        <v>1899</v>
      </c>
      <c r="B1868">
        <v>1969</v>
      </c>
      <c r="C1868" t="s">
        <v>35</v>
      </c>
      <c r="D1868">
        <v>26</v>
      </c>
      <c r="E1868" s="13" t="s">
        <v>12459</v>
      </c>
      <c r="F1868">
        <v>0</v>
      </c>
      <c r="G1868" s="11">
        <v>21195.82</v>
      </c>
      <c r="H1868" t="s">
        <v>12</v>
      </c>
      <c r="I1868" t="s">
        <v>16</v>
      </c>
      <c r="J1868" t="s">
        <v>13</v>
      </c>
    </row>
    <row r="1869" spans="1:10" x14ac:dyDescent="0.3">
      <c r="A1869" t="s">
        <v>1900</v>
      </c>
      <c r="B1869">
        <v>1974</v>
      </c>
      <c r="C1869" t="s">
        <v>37</v>
      </c>
      <c r="D1869">
        <v>14</v>
      </c>
      <c r="E1869" s="13" t="s">
        <v>11027</v>
      </c>
      <c r="F1869">
        <v>0</v>
      </c>
      <c r="G1869" s="11">
        <v>21223.68</v>
      </c>
      <c r="H1869" t="s">
        <v>12</v>
      </c>
      <c r="I1869" t="s">
        <v>11</v>
      </c>
      <c r="J1869" t="s">
        <v>13</v>
      </c>
    </row>
    <row r="1870" spans="1:10" x14ac:dyDescent="0.3">
      <c r="A1870" t="s">
        <v>1901</v>
      </c>
      <c r="B1870">
        <v>1974</v>
      </c>
      <c r="C1870" t="s">
        <v>20</v>
      </c>
      <c r="D1870">
        <v>3</v>
      </c>
      <c r="E1870" s="13" t="s">
        <v>12460</v>
      </c>
      <c r="F1870">
        <v>0</v>
      </c>
      <c r="G1870" s="11">
        <v>21232.18</v>
      </c>
      <c r="H1870" t="s">
        <v>12</v>
      </c>
      <c r="I1870" t="s">
        <v>11</v>
      </c>
      <c r="J1870" t="s">
        <v>42</v>
      </c>
    </row>
    <row r="1871" spans="1:10" x14ac:dyDescent="0.3">
      <c r="A1871" t="s">
        <v>1902</v>
      </c>
      <c r="B1871">
        <v>1980</v>
      </c>
      <c r="C1871" t="s">
        <v>30</v>
      </c>
      <c r="D1871">
        <v>10</v>
      </c>
      <c r="E1871" s="13" t="s">
        <v>12461</v>
      </c>
      <c r="F1871">
        <v>2</v>
      </c>
      <c r="G1871" s="11">
        <v>21259.38</v>
      </c>
      <c r="H1871" t="s">
        <v>12</v>
      </c>
      <c r="I1871" t="s">
        <v>12</v>
      </c>
      <c r="J1871" t="s">
        <v>166</v>
      </c>
    </row>
    <row r="1872" spans="1:10" x14ac:dyDescent="0.3">
      <c r="A1872" t="s">
        <v>1903</v>
      </c>
      <c r="B1872">
        <v>2004</v>
      </c>
      <c r="C1872" t="s">
        <v>35</v>
      </c>
      <c r="D1872">
        <v>4</v>
      </c>
      <c r="E1872" s="13" t="s">
        <v>12462</v>
      </c>
      <c r="F1872">
        <v>0</v>
      </c>
      <c r="G1872" s="11">
        <v>21344.85</v>
      </c>
      <c r="H1872" t="s">
        <v>12</v>
      </c>
      <c r="I1872" t="s">
        <v>16</v>
      </c>
      <c r="J1872" t="s">
        <v>247</v>
      </c>
    </row>
    <row r="1873" spans="1:10" x14ac:dyDescent="0.3">
      <c r="A1873" t="s">
        <v>1904</v>
      </c>
      <c r="B1873">
        <v>1980</v>
      </c>
      <c r="C1873" t="s">
        <v>20</v>
      </c>
      <c r="D1873">
        <v>4</v>
      </c>
      <c r="E1873" s="13" t="s">
        <v>12463</v>
      </c>
      <c r="F1873">
        <v>0</v>
      </c>
      <c r="G1873" s="11">
        <v>21348.71</v>
      </c>
      <c r="H1873" t="s">
        <v>11</v>
      </c>
      <c r="I1873" t="s">
        <v>16</v>
      </c>
      <c r="J1873" t="s">
        <v>23</v>
      </c>
    </row>
    <row r="1874" spans="1:10" x14ac:dyDescent="0.3">
      <c r="A1874" t="s">
        <v>1905</v>
      </c>
      <c r="B1874">
        <v>1990</v>
      </c>
      <c r="C1874" t="s">
        <v>15</v>
      </c>
      <c r="D1874">
        <v>21</v>
      </c>
      <c r="E1874" s="13" t="s">
        <v>12464</v>
      </c>
      <c r="F1874">
        <v>4</v>
      </c>
      <c r="G1874" s="11">
        <v>21472.48</v>
      </c>
      <c r="H1874" t="s">
        <v>11</v>
      </c>
      <c r="I1874" t="s">
        <v>11</v>
      </c>
      <c r="J1874" t="s">
        <v>23</v>
      </c>
    </row>
    <row r="1875" spans="1:10" x14ac:dyDescent="0.3">
      <c r="A1875" t="s">
        <v>1906</v>
      </c>
      <c r="B1875">
        <v>1999</v>
      </c>
      <c r="C1875" t="s">
        <v>18</v>
      </c>
      <c r="D1875">
        <v>12</v>
      </c>
      <c r="E1875" s="13" t="s">
        <v>12465</v>
      </c>
      <c r="F1875">
        <v>0</v>
      </c>
      <c r="G1875" s="11">
        <v>21595.38</v>
      </c>
      <c r="H1875" t="s">
        <v>11</v>
      </c>
      <c r="I1875" t="s">
        <v>12</v>
      </c>
      <c r="J1875" t="s">
        <v>23</v>
      </c>
    </row>
    <row r="1876" spans="1:10" x14ac:dyDescent="0.3">
      <c r="A1876" t="s">
        <v>1907</v>
      </c>
      <c r="B1876">
        <v>1983</v>
      </c>
      <c r="C1876" t="s">
        <v>30</v>
      </c>
      <c r="D1876">
        <v>25</v>
      </c>
      <c r="E1876" s="13" t="s">
        <v>12466</v>
      </c>
      <c r="F1876">
        <v>3</v>
      </c>
      <c r="G1876" s="11">
        <v>21659.93</v>
      </c>
      <c r="H1876" t="s">
        <v>12</v>
      </c>
      <c r="I1876" t="s">
        <v>12</v>
      </c>
      <c r="J1876" t="s">
        <v>247</v>
      </c>
    </row>
    <row r="1877" spans="1:10" x14ac:dyDescent="0.3">
      <c r="A1877" t="s">
        <v>1908</v>
      </c>
      <c r="B1877">
        <v>1962</v>
      </c>
      <c r="C1877" t="s">
        <v>15</v>
      </c>
      <c r="D1877">
        <v>16</v>
      </c>
      <c r="E1877" s="13" t="s">
        <v>12467</v>
      </c>
      <c r="F1877">
        <v>0</v>
      </c>
      <c r="G1877" s="11">
        <v>21661.16</v>
      </c>
      <c r="H1877" t="s">
        <v>11</v>
      </c>
      <c r="I1877" t="s">
        <v>11</v>
      </c>
      <c r="J1877" t="s">
        <v>23</v>
      </c>
    </row>
    <row r="1878" spans="1:10" x14ac:dyDescent="0.3">
      <c r="A1878" t="s">
        <v>1909</v>
      </c>
      <c r="B1878">
        <v>1976</v>
      </c>
      <c r="C1878" t="s">
        <v>10</v>
      </c>
      <c r="D1878">
        <v>18</v>
      </c>
      <c r="E1878" s="13" t="s">
        <v>12468</v>
      </c>
      <c r="F1878">
        <v>1</v>
      </c>
      <c r="G1878" s="11">
        <v>21677.279999999999</v>
      </c>
      <c r="H1878" t="s">
        <v>12</v>
      </c>
      <c r="I1878" t="s">
        <v>16</v>
      </c>
      <c r="J1878" t="s">
        <v>23</v>
      </c>
    </row>
    <row r="1879" spans="1:10" x14ac:dyDescent="0.3">
      <c r="A1879" t="s">
        <v>1910</v>
      </c>
      <c r="B1879">
        <v>1979</v>
      </c>
      <c r="C1879" t="s">
        <v>20</v>
      </c>
      <c r="D1879">
        <v>20</v>
      </c>
      <c r="E1879" s="13" t="s">
        <v>12469</v>
      </c>
      <c r="F1879">
        <v>1</v>
      </c>
      <c r="G1879" s="11">
        <v>21771.34</v>
      </c>
      <c r="H1879" t="s">
        <v>12</v>
      </c>
      <c r="I1879" t="s">
        <v>16</v>
      </c>
      <c r="J1879" t="s">
        <v>247</v>
      </c>
    </row>
    <row r="1880" spans="1:10" x14ac:dyDescent="0.3">
      <c r="A1880" t="s">
        <v>1911</v>
      </c>
      <c r="B1880">
        <v>1979</v>
      </c>
      <c r="C1880" t="s">
        <v>20</v>
      </c>
      <c r="D1880">
        <v>28</v>
      </c>
      <c r="E1880" s="13" t="s">
        <v>12470</v>
      </c>
      <c r="F1880">
        <v>0</v>
      </c>
      <c r="G1880" s="11">
        <v>21774.32</v>
      </c>
      <c r="H1880" t="s">
        <v>12</v>
      </c>
      <c r="I1880" t="s">
        <v>11</v>
      </c>
      <c r="J1880" t="s">
        <v>23</v>
      </c>
    </row>
    <row r="1881" spans="1:10" x14ac:dyDescent="0.3">
      <c r="A1881" t="s">
        <v>1912</v>
      </c>
      <c r="B1881">
        <v>1963</v>
      </c>
      <c r="C1881" t="s">
        <v>35</v>
      </c>
      <c r="D1881">
        <v>27</v>
      </c>
      <c r="E1881" s="13" t="s">
        <v>12471</v>
      </c>
      <c r="F1881">
        <v>0</v>
      </c>
      <c r="G1881" s="11">
        <v>21797</v>
      </c>
      <c r="H1881" t="s">
        <v>12</v>
      </c>
      <c r="I1881" t="s">
        <v>16</v>
      </c>
      <c r="J1881" t="s">
        <v>42</v>
      </c>
    </row>
    <row r="1882" spans="1:10" x14ac:dyDescent="0.3">
      <c r="A1882" t="s">
        <v>1913</v>
      </c>
      <c r="B1882">
        <v>1979</v>
      </c>
      <c r="C1882" t="s">
        <v>35</v>
      </c>
      <c r="D1882">
        <v>17</v>
      </c>
      <c r="E1882" s="13" t="s">
        <v>12472</v>
      </c>
      <c r="F1882">
        <v>2</v>
      </c>
      <c r="G1882" s="11">
        <v>21880.82</v>
      </c>
      <c r="H1882" t="s">
        <v>12</v>
      </c>
      <c r="I1882" t="s">
        <v>16</v>
      </c>
      <c r="J1882" t="s">
        <v>23</v>
      </c>
    </row>
    <row r="1883" spans="1:10" x14ac:dyDescent="0.3">
      <c r="A1883" t="s">
        <v>1914</v>
      </c>
      <c r="B1883">
        <v>2003</v>
      </c>
      <c r="C1883" t="s">
        <v>20</v>
      </c>
      <c r="D1883">
        <v>28</v>
      </c>
      <c r="E1883" s="13" t="s">
        <v>11683</v>
      </c>
      <c r="F1883">
        <v>0</v>
      </c>
      <c r="G1883" s="11">
        <v>21882.400000000001</v>
      </c>
      <c r="H1883" t="s">
        <v>11</v>
      </c>
      <c r="I1883" t="s">
        <v>16</v>
      </c>
      <c r="J1883" t="s">
        <v>42</v>
      </c>
    </row>
    <row r="1884" spans="1:10" x14ac:dyDescent="0.3">
      <c r="A1884" t="s">
        <v>1915</v>
      </c>
      <c r="B1884">
        <v>1975</v>
      </c>
      <c r="C1884" t="s">
        <v>30</v>
      </c>
      <c r="D1884">
        <v>19</v>
      </c>
      <c r="E1884" s="13" t="s">
        <v>12473</v>
      </c>
      <c r="F1884">
        <v>1</v>
      </c>
      <c r="G1884" s="11">
        <v>21978.68</v>
      </c>
      <c r="H1884" t="s">
        <v>12</v>
      </c>
      <c r="I1884" t="s">
        <v>12</v>
      </c>
      <c r="J1884" t="s">
        <v>13</v>
      </c>
    </row>
    <row r="1885" spans="1:10" x14ac:dyDescent="0.3">
      <c r="A1885" t="s">
        <v>1916</v>
      </c>
      <c r="B1885">
        <v>1989</v>
      </c>
      <c r="C1885" t="s">
        <v>37</v>
      </c>
      <c r="D1885">
        <v>14</v>
      </c>
      <c r="E1885" s="13" t="s">
        <v>12474</v>
      </c>
      <c r="F1885">
        <v>0</v>
      </c>
      <c r="G1885" s="11">
        <v>21984.47</v>
      </c>
      <c r="H1885" t="s">
        <v>12</v>
      </c>
      <c r="I1885" t="s">
        <v>16</v>
      </c>
      <c r="J1885" t="s">
        <v>23</v>
      </c>
    </row>
    <row r="1886" spans="1:10" x14ac:dyDescent="0.3">
      <c r="A1886" t="s">
        <v>1917</v>
      </c>
      <c r="B1886">
        <v>2001</v>
      </c>
      <c r="C1886" t="s">
        <v>35</v>
      </c>
      <c r="D1886">
        <v>28</v>
      </c>
      <c r="E1886" s="13" t="s">
        <v>12475</v>
      </c>
      <c r="F1886">
        <v>0</v>
      </c>
      <c r="G1886" s="11">
        <v>22097.62</v>
      </c>
      <c r="H1886" t="s">
        <v>12</v>
      </c>
      <c r="I1886" t="s">
        <v>16</v>
      </c>
      <c r="J1886" t="s">
        <v>42</v>
      </c>
    </row>
    <row r="1887" spans="1:10" x14ac:dyDescent="0.3">
      <c r="A1887" t="s">
        <v>1918</v>
      </c>
      <c r="B1887">
        <v>1980</v>
      </c>
      <c r="C1887" t="s">
        <v>20</v>
      </c>
      <c r="D1887">
        <v>12</v>
      </c>
      <c r="E1887" s="13" t="s">
        <v>11676</v>
      </c>
      <c r="F1887">
        <v>0</v>
      </c>
      <c r="G1887" s="11">
        <v>22144.03</v>
      </c>
      <c r="H1887" t="s">
        <v>11</v>
      </c>
      <c r="I1887" t="s">
        <v>11</v>
      </c>
      <c r="J1887" t="s">
        <v>42</v>
      </c>
    </row>
    <row r="1888" spans="1:10" x14ac:dyDescent="0.3">
      <c r="A1888" t="s">
        <v>1919</v>
      </c>
      <c r="B1888">
        <v>1965</v>
      </c>
      <c r="C1888" t="s">
        <v>35</v>
      </c>
      <c r="D1888">
        <v>24</v>
      </c>
      <c r="E1888" s="13" t="s">
        <v>12476</v>
      </c>
      <c r="F1888">
        <v>1</v>
      </c>
      <c r="G1888" s="11">
        <v>22192.44</v>
      </c>
      <c r="H1888" t="s">
        <v>12</v>
      </c>
      <c r="I1888" t="s">
        <v>16</v>
      </c>
      <c r="J1888" t="s">
        <v>13</v>
      </c>
    </row>
    <row r="1889" spans="1:10" x14ac:dyDescent="0.3">
      <c r="A1889" t="s">
        <v>1920</v>
      </c>
      <c r="B1889">
        <v>1971</v>
      </c>
      <c r="C1889" t="s">
        <v>18</v>
      </c>
      <c r="D1889">
        <v>16</v>
      </c>
      <c r="E1889" s="13" t="s">
        <v>12477</v>
      </c>
      <c r="F1889">
        <v>1</v>
      </c>
      <c r="G1889" s="11">
        <v>22218.11</v>
      </c>
      <c r="H1889" t="s">
        <v>11</v>
      </c>
      <c r="I1889" t="s">
        <v>12</v>
      </c>
      <c r="J1889" t="s">
        <v>13</v>
      </c>
    </row>
    <row r="1890" spans="1:10" x14ac:dyDescent="0.3">
      <c r="A1890" t="s">
        <v>1921</v>
      </c>
      <c r="B1890">
        <v>1982</v>
      </c>
      <c r="C1890" t="s">
        <v>30</v>
      </c>
      <c r="D1890">
        <v>27</v>
      </c>
      <c r="E1890" s="13" t="s">
        <v>12478</v>
      </c>
      <c r="F1890">
        <v>1</v>
      </c>
      <c r="G1890" s="11">
        <v>22331.57</v>
      </c>
      <c r="H1890" t="s">
        <v>11</v>
      </c>
      <c r="I1890" t="s">
        <v>12</v>
      </c>
      <c r="J1890" t="s">
        <v>247</v>
      </c>
    </row>
    <row r="1891" spans="1:10" x14ac:dyDescent="0.3">
      <c r="A1891" t="s">
        <v>1922</v>
      </c>
      <c r="B1891">
        <v>1999</v>
      </c>
      <c r="C1891" t="s">
        <v>35</v>
      </c>
      <c r="D1891">
        <v>26</v>
      </c>
      <c r="E1891" s="13" t="s">
        <v>12479</v>
      </c>
      <c r="F1891">
        <v>2</v>
      </c>
      <c r="G1891" s="11">
        <v>22395.74</v>
      </c>
      <c r="H1891" t="s">
        <v>12</v>
      </c>
      <c r="I1891" t="s">
        <v>11</v>
      </c>
      <c r="J1891" t="s">
        <v>247</v>
      </c>
    </row>
    <row r="1892" spans="1:10" x14ac:dyDescent="0.3">
      <c r="A1892" t="s">
        <v>1923</v>
      </c>
      <c r="B1892">
        <v>1966</v>
      </c>
      <c r="C1892" t="s">
        <v>35</v>
      </c>
      <c r="D1892">
        <v>18</v>
      </c>
      <c r="E1892" s="13" t="s">
        <v>10905</v>
      </c>
      <c r="F1892">
        <v>0</v>
      </c>
      <c r="G1892" s="11">
        <v>22412.65</v>
      </c>
      <c r="H1892" t="s">
        <v>12</v>
      </c>
      <c r="I1892" t="s">
        <v>12</v>
      </c>
      <c r="J1892" t="s">
        <v>276</v>
      </c>
    </row>
    <row r="1893" spans="1:10" x14ac:dyDescent="0.3">
      <c r="A1893" t="s">
        <v>1924</v>
      </c>
      <c r="B1893">
        <v>1983</v>
      </c>
      <c r="C1893" t="s">
        <v>30</v>
      </c>
      <c r="D1893">
        <v>21</v>
      </c>
      <c r="E1893" s="13" t="s">
        <v>11469</v>
      </c>
      <c r="F1893">
        <v>1</v>
      </c>
      <c r="G1893" s="11">
        <v>22462.04</v>
      </c>
      <c r="H1893" t="s">
        <v>12</v>
      </c>
      <c r="I1893" t="s">
        <v>16</v>
      </c>
      <c r="J1893" t="s">
        <v>166</v>
      </c>
    </row>
    <row r="1894" spans="1:10" x14ac:dyDescent="0.3">
      <c r="A1894" t="s">
        <v>1925</v>
      </c>
      <c r="B1894">
        <v>1979</v>
      </c>
      <c r="C1894" t="s">
        <v>15</v>
      </c>
      <c r="D1894">
        <v>14</v>
      </c>
      <c r="E1894" s="13" t="s">
        <v>12480</v>
      </c>
      <c r="F1894">
        <v>2</v>
      </c>
      <c r="G1894" s="11">
        <v>22478.6</v>
      </c>
      <c r="H1894" t="s">
        <v>12</v>
      </c>
      <c r="I1894" t="s">
        <v>11</v>
      </c>
      <c r="J1894" t="s">
        <v>42</v>
      </c>
    </row>
    <row r="1895" spans="1:10" x14ac:dyDescent="0.3">
      <c r="A1895" t="s">
        <v>1926</v>
      </c>
      <c r="B1895">
        <v>2003</v>
      </c>
      <c r="C1895" t="s">
        <v>10</v>
      </c>
      <c r="D1895">
        <v>25</v>
      </c>
      <c r="E1895" s="13" t="s">
        <v>12481</v>
      </c>
      <c r="F1895">
        <v>2</v>
      </c>
      <c r="G1895" s="11">
        <v>22493.66</v>
      </c>
      <c r="H1895" t="s">
        <v>11</v>
      </c>
      <c r="I1895" t="s">
        <v>16</v>
      </c>
      <c r="J1895" t="s">
        <v>23</v>
      </c>
    </row>
    <row r="1896" spans="1:10" x14ac:dyDescent="0.3">
      <c r="A1896" t="s">
        <v>1927</v>
      </c>
      <c r="B1896">
        <v>1970</v>
      </c>
      <c r="C1896" t="s">
        <v>15</v>
      </c>
      <c r="D1896">
        <v>9</v>
      </c>
      <c r="E1896" s="13" t="s">
        <v>12482</v>
      </c>
      <c r="F1896">
        <v>0</v>
      </c>
      <c r="G1896" s="11">
        <v>23045.57</v>
      </c>
      <c r="H1896" t="s">
        <v>11</v>
      </c>
      <c r="I1896" t="s">
        <v>11</v>
      </c>
      <c r="J1896" t="s">
        <v>247</v>
      </c>
    </row>
    <row r="1897" spans="1:10" x14ac:dyDescent="0.3">
      <c r="A1897" t="s">
        <v>1928</v>
      </c>
      <c r="B1897">
        <v>1975</v>
      </c>
      <c r="C1897" t="s">
        <v>20</v>
      </c>
      <c r="D1897">
        <v>9</v>
      </c>
      <c r="E1897" s="13" t="s">
        <v>12483</v>
      </c>
      <c r="F1897">
        <v>0</v>
      </c>
      <c r="G1897" s="11">
        <v>23065.42</v>
      </c>
      <c r="H1897" t="s">
        <v>11</v>
      </c>
      <c r="I1897" t="s">
        <v>11</v>
      </c>
      <c r="J1897" t="s">
        <v>13</v>
      </c>
    </row>
    <row r="1898" spans="1:10" x14ac:dyDescent="0.3">
      <c r="A1898" t="s">
        <v>1929</v>
      </c>
      <c r="B1898">
        <v>2003</v>
      </c>
      <c r="C1898" t="s">
        <v>30</v>
      </c>
      <c r="D1898">
        <v>14</v>
      </c>
      <c r="E1898" s="13" t="s">
        <v>12484</v>
      </c>
      <c r="F1898">
        <v>0</v>
      </c>
      <c r="G1898" s="11">
        <v>23082.959999999999</v>
      </c>
      <c r="H1898" t="s">
        <v>11</v>
      </c>
      <c r="I1898" t="s">
        <v>11</v>
      </c>
      <c r="J1898" t="s">
        <v>42</v>
      </c>
    </row>
    <row r="1899" spans="1:10" x14ac:dyDescent="0.3">
      <c r="A1899" t="s">
        <v>1930</v>
      </c>
      <c r="B1899">
        <v>1997</v>
      </c>
      <c r="C1899" t="s">
        <v>35</v>
      </c>
      <c r="D1899">
        <v>7</v>
      </c>
      <c r="E1899" s="13" t="s">
        <v>12485</v>
      </c>
      <c r="F1899">
        <v>2</v>
      </c>
      <c r="G1899" s="11">
        <v>23241.47</v>
      </c>
      <c r="H1899" t="s">
        <v>11</v>
      </c>
      <c r="I1899" t="s">
        <v>12</v>
      </c>
      <c r="J1899" t="s">
        <v>170</v>
      </c>
    </row>
    <row r="1900" spans="1:10" x14ac:dyDescent="0.3">
      <c r="A1900" t="s">
        <v>1931</v>
      </c>
      <c r="B1900">
        <v>1969</v>
      </c>
      <c r="C1900" t="s">
        <v>15</v>
      </c>
      <c r="D1900">
        <v>14</v>
      </c>
      <c r="E1900" s="13" t="s">
        <v>12486</v>
      </c>
      <c r="F1900">
        <v>1</v>
      </c>
      <c r="G1900" s="11">
        <v>23244.79</v>
      </c>
      <c r="H1900" t="s">
        <v>11</v>
      </c>
      <c r="I1900" t="s">
        <v>12</v>
      </c>
      <c r="J1900" t="s">
        <v>13</v>
      </c>
    </row>
    <row r="1901" spans="1:10" x14ac:dyDescent="0.3">
      <c r="A1901" t="s">
        <v>1932</v>
      </c>
      <c r="B1901">
        <v>1994</v>
      </c>
      <c r="C1901" t="s">
        <v>37</v>
      </c>
      <c r="D1901">
        <v>3</v>
      </c>
      <c r="E1901" s="13" t="s">
        <v>12487</v>
      </c>
      <c r="F1901">
        <v>1</v>
      </c>
      <c r="G1901" s="11">
        <v>23288.93</v>
      </c>
      <c r="H1901" t="s">
        <v>11</v>
      </c>
      <c r="I1901" t="s">
        <v>12</v>
      </c>
      <c r="J1901" t="s">
        <v>247</v>
      </c>
    </row>
    <row r="1902" spans="1:10" x14ac:dyDescent="0.3">
      <c r="A1902" t="s">
        <v>1933</v>
      </c>
      <c r="B1902">
        <v>1973</v>
      </c>
      <c r="C1902" t="s">
        <v>37</v>
      </c>
      <c r="D1902">
        <v>22</v>
      </c>
      <c r="E1902" s="13" t="s">
        <v>12488</v>
      </c>
      <c r="F1902">
        <v>2</v>
      </c>
      <c r="G1902" s="11">
        <v>23306.55</v>
      </c>
      <c r="H1902" t="s">
        <v>11</v>
      </c>
      <c r="I1902" t="s">
        <v>11</v>
      </c>
      <c r="J1902" t="s">
        <v>42</v>
      </c>
    </row>
    <row r="1903" spans="1:10" x14ac:dyDescent="0.3">
      <c r="A1903" t="s">
        <v>1934</v>
      </c>
      <c r="B1903">
        <v>1975</v>
      </c>
      <c r="C1903" t="s">
        <v>15</v>
      </c>
      <c r="D1903">
        <v>13</v>
      </c>
      <c r="E1903" s="13" t="s">
        <v>12489</v>
      </c>
      <c r="F1903">
        <v>1</v>
      </c>
      <c r="G1903" s="11">
        <v>23401.31</v>
      </c>
      <c r="H1903" t="s">
        <v>11</v>
      </c>
      <c r="I1903" t="s">
        <v>12</v>
      </c>
      <c r="J1903" t="s">
        <v>247</v>
      </c>
    </row>
    <row r="1904" spans="1:10" x14ac:dyDescent="0.3">
      <c r="A1904" t="s">
        <v>1935</v>
      </c>
      <c r="B1904">
        <v>1983</v>
      </c>
      <c r="C1904" t="s">
        <v>35</v>
      </c>
      <c r="D1904">
        <v>26</v>
      </c>
      <c r="E1904" s="13" t="s">
        <v>12490</v>
      </c>
      <c r="F1904">
        <v>2</v>
      </c>
      <c r="G1904" s="11">
        <v>23563.02</v>
      </c>
      <c r="H1904" t="s">
        <v>11</v>
      </c>
      <c r="I1904" t="s">
        <v>11</v>
      </c>
      <c r="J1904" t="s">
        <v>13</v>
      </c>
    </row>
    <row r="1905" spans="1:10" x14ac:dyDescent="0.3">
      <c r="A1905" t="s">
        <v>1936</v>
      </c>
      <c r="B1905">
        <v>1974</v>
      </c>
      <c r="C1905" t="s">
        <v>18</v>
      </c>
      <c r="D1905">
        <v>2</v>
      </c>
      <c r="E1905" s="13" t="s">
        <v>12491</v>
      </c>
      <c r="F1905">
        <v>1</v>
      </c>
      <c r="G1905" s="11">
        <v>23568.27</v>
      </c>
      <c r="H1905" t="s">
        <v>11</v>
      </c>
      <c r="I1905" t="s">
        <v>11</v>
      </c>
      <c r="J1905" t="s">
        <v>42</v>
      </c>
    </row>
    <row r="1906" spans="1:10" x14ac:dyDescent="0.3">
      <c r="A1906" t="s">
        <v>1937</v>
      </c>
      <c r="B1906">
        <v>1973</v>
      </c>
      <c r="C1906" t="s">
        <v>18</v>
      </c>
      <c r="D1906">
        <v>27</v>
      </c>
      <c r="E1906" s="13" t="s">
        <v>10885</v>
      </c>
      <c r="F1906">
        <v>2</v>
      </c>
      <c r="G1906" s="11">
        <v>23807.24</v>
      </c>
      <c r="H1906" t="s">
        <v>11</v>
      </c>
      <c r="I1906" t="s">
        <v>12</v>
      </c>
      <c r="J1906" t="s">
        <v>23</v>
      </c>
    </row>
    <row r="1907" spans="1:10" x14ac:dyDescent="0.3">
      <c r="A1907" t="s">
        <v>1938</v>
      </c>
      <c r="B1907">
        <v>1970</v>
      </c>
      <c r="C1907" t="s">
        <v>35</v>
      </c>
      <c r="D1907">
        <v>8</v>
      </c>
      <c r="E1907" s="13" t="s">
        <v>12492</v>
      </c>
      <c r="F1907">
        <v>1</v>
      </c>
      <c r="G1907" s="11">
        <v>23887.66</v>
      </c>
      <c r="H1907" t="s">
        <v>11</v>
      </c>
      <c r="I1907" t="s">
        <v>12</v>
      </c>
      <c r="J1907" t="s">
        <v>23</v>
      </c>
    </row>
    <row r="1908" spans="1:10" x14ac:dyDescent="0.3">
      <c r="A1908" t="s">
        <v>1939</v>
      </c>
      <c r="B1908">
        <v>1971</v>
      </c>
      <c r="C1908" t="s">
        <v>10</v>
      </c>
      <c r="D1908">
        <v>10</v>
      </c>
      <c r="E1908" s="13" t="s">
        <v>12493</v>
      </c>
      <c r="F1908">
        <v>2</v>
      </c>
      <c r="G1908" s="11">
        <v>23967.38</v>
      </c>
      <c r="H1908" t="s">
        <v>11</v>
      </c>
      <c r="I1908" t="s">
        <v>11</v>
      </c>
      <c r="J1908" t="s">
        <v>23</v>
      </c>
    </row>
    <row r="1909" spans="1:10" x14ac:dyDescent="0.3">
      <c r="A1909" t="s">
        <v>1940</v>
      </c>
      <c r="B1909">
        <v>2003</v>
      </c>
      <c r="C1909" t="s">
        <v>30</v>
      </c>
      <c r="D1909">
        <v>30</v>
      </c>
      <c r="E1909" s="13" t="s">
        <v>12494</v>
      </c>
      <c r="F1909">
        <v>2</v>
      </c>
      <c r="G1909" s="11">
        <v>24059.68</v>
      </c>
      <c r="H1909" t="s">
        <v>11</v>
      </c>
      <c r="I1909" t="s">
        <v>11</v>
      </c>
      <c r="J1909" t="s">
        <v>23</v>
      </c>
    </row>
    <row r="1910" spans="1:10" x14ac:dyDescent="0.3">
      <c r="A1910" t="s">
        <v>1941</v>
      </c>
      <c r="B1910">
        <v>1973</v>
      </c>
      <c r="C1910" t="s">
        <v>18</v>
      </c>
      <c r="D1910">
        <v>13</v>
      </c>
      <c r="E1910" s="13" t="s">
        <v>12495</v>
      </c>
      <c r="F1910">
        <v>3</v>
      </c>
      <c r="G1910" s="11">
        <v>24106.91</v>
      </c>
      <c r="H1910" t="s">
        <v>11</v>
      </c>
      <c r="I1910" t="s">
        <v>11</v>
      </c>
      <c r="J1910" t="s">
        <v>247</v>
      </c>
    </row>
    <row r="1911" spans="1:10" x14ac:dyDescent="0.3">
      <c r="A1911" t="s">
        <v>1942</v>
      </c>
      <c r="B1911">
        <v>1974</v>
      </c>
      <c r="C1911" t="s">
        <v>20</v>
      </c>
      <c r="D1911">
        <v>10</v>
      </c>
      <c r="E1911" s="13" t="s">
        <v>12496</v>
      </c>
      <c r="F1911">
        <v>3</v>
      </c>
      <c r="G1911" s="11">
        <v>24180.93</v>
      </c>
      <c r="H1911" t="s">
        <v>11</v>
      </c>
      <c r="I1911" t="s">
        <v>16</v>
      </c>
      <c r="J1911" t="s">
        <v>13</v>
      </c>
    </row>
    <row r="1912" spans="1:10" x14ac:dyDescent="0.3">
      <c r="A1912" t="s">
        <v>1943</v>
      </c>
      <c r="B1912">
        <v>1964</v>
      </c>
      <c r="C1912" t="s">
        <v>30</v>
      </c>
      <c r="D1912">
        <v>16</v>
      </c>
      <c r="E1912" s="13" t="s">
        <v>12497</v>
      </c>
      <c r="F1912">
        <v>0</v>
      </c>
      <c r="G1912" s="11">
        <v>24227.34</v>
      </c>
      <c r="H1912" t="s">
        <v>11</v>
      </c>
      <c r="I1912" t="s">
        <v>16</v>
      </c>
      <c r="J1912" t="s">
        <v>13</v>
      </c>
    </row>
    <row r="1913" spans="1:10" x14ac:dyDescent="0.3">
      <c r="A1913" t="s">
        <v>1944</v>
      </c>
      <c r="B1913">
        <v>2004</v>
      </c>
      <c r="C1913" t="s">
        <v>35</v>
      </c>
      <c r="D1913">
        <v>3</v>
      </c>
      <c r="E1913" s="13" t="s">
        <v>12498</v>
      </c>
      <c r="F1913">
        <v>0</v>
      </c>
      <c r="G1913" s="11">
        <v>24294.02</v>
      </c>
      <c r="H1913" t="s">
        <v>11</v>
      </c>
      <c r="I1913" t="s">
        <v>16</v>
      </c>
      <c r="J1913" t="s">
        <v>42</v>
      </c>
    </row>
    <row r="1914" spans="1:10" x14ac:dyDescent="0.3">
      <c r="A1914" t="s">
        <v>1945</v>
      </c>
      <c r="B1914">
        <v>1999</v>
      </c>
      <c r="C1914" t="s">
        <v>37</v>
      </c>
      <c r="D1914">
        <v>7</v>
      </c>
      <c r="E1914" s="13" t="s">
        <v>12499</v>
      </c>
      <c r="F1914">
        <v>0</v>
      </c>
      <c r="G1914" s="11">
        <v>24387.74</v>
      </c>
      <c r="H1914" t="s">
        <v>11</v>
      </c>
      <c r="I1914" t="s">
        <v>16</v>
      </c>
      <c r="J1914" t="s">
        <v>42</v>
      </c>
    </row>
    <row r="1915" spans="1:10" x14ac:dyDescent="0.3">
      <c r="A1915" t="s">
        <v>1946</v>
      </c>
      <c r="B1915">
        <v>1970</v>
      </c>
      <c r="C1915" t="s">
        <v>15</v>
      </c>
      <c r="D1915">
        <v>30</v>
      </c>
      <c r="E1915" s="13" t="s">
        <v>11877</v>
      </c>
      <c r="F1915">
        <v>0</v>
      </c>
      <c r="G1915" s="11">
        <v>24393.62</v>
      </c>
      <c r="H1915" t="s">
        <v>11</v>
      </c>
      <c r="I1915" t="s">
        <v>12</v>
      </c>
      <c r="J1915" t="s">
        <v>23</v>
      </c>
    </row>
    <row r="1916" spans="1:10" x14ac:dyDescent="0.3">
      <c r="A1916" t="s">
        <v>1947</v>
      </c>
      <c r="B1916">
        <v>1968</v>
      </c>
      <c r="C1916" t="s">
        <v>10</v>
      </c>
      <c r="D1916">
        <v>6</v>
      </c>
      <c r="E1916" s="13" t="s">
        <v>12500</v>
      </c>
      <c r="F1916">
        <v>0</v>
      </c>
      <c r="G1916" s="11">
        <v>24476.48</v>
      </c>
      <c r="H1916" t="s">
        <v>11</v>
      </c>
      <c r="I1916" t="s">
        <v>11</v>
      </c>
      <c r="J1916" t="s">
        <v>23</v>
      </c>
    </row>
    <row r="1917" spans="1:10" x14ac:dyDescent="0.3">
      <c r="A1917" t="s">
        <v>1948</v>
      </c>
      <c r="B1917">
        <v>1961</v>
      </c>
      <c r="C1917" t="s">
        <v>37</v>
      </c>
      <c r="D1917">
        <v>21</v>
      </c>
      <c r="E1917" s="13" t="s">
        <v>12501</v>
      </c>
      <c r="F1917">
        <v>0</v>
      </c>
      <c r="G1917" s="11">
        <v>24513.09</v>
      </c>
      <c r="H1917" t="s">
        <v>11</v>
      </c>
      <c r="I1917" t="s">
        <v>11</v>
      </c>
      <c r="J1917" t="s">
        <v>13</v>
      </c>
    </row>
    <row r="1918" spans="1:10" x14ac:dyDescent="0.3">
      <c r="A1918" t="s">
        <v>1949</v>
      </c>
      <c r="B1918">
        <v>1972</v>
      </c>
      <c r="C1918" t="s">
        <v>20</v>
      </c>
      <c r="D1918">
        <v>14</v>
      </c>
      <c r="E1918" s="13" t="s">
        <v>12502</v>
      </c>
      <c r="F1918">
        <v>1</v>
      </c>
      <c r="G1918" s="11">
        <v>24520.26</v>
      </c>
      <c r="H1918" t="s">
        <v>11</v>
      </c>
      <c r="I1918" t="s">
        <v>12</v>
      </c>
      <c r="J1918" t="s">
        <v>42</v>
      </c>
    </row>
    <row r="1919" spans="1:10" x14ac:dyDescent="0.3">
      <c r="A1919" t="s">
        <v>1950</v>
      </c>
      <c r="B1919">
        <v>1975</v>
      </c>
      <c r="C1919" t="s">
        <v>18</v>
      </c>
      <c r="D1919">
        <v>13</v>
      </c>
      <c r="E1919" s="13" t="s">
        <v>12503</v>
      </c>
      <c r="F1919">
        <v>2</v>
      </c>
      <c r="G1919" s="11">
        <v>24535.7</v>
      </c>
      <c r="H1919" t="s">
        <v>11</v>
      </c>
      <c r="I1919" t="s">
        <v>11</v>
      </c>
      <c r="J1919" t="s">
        <v>23</v>
      </c>
    </row>
    <row r="1920" spans="1:10" x14ac:dyDescent="0.3">
      <c r="A1920" t="s">
        <v>1951</v>
      </c>
      <c r="B1920">
        <v>1976</v>
      </c>
      <c r="C1920" t="s">
        <v>37</v>
      </c>
      <c r="D1920">
        <v>12</v>
      </c>
      <c r="E1920" s="13" t="s">
        <v>11164</v>
      </c>
      <c r="F1920">
        <v>0</v>
      </c>
      <c r="G1920" s="11">
        <v>24603.05</v>
      </c>
      <c r="H1920" t="s">
        <v>11</v>
      </c>
      <c r="I1920" t="s">
        <v>11</v>
      </c>
      <c r="J1920" t="s">
        <v>42</v>
      </c>
    </row>
    <row r="1921" spans="1:10" x14ac:dyDescent="0.3">
      <c r="A1921" t="s">
        <v>1952</v>
      </c>
      <c r="B1921">
        <v>1970</v>
      </c>
      <c r="C1921" t="s">
        <v>18</v>
      </c>
      <c r="D1921">
        <v>12</v>
      </c>
      <c r="E1921" s="13" t="s">
        <v>12504</v>
      </c>
      <c r="F1921">
        <v>2</v>
      </c>
      <c r="G1921" s="11">
        <v>24667.42</v>
      </c>
      <c r="H1921" t="s">
        <v>11</v>
      </c>
      <c r="I1921" t="s">
        <v>12</v>
      </c>
      <c r="J1921" t="s">
        <v>13</v>
      </c>
    </row>
    <row r="1922" spans="1:10" x14ac:dyDescent="0.3">
      <c r="A1922" t="s">
        <v>1953</v>
      </c>
      <c r="B1922">
        <v>1996</v>
      </c>
      <c r="C1922" t="s">
        <v>35</v>
      </c>
      <c r="D1922">
        <v>28</v>
      </c>
      <c r="E1922" s="13" t="s">
        <v>12505</v>
      </c>
      <c r="F1922">
        <v>4</v>
      </c>
      <c r="G1922" s="11">
        <v>24671.66</v>
      </c>
      <c r="H1922" t="s">
        <v>11</v>
      </c>
      <c r="I1922" t="s">
        <v>16</v>
      </c>
      <c r="J1922" t="s">
        <v>247</v>
      </c>
    </row>
    <row r="1923" spans="1:10" x14ac:dyDescent="0.3">
      <c r="A1923" t="s">
        <v>1954</v>
      </c>
      <c r="B1923">
        <v>1992</v>
      </c>
      <c r="C1923" t="s">
        <v>37</v>
      </c>
      <c r="D1923">
        <v>11</v>
      </c>
      <c r="E1923" s="13" t="s">
        <v>12506</v>
      </c>
      <c r="F1923">
        <v>0</v>
      </c>
      <c r="G1923" s="11">
        <v>24795.040000000001</v>
      </c>
      <c r="H1923" t="s">
        <v>11</v>
      </c>
      <c r="I1923" t="s">
        <v>12</v>
      </c>
      <c r="J1923" t="s">
        <v>42</v>
      </c>
    </row>
    <row r="1924" spans="1:10" x14ac:dyDescent="0.3">
      <c r="A1924" t="s">
        <v>1955</v>
      </c>
      <c r="B1924">
        <v>1994</v>
      </c>
      <c r="C1924" t="s">
        <v>20</v>
      </c>
      <c r="D1924">
        <v>9</v>
      </c>
      <c r="E1924" s="13" t="s">
        <v>12507</v>
      </c>
      <c r="F1924">
        <v>0</v>
      </c>
      <c r="G1924" s="11">
        <v>24817.25</v>
      </c>
      <c r="H1924" t="s">
        <v>11</v>
      </c>
      <c r="I1924" t="s">
        <v>11</v>
      </c>
      <c r="J1924" t="s">
        <v>42</v>
      </c>
    </row>
    <row r="1925" spans="1:10" x14ac:dyDescent="0.3">
      <c r="A1925" t="s">
        <v>1956</v>
      </c>
      <c r="B1925">
        <v>1995</v>
      </c>
      <c r="C1925" t="s">
        <v>18</v>
      </c>
      <c r="D1925">
        <v>10</v>
      </c>
      <c r="E1925" s="13" t="s">
        <v>12508</v>
      </c>
      <c r="F1925">
        <v>0</v>
      </c>
      <c r="G1925" s="11">
        <v>24863.25</v>
      </c>
      <c r="H1925" t="s">
        <v>11</v>
      </c>
      <c r="I1925" t="s">
        <v>12</v>
      </c>
      <c r="J1925" t="s">
        <v>42</v>
      </c>
    </row>
    <row r="1926" spans="1:10" x14ac:dyDescent="0.3">
      <c r="A1926" t="s">
        <v>1957</v>
      </c>
      <c r="B1926">
        <v>1970</v>
      </c>
      <c r="C1926" t="s">
        <v>15</v>
      </c>
      <c r="D1926">
        <v>26</v>
      </c>
      <c r="E1926" s="13" t="s">
        <v>12509</v>
      </c>
      <c r="F1926">
        <v>3</v>
      </c>
      <c r="G1926" s="11">
        <v>24869.84</v>
      </c>
      <c r="H1926" t="s">
        <v>11</v>
      </c>
      <c r="I1926" t="s">
        <v>11</v>
      </c>
      <c r="J1926" t="s">
        <v>168</v>
      </c>
    </row>
    <row r="1927" spans="1:10" x14ac:dyDescent="0.3">
      <c r="A1927" t="s">
        <v>1958</v>
      </c>
      <c r="B1927">
        <v>1969</v>
      </c>
      <c r="C1927" t="s">
        <v>10</v>
      </c>
      <c r="D1927">
        <v>23</v>
      </c>
      <c r="E1927" s="13" t="s">
        <v>12510</v>
      </c>
      <c r="F1927">
        <v>3</v>
      </c>
      <c r="G1927" s="11">
        <v>24873.38</v>
      </c>
      <c r="H1927" t="s">
        <v>11</v>
      </c>
      <c r="I1927" t="s">
        <v>16</v>
      </c>
      <c r="J1927" t="s">
        <v>247</v>
      </c>
    </row>
    <row r="1928" spans="1:10" x14ac:dyDescent="0.3">
      <c r="A1928" t="s">
        <v>1959</v>
      </c>
      <c r="B1928">
        <v>1987</v>
      </c>
      <c r="C1928" t="s">
        <v>18</v>
      </c>
      <c r="D1928">
        <v>14</v>
      </c>
      <c r="E1928" s="13" t="s">
        <v>12511</v>
      </c>
      <c r="F1928">
        <v>2</v>
      </c>
      <c r="G1928" s="11">
        <v>24915.05</v>
      </c>
      <c r="H1928" t="s">
        <v>11</v>
      </c>
      <c r="I1928" t="s">
        <v>16</v>
      </c>
      <c r="J1928" t="s">
        <v>247</v>
      </c>
    </row>
    <row r="1929" spans="1:10" x14ac:dyDescent="0.3">
      <c r="A1929" t="s">
        <v>1960</v>
      </c>
      <c r="B1929">
        <v>1975</v>
      </c>
      <c r="C1929" t="s">
        <v>15</v>
      </c>
      <c r="D1929">
        <v>14</v>
      </c>
      <c r="E1929" s="13" t="s">
        <v>12512</v>
      </c>
      <c r="F1929">
        <v>3</v>
      </c>
      <c r="G1929" s="11">
        <v>24915.22</v>
      </c>
      <c r="H1929" t="s">
        <v>11</v>
      </c>
      <c r="I1929" t="s">
        <v>12</v>
      </c>
      <c r="J1929" t="s">
        <v>23</v>
      </c>
    </row>
    <row r="1930" spans="1:10" x14ac:dyDescent="0.3">
      <c r="A1930" t="s">
        <v>1961</v>
      </c>
      <c r="B1930">
        <v>1995</v>
      </c>
      <c r="C1930" t="s">
        <v>30</v>
      </c>
      <c r="D1930">
        <v>4</v>
      </c>
      <c r="E1930" s="13" t="s">
        <v>12513</v>
      </c>
      <c r="F1930">
        <v>0</v>
      </c>
      <c r="G1930" s="11">
        <v>25075.97</v>
      </c>
      <c r="H1930" t="s">
        <v>11</v>
      </c>
      <c r="I1930" t="s">
        <v>11</v>
      </c>
      <c r="J1930" t="s">
        <v>42</v>
      </c>
    </row>
    <row r="1931" spans="1:10" x14ac:dyDescent="0.3">
      <c r="A1931" t="s">
        <v>1962</v>
      </c>
      <c r="B1931">
        <v>1998</v>
      </c>
      <c r="C1931" t="s">
        <v>18</v>
      </c>
      <c r="D1931">
        <v>14</v>
      </c>
      <c r="E1931" s="13" t="s">
        <v>11862</v>
      </c>
      <c r="F1931">
        <v>0</v>
      </c>
      <c r="G1931" s="11">
        <v>25081.77</v>
      </c>
      <c r="H1931" t="s">
        <v>11</v>
      </c>
      <c r="I1931" t="s">
        <v>11</v>
      </c>
      <c r="J1931" t="s">
        <v>13</v>
      </c>
    </row>
    <row r="1932" spans="1:10" x14ac:dyDescent="0.3">
      <c r="A1932" t="s">
        <v>1963</v>
      </c>
      <c r="B1932">
        <v>1998</v>
      </c>
      <c r="C1932" t="s">
        <v>15</v>
      </c>
      <c r="D1932">
        <v>24</v>
      </c>
      <c r="E1932" s="13" t="s">
        <v>12514</v>
      </c>
      <c r="F1932">
        <v>0</v>
      </c>
      <c r="G1932" s="11">
        <v>25127.22</v>
      </c>
      <c r="H1932" t="s">
        <v>11</v>
      </c>
      <c r="I1932" t="s">
        <v>12</v>
      </c>
      <c r="J1932" t="s">
        <v>42</v>
      </c>
    </row>
    <row r="1933" spans="1:10" x14ac:dyDescent="0.3">
      <c r="A1933" t="s">
        <v>1964</v>
      </c>
      <c r="B1933">
        <v>1975</v>
      </c>
      <c r="C1933" t="s">
        <v>30</v>
      </c>
      <c r="D1933">
        <v>14</v>
      </c>
      <c r="E1933" s="13" t="s">
        <v>11494</v>
      </c>
      <c r="F1933">
        <v>3</v>
      </c>
      <c r="G1933" s="11">
        <v>25309.49</v>
      </c>
      <c r="H1933" t="s">
        <v>11</v>
      </c>
      <c r="I1933" t="s">
        <v>16</v>
      </c>
      <c r="J1933" t="s">
        <v>42</v>
      </c>
    </row>
    <row r="1934" spans="1:10" x14ac:dyDescent="0.3">
      <c r="A1934" t="s">
        <v>1965</v>
      </c>
      <c r="B1934">
        <v>1972</v>
      </c>
      <c r="C1934" t="s">
        <v>20</v>
      </c>
      <c r="D1934">
        <v>26</v>
      </c>
      <c r="E1934" s="13" t="s">
        <v>12515</v>
      </c>
      <c r="F1934">
        <v>2</v>
      </c>
      <c r="G1934" s="11">
        <v>25333.33</v>
      </c>
      <c r="H1934" t="s">
        <v>11</v>
      </c>
      <c r="I1934" t="s">
        <v>11</v>
      </c>
      <c r="J1934" t="s">
        <v>356</v>
      </c>
    </row>
    <row r="1935" spans="1:10" x14ac:dyDescent="0.3">
      <c r="A1935" t="s">
        <v>1966</v>
      </c>
      <c r="B1935">
        <v>1968</v>
      </c>
      <c r="C1935" t="s">
        <v>35</v>
      </c>
      <c r="D1935">
        <v>22</v>
      </c>
      <c r="E1935" s="13" t="s">
        <v>12516</v>
      </c>
      <c r="F1935">
        <v>3</v>
      </c>
      <c r="G1935" s="11">
        <v>25382.3</v>
      </c>
      <c r="H1935" t="s">
        <v>11</v>
      </c>
      <c r="I1935" t="s">
        <v>11</v>
      </c>
      <c r="J1935" t="s">
        <v>42</v>
      </c>
    </row>
    <row r="1936" spans="1:10" x14ac:dyDescent="0.3">
      <c r="A1936" t="s">
        <v>1967</v>
      </c>
      <c r="B1936">
        <v>1968</v>
      </c>
      <c r="C1936" t="s">
        <v>30</v>
      </c>
      <c r="D1936">
        <v>11</v>
      </c>
      <c r="E1936" s="13" t="s">
        <v>12517</v>
      </c>
      <c r="F1936">
        <v>1</v>
      </c>
      <c r="G1936" s="11">
        <v>25517.11</v>
      </c>
      <c r="H1936" t="s">
        <v>11</v>
      </c>
      <c r="I1936" t="s">
        <v>12</v>
      </c>
      <c r="J1936" t="s">
        <v>356</v>
      </c>
    </row>
    <row r="1937" spans="1:10" x14ac:dyDescent="0.3">
      <c r="A1937" t="s">
        <v>1968</v>
      </c>
      <c r="B1937">
        <v>2001</v>
      </c>
      <c r="C1937" t="s">
        <v>35</v>
      </c>
      <c r="D1937">
        <v>2</v>
      </c>
      <c r="E1937" s="13" t="s">
        <v>12518</v>
      </c>
      <c r="F1937">
        <v>0</v>
      </c>
      <c r="G1937" s="11">
        <v>25648.98</v>
      </c>
      <c r="H1937" t="s">
        <v>11</v>
      </c>
      <c r="I1937" t="s">
        <v>16</v>
      </c>
      <c r="J1937" t="s">
        <v>42</v>
      </c>
    </row>
    <row r="1938" spans="1:10" x14ac:dyDescent="0.3">
      <c r="A1938" t="s">
        <v>1969</v>
      </c>
      <c r="B1938">
        <v>1972</v>
      </c>
      <c r="C1938" t="s">
        <v>10</v>
      </c>
      <c r="D1938">
        <v>17</v>
      </c>
      <c r="E1938" s="13" t="s">
        <v>12519</v>
      </c>
      <c r="F1938">
        <v>0</v>
      </c>
      <c r="G1938" s="11">
        <v>25656.58</v>
      </c>
      <c r="H1938" t="s">
        <v>11</v>
      </c>
      <c r="I1938" t="s">
        <v>12</v>
      </c>
      <c r="J1938" t="s">
        <v>247</v>
      </c>
    </row>
    <row r="1939" spans="1:10" x14ac:dyDescent="0.3">
      <c r="A1939" t="s">
        <v>1970</v>
      </c>
      <c r="B1939">
        <v>1963</v>
      </c>
      <c r="C1939" t="s">
        <v>35</v>
      </c>
      <c r="D1939">
        <v>21</v>
      </c>
      <c r="E1939" s="13" t="s">
        <v>12520</v>
      </c>
      <c r="F1939">
        <v>0</v>
      </c>
      <c r="G1939" s="11">
        <v>25678.78</v>
      </c>
      <c r="H1939" t="s">
        <v>11</v>
      </c>
      <c r="I1939" t="s">
        <v>12</v>
      </c>
      <c r="J1939" t="s">
        <v>23</v>
      </c>
    </row>
    <row r="1940" spans="1:10" x14ac:dyDescent="0.3">
      <c r="A1940" t="s">
        <v>1971</v>
      </c>
      <c r="B1940">
        <v>1970</v>
      </c>
      <c r="C1940" t="s">
        <v>30</v>
      </c>
      <c r="D1940">
        <v>3</v>
      </c>
      <c r="E1940" s="13" t="s">
        <v>11660</v>
      </c>
      <c r="F1940">
        <v>3</v>
      </c>
      <c r="G1940" s="11">
        <v>25992.82</v>
      </c>
      <c r="H1940" t="s">
        <v>11</v>
      </c>
      <c r="I1940" t="s">
        <v>11</v>
      </c>
      <c r="J1940" t="s">
        <v>13</v>
      </c>
    </row>
    <row r="1941" spans="1:10" x14ac:dyDescent="0.3">
      <c r="A1941" t="s">
        <v>1972</v>
      </c>
      <c r="B1941">
        <v>2001</v>
      </c>
      <c r="C1941" t="s">
        <v>18</v>
      </c>
      <c r="D1941">
        <v>5</v>
      </c>
      <c r="E1941" s="13" t="s">
        <v>11002</v>
      </c>
      <c r="F1941">
        <v>2</v>
      </c>
      <c r="G1941" s="11">
        <v>26018.95</v>
      </c>
      <c r="H1941" t="s">
        <v>11</v>
      </c>
      <c r="I1941" t="s">
        <v>11</v>
      </c>
      <c r="J1941" t="s">
        <v>23</v>
      </c>
    </row>
    <row r="1942" spans="1:10" x14ac:dyDescent="0.3">
      <c r="A1942" t="s">
        <v>1973</v>
      </c>
      <c r="B1942">
        <v>2000</v>
      </c>
      <c r="C1942" t="s">
        <v>30</v>
      </c>
      <c r="D1942">
        <v>26</v>
      </c>
      <c r="E1942" s="13" t="s">
        <v>11857</v>
      </c>
      <c r="F1942">
        <v>0</v>
      </c>
      <c r="G1942" s="11">
        <v>26026.97</v>
      </c>
      <c r="H1942" t="s">
        <v>11</v>
      </c>
      <c r="I1942" t="s">
        <v>12</v>
      </c>
      <c r="J1942" t="s">
        <v>42</v>
      </c>
    </row>
    <row r="1943" spans="1:10" x14ac:dyDescent="0.3">
      <c r="A1943" t="s">
        <v>1974</v>
      </c>
      <c r="B1943">
        <v>1966</v>
      </c>
      <c r="C1943" t="s">
        <v>10</v>
      </c>
      <c r="D1943">
        <v>9</v>
      </c>
      <c r="E1943" s="13" t="s">
        <v>12521</v>
      </c>
      <c r="F1943">
        <v>1</v>
      </c>
      <c r="G1943" s="11">
        <v>26109.33</v>
      </c>
      <c r="H1943" t="s">
        <v>11</v>
      </c>
      <c r="I1943" t="s">
        <v>12</v>
      </c>
      <c r="J1943" t="s">
        <v>23</v>
      </c>
    </row>
    <row r="1944" spans="1:10" x14ac:dyDescent="0.3">
      <c r="A1944" t="s">
        <v>1975</v>
      </c>
      <c r="B1944">
        <v>2002</v>
      </c>
      <c r="C1944" t="s">
        <v>37</v>
      </c>
      <c r="D1944">
        <v>11</v>
      </c>
      <c r="E1944" s="13" t="s">
        <v>10879</v>
      </c>
      <c r="F1944">
        <v>0</v>
      </c>
      <c r="G1944" s="11">
        <v>26125.67</v>
      </c>
      <c r="H1944" t="s">
        <v>11</v>
      </c>
      <c r="I1944" t="s">
        <v>16</v>
      </c>
      <c r="J1944" t="s">
        <v>13</v>
      </c>
    </row>
    <row r="1945" spans="1:10" x14ac:dyDescent="0.3">
      <c r="A1945" t="s">
        <v>1976</v>
      </c>
      <c r="B1945">
        <v>1973</v>
      </c>
      <c r="C1945" t="s">
        <v>10</v>
      </c>
      <c r="D1945">
        <v>7</v>
      </c>
      <c r="E1945" s="13" t="s">
        <v>12522</v>
      </c>
      <c r="F1945">
        <v>1</v>
      </c>
      <c r="G1945" s="11">
        <v>26140.36</v>
      </c>
      <c r="H1945" t="s">
        <v>11</v>
      </c>
      <c r="I1945" t="s">
        <v>12</v>
      </c>
      <c r="J1945" t="s">
        <v>42</v>
      </c>
    </row>
    <row r="1946" spans="1:10" x14ac:dyDescent="0.3">
      <c r="A1946" t="s">
        <v>1977</v>
      </c>
      <c r="B1946">
        <v>1975</v>
      </c>
      <c r="C1946" t="s">
        <v>18</v>
      </c>
      <c r="D1946">
        <v>4</v>
      </c>
      <c r="E1946" s="13" t="s">
        <v>12523</v>
      </c>
      <c r="F1946">
        <v>1</v>
      </c>
      <c r="G1946" s="11">
        <v>26236.58</v>
      </c>
      <c r="H1946" t="s">
        <v>11</v>
      </c>
      <c r="I1946" t="s">
        <v>16</v>
      </c>
      <c r="J1946" t="s">
        <v>42</v>
      </c>
    </row>
    <row r="1947" spans="1:10" x14ac:dyDescent="0.3">
      <c r="A1947" t="s">
        <v>1978</v>
      </c>
      <c r="B1947">
        <v>2004</v>
      </c>
      <c r="C1947" t="s">
        <v>30</v>
      </c>
      <c r="D1947">
        <v>5</v>
      </c>
      <c r="E1947" s="13" t="s">
        <v>12524</v>
      </c>
      <c r="F1947">
        <v>0</v>
      </c>
      <c r="G1947" s="11">
        <v>26316.59</v>
      </c>
      <c r="H1947" t="s">
        <v>11</v>
      </c>
      <c r="I1947" t="s">
        <v>12</v>
      </c>
      <c r="J1947" t="s">
        <v>42</v>
      </c>
    </row>
    <row r="1948" spans="1:10" x14ac:dyDescent="0.3">
      <c r="A1948" t="s">
        <v>1979</v>
      </c>
      <c r="B1948">
        <v>1974</v>
      </c>
      <c r="C1948" t="s">
        <v>20</v>
      </c>
      <c r="D1948">
        <v>21</v>
      </c>
      <c r="E1948" s="13" t="s">
        <v>12525</v>
      </c>
      <c r="F1948">
        <v>1</v>
      </c>
      <c r="G1948" s="11">
        <v>26392.26</v>
      </c>
      <c r="H1948" t="s">
        <v>11</v>
      </c>
      <c r="I1948" t="s">
        <v>11</v>
      </c>
      <c r="J1948" t="s">
        <v>247</v>
      </c>
    </row>
    <row r="1949" spans="1:10" x14ac:dyDescent="0.3">
      <c r="A1949" t="s">
        <v>1980</v>
      </c>
      <c r="B1949">
        <v>1970</v>
      </c>
      <c r="C1949" t="s">
        <v>35</v>
      </c>
      <c r="D1949">
        <v>27</v>
      </c>
      <c r="E1949" s="13" t="s">
        <v>12526</v>
      </c>
      <c r="F1949">
        <v>2</v>
      </c>
      <c r="G1949" s="11">
        <v>26467.1</v>
      </c>
      <c r="H1949" t="s">
        <v>11</v>
      </c>
      <c r="I1949" t="s">
        <v>12</v>
      </c>
      <c r="J1949" t="s">
        <v>23</v>
      </c>
    </row>
    <row r="1950" spans="1:10" x14ac:dyDescent="0.3">
      <c r="A1950" t="s">
        <v>1981</v>
      </c>
      <c r="B1950">
        <v>2004</v>
      </c>
      <c r="C1950" t="s">
        <v>20</v>
      </c>
      <c r="D1950">
        <v>5</v>
      </c>
      <c r="E1950" s="13" t="s">
        <v>12527</v>
      </c>
      <c r="F1950">
        <v>0</v>
      </c>
      <c r="G1950" s="11">
        <v>26479.4</v>
      </c>
      <c r="H1950" t="s">
        <v>11</v>
      </c>
      <c r="I1950" t="s">
        <v>11</v>
      </c>
      <c r="J1950" t="s">
        <v>42</v>
      </c>
    </row>
    <row r="1951" spans="1:10" x14ac:dyDescent="0.3">
      <c r="A1951" t="s">
        <v>1982</v>
      </c>
      <c r="B1951">
        <v>1988</v>
      </c>
      <c r="C1951" t="s">
        <v>10</v>
      </c>
      <c r="D1951">
        <v>22</v>
      </c>
      <c r="E1951" s="13" t="s">
        <v>12528</v>
      </c>
      <c r="F1951">
        <v>3</v>
      </c>
      <c r="G1951" s="11">
        <v>26607.89</v>
      </c>
      <c r="H1951" t="s">
        <v>11</v>
      </c>
      <c r="I1951" t="s">
        <v>16</v>
      </c>
      <c r="J1951" t="s">
        <v>42</v>
      </c>
    </row>
    <row r="1952" spans="1:10" x14ac:dyDescent="0.3">
      <c r="A1952" t="s">
        <v>1983</v>
      </c>
      <c r="B1952">
        <v>1991</v>
      </c>
      <c r="C1952" t="s">
        <v>35</v>
      </c>
      <c r="D1952">
        <v>22</v>
      </c>
      <c r="E1952" s="13" t="s">
        <v>12529</v>
      </c>
      <c r="F1952">
        <v>3</v>
      </c>
      <c r="G1952" s="11">
        <v>26912.560000000001</v>
      </c>
      <c r="H1952" t="s">
        <v>11</v>
      </c>
      <c r="I1952" t="s">
        <v>11</v>
      </c>
      <c r="J1952" t="s">
        <v>42</v>
      </c>
    </row>
    <row r="1953" spans="1:10" x14ac:dyDescent="0.3">
      <c r="A1953" t="s">
        <v>1984</v>
      </c>
      <c r="B1953">
        <v>1958</v>
      </c>
      <c r="C1953" t="s">
        <v>30</v>
      </c>
      <c r="D1953">
        <v>25</v>
      </c>
      <c r="E1953" s="13" t="s">
        <v>12530</v>
      </c>
      <c r="F1953">
        <v>0</v>
      </c>
      <c r="G1953" s="11">
        <v>26926.51</v>
      </c>
      <c r="H1953" t="s">
        <v>11</v>
      </c>
      <c r="I1953" t="s">
        <v>16</v>
      </c>
      <c r="J1953" t="s">
        <v>13</v>
      </c>
    </row>
    <row r="1954" spans="1:10" x14ac:dyDescent="0.3">
      <c r="A1954" t="s">
        <v>1985</v>
      </c>
      <c r="B1954">
        <v>2002</v>
      </c>
      <c r="C1954" t="s">
        <v>18</v>
      </c>
      <c r="D1954">
        <v>17</v>
      </c>
      <c r="E1954" s="13" t="s">
        <v>12531</v>
      </c>
      <c r="F1954">
        <v>0</v>
      </c>
      <c r="G1954" s="11">
        <v>26927.69</v>
      </c>
      <c r="H1954" t="s">
        <v>11</v>
      </c>
      <c r="I1954" t="s">
        <v>11</v>
      </c>
      <c r="J1954" t="s">
        <v>42</v>
      </c>
    </row>
    <row r="1955" spans="1:10" x14ac:dyDescent="0.3">
      <c r="A1955" t="s">
        <v>1986</v>
      </c>
      <c r="B1955">
        <v>2000</v>
      </c>
      <c r="C1955" t="s">
        <v>15</v>
      </c>
      <c r="D1955">
        <v>9</v>
      </c>
      <c r="E1955" s="13" t="s">
        <v>12532</v>
      </c>
      <c r="F1955">
        <v>0</v>
      </c>
      <c r="G1955" s="11">
        <v>26936.98</v>
      </c>
      <c r="H1955" t="s">
        <v>11</v>
      </c>
      <c r="I1955" t="s">
        <v>12</v>
      </c>
      <c r="J1955" t="s">
        <v>42</v>
      </c>
    </row>
    <row r="1956" spans="1:10" x14ac:dyDescent="0.3">
      <c r="A1956" t="s">
        <v>1987</v>
      </c>
      <c r="B1956">
        <v>1960</v>
      </c>
      <c r="C1956" t="s">
        <v>10</v>
      </c>
      <c r="D1956">
        <v>9</v>
      </c>
      <c r="E1956" s="13" t="s">
        <v>12533</v>
      </c>
      <c r="F1956">
        <v>1</v>
      </c>
      <c r="G1956" s="11">
        <v>27000.98</v>
      </c>
      <c r="H1956" t="s">
        <v>11</v>
      </c>
      <c r="I1956" t="s">
        <v>11</v>
      </c>
      <c r="J1956" t="s">
        <v>13</v>
      </c>
    </row>
    <row r="1957" spans="1:10" x14ac:dyDescent="0.3">
      <c r="A1957" t="s">
        <v>1988</v>
      </c>
      <c r="B1957">
        <v>1958</v>
      </c>
      <c r="C1957" t="s">
        <v>18</v>
      </c>
      <c r="D1957">
        <v>30</v>
      </c>
      <c r="E1957" s="13" t="s">
        <v>12022</v>
      </c>
      <c r="F1957">
        <v>0</v>
      </c>
      <c r="G1957" s="11">
        <v>27037.91</v>
      </c>
      <c r="H1957" t="s">
        <v>11</v>
      </c>
      <c r="I1957" t="s">
        <v>11</v>
      </c>
      <c r="J1957" t="s">
        <v>13</v>
      </c>
    </row>
    <row r="1958" spans="1:10" x14ac:dyDescent="0.3">
      <c r="A1958" t="s">
        <v>1989</v>
      </c>
      <c r="B1958">
        <v>1994</v>
      </c>
      <c r="C1958" t="s">
        <v>10</v>
      </c>
      <c r="D1958">
        <v>2</v>
      </c>
      <c r="E1958" s="13" t="s">
        <v>12534</v>
      </c>
      <c r="F1958">
        <v>0</v>
      </c>
      <c r="G1958" s="11">
        <v>27080.639999999999</v>
      </c>
      <c r="H1958" t="s">
        <v>11</v>
      </c>
      <c r="I1958" t="s">
        <v>11</v>
      </c>
      <c r="J1958" t="s">
        <v>42</v>
      </c>
    </row>
    <row r="1959" spans="1:10" x14ac:dyDescent="0.3">
      <c r="A1959" t="s">
        <v>1990</v>
      </c>
      <c r="B1959">
        <v>1990</v>
      </c>
      <c r="C1959" t="s">
        <v>30</v>
      </c>
      <c r="D1959">
        <v>13</v>
      </c>
      <c r="E1959" s="13" t="s">
        <v>10841</v>
      </c>
      <c r="F1959">
        <v>3</v>
      </c>
      <c r="G1959" s="11">
        <v>27092.38</v>
      </c>
      <c r="H1959" t="s">
        <v>11</v>
      </c>
      <c r="I1959" t="s">
        <v>12</v>
      </c>
      <c r="J1959" t="s">
        <v>42</v>
      </c>
    </row>
    <row r="1960" spans="1:10" x14ac:dyDescent="0.3">
      <c r="A1960" t="s">
        <v>1991</v>
      </c>
      <c r="B1960">
        <v>1970</v>
      </c>
      <c r="C1960" t="s">
        <v>37</v>
      </c>
      <c r="D1960">
        <v>2</v>
      </c>
      <c r="E1960" s="13" t="s">
        <v>12535</v>
      </c>
      <c r="F1960">
        <v>0</v>
      </c>
      <c r="G1960" s="11">
        <v>27117.99</v>
      </c>
      <c r="H1960" t="s">
        <v>11</v>
      </c>
      <c r="I1960" t="s">
        <v>11</v>
      </c>
      <c r="J1960" t="s">
        <v>13</v>
      </c>
    </row>
    <row r="1961" spans="1:10" x14ac:dyDescent="0.3">
      <c r="A1961" t="s">
        <v>1992</v>
      </c>
      <c r="B1961">
        <v>1965</v>
      </c>
      <c r="C1961" t="s">
        <v>30</v>
      </c>
      <c r="D1961">
        <v>21</v>
      </c>
      <c r="E1961" s="13" t="s">
        <v>12536</v>
      </c>
      <c r="F1961">
        <v>0</v>
      </c>
      <c r="G1961" s="11">
        <v>27218.44</v>
      </c>
      <c r="H1961" t="s">
        <v>11</v>
      </c>
      <c r="I1961" t="s">
        <v>16</v>
      </c>
      <c r="J1961" t="s">
        <v>356</v>
      </c>
    </row>
    <row r="1962" spans="1:10" x14ac:dyDescent="0.3">
      <c r="A1962" t="s">
        <v>1993</v>
      </c>
      <c r="B1962">
        <v>1999</v>
      </c>
      <c r="C1962" t="s">
        <v>30</v>
      </c>
      <c r="D1962">
        <v>2</v>
      </c>
      <c r="E1962" s="13" t="s">
        <v>11307</v>
      </c>
      <c r="F1962">
        <v>0</v>
      </c>
      <c r="G1962" s="11">
        <v>27236.959999999999</v>
      </c>
      <c r="H1962" t="s">
        <v>11</v>
      </c>
      <c r="I1962" t="s">
        <v>16</v>
      </c>
      <c r="J1962" t="s">
        <v>42</v>
      </c>
    </row>
    <row r="1963" spans="1:10" x14ac:dyDescent="0.3">
      <c r="A1963" t="s">
        <v>1994</v>
      </c>
      <c r="B1963">
        <v>1968</v>
      </c>
      <c r="C1963" t="s">
        <v>18</v>
      </c>
      <c r="D1963">
        <v>6</v>
      </c>
      <c r="E1963" s="13" t="s">
        <v>12537</v>
      </c>
      <c r="F1963">
        <v>3</v>
      </c>
      <c r="G1963" s="11">
        <v>27322.73</v>
      </c>
      <c r="H1963" t="s">
        <v>11</v>
      </c>
      <c r="I1963" t="s">
        <v>11</v>
      </c>
      <c r="J1963" t="s">
        <v>13</v>
      </c>
    </row>
    <row r="1964" spans="1:10" x14ac:dyDescent="0.3">
      <c r="A1964" t="s">
        <v>1995</v>
      </c>
      <c r="B1964">
        <v>1969</v>
      </c>
      <c r="C1964" t="s">
        <v>37</v>
      </c>
      <c r="D1964">
        <v>16</v>
      </c>
      <c r="E1964" s="13" t="s">
        <v>12538</v>
      </c>
      <c r="F1964">
        <v>0</v>
      </c>
      <c r="G1964" s="11">
        <v>27346.04</v>
      </c>
      <c r="H1964" t="s">
        <v>11</v>
      </c>
      <c r="I1964" t="s">
        <v>11</v>
      </c>
      <c r="J1964" t="s">
        <v>13</v>
      </c>
    </row>
    <row r="1965" spans="1:10" x14ac:dyDescent="0.3">
      <c r="A1965" t="s">
        <v>1996</v>
      </c>
      <c r="B1965">
        <v>1988</v>
      </c>
      <c r="C1965" t="s">
        <v>20</v>
      </c>
      <c r="D1965">
        <v>15</v>
      </c>
      <c r="E1965" s="13" t="s">
        <v>12539</v>
      </c>
      <c r="F1965">
        <v>2</v>
      </c>
      <c r="G1965" s="11">
        <v>27375.9</v>
      </c>
      <c r="H1965" t="s">
        <v>11</v>
      </c>
      <c r="I1965" t="s">
        <v>12</v>
      </c>
      <c r="J1965" t="s">
        <v>164</v>
      </c>
    </row>
    <row r="1966" spans="1:10" x14ac:dyDescent="0.3">
      <c r="A1966" t="s">
        <v>1997</v>
      </c>
      <c r="B1966">
        <v>1985</v>
      </c>
      <c r="C1966" t="s">
        <v>30</v>
      </c>
      <c r="D1966">
        <v>5</v>
      </c>
      <c r="E1966" s="13" t="s">
        <v>12540</v>
      </c>
      <c r="F1966">
        <v>3</v>
      </c>
      <c r="G1966" s="11">
        <v>27432.73</v>
      </c>
      <c r="H1966" t="s">
        <v>11</v>
      </c>
      <c r="I1966" t="s">
        <v>16</v>
      </c>
      <c r="J1966" t="s">
        <v>42</v>
      </c>
    </row>
    <row r="1967" spans="1:10" x14ac:dyDescent="0.3">
      <c r="A1967" t="s">
        <v>1998</v>
      </c>
      <c r="B1967">
        <v>1981</v>
      </c>
      <c r="C1967" t="s">
        <v>37</v>
      </c>
      <c r="D1967">
        <v>3</v>
      </c>
      <c r="E1967" s="13" t="s">
        <v>12541</v>
      </c>
      <c r="F1967">
        <v>1</v>
      </c>
      <c r="G1967" s="11">
        <v>27495.59</v>
      </c>
      <c r="H1967" t="s">
        <v>11</v>
      </c>
      <c r="I1967" t="s">
        <v>16</v>
      </c>
      <c r="J1967" t="s">
        <v>42</v>
      </c>
    </row>
    <row r="1968" spans="1:10" x14ac:dyDescent="0.3">
      <c r="A1968" t="s">
        <v>1999</v>
      </c>
      <c r="B1968">
        <v>1965</v>
      </c>
      <c r="C1968" t="s">
        <v>37</v>
      </c>
      <c r="D1968">
        <v>19</v>
      </c>
      <c r="E1968" s="13" t="s">
        <v>12542</v>
      </c>
      <c r="F1968">
        <v>0</v>
      </c>
      <c r="G1968" s="11">
        <v>27533.91</v>
      </c>
      <c r="H1968" t="s">
        <v>11</v>
      </c>
      <c r="I1968" t="s">
        <v>12</v>
      </c>
      <c r="J1968" t="s">
        <v>13</v>
      </c>
    </row>
    <row r="1969" spans="1:10" x14ac:dyDescent="0.3">
      <c r="A1969" t="s">
        <v>2000</v>
      </c>
      <c r="B1969">
        <v>1984</v>
      </c>
      <c r="C1969" t="s">
        <v>10</v>
      </c>
      <c r="D1969">
        <v>22</v>
      </c>
      <c r="E1969" s="13" t="s">
        <v>12543</v>
      </c>
      <c r="F1969">
        <v>3</v>
      </c>
      <c r="G1969" s="11">
        <v>27534.53</v>
      </c>
      <c r="H1969" t="s">
        <v>11</v>
      </c>
      <c r="I1969" t="s">
        <v>11</v>
      </c>
      <c r="J1969" t="s">
        <v>42</v>
      </c>
    </row>
    <row r="1970" spans="1:10" x14ac:dyDescent="0.3">
      <c r="A1970" t="s">
        <v>2001</v>
      </c>
      <c r="B1970">
        <v>1985</v>
      </c>
      <c r="C1970" t="s">
        <v>15</v>
      </c>
      <c r="D1970">
        <v>6</v>
      </c>
      <c r="E1970" s="13" t="s">
        <v>12544</v>
      </c>
      <c r="F1970">
        <v>3</v>
      </c>
      <c r="G1970" s="11">
        <v>27598.93</v>
      </c>
      <c r="H1970" t="s">
        <v>11</v>
      </c>
      <c r="I1970" t="s">
        <v>16</v>
      </c>
      <c r="J1970" t="s">
        <v>42</v>
      </c>
    </row>
    <row r="1971" spans="1:10" x14ac:dyDescent="0.3">
      <c r="A1971" t="s">
        <v>2002</v>
      </c>
      <c r="B1971">
        <v>1992</v>
      </c>
      <c r="C1971" t="s">
        <v>18</v>
      </c>
      <c r="D1971">
        <v>11</v>
      </c>
      <c r="E1971" s="13" t="s">
        <v>12545</v>
      </c>
      <c r="F1971">
        <v>0</v>
      </c>
      <c r="G1971" s="11">
        <v>27614.71</v>
      </c>
      <c r="H1971" t="s">
        <v>11</v>
      </c>
      <c r="I1971" t="s">
        <v>12</v>
      </c>
      <c r="J1971" t="s">
        <v>42</v>
      </c>
    </row>
    <row r="1972" spans="1:10" x14ac:dyDescent="0.3">
      <c r="A1972" t="s">
        <v>2003</v>
      </c>
      <c r="B1972">
        <v>1997</v>
      </c>
      <c r="C1972" t="s">
        <v>20</v>
      </c>
      <c r="D1972">
        <v>9</v>
      </c>
      <c r="E1972" s="13" t="s">
        <v>12546</v>
      </c>
      <c r="F1972">
        <v>0</v>
      </c>
      <c r="G1972" s="11">
        <v>27619.360000000001</v>
      </c>
      <c r="H1972" t="s">
        <v>11</v>
      </c>
      <c r="I1972" t="s">
        <v>12</v>
      </c>
      <c r="J1972" t="s">
        <v>42</v>
      </c>
    </row>
    <row r="1973" spans="1:10" x14ac:dyDescent="0.3">
      <c r="A1973" t="s">
        <v>2004</v>
      </c>
      <c r="B1973">
        <v>1997</v>
      </c>
      <c r="C1973" t="s">
        <v>37</v>
      </c>
      <c r="D1973">
        <v>7</v>
      </c>
      <c r="E1973" s="13" t="s">
        <v>12547</v>
      </c>
      <c r="F1973">
        <v>0</v>
      </c>
      <c r="G1973" s="11">
        <v>27625.17</v>
      </c>
      <c r="H1973" t="s">
        <v>16</v>
      </c>
      <c r="I1973" t="s">
        <v>16</v>
      </c>
      <c r="J1973" t="s">
        <v>42</v>
      </c>
    </row>
    <row r="1974" spans="1:10" x14ac:dyDescent="0.3">
      <c r="A1974" t="s">
        <v>2005</v>
      </c>
      <c r="B1974">
        <v>1992</v>
      </c>
      <c r="C1974" t="s">
        <v>10</v>
      </c>
      <c r="D1974">
        <v>3</v>
      </c>
      <c r="E1974" s="13" t="s">
        <v>12548</v>
      </c>
      <c r="F1974">
        <v>0</v>
      </c>
      <c r="G1974" s="11">
        <v>27696.11</v>
      </c>
      <c r="H1974" t="s">
        <v>16</v>
      </c>
      <c r="I1974" t="s">
        <v>11</v>
      </c>
      <c r="J1974" t="s">
        <v>42</v>
      </c>
    </row>
    <row r="1975" spans="1:10" x14ac:dyDescent="0.3">
      <c r="A1975" t="s">
        <v>2006</v>
      </c>
      <c r="B1975">
        <v>2002</v>
      </c>
      <c r="C1975" t="s">
        <v>30</v>
      </c>
      <c r="D1975">
        <v>6</v>
      </c>
      <c r="E1975" s="13" t="s">
        <v>12549</v>
      </c>
      <c r="F1975">
        <v>1</v>
      </c>
      <c r="G1975" s="11">
        <v>27724.29</v>
      </c>
      <c r="H1975" t="s">
        <v>16</v>
      </c>
      <c r="I1975" t="s">
        <v>12</v>
      </c>
      <c r="J1975" t="s">
        <v>13</v>
      </c>
    </row>
    <row r="1976" spans="1:10" x14ac:dyDescent="0.3">
      <c r="A1976" t="s">
        <v>2007</v>
      </c>
      <c r="B1976">
        <v>1960</v>
      </c>
      <c r="C1976" t="s">
        <v>10</v>
      </c>
      <c r="D1976">
        <v>6</v>
      </c>
      <c r="E1976" s="13" t="s">
        <v>12550</v>
      </c>
      <c r="F1976">
        <v>0</v>
      </c>
      <c r="G1976" s="11">
        <v>27808.73</v>
      </c>
      <c r="H1976" t="s">
        <v>16</v>
      </c>
      <c r="I1976" t="s">
        <v>16</v>
      </c>
      <c r="J1976" t="s">
        <v>13</v>
      </c>
    </row>
    <row r="1977" spans="1:10" x14ac:dyDescent="0.3">
      <c r="A1977" t="s">
        <v>2008</v>
      </c>
      <c r="B1977">
        <v>1985</v>
      </c>
      <c r="C1977" t="s">
        <v>30</v>
      </c>
      <c r="D1977">
        <v>4</v>
      </c>
      <c r="E1977" s="13" t="s">
        <v>12551</v>
      </c>
      <c r="F1977">
        <v>3</v>
      </c>
      <c r="G1977" s="11">
        <v>27849.94</v>
      </c>
      <c r="H1977" t="s">
        <v>16</v>
      </c>
      <c r="I1977" t="s">
        <v>16</v>
      </c>
      <c r="J1977" t="s">
        <v>42</v>
      </c>
    </row>
    <row r="1978" spans="1:10" x14ac:dyDescent="0.3">
      <c r="A1978" t="s">
        <v>2009</v>
      </c>
      <c r="B1978">
        <v>1989</v>
      </c>
      <c r="C1978" t="s">
        <v>15</v>
      </c>
      <c r="D1978">
        <v>21</v>
      </c>
      <c r="E1978" s="13" t="s">
        <v>12552</v>
      </c>
      <c r="F1978">
        <v>3</v>
      </c>
      <c r="G1978" s="11">
        <v>27925.86</v>
      </c>
      <c r="H1978" t="s">
        <v>16</v>
      </c>
      <c r="I1978" t="s">
        <v>11</v>
      </c>
      <c r="J1978" t="s">
        <v>42</v>
      </c>
    </row>
    <row r="1979" spans="1:10" x14ac:dyDescent="0.3">
      <c r="A1979" t="s">
        <v>2010</v>
      </c>
      <c r="B1979">
        <v>1991</v>
      </c>
      <c r="C1979" t="s">
        <v>18</v>
      </c>
      <c r="D1979">
        <v>4</v>
      </c>
      <c r="E1979" s="13" t="s">
        <v>12553</v>
      </c>
      <c r="F1979">
        <v>3</v>
      </c>
      <c r="G1979" s="11">
        <v>27931.11</v>
      </c>
      <c r="H1979" t="s">
        <v>16</v>
      </c>
      <c r="I1979" t="s">
        <v>12</v>
      </c>
      <c r="J1979" t="s">
        <v>42</v>
      </c>
    </row>
    <row r="1980" spans="1:10" x14ac:dyDescent="0.3">
      <c r="A1980" t="s">
        <v>2011</v>
      </c>
      <c r="B1980">
        <v>1961</v>
      </c>
      <c r="C1980" t="s">
        <v>10</v>
      </c>
      <c r="D1980">
        <v>28</v>
      </c>
      <c r="E1980" s="13" t="s">
        <v>12554</v>
      </c>
      <c r="F1980">
        <v>3</v>
      </c>
      <c r="G1980" s="11">
        <v>27941.29</v>
      </c>
      <c r="H1980" t="s">
        <v>16</v>
      </c>
      <c r="I1980" t="s">
        <v>12</v>
      </c>
      <c r="J1980" t="s">
        <v>42</v>
      </c>
    </row>
    <row r="1981" spans="1:10" x14ac:dyDescent="0.3">
      <c r="A1981" t="s">
        <v>2012</v>
      </c>
      <c r="B1981">
        <v>1999</v>
      </c>
      <c r="C1981" t="s">
        <v>30</v>
      </c>
      <c r="D1981">
        <v>21</v>
      </c>
      <c r="E1981" s="13" t="s">
        <v>12555</v>
      </c>
      <c r="F1981">
        <v>0</v>
      </c>
      <c r="G1981" s="11">
        <v>27980.77</v>
      </c>
      <c r="H1981" t="s">
        <v>16</v>
      </c>
      <c r="I1981" t="s">
        <v>16</v>
      </c>
      <c r="J1981" t="s">
        <v>42</v>
      </c>
    </row>
    <row r="1982" spans="1:10" x14ac:dyDescent="0.3">
      <c r="A1982" t="s">
        <v>2013</v>
      </c>
      <c r="B1982">
        <v>1985</v>
      </c>
      <c r="C1982" t="s">
        <v>15</v>
      </c>
      <c r="D1982">
        <v>29</v>
      </c>
      <c r="E1982" s="13" t="s">
        <v>12556</v>
      </c>
      <c r="F1982">
        <v>3</v>
      </c>
      <c r="G1982" s="11">
        <v>28006.94</v>
      </c>
      <c r="H1982" t="s">
        <v>16</v>
      </c>
      <c r="I1982" t="s">
        <v>11</v>
      </c>
      <c r="J1982" t="s">
        <v>42</v>
      </c>
    </row>
    <row r="1983" spans="1:10" x14ac:dyDescent="0.3">
      <c r="A1983" t="s">
        <v>2014</v>
      </c>
      <c r="B1983">
        <v>1960</v>
      </c>
      <c r="C1983" t="s">
        <v>15</v>
      </c>
      <c r="D1983">
        <v>22</v>
      </c>
      <c r="E1983" s="13" t="s">
        <v>12557</v>
      </c>
      <c r="F1983">
        <v>0</v>
      </c>
      <c r="G1983" s="11">
        <v>28101.33</v>
      </c>
      <c r="H1983" t="s">
        <v>16</v>
      </c>
      <c r="I1983" t="s">
        <v>11</v>
      </c>
      <c r="J1983" t="s">
        <v>166</v>
      </c>
    </row>
    <row r="1984" spans="1:10" x14ac:dyDescent="0.3">
      <c r="A1984" t="s">
        <v>2015</v>
      </c>
      <c r="B1984">
        <v>1999</v>
      </c>
      <c r="C1984" t="s">
        <v>20</v>
      </c>
      <c r="D1984">
        <v>6</v>
      </c>
      <c r="E1984" s="13" t="s">
        <v>11788</v>
      </c>
      <c r="F1984">
        <v>0</v>
      </c>
      <c r="G1984" s="11">
        <v>28245.34</v>
      </c>
      <c r="H1984" t="s">
        <v>16</v>
      </c>
      <c r="I1984" t="s">
        <v>12</v>
      </c>
      <c r="J1984" t="s">
        <v>42</v>
      </c>
    </row>
    <row r="1985" spans="1:10" x14ac:dyDescent="0.3">
      <c r="A1985" t="s">
        <v>2016</v>
      </c>
      <c r="B1985">
        <v>1963</v>
      </c>
      <c r="C1985" t="s">
        <v>15</v>
      </c>
      <c r="D1985">
        <v>25</v>
      </c>
      <c r="E1985" s="13" t="s">
        <v>12096</v>
      </c>
      <c r="F1985">
        <v>1</v>
      </c>
      <c r="G1985" s="11">
        <v>28287.9</v>
      </c>
      <c r="H1985" t="s">
        <v>16</v>
      </c>
      <c r="I1985" t="s">
        <v>16</v>
      </c>
      <c r="J1985" t="s">
        <v>13</v>
      </c>
    </row>
    <row r="1986" spans="1:10" x14ac:dyDescent="0.3">
      <c r="A1986" t="s">
        <v>2017</v>
      </c>
      <c r="B1986">
        <v>1990</v>
      </c>
      <c r="C1986" t="s">
        <v>30</v>
      </c>
      <c r="D1986">
        <v>24</v>
      </c>
      <c r="E1986" s="13" t="s">
        <v>12558</v>
      </c>
      <c r="F1986">
        <v>3</v>
      </c>
      <c r="G1986" s="11">
        <v>28302.33</v>
      </c>
      <c r="H1986" t="s">
        <v>16</v>
      </c>
      <c r="I1986" t="s">
        <v>11</v>
      </c>
      <c r="J1986" t="s">
        <v>42</v>
      </c>
    </row>
    <row r="1987" spans="1:10" x14ac:dyDescent="0.3">
      <c r="A1987" t="s">
        <v>2018</v>
      </c>
      <c r="B1987">
        <v>1977</v>
      </c>
      <c r="C1987" t="s">
        <v>30</v>
      </c>
      <c r="D1987">
        <v>2</v>
      </c>
      <c r="E1987" s="13" t="s">
        <v>12559</v>
      </c>
      <c r="F1987">
        <v>1</v>
      </c>
      <c r="G1987" s="11">
        <v>28340.19</v>
      </c>
      <c r="H1987" t="s">
        <v>16</v>
      </c>
      <c r="I1987" t="s">
        <v>11</v>
      </c>
      <c r="J1987" t="s">
        <v>23</v>
      </c>
    </row>
    <row r="1988" spans="1:10" x14ac:dyDescent="0.3">
      <c r="A1988" t="s">
        <v>2019</v>
      </c>
      <c r="B1988">
        <v>1974</v>
      </c>
      <c r="C1988" t="s">
        <v>20</v>
      </c>
      <c r="D1988">
        <v>16</v>
      </c>
      <c r="E1988" s="13" t="s">
        <v>12560</v>
      </c>
      <c r="F1988">
        <v>1</v>
      </c>
      <c r="G1988" s="11">
        <v>28468.92</v>
      </c>
      <c r="H1988" t="s">
        <v>16</v>
      </c>
      <c r="I1988" t="s">
        <v>16</v>
      </c>
      <c r="J1988" t="s">
        <v>23</v>
      </c>
    </row>
    <row r="1989" spans="1:10" x14ac:dyDescent="0.3">
      <c r="A1989" t="s">
        <v>2020</v>
      </c>
      <c r="B1989">
        <v>1982</v>
      </c>
      <c r="C1989" t="s">
        <v>30</v>
      </c>
      <c r="D1989">
        <v>11</v>
      </c>
      <c r="E1989" s="13" t="s">
        <v>12561</v>
      </c>
      <c r="F1989">
        <v>1</v>
      </c>
      <c r="G1989" s="11">
        <v>28476.73</v>
      </c>
      <c r="H1989" t="s">
        <v>16</v>
      </c>
      <c r="I1989" t="s">
        <v>11</v>
      </c>
      <c r="J1989" t="s">
        <v>23</v>
      </c>
    </row>
    <row r="1990" spans="1:10" x14ac:dyDescent="0.3">
      <c r="A1990" t="s">
        <v>2021</v>
      </c>
      <c r="B1990">
        <v>1985</v>
      </c>
      <c r="C1990" t="s">
        <v>20</v>
      </c>
      <c r="D1990">
        <v>27</v>
      </c>
      <c r="E1990" s="13" t="s">
        <v>12562</v>
      </c>
      <c r="F1990">
        <v>3</v>
      </c>
      <c r="G1990" s="11">
        <v>28542.86</v>
      </c>
      <c r="H1990" t="s">
        <v>16</v>
      </c>
      <c r="I1990" t="s">
        <v>12</v>
      </c>
      <c r="J1990" t="s">
        <v>42</v>
      </c>
    </row>
    <row r="1991" spans="1:10" x14ac:dyDescent="0.3">
      <c r="A1991" t="s">
        <v>2022</v>
      </c>
      <c r="B1991">
        <v>1990</v>
      </c>
      <c r="C1991" t="s">
        <v>30</v>
      </c>
      <c r="D1991">
        <v>5</v>
      </c>
      <c r="E1991" s="13" t="s">
        <v>12563</v>
      </c>
      <c r="F1991">
        <v>3</v>
      </c>
      <c r="G1991" s="11">
        <v>28716.14</v>
      </c>
      <c r="H1991" t="s">
        <v>16</v>
      </c>
      <c r="I1991" t="s">
        <v>12</v>
      </c>
      <c r="J1991" t="s">
        <v>42</v>
      </c>
    </row>
    <row r="1992" spans="1:10" x14ac:dyDescent="0.3">
      <c r="A1992" t="s">
        <v>2023</v>
      </c>
      <c r="B1992">
        <v>1961</v>
      </c>
      <c r="C1992" t="s">
        <v>35</v>
      </c>
      <c r="D1992">
        <v>3</v>
      </c>
      <c r="E1992" s="13" t="s">
        <v>10902</v>
      </c>
      <c r="F1992">
        <v>1</v>
      </c>
      <c r="G1992" s="11">
        <v>28868.66</v>
      </c>
      <c r="H1992" t="s">
        <v>16</v>
      </c>
      <c r="I1992" t="s">
        <v>11</v>
      </c>
      <c r="J1992" t="s">
        <v>23</v>
      </c>
    </row>
    <row r="1993" spans="1:10" x14ac:dyDescent="0.3">
      <c r="A1993" t="s">
        <v>2024</v>
      </c>
      <c r="B1993">
        <v>1962</v>
      </c>
      <c r="C1993" t="s">
        <v>10</v>
      </c>
      <c r="D1993">
        <v>25</v>
      </c>
      <c r="E1993" s="13" t="s">
        <v>12146</v>
      </c>
      <c r="F1993">
        <v>0</v>
      </c>
      <c r="G1993" s="11">
        <v>28923.14</v>
      </c>
      <c r="H1993" t="s">
        <v>16</v>
      </c>
      <c r="I1993" t="s">
        <v>16</v>
      </c>
      <c r="J1993" t="s">
        <v>23</v>
      </c>
    </row>
    <row r="1994" spans="1:10" x14ac:dyDescent="0.3">
      <c r="A1994" t="s">
        <v>2025</v>
      </c>
      <c r="B1994">
        <v>1959</v>
      </c>
      <c r="C1994" t="s">
        <v>30</v>
      </c>
      <c r="D1994">
        <v>5</v>
      </c>
      <c r="E1994" s="13" t="s">
        <v>12564</v>
      </c>
      <c r="F1994">
        <v>0</v>
      </c>
      <c r="G1994" s="11">
        <v>28950.47</v>
      </c>
      <c r="H1994" t="s">
        <v>16</v>
      </c>
      <c r="I1994" t="s">
        <v>16</v>
      </c>
      <c r="J1994" t="s">
        <v>23</v>
      </c>
    </row>
    <row r="1995" spans="1:10" x14ac:dyDescent="0.3">
      <c r="A1995" t="s">
        <v>2026</v>
      </c>
      <c r="B1995">
        <v>2003</v>
      </c>
      <c r="C1995" t="s">
        <v>20</v>
      </c>
      <c r="D1995">
        <v>1</v>
      </c>
      <c r="E1995" s="13" t="s">
        <v>11542</v>
      </c>
      <c r="F1995">
        <v>0</v>
      </c>
      <c r="G1995" s="11">
        <v>28998.68</v>
      </c>
      <c r="H1995" t="s">
        <v>16</v>
      </c>
      <c r="I1995" t="s">
        <v>12</v>
      </c>
      <c r="J1995" t="s">
        <v>42</v>
      </c>
    </row>
    <row r="1996" spans="1:10" x14ac:dyDescent="0.3">
      <c r="A1996" t="s">
        <v>2027</v>
      </c>
      <c r="B1996">
        <v>1992</v>
      </c>
      <c r="C1996" t="s">
        <v>10</v>
      </c>
      <c r="D1996">
        <v>7</v>
      </c>
      <c r="E1996" s="13" t="s">
        <v>12224</v>
      </c>
      <c r="F1996">
        <v>0</v>
      </c>
      <c r="G1996" s="11">
        <v>29007.82</v>
      </c>
      <c r="H1996" t="s">
        <v>16</v>
      </c>
      <c r="I1996" t="s">
        <v>12</v>
      </c>
      <c r="J1996" t="s">
        <v>42</v>
      </c>
    </row>
    <row r="1997" spans="1:10" x14ac:dyDescent="0.3">
      <c r="A1997" t="s">
        <v>2028</v>
      </c>
      <c r="B1997">
        <v>1980</v>
      </c>
      <c r="C1997" t="s">
        <v>10</v>
      </c>
      <c r="D1997">
        <v>14</v>
      </c>
      <c r="E1997" s="13" t="s">
        <v>12565</v>
      </c>
      <c r="F1997">
        <v>2</v>
      </c>
      <c r="G1997" s="11">
        <v>29114.21</v>
      </c>
      <c r="H1997" t="s">
        <v>16</v>
      </c>
      <c r="I1997" t="s">
        <v>12</v>
      </c>
      <c r="J1997" t="s">
        <v>42</v>
      </c>
    </row>
    <row r="1998" spans="1:10" x14ac:dyDescent="0.3">
      <c r="A1998" t="s">
        <v>2029</v>
      </c>
      <c r="B1998">
        <v>1978</v>
      </c>
      <c r="C1998" t="s">
        <v>15</v>
      </c>
      <c r="D1998">
        <v>29</v>
      </c>
      <c r="E1998" s="13" t="s">
        <v>12566</v>
      </c>
      <c r="F1998">
        <v>2</v>
      </c>
      <c r="G1998" s="11">
        <v>29114.77</v>
      </c>
      <c r="H1998" t="s">
        <v>16</v>
      </c>
      <c r="I1998" t="s">
        <v>16</v>
      </c>
      <c r="J1998" t="s">
        <v>42</v>
      </c>
    </row>
    <row r="1999" spans="1:10" x14ac:dyDescent="0.3">
      <c r="A1999" t="s">
        <v>2030</v>
      </c>
      <c r="B1999">
        <v>1961</v>
      </c>
      <c r="C1999" t="s">
        <v>30</v>
      </c>
      <c r="D1999">
        <v>24</v>
      </c>
      <c r="E1999" s="13" t="s">
        <v>12567</v>
      </c>
      <c r="F1999">
        <v>0</v>
      </c>
      <c r="G1999" s="11">
        <v>29141.360000000001</v>
      </c>
      <c r="H1999" t="s">
        <v>16</v>
      </c>
      <c r="I1999" t="s">
        <v>12</v>
      </c>
      <c r="J1999" t="s">
        <v>23</v>
      </c>
    </row>
    <row r="2000" spans="1:10" x14ac:dyDescent="0.3">
      <c r="A2000" t="s">
        <v>2031</v>
      </c>
      <c r="B2000">
        <v>1976</v>
      </c>
      <c r="C2000" t="s">
        <v>15</v>
      </c>
      <c r="D2000">
        <v>8</v>
      </c>
      <c r="E2000" s="13" t="s">
        <v>12568</v>
      </c>
      <c r="F2000">
        <v>2</v>
      </c>
      <c r="G2000" s="11">
        <v>29160.39</v>
      </c>
      <c r="H2000" t="s">
        <v>16</v>
      </c>
      <c r="I2000" t="s">
        <v>11</v>
      </c>
      <c r="J2000" t="s">
        <v>42</v>
      </c>
    </row>
    <row r="2001" spans="1:10" x14ac:dyDescent="0.3">
      <c r="A2001" t="s">
        <v>2032</v>
      </c>
      <c r="B2001">
        <v>1969</v>
      </c>
      <c r="C2001" t="s">
        <v>10</v>
      </c>
      <c r="D2001">
        <v>9</v>
      </c>
      <c r="E2001" s="13" t="s">
        <v>12569</v>
      </c>
      <c r="F2001">
        <v>2</v>
      </c>
      <c r="G2001" s="11">
        <v>29186.48</v>
      </c>
      <c r="H2001" t="s">
        <v>16</v>
      </c>
      <c r="I2001" t="s">
        <v>12</v>
      </c>
      <c r="J2001" t="s">
        <v>247</v>
      </c>
    </row>
    <row r="2002" spans="1:10" x14ac:dyDescent="0.3">
      <c r="A2002" t="s">
        <v>2033</v>
      </c>
      <c r="B2002">
        <v>1978</v>
      </c>
      <c r="C2002" t="s">
        <v>10</v>
      </c>
      <c r="D2002">
        <v>21</v>
      </c>
      <c r="E2002" s="13" t="s">
        <v>12570</v>
      </c>
      <c r="F2002">
        <v>2</v>
      </c>
      <c r="G2002" s="11">
        <v>29227.599999999999</v>
      </c>
      <c r="H2002" t="s">
        <v>16</v>
      </c>
      <c r="I2002" t="s">
        <v>12</v>
      </c>
      <c r="J2002" t="s">
        <v>23</v>
      </c>
    </row>
    <row r="2003" spans="1:10" x14ac:dyDescent="0.3">
      <c r="A2003" t="s">
        <v>2034</v>
      </c>
      <c r="B2003">
        <v>1958</v>
      </c>
      <c r="C2003" t="s">
        <v>18</v>
      </c>
      <c r="D2003">
        <v>5</v>
      </c>
      <c r="E2003" s="13" t="s">
        <v>12571</v>
      </c>
      <c r="F2003">
        <v>0</v>
      </c>
      <c r="G2003" s="11">
        <v>29330.98</v>
      </c>
      <c r="H2003" t="s">
        <v>16</v>
      </c>
      <c r="I2003" t="s">
        <v>11</v>
      </c>
      <c r="J2003" t="s">
        <v>23</v>
      </c>
    </row>
    <row r="2004" spans="1:10" x14ac:dyDescent="0.3">
      <c r="A2004" t="s">
        <v>2035</v>
      </c>
      <c r="B2004">
        <v>1985</v>
      </c>
      <c r="C2004" t="s">
        <v>15</v>
      </c>
      <c r="D2004">
        <v>7</v>
      </c>
      <c r="E2004" s="13" t="s">
        <v>12572</v>
      </c>
      <c r="F2004">
        <v>3</v>
      </c>
      <c r="G2004" s="11">
        <v>29352.560000000001</v>
      </c>
      <c r="H2004" t="s">
        <v>16</v>
      </c>
      <c r="I2004" t="s">
        <v>16</v>
      </c>
      <c r="J2004" t="s">
        <v>42</v>
      </c>
    </row>
    <row r="2005" spans="1:10" x14ac:dyDescent="0.3">
      <c r="A2005" t="s">
        <v>2036</v>
      </c>
      <c r="B2005">
        <v>1987</v>
      </c>
      <c r="C2005" t="s">
        <v>10</v>
      </c>
      <c r="D2005">
        <v>16</v>
      </c>
      <c r="E2005" s="13" t="s">
        <v>12573</v>
      </c>
      <c r="F2005">
        <v>3</v>
      </c>
      <c r="G2005" s="11">
        <v>29443.59</v>
      </c>
      <c r="H2005" t="s">
        <v>16</v>
      </c>
      <c r="I2005" t="s">
        <v>16</v>
      </c>
      <c r="J2005" t="s">
        <v>42</v>
      </c>
    </row>
    <row r="2006" spans="1:10" x14ac:dyDescent="0.3">
      <c r="A2006" t="s">
        <v>2037</v>
      </c>
      <c r="B2006">
        <v>1959</v>
      </c>
      <c r="C2006" t="s">
        <v>37</v>
      </c>
      <c r="D2006">
        <v>20</v>
      </c>
      <c r="E2006" s="13" t="s">
        <v>12574</v>
      </c>
      <c r="F2006">
        <v>0</v>
      </c>
      <c r="G2006" s="11">
        <v>29523.17</v>
      </c>
      <c r="H2006" t="s">
        <v>16</v>
      </c>
      <c r="I2006" t="s">
        <v>11</v>
      </c>
      <c r="J2006" t="s">
        <v>247</v>
      </c>
    </row>
    <row r="2007" spans="1:10" x14ac:dyDescent="0.3">
      <c r="A2007" t="s">
        <v>2038</v>
      </c>
      <c r="B2007">
        <v>1975</v>
      </c>
      <c r="C2007" t="s">
        <v>15</v>
      </c>
      <c r="D2007">
        <v>3</v>
      </c>
      <c r="E2007" s="13" t="s">
        <v>10991</v>
      </c>
      <c r="F2007">
        <v>1</v>
      </c>
      <c r="G2007" s="11">
        <v>29583.8</v>
      </c>
      <c r="H2007" t="s">
        <v>16</v>
      </c>
      <c r="I2007" t="s">
        <v>16</v>
      </c>
      <c r="J2007" t="s">
        <v>42</v>
      </c>
    </row>
    <row r="2008" spans="1:10" x14ac:dyDescent="0.3">
      <c r="A2008" t="s">
        <v>2039</v>
      </c>
      <c r="B2008">
        <v>1993</v>
      </c>
      <c r="C2008" t="s">
        <v>10</v>
      </c>
      <c r="D2008">
        <v>27</v>
      </c>
      <c r="E2008" s="13" t="s">
        <v>12575</v>
      </c>
      <c r="F2008">
        <v>0</v>
      </c>
      <c r="G2008" s="11">
        <v>29622.69</v>
      </c>
      <c r="H2008" t="s">
        <v>16</v>
      </c>
      <c r="I2008" t="s">
        <v>16</v>
      </c>
      <c r="J2008" t="s">
        <v>42</v>
      </c>
    </row>
    <row r="2009" spans="1:10" x14ac:dyDescent="0.3">
      <c r="A2009" t="s">
        <v>2040</v>
      </c>
      <c r="B2009">
        <v>1973</v>
      </c>
      <c r="C2009" t="s">
        <v>35</v>
      </c>
      <c r="D2009">
        <v>23</v>
      </c>
      <c r="E2009" s="13" t="s">
        <v>12576</v>
      </c>
      <c r="F2009">
        <v>0</v>
      </c>
      <c r="G2009" s="11">
        <v>29757.69</v>
      </c>
      <c r="H2009" t="s">
        <v>16</v>
      </c>
      <c r="I2009" t="s">
        <v>12</v>
      </c>
      <c r="J2009" t="s">
        <v>42</v>
      </c>
    </row>
    <row r="2010" spans="1:10" x14ac:dyDescent="0.3">
      <c r="A2010" t="s">
        <v>2041</v>
      </c>
      <c r="B2010">
        <v>1998</v>
      </c>
      <c r="C2010" t="s">
        <v>18</v>
      </c>
      <c r="D2010">
        <v>20</v>
      </c>
      <c r="E2010" s="13" t="s">
        <v>12577</v>
      </c>
      <c r="F2010">
        <v>0</v>
      </c>
      <c r="G2010" s="11">
        <v>29760.6</v>
      </c>
      <c r="H2010" t="s">
        <v>16</v>
      </c>
      <c r="I2010" t="s">
        <v>11</v>
      </c>
      <c r="J2010" t="s">
        <v>42</v>
      </c>
    </row>
    <row r="2011" spans="1:10" x14ac:dyDescent="0.3">
      <c r="A2011" t="s">
        <v>2042</v>
      </c>
      <c r="B2011">
        <v>1981</v>
      </c>
      <c r="C2011" t="s">
        <v>35</v>
      </c>
      <c r="D2011">
        <v>13</v>
      </c>
      <c r="E2011" s="13" t="s">
        <v>12578</v>
      </c>
      <c r="F2011">
        <v>1</v>
      </c>
      <c r="G2011" s="11">
        <v>29816.639999999999</v>
      </c>
      <c r="H2011" t="s">
        <v>16</v>
      </c>
      <c r="I2011" t="s">
        <v>11</v>
      </c>
      <c r="J2011" t="s">
        <v>42</v>
      </c>
    </row>
    <row r="2012" spans="1:10" x14ac:dyDescent="0.3">
      <c r="A2012" t="s">
        <v>2043</v>
      </c>
      <c r="B2012">
        <v>1982</v>
      </c>
      <c r="C2012" t="s">
        <v>37</v>
      </c>
      <c r="D2012">
        <v>29</v>
      </c>
      <c r="E2012" s="13" t="s">
        <v>12579</v>
      </c>
      <c r="F2012">
        <v>3</v>
      </c>
      <c r="G2012" s="11">
        <v>29818.76</v>
      </c>
      <c r="H2012" t="s">
        <v>16</v>
      </c>
      <c r="I2012" t="s">
        <v>16</v>
      </c>
      <c r="J2012" t="s">
        <v>23</v>
      </c>
    </row>
    <row r="2013" spans="1:10" x14ac:dyDescent="0.3">
      <c r="A2013" t="s">
        <v>2044</v>
      </c>
      <c r="B2013">
        <v>1989</v>
      </c>
      <c r="C2013" t="s">
        <v>30</v>
      </c>
      <c r="D2013">
        <v>30</v>
      </c>
      <c r="E2013" s="13" t="s">
        <v>11713</v>
      </c>
      <c r="F2013">
        <v>3</v>
      </c>
      <c r="G2013" s="11">
        <v>29852.48</v>
      </c>
      <c r="H2013" t="s">
        <v>16</v>
      </c>
      <c r="I2013" t="s">
        <v>12</v>
      </c>
      <c r="J2013" t="s">
        <v>42</v>
      </c>
    </row>
    <row r="2014" spans="1:10" x14ac:dyDescent="0.3">
      <c r="A2014" t="s">
        <v>2045</v>
      </c>
      <c r="B2014">
        <v>1975</v>
      </c>
      <c r="C2014" t="s">
        <v>35</v>
      </c>
      <c r="D2014">
        <v>19</v>
      </c>
      <c r="E2014" s="13" t="s">
        <v>12580</v>
      </c>
      <c r="F2014">
        <v>1</v>
      </c>
      <c r="G2014" s="11">
        <v>29899.25</v>
      </c>
      <c r="H2014" t="s">
        <v>16</v>
      </c>
      <c r="I2014" t="s">
        <v>12</v>
      </c>
      <c r="J2014" t="s">
        <v>42</v>
      </c>
    </row>
    <row r="2015" spans="1:10" x14ac:dyDescent="0.3">
      <c r="A2015" t="s">
        <v>2046</v>
      </c>
      <c r="B2015">
        <v>1988</v>
      </c>
      <c r="C2015" t="s">
        <v>30</v>
      </c>
      <c r="D2015">
        <v>30</v>
      </c>
      <c r="E2015" s="13" t="s">
        <v>11583</v>
      </c>
      <c r="F2015">
        <v>3</v>
      </c>
      <c r="G2015" s="11">
        <v>29929.56</v>
      </c>
      <c r="H2015" t="s">
        <v>16</v>
      </c>
      <c r="I2015" t="s">
        <v>16</v>
      </c>
      <c r="J2015" t="s">
        <v>42</v>
      </c>
    </row>
    <row r="2016" spans="1:10" x14ac:dyDescent="0.3">
      <c r="A2016" t="s">
        <v>2047</v>
      </c>
      <c r="B2016">
        <v>1976</v>
      </c>
      <c r="C2016" t="s">
        <v>18</v>
      </c>
      <c r="D2016">
        <v>12</v>
      </c>
      <c r="E2016" s="13" t="s">
        <v>12581</v>
      </c>
      <c r="F2016">
        <v>2</v>
      </c>
      <c r="G2016" s="11">
        <v>29933.75</v>
      </c>
      <c r="H2016" t="s">
        <v>16</v>
      </c>
      <c r="I2016" t="s">
        <v>16</v>
      </c>
      <c r="J2016" t="s">
        <v>42</v>
      </c>
    </row>
    <row r="2017" spans="1:10" x14ac:dyDescent="0.3">
      <c r="A2017" t="s">
        <v>2048</v>
      </c>
      <c r="B2017">
        <v>1991</v>
      </c>
      <c r="C2017" t="s">
        <v>37</v>
      </c>
      <c r="D2017">
        <v>5</v>
      </c>
      <c r="E2017" s="13" t="s">
        <v>12582</v>
      </c>
      <c r="F2017">
        <v>3</v>
      </c>
      <c r="G2017" s="11">
        <v>29969.67</v>
      </c>
      <c r="H2017" t="s">
        <v>16</v>
      </c>
      <c r="I2017" t="s">
        <v>16</v>
      </c>
      <c r="J2017" t="s">
        <v>42</v>
      </c>
    </row>
    <row r="2018" spans="1:10" x14ac:dyDescent="0.3">
      <c r="A2018" t="s">
        <v>2049</v>
      </c>
      <c r="B2018">
        <v>1981</v>
      </c>
      <c r="C2018" t="s">
        <v>35</v>
      </c>
      <c r="D2018">
        <v>4</v>
      </c>
      <c r="E2018" s="13" t="s">
        <v>12583</v>
      </c>
      <c r="F2018">
        <v>1</v>
      </c>
      <c r="G2018" s="11">
        <v>30026.87</v>
      </c>
      <c r="H2018" t="s">
        <v>11</v>
      </c>
      <c r="I2018" t="s">
        <v>12</v>
      </c>
      <c r="J2018" t="s">
        <v>23</v>
      </c>
    </row>
    <row r="2019" spans="1:10" x14ac:dyDescent="0.3">
      <c r="A2019" t="s">
        <v>2050</v>
      </c>
      <c r="B2019">
        <v>1967</v>
      </c>
      <c r="C2019" t="s">
        <v>18</v>
      </c>
      <c r="D2019">
        <v>16</v>
      </c>
      <c r="E2019" s="13" t="s">
        <v>12584</v>
      </c>
      <c r="F2019">
        <v>3</v>
      </c>
      <c r="G2019" s="11">
        <v>30063.58</v>
      </c>
      <c r="H2019" t="s">
        <v>16</v>
      </c>
      <c r="I2019" t="s">
        <v>16</v>
      </c>
      <c r="J2019" t="s">
        <v>23</v>
      </c>
    </row>
    <row r="2020" spans="1:10" x14ac:dyDescent="0.3">
      <c r="A2020" t="s">
        <v>2051</v>
      </c>
      <c r="B2020">
        <v>1979</v>
      </c>
      <c r="C2020" t="s">
        <v>20</v>
      </c>
      <c r="D2020">
        <v>2</v>
      </c>
      <c r="E2020" s="13" t="s">
        <v>12585</v>
      </c>
      <c r="F2020">
        <v>2</v>
      </c>
      <c r="G2020" s="11">
        <v>30095.97</v>
      </c>
      <c r="H2020" t="s">
        <v>11</v>
      </c>
      <c r="I2020" t="s">
        <v>12</v>
      </c>
      <c r="J2020" t="s">
        <v>42</v>
      </c>
    </row>
    <row r="2021" spans="1:10" x14ac:dyDescent="0.3">
      <c r="A2021" t="s">
        <v>2052</v>
      </c>
      <c r="B2021">
        <v>1971</v>
      </c>
      <c r="C2021" t="s">
        <v>30</v>
      </c>
      <c r="D2021">
        <v>25</v>
      </c>
      <c r="E2021" s="13" t="s">
        <v>12098</v>
      </c>
      <c r="F2021">
        <v>0</v>
      </c>
      <c r="G2021" s="11">
        <v>30134.75</v>
      </c>
      <c r="H2021" t="s">
        <v>11</v>
      </c>
      <c r="I2021" t="s">
        <v>12</v>
      </c>
      <c r="J2021" t="s">
        <v>42</v>
      </c>
    </row>
    <row r="2022" spans="1:10" x14ac:dyDescent="0.3">
      <c r="A2022" t="s">
        <v>2053</v>
      </c>
      <c r="B2022">
        <v>1958</v>
      </c>
      <c r="C2022" t="s">
        <v>35</v>
      </c>
      <c r="D2022">
        <v>11</v>
      </c>
      <c r="E2022" s="13" t="s">
        <v>12586</v>
      </c>
      <c r="F2022">
        <v>1</v>
      </c>
      <c r="G2022" s="11">
        <v>30166.62</v>
      </c>
      <c r="H2022" t="s">
        <v>16</v>
      </c>
      <c r="I2022" t="s">
        <v>12</v>
      </c>
      <c r="J2022" t="s">
        <v>23</v>
      </c>
    </row>
    <row r="2023" spans="1:10" x14ac:dyDescent="0.3">
      <c r="A2023" t="s">
        <v>2054</v>
      </c>
      <c r="B2023">
        <v>1963</v>
      </c>
      <c r="C2023" t="s">
        <v>20</v>
      </c>
      <c r="D2023">
        <v>13</v>
      </c>
      <c r="E2023" s="13" t="s">
        <v>12587</v>
      </c>
      <c r="F2023">
        <v>3</v>
      </c>
      <c r="G2023" s="11">
        <v>30184.94</v>
      </c>
      <c r="H2023" t="s">
        <v>16</v>
      </c>
      <c r="I2023" t="s">
        <v>16</v>
      </c>
      <c r="J2023" t="s">
        <v>276</v>
      </c>
    </row>
    <row r="2024" spans="1:10" x14ac:dyDescent="0.3">
      <c r="A2024" t="s">
        <v>2055</v>
      </c>
      <c r="B2024">
        <v>1962</v>
      </c>
      <c r="C2024" t="s">
        <v>20</v>
      </c>
      <c r="D2024">
        <v>15</v>
      </c>
      <c r="E2024" s="13" t="s">
        <v>12588</v>
      </c>
      <c r="F2024">
        <v>0</v>
      </c>
      <c r="G2024" s="11">
        <v>30260</v>
      </c>
      <c r="H2024" t="s">
        <v>16</v>
      </c>
      <c r="I2024" t="s">
        <v>16</v>
      </c>
      <c r="J2024" t="s">
        <v>276</v>
      </c>
    </row>
    <row r="2025" spans="1:10" x14ac:dyDescent="0.3">
      <c r="A2025" t="s">
        <v>2056</v>
      </c>
      <c r="B2025">
        <v>1972</v>
      </c>
      <c r="C2025" t="s">
        <v>10</v>
      </c>
      <c r="D2025">
        <v>24</v>
      </c>
      <c r="E2025" s="13" t="s">
        <v>11699</v>
      </c>
      <c r="F2025">
        <v>2</v>
      </c>
      <c r="G2025" s="11">
        <v>30284.639999999999</v>
      </c>
      <c r="H2025" t="s">
        <v>16</v>
      </c>
      <c r="I2025" t="s">
        <v>16</v>
      </c>
      <c r="J2025" t="s">
        <v>23</v>
      </c>
    </row>
    <row r="2026" spans="1:10" x14ac:dyDescent="0.3">
      <c r="A2026" t="s">
        <v>2057</v>
      </c>
      <c r="B2026">
        <v>2004</v>
      </c>
      <c r="C2026" t="s">
        <v>18</v>
      </c>
      <c r="D2026">
        <v>1</v>
      </c>
      <c r="E2026" s="13" t="s">
        <v>12589</v>
      </c>
      <c r="F2026">
        <v>0</v>
      </c>
      <c r="G2026" s="11">
        <v>30328.27</v>
      </c>
      <c r="H2026" t="s">
        <v>11</v>
      </c>
      <c r="I2026" t="s">
        <v>11</v>
      </c>
      <c r="J2026" t="s">
        <v>42</v>
      </c>
    </row>
    <row r="2027" spans="1:10" x14ac:dyDescent="0.3">
      <c r="A2027" t="s">
        <v>2058</v>
      </c>
      <c r="B2027">
        <v>1969</v>
      </c>
      <c r="C2027" t="s">
        <v>10</v>
      </c>
      <c r="D2027">
        <v>30</v>
      </c>
      <c r="E2027" s="13" t="s">
        <v>11374</v>
      </c>
      <c r="F2027">
        <v>0</v>
      </c>
      <c r="G2027" s="11">
        <v>30366.93</v>
      </c>
      <c r="H2027" t="s">
        <v>11</v>
      </c>
      <c r="I2027" t="s">
        <v>11</v>
      </c>
      <c r="J2027" t="s">
        <v>42</v>
      </c>
    </row>
    <row r="2028" spans="1:10" x14ac:dyDescent="0.3">
      <c r="A2028" t="s">
        <v>2059</v>
      </c>
      <c r="B2028">
        <v>1976</v>
      </c>
      <c r="C2028" t="s">
        <v>20</v>
      </c>
      <c r="D2028">
        <v>3</v>
      </c>
      <c r="E2028" s="13" t="s">
        <v>12590</v>
      </c>
      <c r="F2028">
        <v>2</v>
      </c>
      <c r="G2028" s="11">
        <v>30409.53</v>
      </c>
      <c r="H2028" t="s">
        <v>11</v>
      </c>
      <c r="I2028" t="s">
        <v>12</v>
      </c>
      <c r="J2028" t="s">
        <v>23</v>
      </c>
    </row>
    <row r="2029" spans="1:10" x14ac:dyDescent="0.3">
      <c r="A2029" t="s">
        <v>2060</v>
      </c>
      <c r="B2029">
        <v>1998</v>
      </c>
      <c r="C2029" t="s">
        <v>37</v>
      </c>
      <c r="D2029">
        <v>28</v>
      </c>
      <c r="E2029" s="13" t="s">
        <v>12296</v>
      </c>
      <c r="F2029">
        <v>0</v>
      </c>
      <c r="G2029" s="11">
        <v>30422.03</v>
      </c>
      <c r="H2029" t="s">
        <v>11</v>
      </c>
      <c r="I2029" t="s">
        <v>12</v>
      </c>
      <c r="J2029" t="s">
        <v>42</v>
      </c>
    </row>
    <row r="2030" spans="1:10" x14ac:dyDescent="0.3">
      <c r="A2030" t="s">
        <v>2061</v>
      </c>
      <c r="B2030">
        <v>1983</v>
      </c>
      <c r="C2030" t="s">
        <v>20</v>
      </c>
      <c r="D2030">
        <v>3</v>
      </c>
      <c r="E2030" s="13" t="s">
        <v>12591</v>
      </c>
      <c r="F2030">
        <v>3</v>
      </c>
      <c r="G2030" s="11">
        <v>30457.37</v>
      </c>
      <c r="H2030" t="s">
        <v>11</v>
      </c>
      <c r="I2030" t="s">
        <v>16</v>
      </c>
      <c r="J2030" t="s">
        <v>23</v>
      </c>
    </row>
    <row r="2031" spans="1:10" x14ac:dyDescent="0.3">
      <c r="A2031" t="s">
        <v>2062</v>
      </c>
      <c r="B2031">
        <v>1986</v>
      </c>
      <c r="C2031" t="s">
        <v>35</v>
      </c>
      <c r="D2031">
        <v>10</v>
      </c>
      <c r="E2031" s="13" t="s">
        <v>12478</v>
      </c>
      <c r="F2031">
        <v>3</v>
      </c>
      <c r="G2031" s="11">
        <v>30530.5</v>
      </c>
      <c r="H2031" t="s">
        <v>11</v>
      </c>
      <c r="I2031" t="s">
        <v>16</v>
      </c>
      <c r="J2031" t="s">
        <v>42</v>
      </c>
    </row>
    <row r="2032" spans="1:10" x14ac:dyDescent="0.3">
      <c r="A2032" t="s">
        <v>2063</v>
      </c>
      <c r="B2032">
        <v>1970</v>
      </c>
      <c r="C2032" t="s">
        <v>15</v>
      </c>
      <c r="D2032">
        <v>11</v>
      </c>
      <c r="E2032" s="13" t="s">
        <v>12058</v>
      </c>
      <c r="F2032">
        <v>0</v>
      </c>
      <c r="G2032" s="11">
        <v>30625.65</v>
      </c>
      <c r="H2032" t="s">
        <v>11</v>
      </c>
      <c r="I2032" t="s">
        <v>12</v>
      </c>
      <c r="J2032" t="s">
        <v>42</v>
      </c>
    </row>
    <row r="2033" spans="1:10" x14ac:dyDescent="0.3">
      <c r="A2033" t="s">
        <v>2064</v>
      </c>
      <c r="B2033">
        <v>1999</v>
      </c>
      <c r="C2033" t="s">
        <v>20</v>
      </c>
      <c r="D2033">
        <v>21</v>
      </c>
      <c r="E2033" s="13" t="s">
        <v>12592</v>
      </c>
      <c r="F2033">
        <v>0</v>
      </c>
      <c r="G2033" s="11">
        <v>30697.71</v>
      </c>
      <c r="H2033" t="s">
        <v>16</v>
      </c>
      <c r="I2033" t="s">
        <v>11</v>
      </c>
      <c r="J2033" t="s">
        <v>42</v>
      </c>
    </row>
    <row r="2034" spans="1:10" x14ac:dyDescent="0.3">
      <c r="A2034" t="s">
        <v>2065</v>
      </c>
      <c r="B2034">
        <v>1983</v>
      </c>
      <c r="C2034" t="s">
        <v>30</v>
      </c>
      <c r="D2034">
        <v>21</v>
      </c>
      <c r="E2034" s="13" t="s">
        <v>12157</v>
      </c>
      <c r="F2034">
        <v>3</v>
      </c>
      <c r="G2034" s="11">
        <v>30724.44</v>
      </c>
      <c r="H2034" t="s">
        <v>11</v>
      </c>
      <c r="I2034" t="s">
        <v>12</v>
      </c>
      <c r="J2034" t="s">
        <v>42</v>
      </c>
    </row>
    <row r="2035" spans="1:10" x14ac:dyDescent="0.3">
      <c r="A2035" t="s">
        <v>2066</v>
      </c>
      <c r="B2035">
        <v>1988</v>
      </c>
      <c r="C2035" t="s">
        <v>20</v>
      </c>
      <c r="D2035">
        <v>5</v>
      </c>
      <c r="E2035" s="13" t="s">
        <v>12593</v>
      </c>
      <c r="F2035">
        <v>3</v>
      </c>
      <c r="G2035" s="11">
        <v>30763.01</v>
      </c>
      <c r="H2035" t="s">
        <v>11</v>
      </c>
      <c r="I2035" t="s">
        <v>16</v>
      </c>
      <c r="J2035" t="s">
        <v>42</v>
      </c>
    </row>
    <row r="2036" spans="1:10" x14ac:dyDescent="0.3">
      <c r="A2036" t="s">
        <v>2067</v>
      </c>
      <c r="B2036">
        <v>1961</v>
      </c>
      <c r="C2036" t="s">
        <v>20</v>
      </c>
      <c r="D2036">
        <v>9</v>
      </c>
      <c r="E2036" s="13" t="s">
        <v>12594</v>
      </c>
      <c r="F2036">
        <v>3</v>
      </c>
      <c r="G2036" s="11">
        <v>30942.19</v>
      </c>
      <c r="H2036" t="s">
        <v>11</v>
      </c>
      <c r="I2036" t="s">
        <v>11</v>
      </c>
      <c r="J2036" t="s">
        <v>13</v>
      </c>
    </row>
    <row r="2037" spans="1:10" x14ac:dyDescent="0.3">
      <c r="A2037" t="s">
        <v>2068</v>
      </c>
      <c r="B2037">
        <v>2004</v>
      </c>
      <c r="C2037" t="s">
        <v>15</v>
      </c>
      <c r="D2037">
        <v>9</v>
      </c>
      <c r="E2037" s="13" t="s">
        <v>12412</v>
      </c>
      <c r="F2037">
        <v>0</v>
      </c>
      <c r="G2037" s="11">
        <v>31196.61</v>
      </c>
      <c r="H2037" t="s">
        <v>11</v>
      </c>
      <c r="I2037" t="s">
        <v>16</v>
      </c>
      <c r="J2037" t="s">
        <v>42</v>
      </c>
    </row>
    <row r="2038" spans="1:10" x14ac:dyDescent="0.3">
      <c r="A2038" t="s">
        <v>2069</v>
      </c>
      <c r="B2038">
        <v>2000</v>
      </c>
      <c r="C2038" t="s">
        <v>10</v>
      </c>
      <c r="D2038">
        <v>22</v>
      </c>
      <c r="E2038" s="13" t="s">
        <v>12595</v>
      </c>
      <c r="F2038">
        <v>0</v>
      </c>
      <c r="G2038" s="11">
        <v>31234.560000000001</v>
      </c>
      <c r="H2038" t="s">
        <v>16</v>
      </c>
      <c r="I2038" t="s">
        <v>16</v>
      </c>
      <c r="J2038" t="s">
        <v>42</v>
      </c>
    </row>
    <row r="2039" spans="1:10" x14ac:dyDescent="0.3">
      <c r="A2039" t="s">
        <v>2070</v>
      </c>
      <c r="B2039">
        <v>1968</v>
      </c>
      <c r="C2039" t="s">
        <v>10</v>
      </c>
      <c r="D2039">
        <v>9</v>
      </c>
      <c r="E2039" s="13" t="s">
        <v>11837</v>
      </c>
      <c r="F2039">
        <v>0</v>
      </c>
      <c r="G2039" s="11">
        <v>31322.53</v>
      </c>
      <c r="H2039" t="s">
        <v>11</v>
      </c>
      <c r="I2039" t="s">
        <v>16</v>
      </c>
      <c r="J2039" t="s">
        <v>42</v>
      </c>
    </row>
    <row r="2040" spans="1:10" x14ac:dyDescent="0.3">
      <c r="A2040" t="s">
        <v>2071</v>
      </c>
      <c r="B2040">
        <v>1995</v>
      </c>
      <c r="C2040" t="s">
        <v>20</v>
      </c>
      <c r="D2040">
        <v>27</v>
      </c>
      <c r="E2040" s="13" t="s">
        <v>12596</v>
      </c>
      <c r="F2040">
        <v>0</v>
      </c>
      <c r="G2040" s="11">
        <v>31328.27</v>
      </c>
      <c r="H2040" t="s">
        <v>11</v>
      </c>
      <c r="I2040" t="s">
        <v>11</v>
      </c>
      <c r="J2040" t="s">
        <v>42</v>
      </c>
    </row>
    <row r="2041" spans="1:10" x14ac:dyDescent="0.3">
      <c r="A2041" t="s">
        <v>2072</v>
      </c>
      <c r="B2041">
        <v>1974</v>
      </c>
      <c r="C2041" t="s">
        <v>37</v>
      </c>
      <c r="D2041">
        <v>8</v>
      </c>
      <c r="E2041" s="13" t="s">
        <v>12597</v>
      </c>
      <c r="F2041">
        <v>0</v>
      </c>
      <c r="G2041" s="11">
        <v>31368.81</v>
      </c>
      <c r="H2041" t="s">
        <v>11</v>
      </c>
      <c r="I2041" t="s">
        <v>12</v>
      </c>
      <c r="J2041" t="s">
        <v>42</v>
      </c>
    </row>
    <row r="2042" spans="1:10" x14ac:dyDescent="0.3">
      <c r="A2042" t="s">
        <v>2073</v>
      </c>
      <c r="B2042">
        <v>1975</v>
      </c>
      <c r="C2042" t="s">
        <v>37</v>
      </c>
      <c r="D2042">
        <v>29</v>
      </c>
      <c r="E2042" s="13" t="s">
        <v>12598</v>
      </c>
      <c r="F2042">
        <v>1</v>
      </c>
      <c r="G2042" s="11">
        <v>31591.82</v>
      </c>
      <c r="H2042" t="s">
        <v>11</v>
      </c>
      <c r="I2042" t="s">
        <v>16</v>
      </c>
      <c r="J2042" t="s">
        <v>42</v>
      </c>
    </row>
    <row r="2043" spans="1:10" x14ac:dyDescent="0.3">
      <c r="A2043" t="s">
        <v>2074</v>
      </c>
      <c r="B2043">
        <v>1960</v>
      </c>
      <c r="C2043" t="s">
        <v>30</v>
      </c>
      <c r="D2043">
        <v>13</v>
      </c>
      <c r="E2043" s="13" t="s">
        <v>12152</v>
      </c>
      <c r="F2043">
        <v>1</v>
      </c>
      <c r="G2043" s="11">
        <v>31620</v>
      </c>
      <c r="H2043" t="s">
        <v>11</v>
      </c>
      <c r="I2043" t="s">
        <v>16</v>
      </c>
      <c r="J2043" t="s">
        <v>247</v>
      </c>
    </row>
    <row r="2044" spans="1:10" x14ac:dyDescent="0.3">
      <c r="A2044" t="s">
        <v>2075</v>
      </c>
      <c r="B2044">
        <v>1977</v>
      </c>
      <c r="C2044" t="s">
        <v>37</v>
      </c>
      <c r="D2044">
        <v>14</v>
      </c>
      <c r="E2044" s="13" t="s">
        <v>12599</v>
      </c>
      <c r="F2044">
        <v>2</v>
      </c>
      <c r="G2044" s="11">
        <v>31736.7</v>
      </c>
      <c r="H2044" t="s">
        <v>11</v>
      </c>
      <c r="I2044" t="s">
        <v>11</v>
      </c>
      <c r="J2044" t="s">
        <v>23</v>
      </c>
    </row>
    <row r="2045" spans="1:10" x14ac:dyDescent="0.3">
      <c r="A2045" t="s">
        <v>2076</v>
      </c>
      <c r="B2045">
        <v>1984</v>
      </c>
      <c r="C2045" t="s">
        <v>20</v>
      </c>
      <c r="D2045">
        <v>10</v>
      </c>
      <c r="E2045" s="13" t="s">
        <v>12600</v>
      </c>
      <c r="F2045">
        <v>3</v>
      </c>
      <c r="G2045" s="11">
        <v>31743.919999999998</v>
      </c>
      <c r="H2045" t="s">
        <v>11</v>
      </c>
      <c r="I2045" t="s">
        <v>16</v>
      </c>
      <c r="J2045" t="s">
        <v>42</v>
      </c>
    </row>
    <row r="2046" spans="1:10" x14ac:dyDescent="0.3">
      <c r="A2046" t="s">
        <v>2077</v>
      </c>
      <c r="B2046">
        <v>1975</v>
      </c>
      <c r="C2046" t="s">
        <v>20</v>
      </c>
      <c r="D2046">
        <v>25</v>
      </c>
      <c r="E2046" s="13" t="s">
        <v>12601</v>
      </c>
      <c r="F2046">
        <v>1</v>
      </c>
      <c r="G2046" s="11">
        <v>31897.1</v>
      </c>
      <c r="H2046" t="s">
        <v>11</v>
      </c>
      <c r="I2046" t="s">
        <v>12</v>
      </c>
      <c r="J2046" t="s">
        <v>42</v>
      </c>
    </row>
    <row r="2047" spans="1:10" x14ac:dyDescent="0.3">
      <c r="A2047" t="s">
        <v>2078</v>
      </c>
      <c r="B2047">
        <v>1972</v>
      </c>
      <c r="C2047" t="s">
        <v>20</v>
      </c>
      <c r="D2047">
        <v>21</v>
      </c>
      <c r="E2047" s="13" t="s">
        <v>12602</v>
      </c>
      <c r="F2047">
        <v>0</v>
      </c>
      <c r="G2047" s="11">
        <v>31980.89</v>
      </c>
      <c r="H2047" t="s">
        <v>11</v>
      </c>
      <c r="I2047" t="s">
        <v>16</v>
      </c>
      <c r="J2047" t="s">
        <v>42</v>
      </c>
    </row>
    <row r="2048" spans="1:10" x14ac:dyDescent="0.3">
      <c r="A2048" t="s">
        <v>2079</v>
      </c>
      <c r="B2048">
        <v>1993</v>
      </c>
      <c r="C2048" t="s">
        <v>20</v>
      </c>
      <c r="D2048">
        <v>13</v>
      </c>
      <c r="E2048" s="13" t="s">
        <v>12603</v>
      </c>
      <c r="F2048">
        <v>0</v>
      </c>
      <c r="G2048" s="11">
        <v>32086.21</v>
      </c>
      <c r="H2048" t="s">
        <v>16</v>
      </c>
      <c r="I2048" t="s">
        <v>12</v>
      </c>
      <c r="J2048" t="s">
        <v>42</v>
      </c>
    </row>
    <row r="2049" spans="1:10" x14ac:dyDescent="0.3">
      <c r="A2049" t="s">
        <v>2080</v>
      </c>
      <c r="B2049">
        <v>1978</v>
      </c>
      <c r="C2049" t="s">
        <v>15</v>
      </c>
      <c r="D2049">
        <v>10</v>
      </c>
      <c r="E2049" s="13" t="s">
        <v>12604</v>
      </c>
      <c r="F2049">
        <v>2</v>
      </c>
      <c r="G2049" s="11">
        <v>32108.66</v>
      </c>
      <c r="H2049" t="s">
        <v>16</v>
      </c>
      <c r="I2049" t="s">
        <v>12</v>
      </c>
      <c r="J2049" t="s">
        <v>356</v>
      </c>
    </row>
    <row r="2050" spans="1:10" x14ac:dyDescent="0.3">
      <c r="A2050" t="s">
        <v>2081</v>
      </c>
      <c r="B2050">
        <v>1969</v>
      </c>
      <c r="C2050" t="s">
        <v>20</v>
      </c>
      <c r="D2050">
        <v>11</v>
      </c>
      <c r="E2050" s="13" t="s">
        <v>11356</v>
      </c>
      <c r="F2050">
        <v>0</v>
      </c>
      <c r="G2050" s="11">
        <v>32192.76</v>
      </c>
      <c r="H2050" t="s">
        <v>16</v>
      </c>
      <c r="I2050" t="s">
        <v>11</v>
      </c>
      <c r="J2050" t="s">
        <v>42</v>
      </c>
    </row>
    <row r="2051" spans="1:10" x14ac:dyDescent="0.3">
      <c r="A2051" t="s">
        <v>2082</v>
      </c>
      <c r="B2051">
        <v>1994</v>
      </c>
      <c r="C2051" t="s">
        <v>20</v>
      </c>
      <c r="D2051">
        <v>8</v>
      </c>
      <c r="E2051" s="13" t="s">
        <v>11891</v>
      </c>
      <c r="F2051">
        <v>0</v>
      </c>
      <c r="G2051" s="11">
        <v>32222.81</v>
      </c>
      <c r="H2051" t="s">
        <v>11</v>
      </c>
      <c r="I2051" t="s">
        <v>16</v>
      </c>
      <c r="J2051" t="s">
        <v>42</v>
      </c>
    </row>
    <row r="2052" spans="1:10" x14ac:dyDescent="0.3">
      <c r="A2052" t="s">
        <v>2083</v>
      </c>
      <c r="B2052">
        <v>1975</v>
      </c>
      <c r="C2052" t="s">
        <v>30</v>
      </c>
      <c r="D2052">
        <v>17</v>
      </c>
      <c r="E2052" s="13" t="s">
        <v>12605</v>
      </c>
      <c r="F2052">
        <v>1</v>
      </c>
      <c r="G2052" s="11">
        <v>32259.96</v>
      </c>
      <c r="H2052" t="s">
        <v>11</v>
      </c>
      <c r="I2052" t="s">
        <v>12</v>
      </c>
      <c r="J2052" t="s">
        <v>23</v>
      </c>
    </row>
    <row r="2053" spans="1:10" x14ac:dyDescent="0.3">
      <c r="A2053" t="s">
        <v>2084</v>
      </c>
      <c r="B2053">
        <v>1986</v>
      </c>
      <c r="C2053" t="s">
        <v>30</v>
      </c>
      <c r="D2053">
        <v>2</v>
      </c>
      <c r="E2053" s="13" t="s">
        <v>12606</v>
      </c>
      <c r="F2053">
        <v>3</v>
      </c>
      <c r="G2053" s="11">
        <v>32288.49</v>
      </c>
      <c r="H2053" t="s">
        <v>11</v>
      </c>
      <c r="I2053" t="s">
        <v>11</v>
      </c>
      <c r="J2053" t="s">
        <v>42</v>
      </c>
    </row>
    <row r="2054" spans="1:10" x14ac:dyDescent="0.3">
      <c r="A2054" t="s">
        <v>2085</v>
      </c>
      <c r="B2054">
        <v>1972</v>
      </c>
      <c r="C2054" t="s">
        <v>37</v>
      </c>
      <c r="D2054">
        <v>19</v>
      </c>
      <c r="E2054" s="13" t="s">
        <v>12607</v>
      </c>
      <c r="F2054">
        <v>0</v>
      </c>
      <c r="G2054" s="11">
        <v>32428.63</v>
      </c>
      <c r="H2054" t="s">
        <v>11</v>
      </c>
      <c r="I2054" t="s">
        <v>11</v>
      </c>
      <c r="J2054" t="s">
        <v>42</v>
      </c>
    </row>
    <row r="2055" spans="1:10" x14ac:dyDescent="0.3">
      <c r="A2055" t="s">
        <v>2086</v>
      </c>
      <c r="B2055">
        <v>1976</v>
      </c>
      <c r="C2055" t="s">
        <v>35</v>
      </c>
      <c r="D2055">
        <v>9</v>
      </c>
      <c r="E2055" s="13" t="s">
        <v>12608</v>
      </c>
      <c r="F2055">
        <v>2</v>
      </c>
      <c r="G2055" s="11">
        <v>32430.22</v>
      </c>
      <c r="H2055" t="s">
        <v>11</v>
      </c>
      <c r="I2055" t="s">
        <v>12</v>
      </c>
      <c r="J2055" t="s">
        <v>42</v>
      </c>
    </row>
    <row r="2056" spans="1:10" x14ac:dyDescent="0.3">
      <c r="A2056" t="s">
        <v>2087</v>
      </c>
      <c r="B2056">
        <v>1981</v>
      </c>
      <c r="C2056" t="s">
        <v>20</v>
      </c>
      <c r="D2056">
        <v>27</v>
      </c>
      <c r="E2056" s="13" t="s">
        <v>11240</v>
      </c>
      <c r="F2056">
        <v>1</v>
      </c>
      <c r="G2056" s="11">
        <v>32462.35</v>
      </c>
      <c r="H2056" t="s">
        <v>11</v>
      </c>
      <c r="I2056" t="s">
        <v>11</v>
      </c>
      <c r="J2056" t="s">
        <v>42</v>
      </c>
    </row>
    <row r="2057" spans="1:10" x14ac:dyDescent="0.3">
      <c r="A2057" t="s">
        <v>2088</v>
      </c>
      <c r="B2057">
        <v>1976</v>
      </c>
      <c r="C2057" t="s">
        <v>20</v>
      </c>
      <c r="D2057">
        <v>19</v>
      </c>
      <c r="E2057" s="13" t="s">
        <v>12609</v>
      </c>
      <c r="F2057">
        <v>2</v>
      </c>
      <c r="G2057" s="11">
        <v>32485.46</v>
      </c>
      <c r="H2057" t="s">
        <v>11</v>
      </c>
      <c r="I2057" t="s">
        <v>16</v>
      </c>
      <c r="J2057" t="s">
        <v>42</v>
      </c>
    </row>
    <row r="2058" spans="1:10" x14ac:dyDescent="0.3">
      <c r="A2058" t="s">
        <v>2089</v>
      </c>
      <c r="B2058">
        <v>2003</v>
      </c>
      <c r="C2058" t="s">
        <v>37</v>
      </c>
      <c r="D2058">
        <v>8</v>
      </c>
      <c r="E2058" s="13" t="s">
        <v>12610</v>
      </c>
      <c r="F2058">
        <v>0</v>
      </c>
      <c r="G2058" s="11">
        <v>32548.34</v>
      </c>
      <c r="H2058" t="s">
        <v>16</v>
      </c>
      <c r="I2058" t="s">
        <v>11</v>
      </c>
      <c r="J2058" t="s">
        <v>13</v>
      </c>
    </row>
    <row r="2059" spans="1:10" x14ac:dyDescent="0.3">
      <c r="A2059" t="s">
        <v>2090</v>
      </c>
      <c r="B2059">
        <v>1990</v>
      </c>
      <c r="C2059" t="s">
        <v>10</v>
      </c>
      <c r="D2059">
        <v>13</v>
      </c>
      <c r="E2059" s="13" t="s">
        <v>12611</v>
      </c>
      <c r="F2059">
        <v>3</v>
      </c>
      <c r="G2059" s="11">
        <v>32672.11</v>
      </c>
      <c r="H2059" t="s">
        <v>16</v>
      </c>
      <c r="I2059" t="s">
        <v>16</v>
      </c>
      <c r="J2059" t="s">
        <v>42</v>
      </c>
    </row>
    <row r="2060" spans="1:10" x14ac:dyDescent="0.3">
      <c r="A2060" t="s">
        <v>2091</v>
      </c>
      <c r="B2060">
        <v>1968</v>
      </c>
      <c r="C2060" t="s">
        <v>15</v>
      </c>
      <c r="D2060">
        <v>1</v>
      </c>
      <c r="E2060" s="13" t="s">
        <v>11651</v>
      </c>
      <c r="F2060">
        <v>0</v>
      </c>
      <c r="G2060" s="11">
        <v>32686.080000000002</v>
      </c>
      <c r="H2060" t="s">
        <v>11</v>
      </c>
      <c r="I2060" t="s">
        <v>12</v>
      </c>
      <c r="J2060" t="s">
        <v>42</v>
      </c>
    </row>
    <row r="2061" spans="1:10" x14ac:dyDescent="0.3">
      <c r="A2061" t="s">
        <v>2092</v>
      </c>
      <c r="B2061">
        <v>1990</v>
      </c>
      <c r="C2061" t="s">
        <v>20</v>
      </c>
      <c r="D2061">
        <v>30</v>
      </c>
      <c r="E2061" s="13" t="s">
        <v>12306</v>
      </c>
      <c r="F2061">
        <v>3</v>
      </c>
      <c r="G2061" s="11">
        <v>32716.2</v>
      </c>
      <c r="H2061" t="s">
        <v>16</v>
      </c>
      <c r="I2061" t="s">
        <v>11</v>
      </c>
      <c r="J2061" t="s">
        <v>42</v>
      </c>
    </row>
    <row r="2062" spans="1:10" x14ac:dyDescent="0.3">
      <c r="A2062" t="s">
        <v>2093</v>
      </c>
      <c r="B2062">
        <v>1990</v>
      </c>
      <c r="C2062" t="s">
        <v>10</v>
      </c>
      <c r="D2062">
        <v>9</v>
      </c>
      <c r="E2062" s="13" t="s">
        <v>12612</v>
      </c>
      <c r="F2062">
        <v>2</v>
      </c>
      <c r="G2062" s="11">
        <v>32734.19</v>
      </c>
      <c r="H2062" t="s">
        <v>11</v>
      </c>
      <c r="I2062" t="s">
        <v>16</v>
      </c>
      <c r="J2062" t="s">
        <v>23</v>
      </c>
    </row>
    <row r="2063" spans="1:10" x14ac:dyDescent="0.3">
      <c r="A2063" t="s">
        <v>2094</v>
      </c>
      <c r="B2063">
        <v>1974</v>
      </c>
      <c r="C2063" t="s">
        <v>30</v>
      </c>
      <c r="D2063">
        <v>6</v>
      </c>
      <c r="E2063" s="13" t="s">
        <v>12510</v>
      </c>
      <c r="F2063">
        <v>0</v>
      </c>
      <c r="G2063" s="11">
        <v>32760.48</v>
      </c>
      <c r="H2063" t="s">
        <v>16</v>
      </c>
      <c r="I2063" t="s">
        <v>16</v>
      </c>
      <c r="J2063" t="s">
        <v>42</v>
      </c>
    </row>
    <row r="2064" spans="1:10" x14ac:dyDescent="0.3">
      <c r="A2064" t="s">
        <v>2095</v>
      </c>
      <c r="B2064">
        <v>1972</v>
      </c>
      <c r="C2064" t="s">
        <v>15</v>
      </c>
      <c r="D2064">
        <v>7</v>
      </c>
      <c r="E2064" s="13" t="s">
        <v>12613</v>
      </c>
      <c r="F2064">
        <v>0</v>
      </c>
      <c r="G2064" s="11">
        <v>32765.33</v>
      </c>
      <c r="H2064" t="s">
        <v>11</v>
      </c>
      <c r="I2064" t="s">
        <v>11</v>
      </c>
      <c r="J2064" t="s">
        <v>23</v>
      </c>
    </row>
    <row r="2065" spans="1:10" x14ac:dyDescent="0.3">
      <c r="A2065" t="s">
        <v>2096</v>
      </c>
      <c r="B2065">
        <v>1980</v>
      </c>
      <c r="C2065" t="s">
        <v>30</v>
      </c>
      <c r="D2065">
        <v>12</v>
      </c>
      <c r="E2065" s="13" t="s">
        <v>12614</v>
      </c>
      <c r="F2065">
        <v>3</v>
      </c>
      <c r="G2065" s="11">
        <v>32787.46</v>
      </c>
      <c r="H2065" t="s">
        <v>16</v>
      </c>
      <c r="I2065" t="s">
        <v>12</v>
      </c>
      <c r="J2065" t="s">
        <v>23</v>
      </c>
    </row>
    <row r="2066" spans="1:10" x14ac:dyDescent="0.3">
      <c r="A2066" t="s">
        <v>2097</v>
      </c>
      <c r="B2066">
        <v>1995</v>
      </c>
      <c r="C2066" t="s">
        <v>30</v>
      </c>
      <c r="D2066">
        <v>4</v>
      </c>
      <c r="E2066" s="13" t="s">
        <v>12615</v>
      </c>
      <c r="F2066">
        <v>0</v>
      </c>
      <c r="G2066" s="11">
        <v>32827.51</v>
      </c>
      <c r="H2066" t="s">
        <v>16</v>
      </c>
      <c r="I2066" t="s">
        <v>11</v>
      </c>
      <c r="J2066" t="s">
        <v>42</v>
      </c>
    </row>
    <row r="2067" spans="1:10" x14ac:dyDescent="0.3">
      <c r="A2067" t="s">
        <v>2098</v>
      </c>
      <c r="B2067">
        <v>1981</v>
      </c>
      <c r="C2067" t="s">
        <v>15</v>
      </c>
      <c r="D2067">
        <v>17</v>
      </c>
      <c r="E2067" s="13" t="s">
        <v>12616</v>
      </c>
      <c r="F2067">
        <v>1</v>
      </c>
      <c r="G2067" s="11">
        <v>32906.69</v>
      </c>
      <c r="H2067" t="s">
        <v>11</v>
      </c>
      <c r="I2067" t="s">
        <v>12</v>
      </c>
      <c r="J2067" t="s">
        <v>42</v>
      </c>
    </row>
    <row r="2068" spans="1:10" x14ac:dyDescent="0.3">
      <c r="A2068" t="s">
        <v>2099</v>
      </c>
      <c r="B2068">
        <v>1971</v>
      </c>
      <c r="C2068" t="s">
        <v>35</v>
      </c>
      <c r="D2068">
        <v>24</v>
      </c>
      <c r="E2068" s="13" t="s">
        <v>12617</v>
      </c>
      <c r="F2068">
        <v>0</v>
      </c>
      <c r="G2068" s="11">
        <v>32947.629999999997</v>
      </c>
      <c r="H2068" t="s">
        <v>11</v>
      </c>
      <c r="I2068" t="s">
        <v>16</v>
      </c>
      <c r="J2068" t="s">
        <v>42</v>
      </c>
    </row>
    <row r="2069" spans="1:10" x14ac:dyDescent="0.3">
      <c r="A2069" t="s">
        <v>2100</v>
      </c>
      <c r="B2069">
        <v>1995</v>
      </c>
      <c r="C2069" t="s">
        <v>10</v>
      </c>
      <c r="D2069">
        <v>8</v>
      </c>
      <c r="E2069" s="13" t="s">
        <v>12618</v>
      </c>
      <c r="F2069">
        <v>0</v>
      </c>
      <c r="G2069" s="11">
        <v>33017.46</v>
      </c>
      <c r="H2069" t="s">
        <v>16</v>
      </c>
      <c r="I2069" t="s">
        <v>16</v>
      </c>
      <c r="J2069" t="s">
        <v>42</v>
      </c>
    </row>
    <row r="2070" spans="1:10" x14ac:dyDescent="0.3">
      <c r="A2070" t="s">
        <v>2101</v>
      </c>
      <c r="B2070">
        <v>1967</v>
      </c>
      <c r="C2070" t="s">
        <v>10</v>
      </c>
      <c r="D2070">
        <v>10</v>
      </c>
      <c r="E2070" s="13" t="s">
        <v>12619</v>
      </c>
      <c r="F2070">
        <v>0</v>
      </c>
      <c r="G2070" s="11">
        <v>33025.32</v>
      </c>
      <c r="H2070" t="s">
        <v>11</v>
      </c>
      <c r="I2070" t="s">
        <v>12</v>
      </c>
      <c r="J2070" t="s">
        <v>42</v>
      </c>
    </row>
    <row r="2071" spans="1:10" x14ac:dyDescent="0.3">
      <c r="A2071" t="s">
        <v>2102</v>
      </c>
      <c r="B2071">
        <v>1994</v>
      </c>
      <c r="C2071" t="s">
        <v>10</v>
      </c>
      <c r="D2071">
        <v>28</v>
      </c>
      <c r="E2071" s="13" t="s">
        <v>12620</v>
      </c>
      <c r="F2071">
        <v>0</v>
      </c>
      <c r="G2071" s="11">
        <v>33057.230000000003</v>
      </c>
      <c r="H2071" t="s">
        <v>16</v>
      </c>
      <c r="I2071" t="s">
        <v>11</v>
      </c>
      <c r="J2071" t="s">
        <v>42</v>
      </c>
    </row>
    <row r="2072" spans="1:10" x14ac:dyDescent="0.3">
      <c r="A2072" t="s">
        <v>2103</v>
      </c>
      <c r="B2072">
        <v>1962</v>
      </c>
      <c r="C2072" t="s">
        <v>10</v>
      </c>
      <c r="D2072">
        <v>1</v>
      </c>
      <c r="E2072" s="13" t="s">
        <v>12621</v>
      </c>
      <c r="F2072">
        <v>0</v>
      </c>
      <c r="G2072" s="11">
        <v>33074.94</v>
      </c>
      <c r="H2072" t="s">
        <v>16</v>
      </c>
      <c r="I2072" t="s">
        <v>11</v>
      </c>
      <c r="J2072" t="s">
        <v>42</v>
      </c>
    </row>
    <row r="2073" spans="1:10" x14ac:dyDescent="0.3">
      <c r="A2073" t="s">
        <v>2104</v>
      </c>
      <c r="B2073">
        <v>1969</v>
      </c>
      <c r="C2073" t="s">
        <v>37</v>
      </c>
      <c r="D2073">
        <v>30</v>
      </c>
      <c r="E2073" s="13" t="s">
        <v>12622</v>
      </c>
      <c r="F2073">
        <v>0</v>
      </c>
      <c r="G2073" s="11">
        <v>33090.660000000003</v>
      </c>
      <c r="H2073" t="s">
        <v>11</v>
      </c>
      <c r="I2073" t="s">
        <v>11</v>
      </c>
      <c r="J2073" t="s">
        <v>42</v>
      </c>
    </row>
    <row r="2074" spans="1:10" x14ac:dyDescent="0.3">
      <c r="A2074" t="s">
        <v>2105</v>
      </c>
      <c r="B2074">
        <v>1985</v>
      </c>
      <c r="C2074" t="s">
        <v>10</v>
      </c>
      <c r="D2074">
        <v>15</v>
      </c>
      <c r="E2074" s="13" t="s">
        <v>12140</v>
      </c>
      <c r="F2074">
        <v>3</v>
      </c>
      <c r="G2074" s="11">
        <v>33121</v>
      </c>
      <c r="H2074" t="s">
        <v>11</v>
      </c>
      <c r="I2074" t="s">
        <v>16</v>
      </c>
      <c r="J2074" t="s">
        <v>42</v>
      </c>
    </row>
    <row r="2075" spans="1:10" x14ac:dyDescent="0.3">
      <c r="A2075" t="s">
        <v>2106</v>
      </c>
      <c r="B2075">
        <v>1990</v>
      </c>
      <c r="C2075" t="s">
        <v>37</v>
      </c>
      <c r="D2075">
        <v>12</v>
      </c>
      <c r="E2075" s="13" t="s">
        <v>12623</v>
      </c>
      <c r="F2075">
        <v>3</v>
      </c>
      <c r="G2075" s="11">
        <v>33292.83</v>
      </c>
      <c r="H2075" t="s">
        <v>11</v>
      </c>
      <c r="I2075" t="s">
        <v>16</v>
      </c>
      <c r="J2075" t="s">
        <v>42</v>
      </c>
    </row>
    <row r="2076" spans="1:10" x14ac:dyDescent="0.3">
      <c r="A2076" t="s">
        <v>2107</v>
      </c>
      <c r="B2076">
        <v>2003</v>
      </c>
      <c r="C2076" t="s">
        <v>15</v>
      </c>
      <c r="D2076">
        <v>28</v>
      </c>
      <c r="E2076" s="13" t="s">
        <v>12132</v>
      </c>
      <c r="F2076">
        <v>0</v>
      </c>
      <c r="G2076" s="11">
        <v>33307.550000000003</v>
      </c>
      <c r="H2076" t="s">
        <v>11</v>
      </c>
      <c r="I2076" t="s">
        <v>12</v>
      </c>
      <c r="J2076" t="s">
        <v>23</v>
      </c>
    </row>
    <row r="2077" spans="1:10" x14ac:dyDescent="0.3">
      <c r="A2077" t="s">
        <v>2108</v>
      </c>
      <c r="B2077">
        <v>1972</v>
      </c>
      <c r="C2077" t="s">
        <v>20</v>
      </c>
      <c r="D2077">
        <v>5</v>
      </c>
      <c r="E2077" s="13" t="s">
        <v>12383</v>
      </c>
      <c r="F2077">
        <v>0</v>
      </c>
      <c r="G2077" s="11">
        <v>33344.449999999997</v>
      </c>
      <c r="H2077" t="s">
        <v>11</v>
      </c>
      <c r="I2077" t="s">
        <v>12</v>
      </c>
      <c r="J2077" t="s">
        <v>42</v>
      </c>
    </row>
    <row r="2078" spans="1:10" x14ac:dyDescent="0.3">
      <c r="A2078" t="s">
        <v>2109</v>
      </c>
      <c r="B2078">
        <v>1985</v>
      </c>
      <c r="C2078" t="s">
        <v>30</v>
      </c>
      <c r="D2078">
        <v>7</v>
      </c>
      <c r="E2078" s="13" t="s">
        <v>12540</v>
      </c>
      <c r="F2078">
        <v>3</v>
      </c>
      <c r="G2078" s="11">
        <v>33450.99</v>
      </c>
      <c r="H2078" t="s">
        <v>11</v>
      </c>
      <c r="I2078" t="s">
        <v>11</v>
      </c>
      <c r="J2078" t="s">
        <v>42</v>
      </c>
    </row>
    <row r="2079" spans="1:10" x14ac:dyDescent="0.3">
      <c r="A2079" t="s">
        <v>2110</v>
      </c>
      <c r="B2079">
        <v>1970</v>
      </c>
      <c r="C2079" t="s">
        <v>18</v>
      </c>
      <c r="D2079">
        <v>18</v>
      </c>
      <c r="E2079" s="13" t="s">
        <v>10875</v>
      </c>
      <c r="F2079">
        <v>2</v>
      </c>
      <c r="G2079" s="11">
        <v>33471.97</v>
      </c>
      <c r="H2079" t="s">
        <v>11</v>
      </c>
      <c r="I2079" t="s">
        <v>11</v>
      </c>
      <c r="J2079" t="s">
        <v>23</v>
      </c>
    </row>
    <row r="2080" spans="1:10" x14ac:dyDescent="0.3">
      <c r="A2080" t="s">
        <v>2111</v>
      </c>
      <c r="B2080">
        <v>2002</v>
      </c>
      <c r="C2080" t="s">
        <v>35</v>
      </c>
      <c r="D2080">
        <v>25</v>
      </c>
      <c r="E2080" s="13" t="s">
        <v>12624</v>
      </c>
      <c r="F2080">
        <v>0</v>
      </c>
      <c r="G2080" s="11">
        <v>33475.82</v>
      </c>
      <c r="H2080" t="s">
        <v>16</v>
      </c>
      <c r="I2080" t="s">
        <v>16</v>
      </c>
      <c r="J2080" t="s">
        <v>170</v>
      </c>
    </row>
    <row r="2081" spans="1:10" x14ac:dyDescent="0.3">
      <c r="A2081" t="s">
        <v>2112</v>
      </c>
      <c r="B2081">
        <v>1984</v>
      </c>
      <c r="C2081" t="s">
        <v>10</v>
      </c>
      <c r="D2081">
        <v>22</v>
      </c>
      <c r="E2081" s="13" t="s">
        <v>11387</v>
      </c>
      <c r="F2081">
        <v>3</v>
      </c>
      <c r="G2081" s="11">
        <v>33527.1</v>
      </c>
      <c r="H2081" t="s">
        <v>11</v>
      </c>
      <c r="I2081" t="s">
        <v>12</v>
      </c>
      <c r="J2081" t="s">
        <v>42</v>
      </c>
    </row>
    <row r="2082" spans="1:10" x14ac:dyDescent="0.3">
      <c r="A2082" t="s">
        <v>2113</v>
      </c>
      <c r="B2082">
        <v>2003</v>
      </c>
      <c r="C2082" t="s">
        <v>20</v>
      </c>
      <c r="D2082">
        <v>9</v>
      </c>
      <c r="E2082" s="13" t="s">
        <v>12625</v>
      </c>
      <c r="F2082">
        <v>0</v>
      </c>
      <c r="G2082" s="11">
        <v>33611.71</v>
      </c>
      <c r="H2082" t="s">
        <v>16</v>
      </c>
      <c r="I2082" t="s">
        <v>11</v>
      </c>
      <c r="J2082" t="s">
        <v>42</v>
      </c>
    </row>
    <row r="2083" spans="1:10" x14ac:dyDescent="0.3">
      <c r="A2083" t="s">
        <v>2114</v>
      </c>
      <c r="B2083">
        <v>1993</v>
      </c>
      <c r="C2083" t="s">
        <v>15</v>
      </c>
      <c r="D2083">
        <v>28</v>
      </c>
      <c r="E2083" s="13" t="s">
        <v>12626</v>
      </c>
      <c r="F2083">
        <v>0</v>
      </c>
      <c r="G2083" s="11">
        <v>33707.550000000003</v>
      </c>
      <c r="H2083" t="s">
        <v>11</v>
      </c>
      <c r="I2083" t="s">
        <v>11</v>
      </c>
      <c r="J2083" t="s">
        <v>42</v>
      </c>
    </row>
    <row r="2084" spans="1:10" x14ac:dyDescent="0.3">
      <c r="A2084" t="s">
        <v>2115</v>
      </c>
      <c r="B2084">
        <v>2004</v>
      </c>
      <c r="C2084" t="s">
        <v>15</v>
      </c>
      <c r="D2084">
        <v>1</v>
      </c>
      <c r="E2084" s="13" t="s">
        <v>12627</v>
      </c>
      <c r="F2084">
        <v>0</v>
      </c>
      <c r="G2084" s="11">
        <v>33732.69</v>
      </c>
      <c r="H2084" t="s">
        <v>16</v>
      </c>
      <c r="I2084" t="s">
        <v>16</v>
      </c>
      <c r="J2084" t="s">
        <v>356</v>
      </c>
    </row>
    <row r="2085" spans="1:10" x14ac:dyDescent="0.3">
      <c r="A2085" t="s">
        <v>2116</v>
      </c>
      <c r="B2085">
        <v>2003</v>
      </c>
      <c r="C2085" t="s">
        <v>20</v>
      </c>
      <c r="D2085">
        <v>12</v>
      </c>
      <c r="E2085" s="13" t="s">
        <v>12628</v>
      </c>
      <c r="F2085">
        <v>0</v>
      </c>
      <c r="G2085" s="11">
        <v>33750.29</v>
      </c>
      <c r="H2085" t="s">
        <v>16</v>
      </c>
      <c r="I2085" t="s">
        <v>12</v>
      </c>
      <c r="J2085" t="s">
        <v>23</v>
      </c>
    </row>
    <row r="2086" spans="1:10" x14ac:dyDescent="0.3">
      <c r="A2086" t="s">
        <v>2117</v>
      </c>
      <c r="B2086">
        <v>1962</v>
      </c>
      <c r="C2086" t="s">
        <v>30</v>
      </c>
      <c r="D2086">
        <v>11</v>
      </c>
      <c r="E2086" s="13" t="s">
        <v>10955</v>
      </c>
      <c r="F2086">
        <v>0</v>
      </c>
      <c r="G2086" s="11">
        <v>33753.32</v>
      </c>
      <c r="H2086" t="s">
        <v>16</v>
      </c>
      <c r="I2086" t="s">
        <v>12</v>
      </c>
      <c r="J2086" t="s">
        <v>42</v>
      </c>
    </row>
    <row r="2087" spans="1:10" x14ac:dyDescent="0.3">
      <c r="A2087" t="s">
        <v>2118</v>
      </c>
      <c r="B2087">
        <v>2000</v>
      </c>
      <c r="C2087" t="s">
        <v>37</v>
      </c>
      <c r="D2087">
        <v>26</v>
      </c>
      <c r="E2087" s="13" t="s">
        <v>12629</v>
      </c>
      <c r="F2087">
        <v>0</v>
      </c>
      <c r="G2087" s="11">
        <v>33829.39</v>
      </c>
      <c r="H2087" t="s">
        <v>11</v>
      </c>
      <c r="I2087" t="s">
        <v>12</v>
      </c>
      <c r="J2087" t="s">
        <v>42</v>
      </c>
    </row>
    <row r="2088" spans="1:10" x14ac:dyDescent="0.3">
      <c r="A2088" t="s">
        <v>2119</v>
      </c>
      <c r="B2088">
        <v>1997</v>
      </c>
      <c r="C2088" t="s">
        <v>35</v>
      </c>
      <c r="D2088">
        <v>9</v>
      </c>
      <c r="E2088" s="13" t="s">
        <v>12630</v>
      </c>
      <c r="F2088">
        <v>0</v>
      </c>
      <c r="G2088" s="11">
        <v>33900.65</v>
      </c>
      <c r="H2088" t="s">
        <v>11</v>
      </c>
      <c r="I2088" t="s">
        <v>12</v>
      </c>
      <c r="J2088" t="s">
        <v>42</v>
      </c>
    </row>
    <row r="2089" spans="1:10" x14ac:dyDescent="0.3">
      <c r="A2089" t="s">
        <v>2120</v>
      </c>
      <c r="B2089">
        <v>2000</v>
      </c>
      <c r="C2089" t="s">
        <v>30</v>
      </c>
      <c r="D2089">
        <v>27</v>
      </c>
      <c r="E2089" s="13" t="s">
        <v>12631</v>
      </c>
      <c r="F2089">
        <v>0</v>
      </c>
      <c r="G2089" s="11">
        <v>33907.550000000003</v>
      </c>
      <c r="H2089" t="s">
        <v>11</v>
      </c>
      <c r="I2089" t="s">
        <v>11</v>
      </c>
      <c r="J2089" t="s">
        <v>23</v>
      </c>
    </row>
    <row r="2090" spans="1:10" x14ac:dyDescent="0.3">
      <c r="A2090" t="s">
        <v>2121</v>
      </c>
      <c r="B2090">
        <v>1994</v>
      </c>
      <c r="C2090" t="s">
        <v>20</v>
      </c>
      <c r="D2090">
        <v>25</v>
      </c>
      <c r="E2090" s="13" t="s">
        <v>12632</v>
      </c>
      <c r="F2090">
        <v>0</v>
      </c>
      <c r="G2090" s="11">
        <v>33975.47</v>
      </c>
      <c r="H2090" t="s">
        <v>11</v>
      </c>
      <c r="I2090" t="s">
        <v>11</v>
      </c>
      <c r="J2090" t="s">
        <v>42</v>
      </c>
    </row>
    <row r="2091" spans="1:10" x14ac:dyDescent="0.3">
      <c r="A2091" t="s">
        <v>2122</v>
      </c>
      <c r="B2091">
        <v>1972</v>
      </c>
      <c r="C2091" t="s">
        <v>10</v>
      </c>
      <c r="D2091">
        <v>26</v>
      </c>
      <c r="E2091" s="13" t="s">
        <v>12633</v>
      </c>
      <c r="F2091">
        <v>0</v>
      </c>
      <c r="G2091" s="11">
        <v>34053.360000000001</v>
      </c>
      <c r="H2091" t="s">
        <v>11</v>
      </c>
      <c r="I2091" t="s">
        <v>11</v>
      </c>
      <c r="J2091" t="s">
        <v>42</v>
      </c>
    </row>
    <row r="2092" spans="1:10" x14ac:dyDescent="0.3">
      <c r="A2092" t="s">
        <v>2123</v>
      </c>
      <c r="B2092">
        <v>2002</v>
      </c>
      <c r="C2092" t="s">
        <v>30</v>
      </c>
      <c r="D2092">
        <v>26</v>
      </c>
      <c r="E2092" s="13" t="s">
        <v>12634</v>
      </c>
      <c r="F2092">
        <v>0</v>
      </c>
      <c r="G2092" s="11">
        <v>34084.68</v>
      </c>
      <c r="H2092" t="s">
        <v>11</v>
      </c>
      <c r="I2092" t="s">
        <v>12</v>
      </c>
      <c r="J2092" t="s">
        <v>42</v>
      </c>
    </row>
    <row r="2093" spans="1:10" x14ac:dyDescent="0.3">
      <c r="A2093" t="s">
        <v>2124</v>
      </c>
      <c r="B2093">
        <v>1999</v>
      </c>
      <c r="C2093" t="s">
        <v>15</v>
      </c>
      <c r="D2093">
        <v>6</v>
      </c>
      <c r="E2093" s="13" t="s">
        <v>12635</v>
      </c>
      <c r="F2093">
        <v>0</v>
      </c>
      <c r="G2093" s="11">
        <v>34166.269999999997</v>
      </c>
      <c r="H2093" t="s">
        <v>11</v>
      </c>
      <c r="I2093" t="s">
        <v>12</v>
      </c>
      <c r="J2093" t="s">
        <v>42</v>
      </c>
    </row>
    <row r="2094" spans="1:10" x14ac:dyDescent="0.3">
      <c r="A2094" t="s">
        <v>2125</v>
      </c>
      <c r="B2094">
        <v>1971</v>
      </c>
      <c r="C2094" t="s">
        <v>35</v>
      </c>
      <c r="D2094">
        <v>25</v>
      </c>
      <c r="E2094" s="13" t="s">
        <v>12636</v>
      </c>
      <c r="F2094">
        <v>0</v>
      </c>
      <c r="G2094" s="11">
        <v>34205.07</v>
      </c>
      <c r="H2094" t="s">
        <v>11</v>
      </c>
      <c r="I2094" t="s">
        <v>11</v>
      </c>
      <c r="J2094" t="s">
        <v>42</v>
      </c>
    </row>
    <row r="2095" spans="1:10" x14ac:dyDescent="0.3">
      <c r="A2095" t="s">
        <v>2126</v>
      </c>
      <c r="B2095">
        <v>1975</v>
      </c>
      <c r="C2095" t="s">
        <v>10</v>
      </c>
      <c r="D2095">
        <v>21</v>
      </c>
      <c r="E2095" s="13" t="s">
        <v>12637</v>
      </c>
      <c r="F2095">
        <v>1</v>
      </c>
      <c r="G2095" s="11">
        <v>34210.33</v>
      </c>
      <c r="H2095" t="s">
        <v>11</v>
      </c>
      <c r="I2095" t="s">
        <v>16</v>
      </c>
      <c r="J2095" t="s">
        <v>23</v>
      </c>
    </row>
    <row r="2096" spans="1:10" x14ac:dyDescent="0.3">
      <c r="A2096" t="s">
        <v>2127</v>
      </c>
      <c r="B2096">
        <v>1962</v>
      </c>
      <c r="C2096" t="s">
        <v>10</v>
      </c>
      <c r="D2096">
        <v>5</v>
      </c>
      <c r="E2096" s="13" t="s">
        <v>12638</v>
      </c>
      <c r="F2096">
        <v>0</v>
      </c>
      <c r="G2096" s="11">
        <v>34218.019999999997</v>
      </c>
      <c r="H2096" t="s">
        <v>16</v>
      </c>
      <c r="I2096" t="s">
        <v>16</v>
      </c>
      <c r="J2096" t="s">
        <v>42</v>
      </c>
    </row>
    <row r="2097" spans="1:10" x14ac:dyDescent="0.3">
      <c r="A2097" t="s">
        <v>2128</v>
      </c>
      <c r="B2097">
        <v>1998</v>
      </c>
      <c r="C2097" t="s">
        <v>18</v>
      </c>
      <c r="D2097">
        <v>11</v>
      </c>
      <c r="E2097" s="13" t="s">
        <v>11387</v>
      </c>
      <c r="F2097">
        <v>0</v>
      </c>
      <c r="G2097" s="11">
        <v>34254.050000000003</v>
      </c>
      <c r="H2097" t="s">
        <v>16</v>
      </c>
      <c r="I2097" t="s">
        <v>12</v>
      </c>
      <c r="J2097" t="s">
        <v>166</v>
      </c>
    </row>
    <row r="2098" spans="1:10" x14ac:dyDescent="0.3">
      <c r="A2098" t="s">
        <v>2129</v>
      </c>
      <c r="B2098">
        <v>1995</v>
      </c>
      <c r="C2098" t="s">
        <v>37</v>
      </c>
      <c r="D2098">
        <v>30</v>
      </c>
      <c r="E2098" s="13" t="s">
        <v>12639</v>
      </c>
      <c r="F2098">
        <v>0</v>
      </c>
      <c r="G2098" s="11">
        <v>34289.43</v>
      </c>
      <c r="H2098" t="s">
        <v>16</v>
      </c>
      <c r="I2098" t="s">
        <v>16</v>
      </c>
      <c r="J2098" t="s">
        <v>42</v>
      </c>
    </row>
    <row r="2099" spans="1:10" x14ac:dyDescent="0.3">
      <c r="A2099" t="s">
        <v>2130</v>
      </c>
      <c r="B2099">
        <v>1986</v>
      </c>
      <c r="C2099" t="s">
        <v>37</v>
      </c>
      <c r="D2099">
        <v>11</v>
      </c>
      <c r="E2099" s="13" t="s">
        <v>12640</v>
      </c>
      <c r="F2099">
        <v>3</v>
      </c>
      <c r="G2099" s="11">
        <v>34293.120000000003</v>
      </c>
      <c r="H2099" t="s">
        <v>16</v>
      </c>
      <c r="I2099" t="s">
        <v>11</v>
      </c>
      <c r="J2099" t="s">
        <v>42</v>
      </c>
    </row>
    <row r="2100" spans="1:10" x14ac:dyDescent="0.3">
      <c r="A2100" t="s">
        <v>2131</v>
      </c>
      <c r="B2100">
        <v>2004</v>
      </c>
      <c r="C2100" t="s">
        <v>15</v>
      </c>
      <c r="D2100">
        <v>1</v>
      </c>
      <c r="E2100" s="13" t="s">
        <v>12641</v>
      </c>
      <c r="F2100">
        <v>2</v>
      </c>
      <c r="G2100" s="11">
        <v>34303.17</v>
      </c>
      <c r="H2100" t="s">
        <v>16</v>
      </c>
      <c r="I2100" t="s">
        <v>12</v>
      </c>
      <c r="J2100" t="s">
        <v>13</v>
      </c>
    </row>
    <row r="2101" spans="1:10" x14ac:dyDescent="0.3">
      <c r="A2101" t="s">
        <v>2132</v>
      </c>
      <c r="B2101">
        <v>1983</v>
      </c>
      <c r="C2101" t="s">
        <v>37</v>
      </c>
      <c r="D2101">
        <v>2</v>
      </c>
      <c r="E2101" s="13" t="s">
        <v>12642</v>
      </c>
      <c r="F2101">
        <v>3</v>
      </c>
      <c r="G2101" s="11">
        <v>34307.22</v>
      </c>
      <c r="H2101" t="s">
        <v>11</v>
      </c>
      <c r="I2101" t="s">
        <v>11</v>
      </c>
      <c r="J2101" t="s">
        <v>23</v>
      </c>
    </row>
    <row r="2102" spans="1:10" x14ac:dyDescent="0.3">
      <c r="A2102" t="s">
        <v>2133</v>
      </c>
      <c r="B2102">
        <v>1984</v>
      </c>
      <c r="C2102" t="s">
        <v>37</v>
      </c>
      <c r="D2102">
        <v>1</v>
      </c>
      <c r="E2102" s="13" t="s">
        <v>12643</v>
      </c>
      <c r="F2102">
        <v>3</v>
      </c>
      <c r="G2102" s="11">
        <v>34402.22</v>
      </c>
      <c r="H2102" t="s">
        <v>11</v>
      </c>
      <c r="I2102" t="s">
        <v>12</v>
      </c>
      <c r="J2102" t="s">
        <v>42</v>
      </c>
    </row>
    <row r="2103" spans="1:10" x14ac:dyDescent="0.3">
      <c r="A2103" t="s">
        <v>2134</v>
      </c>
      <c r="B2103">
        <v>2003</v>
      </c>
      <c r="C2103" t="s">
        <v>37</v>
      </c>
      <c r="D2103">
        <v>5</v>
      </c>
      <c r="E2103" s="13" t="s">
        <v>12644</v>
      </c>
      <c r="F2103">
        <v>0</v>
      </c>
      <c r="G2103" s="11">
        <v>34439.86</v>
      </c>
      <c r="H2103" t="s">
        <v>11</v>
      </c>
      <c r="I2103" t="s">
        <v>16</v>
      </c>
      <c r="J2103" t="s">
        <v>13</v>
      </c>
    </row>
    <row r="2104" spans="1:10" x14ac:dyDescent="0.3">
      <c r="A2104" t="s">
        <v>2135</v>
      </c>
      <c r="B2104">
        <v>1990</v>
      </c>
      <c r="C2104" t="s">
        <v>20</v>
      </c>
      <c r="D2104">
        <v>24</v>
      </c>
      <c r="E2104" s="13" t="s">
        <v>12645</v>
      </c>
      <c r="F2104">
        <v>3</v>
      </c>
      <c r="G2104" s="11">
        <v>34456.269999999997</v>
      </c>
      <c r="H2104" t="s">
        <v>16</v>
      </c>
      <c r="I2104" t="s">
        <v>11</v>
      </c>
      <c r="J2104" t="s">
        <v>42</v>
      </c>
    </row>
    <row r="2105" spans="1:10" x14ac:dyDescent="0.3">
      <c r="A2105" t="s">
        <v>2136</v>
      </c>
      <c r="B2105">
        <v>1998</v>
      </c>
      <c r="C2105" t="s">
        <v>18</v>
      </c>
      <c r="D2105">
        <v>24</v>
      </c>
      <c r="E2105" s="13" t="s">
        <v>11487</v>
      </c>
      <c r="F2105">
        <v>0</v>
      </c>
      <c r="G2105" s="11">
        <v>34472.839999999997</v>
      </c>
      <c r="H2105" t="s">
        <v>16</v>
      </c>
      <c r="I2105" t="s">
        <v>12</v>
      </c>
      <c r="J2105" t="s">
        <v>42</v>
      </c>
    </row>
    <row r="2106" spans="1:10" x14ac:dyDescent="0.3">
      <c r="A2106" t="s">
        <v>2137</v>
      </c>
      <c r="B2106">
        <v>1976</v>
      </c>
      <c r="C2106" t="s">
        <v>15</v>
      </c>
      <c r="D2106">
        <v>25</v>
      </c>
      <c r="E2106" s="13" t="s">
        <v>11076</v>
      </c>
      <c r="F2106">
        <v>2</v>
      </c>
      <c r="G2106" s="11">
        <v>34543.39</v>
      </c>
      <c r="H2106" t="s">
        <v>11</v>
      </c>
      <c r="I2106" t="s">
        <v>12</v>
      </c>
      <c r="J2106" t="s">
        <v>42</v>
      </c>
    </row>
    <row r="2107" spans="1:10" x14ac:dyDescent="0.3">
      <c r="A2107" t="s">
        <v>2138</v>
      </c>
      <c r="B2107">
        <v>2004</v>
      </c>
      <c r="C2107" t="s">
        <v>37</v>
      </c>
      <c r="D2107">
        <v>9</v>
      </c>
      <c r="E2107" s="13" t="s">
        <v>11272</v>
      </c>
      <c r="F2107">
        <v>0</v>
      </c>
      <c r="G2107" s="11">
        <v>34617.839999999997</v>
      </c>
      <c r="H2107" t="s">
        <v>16</v>
      </c>
      <c r="I2107" t="s">
        <v>12</v>
      </c>
      <c r="J2107" t="s">
        <v>168</v>
      </c>
    </row>
    <row r="2108" spans="1:10" x14ac:dyDescent="0.3">
      <c r="A2108" t="s">
        <v>2139</v>
      </c>
      <c r="B2108">
        <v>1994</v>
      </c>
      <c r="C2108" t="s">
        <v>10</v>
      </c>
      <c r="D2108">
        <v>7</v>
      </c>
      <c r="E2108" s="13" t="s">
        <v>12646</v>
      </c>
      <c r="F2108">
        <v>0</v>
      </c>
      <c r="G2108" s="11">
        <v>34672.15</v>
      </c>
      <c r="H2108" t="s">
        <v>16</v>
      </c>
      <c r="I2108" t="s">
        <v>12</v>
      </c>
      <c r="J2108" t="s">
        <v>13</v>
      </c>
    </row>
    <row r="2109" spans="1:10" x14ac:dyDescent="0.3">
      <c r="A2109" t="s">
        <v>2140</v>
      </c>
      <c r="B2109">
        <v>2003</v>
      </c>
      <c r="C2109" t="s">
        <v>10</v>
      </c>
      <c r="D2109">
        <v>3</v>
      </c>
      <c r="E2109" s="13" t="s">
        <v>11451</v>
      </c>
      <c r="F2109">
        <v>0</v>
      </c>
      <c r="G2109" s="11">
        <v>34779.620000000003</v>
      </c>
      <c r="H2109" t="s">
        <v>16</v>
      </c>
      <c r="I2109" t="s">
        <v>11</v>
      </c>
      <c r="J2109" t="s">
        <v>42</v>
      </c>
    </row>
    <row r="2110" spans="1:10" x14ac:dyDescent="0.3">
      <c r="A2110" t="s">
        <v>2141</v>
      </c>
      <c r="B2110">
        <v>1995</v>
      </c>
      <c r="C2110" t="s">
        <v>30</v>
      </c>
      <c r="D2110">
        <v>27</v>
      </c>
      <c r="E2110" s="13" t="s">
        <v>12647</v>
      </c>
      <c r="F2110">
        <v>1</v>
      </c>
      <c r="G2110" s="11">
        <v>34806.47</v>
      </c>
      <c r="H2110" t="s">
        <v>16</v>
      </c>
      <c r="I2110" t="s">
        <v>11</v>
      </c>
      <c r="J2110" t="s">
        <v>13</v>
      </c>
    </row>
    <row r="2111" spans="1:10" x14ac:dyDescent="0.3">
      <c r="A2111" t="s">
        <v>2142</v>
      </c>
      <c r="B2111">
        <v>2003</v>
      </c>
      <c r="C2111" t="s">
        <v>20</v>
      </c>
      <c r="D2111">
        <v>17</v>
      </c>
      <c r="E2111" s="13" t="s">
        <v>12648</v>
      </c>
      <c r="F2111">
        <v>0</v>
      </c>
      <c r="G2111" s="11">
        <v>34828.65</v>
      </c>
      <c r="H2111" t="s">
        <v>16</v>
      </c>
      <c r="I2111" t="s">
        <v>12</v>
      </c>
      <c r="J2111" t="s">
        <v>42</v>
      </c>
    </row>
    <row r="2112" spans="1:10" x14ac:dyDescent="0.3">
      <c r="A2112" t="s">
        <v>2143</v>
      </c>
      <c r="B2112">
        <v>1995</v>
      </c>
      <c r="C2112" t="s">
        <v>37</v>
      </c>
      <c r="D2112">
        <v>17</v>
      </c>
      <c r="E2112" s="13" t="s">
        <v>12649</v>
      </c>
      <c r="F2112">
        <v>0</v>
      </c>
      <c r="G2112" s="11">
        <v>34838.870000000003</v>
      </c>
      <c r="H2112" t="s">
        <v>11</v>
      </c>
      <c r="I2112" t="s">
        <v>12</v>
      </c>
      <c r="J2112" t="s">
        <v>42</v>
      </c>
    </row>
    <row r="2113" spans="1:10" x14ac:dyDescent="0.3">
      <c r="A2113" t="s">
        <v>2144</v>
      </c>
      <c r="B2113">
        <v>1983</v>
      </c>
      <c r="C2113" t="s">
        <v>10</v>
      </c>
      <c r="D2113">
        <v>29</v>
      </c>
      <c r="E2113" s="13" t="s">
        <v>12650</v>
      </c>
      <c r="F2113">
        <v>3</v>
      </c>
      <c r="G2113" s="11">
        <v>34940.61</v>
      </c>
      <c r="H2113" t="s">
        <v>11</v>
      </c>
      <c r="I2113" t="s">
        <v>12</v>
      </c>
      <c r="J2113" t="s">
        <v>42</v>
      </c>
    </row>
    <row r="2114" spans="1:10" x14ac:dyDescent="0.3">
      <c r="A2114" t="s">
        <v>2145</v>
      </c>
      <c r="B2114">
        <v>1967</v>
      </c>
      <c r="C2114" t="s">
        <v>37</v>
      </c>
      <c r="D2114">
        <v>7</v>
      </c>
      <c r="E2114" s="13" t="s">
        <v>12651</v>
      </c>
      <c r="F2114">
        <v>0</v>
      </c>
      <c r="G2114" s="11">
        <v>34975.68</v>
      </c>
      <c r="H2114" t="s">
        <v>11</v>
      </c>
      <c r="I2114" t="s">
        <v>11</v>
      </c>
      <c r="J2114" t="s">
        <v>42</v>
      </c>
    </row>
    <row r="2115" spans="1:10" x14ac:dyDescent="0.3">
      <c r="A2115" t="s">
        <v>2146</v>
      </c>
      <c r="B2115">
        <v>1998</v>
      </c>
      <c r="C2115" t="s">
        <v>35</v>
      </c>
      <c r="D2115">
        <v>22</v>
      </c>
      <c r="E2115" s="13" t="s">
        <v>12652</v>
      </c>
      <c r="F2115">
        <v>0</v>
      </c>
      <c r="G2115" s="11">
        <v>34976.42</v>
      </c>
      <c r="H2115" t="s">
        <v>11</v>
      </c>
      <c r="I2115" t="s">
        <v>16</v>
      </c>
      <c r="J2115" t="s">
        <v>42</v>
      </c>
    </row>
    <row r="2116" spans="1:10" x14ac:dyDescent="0.3">
      <c r="A2116" t="s">
        <v>2147</v>
      </c>
      <c r="B2116">
        <v>1997</v>
      </c>
      <c r="C2116" t="s">
        <v>35</v>
      </c>
      <c r="D2116">
        <v>22</v>
      </c>
      <c r="E2116" s="13" t="s">
        <v>12653</v>
      </c>
      <c r="F2116">
        <v>0</v>
      </c>
      <c r="G2116" s="11">
        <v>34979.86</v>
      </c>
      <c r="H2116" t="s">
        <v>11</v>
      </c>
      <c r="I2116" t="s">
        <v>11</v>
      </c>
      <c r="J2116" t="s">
        <v>42</v>
      </c>
    </row>
    <row r="2117" spans="1:10" x14ac:dyDescent="0.3">
      <c r="A2117" t="s">
        <v>2148</v>
      </c>
      <c r="B2117">
        <v>1982</v>
      </c>
      <c r="C2117" t="s">
        <v>10</v>
      </c>
      <c r="D2117">
        <v>5</v>
      </c>
      <c r="E2117" s="13" t="s">
        <v>12654</v>
      </c>
      <c r="F2117">
        <v>3</v>
      </c>
      <c r="G2117" s="11">
        <v>35000.730000000003</v>
      </c>
      <c r="H2117" t="s">
        <v>11</v>
      </c>
      <c r="I2117" t="s">
        <v>12</v>
      </c>
      <c r="J2117" t="s">
        <v>42</v>
      </c>
    </row>
    <row r="2118" spans="1:10" x14ac:dyDescent="0.3">
      <c r="A2118" t="s">
        <v>2149</v>
      </c>
      <c r="B2118">
        <v>1975</v>
      </c>
      <c r="C2118" t="s">
        <v>35</v>
      </c>
      <c r="D2118">
        <v>29</v>
      </c>
      <c r="E2118" s="13" t="s">
        <v>12112</v>
      </c>
      <c r="F2118">
        <v>1</v>
      </c>
      <c r="G2118" s="11">
        <v>35050.620000000003</v>
      </c>
      <c r="H2118" t="s">
        <v>11</v>
      </c>
      <c r="I2118" t="s">
        <v>16</v>
      </c>
      <c r="J2118" t="s">
        <v>42</v>
      </c>
    </row>
    <row r="2119" spans="1:10" x14ac:dyDescent="0.3">
      <c r="A2119" t="s">
        <v>2150</v>
      </c>
      <c r="B2119">
        <v>1977</v>
      </c>
      <c r="C2119" t="s">
        <v>18</v>
      </c>
      <c r="D2119">
        <v>29</v>
      </c>
      <c r="E2119" s="13" t="s">
        <v>12655</v>
      </c>
      <c r="F2119">
        <v>0</v>
      </c>
      <c r="G2119" s="11">
        <v>35069.370000000003</v>
      </c>
      <c r="H2119" t="s">
        <v>16</v>
      </c>
      <c r="I2119" t="s">
        <v>16</v>
      </c>
      <c r="J2119" t="s">
        <v>356</v>
      </c>
    </row>
    <row r="2120" spans="1:10" x14ac:dyDescent="0.3">
      <c r="A2120" t="s">
        <v>2151</v>
      </c>
      <c r="B2120">
        <v>1998</v>
      </c>
      <c r="C2120" t="s">
        <v>30</v>
      </c>
      <c r="D2120">
        <v>22</v>
      </c>
      <c r="E2120" s="13" t="s">
        <v>12656</v>
      </c>
      <c r="F2120">
        <v>0</v>
      </c>
      <c r="G2120" s="11">
        <v>35147.53</v>
      </c>
      <c r="H2120" t="s">
        <v>16</v>
      </c>
      <c r="I2120" t="s">
        <v>16</v>
      </c>
      <c r="J2120" t="s">
        <v>168</v>
      </c>
    </row>
    <row r="2121" spans="1:10" x14ac:dyDescent="0.3">
      <c r="A2121" t="s">
        <v>2152</v>
      </c>
      <c r="B2121">
        <v>1967</v>
      </c>
      <c r="C2121" t="s">
        <v>30</v>
      </c>
      <c r="D2121">
        <v>30</v>
      </c>
      <c r="E2121" s="13" t="s">
        <v>12657</v>
      </c>
      <c r="F2121">
        <v>1</v>
      </c>
      <c r="G2121" s="11">
        <v>35160.129999999997</v>
      </c>
      <c r="H2121" t="s">
        <v>11</v>
      </c>
      <c r="I2121" t="s">
        <v>11</v>
      </c>
      <c r="J2121" t="s">
        <v>42</v>
      </c>
    </row>
    <row r="2122" spans="1:10" x14ac:dyDescent="0.3">
      <c r="A2122" t="s">
        <v>2153</v>
      </c>
      <c r="B2122">
        <v>1997</v>
      </c>
      <c r="C2122" t="s">
        <v>10</v>
      </c>
      <c r="D2122">
        <v>9</v>
      </c>
      <c r="E2122" s="13" t="s">
        <v>12658</v>
      </c>
      <c r="F2122">
        <v>0</v>
      </c>
      <c r="G2122" s="11">
        <v>35302.089999999997</v>
      </c>
      <c r="H2122" t="s">
        <v>16</v>
      </c>
      <c r="I2122" t="s">
        <v>11</v>
      </c>
      <c r="J2122" t="s">
        <v>42</v>
      </c>
    </row>
    <row r="2123" spans="1:10" x14ac:dyDescent="0.3">
      <c r="A2123" t="s">
        <v>2154</v>
      </c>
      <c r="B2123">
        <v>1988</v>
      </c>
      <c r="C2123" t="s">
        <v>20</v>
      </c>
      <c r="D2123">
        <v>19</v>
      </c>
      <c r="E2123" s="13" t="s">
        <v>11689</v>
      </c>
      <c r="F2123">
        <v>3</v>
      </c>
      <c r="G2123" s="11">
        <v>35315.96</v>
      </c>
      <c r="H2123" t="s">
        <v>11</v>
      </c>
      <c r="I2123" t="s">
        <v>16</v>
      </c>
      <c r="J2123" t="s">
        <v>42</v>
      </c>
    </row>
    <row r="2124" spans="1:10" x14ac:dyDescent="0.3">
      <c r="A2124" t="s">
        <v>2155</v>
      </c>
      <c r="B2124">
        <v>1971</v>
      </c>
      <c r="C2124" t="s">
        <v>20</v>
      </c>
      <c r="D2124">
        <v>22</v>
      </c>
      <c r="E2124" s="13" t="s">
        <v>10759</v>
      </c>
      <c r="F2124">
        <v>0</v>
      </c>
      <c r="G2124" s="11">
        <v>35345.730000000003</v>
      </c>
      <c r="H2124" t="s">
        <v>11</v>
      </c>
      <c r="I2124" t="s">
        <v>12</v>
      </c>
      <c r="J2124" t="s">
        <v>42</v>
      </c>
    </row>
    <row r="2125" spans="1:10" x14ac:dyDescent="0.3">
      <c r="A2125" t="s">
        <v>2156</v>
      </c>
      <c r="B2125">
        <v>1988</v>
      </c>
      <c r="C2125" t="s">
        <v>15</v>
      </c>
      <c r="D2125">
        <v>20</v>
      </c>
      <c r="E2125" s="13" t="s">
        <v>11801</v>
      </c>
      <c r="F2125">
        <v>0</v>
      </c>
      <c r="G2125" s="11">
        <v>35491.64</v>
      </c>
      <c r="H2125" t="s">
        <v>16</v>
      </c>
      <c r="I2125" t="s">
        <v>11</v>
      </c>
      <c r="J2125" t="s">
        <v>42</v>
      </c>
    </row>
    <row r="2126" spans="1:10" x14ac:dyDescent="0.3">
      <c r="A2126" t="s">
        <v>2157</v>
      </c>
      <c r="B2126">
        <v>1973</v>
      </c>
      <c r="C2126" t="s">
        <v>30</v>
      </c>
      <c r="D2126">
        <v>16</v>
      </c>
      <c r="E2126" s="13" t="s">
        <v>12659</v>
      </c>
      <c r="F2126">
        <v>0</v>
      </c>
      <c r="G2126" s="11">
        <v>35517.19</v>
      </c>
      <c r="H2126" t="s">
        <v>11</v>
      </c>
      <c r="I2126" t="s">
        <v>11</v>
      </c>
      <c r="J2126" t="s">
        <v>42</v>
      </c>
    </row>
    <row r="2127" spans="1:10" x14ac:dyDescent="0.3">
      <c r="A2127" t="s">
        <v>2158</v>
      </c>
      <c r="B2127">
        <v>1992</v>
      </c>
      <c r="C2127" t="s">
        <v>20</v>
      </c>
      <c r="D2127">
        <v>13</v>
      </c>
      <c r="E2127" s="13" t="s">
        <v>12660</v>
      </c>
      <c r="F2127">
        <v>0</v>
      </c>
      <c r="G2127" s="11">
        <v>35547.47</v>
      </c>
      <c r="H2127" t="s">
        <v>11</v>
      </c>
      <c r="I2127" t="s">
        <v>12</v>
      </c>
      <c r="J2127" t="s">
        <v>42</v>
      </c>
    </row>
    <row r="2128" spans="1:10" x14ac:dyDescent="0.3">
      <c r="A2128" t="s">
        <v>2159</v>
      </c>
      <c r="B2128">
        <v>1973</v>
      </c>
      <c r="C2128" t="s">
        <v>37</v>
      </c>
      <c r="D2128">
        <v>27</v>
      </c>
      <c r="E2128" s="13" t="s">
        <v>12661</v>
      </c>
      <c r="F2128">
        <v>0</v>
      </c>
      <c r="G2128" s="11">
        <v>35547.72</v>
      </c>
      <c r="H2128" t="s">
        <v>16</v>
      </c>
      <c r="I2128" t="s">
        <v>16</v>
      </c>
      <c r="J2128" t="s">
        <v>42</v>
      </c>
    </row>
    <row r="2129" spans="1:10" x14ac:dyDescent="0.3">
      <c r="A2129" t="s">
        <v>2160</v>
      </c>
      <c r="B2129">
        <v>1964</v>
      </c>
      <c r="C2129" t="s">
        <v>35</v>
      </c>
      <c r="D2129">
        <v>29</v>
      </c>
      <c r="E2129" s="13" t="s">
        <v>11020</v>
      </c>
      <c r="F2129">
        <v>0</v>
      </c>
      <c r="G2129" s="11">
        <v>35573.26</v>
      </c>
      <c r="H2129" t="s">
        <v>11</v>
      </c>
      <c r="I2129" t="s">
        <v>16</v>
      </c>
      <c r="J2129" t="s">
        <v>42</v>
      </c>
    </row>
    <row r="2130" spans="1:10" x14ac:dyDescent="0.3">
      <c r="A2130" t="s">
        <v>2161</v>
      </c>
      <c r="B2130">
        <v>1971</v>
      </c>
      <c r="C2130" t="s">
        <v>35</v>
      </c>
      <c r="D2130">
        <v>10</v>
      </c>
      <c r="E2130" s="13" t="s">
        <v>12238</v>
      </c>
      <c r="F2130">
        <v>0</v>
      </c>
      <c r="G2130" s="11">
        <v>35583.17</v>
      </c>
      <c r="H2130" t="s">
        <v>16</v>
      </c>
      <c r="I2130" t="s">
        <v>12</v>
      </c>
      <c r="J2130" t="s">
        <v>42</v>
      </c>
    </row>
    <row r="2131" spans="1:10" x14ac:dyDescent="0.3">
      <c r="A2131" t="s">
        <v>31</v>
      </c>
      <c r="B2131">
        <v>2000</v>
      </c>
      <c r="C2131" t="s">
        <v>37</v>
      </c>
      <c r="D2131">
        <v>13</v>
      </c>
      <c r="E2131" t="s">
        <v>12662</v>
      </c>
      <c r="F2131">
        <v>0</v>
      </c>
      <c r="G2131">
        <v>35585.58</v>
      </c>
      <c r="H2131" t="s">
        <v>16</v>
      </c>
      <c r="I2131" t="s">
        <v>11</v>
      </c>
      <c r="J2131" t="s">
        <v>42</v>
      </c>
    </row>
    <row r="2132" spans="1:10" x14ac:dyDescent="0.3">
      <c r="A2132" t="s">
        <v>2162</v>
      </c>
      <c r="B2132">
        <v>2000</v>
      </c>
      <c r="C2132" t="s">
        <v>15</v>
      </c>
      <c r="D2132">
        <v>19</v>
      </c>
      <c r="E2132" s="13" t="s">
        <v>12663</v>
      </c>
      <c r="F2132">
        <v>0</v>
      </c>
      <c r="G2132" s="11">
        <v>35585.58</v>
      </c>
      <c r="H2132" t="s">
        <v>11</v>
      </c>
      <c r="I2132" t="s">
        <v>12</v>
      </c>
      <c r="J2132" t="s">
        <v>42</v>
      </c>
    </row>
    <row r="2133" spans="1:10" x14ac:dyDescent="0.3">
      <c r="A2133" t="s">
        <v>2163</v>
      </c>
      <c r="B2133">
        <v>2000</v>
      </c>
      <c r="C2133" t="s">
        <v>30</v>
      </c>
      <c r="D2133">
        <v>17</v>
      </c>
      <c r="E2133" s="13" t="s">
        <v>11177</v>
      </c>
      <c r="F2133">
        <v>3</v>
      </c>
      <c r="G2133" s="11">
        <v>35595.589999999997</v>
      </c>
      <c r="H2133" t="s">
        <v>11</v>
      </c>
      <c r="I2133" t="s">
        <v>12</v>
      </c>
      <c r="J2133" t="s">
        <v>13</v>
      </c>
    </row>
    <row r="2134" spans="1:10" x14ac:dyDescent="0.3">
      <c r="A2134" t="s">
        <v>2164</v>
      </c>
      <c r="B2134">
        <v>1978</v>
      </c>
      <c r="C2134" t="s">
        <v>30</v>
      </c>
      <c r="D2134">
        <v>19</v>
      </c>
      <c r="E2134" s="13" t="s">
        <v>11438</v>
      </c>
      <c r="F2134">
        <v>2</v>
      </c>
      <c r="G2134" s="11">
        <v>35701.9</v>
      </c>
      <c r="H2134" t="s">
        <v>11</v>
      </c>
      <c r="I2134" t="s">
        <v>16</v>
      </c>
      <c r="J2134" t="s">
        <v>42</v>
      </c>
    </row>
    <row r="2135" spans="1:10" x14ac:dyDescent="0.3">
      <c r="A2135" t="s">
        <v>2165</v>
      </c>
      <c r="B2135">
        <v>1974</v>
      </c>
      <c r="C2135" t="s">
        <v>10</v>
      </c>
      <c r="D2135">
        <v>15</v>
      </c>
      <c r="E2135" s="13" t="s">
        <v>12664</v>
      </c>
      <c r="F2135">
        <v>0</v>
      </c>
      <c r="G2135" s="11">
        <v>35711.39</v>
      </c>
      <c r="H2135" t="s">
        <v>11</v>
      </c>
      <c r="I2135" t="s">
        <v>12</v>
      </c>
      <c r="J2135" t="s">
        <v>23</v>
      </c>
    </row>
    <row r="2136" spans="1:10" x14ac:dyDescent="0.3">
      <c r="A2136" t="s">
        <v>2166</v>
      </c>
      <c r="B2136">
        <v>1976</v>
      </c>
      <c r="C2136" t="s">
        <v>37</v>
      </c>
      <c r="D2136">
        <v>4</v>
      </c>
      <c r="E2136" s="13" t="s">
        <v>12665</v>
      </c>
      <c r="F2136">
        <v>2</v>
      </c>
      <c r="G2136" s="11">
        <v>35733.96</v>
      </c>
      <c r="H2136" t="s">
        <v>11</v>
      </c>
      <c r="I2136" t="s">
        <v>11</v>
      </c>
      <c r="J2136" t="s">
        <v>42</v>
      </c>
    </row>
    <row r="2137" spans="1:10" x14ac:dyDescent="0.3">
      <c r="A2137" t="s">
        <v>2167</v>
      </c>
      <c r="B2137">
        <v>1992</v>
      </c>
      <c r="C2137" t="s">
        <v>18</v>
      </c>
      <c r="D2137">
        <v>18</v>
      </c>
      <c r="E2137" s="13" t="s">
        <v>12666</v>
      </c>
      <c r="F2137">
        <v>0</v>
      </c>
      <c r="G2137" s="11">
        <v>35883.269999999997</v>
      </c>
      <c r="H2137" t="s">
        <v>11</v>
      </c>
      <c r="I2137" t="s">
        <v>16</v>
      </c>
      <c r="J2137" t="s">
        <v>42</v>
      </c>
    </row>
    <row r="2138" spans="1:10" x14ac:dyDescent="0.3">
      <c r="A2138" t="s">
        <v>2168</v>
      </c>
      <c r="B2138">
        <v>1981</v>
      </c>
      <c r="C2138" t="s">
        <v>15</v>
      </c>
      <c r="D2138">
        <v>22</v>
      </c>
      <c r="E2138" s="13" t="s">
        <v>11533</v>
      </c>
      <c r="F2138">
        <v>1</v>
      </c>
      <c r="G2138" s="11">
        <v>35952.65</v>
      </c>
      <c r="H2138" t="s">
        <v>16</v>
      </c>
      <c r="I2138" t="s">
        <v>12</v>
      </c>
      <c r="J2138" t="s">
        <v>42</v>
      </c>
    </row>
    <row r="2139" spans="1:10" x14ac:dyDescent="0.3">
      <c r="A2139" t="s">
        <v>2169</v>
      </c>
      <c r="B2139">
        <v>1999</v>
      </c>
      <c r="C2139" t="s">
        <v>20</v>
      </c>
      <c r="D2139">
        <v>4</v>
      </c>
      <c r="E2139" s="13" t="s">
        <v>12667</v>
      </c>
      <c r="F2139">
        <v>2</v>
      </c>
      <c r="G2139" s="11">
        <v>36021.01</v>
      </c>
      <c r="H2139" t="s">
        <v>11</v>
      </c>
      <c r="I2139" t="s">
        <v>12</v>
      </c>
      <c r="J2139" t="s">
        <v>13</v>
      </c>
    </row>
    <row r="2140" spans="1:10" x14ac:dyDescent="0.3">
      <c r="A2140" t="s">
        <v>2170</v>
      </c>
      <c r="B2140">
        <v>1963</v>
      </c>
      <c r="C2140" t="s">
        <v>10</v>
      </c>
      <c r="D2140">
        <v>22</v>
      </c>
      <c r="E2140" s="13" t="s">
        <v>12668</v>
      </c>
      <c r="F2140">
        <v>0</v>
      </c>
      <c r="G2140" s="11">
        <v>36074.339999999997</v>
      </c>
      <c r="H2140" t="s">
        <v>11</v>
      </c>
      <c r="I2140" t="s">
        <v>16</v>
      </c>
      <c r="J2140" t="s">
        <v>42</v>
      </c>
    </row>
    <row r="2141" spans="1:10" x14ac:dyDescent="0.3">
      <c r="A2141" t="s">
        <v>2171</v>
      </c>
      <c r="B2141">
        <v>1996</v>
      </c>
      <c r="C2141" t="s">
        <v>35</v>
      </c>
      <c r="D2141">
        <v>20</v>
      </c>
      <c r="E2141" s="13" t="s">
        <v>11651</v>
      </c>
      <c r="F2141">
        <v>2</v>
      </c>
      <c r="G2141" s="11">
        <v>36085.22</v>
      </c>
      <c r="H2141" t="s">
        <v>16</v>
      </c>
      <c r="I2141" t="s">
        <v>16</v>
      </c>
      <c r="J2141" t="s">
        <v>42</v>
      </c>
    </row>
    <row r="2142" spans="1:10" x14ac:dyDescent="0.3">
      <c r="A2142" t="s">
        <v>2172</v>
      </c>
      <c r="B2142">
        <v>1979</v>
      </c>
      <c r="C2142" t="s">
        <v>15</v>
      </c>
      <c r="D2142">
        <v>4</v>
      </c>
      <c r="E2142" s="13" t="s">
        <v>10914</v>
      </c>
      <c r="F2142">
        <v>2</v>
      </c>
      <c r="G2142" s="11">
        <v>36090.49</v>
      </c>
      <c r="H2142" t="s">
        <v>11</v>
      </c>
      <c r="I2142" t="s">
        <v>11</v>
      </c>
      <c r="J2142" t="s">
        <v>42</v>
      </c>
    </row>
    <row r="2143" spans="1:10" x14ac:dyDescent="0.3">
      <c r="A2143" t="s">
        <v>2173</v>
      </c>
      <c r="B2143">
        <v>1997</v>
      </c>
      <c r="C2143" t="s">
        <v>18</v>
      </c>
      <c r="D2143">
        <v>12</v>
      </c>
      <c r="E2143" s="13" t="s">
        <v>12669</v>
      </c>
      <c r="F2143">
        <v>2</v>
      </c>
      <c r="G2143" s="11">
        <v>36124.57</v>
      </c>
      <c r="H2143" t="s">
        <v>16</v>
      </c>
      <c r="I2143" t="s">
        <v>12</v>
      </c>
      <c r="J2143" t="s">
        <v>13</v>
      </c>
    </row>
    <row r="2144" spans="1:10" x14ac:dyDescent="0.3">
      <c r="A2144" t="s">
        <v>2174</v>
      </c>
      <c r="B2144">
        <v>2004</v>
      </c>
      <c r="C2144" t="s">
        <v>35</v>
      </c>
      <c r="D2144">
        <v>30</v>
      </c>
      <c r="E2144" s="13" t="s">
        <v>12670</v>
      </c>
      <c r="F2144">
        <v>0</v>
      </c>
      <c r="G2144" s="11">
        <v>36149.480000000003</v>
      </c>
      <c r="H2144" t="s">
        <v>11</v>
      </c>
      <c r="I2144" t="s">
        <v>11</v>
      </c>
      <c r="J2144" t="s">
        <v>13</v>
      </c>
    </row>
    <row r="2145" spans="1:10" x14ac:dyDescent="0.3">
      <c r="A2145" t="s">
        <v>2175</v>
      </c>
      <c r="B2145">
        <v>1974</v>
      </c>
      <c r="C2145" t="s">
        <v>30</v>
      </c>
      <c r="D2145">
        <v>6</v>
      </c>
      <c r="E2145" s="13" t="s">
        <v>12671</v>
      </c>
      <c r="F2145">
        <v>0</v>
      </c>
      <c r="G2145" s="11">
        <v>36182.870000000003</v>
      </c>
      <c r="H2145" t="s">
        <v>11</v>
      </c>
      <c r="I2145" t="s">
        <v>12</v>
      </c>
      <c r="J2145" t="s">
        <v>23</v>
      </c>
    </row>
    <row r="2146" spans="1:10" x14ac:dyDescent="0.3">
      <c r="A2146" t="s">
        <v>2176</v>
      </c>
      <c r="B2146">
        <v>1999</v>
      </c>
      <c r="C2146" t="s">
        <v>37</v>
      </c>
      <c r="D2146">
        <v>1</v>
      </c>
      <c r="E2146" s="13" t="s">
        <v>12672</v>
      </c>
      <c r="F2146">
        <v>3</v>
      </c>
      <c r="G2146" s="11">
        <v>36189.1</v>
      </c>
      <c r="H2146" t="s">
        <v>16</v>
      </c>
      <c r="I2146" t="s">
        <v>12</v>
      </c>
      <c r="J2146" t="s">
        <v>168</v>
      </c>
    </row>
    <row r="2147" spans="1:10" x14ac:dyDescent="0.3">
      <c r="A2147" t="s">
        <v>2177</v>
      </c>
      <c r="B2147">
        <v>1993</v>
      </c>
      <c r="C2147" t="s">
        <v>30</v>
      </c>
      <c r="D2147">
        <v>28</v>
      </c>
      <c r="E2147" s="13" t="s">
        <v>12673</v>
      </c>
      <c r="F2147">
        <v>0</v>
      </c>
      <c r="G2147" s="11">
        <v>36197.699999999997</v>
      </c>
      <c r="H2147" t="s">
        <v>16</v>
      </c>
      <c r="I2147" t="s">
        <v>12</v>
      </c>
      <c r="J2147" t="s">
        <v>42</v>
      </c>
    </row>
    <row r="2148" spans="1:10" x14ac:dyDescent="0.3">
      <c r="A2148" t="s">
        <v>2178</v>
      </c>
      <c r="B2148">
        <v>2003</v>
      </c>
      <c r="C2148" t="s">
        <v>20</v>
      </c>
      <c r="D2148">
        <v>5</v>
      </c>
      <c r="E2148" s="13" t="s">
        <v>11920</v>
      </c>
      <c r="F2148">
        <v>0</v>
      </c>
      <c r="G2148" s="11">
        <v>36219.410000000003</v>
      </c>
      <c r="H2148" t="s">
        <v>16</v>
      </c>
      <c r="I2148" t="s">
        <v>16</v>
      </c>
      <c r="J2148" t="s">
        <v>23</v>
      </c>
    </row>
    <row r="2149" spans="1:10" x14ac:dyDescent="0.3">
      <c r="A2149" t="s">
        <v>2179</v>
      </c>
      <c r="B2149">
        <v>2004</v>
      </c>
      <c r="C2149" t="s">
        <v>30</v>
      </c>
      <c r="D2149">
        <v>25</v>
      </c>
      <c r="E2149" s="13" t="s">
        <v>12674</v>
      </c>
      <c r="F2149">
        <v>0</v>
      </c>
      <c r="G2149" s="11">
        <v>36307.800000000003</v>
      </c>
      <c r="H2149" t="s">
        <v>16</v>
      </c>
      <c r="I2149" t="s">
        <v>11</v>
      </c>
      <c r="J2149" t="s">
        <v>13</v>
      </c>
    </row>
    <row r="2150" spans="1:10" x14ac:dyDescent="0.3">
      <c r="A2150" t="s">
        <v>2180</v>
      </c>
      <c r="B2150">
        <v>1992</v>
      </c>
      <c r="C2150" t="s">
        <v>18</v>
      </c>
      <c r="D2150">
        <v>16</v>
      </c>
      <c r="E2150" s="13" t="s">
        <v>12675</v>
      </c>
      <c r="F2150">
        <v>0</v>
      </c>
      <c r="G2150" s="11">
        <v>36314.050000000003</v>
      </c>
      <c r="H2150" t="s">
        <v>11</v>
      </c>
      <c r="I2150" t="s">
        <v>11</v>
      </c>
      <c r="J2150" t="s">
        <v>42</v>
      </c>
    </row>
    <row r="2151" spans="1:10" x14ac:dyDescent="0.3">
      <c r="A2151" t="s">
        <v>2181</v>
      </c>
      <c r="B2151">
        <v>1967</v>
      </c>
      <c r="C2151" t="s">
        <v>37</v>
      </c>
      <c r="D2151">
        <v>18</v>
      </c>
      <c r="E2151" s="13" t="s">
        <v>12676</v>
      </c>
      <c r="F2151">
        <v>0</v>
      </c>
      <c r="G2151" s="11">
        <v>36332.449999999997</v>
      </c>
      <c r="H2151" t="s">
        <v>16</v>
      </c>
      <c r="I2151" t="s">
        <v>12</v>
      </c>
      <c r="J2151" t="s">
        <v>42</v>
      </c>
    </row>
    <row r="2152" spans="1:10" x14ac:dyDescent="0.3">
      <c r="A2152" t="s">
        <v>2182</v>
      </c>
      <c r="B2152">
        <v>1975</v>
      </c>
      <c r="C2152" t="s">
        <v>18</v>
      </c>
      <c r="D2152">
        <v>5</v>
      </c>
      <c r="E2152" s="13" t="s">
        <v>11247</v>
      </c>
      <c r="F2152">
        <v>1</v>
      </c>
      <c r="G2152" s="11">
        <v>36350.71</v>
      </c>
      <c r="H2152" t="s">
        <v>16</v>
      </c>
      <c r="I2152" t="s">
        <v>11</v>
      </c>
      <c r="J2152" t="s">
        <v>42</v>
      </c>
    </row>
    <row r="2153" spans="1:10" x14ac:dyDescent="0.3">
      <c r="A2153" t="s">
        <v>2183</v>
      </c>
      <c r="B2153">
        <v>2003</v>
      </c>
      <c r="C2153" t="s">
        <v>30</v>
      </c>
      <c r="D2153">
        <v>9</v>
      </c>
      <c r="E2153" s="13" t="s">
        <v>12677</v>
      </c>
      <c r="F2153">
        <v>2</v>
      </c>
      <c r="G2153" s="11">
        <v>36397.58</v>
      </c>
      <c r="H2153" t="s">
        <v>11</v>
      </c>
      <c r="I2153" t="s">
        <v>12</v>
      </c>
      <c r="J2153" t="s">
        <v>42</v>
      </c>
    </row>
    <row r="2154" spans="1:10" x14ac:dyDescent="0.3">
      <c r="A2154" t="s">
        <v>2184</v>
      </c>
      <c r="B2154">
        <v>1962</v>
      </c>
      <c r="C2154" t="s">
        <v>15</v>
      </c>
      <c r="D2154">
        <v>19</v>
      </c>
      <c r="E2154" s="13" t="s">
        <v>12678</v>
      </c>
      <c r="F2154">
        <v>0</v>
      </c>
      <c r="G2154" s="11">
        <v>36445.550000000003</v>
      </c>
      <c r="H2154" t="s">
        <v>11</v>
      </c>
      <c r="I2154" t="s">
        <v>11</v>
      </c>
      <c r="J2154" t="s">
        <v>42</v>
      </c>
    </row>
    <row r="2155" spans="1:10" x14ac:dyDescent="0.3">
      <c r="A2155" t="s">
        <v>2185</v>
      </c>
      <c r="B2155">
        <v>1973</v>
      </c>
      <c r="C2155" t="s">
        <v>35</v>
      </c>
      <c r="D2155">
        <v>9</v>
      </c>
      <c r="E2155" s="13" t="s">
        <v>12679</v>
      </c>
      <c r="F2155">
        <v>0</v>
      </c>
      <c r="G2155" s="11">
        <v>36541.550000000003</v>
      </c>
      <c r="H2155" t="s">
        <v>11</v>
      </c>
      <c r="I2155" t="s">
        <v>12</v>
      </c>
      <c r="J2155" t="s">
        <v>42</v>
      </c>
    </row>
    <row r="2156" spans="1:10" x14ac:dyDescent="0.3">
      <c r="A2156" t="s">
        <v>2186</v>
      </c>
      <c r="B2156">
        <v>1992</v>
      </c>
      <c r="C2156" t="s">
        <v>37</v>
      </c>
      <c r="D2156">
        <v>9</v>
      </c>
      <c r="E2156" s="13" t="s">
        <v>12680</v>
      </c>
      <c r="F2156">
        <v>0</v>
      </c>
      <c r="G2156" s="11">
        <v>36572.800000000003</v>
      </c>
      <c r="H2156" t="s">
        <v>16</v>
      </c>
      <c r="I2156" t="s">
        <v>11</v>
      </c>
      <c r="J2156" t="s">
        <v>42</v>
      </c>
    </row>
    <row r="2157" spans="1:10" x14ac:dyDescent="0.3">
      <c r="A2157" t="s">
        <v>2187</v>
      </c>
      <c r="B2157">
        <v>1961</v>
      </c>
      <c r="C2157" t="s">
        <v>10</v>
      </c>
      <c r="D2157">
        <v>29</v>
      </c>
      <c r="E2157" s="13" t="s">
        <v>12681</v>
      </c>
      <c r="F2157">
        <v>4</v>
      </c>
      <c r="G2157" s="11">
        <v>36580.28</v>
      </c>
      <c r="H2157" t="s">
        <v>11</v>
      </c>
      <c r="I2157" t="s">
        <v>11</v>
      </c>
      <c r="J2157" t="s">
        <v>13</v>
      </c>
    </row>
    <row r="2158" spans="1:10" x14ac:dyDescent="0.3">
      <c r="A2158" t="s">
        <v>2188</v>
      </c>
      <c r="B2158">
        <v>1970</v>
      </c>
      <c r="C2158" t="s">
        <v>10</v>
      </c>
      <c r="D2158">
        <v>14</v>
      </c>
      <c r="E2158" s="13" t="s">
        <v>12682</v>
      </c>
      <c r="F2158">
        <v>0</v>
      </c>
      <c r="G2158" s="11">
        <v>36786.370000000003</v>
      </c>
      <c r="H2158" t="s">
        <v>16</v>
      </c>
      <c r="I2158" t="s">
        <v>16</v>
      </c>
      <c r="J2158" t="s">
        <v>42</v>
      </c>
    </row>
    <row r="2159" spans="1:10" x14ac:dyDescent="0.3">
      <c r="A2159" t="s">
        <v>2189</v>
      </c>
      <c r="B2159">
        <v>1965</v>
      </c>
      <c r="C2159" t="s">
        <v>30</v>
      </c>
      <c r="D2159">
        <v>28</v>
      </c>
      <c r="E2159" s="13" t="s">
        <v>12683</v>
      </c>
      <c r="F2159">
        <v>0</v>
      </c>
      <c r="G2159" s="11">
        <v>36795.29</v>
      </c>
      <c r="H2159" t="s">
        <v>11</v>
      </c>
      <c r="I2159" t="s">
        <v>16</v>
      </c>
      <c r="J2159" t="s">
        <v>42</v>
      </c>
    </row>
    <row r="2160" spans="1:10" x14ac:dyDescent="0.3">
      <c r="A2160" t="s">
        <v>31</v>
      </c>
      <c r="B2160">
        <v>1992</v>
      </c>
      <c r="C2160" t="s">
        <v>37</v>
      </c>
      <c r="D2160">
        <v>6</v>
      </c>
      <c r="E2160" t="s">
        <v>12684</v>
      </c>
      <c r="F2160">
        <v>0</v>
      </c>
      <c r="G2160">
        <v>36837.47</v>
      </c>
      <c r="H2160" t="s">
        <v>16</v>
      </c>
      <c r="I2160" t="s">
        <v>11</v>
      </c>
      <c r="J2160" t="s">
        <v>42</v>
      </c>
    </row>
    <row r="2161" spans="1:10" x14ac:dyDescent="0.3">
      <c r="A2161" t="s">
        <v>2190</v>
      </c>
      <c r="B2161">
        <v>1992</v>
      </c>
      <c r="C2161" t="s">
        <v>10</v>
      </c>
      <c r="D2161">
        <v>4</v>
      </c>
      <c r="E2161" s="13" t="s">
        <v>12685</v>
      </c>
      <c r="F2161">
        <v>0</v>
      </c>
      <c r="G2161" s="11">
        <v>36837.47</v>
      </c>
      <c r="H2161" t="s">
        <v>11</v>
      </c>
      <c r="I2161" t="s">
        <v>12</v>
      </c>
      <c r="J2161" t="s">
        <v>42</v>
      </c>
    </row>
    <row r="2162" spans="1:10" x14ac:dyDescent="0.3">
      <c r="A2162" t="s">
        <v>2191</v>
      </c>
      <c r="B2162">
        <v>1972</v>
      </c>
      <c r="C2162" t="s">
        <v>30</v>
      </c>
      <c r="D2162">
        <v>5</v>
      </c>
      <c r="E2162" s="13" t="s">
        <v>12686</v>
      </c>
      <c r="F2162">
        <v>0</v>
      </c>
      <c r="G2162" s="11">
        <v>36889.99</v>
      </c>
      <c r="H2162" t="s">
        <v>16</v>
      </c>
      <c r="I2162" t="s">
        <v>12</v>
      </c>
      <c r="J2162" t="s">
        <v>42</v>
      </c>
    </row>
    <row r="2163" spans="1:10" x14ac:dyDescent="0.3">
      <c r="A2163" t="s">
        <v>2192</v>
      </c>
      <c r="B2163">
        <v>2003</v>
      </c>
      <c r="C2163" t="s">
        <v>18</v>
      </c>
      <c r="D2163">
        <v>21</v>
      </c>
      <c r="E2163" s="13" t="s">
        <v>12687</v>
      </c>
      <c r="F2163">
        <v>0</v>
      </c>
      <c r="G2163" s="11">
        <v>36898.730000000003</v>
      </c>
      <c r="H2163" t="s">
        <v>11</v>
      </c>
      <c r="I2163" t="s">
        <v>16</v>
      </c>
      <c r="J2163" t="s">
        <v>23</v>
      </c>
    </row>
    <row r="2164" spans="1:10" x14ac:dyDescent="0.3">
      <c r="A2164" t="s">
        <v>2193</v>
      </c>
      <c r="B2164">
        <v>1963</v>
      </c>
      <c r="C2164" t="s">
        <v>10</v>
      </c>
      <c r="D2164">
        <v>24</v>
      </c>
      <c r="E2164" s="13" t="s">
        <v>10759</v>
      </c>
      <c r="F2164">
        <v>2</v>
      </c>
      <c r="G2164" s="11">
        <v>36910.61</v>
      </c>
      <c r="H2164" t="s">
        <v>11</v>
      </c>
      <c r="I2164" t="s">
        <v>11</v>
      </c>
      <c r="J2164" t="s">
        <v>42</v>
      </c>
    </row>
    <row r="2165" spans="1:10" x14ac:dyDescent="0.3">
      <c r="A2165" t="s">
        <v>2194</v>
      </c>
      <c r="B2165">
        <v>1991</v>
      </c>
      <c r="C2165" t="s">
        <v>18</v>
      </c>
      <c r="D2165">
        <v>10</v>
      </c>
      <c r="E2165" s="13" t="s">
        <v>12688</v>
      </c>
      <c r="F2165">
        <v>3</v>
      </c>
      <c r="G2165" s="11">
        <v>36911.99</v>
      </c>
      <c r="H2165" t="s">
        <v>11</v>
      </c>
      <c r="I2165" t="s">
        <v>11</v>
      </c>
      <c r="J2165" t="s">
        <v>42</v>
      </c>
    </row>
    <row r="2166" spans="1:10" x14ac:dyDescent="0.3">
      <c r="A2166" t="s">
        <v>2195</v>
      </c>
      <c r="B2166">
        <v>1968</v>
      </c>
      <c r="C2166" t="s">
        <v>37</v>
      </c>
      <c r="D2166">
        <v>22</v>
      </c>
      <c r="E2166" s="13" t="s">
        <v>12316</v>
      </c>
      <c r="F2166">
        <v>0</v>
      </c>
      <c r="G2166" s="11">
        <v>36922.61</v>
      </c>
      <c r="H2166" t="s">
        <v>11</v>
      </c>
      <c r="I2166" t="s">
        <v>16</v>
      </c>
      <c r="J2166" t="s">
        <v>42</v>
      </c>
    </row>
    <row r="2167" spans="1:10" x14ac:dyDescent="0.3">
      <c r="A2167" t="s">
        <v>2196</v>
      </c>
      <c r="B2167">
        <v>1977</v>
      </c>
      <c r="C2167" t="s">
        <v>35</v>
      </c>
      <c r="D2167">
        <v>13</v>
      </c>
      <c r="E2167" s="13" t="s">
        <v>12689</v>
      </c>
      <c r="F2167">
        <v>2</v>
      </c>
      <c r="G2167" s="11">
        <v>36935.64</v>
      </c>
      <c r="H2167" t="s">
        <v>11</v>
      </c>
      <c r="I2167" t="s">
        <v>16</v>
      </c>
      <c r="J2167" t="s">
        <v>42</v>
      </c>
    </row>
    <row r="2168" spans="1:10" x14ac:dyDescent="0.3">
      <c r="A2168" t="s">
        <v>2197</v>
      </c>
      <c r="B2168">
        <v>1992</v>
      </c>
      <c r="C2168" t="s">
        <v>35</v>
      </c>
      <c r="D2168">
        <v>25</v>
      </c>
      <c r="E2168" s="13" t="s">
        <v>12637</v>
      </c>
      <c r="F2168">
        <v>0</v>
      </c>
      <c r="G2168" s="11">
        <v>36950.26</v>
      </c>
      <c r="H2168" t="s">
        <v>16</v>
      </c>
      <c r="I2168" t="s">
        <v>16</v>
      </c>
      <c r="J2168" t="s">
        <v>13</v>
      </c>
    </row>
    <row r="2169" spans="1:10" x14ac:dyDescent="0.3">
      <c r="A2169" t="s">
        <v>2198</v>
      </c>
      <c r="B2169">
        <v>1992</v>
      </c>
      <c r="C2169" t="s">
        <v>20</v>
      </c>
      <c r="D2169">
        <v>13</v>
      </c>
      <c r="E2169" s="13" t="s">
        <v>12690</v>
      </c>
      <c r="F2169">
        <v>0</v>
      </c>
      <c r="G2169" s="11">
        <v>36976.449999999997</v>
      </c>
      <c r="H2169" t="s">
        <v>11</v>
      </c>
      <c r="I2169" t="s">
        <v>12</v>
      </c>
      <c r="J2169" t="s">
        <v>42</v>
      </c>
    </row>
    <row r="2170" spans="1:10" x14ac:dyDescent="0.3">
      <c r="A2170" t="s">
        <v>2199</v>
      </c>
      <c r="B2170">
        <v>1991</v>
      </c>
      <c r="C2170" t="s">
        <v>15</v>
      </c>
      <c r="D2170">
        <v>1</v>
      </c>
      <c r="E2170" s="13" t="s">
        <v>12691</v>
      </c>
      <c r="F2170">
        <v>3</v>
      </c>
      <c r="G2170" s="11">
        <v>37040.879999999997</v>
      </c>
      <c r="H2170" t="s">
        <v>11</v>
      </c>
      <c r="I2170" t="s">
        <v>11</v>
      </c>
      <c r="J2170" t="s">
        <v>42</v>
      </c>
    </row>
    <row r="2171" spans="1:10" x14ac:dyDescent="0.3">
      <c r="A2171" t="s">
        <v>2200</v>
      </c>
      <c r="B2171">
        <v>1988</v>
      </c>
      <c r="C2171" t="s">
        <v>30</v>
      </c>
      <c r="D2171">
        <v>17</v>
      </c>
      <c r="E2171" s="13" t="s">
        <v>12692</v>
      </c>
      <c r="F2171">
        <v>3</v>
      </c>
      <c r="G2171" s="11">
        <v>37076.370000000003</v>
      </c>
      <c r="H2171" t="s">
        <v>11</v>
      </c>
      <c r="I2171" t="s">
        <v>16</v>
      </c>
      <c r="J2171" t="s">
        <v>42</v>
      </c>
    </row>
    <row r="2172" spans="1:10" x14ac:dyDescent="0.3">
      <c r="A2172" t="s">
        <v>2201</v>
      </c>
      <c r="B2172">
        <v>1989</v>
      </c>
      <c r="C2172" t="s">
        <v>18</v>
      </c>
      <c r="D2172">
        <v>10</v>
      </c>
      <c r="E2172" s="13" t="s">
        <v>12693</v>
      </c>
      <c r="F2172">
        <v>0</v>
      </c>
      <c r="G2172" s="11">
        <v>37079.370000000003</v>
      </c>
      <c r="H2172" t="s">
        <v>11</v>
      </c>
      <c r="I2172" t="s">
        <v>12</v>
      </c>
      <c r="J2172" t="s">
        <v>42</v>
      </c>
    </row>
    <row r="2173" spans="1:10" x14ac:dyDescent="0.3">
      <c r="A2173" t="s">
        <v>2202</v>
      </c>
      <c r="B2173">
        <v>1995</v>
      </c>
      <c r="C2173" t="s">
        <v>37</v>
      </c>
      <c r="D2173">
        <v>30</v>
      </c>
      <c r="E2173" s="13" t="s">
        <v>12619</v>
      </c>
      <c r="F2173">
        <v>0</v>
      </c>
      <c r="G2173" s="11">
        <v>37133.9</v>
      </c>
      <c r="H2173" t="s">
        <v>11</v>
      </c>
      <c r="I2173" t="s">
        <v>11</v>
      </c>
      <c r="J2173" t="s">
        <v>13</v>
      </c>
    </row>
    <row r="2174" spans="1:10" x14ac:dyDescent="0.3">
      <c r="A2174" t="s">
        <v>2203</v>
      </c>
      <c r="B2174">
        <v>2000</v>
      </c>
      <c r="C2174" t="s">
        <v>20</v>
      </c>
      <c r="D2174">
        <v>5</v>
      </c>
      <c r="E2174" s="13" t="s">
        <v>12694</v>
      </c>
      <c r="F2174">
        <v>1</v>
      </c>
      <c r="G2174" s="11">
        <v>37165.160000000003</v>
      </c>
      <c r="H2174" t="s">
        <v>16</v>
      </c>
      <c r="I2174" t="s">
        <v>12</v>
      </c>
      <c r="J2174" t="s">
        <v>13</v>
      </c>
    </row>
    <row r="2175" spans="1:10" x14ac:dyDescent="0.3">
      <c r="A2175" t="s">
        <v>2204</v>
      </c>
      <c r="B2175">
        <v>1990</v>
      </c>
      <c r="C2175" t="s">
        <v>37</v>
      </c>
      <c r="D2175">
        <v>17</v>
      </c>
      <c r="E2175" s="13" t="s">
        <v>12695</v>
      </c>
      <c r="F2175">
        <v>3</v>
      </c>
      <c r="G2175" s="11">
        <v>37251.22</v>
      </c>
      <c r="H2175" t="s">
        <v>11</v>
      </c>
      <c r="I2175" t="s">
        <v>11</v>
      </c>
      <c r="J2175" t="s">
        <v>42</v>
      </c>
    </row>
    <row r="2176" spans="1:10" x14ac:dyDescent="0.3">
      <c r="A2176" t="s">
        <v>2205</v>
      </c>
      <c r="B2176">
        <v>1985</v>
      </c>
      <c r="C2176" t="s">
        <v>15</v>
      </c>
      <c r="D2176">
        <v>17</v>
      </c>
      <c r="E2176" s="13" t="s">
        <v>12696</v>
      </c>
      <c r="F2176">
        <v>0</v>
      </c>
      <c r="G2176" s="11">
        <v>37270.15</v>
      </c>
      <c r="H2176" t="s">
        <v>11</v>
      </c>
      <c r="I2176" t="s">
        <v>16</v>
      </c>
      <c r="J2176" t="s">
        <v>247</v>
      </c>
    </row>
    <row r="2177" spans="1:10" x14ac:dyDescent="0.3">
      <c r="A2177" t="s">
        <v>2206</v>
      </c>
      <c r="B2177">
        <v>1975</v>
      </c>
      <c r="C2177" t="s">
        <v>15</v>
      </c>
      <c r="D2177">
        <v>9</v>
      </c>
      <c r="E2177" s="13" t="s">
        <v>12697</v>
      </c>
      <c r="F2177">
        <v>1</v>
      </c>
      <c r="G2177" s="11">
        <v>37272.339999999997</v>
      </c>
      <c r="H2177" t="s">
        <v>11</v>
      </c>
      <c r="I2177" t="s">
        <v>12</v>
      </c>
      <c r="J2177" t="s">
        <v>42</v>
      </c>
    </row>
    <row r="2178" spans="1:10" x14ac:dyDescent="0.3">
      <c r="A2178" t="s">
        <v>2207</v>
      </c>
      <c r="B2178">
        <v>1969</v>
      </c>
      <c r="C2178" t="s">
        <v>37</v>
      </c>
      <c r="D2178">
        <v>30</v>
      </c>
      <c r="E2178" s="13" t="s">
        <v>12698</v>
      </c>
      <c r="F2178">
        <v>0</v>
      </c>
      <c r="G2178" s="11">
        <v>37277.269999999997</v>
      </c>
      <c r="H2178" t="s">
        <v>16</v>
      </c>
      <c r="I2178" t="s">
        <v>12</v>
      </c>
      <c r="J2178" t="s">
        <v>42</v>
      </c>
    </row>
    <row r="2179" spans="1:10" x14ac:dyDescent="0.3">
      <c r="A2179" t="s">
        <v>2208</v>
      </c>
      <c r="B2179">
        <v>1979</v>
      </c>
      <c r="C2179" t="s">
        <v>35</v>
      </c>
      <c r="D2179">
        <v>3</v>
      </c>
      <c r="E2179" s="13" t="s">
        <v>11960</v>
      </c>
      <c r="F2179">
        <v>2</v>
      </c>
      <c r="G2179" s="11">
        <v>37425.94</v>
      </c>
      <c r="H2179" t="s">
        <v>11</v>
      </c>
      <c r="I2179" t="s">
        <v>16</v>
      </c>
      <c r="J2179" t="s">
        <v>42</v>
      </c>
    </row>
    <row r="2180" spans="1:10" x14ac:dyDescent="0.3">
      <c r="A2180" t="s">
        <v>2209</v>
      </c>
      <c r="B2180">
        <v>2002</v>
      </c>
      <c r="C2180" t="s">
        <v>20</v>
      </c>
      <c r="D2180">
        <v>27</v>
      </c>
      <c r="E2180" s="13" t="s">
        <v>11521</v>
      </c>
      <c r="F2180">
        <v>3</v>
      </c>
      <c r="G2180" s="11">
        <v>37465.339999999997</v>
      </c>
      <c r="H2180" t="s">
        <v>16</v>
      </c>
      <c r="I2180" t="s">
        <v>11</v>
      </c>
      <c r="J2180" t="s">
        <v>23</v>
      </c>
    </row>
    <row r="2181" spans="1:10" x14ac:dyDescent="0.3">
      <c r="A2181" t="s">
        <v>2210</v>
      </c>
      <c r="B2181">
        <v>2000</v>
      </c>
      <c r="C2181" t="s">
        <v>37</v>
      </c>
      <c r="D2181">
        <v>12</v>
      </c>
      <c r="E2181" s="13" t="s">
        <v>12699</v>
      </c>
      <c r="F2181">
        <v>2</v>
      </c>
      <c r="G2181" s="11">
        <v>37484.449999999997</v>
      </c>
      <c r="H2181" t="s">
        <v>16</v>
      </c>
      <c r="I2181" t="s">
        <v>16</v>
      </c>
      <c r="J2181" t="s">
        <v>13</v>
      </c>
    </row>
    <row r="2182" spans="1:10" x14ac:dyDescent="0.3">
      <c r="A2182" t="s">
        <v>2211</v>
      </c>
      <c r="B2182">
        <v>1990</v>
      </c>
      <c r="C2182" t="s">
        <v>15</v>
      </c>
      <c r="D2182">
        <v>16</v>
      </c>
      <c r="E2182" s="13" t="s">
        <v>12700</v>
      </c>
      <c r="F2182">
        <v>1</v>
      </c>
      <c r="G2182" s="11">
        <v>37607.53</v>
      </c>
      <c r="H2182" t="s">
        <v>16</v>
      </c>
      <c r="I2182" t="s">
        <v>11</v>
      </c>
      <c r="J2182" t="s">
        <v>166</v>
      </c>
    </row>
    <row r="2183" spans="1:10" x14ac:dyDescent="0.3">
      <c r="A2183" t="s">
        <v>2212</v>
      </c>
      <c r="B2183">
        <v>1982</v>
      </c>
      <c r="C2183" t="s">
        <v>18</v>
      </c>
      <c r="D2183">
        <v>20</v>
      </c>
      <c r="E2183" s="13" t="s">
        <v>12701</v>
      </c>
      <c r="F2183">
        <v>3</v>
      </c>
      <c r="G2183" s="11">
        <v>37650.74</v>
      </c>
      <c r="H2183" t="s">
        <v>11</v>
      </c>
      <c r="I2183" t="s">
        <v>11</v>
      </c>
      <c r="J2183" t="s">
        <v>23</v>
      </c>
    </row>
    <row r="2184" spans="1:10" x14ac:dyDescent="0.3">
      <c r="A2184" t="s">
        <v>2213</v>
      </c>
      <c r="B2184">
        <v>1970</v>
      </c>
      <c r="C2184" t="s">
        <v>37</v>
      </c>
      <c r="D2184">
        <v>28</v>
      </c>
      <c r="E2184" s="13" t="s">
        <v>12702</v>
      </c>
      <c r="F2184">
        <v>0</v>
      </c>
      <c r="G2184" s="11">
        <v>37675.06</v>
      </c>
      <c r="H2184" t="s">
        <v>11</v>
      </c>
      <c r="I2184" t="s">
        <v>12</v>
      </c>
      <c r="J2184" t="s">
        <v>42</v>
      </c>
    </row>
    <row r="2185" spans="1:10" x14ac:dyDescent="0.3">
      <c r="A2185" t="s">
        <v>2214</v>
      </c>
      <c r="B2185">
        <v>1988</v>
      </c>
      <c r="C2185" t="s">
        <v>37</v>
      </c>
      <c r="D2185">
        <v>10</v>
      </c>
      <c r="E2185" s="13" t="s">
        <v>12703</v>
      </c>
      <c r="F2185">
        <v>1</v>
      </c>
      <c r="G2185" s="11">
        <v>37701.879999999997</v>
      </c>
      <c r="H2185" t="s">
        <v>11</v>
      </c>
      <c r="I2185" t="s">
        <v>12</v>
      </c>
      <c r="J2185" t="s">
        <v>249</v>
      </c>
    </row>
    <row r="2186" spans="1:10" x14ac:dyDescent="0.3">
      <c r="A2186" t="s">
        <v>2215</v>
      </c>
      <c r="B2186">
        <v>1976</v>
      </c>
      <c r="C2186" t="s">
        <v>20</v>
      </c>
      <c r="D2186">
        <v>18</v>
      </c>
      <c r="E2186" s="13" t="s">
        <v>12704</v>
      </c>
      <c r="F2186">
        <v>2</v>
      </c>
      <c r="G2186" s="11">
        <v>37735.199999999997</v>
      </c>
      <c r="H2186" t="s">
        <v>11</v>
      </c>
      <c r="I2186" t="s">
        <v>11</v>
      </c>
      <c r="J2186" t="s">
        <v>42</v>
      </c>
    </row>
    <row r="2187" spans="1:10" x14ac:dyDescent="0.3">
      <c r="A2187" t="s">
        <v>2216</v>
      </c>
      <c r="B2187">
        <v>1986</v>
      </c>
      <c r="C2187" t="s">
        <v>35</v>
      </c>
      <c r="D2187">
        <v>15</v>
      </c>
      <c r="E2187" s="13" t="s">
        <v>12705</v>
      </c>
      <c r="F2187">
        <v>0</v>
      </c>
      <c r="G2187" s="11">
        <v>37742.58</v>
      </c>
      <c r="H2187" t="s">
        <v>16</v>
      </c>
      <c r="I2187" t="s">
        <v>16</v>
      </c>
      <c r="J2187" t="s">
        <v>13</v>
      </c>
    </row>
    <row r="2188" spans="1:10" x14ac:dyDescent="0.3">
      <c r="A2188" t="s">
        <v>2217</v>
      </c>
      <c r="B2188">
        <v>1983</v>
      </c>
      <c r="C2188" t="s">
        <v>10</v>
      </c>
      <c r="D2188">
        <v>26</v>
      </c>
      <c r="E2188" s="13" t="s">
        <v>12706</v>
      </c>
      <c r="F2188">
        <v>3</v>
      </c>
      <c r="G2188" s="11">
        <v>37800.980000000003</v>
      </c>
      <c r="H2188" t="s">
        <v>11</v>
      </c>
      <c r="I2188" t="s">
        <v>11</v>
      </c>
      <c r="J2188" t="s">
        <v>42</v>
      </c>
    </row>
    <row r="2189" spans="1:10" x14ac:dyDescent="0.3">
      <c r="A2189" t="s">
        <v>2218</v>
      </c>
      <c r="B2189">
        <v>1979</v>
      </c>
      <c r="C2189" t="s">
        <v>20</v>
      </c>
      <c r="D2189">
        <v>9</v>
      </c>
      <c r="E2189" s="13" t="s">
        <v>12707</v>
      </c>
      <c r="F2189">
        <v>0</v>
      </c>
      <c r="G2189" s="11">
        <v>37829.72</v>
      </c>
      <c r="H2189" t="s">
        <v>16</v>
      </c>
      <c r="I2189" t="s">
        <v>11</v>
      </c>
      <c r="J2189" t="s">
        <v>42</v>
      </c>
    </row>
    <row r="2190" spans="1:10" x14ac:dyDescent="0.3">
      <c r="A2190" t="s">
        <v>2219</v>
      </c>
      <c r="B2190">
        <v>1998</v>
      </c>
      <c r="C2190" t="s">
        <v>10</v>
      </c>
      <c r="D2190">
        <v>29</v>
      </c>
      <c r="E2190" s="13" t="s">
        <v>12708</v>
      </c>
      <c r="F2190">
        <v>0</v>
      </c>
      <c r="G2190" s="11">
        <v>38126.25</v>
      </c>
      <c r="H2190" t="s">
        <v>16</v>
      </c>
      <c r="I2190" t="s">
        <v>12</v>
      </c>
      <c r="J2190" t="s">
        <v>13</v>
      </c>
    </row>
    <row r="2191" spans="1:10" x14ac:dyDescent="0.3">
      <c r="A2191" t="s">
        <v>2220</v>
      </c>
      <c r="B2191">
        <v>1972</v>
      </c>
      <c r="C2191" t="s">
        <v>15</v>
      </c>
      <c r="D2191">
        <v>19</v>
      </c>
      <c r="E2191" s="13" t="s">
        <v>12709</v>
      </c>
      <c r="F2191">
        <v>0</v>
      </c>
      <c r="G2191" s="11">
        <v>38189.1</v>
      </c>
      <c r="H2191" t="s">
        <v>11</v>
      </c>
      <c r="I2191" t="s">
        <v>11</v>
      </c>
      <c r="J2191" t="s">
        <v>42</v>
      </c>
    </row>
    <row r="2192" spans="1:10" x14ac:dyDescent="0.3">
      <c r="A2192" t="s">
        <v>2221</v>
      </c>
      <c r="B2192">
        <v>1989</v>
      </c>
      <c r="C2192" t="s">
        <v>20</v>
      </c>
      <c r="D2192">
        <v>8</v>
      </c>
      <c r="E2192" s="13" t="s">
        <v>12710</v>
      </c>
      <c r="F2192">
        <v>3</v>
      </c>
      <c r="G2192" s="11">
        <v>38237.339999999997</v>
      </c>
      <c r="H2192" t="s">
        <v>11</v>
      </c>
      <c r="I2192" t="s">
        <v>12</v>
      </c>
      <c r="J2192" t="s">
        <v>42</v>
      </c>
    </row>
    <row r="2193" spans="1:10" x14ac:dyDescent="0.3">
      <c r="A2193" t="s">
        <v>2222</v>
      </c>
      <c r="B2193">
        <v>1964</v>
      </c>
      <c r="C2193" t="s">
        <v>18</v>
      </c>
      <c r="D2193">
        <v>16</v>
      </c>
      <c r="E2193" s="13" t="s">
        <v>12711</v>
      </c>
      <c r="F2193">
        <v>0</v>
      </c>
      <c r="G2193" s="11">
        <v>38241.74</v>
      </c>
      <c r="H2193" t="s">
        <v>11</v>
      </c>
      <c r="I2193" t="s">
        <v>12</v>
      </c>
      <c r="J2193" t="s">
        <v>42</v>
      </c>
    </row>
    <row r="2194" spans="1:10" x14ac:dyDescent="0.3">
      <c r="A2194" t="s">
        <v>2223</v>
      </c>
      <c r="B2194">
        <v>1980</v>
      </c>
      <c r="C2194" t="s">
        <v>35</v>
      </c>
      <c r="D2194">
        <v>16</v>
      </c>
      <c r="E2194" s="13" t="s">
        <v>12712</v>
      </c>
      <c r="F2194">
        <v>1</v>
      </c>
      <c r="G2194" s="11">
        <v>38245.589999999997</v>
      </c>
      <c r="H2194" t="s">
        <v>16</v>
      </c>
      <c r="I2194" t="s">
        <v>11</v>
      </c>
      <c r="J2194" t="s">
        <v>13</v>
      </c>
    </row>
    <row r="2195" spans="1:10" x14ac:dyDescent="0.3">
      <c r="A2195" t="s">
        <v>2224</v>
      </c>
      <c r="B2195">
        <v>1989</v>
      </c>
      <c r="C2195" t="s">
        <v>37</v>
      </c>
      <c r="D2195">
        <v>30</v>
      </c>
      <c r="E2195" s="13" t="s">
        <v>12713</v>
      </c>
      <c r="F2195">
        <v>1</v>
      </c>
      <c r="G2195" s="11">
        <v>38282.75</v>
      </c>
      <c r="H2195" t="s">
        <v>16</v>
      </c>
      <c r="I2195" t="s">
        <v>11</v>
      </c>
      <c r="J2195" t="s">
        <v>13</v>
      </c>
    </row>
    <row r="2196" spans="1:10" x14ac:dyDescent="0.3">
      <c r="A2196" t="s">
        <v>2225</v>
      </c>
      <c r="B2196">
        <v>1980</v>
      </c>
      <c r="C2196" t="s">
        <v>18</v>
      </c>
      <c r="D2196">
        <v>12</v>
      </c>
      <c r="E2196" s="13" t="s">
        <v>10985</v>
      </c>
      <c r="F2196">
        <v>2</v>
      </c>
      <c r="G2196" s="11">
        <v>38313.129999999997</v>
      </c>
      <c r="H2196" t="s">
        <v>16</v>
      </c>
      <c r="I2196" t="s">
        <v>12</v>
      </c>
      <c r="J2196" t="s">
        <v>42</v>
      </c>
    </row>
    <row r="2197" spans="1:10" x14ac:dyDescent="0.3">
      <c r="A2197" t="s">
        <v>2226</v>
      </c>
      <c r="B2197">
        <v>2002</v>
      </c>
      <c r="C2197" t="s">
        <v>20</v>
      </c>
      <c r="D2197">
        <v>17</v>
      </c>
      <c r="E2197" s="13" t="s">
        <v>11240</v>
      </c>
      <c r="F2197">
        <v>2</v>
      </c>
      <c r="G2197" s="11">
        <v>38344.57</v>
      </c>
      <c r="H2197" t="s">
        <v>16</v>
      </c>
      <c r="I2197" t="s">
        <v>12</v>
      </c>
      <c r="J2197" t="s">
        <v>42</v>
      </c>
    </row>
    <row r="2198" spans="1:10" x14ac:dyDescent="0.3">
      <c r="A2198" t="s">
        <v>2227</v>
      </c>
      <c r="B2198">
        <v>1970</v>
      </c>
      <c r="C2198" t="s">
        <v>35</v>
      </c>
      <c r="D2198">
        <v>22</v>
      </c>
      <c r="E2198" s="13" t="s">
        <v>12714</v>
      </c>
      <c r="F2198">
        <v>0</v>
      </c>
      <c r="G2198" s="11">
        <v>38389.79</v>
      </c>
      <c r="H2198" t="s">
        <v>11</v>
      </c>
      <c r="I2198" t="s">
        <v>12</v>
      </c>
      <c r="J2198" t="s">
        <v>42</v>
      </c>
    </row>
    <row r="2199" spans="1:10" x14ac:dyDescent="0.3">
      <c r="A2199" t="s">
        <v>2228</v>
      </c>
      <c r="B2199">
        <v>1971</v>
      </c>
      <c r="C2199" t="s">
        <v>30</v>
      </c>
      <c r="D2199">
        <v>23</v>
      </c>
      <c r="E2199" s="13" t="s">
        <v>12715</v>
      </c>
      <c r="F2199">
        <v>0</v>
      </c>
      <c r="G2199" s="11">
        <v>38405.26</v>
      </c>
      <c r="H2199" t="s">
        <v>11</v>
      </c>
      <c r="I2199" t="s">
        <v>16</v>
      </c>
      <c r="J2199" t="s">
        <v>42</v>
      </c>
    </row>
    <row r="2200" spans="1:10" x14ac:dyDescent="0.3">
      <c r="A2200" t="s">
        <v>2229</v>
      </c>
      <c r="B2200">
        <v>1986</v>
      </c>
      <c r="C2200" t="s">
        <v>18</v>
      </c>
      <c r="D2200">
        <v>21</v>
      </c>
      <c r="E2200" s="13" t="s">
        <v>12716</v>
      </c>
      <c r="F2200">
        <v>2</v>
      </c>
      <c r="G2200" s="11">
        <v>38415.47</v>
      </c>
      <c r="H2200" t="s">
        <v>16</v>
      </c>
      <c r="I2200" t="s">
        <v>11</v>
      </c>
      <c r="J2200" t="s">
        <v>42</v>
      </c>
    </row>
    <row r="2201" spans="1:10" x14ac:dyDescent="0.3">
      <c r="A2201" t="s">
        <v>2230</v>
      </c>
      <c r="B2201">
        <v>1999</v>
      </c>
      <c r="C2201" t="s">
        <v>15</v>
      </c>
      <c r="D2201">
        <v>12</v>
      </c>
      <c r="E2201" s="13" t="s">
        <v>12717</v>
      </c>
      <c r="F2201">
        <v>2</v>
      </c>
      <c r="G2201" s="11">
        <v>38511.629999999997</v>
      </c>
      <c r="H2201" t="s">
        <v>11</v>
      </c>
      <c r="I2201" t="s">
        <v>11</v>
      </c>
      <c r="J2201" t="s">
        <v>247</v>
      </c>
    </row>
    <row r="2202" spans="1:10" x14ac:dyDescent="0.3">
      <c r="A2202" t="s">
        <v>2231</v>
      </c>
      <c r="B2202">
        <v>1990</v>
      </c>
      <c r="C2202" t="s">
        <v>10</v>
      </c>
      <c r="D2202">
        <v>13</v>
      </c>
      <c r="E2202" s="13" t="s">
        <v>10879</v>
      </c>
      <c r="F2202">
        <v>3</v>
      </c>
      <c r="G2202" s="11">
        <v>38652.089999999997</v>
      </c>
      <c r="H2202" t="s">
        <v>11</v>
      </c>
      <c r="I2202" t="s">
        <v>11</v>
      </c>
      <c r="J2202" t="s">
        <v>42</v>
      </c>
    </row>
    <row r="2203" spans="1:10" x14ac:dyDescent="0.3">
      <c r="A2203" t="s">
        <v>2232</v>
      </c>
      <c r="B2203">
        <v>1986</v>
      </c>
      <c r="C2203" t="s">
        <v>10</v>
      </c>
      <c r="D2203">
        <v>20</v>
      </c>
      <c r="E2203" s="13" t="s">
        <v>12718</v>
      </c>
      <c r="F2203">
        <v>1</v>
      </c>
      <c r="G2203" s="11">
        <v>38709.18</v>
      </c>
      <c r="H2203" t="s">
        <v>16</v>
      </c>
      <c r="I2203" t="s">
        <v>12</v>
      </c>
      <c r="J2203" t="s">
        <v>13</v>
      </c>
    </row>
    <row r="2204" spans="1:10" x14ac:dyDescent="0.3">
      <c r="A2204" t="s">
        <v>31</v>
      </c>
      <c r="B2204">
        <v>1991</v>
      </c>
      <c r="C2204" t="s">
        <v>15</v>
      </c>
      <c r="D2204">
        <v>22</v>
      </c>
      <c r="E2204" t="s">
        <v>12719</v>
      </c>
      <c r="F2204">
        <v>2</v>
      </c>
      <c r="G2204">
        <v>38711</v>
      </c>
      <c r="H2204" t="s">
        <v>16</v>
      </c>
      <c r="I2204" t="s">
        <v>12</v>
      </c>
      <c r="J2204" t="s">
        <v>42</v>
      </c>
    </row>
    <row r="2205" spans="1:10" x14ac:dyDescent="0.3">
      <c r="A2205" t="s">
        <v>2233</v>
      </c>
      <c r="B2205">
        <v>1991</v>
      </c>
      <c r="C2205" t="s">
        <v>15</v>
      </c>
      <c r="D2205">
        <v>2</v>
      </c>
      <c r="E2205" s="13" t="s">
        <v>11953</v>
      </c>
      <c r="F2205">
        <v>2</v>
      </c>
      <c r="G2205" s="11">
        <v>38711</v>
      </c>
      <c r="H2205" t="s">
        <v>11</v>
      </c>
      <c r="I2205" t="s">
        <v>11</v>
      </c>
      <c r="J2205" t="s">
        <v>42</v>
      </c>
    </row>
    <row r="2206" spans="1:10" x14ac:dyDescent="0.3">
      <c r="A2206" t="s">
        <v>2234</v>
      </c>
      <c r="B2206">
        <v>1976</v>
      </c>
      <c r="C2206" t="s">
        <v>18</v>
      </c>
      <c r="D2206">
        <v>15</v>
      </c>
      <c r="E2206" s="13" t="s">
        <v>12720</v>
      </c>
      <c r="F2206">
        <v>2</v>
      </c>
      <c r="G2206" s="11">
        <v>38740.120000000003</v>
      </c>
      <c r="H2206" t="s">
        <v>11</v>
      </c>
      <c r="I2206" t="s">
        <v>11</v>
      </c>
      <c r="J2206" t="s">
        <v>23</v>
      </c>
    </row>
    <row r="2207" spans="1:10" x14ac:dyDescent="0.3">
      <c r="A2207" t="s">
        <v>2235</v>
      </c>
      <c r="B2207">
        <v>1991</v>
      </c>
      <c r="C2207" t="s">
        <v>15</v>
      </c>
      <c r="D2207">
        <v>8</v>
      </c>
      <c r="E2207" s="13" t="s">
        <v>12721</v>
      </c>
      <c r="F2207">
        <v>3</v>
      </c>
      <c r="G2207" s="11">
        <v>38746.36</v>
      </c>
      <c r="H2207" t="s">
        <v>16</v>
      </c>
      <c r="I2207" t="s">
        <v>11</v>
      </c>
      <c r="J2207" t="s">
        <v>23</v>
      </c>
    </row>
    <row r="2208" spans="1:10" x14ac:dyDescent="0.3">
      <c r="A2208" t="s">
        <v>2236</v>
      </c>
      <c r="B2208">
        <v>2004</v>
      </c>
      <c r="C2208" t="s">
        <v>30</v>
      </c>
      <c r="D2208">
        <v>5</v>
      </c>
      <c r="E2208" s="13" t="s">
        <v>12722</v>
      </c>
      <c r="F2208">
        <v>0</v>
      </c>
      <c r="G2208" s="11">
        <v>38792.69</v>
      </c>
      <c r="H2208" t="s">
        <v>11</v>
      </c>
      <c r="I2208" t="s">
        <v>11</v>
      </c>
      <c r="J2208" t="s">
        <v>13</v>
      </c>
    </row>
    <row r="2209" spans="1:10" x14ac:dyDescent="0.3">
      <c r="A2209" t="s">
        <v>2237</v>
      </c>
      <c r="B2209">
        <v>1979</v>
      </c>
      <c r="C2209" t="s">
        <v>30</v>
      </c>
      <c r="D2209">
        <v>3</v>
      </c>
      <c r="E2209" s="13" t="s">
        <v>12723</v>
      </c>
      <c r="F2209">
        <v>2</v>
      </c>
      <c r="G2209" s="11">
        <v>38836.980000000003</v>
      </c>
      <c r="H2209" t="s">
        <v>11</v>
      </c>
      <c r="I2209" t="s">
        <v>16</v>
      </c>
      <c r="J2209" t="s">
        <v>42</v>
      </c>
    </row>
    <row r="2210" spans="1:10" x14ac:dyDescent="0.3">
      <c r="A2210" t="s">
        <v>2238</v>
      </c>
      <c r="B2210">
        <v>1964</v>
      </c>
      <c r="C2210" t="s">
        <v>18</v>
      </c>
      <c r="D2210">
        <v>6</v>
      </c>
      <c r="E2210" s="13" t="s">
        <v>12724</v>
      </c>
      <c r="F2210">
        <v>0</v>
      </c>
      <c r="G2210" s="11">
        <v>38869.25</v>
      </c>
      <c r="H2210" t="s">
        <v>11</v>
      </c>
      <c r="I2210" t="s">
        <v>11</v>
      </c>
      <c r="J2210" t="s">
        <v>42</v>
      </c>
    </row>
    <row r="2211" spans="1:10" x14ac:dyDescent="0.3">
      <c r="A2211" t="s">
        <v>2239</v>
      </c>
      <c r="B2211">
        <v>1967</v>
      </c>
      <c r="C2211" t="s">
        <v>10</v>
      </c>
      <c r="D2211">
        <v>30</v>
      </c>
      <c r="E2211" s="13" t="s">
        <v>12725</v>
      </c>
      <c r="F2211">
        <v>0</v>
      </c>
      <c r="G2211" s="11">
        <v>38893.360000000001</v>
      </c>
      <c r="H2211" t="s">
        <v>16</v>
      </c>
      <c r="I2211" t="s">
        <v>11</v>
      </c>
      <c r="J2211" t="s">
        <v>42</v>
      </c>
    </row>
    <row r="2212" spans="1:10" x14ac:dyDescent="0.3">
      <c r="A2212" t="s">
        <v>2240</v>
      </c>
      <c r="B2212">
        <v>1987</v>
      </c>
      <c r="C2212" t="s">
        <v>18</v>
      </c>
      <c r="D2212">
        <v>16</v>
      </c>
      <c r="E2212" s="13" t="s">
        <v>12726</v>
      </c>
      <c r="F2212">
        <v>3</v>
      </c>
      <c r="G2212" s="11">
        <v>38924.04</v>
      </c>
      <c r="H2212" t="s">
        <v>11</v>
      </c>
      <c r="I2212" t="s">
        <v>11</v>
      </c>
      <c r="J2212" t="s">
        <v>42</v>
      </c>
    </row>
    <row r="2213" spans="1:10" x14ac:dyDescent="0.3">
      <c r="A2213" t="s">
        <v>2241</v>
      </c>
      <c r="B2213">
        <v>1976</v>
      </c>
      <c r="C2213" t="s">
        <v>30</v>
      </c>
      <c r="D2213">
        <v>15</v>
      </c>
      <c r="E2213" s="13" t="s">
        <v>10757</v>
      </c>
      <c r="F2213">
        <v>2</v>
      </c>
      <c r="G2213" s="11">
        <v>38932.559999999998</v>
      </c>
      <c r="H2213" t="s">
        <v>11</v>
      </c>
      <c r="I2213" t="s">
        <v>12</v>
      </c>
      <c r="J2213" t="s">
        <v>42</v>
      </c>
    </row>
    <row r="2214" spans="1:10" x14ac:dyDescent="0.3">
      <c r="A2214" t="s">
        <v>2242</v>
      </c>
      <c r="B2214">
        <v>1980</v>
      </c>
      <c r="C2214" t="s">
        <v>20</v>
      </c>
      <c r="D2214">
        <v>24</v>
      </c>
      <c r="E2214" s="13" t="s">
        <v>11571</v>
      </c>
      <c r="F2214">
        <v>2</v>
      </c>
      <c r="G2214" s="11">
        <v>38947.43</v>
      </c>
      <c r="H2214" t="s">
        <v>11</v>
      </c>
      <c r="I2214" t="s">
        <v>12</v>
      </c>
      <c r="J2214" t="s">
        <v>42</v>
      </c>
    </row>
    <row r="2215" spans="1:10" x14ac:dyDescent="0.3">
      <c r="A2215" t="s">
        <v>2243</v>
      </c>
      <c r="B2215">
        <v>1978</v>
      </c>
      <c r="C2215" t="s">
        <v>37</v>
      </c>
      <c r="D2215">
        <v>12</v>
      </c>
      <c r="E2215" s="13" t="s">
        <v>11535</v>
      </c>
      <c r="F2215">
        <v>2</v>
      </c>
      <c r="G2215" s="11">
        <v>38998.550000000003</v>
      </c>
      <c r="H2215" t="s">
        <v>16</v>
      </c>
      <c r="I2215" t="s">
        <v>16</v>
      </c>
      <c r="J2215" t="s">
        <v>42</v>
      </c>
    </row>
    <row r="2216" spans="1:10" x14ac:dyDescent="0.3">
      <c r="A2216" t="s">
        <v>2244</v>
      </c>
      <c r="B2216">
        <v>1985</v>
      </c>
      <c r="C2216" t="s">
        <v>20</v>
      </c>
      <c r="D2216">
        <v>20</v>
      </c>
      <c r="E2216" s="13" t="s">
        <v>12727</v>
      </c>
      <c r="F2216">
        <v>1</v>
      </c>
      <c r="G2216" s="11">
        <v>39047.29</v>
      </c>
      <c r="H2216" t="s">
        <v>16</v>
      </c>
      <c r="I2216" t="s">
        <v>12</v>
      </c>
      <c r="J2216" t="s">
        <v>356</v>
      </c>
    </row>
    <row r="2217" spans="1:10" x14ac:dyDescent="0.3">
      <c r="A2217" t="s">
        <v>2245</v>
      </c>
      <c r="B2217">
        <v>1982</v>
      </c>
      <c r="C2217" t="s">
        <v>35</v>
      </c>
      <c r="D2217">
        <v>4</v>
      </c>
      <c r="E2217" s="13" t="s">
        <v>12728</v>
      </c>
      <c r="F2217">
        <v>1</v>
      </c>
      <c r="G2217" s="11">
        <v>39125.33</v>
      </c>
      <c r="H2217" t="s">
        <v>16</v>
      </c>
      <c r="I2217" t="s">
        <v>16</v>
      </c>
      <c r="J2217" t="s">
        <v>168</v>
      </c>
    </row>
    <row r="2218" spans="1:10" x14ac:dyDescent="0.3">
      <c r="A2218" t="s">
        <v>2246</v>
      </c>
      <c r="B2218">
        <v>1962</v>
      </c>
      <c r="C2218" t="s">
        <v>10</v>
      </c>
      <c r="D2218">
        <v>7</v>
      </c>
      <c r="E2218" s="13" t="s">
        <v>12729</v>
      </c>
      <c r="F2218">
        <v>0</v>
      </c>
      <c r="G2218" s="11">
        <v>39221.120000000003</v>
      </c>
      <c r="H2218" t="s">
        <v>11</v>
      </c>
      <c r="I2218" t="s">
        <v>16</v>
      </c>
      <c r="J2218" t="s">
        <v>42</v>
      </c>
    </row>
    <row r="2219" spans="1:10" x14ac:dyDescent="0.3">
      <c r="A2219" t="s">
        <v>2247</v>
      </c>
      <c r="B2219">
        <v>1992</v>
      </c>
      <c r="C2219" t="s">
        <v>15</v>
      </c>
      <c r="D2219">
        <v>30</v>
      </c>
      <c r="E2219" s="13" t="s">
        <v>12730</v>
      </c>
      <c r="F2219">
        <v>2</v>
      </c>
      <c r="G2219" s="11">
        <v>39241.440000000002</v>
      </c>
      <c r="H2219" t="s">
        <v>16</v>
      </c>
      <c r="I2219" t="s">
        <v>12</v>
      </c>
      <c r="J2219" t="s">
        <v>42</v>
      </c>
    </row>
    <row r="2220" spans="1:10" x14ac:dyDescent="0.3">
      <c r="A2220" t="s">
        <v>2248</v>
      </c>
      <c r="B2220">
        <v>1982</v>
      </c>
      <c r="C2220" t="s">
        <v>35</v>
      </c>
      <c r="D2220">
        <v>16</v>
      </c>
      <c r="E2220" s="13" t="s">
        <v>12731</v>
      </c>
      <c r="F2220">
        <v>3</v>
      </c>
      <c r="G2220" s="11">
        <v>39315.279999999999</v>
      </c>
      <c r="H2220" t="s">
        <v>11</v>
      </c>
      <c r="I2220" t="s">
        <v>12</v>
      </c>
      <c r="J2220" t="s">
        <v>42</v>
      </c>
    </row>
    <row r="2221" spans="1:10" x14ac:dyDescent="0.3">
      <c r="A2221" t="s">
        <v>2249</v>
      </c>
      <c r="B2221">
        <v>1978</v>
      </c>
      <c r="C2221" t="s">
        <v>35</v>
      </c>
      <c r="D2221">
        <v>5</v>
      </c>
      <c r="E2221" s="13" t="s">
        <v>12732</v>
      </c>
      <c r="F2221">
        <v>2</v>
      </c>
      <c r="G2221" s="11">
        <v>39352.6</v>
      </c>
      <c r="H2221" t="s">
        <v>11</v>
      </c>
      <c r="I2221" t="s">
        <v>12</v>
      </c>
      <c r="J2221" t="s">
        <v>42</v>
      </c>
    </row>
    <row r="2222" spans="1:10" x14ac:dyDescent="0.3">
      <c r="A2222" t="s">
        <v>2250</v>
      </c>
      <c r="B2222">
        <v>1966</v>
      </c>
      <c r="C2222" t="s">
        <v>18</v>
      </c>
      <c r="D2222">
        <v>24</v>
      </c>
      <c r="E2222" s="13" t="s">
        <v>12733</v>
      </c>
      <c r="F2222">
        <v>0</v>
      </c>
      <c r="G2222" s="11">
        <v>39396.86</v>
      </c>
      <c r="H2222" t="s">
        <v>11</v>
      </c>
      <c r="I2222" t="s">
        <v>11</v>
      </c>
      <c r="J2222" t="s">
        <v>42</v>
      </c>
    </row>
    <row r="2223" spans="1:10" x14ac:dyDescent="0.3">
      <c r="A2223" t="s">
        <v>2251</v>
      </c>
      <c r="B2223">
        <v>1978</v>
      </c>
      <c r="C2223" t="s">
        <v>10</v>
      </c>
      <c r="D2223">
        <v>12</v>
      </c>
      <c r="E2223" s="13" t="s">
        <v>12734</v>
      </c>
      <c r="F2223">
        <v>1</v>
      </c>
      <c r="G2223" s="11">
        <v>39556.49</v>
      </c>
      <c r="H2223" t="s">
        <v>16</v>
      </c>
      <c r="I2223" t="s">
        <v>11</v>
      </c>
      <c r="J2223" t="s">
        <v>164</v>
      </c>
    </row>
    <row r="2224" spans="1:10" x14ac:dyDescent="0.3">
      <c r="A2224" t="s">
        <v>2252</v>
      </c>
      <c r="B2224">
        <v>1981</v>
      </c>
      <c r="C2224" t="s">
        <v>10</v>
      </c>
      <c r="D2224">
        <v>5</v>
      </c>
      <c r="E2224" s="13" t="s">
        <v>12735</v>
      </c>
      <c r="F2224">
        <v>3</v>
      </c>
      <c r="G2224" s="11">
        <v>39597.410000000003</v>
      </c>
      <c r="H2224" t="s">
        <v>16</v>
      </c>
      <c r="I2224" t="s">
        <v>11</v>
      </c>
      <c r="J2224" t="s">
        <v>356</v>
      </c>
    </row>
    <row r="2225" spans="1:10" x14ac:dyDescent="0.3">
      <c r="A2225" t="s">
        <v>2253</v>
      </c>
      <c r="B2225">
        <v>1995</v>
      </c>
      <c r="C2225" t="s">
        <v>35</v>
      </c>
      <c r="D2225">
        <v>7</v>
      </c>
      <c r="E2225" s="13" t="s">
        <v>12736</v>
      </c>
      <c r="F2225">
        <v>0</v>
      </c>
      <c r="G2225" s="11">
        <v>39611.760000000002</v>
      </c>
      <c r="H2225" t="s">
        <v>16</v>
      </c>
      <c r="I2225" t="s">
        <v>12</v>
      </c>
      <c r="J2225" t="s">
        <v>13</v>
      </c>
    </row>
    <row r="2226" spans="1:10" x14ac:dyDescent="0.3">
      <c r="A2226" t="s">
        <v>2254</v>
      </c>
      <c r="B2226">
        <v>1977</v>
      </c>
      <c r="C2226" t="s">
        <v>30</v>
      </c>
      <c r="D2226">
        <v>17</v>
      </c>
      <c r="E2226" s="13" t="s">
        <v>12737</v>
      </c>
      <c r="F2226">
        <v>2</v>
      </c>
      <c r="G2226" s="11">
        <v>39670.44</v>
      </c>
      <c r="H2226" t="s">
        <v>11</v>
      </c>
      <c r="I2226" t="s">
        <v>16</v>
      </c>
      <c r="J2226" t="s">
        <v>23</v>
      </c>
    </row>
    <row r="2227" spans="1:10" x14ac:dyDescent="0.3">
      <c r="A2227" t="s">
        <v>2255</v>
      </c>
      <c r="B2227">
        <v>1968</v>
      </c>
      <c r="C2227" t="s">
        <v>20</v>
      </c>
      <c r="D2227">
        <v>29</v>
      </c>
      <c r="E2227" s="13" t="s">
        <v>12738</v>
      </c>
      <c r="F2227">
        <v>0</v>
      </c>
      <c r="G2227" s="11">
        <v>39721.93</v>
      </c>
      <c r="H2227" t="s">
        <v>11</v>
      </c>
      <c r="I2227" t="s">
        <v>11</v>
      </c>
      <c r="J2227" t="s">
        <v>42</v>
      </c>
    </row>
    <row r="2228" spans="1:10" x14ac:dyDescent="0.3">
      <c r="A2228" t="s">
        <v>2256</v>
      </c>
      <c r="B2228">
        <v>2003</v>
      </c>
      <c r="C2228" t="s">
        <v>10</v>
      </c>
      <c r="D2228">
        <v>16</v>
      </c>
      <c r="E2228" s="13" t="s">
        <v>12739</v>
      </c>
      <c r="F2228">
        <v>0</v>
      </c>
      <c r="G2228" s="11">
        <v>39722.75</v>
      </c>
      <c r="H2228" t="s">
        <v>16</v>
      </c>
      <c r="I2228" t="s">
        <v>16</v>
      </c>
      <c r="J2228" t="s">
        <v>13</v>
      </c>
    </row>
    <row r="2229" spans="1:10" x14ac:dyDescent="0.3">
      <c r="A2229" t="s">
        <v>2257</v>
      </c>
      <c r="B2229">
        <v>1977</v>
      </c>
      <c r="C2229" t="s">
        <v>35</v>
      </c>
      <c r="D2229">
        <v>12</v>
      </c>
      <c r="E2229" s="13" t="s">
        <v>11815</v>
      </c>
      <c r="F2229">
        <v>1</v>
      </c>
      <c r="G2229" s="11">
        <v>39725.519999999997</v>
      </c>
      <c r="H2229" t="s">
        <v>11</v>
      </c>
      <c r="I2229" t="s">
        <v>16</v>
      </c>
      <c r="J2229" t="s">
        <v>23</v>
      </c>
    </row>
    <row r="2230" spans="1:10" x14ac:dyDescent="0.3">
      <c r="A2230" t="s">
        <v>2258</v>
      </c>
      <c r="B2230">
        <v>1973</v>
      </c>
      <c r="C2230" t="s">
        <v>30</v>
      </c>
      <c r="D2230">
        <v>17</v>
      </c>
      <c r="E2230" s="13" t="s">
        <v>12740</v>
      </c>
      <c r="F2230">
        <v>0</v>
      </c>
      <c r="G2230" s="11">
        <v>39727.61</v>
      </c>
      <c r="H2230" t="s">
        <v>16</v>
      </c>
      <c r="I2230" t="s">
        <v>11</v>
      </c>
      <c r="J2230" t="s">
        <v>42</v>
      </c>
    </row>
    <row r="2231" spans="1:10" x14ac:dyDescent="0.3">
      <c r="A2231" t="s">
        <v>2259</v>
      </c>
      <c r="B2231">
        <v>1987</v>
      </c>
      <c r="C2231" t="s">
        <v>10</v>
      </c>
      <c r="D2231">
        <v>24</v>
      </c>
      <c r="E2231" s="13" t="s">
        <v>12741</v>
      </c>
      <c r="F2231">
        <v>1</v>
      </c>
      <c r="G2231" s="11">
        <v>39774.28</v>
      </c>
      <c r="H2231" t="s">
        <v>16</v>
      </c>
      <c r="I2231" t="s">
        <v>16</v>
      </c>
      <c r="J2231" t="s">
        <v>276</v>
      </c>
    </row>
    <row r="2232" spans="1:10" x14ac:dyDescent="0.3">
      <c r="A2232" t="s">
        <v>2260</v>
      </c>
      <c r="B2232">
        <v>1985</v>
      </c>
      <c r="C2232" t="s">
        <v>10</v>
      </c>
      <c r="D2232">
        <v>17</v>
      </c>
      <c r="E2232" s="13" t="s">
        <v>12742</v>
      </c>
      <c r="F2232">
        <v>2</v>
      </c>
      <c r="G2232" s="11">
        <v>39836.519999999997</v>
      </c>
      <c r="H2232" t="s">
        <v>11</v>
      </c>
      <c r="I2232" t="s">
        <v>16</v>
      </c>
      <c r="J2232" t="s">
        <v>42</v>
      </c>
    </row>
    <row r="2233" spans="1:10" x14ac:dyDescent="0.3">
      <c r="A2233" t="s">
        <v>2261</v>
      </c>
      <c r="B2233">
        <v>1983</v>
      </c>
      <c r="C2233" t="s">
        <v>18</v>
      </c>
      <c r="D2233">
        <v>1</v>
      </c>
      <c r="E2233" s="13" t="s">
        <v>12743</v>
      </c>
      <c r="F2233">
        <v>3</v>
      </c>
      <c r="G2233" s="11">
        <v>39865.699999999997</v>
      </c>
      <c r="H2233" t="s">
        <v>11</v>
      </c>
      <c r="I2233" t="s">
        <v>11</v>
      </c>
      <c r="J2233" t="s">
        <v>42</v>
      </c>
    </row>
    <row r="2234" spans="1:10" x14ac:dyDescent="0.3">
      <c r="A2234" t="s">
        <v>2262</v>
      </c>
      <c r="B2234">
        <v>1985</v>
      </c>
      <c r="C2234" t="s">
        <v>35</v>
      </c>
      <c r="D2234">
        <v>22</v>
      </c>
      <c r="E2234" s="13" t="s">
        <v>12744</v>
      </c>
      <c r="F2234">
        <v>1</v>
      </c>
      <c r="G2234" s="11">
        <v>39871.699999999997</v>
      </c>
      <c r="H2234" t="s">
        <v>16</v>
      </c>
      <c r="I2234" t="s">
        <v>11</v>
      </c>
      <c r="J2234" t="s">
        <v>13</v>
      </c>
    </row>
    <row r="2235" spans="1:10" x14ac:dyDescent="0.3">
      <c r="A2235" t="s">
        <v>2263</v>
      </c>
      <c r="B2235">
        <v>1975</v>
      </c>
      <c r="C2235" t="s">
        <v>30</v>
      </c>
      <c r="D2235">
        <v>2</v>
      </c>
      <c r="E2235" s="13" t="s">
        <v>12745</v>
      </c>
      <c r="F2235">
        <v>1</v>
      </c>
      <c r="G2235" s="11">
        <v>39963.120000000003</v>
      </c>
      <c r="H2235" t="s">
        <v>11</v>
      </c>
      <c r="I2235" t="s">
        <v>11</v>
      </c>
      <c r="J2235" t="s">
        <v>42</v>
      </c>
    </row>
    <row r="2236" spans="1:10" x14ac:dyDescent="0.3">
      <c r="A2236" t="s">
        <v>2264</v>
      </c>
      <c r="B2236">
        <v>1987</v>
      </c>
      <c r="C2236" t="s">
        <v>35</v>
      </c>
      <c r="D2236">
        <v>8</v>
      </c>
      <c r="E2236" s="13" t="s">
        <v>12746</v>
      </c>
      <c r="F2236">
        <v>3</v>
      </c>
      <c r="G2236" s="11">
        <v>39983.43</v>
      </c>
      <c r="H2236" t="s">
        <v>11</v>
      </c>
      <c r="I2236" t="s">
        <v>12</v>
      </c>
      <c r="J2236" t="s">
        <v>23</v>
      </c>
    </row>
    <row r="2237" spans="1:10" x14ac:dyDescent="0.3">
      <c r="A2237" t="s">
        <v>2265</v>
      </c>
      <c r="B2237">
        <v>1982</v>
      </c>
      <c r="C2237" t="s">
        <v>30</v>
      </c>
      <c r="D2237">
        <v>25</v>
      </c>
      <c r="E2237" s="13" t="s">
        <v>12747</v>
      </c>
      <c r="F2237">
        <v>2</v>
      </c>
      <c r="G2237" s="11">
        <v>40003.33</v>
      </c>
      <c r="H2237" t="s">
        <v>16</v>
      </c>
      <c r="I2237" t="s">
        <v>16</v>
      </c>
      <c r="J2237" t="s">
        <v>23</v>
      </c>
    </row>
    <row r="2238" spans="1:10" x14ac:dyDescent="0.3">
      <c r="A2238" t="s">
        <v>2266</v>
      </c>
      <c r="B2238">
        <v>1978</v>
      </c>
      <c r="C2238" t="s">
        <v>30</v>
      </c>
      <c r="D2238">
        <v>20</v>
      </c>
      <c r="E2238" s="13" t="s">
        <v>12748</v>
      </c>
      <c r="F2238">
        <v>2</v>
      </c>
      <c r="G2238" s="11">
        <v>40054.730000000003</v>
      </c>
      <c r="H2238" t="s">
        <v>16</v>
      </c>
      <c r="I2238" t="s">
        <v>12</v>
      </c>
      <c r="J2238" t="s">
        <v>42</v>
      </c>
    </row>
    <row r="2239" spans="1:10" x14ac:dyDescent="0.3">
      <c r="A2239" t="s">
        <v>2267</v>
      </c>
      <c r="B2239">
        <v>1966</v>
      </c>
      <c r="C2239" t="s">
        <v>35</v>
      </c>
      <c r="D2239">
        <v>12</v>
      </c>
      <c r="E2239" s="13" t="s">
        <v>12749</v>
      </c>
      <c r="F2239">
        <v>0</v>
      </c>
      <c r="G2239" s="11">
        <v>40069.440000000002</v>
      </c>
      <c r="H2239" t="s">
        <v>16</v>
      </c>
      <c r="I2239" t="s">
        <v>12</v>
      </c>
      <c r="J2239" t="s">
        <v>42</v>
      </c>
    </row>
    <row r="2240" spans="1:10" x14ac:dyDescent="0.3">
      <c r="A2240" t="s">
        <v>2268</v>
      </c>
      <c r="B2240">
        <v>1983</v>
      </c>
      <c r="C2240" t="s">
        <v>37</v>
      </c>
      <c r="D2240">
        <v>14</v>
      </c>
      <c r="E2240" s="13" t="s">
        <v>12750</v>
      </c>
      <c r="F2240">
        <v>2</v>
      </c>
      <c r="G2240" s="11">
        <v>40103.89</v>
      </c>
      <c r="H2240" t="s">
        <v>16</v>
      </c>
      <c r="I2240" t="s">
        <v>11</v>
      </c>
      <c r="J2240" t="s">
        <v>42</v>
      </c>
    </row>
    <row r="2241" spans="1:10" x14ac:dyDescent="0.3">
      <c r="A2241" t="s">
        <v>2269</v>
      </c>
      <c r="B2241">
        <v>1985</v>
      </c>
      <c r="C2241" t="s">
        <v>37</v>
      </c>
      <c r="D2241">
        <v>21</v>
      </c>
      <c r="E2241" s="13" t="s">
        <v>12743</v>
      </c>
      <c r="F2241">
        <v>4</v>
      </c>
      <c r="G2241" s="11">
        <v>40182.25</v>
      </c>
      <c r="H2241" t="s">
        <v>16</v>
      </c>
      <c r="I2241" t="s">
        <v>11</v>
      </c>
      <c r="J2241" t="s">
        <v>42</v>
      </c>
    </row>
    <row r="2242" spans="1:10" x14ac:dyDescent="0.3">
      <c r="A2242" t="s">
        <v>2270</v>
      </c>
      <c r="B2242">
        <v>1979</v>
      </c>
      <c r="C2242" t="s">
        <v>35</v>
      </c>
      <c r="D2242">
        <v>18</v>
      </c>
      <c r="E2242" s="13" t="s">
        <v>12751</v>
      </c>
      <c r="F2242">
        <v>2</v>
      </c>
      <c r="G2242" s="11">
        <v>40204.83</v>
      </c>
      <c r="H2242" t="s">
        <v>16</v>
      </c>
      <c r="I2242" t="s">
        <v>12</v>
      </c>
      <c r="J2242" t="s">
        <v>23</v>
      </c>
    </row>
    <row r="2243" spans="1:10" x14ac:dyDescent="0.3">
      <c r="A2243" t="s">
        <v>2271</v>
      </c>
      <c r="B2243">
        <v>1981</v>
      </c>
      <c r="C2243" t="s">
        <v>10</v>
      </c>
      <c r="D2243">
        <v>28</v>
      </c>
      <c r="E2243" s="13" t="s">
        <v>12752</v>
      </c>
      <c r="F2243">
        <v>1</v>
      </c>
      <c r="G2243" s="11">
        <v>40208.559999999998</v>
      </c>
      <c r="H2243" t="s">
        <v>16</v>
      </c>
      <c r="I2243" t="s">
        <v>11</v>
      </c>
      <c r="J2243" t="s">
        <v>42</v>
      </c>
    </row>
    <row r="2244" spans="1:10" x14ac:dyDescent="0.3">
      <c r="A2244" t="s">
        <v>2272</v>
      </c>
      <c r="B2244">
        <v>1981</v>
      </c>
      <c r="C2244" t="s">
        <v>37</v>
      </c>
      <c r="D2244">
        <v>4</v>
      </c>
      <c r="E2244" s="13" t="s">
        <v>12753</v>
      </c>
      <c r="F2244">
        <v>1</v>
      </c>
      <c r="G2244" s="11">
        <v>40273.65</v>
      </c>
      <c r="H2244" t="s">
        <v>16</v>
      </c>
      <c r="I2244" t="s">
        <v>12</v>
      </c>
      <c r="J2244" t="s">
        <v>13</v>
      </c>
    </row>
    <row r="2245" spans="1:10" x14ac:dyDescent="0.3">
      <c r="A2245" t="s">
        <v>2273</v>
      </c>
      <c r="B2245">
        <v>1977</v>
      </c>
      <c r="C2245" t="s">
        <v>18</v>
      </c>
      <c r="D2245">
        <v>27</v>
      </c>
      <c r="E2245" s="13" t="s">
        <v>12754</v>
      </c>
      <c r="F2245">
        <v>2</v>
      </c>
      <c r="G2245" s="11">
        <v>40284.379999999997</v>
      </c>
      <c r="H2245" t="s">
        <v>16</v>
      </c>
      <c r="I2245" t="s">
        <v>12</v>
      </c>
      <c r="J2245" t="s">
        <v>23</v>
      </c>
    </row>
    <row r="2246" spans="1:10" x14ac:dyDescent="0.3">
      <c r="A2246" t="s">
        <v>2274</v>
      </c>
      <c r="B2246">
        <v>1962</v>
      </c>
      <c r="C2246" t="s">
        <v>20</v>
      </c>
      <c r="D2246">
        <v>4</v>
      </c>
      <c r="E2246" s="13" t="s">
        <v>12755</v>
      </c>
      <c r="F2246">
        <v>0</v>
      </c>
      <c r="G2246" s="11">
        <v>40309.93</v>
      </c>
      <c r="H2246" t="s">
        <v>16</v>
      </c>
      <c r="I2246" t="s">
        <v>12</v>
      </c>
      <c r="J2246" t="s">
        <v>42</v>
      </c>
    </row>
    <row r="2247" spans="1:10" x14ac:dyDescent="0.3">
      <c r="A2247" t="s">
        <v>2275</v>
      </c>
      <c r="B2247">
        <v>1966</v>
      </c>
      <c r="C2247" t="s">
        <v>35</v>
      </c>
      <c r="D2247">
        <v>12</v>
      </c>
      <c r="E2247" s="13" t="s">
        <v>12756</v>
      </c>
      <c r="F2247">
        <v>0</v>
      </c>
      <c r="G2247" s="11">
        <v>40373.74</v>
      </c>
      <c r="H2247" t="s">
        <v>16</v>
      </c>
      <c r="I2247" t="s">
        <v>12</v>
      </c>
      <c r="J2247" t="s">
        <v>42</v>
      </c>
    </row>
    <row r="2248" spans="1:10" x14ac:dyDescent="0.3">
      <c r="A2248" t="s">
        <v>2276</v>
      </c>
      <c r="B2248">
        <v>1985</v>
      </c>
      <c r="C2248" t="s">
        <v>15</v>
      </c>
      <c r="D2248">
        <v>3</v>
      </c>
      <c r="E2248" s="13" t="s">
        <v>11179</v>
      </c>
      <c r="F2248">
        <v>0</v>
      </c>
      <c r="G2248" s="11">
        <v>40419.019999999997</v>
      </c>
      <c r="H2248" t="s">
        <v>16</v>
      </c>
      <c r="I2248" t="s">
        <v>11</v>
      </c>
      <c r="J2248" t="s">
        <v>13</v>
      </c>
    </row>
    <row r="2249" spans="1:10" x14ac:dyDescent="0.3">
      <c r="A2249" t="s">
        <v>2277</v>
      </c>
      <c r="B2249">
        <v>1975</v>
      </c>
      <c r="C2249" t="s">
        <v>10</v>
      </c>
      <c r="D2249">
        <v>10</v>
      </c>
      <c r="E2249" s="13" t="s">
        <v>12757</v>
      </c>
      <c r="F2249">
        <v>1</v>
      </c>
      <c r="G2249" s="11">
        <v>40590.550000000003</v>
      </c>
      <c r="H2249" t="s">
        <v>16</v>
      </c>
      <c r="I2249" t="s">
        <v>12</v>
      </c>
      <c r="J2249" t="s">
        <v>23</v>
      </c>
    </row>
    <row r="2250" spans="1:10" x14ac:dyDescent="0.3">
      <c r="A2250" t="s">
        <v>2278</v>
      </c>
      <c r="B2250">
        <v>1970</v>
      </c>
      <c r="C2250" t="s">
        <v>20</v>
      </c>
      <c r="D2250">
        <v>25</v>
      </c>
      <c r="E2250" s="13" t="s">
        <v>12758</v>
      </c>
      <c r="F2250">
        <v>0</v>
      </c>
      <c r="G2250" s="11">
        <v>40692.910000000003</v>
      </c>
      <c r="H2250" t="s">
        <v>16</v>
      </c>
      <c r="I2250" t="s">
        <v>16</v>
      </c>
      <c r="J2250" t="s">
        <v>42</v>
      </c>
    </row>
    <row r="2251" spans="1:10" x14ac:dyDescent="0.3">
      <c r="A2251" t="s">
        <v>2279</v>
      </c>
      <c r="B2251">
        <v>1976</v>
      </c>
      <c r="C2251" t="s">
        <v>30</v>
      </c>
      <c r="D2251">
        <v>26</v>
      </c>
      <c r="E2251" s="13" t="s">
        <v>12759</v>
      </c>
      <c r="F2251">
        <v>3</v>
      </c>
      <c r="G2251" s="11">
        <v>40720.550000000003</v>
      </c>
      <c r="H2251" t="s">
        <v>16</v>
      </c>
      <c r="I2251" t="s">
        <v>12</v>
      </c>
      <c r="J2251" t="s">
        <v>23</v>
      </c>
    </row>
    <row r="2252" spans="1:10" x14ac:dyDescent="0.3">
      <c r="A2252" t="s">
        <v>2280</v>
      </c>
      <c r="B2252">
        <v>1972</v>
      </c>
      <c r="C2252" t="s">
        <v>18</v>
      </c>
      <c r="D2252">
        <v>10</v>
      </c>
      <c r="E2252" s="13" t="s">
        <v>12760</v>
      </c>
      <c r="F2252">
        <v>0</v>
      </c>
      <c r="G2252" s="11">
        <v>40817.85</v>
      </c>
      <c r="H2252" t="s">
        <v>16</v>
      </c>
      <c r="I2252" t="s">
        <v>12</v>
      </c>
      <c r="J2252" t="s">
        <v>42</v>
      </c>
    </row>
    <row r="2253" spans="1:10" x14ac:dyDescent="0.3">
      <c r="A2253" t="s">
        <v>2281</v>
      </c>
      <c r="B2253">
        <v>1999</v>
      </c>
      <c r="C2253" t="s">
        <v>10</v>
      </c>
      <c r="D2253">
        <v>2</v>
      </c>
      <c r="E2253" s="13" t="s">
        <v>12761</v>
      </c>
      <c r="F2253">
        <v>1</v>
      </c>
      <c r="G2253" s="11">
        <v>40904.199999999997</v>
      </c>
      <c r="H2253" t="s">
        <v>16</v>
      </c>
      <c r="I2253" t="s">
        <v>16</v>
      </c>
      <c r="J2253" t="s">
        <v>247</v>
      </c>
    </row>
    <row r="2254" spans="1:10" x14ac:dyDescent="0.3">
      <c r="A2254" t="s">
        <v>2282</v>
      </c>
      <c r="B2254">
        <v>1992</v>
      </c>
      <c r="C2254" t="s">
        <v>35</v>
      </c>
      <c r="D2254">
        <v>4</v>
      </c>
      <c r="E2254" s="13" t="s">
        <v>12762</v>
      </c>
      <c r="F2254">
        <v>3</v>
      </c>
      <c r="G2254" s="11">
        <v>40932.43</v>
      </c>
      <c r="H2254" t="s">
        <v>16</v>
      </c>
      <c r="I2254" t="s">
        <v>11</v>
      </c>
      <c r="J2254" t="s">
        <v>13</v>
      </c>
    </row>
    <row r="2255" spans="1:10" x14ac:dyDescent="0.3">
      <c r="A2255" t="s">
        <v>2283</v>
      </c>
      <c r="B2255">
        <v>1979</v>
      </c>
      <c r="C2255" t="s">
        <v>20</v>
      </c>
      <c r="D2255">
        <v>16</v>
      </c>
      <c r="E2255" s="13" t="s">
        <v>12348</v>
      </c>
      <c r="F2255">
        <v>3</v>
      </c>
      <c r="G2255" s="11">
        <v>40941.29</v>
      </c>
      <c r="H2255" t="s">
        <v>16</v>
      </c>
      <c r="I2255" t="s">
        <v>11</v>
      </c>
      <c r="J2255" t="s">
        <v>13</v>
      </c>
    </row>
    <row r="2256" spans="1:10" x14ac:dyDescent="0.3">
      <c r="A2256" t="s">
        <v>2284</v>
      </c>
      <c r="B2256">
        <v>1983</v>
      </c>
      <c r="C2256" t="s">
        <v>20</v>
      </c>
      <c r="D2256">
        <v>8</v>
      </c>
      <c r="E2256" s="13" t="s">
        <v>12719</v>
      </c>
      <c r="F2256">
        <v>3</v>
      </c>
      <c r="G2256" s="11">
        <v>40961.29</v>
      </c>
      <c r="H2256" t="s">
        <v>16</v>
      </c>
      <c r="I2256" t="s">
        <v>11</v>
      </c>
      <c r="J2256" t="s">
        <v>42</v>
      </c>
    </row>
    <row r="2257" spans="1:10" x14ac:dyDescent="0.3">
      <c r="A2257" t="s">
        <v>2285</v>
      </c>
      <c r="B2257">
        <v>1974</v>
      </c>
      <c r="C2257" t="s">
        <v>18</v>
      </c>
      <c r="D2257">
        <v>5</v>
      </c>
      <c r="E2257" s="13" t="s">
        <v>12763</v>
      </c>
      <c r="F2257">
        <v>0</v>
      </c>
      <c r="G2257" s="11">
        <v>40974.160000000003</v>
      </c>
      <c r="H2257" t="s">
        <v>16</v>
      </c>
      <c r="I2257" t="s">
        <v>11</v>
      </c>
      <c r="J2257" t="s">
        <v>13</v>
      </c>
    </row>
    <row r="2258" spans="1:10" x14ac:dyDescent="0.3">
      <c r="A2258" t="s">
        <v>2286</v>
      </c>
      <c r="B2258">
        <v>1979</v>
      </c>
      <c r="C2258" t="s">
        <v>37</v>
      </c>
      <c r="D2258">
        <v>11</v>
      </c>
      <c r="E2258" s="13" t="s">
        <v>12764</v>
      </c>
      <c r="F2258">
        <v>1</v>
      </c>
      <c r="G2258" s="11">
        <v>41034.22</v>
      </c>
      <c r="H2258" t="s">
        <v>16</v>
      </c>
      <c r="I2258" t="s">
        <v>12</v>
      </c>
      <c r="J2258" t="s">
        <v>356</v>
      </c>
    </row>
    <row r="2259" spans="1:10" x14ac:dyDescent="0.3">
      <c r="A2259" t="s">
        <v>2287</v>
      </c>
      <c r="B2259">
        <v>1972</v>
      </c>
      <c r="C2259" t="s">
        <v>35</v>
      </c>
      <c r="D2259">
        <v>12</v>
      </c>
      <c r="E2259" s="13" t="s">
        <v>12765</v>
      </c>
      <c r="F2259">
        <v>0</v>
      </c>
      <c r="G2259" s="11">
        <v>41055.29</v>
      </c>
      <c r="H2259" t="s">
        <v>16</v>
      </c>
      <c r="I2259" t="s">
        <v>11</v>
      </c>
      <c r="J2259" t="s">
        <v>42</v>
      </c>
    </row>
    <row r="2260" spans="1:10" x14ac:dyDescent="0.3">
      <c r="A2260" t="s">
        <v>2288</v>
      </c>
      <c r="B2260">
        <v>1972</v>
      </c>
      <c r="C2260" t="s">
        <v>20</v>
      </c>
      <c r="D2260">
        <v>6</v>
      </c>
      <c r="E2260" s="13" t="s">
        <v>12080</v>
      </c>
      <c r="F2260">
        <v>0</v>
      </c>
      <c r="G2260" s="11">
        <v>41097.160000000003</v>
      </c>
      <c r="H2260" t="s">
        <v>16</v>
      </c>
      <c r="I2260" t="s">
        <v>12</v>
      </c>
      <c r="J2260" t="s">
        <v>168</v>
      </c>
    </row>
    <row r="2261" spans="1:10" x14ac:dyDescent="0.3">
      <c r="A2261" t="s">
        <v>2289</v>
      </c>
      <c r="B2261">
        <v>1969</v>
      </c>
      <c r="C2261" t="s">
        <v>35</v>
      </c>
      <c r="D2261">
        <v>8</v>
      </c>
      <c r="E2261" s="13" t="s">
        <v>12766</v>
      </c>
      <c r="F2261">
        <v>0</v>
      </c>
      <c r="G2261" s="11">
        <v>41191.57</v>
      </c>
      <c r="H2261" t="s">
        <v>16</v>
      </c>
      <c r="I2261" t="s">
        <v>11</v>
      </c>
      <c r="J2261" t="s">
        <v>42</v>
      </c>
    </row>
    <row r="2262" spans="1:10" x14ac:dyDescent="0.3">
      <c r="A2262" t="s">
        <v>2290</v>
      </c>
      <c r="B2262">
        <v>1964</v>
      </c>
      <c r="C2262" t="s">
        <v>18</v>
      </c>
      <c r="D2262">
        <v>6</v>
      </c>
      <c r="E2262" s="13" t="s">
        <v>12767</v>
      </c>
      <c r="F2262">
        <v>0</v>
      </c>
      <c r="G2262" s="11">
        <v>41250.39</v>
      </c>
      <c r="H2262" t="s">
        <v>16</v>
      </c>
      <c r="I2262" t="s">
        <v>12</v>
      </c>
      <c r="J2262" t="s">
        <v>42</v>
      </c>
    </row>
    <row r="2263" spans="1:10" x14ac:dyDescent="0.3">
      <c r="A2263" t="s">
        <v>2291</v>
      </c>
      <c r="B2263">
        <v>1977</v>
      </c>
      <c r="C2263" t="s">
        <v>35</v>
      </c>
      <c r="D2263">
        <v>27</v>
      </c>
      <c r="E2263" s="13" t="s">
        <v>12509</v>
      </c>
      <c r="F2263">
        <v>2</v>
      </c>
      <c r="G2263" s="11">
        <v>41271.5</v>
      </c>
      <c r="H2263" t="s">
        <v>16</v>
      </c>
      <c r="I2263" t="s">
        <v>11</v>
      </c>
      <c r="J2263" t="s">
        <v>42</v>
      </c>
    </row>
    <row r="2264" spans="1:10" x14ac:dyDescent="0.3">
      <c r="A2264" t="s">
        <v>2292</v>
      </c>
      <c r="B2264">
        <v>1964</v>
      </c>
      <c r="C2264" t="s">
        <v>37</v>
      </c>
      <c r="D2264">
        <v>7</v>
      </c>
      <c r="E2264" s="13" t="s">
        <v>12768</v>
      </c>
      <c r="F2264">
        <v>0</v>
      </c>
      <c r="G2264" s="11">
        <v>41331.79</v>
      </c>
      <c r="H2264" t="s">
        <v>16</v>
      </c>
      <c r="I2264" t="s">
        <v>11</v>
      </c>
      <c r="J2264" t="s">
        <v>42</v>
      </c>
    </row>
    <row r="2265" spans="1:10" x14ac:dyDescent="0.3">
      <c r="A2265" t="s">
        <v>2293</v>
      </c>
      <c r="B2265">
        <v>1971</v>
      </c>
      <c r="C2265" t="s">
        <v>37</v>
      </c>
      <c r="D2265">
        <v>16</v>
      </c>
      <c r="E2265" s="13" t="s">
        <v>12769</v>
      </c>
      <c r="F2265">
        <v>0</v>
      </c>
      <c r="G2265" s="11">
        <v>41351.879999999997</v>
      </c>
      <c r="H2265" t="s">
        <v>16</v>
      </c>
      <c r="I2265" t="s">
        <v>11</v>
      </c>
      <c r="J2265" t="s">
        <v>42</v>
      </c>
    </row>
    <row r="2266" spans="1:10" x14ac:dyDescent="0.3">
      <c r="A2266" t="s">
        <v>2294</v>
      </c>
      <c r="B2266">
        <v>1967</v>
      </c>
      <c r="C2266" t="s">
        <v>30</v>
      </c>
      <c r="D2266">
        <v>22</v>
      </c>
      <c r="E2266" s="13" t="s">
        <v>12770</v>
      </c>
      <c r="F2266">
        <v>0</v>
      </c>
      <c r="G2266" s="11">
        <v>41505.15</v>
      </c>
      <c r="H2266" t="s">
        <v>16</v>
      </c>
      <c r="I2266" t="s">
        <v>11</v>
      </c>
      <c r="J2266" t="s">
        <v>42</v>
      </c>
    </row>
    <row r="2267" spans="1:10" x14ac:dyDescent="0.3">
      <c r="A2267" t="s">
        <v>2295</v>
      </c>
      <c r="B2267">
        <v>1974</v>
      </c>
      <c r="C2267" t="s">
        <v>15</v>
      </c>
      <c r="D2267">
        <v>24</v>
      </c>
      <c r="E2267" s="13" t="s">
        <v>12771</v>
      </c>
      <c r="F2267">
        <v>0</v>
      </c>
      <c r="G2267" s="11">
        <v>41636.199999999997</v>
      </c>
      <c r="H2267" t="s">
        <v>16</v>
      </c>
      <c r="I2267" t="s">
        <v>16</v>
      </c>
      <c r="J2267" t="s">
        <v>42</v>
      </c>
    </row>
    <row r="2268" spans="1:10" x14ac:dyDescent="0.3">
      <c r="A2268" t="s">
        <v>2296</v>
      </c>
      <c r="B2268">
        <v>1976</v>
      </c>
      <c r="C2268" t="s">
        <v>37</v>
      </c>
      <c r="D2268">
        <v>29</v>
      </c>
      <c r="E2268" s="13" t="s">
        <v>12772</v>
      </c>
      <c r="F2268">
        <v>1</v>
      </c>
      <c r="G2268" s="11">
        <v>41661.599999999999</v>
      </c>
      <c r="H2268" t="s">
        <v>16</v>
      </c>
      <c r="I2268" t="s">
        <v>12</v>
      </c>
      <c r="J2268" t="s">
        <v>42</v>
      </c>
    </row>
    <row r="2269" spans="1:10" x14ac:dyDescent="0.3">
      <c r="A2269" t="s">
        <v>2297</v>
      </c>
      <c r="B2269">
        <v>1975</v>
      </c>
      <c r="C2269" t="s">
        <v>15</v>
      </c>
      <c r="D2269">
        <v>14</v>
      </c>
      <c r="E2269" s="13" t="s">
        <v>12773</v>
      </c>
      <c r="F2269">
        <v>0</v>
      </c>
      <c r="G2269" s="11">
        <v>41676.080000000002</v>
      </c>
      <c r="H2269" t="s">
        <v>16</v>
      </c>
      <c r="I2269" t="s">
        <v>11</v>
      </c>
      <c r="J2269" t="s">
        <v>13</v>
      </c>
    </row>
    <row r="2270" spans="1:10" x14ac:dyDescent="0.3">
      <c r="A2270" t="s">
        <v>2298</v>
      </c>
      <c r="B2270">
        <v>1975</v>
      </c>
      <c r="C2270" t="s">
        <v>20</v>
      </c>
      <c r="D2270">
        <v>29</v>
      </c>
      <c r="E2270" s="13" t="s">
        <v>11823</v>
      </c>
      <c r="F2270">
        <v>1</v>
      </c>
      <c r="G2270" s="11">
        <v>41681.86</v>
      </c>
      <c r="H2270" t="s">
        <v>16</v>
      </c>
      <c r="I2270" t="s">
        <v>16</v>
      </c>
      <c r="J2270" t="s">
        <v>42</v>
      </c>
    </row>
    <row r="2271" spans="1:10" x14ac:dyDescent="0.3">
      <c r="A2271" t="s">
        <v>2299</v>
      </c>
      <c r="B2271">
        <v>1962</v>
      </c>
      <c r="C2271" t="s">
        <v>20</v>
      </c>
      <c r="D2271">
        <v>22</v>
      </c>
      <c r="E2271" s="13" t="s">
        <v>12774</v>
      </c>
      <c r="F2271">
        <v>0</v>
      </c>
      <c r="G2271" s="11">
        <v>41794.629999999997</v>
      </c>
      <c r="H2271" t="s">
        <v>16</v>
      </c>
      <c r="I2271" t="s">
        <v>12</v>
      </c>
      <c r="J2271" t="s">
        <v>42</v>
      </c>
    </row>
    <row r="2272" spans="1:10" x14ac:dyDescent="0.3">
      <c r="A2272" t="s">
        <v>2300</v>
      </c>
      <c r="B2272">
        <v>1966</v>
      </c>
      <c r="C2272" t="s">
        <v>20</v>
      </c>
      <c r="D2272">
        <v>21</v>
      </c>
      <c r="E2272" s="13" t="s">
        <v>12775</v>
      </c>
      <c r="F2272">
        <v>0</v>
      </c>
      <c r="G2272" s="11">
        <v>41886.54</v>
      </c>
      <c r="H2272" t="s">
        <v>16</v>
      </c>
      <c r="I2272" t="s">
        <v>12</v>
      </c>
      <c r="J2272" t="s">
        <v>42</v>
      </c>
    </row>
    <row r="2273" spans="1:10" x14ac:dyDescent="0.3">
      <c r="A2273" t="s">
        <v>2301</v>
      </c>
      <c r="B2273">
        <v>1972</v>
      </c>
      <c r="C2273" t="s">
        <v>18</v>
      </c>
      <c r="D2273">
        <v>8</v>
      </c>
      <c r="E2273" s="13" t="s">
        <v>11805</v>
      </c>
      <c r="F2273">
        <v>1</v>
      </c>
      <c r="G2273" s="11">
        <v>41919.1</v>
      </c>
      <c r="H2273" t="s">
        <v>16</v>
      </c>
      <c r="I2273" t="s">
        <v>16</v>
      </c>
      <c r="J2273" t="s">
        <v>168</v>
      </c>
    </row>
    <row r="2274" spans="1:10" x14ac:dyDescent="0.3">
      <c r="A2274" t="s">
        <v>2302</v>
      </c>
      <c r="B2274">
        <v>1984</v>
      </c>
      <c r="C2274" t="s">
        <v>15</v>
      </c>
      <c r="D2274">
        <v>10</v>
      </c>
      <c r="E2274" s="13" t="s">
        <v>11904</v>
      </c>
      <c r="F2274">
        <v>3</v>
      </c>
      <c r="G2274" s="11">
        <v>41949.24</v>
      </c>
      <c r="H2274" t="s">
        <v>16</v>
      </c>
      <c r="I2274" t="s">
        <v>16</v>
      </c>
      <c r="J2274" t="s">
        <v>13</v>
      </c>
    </row>
    <row r="2275" spans="1:10" x14ac:dyDescent="0.3">
      <c r="A2275" t="s">
        <v>2303</v>
      </c>
      <c r="B2275">
        <v>1968</v>
      </c>
      <c r="C2275" t="s">
        <v>30</v>
      </c>
      <c r="D2275">
        <v>19</v>
      </c>
      <c r="E2275" s="13" t="s">
        <v>11902</v>
      </c>
      <c r="F2275">
        <v>1</v>
      </c>
      <c r="G2275" s="11">
        <v>41999.519999999997</v>
      </c>
      <c r="H2275" t="s">
        <v>16</v>
      </c>
      <c r="I2275" t="s">
        <v>12</v>
      </c>
      <c r="J2275" t="s">
        <v>13</v>
      </c>
    </row>
    <row r="2276" spans="1:10" x14ac:dyDescent="0.3">
      <c r="A2276" t="s">
        <v>2304</v>
      </c>
      <c r="B2276">
        <v>1976</v>
      </c>
      <c r="C2276" t="s">
        <v>15</v>
      </c>
      <c r="D2276">
        <v>28</v>
      </c>
      <c r="E2276" s="13" t="s">
        <v>12776</v>
      </c>
      <c r="F2276">
        <v>0</v>
      </c>
      <c r="G2276" s="11">
        <v>42111.66</v>
      </c>
      <c r="H2276" t="s">
        <v>16</v>
      </c>
      <c r="I2276" t="s">
        <v>16</v>
      </c>
      <c r="J2276" t="s">
        <v>247</v>
      </c>
    </row>
    <row r="2277" spans="1:10" x14ac:dyDescent="0.3">
      <c r="A2277" t="s">
        <v>2305</v>
      </c>
      <c r="B2277">
        <v>1997</v>
      </c>
      <c r="C2277" t="s">
        <v>30</v>
      </c>
      <c r="D2277">
        <v>9</v>
      </c>
      <c r="E2277" s="13" t="s">
        <v>12777</v>
      </c>
      <c r="F2277">
        <v>2</v>
      </c>
      <c r="G2277" s="11">
        <v>42112.24</v>
      </c>
      <c r="H2277" t="s">
        <v>16</v>
      </c>
      <c r="I2277" t="s">
        <v>12</v>
      </c>
      <c r="J2277" t="s">
        <v>13</v>
      </c>
    </row>
    <row r="2278" spans="1:10" x14ac:dyDescent="0.3">
      <c r="A2278" t="s">
        <v>2306</v>
      </c>
      <c r="B2278">
        <v>1979</v>
      </c>
      <c r="C2278" t="s">
        <v>10</v>
      </c>
      <c r="D2278">
        <v>3</v>
      </c>
      <c r="E2278" s="13" t="s">
        <v>12778</v>
      </c>
      <c r="F2278">
        <v>3</v>
      </c>
      <c r="G2278" s="11">
        <v>42124.52</v>
      </c>
      <c r="H2278" t="s">
        <v>16</v>
      </c>
      <c r="I2278" t="s">
        <v>16</v>
      </c>
      <c r="J2278" t="s">
        <v>13</v>
      </c>
    </row>
    <row r="2279" spans="1:10" x14ac:dyDescent="0.3">
      <c r="A2279" t="s">
        <v>2307</v>
      </c>
      <c r="B2279">
        <v>1973</v>
      </c>
      <c r="C2279" t="s">
        <v>20</v>
      </c>
      <c r="D2279">
        <v>18</v>
      </c>
      <c r="E2279" s="13" t="s">
        <v>12779</v>
      </c>
      <c r="F2279">
        <v>0</v>
      </c>
      <c r="G2279" s="11">
        <v>42188.15</v>
      </c>
      <c r="H2279" t="s">
        <v>16</v>
      </c>
      <c r="I2279" t="s">
        <v>16</v>
      </c>
      <c r="J2279" t="s">
        <v>42</v>
      </c>
    </row>
    <row r="2280" spans="1:10" x14ac:dyDescent="0.3">
      <c r="A2280" t="s">
        <v>2308</v>
      </c>
      <c r="B2280">
        <v>1975</v>
      </c>
      <c r="C2280" t="s">
        <v>35</v>
      </c>
      <c r="D2280">
        <v>15</v>
      </c>
      <c r="E2280" s="13" t="s">
        <v>12780</v>
      </c>
      <c r="F2280">
        <v>1</v>
      </c>
      <c r="G2280" s="11">
        <v>42211.14</v>
      </c>
      <c r="H2280" t="s">
        <v>16</v>
      </c>
      <c r="I2280" t="s">
        <v>12</v>
      </c>
      <c r="J2280" t="s">
        <v>13</v>
      </c>
    </row>
    <row r="2281" spans="1:10" x14ac:dyDescent="0.3">
      <c r="A2281" t="s">
        <v>2309</v>
      </c>
      <c r="B2281">
        <v>1967</v>
      </c>
      <c r="C2281" t="s">
        <v>18</v>
      </c>
      <c r="D2281">
        <v>28</v>
      </c>
      <c r="E2281" s="13" t="s">
        <v>12085</v>
      </c>
      <c r="F2281">
        <v>0</v>
      </c>
      <c r="G2281" s="11">
        <v>42303.69</v>
      </c>
      <c r="H2281" t="s">
        <v>16</v>
      </c>
      <c r="I2281" t="s">
        <v>11</v>
      </c>
      <c r="J2281" t="s">
        <v>168</v>
      </c>
    </row>
    <row r="2282" spans="1:10" x14ac:dyDescent="0.3">
      <c r="A2282" t="s">
        <v>2310</v>
      </c>
      <c r="B2282">
        <v>1968</v>
      </c>
      <c r="C2282" t="s">
        <v>35</v>
      </c>
      <c r="D2282">
        <v>3</v>
      </c>
      <c r="E2282" s="13" t="s">
        <v>12781</v>
      </c>
      <c r="F2282">
        <v>0</v>
      </c>
      <c r="G2282" s="11">
        <v>42478.6</v>
      </c>
      <c r="H2282" t="s">
        <v>16</v>
      </c>
      <c r="I2282" t="s">
        <v>11</v>
      </c>
      <c r="J2282" t="s">
        <v>42</v>
      </c>
    </row>
    <row r="2283" spans="1:10" x14ac:dyDescent="0.3">
      <c r="A2283" t="s">
        <v>2311</v>
      </c>
      <c r="B2283">
        <v>1967</v>
      </c>
      <c r="C2283" t="s">
        <v>18</v>
      </c>
      <c r="D2283">
        <v>27</v>
      </c>
      <c r="E2283" s="13" t="s">
        <v>12782</v>
      </c>
      <c r="F2283">
        <v>0</v>
      </c>
      <c r="G2283" s="11">
        <v>42538.720000000001</v>
      </c>
      <c r="H2283" t="s">
        <v>16</v>
      </c>
      <c r="I2283" t="s">
        <v>12</v>
      </c>
      <c r="J2283" t="s">
        <v>42</v>
      </c>
    </row>
    <row r="2284" spans="1:10" x14ac:dyDescent="0.3">
      <c r="A2284" t="s">
        <v>2312</v>
      </c>
      <c r="B2284">
        <v>1979</v>
      </c>
      <c r="C2284" t="s">
        <v>30</v>
      </c>
      <c r="D2284">
        <v>27</v>
      </c>
      <c r="E2284" s="13" t="s">
        <v>12783</v>
      </c>
      <c r="F2284">
        <v>2</v>
      </c>
      <c r="G2284" s="11">
        <v>42560.43</v>
      </c>
      <c r="H2284" t="s">
        <v>16</v>
      </c>
      <c r="I2284" t="s">
        <v>12</v>
      </c>
      <c r="J2284" t="s">
        <v>13</v>
      </c>
    </row>
    <row r="2285" spans="1:10" x14ac:dyDescent="0.3">
      <c r="A2285" t="s">
        <v>2313</v>
      </c>
      <c r="B2285">
        <v>1971</v>
      </c>
      <c r="C2285" t="s">
        <v>15</v>
      </c>
      <c r="D2285">
        <v>3</v>
      </c>
      <c r="E2285" s="13" t="s">
        <v>12013</v>
      </c>
      <c r="F2285">
        <v>0</v>
      </c>
      <c r="G2285" s="11">
        <v>42644.2</v>
      </c>
      <c r="H2285" t="s">
        <v>16</v>
      </c>
      <c r="I2285" t="s">
        <v>12</v>
      </c>
      <c r="J2285" t="s">
        <v>42</v>
      </c>
    </row>
    <row r="2286" spans="1:10" x14ac:dyDescent="0.3">
      <c r="A2286" t="s">
        <v>2314</v>
      </c>
      <c r="B2286">
        <v>1977</v>
      </c>
      <c r="C2286" t="s">
        <v>37</v>
      </c>
      <c r="D2286">
        <v>21</v>
      </c>
      <c r="E2286" s="13" t="s">
        <v>11491</v>
      </c>
      <c r="F2286">
        <v>2</v>
      </c>
      <c r="G2286" s="11">
        <v>42760.5</v>
      </c>
      <c r="H2286" t="s">
        <v>16</v>
      </c>
      <c r="I2286" t="s">
        <v>11</v>
      </c>
      <c r="J2286" t="s">
        <v>23</v>
      </c>
    </row>
    <row r="2287" spans="1:10" x14ac:dyDescent="0.3">
      <c r="A2287" t="s">
        <v>2315</v>
      </c>
      <c r="B2287">
        <v>1965</v>
      </c>
      <c r="C2287" t="s">
        <v>37</v>
      </c>
      <c r="D2287">
        <v>29</v>
      </c>
      <c r="E2287" s="13" t="s">
        <v>12784</v>
      </c>
      <c r="F2287">
        <v>0</v>
      </c>
      <c r="G2287" s="11">
        <v>42764.12</v>
      </c>
      <c r="H2287" t="s">
        <v>16</v>
      </c>
      <c r="I2287" t="s">
        <v>11</v>
      </c>
      <c r="J2287" t="s">
        <v>42</v>
      </c>
    </row>
    <row r="2288" spans="1:10" x14ac:dyDescent="0.3">
      <c r="A2288" t="s">
        <v>2316</v>
      </c>
      <c r="B2288">
        <v>1972</v>
      </c>
      <c r="C2288" t="s">
        <v>20</v>
      </c>
      <c r="D2288">
        <v>10</v>
      </c>
      <c r="E2288" s="13" t="s">
        <v>12785</v>
      </c>
      <c r="F2288">
        <v>2</v>
      </c>
      <c r="G2288" s="11">
        <v>42856.84</v>
      </c>
      <c r="H2288" t="s">
        <v>16</v>
      </c>
      <c r="I2288" t="s">
        <v>16</v>
      </c>
      <c r="J2288" t="s">
        <v>42</v>
      </c>
    </row>
    <row r="2289" spans="1:10" x14ac:dyDescent="0.3">
      <c r="A2289" t="s">
        <v>2317</v>
      </c>
      <c r="B2289">
        <v>1975</v>
      </c>
      <c r="C2289" t="s">
        <v>37</v>
      </c>
      <c r="D2289">
        <v>23</v>
      </c>
      <c r="E2289" s="13" t="s">
        <v>12786</v>
      </c>
      <c r="F2289">
        <v>1</v>
      </c>
      <c r="G2289" s="11">
        <v>42969.85</v>
      </c>
      <c r="H2289" t="s">
        <v>16</v>
      </c>
      <c r="I2289" t="s">
        <v>12</v>
      </c>
      <c r="J2289" t="s">
        <v>13</v>
      </c>
    </row>
    <row r="2290" spans="1:10" x14ac:dyDescent="0.3">
      <c r="A2290" t="s">
        <v>2318</v>
      </c>
      <c r="B2290">
        <v>1978</v>
      </c>
      <c r="C2290" t="s">
        <v>15</v>
      </c>
      <c r="D2290">
        <v>4</v>
      </c>
      <c r="E2290" s="13" t="s">
        <v>11944</v>
      </c>
      <c r="F2290">
        <v>0</v>
      </c>
      <c r="G2290" s="11">
        <v>42983.46</v>
      </c>
      <c r="H2290" t="s">
        <v>16</v>
      </c>
      <c r="I2290" t="s">
        <v>11</v>
      </c>
      <c r="J2290" t="s">
        <v>23</v>
      </c>
    </row>
    <row r="2291" spans="1:10" x14ac:dyDescent="0.3">
      <c r="A2291" t="s">
        <v>2319</v>
      </c>
      <c r="B2291">
        <v>1965</v>
      </c>
      <c r="C2291" t="s">
        <v>15</v>
      </c>
      <c r="D2291">
        <v>29</v>
      </c>
      <c r="E2291" s="13" t="s">
        <v>12787</v>
      </c>
      <c r="F2291">
        <v>0</v>
      </c>
      <c r="G2291" s="11">
        <v>43073.760000000002</v>
      </c>
      <c r="H2291" t="s">
        <v>11</v>
      </c>
      <c r="I2291" t="s">
        <v>11</v>
      </c>
      <c r="J2291" t="s">
        <v>42</v>
      </c>
    </row>
    <row r="2292" spans="1:10" x14ac:dyDescent="0.3">
      <c r="A2292" t="s">
        <v>2320</v>
      </c>
      <c r="B2292">
        <v>1969</v>
      </c>
      <c r="C2292" t="s">
        <v>30</v>
      </c>
      <c r="D2292">
        <v>3</v>
      </c>
      <c r="E2292" s="13" t="s">
        <v>12788</v>
      </c>
      <c r="F2292">
        <v>0</v>
      </c>
      <c r="G2292" s="11">
        <v>43254.42</v>
      </c>
      <c r="H2292" t="s">
        <v>11</v>
      </c>
      <c r="I2292" t="s">
        <v>11</v>
      </c>
      <c r="J2292" t="s">
        <v>168</v>
      </c>
    </row>
    <row r="2293" spans="1:10" x14ac:dyDescent="0.3">
      <c r="A2293" t="s">
        <v>2321</v>
      </c>
      <c r="B2293">
        <v>1965</v>
      </c>
      <c r="C2293" t="s">
        <v>35</v>
      </c>
      <c r="D2293">
        <v>22</v>
      </c>
      <c r="E2293" s="13" t="s">
        <v>12789</v>
      </c>
      <c r="F2293">
        <v>0</v>
      </c>
      <c r="G2293" s="11">
        <v>43578.94</v>
      </c>
      <c r="H2293" t="s">
        <v>11</v>
      </c>
      <c r="I2293" t="s">
        <v>11</v>
      </c>
      <c r="J2293" t="s">
        <v>23</v>
      </c>
    </row>
    <row r="2294" spans="1:10" x14ac:dyDescent="0.3">
      <c r="A2294" t="s">
        <v>2322</v>
      </c>
      <c r="B2294">
        <v>1986</v>
      </c>
      <c r="C2294" t="s">
        <v>30</v>
      </c>
      <c r="D2294">
        <v>29</v>
      </c>
      <c r="E2294" s="13" t="s">
        <v>12790</v>
      </c>
      <c r="F2294">
        <v>3</v>
      </c>
      <c r="G2294" s="11">
        <v>43753.34</v>
      </c>
      <c r="H2294" t="s">
        <v>11</v>
      </c>
      <c r="I2294" t="s">
        <v>16</v>
      </c>
      <c r="J2294" t="s">
        <v>164</v>
      </c>
    </row>
    <row r="2295" spans="1:10" x14ac:dyDescent="0.3">
      <c r="A2295" t="s">
        <v>2323</v>
      </c>
      <c r="B2295">
        <v>1966</v>
      </c>
      <c r="C2295" t="s">
        <v>37</v>
      </c>
      <c r="D2295">
        <v>25</v>
      </c>
      <c r="E2295" s="13" t="s">
        <v>12791</v>
      </c>
      <c r="F2295">
        <v>2</v>
      </c>
      <c r="G2295" s="11">
        <v>43813.87</v>
      </c>
      <c r="H2295" t="s">
        <v>11</v>
      </c>
      <c r="I2295" t="s">
        <v>11</v>
      </c>
      <c r="J2295" t="s">
        <v>13</v>
      </c>
    </row>
    <row r="2296" spans="1:10" x14ac:dyDescent="0.3">
      <c r="A2296" t="s">
        <v>2324</v>
      </c>
      <c r="B2296">
        <v>1966</v>
      </c>
      <c r="C2296" t="s">
        <v>10</v>
      </c>
      <c r="D2296">
        <v>2</v>
      </c>
      <c r="E2296" s="13" t="s">
        <v>12792</v>
      </c>
      <c r="F2296">
        <v>0</v>
      </c>
      <c r="G2296" s="11">
        <v>43817.45</v>
      </c>
      <c r="H2296" t="s">
        <v>11</v>
      </c>
      <c r="I2296" t="s">
        <v>12</v>
      </c>
      <c r="J2296" t="s">
        <v>23</v>
      </c>
    </row>
    <row r="2297" spans="1:10" x14ac:dyDescent="0.3">
      <c r="A2297" t="s">
        <v>2325</v>
      </c>
      <c r="B2297">
        <v>1980</v>
      </c>
      <c r="C2297" t="s">
        <v>15</v>
      </c>
      <c r="D2297">
        <v>10</v>
      </c>
      <c r="E2297" s="13" t="s">
        <v>12793</v>
      </c>
      <c r="F2297">
        <v>2</v>
      </c>
      <c r="G2297" s="11">
        <v>43896.38</v>
      </c>
      <c r="H2297" t="s">
        <v>11</v>
      </c>
      <c r="I2297" t="s">
        <v>16</v>
      </c>
      <c r="J2297" t="s">
        <v>13</v>
      </c>
    </row>
    <row r="2298" spans="1:10" x14ac:dyDescent="0.3">
      <c r="A2298" t="s">
        <v>2326</v>
      </c>
      <c r="B2298">
        <v>1966</v>
      </c>
      <c r="C2298" t="s">
        <v>37</v>
      </c>
      <c r="D2298">
        <v>5</v>
      </c>
      <c r="E2298" s="13" t="s">
        <v>12794</v>
      </c>
      <c r="F2298">
        <v>0</v>
      </c>
      <c r="G2298" s="11">
        <v>43921.18</v>
      </c>
      <c r="H2298" t="s">
        <v>11</v>
      </c>
      <c r="I2298" t="s">
        <v>11</v>
      </c>
      <c r="J2298" t="s">
        <v>23</v>
      </c>
    </row>
    <row r="2299" spans="1:10" x14ac:dyDescent="0.3">
      <c r="A2299" t="s">
        <v>2327</v>
      </c>
      <c r="B2299">
        <v>1988</v>
      </c>
      <c r="C2299" t="s">
        <v>10</v>
      </c>
      <c r="D2299">
        <v>16</v>
      </c>
      <c r="E2299" s="13" t="s">
        <v>12795</v>
      </c>
      <c r="F2299">
        <v>1</v>
      </c>
      <c r="G2299" s="11">
        <v>43943.88</v>
      </c>
      <c r="H2299" t="s">
        <v>11</v>
      </c>
      <c r="I2299" t="s">
        <v>16</v>
      </c>
      <c r="J2299" t="s">
        <v>23</v>
      </c>
    </row>
    <row r="2300" spans="1:10" x14ac:dyDescent="0.3">
      <c r="A2300" t="s">
        <v>2328</v>
      </c>
      <c r="B2300">
        <v>1975</v>
      </c>
      <c r="C2300" t="s">
        <v>18</v>
      </c>
      <c r="D2300">
        <v>1</v>
      </c>
      <c r="E2300" s="13" t="s">
        <v>12796</v>
      </c>
      <c r="F2300">
        <v>2</v>
      </c>
      <c r="G2300" s="11">
        <v>44202.65</v>
      </c>
      <c r="H2300" t="s">
        <v>11</v>
      </c>
      <c r="I2300" t="s">
        <v>11</v>
      </c>
      <c r="J2300" t="s">
        <v>13</v>
      </c>
    </row>
    <row r="2301" spans="1:10" x14ac:dyDescent="0.3">
      <c r="A2301" t="s">
        <v>2329</v>
      </c>
      <c r="B2301">
        <v>1968</v>
      </c>
      <c r="C2301" t="s">
        <v>15</v>
      </c>
      <c r="D2301">
        <v>24</v>
      </c>
      <c r="E2301" s="13" t="s">
        <v>12797</v>
      </c>
      <c r="F2301">
        <v>2</v>
      </c>
      <c r="G2301" s="11">
        <v>44260.75</v>
      </c>
      <c r="H2301" t="s">
        <v>11</v>
      </c>
      <c r="I2301" t="s">
        <v>16</v>
      </c>
      <c r="J2301" t="s">
        <v>13</v>
      </c>
    </row>
    <row r="2302" spans="1:10" x14ac:dyDescent="0.3">
      <c r="A2302" t="s">
        <v>2330</v>
      </c>
      <c r="B2302">
        <v>1971</v>
      </c>
      <c r="C2302" t="s">
        <v>37</v>
      </c>
      <c r="D2302">
        <v>29</v>
      </c>
      <c r="E2302" s="13" t="s">
        <v>12798</v>
      </c>
      <c r="F2302">
        <v>0</v>
      </c>
      <c r="G2302" s="11">
        <v>44400.41</v>
      </c>
      <c r="H2302" t="s">
        <v>11</v>
      </c>
      <c r="I2302" t="s">
        <v>11</v>
      </c>
      <c r="J2302" t="s">
        <v>13</v>
      </c>
    </row>
    <row r="2303" spans="1:10" x14ac:dyDescent="0.3">
      <c r="A2303" t="s">
        <v>2331</v>
      </c>
      <c r="B2303">
        <v>1967</v>
      </c>
      <c r="C2303" t="s">
        <v>20</v>
      </c>
      <c r="D2303">
        <v>14</v>
      </c>
      <c r="E2303" s="13" t="s">
        <v>12799</v>
      </c>
      <c r="F2303">
        <v>0</v>
      </c>
      <c r="G2303" s="11">
        <v>44423.8</v>
      </c>
      <c r="H2303" t="s">
        <v>11</v>
      </c>
      <c r="I2303" t="s">
        <v>12</v>
      </c>
      <c r="J2303" t="s">
        <v>13</v>
      </c>
    </row>
    <row r="2304" spans="1:10" x14ac:dyDescent="0.3">
      <c r="A2304" t="s">
        <v>2332</v>
      </c>
      <c r="B2304">
        <v>2000</v>
      </c>
      <c r="C2304" t="s">
        <v>35</v>
      </c>
      <c r="D2304">
        <v>2</v>
      </c>
      <c r="E2304" s="13" t="s">
        <v>12800</v>
      </c>
      <c r="F2304">
        <v>1</v>
      </c>
      <c r="G2304" s="11">
        <v>44501.4</v>
      </c>
      <c r="H2304" t="s">
        <v>11</v>
      </c>
      <c r="I2304" t="s">
        <v>12</v>
      </c>
      <c r="J2304" t="s">
        <v>13</v>
      </c>
    </row>
    <row r="2305" spans="1:10" x14ac:dyDescent="0.3">
      <c r="A2305" t="s">
        <v>2333</v>
      </c>
      <c r="B2305">
        <v>1993</v>
      </c>
      <c r="C2305" t="s">
        <v>37</v>
      </c>
      <c r="D2305">
        <v>11</v>
      </c>
      <c r="E2305" s="13" t="s">
        <v>12801</v>
      </c>
      <c r="F2305">
        <v>2</v>
      </c>
      <c r="G2305" s="11">
        <v>44585.46</v>
      </c>
      <c r="H2305" t="s">
        <v>11</v>
      </c>
      <c r="I2305" t="s">
        <v>11</v>
      </c>
      <c r="J2305" t="s">
        <v>42</v>
      </c>
    </row>
    <row r="2306" spans="1:10" x14ac:dyDescent="0.3">
      <c r="A2306" t="s">
        <v>2334</v>
      </c>
      <c r="B2306">
        <v>1971</v>
      </c>
      <c r="C2306" t="s">
        <v>35</v>
      </c>
      <c r="D2306">
        <v>13</v>
      </c>
      <c r="E2306" s="13" t="s">
        <v>12802</v>
      </c>
      <c r="F2306">
        <v>2</v>
      </c>
      <c r="G2306" s="11">
        <v>44641.2</v>
      </c>
      <c r="H2306" t="s">
        <v>11</v>
      </c>
      <c r="I2306" t="s">
        <v>12</v>
      </c>
      <c r="J2306" t="s">
        <v>247</v>
      </c>
    </row>
    <row r="2307" spans="1:10" x14ac:dyDescent="0.3">
      <c r="A2307" t="s">
        <v>2335</v>
      </c>
      <c r="B2307">
        <v>1962</v>
      </c>
      <c r="C2307" t="s">
        <v>30</v>
      </c>
      <c r="D2307">
        <v>17</v>
      </c>
      <c r="E2307" s="13" t="s">
        <v>12803</v>
      </c>
      <c r="F2307">
        <v>0</v>
      </c>
      <c r="G2307" s="11">
        <v>45008.959999999999</v>
      </c>
      <c r="H2307" t="s">
        <v>11</v>
      </c>
      <c r="I2307" t="s">
        <v>11</v>
      </c>
      <c r="J2307" t="s">
        <v>13</v>
      </c>
    </row>
    <row r="2308" spans="1:10" x14ac:dyDescent="0.3">
      <c r="A2308" t="s">
        <v>2336</v>
      </c>
      <c r="B2308">
        <v>1974</v>
      </c>
      <c r="C2308" t="s">
        <v>35</v>
      </c>
      <c r="D2308">
        <v>9</v>
      </c>
      <c r="E2308" s="13" t="s">
        <v>12804</v>
      </c>
      <c r="F2308">
        <v>2</v>
      </c>
      <c r="G2308" s="11">
        <v>45702.02</v>
      </c>
      <c r="H2308" t="s">
        <v>11</v>
      </c>
      <c r="I2308" t="s">
        <v>11</v>
      </c>
      <c r="J2308" t="s">
        <v>23</v>
      </c>
    </row>
    <row r="2309" spans="1:10" x14ac:dyDescent="0.3">
      <c r="A2309" t="s">
        <v>2337</v>
      </c>
      <c r="B2309">
        <v>1960</v>
      </c>
      <c r="C2309" t="s">
        <v>30</v>
      </c>
      <c r="D2309">
        <v>21</v>
      </c>
      <c r="E2309" s="13" t="s">
        <v>12805</v>
      </c>
      <c r="F2309">
        <v>0</v>
      </c>
      <c r="G2309" s="11">
        <v>45710.21</v>
      </c>
      <c r="H2309" t="s">
        <v>11</v>
      </c>
      <c r="I2309" t="s">
        <v>11</v>
      </c>
      <c r="J2309" t="s">
        <v>168</v>
      </c>
    </row>
    <row r="2310" spans="1:10" x14ac:dyDescent="0.3">
      <c r="A2310" t="s">
        <v>2338</v>
      </c>
      <c r="B2310">
        <v>1979</v>
      </c>
      <c r="C2310" t="s">
        <v>35</v>
      </c>
      <c r="D2310">
        <v>12</v>
      </c>
      <c r="E2310" s="13" t="s">
        <v>12806</v>
      </c>
      <c r="F2310">
        <v>0</v>
      </c>
      <c r="G2310" s="11">
        <v>45863.21</v>
      </c>
      <c r="H2310" t="s">
        <v>11</v>
      </c>
      <c r="I2310" t="s">
        <v>16</v>
      </c>
      <c r="J2310" t="s">
        <v>13</v>
      </c>
    </row>
    <row r="2311" spans="1:10" x14ac:dyDescent="0.3">
      <c r="A2311" t="s">
        <v>2339</v>
      </c>
      <c r="B2311">
        <v>1985</v>
      </c>
      <c r="C2311" t="s">
        <v>20</v>
      </c>
      <c r="D2311">
        <v>30</v>
      </c>
      <c r="E2311" s="13" t="s">
        <v>12807</v>
      </c>
      <c r="F2311">
        <v>2</v>
      </c>
      <c r="G2311" s="11">
        <v>46113.51</v>
      </c>
      <c r="H2311" t="s">
        <v>11</v>
      </c>
      <c r="I2311" t="s">
        <v>12</v>
      </c>
      <c r="J2311" t="s">
        <v>42</v>
      </c>
    </row>
    <row r="2312" spans="1:10" x14ac:dyDescent="0.3">
      <c r="A2312" t="s">
        <v>2340</v>
      </c>
      <c r="B2312">
        <v>1962</v>
      </c>
      <c r="C2312" t="s">
        <v>30</v>
      </c>
      <c r="D2312">
        <v>4</v>
      </c>
      <c r="E2312" s="13" t="s">
        <v>12808</v>
      </c>
      <c r="F2312">
        <v>3</v>
      </c>
      <c r="G2312" s="11">
        <v>46130.53</v>
      </c>
      <c r="H2312" t="s">
        <v>16</v>
      </c>
      <c r="I2312" t="s">
        <v>16</v>
      </c>
      <c r="J2312" t="s">
        <v>23</v>
      </c>
    </row>
    <row r="2313" spans="1:10" x14ac:dyDescent="0.3">
      <c r="A2313" t="s">
        <v>2341</v>
      </c>
      <c r="B2313">
        <v>1976</v>
      </c>
      <c r="C2313" t="s">
        <v>30</v>
      </c>
      <c r="D2313">
        <v>2</v>
      </c>
      <c r="E2313" s="13" t="s">
        <v>12809</v>
      </c>
      <c r="F2313">
        <v>3</v>
      </c>
      <c r="G2313" s="11">
        <v>46151.12</v>
      </c>
      <c r="H2313" t="s">
        <v>16</v>
      </c>
      <c r="I2313" t="s">
        <v>12</v>
      </c>
      <c r="J2313" t="s">
        <v>13</v>
      </c>
    </row>
    <row r="2314" spans="1:10" x14ac:dyDescent="0.3">
      <c r="A2314" t="s">
        <v>2342</v>
      </c>
      <c r="B2314">
        <v>1978</v>
      </c>
      <c r="C2314" t="s">
        <v>35</v>
      </c>
      <c r="D2314">
        <v>17</v>
      </c>
      <c r="E2314" s="13" t="s">
        <v>12810</v>
      </c>
      <c r="F2314">
        <v>2</v>
      </c>
      <c r="G2314" s="11">
        <v>46200.99</v>
      </c>
      <c r="H2314" t="s">
        <v>16</v>
      </c>
      <c r="I2314" t="s">
        <v>16</v>
      </c>
      <c r="J2314" t="s">
        <v>13</v>
      </c>
    </row>
    <row r="2315" spans="1:10" x14ac:dyDescent="0.3">
      <c r="A2315" t="s">
        <v>2343</v>
      </c>
      <c r="B2315">
        <v>1971</v>
      </c>
      <c r="C2315" t="s">
        <v>30</v>
      </c>
      <c r="D2315">
        <v>6</v>
      </c>
      <c r="E2315" s="13" t="s">
        <v>12136</v>
      </c>
      <c r="F2315">
        <v>3</v>
      </c>
      <c r="G2315" s="11">
        <v>46255.11</v>
      </c>
      <c r="H2315" t="s">
        <v>16</v>
      </c>
      <c r="I2315" t="s">
        <v>12</v>
      </c>
      <c r="J2315" t="s">
        <v>247</v>
      </c>
    </row>
    <row r="2316" spans="1:10" x14ac:dyDescent="0.3">
      <c r="A2316" t="s">
        <v>2344</v>
      </c>
      <c r="B2316">
        <v>1961</v>
      </c>
      <c r="C2316" t="s">
        <v>35</v>
      </c>
      <c r="D2316">
        <v>8</v>
      </c>
      <c r="E2316" s="13" t="s">
        <v>12811</v>
      </c>
      <c r="F2316">
        <v>0</v>
      </c>
      <c r="G2316" s="11">
        <v>46599.11</v>
      </c>
      <c r="H2316" t="s">
        <v>16</v>
      </c>
      <c r="I2316" t="s">
        <v>16</v>
      </c>
      <c r="J2316" t="s">
        <v>13</v>
      </c>
    </row>
    <row r="2317" spans="1:10" x14ac:dyDescent="0.3">
      <c r="A2317" t="s">
        <v>2345</v>
      </c>
      <c r="B2317">
        <v>1969</v>
      </c>
      <c r="C2317" t="s">
        <v>18</v>
      </c>
      <c r="D2317">
        <v>23</v>
      </c>
      <c r="E2317" s="13" t="s">
        <v>12812</v>
      </c>
      <c r="F2317">
        <v>3</v>
      </c>
      <c r="G2317" s="11">
        <v>46661.440000000002</v>
      </c>
      <c r="H2317" t="s">
        <v>16</v>
      </c>
      <c r="I2317" t="s">
        <v>12</v>
      </c>
      <c r="J2317" t="s">
        <v>23</v>
      </c>
    </row>
    <row r="2318" spans="1:10" x14ac:dyDescent="0.3">
      <c r="A2318" t="s">
        <v>2346</v>
      </c>
      <c r="B2318">
        <v>1960</v>
      </c>
      <c r="C2318" t="s">
        <v>15</v>
      </c>
      <c r="D2318">
        <v>17</v>
      </c>
      <c r="E2318" s="13" t="s">
        <v>12813</v>
      </c>
      <c r="F2318">
        <v>3</v>
      </c>
      <c r="G2318" s="11">
        <v>46718.16</v>
      </c>
      <c r="H2318" t="s">
        <v>16</v>
      </c>
      <c r="I2318" t="s">
        <v>16</v>
      </c>
      <c r="J2318" t="s">
        <v>23</v>
      </c>
    </row>
    <row r="2319" spans="1:10" x14ac:dyDescent="0.3">
      <c r="A2319" t="s">
        <v>2347</v>
      </c>
      <c r="B2319">
        <v>1958</v>
      </c>
      <c r="C2319" t="s">
        <v>20</v>
      </c>
      <c r="D2319">
        <v>15</v>
      </c>
      <c r="E2319" s="13" t="s">
        <v>11391</v>
      </c>
      <c r="F2319">
        <v>0</v>
      </c>
      <c r="G2319" s="11">
        <v>46889.26</v>
      </c>
      <c r="H2319" t="s">
        <v>11</v>
      </c>
      <c r="I2319" t="s">
        <v>12</v>
      </c>
      <c r="J2319" t="s">
        <v>13</v>
      </c>
    </row>
    <row r="2320" spans="1:10" x14ac:dyDescent="0.3">
      <c r="A2320" t="s">
        <v>2348</v>
      </c>
      <c r="B2320">
        <v>1959</v>
      </c>
      <c r="C2320" t="s">
        <v>10</v>
      </c>
      <c r="D2320">
        <v>14</v>
      </c>
      <c r="E2320" s="13" t="s">
        <v>11848</v>
      </c>
      <c r="F2320">
        <v>0</v>
      </c>
      <c r="G2320" s="11">
        <v>47055.53</v>
      </c>
      <c r="H2320" t="s">
        <v>11</v>
      </c>
      <c r="I2320" t="s">
        <v>16</v>
      </c>
      <c r="J2320" t="s">
        <v>13</v>
      </c>
    </row>
    <row r="2321" spans="1:10" x14ac:dyDescent="0.3">
      <c r="A2321" t="s">
        <v>2349</v>
      </c>
      <c r="B2321">
        <v>1970</v>
      </c>
      <c r="C2321" t="s">
        <v>30</v>
      </c>
      <c r="D2321">
        <v>28</v>
      </c>
      <c r="E2321" s="13" t="s">
        <v>12814</v>
      </c>
      <c r="F2321">
        <v>2</v>
      </c>
      <c r="G2321" s="11">
        <v>47269.85</v>
      </c>
      <c r="H2321" t="s">
        <v>16</v>
      </c>
      <c r="I2321" t="s">
        <v>11</v>
      </c>
      <c r="J2321" t="s">
        <v>13</v>
      </c>
    </row>
    <row r="2322" spans="1:10" x14ac:dyDescent="0.3">
      <c r="A2322" t="s">
        <v>2350</v>
      </c>
      <c r="B2322">
        <v>1958</v>
      </c>
      <c r="C2322" t="s">
        <v>20</v>
      </c>
      <c r="D2322">
        <v>3</v>
      </c>
      <c r="E2322" s="13" t="s">
        <v>12815</v>
      </c>
      <c r="F2322">
        <v>2</v>
      </c>
      <c r="G2322" s="11">
        <v>47291.06</v>
      </c>
      <c r="H2322" t="s">
        <v>11</v>
      </c>
      <c r="I2322" t="s">
        <v>16</v>
      </c>
      <c r="J2322" t="s">
        <v>42</v>
      </c>
    </row>
    <row r="2323" spans="1:10" x14ac:dyDescent="0.3">
      <c r="A2323" t="s">
        <v>2351</v>
      </c>
      <c r="B2323">
        <v>1959</v>
      </c>
      <c r="C2323" t="s">
        <v>37</v>
      </c>
      <c r="D2323">
        <v>4</v>
      </c>
      <c r="E2323" s="13" t="s">
        <v>12144</v>
      </c>
      <c r="F2323">
        <v>2</v>
      </c>
      <c r="G2323" s="11">
        <v>47305.31</v>
      </c>
      <c r="H2323" t="s">
        <v>11</v>
      </c>
      <c r="I2323" t="s">
        <v>16</v>
      </c>
      <c r="J2323" t="s">
        <v>42</v>
      </c>
    </row>
    <row r="2324" spans="1:10" x14ac:dyDescent="0.3">
      <c r="A2324" t="s">
        <v>2352</v>
      </c>
      <c r="B2324">
        <v>1961</v>
      </c>
      <c r="C2324" t="s">
        <v>18</v>
      </c>
      <c r="D2324">
        <v>13</v>
      </c>
      <c r="E2324" s="13" t="s">
        <v>12816</v>
      </c>
      <c r="F2324">
        <v>1</v>
      </c>
      <c r="G2324" s="11">
        <v>47403.88</v>
      </c>
      <c r="H2324" t="s">
        <v>16</v>
      </c>
      <c r="I2324" t="s">
        <v>12</v>
      </c>
      <c r="J2324" t="s">
        <v>42</v>
      </c>
    </row>
    <row r="2325" spans="1:10" x14ac:dyDescent="0.3">
      <c r="A2325" t="s">
        <v>2353</v>
      </c>
      <c r="B2325">
        <v>1971</v>
      </c>
      <c r="C2325" t="s">
        <v>20</v>
      </c>
      <c r="D2325">
        <v>27</v>
      </c>
      <c r="E2325" s="13" t="s">
        <v>12817</v>
      </c>
      <c r="F2325">
        <v>2</v>
      </c>
      <c r="G2325" s="11">
        <v>47462.89</v>
      </c>
      <c r="H2325" t="s">
        <v>16</v>
      </c>
      <c r="I2325" t="s">
        <v>11</v>
      </c>
      <c r="J2325" t="s">
        <v>13</v>
      </c>
    </row>
    <row r="2326" spans="1:10" x14ac:dyDescent="0.3">
      <c r="A2326" t="s">
        <v>2354</v>
      </c>
      <c r="B2326">
        <v>1964</v>
      </c>
      <c r="C2326" t="s">
        <v>15</v>
      </c>
      <c r="D2326">
        <v>7</v>
      </c>
      <c r="E2326" s="13" t="s">
        <v>12195</v>
      </c>
      <c r="F2326">
        <v>2</v>
      </c>
      <c r="G2326" s="11">
        <v>47496.49</v>
      </c>
      <c r="H2326" t="s">
        <v>16</v>
      </c>
      <c r="I2326" t="s">
        <v>12</v>
      </c>
      <c r="J2326" t="s">
        <v>23</v>
      </c>
    </row>
    <row r="2327" spans="1:10" x14ac:dyDescent="0.3">
      <c r="A2327" t="s">
        <v>2355</v>
      </c>
      <c r="B2327">
        <v>1963</v>
      </c>
      <c r="C2327" t="s">
        <v>35</v>
      </c>
      <c r="D2327">
        <v>5</v>
      </c>
      <c r="E2327" s="13" t="s">
        <v>12044</v>
      </c>
      <c r="F2327">
        <v>1</v>
      </c>
      <c r="G2327" s="11">
        <v>47896.79</v>
      </c>
      <c r="H2327" t="s">
        <v>16</v>
      </c>
      <c r="I2327" t="s">
        <v>12</v>
      </c>
      <c r="J2327" t="s">
        <v>247</v>
      </c>
    </row>
    <row r="2328" spans="1:10" x14ac:dyDescent="0.3">
      <c r="A2328" t="s">
        <v>2356</v>
      </c>
      <c r="B2328">
        <v>1958</v>
      </c>
      <c r="C2328" t="s">
        <v>15</v>
      </c>
      <c r="D2328">
        <v>16</v>
      </c>
      <c r="E2328" s="13" t="s">
        <v>12818</v>
      </c>
      <c r="F2328">
        <v>1</v>
      </c>
      <c r="G2328" s="11">
        <v>47928.03</v>
      </c>
      <c r="H2328" t="s">
        <v>11</v>
      </c>
      <c r="I2328" t="s">
        <v>12</v>
      </c>
      <c r="J2328" t="s">
        <v>42</v>
      </c>
    </row>
    <row r="2329" spans="1:10" x14ac:dyDescent="0.3">
      <c r="A2329" t="s">
        <v>2357</v>
      </c>
      <c r="B2329">
        <v>1962</v>
      </c>
      <c r="C2329" t="s">
        <v>35</v>
      </c>
      <c r="D2329">
        <v>27</v>
      </c>
      <c r="E2329" s="13" t="s">
        <v>11643</v>
      </c>
      <c r="F2329">
        <v>0</v>
      </c>
      <c r="G2329" s="11">
        <v>48173.36</v>
      </c>
      <c r="H2329" t="s">
        <v>16</v>
      </c>
      <c r="I2329" t="s">
        <v>12</v>
      </c>
      <c r="J2329" t="s">
        <v>42</v>
      </c>
    </row>
    <row r="2330" spans="1:10" x14ac:dyDescent="0.3">
      <c r="A2330" t="s">
        <v>2358</v>
      </c>
      <c r="B2330">
        <v>1961</v>
      </c>
      <c r="C2330" t="s">
        <v>30</v>
      </c>
      <c r="D2330">
        <v>21</v>
      </c>
      <c r="E2330" s="13" t="s">
        <v>12819</v>
      </c>
      <c r="F2330">
        <v>1</v>
      </c>
      <c r="G2330" s="11">
        <v>48517.56</v>
      </c>
      <c r="H2330" t="s">
        <v>16</v>
      </c>
      <c r="I2330" t="s">
        <v>12</v>
      </c>
      <c r="J2330" t="s">
        <v>247</v>
      </c>
    </row>
    <row r="2331" spans="1:10" x14ac:dyDescent="0.3">
      <c r="A2331" t="s">
        <v>2359</v>
      </c>
      <c r="B2331">
        <v>1968</v>
      </c>
      <c r="C2331" t="s">
        <v>30</v>
      </c>
      <c r="D2331">
        <v>1</v>
      </c>
      <c r="E2331" s="13" t="s">
        <v>12820</v>
      </c>
      <c r="F2331">
        <v>3</v>
      </c>
      <c r="G2331" s="11">
        <v>48549.18</v>
      </c>
      <c r="H2331" t="s">
        <v>16</v>
      </c>
      <c r="I2331" t="s">
        <v>12</v>
      </c>
      <c r="J2331" t="s">
        <v>168</v>
      </c>
    </row>
    <row r="2332" spans="1:10" x14ac:dyDescent="0.3">
      <c r="A2332" t="s">
        <v>2360</v>
      </c>
      <c r="B2332">
        <v>1962</v>
      </c>
      <c r="C2332" t="s">
        <v>37</v>
      </c>
      <c r="D2332">
        <v>11</v>
      </c>
      <c r="E2332" s="13" t="s">
        <v>12821</v>
      </c>
      <c r="F2332">
        <v>0</v>
      </c>
      <c r="G2332" s="11">
        <v>48673.56</v>
      </c>
      <c r="H2332" t="s">
        <v>16</v>
      </c>
      <c r="I2332" t="s">
        <v>11</v>
      </c>
      <c r="J2332" t="s">
        <v>13</v>
      </c>
    </row>
    <row r="2333" spans="1:10" x14ac:dyDescent="0.3">
      <c r="A2333" t="s">
        <v>2361</v>
      </c>
      <c r="B2333">
        <v>1965</v>
      </c>
      <c r="C2333" t="s">
        <v>37</v>
      </c>
      <c r="D2333">
        <v>27</v>
      </c>
      <c r="E2333" s="13" t="s">
        <v>12822</v>
      </c>
      <c r="F2333">
        <v>1</v>
      </c>
      <c r="G2333" s="11">
        <v>48675.519999999997</v>
      </c>
      <c r="H2333" t="s">
        <v>16</v>
      </c>
      <c r="I2333" t="s">
        <v>11</v>
      </c>
      <c r="J2333" t="s">
        <v>13</v>
      </c>
    </row>
    <row r="2334" spans="1:10" x14ac:dyDescent="0.3">
      <c r="A2334" t="s">
        <v>2362</v>
      </c>
      <c r="B2334">
        <v>1959</v>
      </c>
      <c r="C2334" t="s">
        <v>10</v>
      </c>
      <c r="D2334">
        <v>22</v>
      </c>
      <c r="E2334" s="13" t="s">
        <v>12823</v>
      </c>
      <c r="F2334">
        <v>0</v>
      </c>
      <c r="G2334" s="11">
        <v>48824.45</v>
      </c>
      <c r="H2334" t="s">
        <v>11</v>
      </c>
      <c r="I2334" t="s">
        <v>16</v>
      </c>
      <c r="J2334" t="s">
        <v>42</v>
      </c>
    </row>
    <row r="2335" spans="1:10" x14ac:dyDescent="0.3">
      <c r="A2335" t="s">
        <v>2363</v>
      </c>
      <c r="B2335">
        <v>1978</v>
      </c>
      <c r="C2335" t="s">
        <v>30</v>
      </c>
      <c r="D2335">
        <v>29</v>
      </c>
      <c r="E2335" s="13" t="s">
        <v>12824</v>
      </c>
      <c r="F2335">
        <v>0</v>
      </c>
      <c r="G2335" s="11">
        <v>48885.14</v>
      </c>
      <c r="H2335" t="s">
        <v>16</v>
      </c>
      <c r="I2335" t="s">
        <v>11</v>
      </c>
      <c r="J2335" t="s">
        <v>13</v>
      </c>
    </row>
    <row r="2336" spans="1:10" x14ac:dyDescent="0.3">
      <c r="A2336" t="s">
        <v>2364</v>
      </c>
      <c r="B2336">
        <v>1963</v>
      </c>
      <c r="C2336" t="s">
        <v>20</v>
      </c>
      <c r="D2336">
        <v>4</v>
      </c>
      <c r="E2336" s="13" t="s">
        <v>12302</v>
      </c>
      <c r="F2336">
        <v>1</v>
      </c>
      <c r="G2336" s="11">
        <v>48970.25</v>
      </c>
      <c r="H2336" t="s">
        <v>16</v>
      </c>
      <c r="I2336" t="s">
        <v>11</v>
      </c>
      <c r="J2336" t="s">
        <v>13</v>
      </c>
    </row>
    <row r="2337" spans="1:10" x14ac:dyDescent="0.3">
      <c r="A2337" t="s">
        <v>2365</v>
      </c>
      <c r="B2337">
        <v>1958</v>
      </c>
      <c r="C2337" t="s">
        <v>18</v>
      </c>
      <c r="D2337">
        <v>27</v>
      </c>
      <c r="E2337" s="13" t="s">
        <v>12825</v>
      </c>
      <c r="F2337">
        <v>2</v>
      </c>
      <c r="G2337" s="11">
        <v>49577.66</v>
      </c>
      <c r="H2337" t="s">
        <v>11</v>
      </c>
      <c r="I2337" t="s">
        <v>11</v>
      </c>
      <c r="J2337" t="s">
        <v>13</v>
      </c>
    </row>
    <row r="2338" spans="1:10" x14ac:dyDescent="0.3">
      <c r="A2338" t="s">
        <v>2366</v>
      </c>
      <c r="B2338">
        <v>1994</v>
      </c>
      <c r="C2338" t="s">
        <v>37</v>
      </c>
      <c r="D2338">
        <v>27</v>
      </c>
      <c r="E2338" s="13" t="s">
        <v>12826</v>
      </c>
      <c r="F2338">
        <v>1</v>
      </c>
      <c r="G2338" s="11">
        <v>51194.559999999998</v>
      </c>
      <c r="H2338" t="s">
        <v>16</v>
      </c>
      <c r="I2338" t="s">
        <v>12</v>
      </c>
      <c r="J2338" t="s">
        <v>42</v>
      </c>
    </row>
    <row r="2339" spans="1:10" x14ac:dyDescent="0.3">
      <c r="A2339" t="s">
        <v>2367</v>
      </c>
      <c r="B2339">
        <v>1962</v>
      </c>
      <c r="C2339" t="s">
        <v>35</v>
      </c>
      <c r="D2339">
        <v>4</v>
      </c>
      <c r="E2339" s="13"/>
      <c r="F2339">
        <v>0</v>
      </c>
      <c r="G2339" s="11">
        <v>52590.83</v>
      </c>
      <c r="H2339" t="s">
        <v>16</v>
      </c>
      <c r="I2339" t="s">
        <v>12</v>
      </c>
      <c r="J2339" t="s">
        <v>42</v>
      </c>
    </row>
    <row r="2340" spans="1:10" x14ac:dyDescent="0.3">
      <c r="A2340" t="s">
        <v>2368</v>
      </c>
      <c r="B2340">
        <v>1989</v>
      </c>
      <c r="C2340" t="s">
        <v>18</v>
      </c>
      <c r="D2340">
        <v>19</v>
      </c>
      <c r="E2340" s="13"/>
      <c r="F2340">
        <v>0</v>
      </c>
      <c r="G2340" s="11">
        <v>55135.4</v>
      </c>
      <c r="H2340" t="s">
        <v>16</v>
      </c>
      <c r="I2340" t="s">
        <v>11</v>
      </c>
      <c r="J2340" t="s">
        <v>23</v>
      </c>
    </row>
    <row r="2341" spans="1:10" x14ac:dyDescent="0.3">
      <c r="A2341" t="s">
        <v>2369</v>
      </c>
      <c r="B2341">
        <v>1991</v>
      </c>
      <c r="C2341" t="s">
        <v>18</v>
      </c>
      <c r="D2341">
        <v>6</v>
      </c>
      <c r="E2341" s="13"/>
      <c r="F2341">
        <v>1</v>
      </c>
      <c r="G2341" s="11">
        <v>58571.07</v>
      </c>
      <c r="H2341" t="s">
        <v>16</v>
      </c>
      <c r="I2341" t="s">
        <v>12</v>
      </c>
      <c r="J2341" t="s">
        <v>247</v>
      </c>
    </row>
    <row r="2342" spans="1:10" x14ac:dyDescent="0.3">
      <c r="A2342" t="s">
        <v>2370</v>
      </c>
      <c r="B2342">
        <v>1970</v>
      </c>
      <c r="C2342" t="s">
        <v>20</v>
      </c>
      <c r="D2342">
        <v>11</v>
      </c>
      <c r="E2342" s="13"/>
      <c r="F2342">
        <v>3</v>
      </c>
      <c r="G2342" s="11">
        <v>60021.4</v>
      </c>
      <c r="H2342" t="s">
        <v>16</v>
      </c>
      <c r="I2342" t="s">
        <v>16</v>
      </c>
      <c r="J2342" t="s">
        <v>23</v>
      </c>
    </row>
    <row r="2343" spans="1:10" x14ac:dyDescent="0.3">
      <c r="A2343" t="s">
        <v>2371</v>
      </c>
      <c r="B2343">
        <v>1977</v>
      </c>
      <c r="C2343" t="s">
        <v>18</v>
      </c>
      <c r="D2343">
        <v>8</v>
      </c>
      <c r="E2343" s="13"/>
      <c r="F2343">
        <v>0</v>
      </c>
      <c r="G2343" s="11">
        <v>62592.87</v>
      </c>
      <c r="H2343" t="s">
        <v>11</v>
      </c>
      <c r="I2343" t="s">
        <v>12</v>
      </c>
      <c r="J2343" t="s">
        <v>13</v>
      </c>
    </row>
    <row r="2344" spans="1:10" x14ac:dyDescent="0.3">
      <c r="A2344" t="s">
        <v>2372</v>
      </c>
      <c r="B2344">
        <v>1968</v>
      </c>
      <c r="C2344" t="s">
        <v>37</v>
      </c>
      <c r="D2344">
        <v>12</v>
      </c>
      <c r="E2344" s="13"/>
      <c r="F2344">
        <v>0</v>
      </c>
      <c r="G2344" s="11">
        <v>63770.43</v>
      </c>
      <c r="H2344" t="s">
        <v>16</v>
      </c>
      <c r="I2344" t="s">
        <v>12</v>
      </c>
      <c r="J2344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A3DE-8A0A-4207-8AF8-7B5E5DEC2EA6}">
  <dimension ref="A1:P2336"/>
  <sheetViews>
    <sheetView topLeftCell="B1" workbookViewId="0">
      <selection activeCell="L2" sqref="L2"/>
    </sheetView>
  </sheetViews>
  <sheetFormatPr defaultRowHeight="14.4" x14ac:dyDescent="0.3"/>
  <cols>
    <col min="1" max="1" width="18.33203125" customWidth="1"/>
    <col min="2" max="2" width="18.21875" customWidth="1"/>
    <col min="5" max="5" width="13.77734375" customWidth="1"/>
    <col min="6" max="6" width="12.88671875" customWidth="1"/>
    <col min="7" max="7" width="16.44140625" customWidth="1"/>
    <col min="8" max="8" width="25.6640625" customWidth="1"/>
    <col min="10" max="10" width="15.5546875" customWidth="1"/>
    <col min="11" max="11" width="15.77734375" customWidth="1"/>
  </cols>
  <sheetData>
    <row r="1" spans="1:16" ht="15.6" x14ac:dyDescent="0.3">
      <c r="A1" s="4" t="s">
        <v>0</v>
      </c>
      <c r="B1" t="s">
        <v>4720</v>
      </c>
      <c r="C1" s="7" t="s">
        <v>2373</v>
      </c>
      <c r="D1" s="3" t="s">
        <v>2374</v>
      </c>
      <c r="E1" s="3" t="s">
        <v>2375</v>
      </c>
      <c r="F1" s="3" t="s">
        <v>2376</v>
      </c>
      <c r="G1" s="3" t="s">
        <v>2377</v>
      </c>
      <c r="H1" s="3" t="s">
        <v>2378</v>
      </c>
      <c r="I1" s="10" t="s">
        <v>10752</v>
      </c>
      <c r="J1" s="9" t="s">
        <v>10753</v>
      </c>
      <c r="K1" s="9" t="s">
        <v>10754</v>
      </c>
      <c r="L1" s="9" t="s">
        <v>12827</v>
      </c>
      <c r="M1" s="9" t="s">
        <v>6</v>
      </c>
      <c r="N1" s="9" t="s">
        <v>7</v>
      </c>
      <c r="O1" s="9" t="s">
        <v>8</v>
      </c>
      <c r="P1" s="9" t="s">
        <v>12828</v>
      </c>
    </row>
    <row r="2" spans="1:16" ht="15.6" x14ac:dyDescent="0.3">
      <c r="A2" s="1" t="s">
        <v>2372</v>
      </c>
      <c r="B2" t="str">
        <f>VLOOKUP('Customer Names'!A2,'Customer Names'!$A$1:$E$2336,4,FALSE)</f>
        <v>Ms.  Kelly</v>
      </c>
      <c r="C2">
        <f>VLOOKUP(Table2[[#This Row],[Customer ID]],Table2[#All],2,FALSE)</f>
        <v>47.41</v>
      </c>
      <c r="D2">
        <f>VLOOKUP(Table2[[#This Row],[Customer ID]],Table2[#All],3,FALSE)</f>
        <v>7.47</v>
      </c>
      <c r="E2" t="str">
        <f>VLOOKUP(Table2[[#This Row],[Customer ID]],Table2[#All],4,FALSE)</f>
        <v>No</v>
      </c>
      <c r="F2" t="str">
        <f>VLOOKUP(Table2[[#This Row],[Customer ID]],Table2[#All],5,FALSE)</f>
        <v>No</v>
      </c>
      <c r="G2" t="str">
        <f>VLOOKUP(Table2[[#This Row],[Customer ID]],Table2[#All],6,FALSE)</f>
        <v>No</v>
      </c>
      <c r="H2">
        <f>VLOOKUP(Table2[[#This Row],[Customer ID]],Table2[#All],7,FALSE)</f>
        <v>0</v>
      </c>
      <c r="I2" t="str">
        <f>VLOOKUP(Table2[[#This Row],[Customer ID]],Table2[#All],8,FALSE)</f>
        <v>Yes</v>
      </c>
      <c r="J2" t="str">
        <f>VLOOKUP(Table2[[#This Row],[Customer ID]],Table2[#All],9,FALSE)</f>
        <v>Obesity</v>
      </c>
      <c r="K2" t="str">
        <f>VLOOKUP(Table2[[#This Row],[Customer ID]],Table2[#All],10,FALSE)</f>
        <v>Diabetes</v>
      </c>
    </row>
    <row r="3" spans="1:16" ht="15.6" x14ac:dyDescent="0.3">
      <c r="A3" s="1" t="s">
        <v>2371</v>
      </c>
      <c r="B3" t="str">
        <f>VLOOKUP('Customer Names'!A3,'Customer Names'!$A$1:$E$2336,4,FALSE)</f>
        <v>Mr.  Matthew D</v>
      </c>
      <c r="C3">
        <f>VLOOKUP(Table2[[#This Row],[Customer ID]],Table2[#All],2,FALSE)</f>
        <v>30.36</v>
      </c>
      <c r="D3">
        <f>VLOOKUP(Table2[[#This Row],[Customer ID]],Table2[#All],3,FALSE)</f>
        <v>5.77</v>
      </c>
      <c r="E3" t="str">
        <f>VLOOKUP(Table2[[#This Row],[Customer ID]],Table2[#All],4,FALSE)</f>
        <v>No</v>
      </c>
      <c r="F3" t="str">
        <f>VLOOKUP(Table2[[#This Row],[Customer ID]],Table2[#All],5,FALSE)</f>
        <v>No</v>
      </c>
      <c r="G3" t="str">
        <f>VLOOKUP(Table2[[#This Row],[Customer ID]],Table2[#All],6,FALSE)</f>
        <v>No</v>
      </c>
      <c r="H3">
        <f>VLOOKUP(Table2[[#This Row],[Customer ID]],Table2[#All],7,FALSE)</f>
        <v>0</v>
      </c>
      <c r="I3" t="str">
        <f>VLOOKUP(Table2[[#This Row],[Customer ID]],Table2[#All],8,FALSE)</f>
        <v>Yes</v>
      </c>
      <c r="J3" t="str">
        <f>VLOOKUP(Table2[[#This Row],[Customer ID]],Table2[#All],9,FALSE)</f>
        <v>Obesity</v>
      </c>
      <c r="K3" t="str">
        <f>VLOOKUP(Table2[[#This Row],[Customer ID]],Table2[#All],10,FALSE)</f>
        <v>Prediabetes</v>
      </c>
    </row>
    <row r="4" spans="1:16" ht="15.6" x14ac:dyDescent="0.3">
      <c r="A4" s="1" t="s">
        <v>2370</v>
      </c>
      <c r="B4" t="str">
        <f>VLOOKUP('Customer Names'!A4,'Customer Names'!$A$1:$E$2336,4,FALSE)</f>
        <v>Mr.  Phil</v>
      </c>
      <c r="C4">
        <f>VLOOKUP(Table2[[#This Row],[Customer ID]],Table2[#All],2,FALSE)</f>
        <v>34.484999999999999</v>
      </c>
      <c r="D4">
        <f>VLOOKUP(Table2[[#This Row],[Customer ID]],Table2[#All],3,FALSE)</f>
        <v>11.87</v>
      </c>
      <c r="E4" t="str">
        <f>VLOOKUP(Table2[[#This Row],[Customer ID]],Table2[#All],4,FALSE)</f>
        <v>Yes</v>
      </c>
      <c r="F4" t="str">
        <f>VLOOKUP(Table2[[#This Row],[Customer ID]],Table2[#All],5,FALSE)</f>
        <v>No</v>
      </c>
      <c r="G4" t="str">
        <f>VLOOKUP(Table2[[#This Row],[Customer ID]],Table2[#All],6,FALSE)</f>
        <v>No</v>
      </c>
      <c r="H4">
        <f>VLOOKUP(Table2[[#This Row],[Customer ID]],Table2[#All],7,FALSE)</f>
        <v>2</v>
      </c>
      <c r="I4" t="str">
        <f>VLOOKUP(Table2[[#This Row],[Customer ID]],Table2[#All],8,FALSE)</f>
        <v>Yes</v>
      </c>
      <c r="J4" t="str">
        <f>VLOOKUP(Table2[[#This Row],[Customer ID]],Table2[#All],9,FALSE)</f>
        <v>Obesity</v>
      </c>
      <c r="K4" t="str">
        <f>VLOOKUP(Table2[[#This Row],[Customer ID]],Table2[#All],10,FALSE)</f>
        <v>Diabetes</v>
      </c>
    </row>
    <row r="5" spans="1:16" ht="15.6" x14ac:dyDescent="0.3">
      <c r="A5" s="1" t="s">
        <v>2369</v>
      </c>
      <c r="B5" t="str">
        <f>VLOOKUP('Customer Names'!A5,'Customer Names'!$A$1:$E$2336,4,FALSE)</f>
        <v>Ms.  Kelsey</v>
      </c>
      <c r="C5">
        <f>VLOOKUP(Table2[[#This Row],[Customer ID]],Table2[#All],2,FALSE)</f>
        <v>38.094999999999999</v>
      </c>
      <c r="D5">
        <f>VLOOKUP(Table2[[#This Row],[Customer ID]],Table2[#All],3,FALSE)</f>
        <v>6.05</v>
      </c>
      <c r="E5" t="str">
        <f>VLOOKUP(Table2[[#This Row],[Customer ID]],Table2[#All],4,FALSE)</f>
        <v>No</v>
      </c>
      <c r="F5" t="str">
        <f>VLOOKUP(Table2[[#This Row],[Customer ID]],Table2[#All],5,FALSE)</f>
        <v>No</v>
      </c>
      <c r="G5" t="str">
        <f>VLOOKUP(Table2[[#This Row],[Customer ID]],Table2[#All],6,FALSE)</f>
        <v>No</v>
      </c>
      <c r="H5">
        <f>VLOOKUP(Table2[[#This Row],[Customer ID]],Table2[#All],7,FALSE)</f>
        <v>0</v>
      </c>
      <c r="I5" t="str">
        <f>VLOOKUP(Table2[[#This Row],[Customer ID]],Table2[#All],8,FALSE)</f>
        <v>Yes</v>
      </c>
      <c r="J5" t="str">
        <f>VLOOKUP(Table2[[#This Row],[Customer ID]],Table2[#All],9,FALSE)</f>
        <v>Obesity</v>
      </c>
      <c r="K5" t="str">
        <f>VLOOKUP(Table2[[#This Row],[Customer ID]],Table2[#All],10,FALSE)</f>
        <v>Prediabetes</v>
      </c>
    </row>
    <row r="6" spans="1:16" ht="15.6" x14ac:dyDescent="0.3">
      <c r="A6" s="1" t="s">
        <v>2368</v>
      </c>
      <c r="B6" t="str">
        <f>VLOOKUP('Customer Names'!A6,'Customer Names'!$A$1:$E$2336,4,FALSE)</f>
        <v>Ms.  Kristyn</v>
      </c>
      <c r="C6">
        <f>VLOOKUP(Table2[[#This Row],[Customer ID]],Table2[#All],2,FALSE)</f>
        <v>35.53</v>
      </c>
      <c r="D6">
        <f>VLOOKUP(Table2[[#This Row],[Customer ID]],Table2[#All],3,FALSE)</f>
        <v>5.45</v>
      </c>
      <c r="E6" t="str">
        <f>VLOOKUP(Table2[[#This Row],[Customer ID]],Table2[#All],4,FALSE)</f>
        <v>No</v>
      </c>
      <c r="F6" t="str">
        <f>VLOOKUP(Table2[[#This Row],[Customer ID]],Table2[#All],5,FALSE)</f>
        <v>No</v>
      </c>
      <c r="G6" t="str">
        <f>VLOOKUP(Table2[[#This Row],[Customer ID]],Table2[#All],6,FALSE)</f>
        <v>No</v>
      </c>
      <c r="H6">
        <f>VLOOKUP(Table2[[#This Row],[Customer ID]],Table2[#All],7,FALSE)</f>
        <v>0</v>
      </c>
      <c r="I6" t="str">
        <f>VLOOKUP(Table2[[#This Row],[Customer ID]],Table2[#All],8,FALSE)</f>
        <v>Yes</v>
      </c>
      <c r="J6" t="str">
        <f>VLOOKUP(Table2[[#This Row],[Customer ID]],Table2[#All],9,FALSE)</f>
        <v>Obesity</v>
      </c>
      <c r="K6" t="str">
        <f>VLOOKUP(Table2[[#This Row],[Customer ID]],Table2[#All],10,FALSE)</f>
        <v>Normal</v>
      </c>
    </row>
    <row r="7" spans="1:16" ht="15.6" x14ac:dyDescent="0.3">
      <c r="A7" s="1" t="s">
        <v>2367</v>
      </c>
      <c r="B7" t="str">
        <f>VLOOKUP('Customer Names'!A7,'Customer Names'!$A$1:$E$2336,4,FALSE)</f>
        <v>Mr.  Russell B.</v>
      </c>
      <c r="C7">
        <f>VLOOKUP(Table2[[#This Row],[Customer ID]],Table2[#All],2,FALSE)</f>
        <v>32.799999999999997</v>
      </c>
      <c r="D7">
        <f>VLOOKUP(Table2[[#This Row],[Customer ID]],Table2[#All],3,FALSE)</f>
        <v>6.59</v>
      </c>
      <c r="E7" t="str">
        <f>VLOOKUP(Table2[[#This Row],[Customer ID]],Table2[#All],4,FALSE)</f>
        <v>No</v>
      </c>
      <c r="F7" t="str">
        <f>VLOOKUP(Table2[[#This Row],[Customer ID]],Table2[#All],5,FALSE)</f>
        <v>No</v>
      </c>
      <c r="G7" t="str">
        <f>VLOOKUP(Table2[[#This Row],[Customer ID]],Table2[#All],6,FALSE)</f>
        <v>No</v>
      </c>
      <c r="H7">
        <f>VLOOKUP(Table2[[#This Row],[Customer ID]],Table2[#All],7,FALSE)</f>
        <v>0</v>
      </c>
      <c r="I7" t="str">
        <f>VLOOKUP(Table2[[#This Row],[Customer ID]],Table2[#All],8,FALSE)</f>
        <v>Yes</v>
      </c>
      <c r="J7" t="str">
        <f>VLOOKUP(Table2[[#This Row],[Customer ID]],Table2[#All],9,FALSE)</f>
        <v>Obesity</v>
      </c>
      <c r="K7" t="str">
        <f>VLOOKUP(Table2[[#This Row],[Customer ID]],Table2[#All],10,FALSE)</f>
        <v>Diabetes</v>
      </c>
    </row>
    <row r="8" spans="1:16" ht="15.6" x14ac:dyDescent="0.3">
      <c r="A8" s="1" t="s">
        <v>2366</v>
      </c>
      <c r="B8" t="str">
        <f>VLOOKUP('Customer Names'!A8,'Customer Names'!$A$1:$E$2336,4,FALSE)</f>
        <v>Mr.  Scott</v>
      </c>
      <c r="C8">
        <f>VLOOKUP(Table2[[#This Row],[Customer ID]],Table2[#All],2,FALSE)</f>
        <v>36.4</v>
      </c>
      <c r="D8">
        <f>VLOOKUP(Table2[[#This Row],[Customer ID]],Table2[#All],3,FALSE)</f>
        <v>6.07</v>
      </c>
      <c r="E8" t="str">
        <f>VLOOKUP(Table2[[#This Row],[Customer ID]],Table2[#All],4,FALSE)</f>
        <v>No</v>
      </c>
      <c r="F8" t="str">
        <f>VLOOKUP(Table2[[#This Row],[Customer ID]],Table2[#All],5,FALSE)</f>
        <v>No</v>
      </c>
      <c r="G8" t="str">
        <f>VLOOKUP(Table2[[#This Row],[Customer ID]],Table2[#All],6,FALSE)</f>
        <v>No</v>
      </c>
      <c r="H8">
        <f>VLOOKUP(Table2[[#This Row],[Customer ID]],Table2[#All],7,FALSE)</f>
        <v>0</v>
      </c>
      <c r="I8" t="str">
        <f>VLOOKUP(Table2[[#This Row],[Customer ID]],Table2[#All],8,FALSE)</f>
        <v>Yes</v>
      </c>
      <c r="J8" t="str">
        <f>VLOOKUP(Table2[[#This Row],[Customer ID]],Table2[#All],9,FALSE)</f>
        <v>Obesity</v>
      </c>
      <c r="K8" t="str">
        <f>VLOOKUP(Table2[[#This Row],[Customer ID]],Table2[#All],10,FALSE)</f>
        <v>Prediabetes</v>
      </c>
    </row>
    <row r="9" spans="1:16" ht="15.6" x14ac:dyDescent="0.3">
      <c r="A9" s="1" t="s">
        <v>2365</v>
      </c>
      <c r="B9" t="str">
        <f>VLOOKUP('Customer Names'!A9,'Customer Names'!$A$1:$E$2336,4,FALSE)</f>
        <v>Mr.  Stephen</v>
      </c>
      <c r="C9">
        <f>VLOOKUP(Table2[[#This Row],[Customer ID]],Table2[#All],2,FALSE)</f>
        <v>36.96</v>
      </c>
      <c r="D9">
        <f>VLOOKUP(Table2[[#This Row],[Customer ID]],Table2[#All],3,FALSE)</f>
        <v>7.93</v>
      </c>
      <c r="E9" t="str">
        <f>VLOOKUP(Table2[[#This Row],[Customer ID]],Table2[#All],4,FALSE)</f>
        <v>No</v>
      </c>
      <c r="F9" t="str">
        <f>VLOOKUP(Table2[[#This Row],[Customer ID]],Table2[#All],5,FALSE)</f>
        <v>No</v>
      </c>
      <c r="G9" t="str">
        <f>VLOOKUP(Table2[[#This Row],[Customer ID]],Table2[#All],6,FALSE)</f>
        <v>No</v>
      </c>
      <c r="H9">
        <f>VLOOKUP(Table2[[#This Row],[Customer ID]],Table2[#All],7,FALSE)</f>
        <v>3</v>
      </c>
      <c r="I9" t="str">
        <f>VLOOKUP(Table2[[#This Row],[Customer ID]],Table2[#All],8,FALSE)</f>
        <v>Yes</v>
      </c>
      <c r="J9" t="str">
        <f>VLOOKUP(Table2[[#This Row],[Customer ID]],Table2[#All],9,FALSE)</f>
        <v>Obesity</v>
      </c>
      <c r="K9" t="str">
        <f>VLOOKUP(Table2[[#This Row],[Customer ID]],Table2[#All],10,FALSE)</f>
        <v>Diabetes</v>
      </c>
    </row>
    <row r="10" spans="1:16" ht="15.6" x14ac:dyDescent="0.3">
      <c r="A10" s="1" t="s">
        <v>2364</v>
      </c>
      <c r="B10" t="str">
        <f>VLOOKUP('Customer Names'!A10,'Customer Names'!$A$1:$E$2336,4,FALSE)</f>
        <v>Mr.  Patrick R.</v>
      </c>
      <c r="C10">
        <f>VLOOKUP(Table2[[#This Row],[Customer ID]],Table2[#All],2,FALSE)</f>
        <v>41.14</v>
      </c>
      <c r="D10">
        <f>VLOOKUP(Table2[[#This Row],[Customer ID]],Table2[#All],3,FALSE)</f>
        <v>9.58</v>
      </c>
      <c r="E10" t="str">
        <f>VLOOKUP(Table2[[#This Row],[Customer ID]],Table2[#All],4,FALSE)</f>
        <v>Yes</v>
      </c>
      <c r="F10" t="str">
        <f>VLOOKUP(Table2[[#This Row],[Customer ID]],Table2[#All],5,FALSE)</f>
        <v>No</v>
      </c>
      <c r="G10" t="str">
        <f>VLOOKUP(Table2[[#This Row],[Customer ID]],Table2[#All],6,FALSE)</f>
        <v>Yes</v>
      </c>
      <c r="H10">
        <f>VLOOKUP(Table2[[#This Row],[Customer ID]],Table2[#All],7,FALSE)</f>
        <v>1</v>
      </c>
      <c r="I10" t="str">
        <f>VLOOKUP(Table2[[#This Row],[Customer ID]],Table2[#All],8,FALSE)</f>
        <v>Yes</v>
      </c>
      <c r="J10" t="str">
        <f>VLOOKUP(Table2[[#This Row],[Customer ID]],Table2[#All],9,FALSE)</f>
        <v>Obesity</v>
      </c>
      <c r="K10" t="str">
        <f>VLOOKUP(Table2[[#This Row],[Customer ID]],Table2[#All],10,FALSE)</f>
        <v>Diabetes</v>
      </c>
    </row>
    <row r="11" spans="1:16" ht="15.6" x14ac:dyDescent="0.3">
      <c r="A11" s="1" t="s">
        <v>2363</v>
      </c>
      <c r="B11" t="str">
        <f>VLOOKUP('Customer Names'!A11,'Customer Names'!$A$1:$E$2336,4,FALSE)</f>
        <v>Ms.  Brooke N.</v>
      </c>
      <c r="C11">
        <f>VLOOKUP(Table2[[#This Row],[Customer ID]],Table2[#All],2,FALSE)</f>
        <v>38.06</v>
      </c>
      <c r="D11">
        <f>VLOOKUP(Table2[[#This Row],[Customer ID]],Table2[#All],3,FALSE)</f>
        <v>10.79</v>
      </c>
      <c r="E11" t="str">
        <f>VLOOKUP(Table2[[#This Row],[Customer ID]],Table2[#All],4,FALSE)</f>
        <v>No</v>
      </c>
      <c r="F11" t="str">
        <f>VLOOKUP(Table2[[#This Row],[Customer ID]],Table2[#All],5,FALSE)</f>
        <v>No</v>
      </c>
      <c r="G11" t="str">
        <f>VLOOKUP(Table2[[#This Row],[Customer ID]],Table2[#All],6,FALSE)</f>
        <v>No</v>
      </c>
      <c r="H11">
        <f>VLOOKUP(Table2[[#This Row],[Customer ID]],Table2[#All],7,FALSE)</f>
        <v>0</v>
      </c>
      <c r="I11" t="str">
        <f>VLOOKUP(Table2[[#This Row],[Customer ID]],Table2[#All],8,FALSE)</f>
        <v>Yes</v>
      </c>
      <c r="J11" t="str">
        <f>VLOOKUP(Table2[[#This Row],[Customer ID]],Table2[#All],9,FALSE)</f>
        <v>Obesity</v>
      </c>
      <c r="K11" t="str">
        <f>VLOOKUP(Table2[[#This Row],[Customer ID]],Table2[#All],10,FALSE)</f>
        <v>Diabetes</v>
      </c>
    </row>
    <row r="12" spans="1:16" ht="15.6" x14ac:dyDescent="0.3">
      <c r="A12" s="1" t="s">
        <v>2362</v>
      </c>
      <c r="B12" t="str">
        <f>VLOOKUP('Customer Names'!A12,'Customer Names'!$A$1:$E$2336,4,FALSE)</f>
        <v>Ms.  Paola Andrea</v>
      </c>
      <c r="C12">
        <f>VLOOKUP(Table2[[#This Row],[Customer ID]],Table2[#All],2,FALSE)</f>
        <v>37.700000000000003</v>
      </c>
      <c r="D12">
        <f>VLOOKUP(Table2[[#This Row],[Customer ID]],Table2[#All],3,FALSE)</f>
        <v>5.96</v>
      </c>
      <c r="E12" t="str">
        <f>VLOOKUP(Table2[[#This Row],[Customer ID]],Table2[#All],4,FALSE)</f>
        <v>Yes</v>
      </c>
      <c r="F12" t="str">
        <f>VLOOKUP(Table2[[#This Row],[Customer ID]],Table2[#All],5,FALSE)</f>
        <v>No</v>
      </c>
      <c r="G12" t="str">
        <f>VLOOKUP(Table2[[#This Row],[Customer ID]],Table2[#All],6,FALSE)</f>
        <v>No</v>
      </c>
      <c r="H12">
        <f>VLOOKUP(Table2[[#This Row],[Customer ID]],Table2[#All],7,FALSE)</f>
        <v>2</v>
      </c>
      <c r="I12" t="str">
        <f>VLOOKUP(Table2[[#This Row],[Customer ID]],Table2[#All],8,FALSE)</f>
        <v>Yes</v>
      </c>
      <c r="J12" t="str">
        <f>VLOOKUP(Table2[[#This Row],[Customer ID]],Table2[#All],9,FALSE)</f>
        <v>Obesity</v>
      </c>
      <c r="K12" t="str">
        <f>VLOOKUP(Table2[[#This Row],[Customer ID]],Table2[#All],10,FALSE)</f>
        <v>Prediabetes</v>
      </c>
    </row>
    <row r="13" spans="1:16" ht="15.6" x14ac:dyDescent="0.3">
      <c r="A13" s="1" t="s">
        <v>2361</v>
      </c>
      <c r="B13" t="str">
        <f>VLOOKUP('Customer Names'!A13,'Customer Names'!$A$1:$E$2336,4,FALSE)</f>
        <v>Mr.  David</v>
      </c>
      <c r="C13">
        <f>VLOOKUP(Table2[[#This Row],[Customer ID]],Table2[#All],2,FALSE)</f>
        <v>42.13</v>
      </c>
      <c r="D13">
        <f>VLOOKUP(Table2[[#This Row],[Customer ID]],Table2[#All],3,FALSE)</f>
        <v>11.9</v>
      </c>
      <c r="E13" t="str">
        <f>VLOOKUP(Table2[[#This Row],[Customer ID]],Table2[#All],4,FALSE)</f>
        <v>No</v>
      </c>
      <c r="F13" t="str">
        <f>VLOOKUP(Table2[[#This Row],[Customer ID]],Table2[#All],5,FALSE)</f>
        <v>No</v>
      </c>
      <c r="G13" t="str">
        <f>VLOOKUP(Table2[[#This Row],[Customer ID]],Table2[#All],6,FALSE)</f>
        <v>No</v>
      </c>
      <c r="H13">
        <f>VLOOKUP(Table2[[#This Row],[Customer ID]],Table2[#All],7,FALSE)</f>
        <v>0</v>
      </c>
      <c r="I13" t="str">
        <f>VLOOKUP(Table2[[#This Row],[Customer ID]],Table2[#All],8,FALSE)</f>
        <v>Yes</v>
      </c>
      <c r="J13" t="str">
        <f>VLOOKUP(Table2[[#This Row],[Customer ID]],Table2[#All],9,FALSE)</f>
        <v>Obesity</v>
      </c>
      <c r="K13" t="str">
        <f>VLOOKUP(Table2[[#This Row],[Customer ID]],Table2[#All],10,FALSE)</f>
        <v>Diabetes</v>
      </c>
    </row>
    <row r="14" spans="1:16" ht="15.6" x14ac:dyDescent="0.3">
      <c r="A14" s="1" t="s">
        <v>2360</v>
      </c>
      <c r="B14" t="str">
        <f>VLOOKUP('Customer Names'!A14,'Customer Names'!$A$1:$E$2336,4,FALSE)</f>
        <v>Mr.  Wade</v>
      </c>
      <c r="C14">
        <f>VLOOKUP(Table2[[#This Row],[Customer ID]],Table2[#All],2,FALSE)</f>
        <v>40.92</v>
      </c>
      <c r="D14">
        <f>VLOOKUP(Table2[[#This Row],[Customer ID]],Table2[#All],3,FALSE)</f>
        <v>8.41</v>
      </c>
      <c r="E14" t="str">
        <f>VLOOKUP(Table2[[#This Row],[Customer ID]],Table2[#All],4,FALSE)</f>
        <v>No</v>
      </c>
      <c r="F14" t="str">
        <f>VLOOKUP(Table2[[#This Row],[Customer ID]],Table2[#All],5,FALSE)</f>
        <v>No</v>
      </c>
      <c r="G14" t="str">
        <f>VLOOKUP(Table2[[#This Row],[Customer ID]],Table2[#All],6,FALSE)</f>
        <v>No</v>
      </c>
      <c r="H14">
        <f>VLOOKUP(Table2[[#This Row],[Customer ID]],Table2[#All],7,FALSE)</f>
        <v>0</v>
      </c>
      <c r="I14" t="str">
        <f>VLOOKUP(Table2[[#This Row],[Customer ID]],Table2[#All],8,FALSE)</f>
        <v>Yes</v>
      </c>
      <c r="J14" t="str">
        <f>VLOOKUP(Table2[[#This Row],[Customer ID]],Table2[#All],9,FALSE)</f>
        <v>Obesity</v>
      </c>
      <c r="K14" t="str">
        <f>VLOOKUP(Table2[[#This Row],[Customer ID]],Table2[#All],10,FALSE)</f>
        <v>Diabetes</v>
      </c>
    </row>
    <row r="15" spans="1:16" ht="15.6" x14ac:dyDescent="0.3">
      <c r="A15" s="1" t="s">
        <v>2359</v>
      </c>
      <c r="B15" t="str">
        <f>VLOOKUP('Customer Names'!A15,'Customer Names'!$A$1:$E$2336,4,FALSE)</f>
        <v>Mr.  Franklin</v>
      </c>
      <c r="C15">
        <f>VLOOKUP(Table2[[#This Row],[Customer ID]],Table2[#All],2,FALSE)</f>
        <v>40.564999999999998</v>
      </c>
      <c r="D15">
        <f>VLOOKUP(Table2[[#This Row],[Customer ID]],Table2[#All],3,FALSE)</f>
        <v>7.02</v>
      </c>
      <c r="E15" t="str">
        <f>VLOOKUP(Table2[[#This Row],[Customer ID]],Table2[#All],4,FALSE)</f>
        <v>No</v>
      </c>
      <c r="F15" t="str">
        <f>VLOOKUP(Table2[[#This Row],[Customer ID]],Table2[#All],5,FALSE)</f>
        <v>No</v>
      </c>
      <c r="G15" t="str">
        <f>VLOOKUP(Table2[[#This Row],[Customer ID]],Table2[#All],6,FALSE)</f>
        <v>No</v>
      </c>
      <c r="H15">
        <f>VLOOKUP(Table2[[#This Row],[Customer ID]],Table2[#All],7,FALSE)</f>
        <v>0</v>
      </c>
      <c r="I15" t="str">
        <f>VLOOKUP(Table2[[#This Row],[Customer ID]],Table2[#All],8,FALSE)</f>
        <v>Yes</v>
      </c>
      <c r="J15" t="str">
        <f>VLOOKUP(Table2[[#This Row],[Customer ID]],Table2[#All],9,FALSE)</f>
        <v>Obesity</v>
      </c>
      <c r="K15" t="str">
        <f>VLOOKUP(Table2[[#This Row],[Customer ID]],Table2[#All],10,FALSE)</f>
        <v>Diabetes</v>
      </c>
    </row>
    <row r="16" spans="1:16" ht="15.6" x14ac:dyDescent="0.3">
      <c r="A16" s="1" t="s">
        <v>2358</v>
      </c>
      <c r="B16" t="str">
        <f>VLOOKUP('Customer Names'!A16,'Customer Names'!$A$1:$E$2336,4,FALSE)</f>
        <v>Ms.  Leilani M.</v>
      </c>
      <c r="C16">
        <f>VLOOKUP(Table2[[#This Row],[Customer ID]],Table2[#All],2,FALSE)</f>
        <v>36.384999999999998</v>
      </c>
      <c r="D16">
        <f>VLOOKUP(Table2[[#This Row],[Customer ID]],Table2[#All],3,FALSE)</f>
        <v>7.59</v>
      </c>
      <c r="E16" t="str">
        <f>VLOOKUP(Table2[[#This Row],[Customer ID]],Table2[#All],4,FALSE)</f>
        <v>Yes</v>
      </c>
      <c r="F16" t="str">
        <f>VLOOKUP(Table2[[#This Row],[Customer ID]],Table2[#All],5,FALSE)</f>
        <v>No</v>
      </c>
      <c r="G16" t="str">
        <f>VLOOKUP(Table2[[#This Row],[Customer ID]],Table2[#All],6,FALSE)</f>
        <v>No</v>
      </c>
      <c r="H16">
        <f>VLOOKUP(Table2[[#This Row],[Customer ID]],Table2[#All],7,FALSE)</f>
        <v>2</v>
      </c>
      <c r="I16" t="str">
        <f>VLOOKUP(Table2[[#This Row],[Customer ID]],Table2[#All],8,FALSE)</f>
        <v>Yes</v>
      </c>
      <c r="J16" t="str">
        <f>VLOOKUP(Table2[[#This Row],[Customer ID]],Table2[#All],9,FALSE)</f>
        <v>Obesity</v>
      </c>
      <c r="K16" t="str">
        <f>VLOOKUP(Table2[[#This Row],[Customer ID]],Table2[#All],10,FALSE)</f>
        <v>Diabetes</v>
      </c>
    </row>
    <row r="17" spans="1:11" ht="15.6" x14ac:dyDescent="0.3">
      <c r="A17" s="1" t="s">
        <v>2357</v>
      </c>
      <c r="B17" t="str">
        <f>VLOOKUP('Customer Names'!A17,'Customer Names'!$A$1:$E$2336,4,FALSE)</f>
        <v>Mr.  Philippe</v>
      </c>
      <c r="C17">
        <f>VLOOKUP(Table2[[#This Row],[Customer ID]],Table2[#All],2,FALSE)</f>
        <v>39.9</v>
      </c>
      <c r="D17">
        <f>VLOOKUP(Table2[[#This Row],[Customer ID]],Table2[#All],3,FALSE)</f>
        <v>11.32</v>
      </c>
      <c r="E17" t="str">
        <f>VLOOKUP(Table2[[#This Row],[Customer ID]],Table2[#All],4,FALSE)</f>
        <v>No</v>
      </c>
      <c r="F17" t="str">
        <f>VLOOKUP(Table2[[#This Row],[Customer ID]],Table2[#All],5,FALSE)</f>
        <v>No</v>
      </c>
      <c r="G17" t="str">
        <f>VLOOKUP(Table2[[#This Row],[Customer ID]],Table2[#All],6,FALSE)</f>
        <v>No</v>
      </c>
      <c r="H17">
        <f>VLOOKUP(Table2[[#This Row],[Customer ID]],Table2[#All],7,FALSE)</f>
        <v>0</v>
      </c>
      <c r="I17" t="str">
        <f>VLOOKUP(Table2[[#This Row],[Customer ID]],Table2[#All],8,FALSE)</f>
        <v>Yes</v>
      </c>
      <c r="J17" t="str">
        <f>VLOOKUP(Table2[[#This Row],[Customer ID]],Table2[#All],9,FALSE)</f>
        <v>Obesity</v>
      </c>
      <c r="K17" t="str">
        <f>VLOOKUP(Table2[[#This Row],[Customer ID]],Table2[#All],10,FALSE)</f>
        <v>Diabetes</v>
      </c>
    </row>
    <row r="18" spans="1:11" ht="15.6" x14ac:dyDescent="0.3">
      <c r="A18" s="1" t="s">
        <v>2356</v>
      </c>
      <c r="B18" t="str">
        <f>VLOOKUP('Customer Names'!A18,'Customer Names'!$A$1:$E$2336,4,FALSE)</f>
        <v>Ms.  Jennifer A.</v>
      </c>
      <c r="C18">
        <f>VLOOKUP(Table2[[#This Row],[Customer ID]],Table2[#All],2,FALSE)</f>
        <v>33.799999999999997</v>
      </c>
      <c r="D18">
        <f>VLOOKUP(Table2[[#This Row],[Customer ID]],Table2[#All],3,FALSE)</f>
        <v>7.67</v>
      </c>
      <c r="E18" t="str">
        <f>VLOOKUP(Table2[[#This Row],[Customer ID]],Table2[#All],4,FALSE)</f>
        <v>No</v>
      </c>
      <c r="F18" t="str">
        <f>VLOOKUP(Table2[[#This Row],[Customer ID]],Table2[#All],5,FALSE)</f>
        <v>No</v>
      </c>
      <c r="G18" t="str">
        <f>VLOOKUP(Table2[[#This Row],[Customer ID]],Table2[#All],6,FALSE)</f>
        <v>No</v>
      </c>
      <c r="H18">
        <f>VLOOKUP(Table2[[#This Row],[Customer ID]],Table2[#All],7,FALSE)</f>
        <v>3</v>
      </c>
      <c r="I18" t="str">
        <f>VLOOKUP(Table2[[#This Row],[Customer ID]],Table2[#All],8,FALSE)</f>
        <v>Yes</v>
      </c>
      <c r="J18" t="str">
        <f>VLOOKUP(Table2[[#This Row],[Customer ID]],Table2[#All],9,FALSE)</f>
        <v>Obesity</v>
      </c>
      <c r="K18" t="str">
        <f>VLOOKUP(Table2[[#This Row],[Customer ID]],Table2[#All],10,FALSE)</f>
        <v>Diabetes</v>
      </c>
    </row>
    <row r="19" spans="1:11" ht="15.6" x14ac:dyDescent="0.3">
      <c r="A19" s="1" t="s">
        <v>2355</v>
      </c>
      <c r="B19" t="str">
        <f>VLOOKUP('Customer Names'!A19,'Customer Names'!$A$1:$E$2336,4,FALSE)</f>
        <v>Ms.  Christina M.</v>
      </c>
      <c r="C19">
        <f>VLOOKUP(Table2[[#This Row],[Customer ID]],Table2[#All],2,FALSE)</f>
        <v>36.765000000000001</v>
      </c>
      <c r="D19">
        <f>VLOOKUP(Table2[[#This Row],[Customer ID]],Table2[#All],3,FALSE)</f>
        <v>7.29</v>
      </c>
      <c r="E19" t="str">
        <f>VLOOKUP(Table2[[#This Row],[Customer ID]],Table2[#All],4,FALSE)</f>
        <v>Yes</v>
      </c>
      <c r="F19" t="str">
        <f>VLOOKUP(Table2[[#This Row],[Customer ID]],Table2[#All],5,FALSE)</f>
        <v>No</v>
      </c>
      <c r="G19" t="str">
        <f>VLOOKUP(Table2[[#This Row],[Customer ID]],Table2[#All],6,FALSE)</f>
        <v>Yes</v>
      </c>
      <c r="H19">
        <f>VLOOKUP(Table2[[#This Row],[Customer ID]],Table2[#All],7,FALSE)</f>
        <v>1</v>
      </c>
      <c r="I19" t="str">
        <f>VLOOKUP(Table2[[#This Row],[Customer ID]],Table2[#All],8,FALSE)</f>
        <v>Yes</v>
      </c>
      <c r="J19" t="str">
        <f>VLOOKUP(Table2[[#This Row],[Customer ID]],Table2[#All],9,FALSE)</f>
        <v>Obesity</v>
      </c>
      <c r="K19" t="str">
        <f>VLOOKUP(Table2[[#This Row],[Customer ID]],Table2[#All],10,FALSE)</f>
        <v>Diabetes</v>
      </c>
    </row>
    <row r="20" spans="1:11" ht="15.6" x14ac:dyDescent="0.3">
      <c r="A20" s="1" t="s">
        <v>2354</v>
      </c>
      <c r="B20" t="str">
        <f>VLOOKUP('Customer Names'!A20,'Customer Names'!$A$1:$E$2336,4,FALSE)</f>
        <v>Mr.  Said Sr.</v>
      </c>
      <c r="C20">
        <f>VLOOKUP(Table2[[#This Row],[Customer ID]],Table2[#All],2,FALSE)</f>
        <v>36.954999999999998</v>
      </c>
      <c r="D20">
        <f>VLOOKUP(Table2[[#This Row],[Customer ID]],Table2[#All],3,FALSE)</f>
        <v>4.72</v>
      </c>
      <c r="E20" t="str">
        <f>VLOOKUP(Table2[[#This Row],[Customer ID]],Table2[#All],4,FALSE)</f>
        <v>Yes</v>
      </c>
      <c r="F20" t="str">
        <f>VLOOKUP(Table2[[#This Row],[Customer ID]],Table2[#All],5,FALSE)</f>
        <v>No</v>
      </c>
      <c r="G20" t="str">
        <f>VLOOKUP(Table2[[#This Row],[Customer ID]],Table2[#All],6,FALSE)</f>
        <v>No</v>
      </c>
      <c r="H20">
        <f>VLOOKUP(Table2[[#This Row],[Customer ID]],Table2[#All],7,FALSE)</f>
        <v>1</v>
      </c>
      <c r="I20" t="str">
        <f>VLOOKUP(Table2[[#This Row],[Customer ID]],Table2[#All],8,FALSE)</f>
        <v>Yes</v>
      </c>
      <c r="J20" t="str">
        <f>VLOOKUP(Table2[[#This Row],[Customer ID]],Table2[#All],9,FALSE)</f>
        <v>Obesity</v>
      </c>
      <c r="K20" t="str">
        <f>VLOOKUP(Table2[[#This Row],[Customer ID]],Table2[#All],10,FALSE)</f>
        <v>Normal</v>
      </c>
    </row>
    <row r="21" spans="1:11" ht="15.6" x14ac:dyDescent="0.3">
      <c r="A21" s="1" t="s">
        <v>2353</v>
      </c>
      <c r="B21" t="str">
        <f>VLOOKUP('Customer Names'!A21,'Customer Names'!$A$1:$E$2336,4,FALSE)</f>
        <v>Mr.  John</v>
      </c>
      <c r="C21">
        <f>VLOOKUP(Table2[[#This Row],[Customer ID]],Table2[#All],2,FALSE)</f>
        <v>42.9</v>
      </c>
      <c r="D21">
        <f>VLOOKUP(Table2[[#This Row],[Customer ID]],Table2[#All],3,FALSE)</f>
        <v>11.41</v>
      </c>
      <c r="E21" t="str">
        <f>VLOOKUP(Table2[[#This Row],[Customer ID]],Table2[#All],4,FALSE)</f>
        <v>No</v>
      </c>
      <c r="F21" t="str">
        <f>VLOOKUP(Table2[[#This Row],[Customer ID]],Table2[#All],5,FALSE)</f>
        <v>No</v>
      </c>
      <c r="G21" t="str">
        <f>VLOOKUP(Table2[[#This Row],[Customer ID]],Table2[#All],6,FALSE)</f>
        <v>No</v>
      </c>
      <c r="H21">
        <f>VLOOKUP(Table2[[#This Row],[Customer ID]],Table2[#All],7,FALSE)</f>
        <v>0</v>
      </c>
      <c r="I21" t="str">
        <f>VLOOKUP(Table2[[#This Row],[Customer ID]],Table2[#All],8,FALSE)</f>
        <v>Yes</v>
      </c>
      <c r="J21" t="str">
        <f>VLOOKUP(Table2[[#This Row],[Customer ID]],Table2[#All],9,FALSE)</f>
        <v>Obesity</v>
      </c>
      <c r="K21" t="str">
        <f>VLOOKUP(Table2[[#This Row],[Customer ID]],Table2[#All],10,FALSE)</f>
        <v>Diabetes</v>
      </c>
    </row>
    <row r="22" spans="1:11" ht="15.6" x14ac:dyDescent="0.3">
      <c r="A22" s="1" t="s">
        <v>2352</v>
      </c>
      <c r="B22" t="str">
        <f>VLOOKUP('Customer Names'!A22,'Customer Names'!$A$1:$E$2336,4,FALSE)</f>
        <v>Mr.  Myles</v>
      </c>
      <c r="C22">
        <f>VLOOKUP(Table2[[#This Row],[Customer ID]],Table2[#All],2,FALSE)</f>
        <v>36.299999999999997</v>
      </c>
      <c r="D22">
        <f>VLOOKUP(Table2[[#This Row],[Customer ID]],Table2[#All],3,FALSE)</f>
        <v>11.5</v>
      </c>
      <c r="E22" t="str">
        <f>VLOOKUP(Table2[[#This Row],[Customer ID]],Table2[#All],4,FALSE)</f>
        <v>Yes</v>
      </c>
      <c r="F22" t="str">
        <f>VLOOKUP(Table2[[#This Row],[Customer ID]],Table2[#All],5,FALSE)</f>
        <v>No</v>
      </c>
      <c r="G22" t="str">
        <f>VLOOKUP(Table2[[#This Row],[Customer ID]],Table2[#All],6,FALSE)</f>
        <v>No</v>
      </c>
      <c r="H22">
        <f>VLOOKUP(Table2[[#This Row],[Customer ID]],Table2[#All],7,FALSE)</f>
        <v>2</v>
      </c>
      <c r="I22" t="str">
        <f>VLOOKUP(Table2[[#This Row],[Customer ID]],Table2[#All],8,FALSE)</f>
        <v>Yes</v>
      </c>
      <c r="J22" t="str">
        <f>VLOOKUP(Table2[[#This Row],[Customer ID]],Table2[#All],9,FALSE)</f>
        <v>Obesity</v>
      </c>
      <c r="K22" t="str">
        <f>VLOOKUP(Table2[[#This Row],[Customer ID]],Table2[#All],10,FALSE)</f>
        <v>Diabetes</v>
      </c>
    </row>
    <row r="23" spans="1:11" ht="15.6" x14ac:dyDescent="0.3">
      <c r="A23" s="1" t="s">
        <v>2351</v>
      </c>
      <c r="B23" t="str">
        <f>VLOOKUP('Customer Names'!A23,'Customer Names'!$A$1:$E$2336,4,FALSE)</f>
        <v>Ms.  Madelyn C</v>
      </c>
      <c r="C23">
        <f>VLOOKUP(Table2[[#This Row],[Customer ID]],Table2[#All],2,FALSE)</f>
        <v>32.200000000000003</v>
      </c>
      <c r="D23">
        <f>VLOOKUP(Table2[[#This Row],[Customer ID]],Table2[#All],3,FALSE)</f>
        <v>6.22</v>
      </c>
      <c r="E23" t="str">
        <f>VLOOKUP(Table2[[#This Row],[Customer ID]],Table2[#All],4,FALSE)</f>
        <v>Yes</v>
      </c>
      <c r="F23" t="str">
        <f>VLOOKUP(Table2[[#This Row],[Customer ID]],Table2[#All],5,FALSE)</f>
        <v>No</v>
      </c>
      <c r="G23" t="str">
        <f>VLOOKUP(Table2[[#This Row],[Customer ID]],Table2[#All],6,FALSE)</f>
        <v>No</v>
      </c>
      <c r="H23">
        <f>VLOOKUP(Table2[[#This Row],[Customer ID]],Table2[#All],7,FALSE)</f>
        <v>2</v>
      </c>
      <c r="I23" t="str">
        <f>VLOOKUP(Table2[[#This Row],[Customer ID]],Table2[#All],8,FALSE)</f>
        <v>Yes</v>
      </c>
      <c r="J23" t="str">
        <f>VLOOKUP(Table2[[#This Row],[Customer ID]],Table2[#All],9,FALSE)</f>
        <v>Obesity</v>
      </c>
      <c r="K23" t="str">
        <f>VLOOKUP(Table2[[#This Row],[Customer ID]],Table2[#All],10,FALSE)</f>
        <v>Prediabetes</v>
      </c>
    </row>
    <row r="24" spans="1:11" ht="15.6" x14ac:dyDescent="0.3">
      <c r="A24" s="1" t="s">
        <v>2350</v>
      </c>
      <c r="B24" t="str">
        <f>VLOOKUP('Customer Names'!A24,'Customer Names'!$A$1:$E$2336,4,FALSE)</f>
        <v>Ms.  Nicole</v>
      </c>
      <c r="C24">
        <f>VLOOKUP(Table2[[#This Row],[Customer ID]],Table2[#All],2,FALSE)</f>
        <v>31.3</v>
      </c>
      <c r="D24">
        <f>VLOOKUP(Table2[[#This Row],[Customer ID]],Table2[#All],3,FALSE)</f>
        <v>11.38</v>
      </c>
      <c r="E24" t="str">
        <f>VLOOKUP(Table2[[#This Row],[Customer ID]],Table2[#All],4,FALSE)</f>
        <v>No</v>
      </c>
      <c r="F24" t="str">
        <f>VLOOKUP(Table2[[#This Row],[Customer ID]],Table2[#All],5,FALSE)</f>
        <v>No</v>
      </c>
      <c r="G24" t="str">
        <f>VLOOKUP(Table2[[#This Row],[Customer ID]],Table2[#All],6,FALSE)</f>
        <v>No</v>
      </c>
      <c r="H24">
        <f>VLOOKUP(Table2[[#This Row],[Customer ID]],Table2[#All],7,FALSE)</f>
        <v>3</v>
      </c>
      <c r="I24" t="str">
        <f>VLOOKUP(Table2[[#This Row],[Customer ID]],Table2[#All],8,FALSE)</f>
        <v>Yes</v>
      </c>
      <c r="J24" t="str">
        <f>VLOOKUP(Table2[[#This Row],[Customer ID]],Table2[#All],9,FALSE)</f>
        <v>Obesity</v>
      </c>
      <c r="K24" t="str">
        <f>VLOOKUP(Table2[[#This Row],[Customer ID]],Table2[#All],10,FALSE)</f>
        <v>Diabetes</v>
      </c>
    </row>
    <row r="25" spans="1:11" ht="15.6" x14ac:dyDescent="0.3">
      <c r="A25" s="1" t="s">
        <v>2349</v>
      </c>
      <c r="B25" t="str">
        <f>VLOOKUP('Customer Names'!A25,'Customer Names'!$A$1:$E$2336,4,FALSE)</f>
        <v>Mr.  Eric A.</v>
      </c>
      <c r="C25">
        <f>VLOOKUP(Table2[[#This Row],[Customer ID]],Table2[#All],2,FALSE)</f>
        <v>41.8</v>
      </c>
      <c r="D25">
        <f>VLOOKUP(Table2[[#This Row],[Customer ID]],Table2[#All],3,FALSE)</f>
        <v>7.89</v>
      </c>
      <c r="E25" t="str">
        <f>VLOOKUP(Table2[[#This Row],[Customer ID]],Table2[#All],4,FALSE)</f>
        <v>Yes</v>
      </c>
      <c r="F25" t="str">
        <f>VLOOKUP(Table2[[#This Row],[Customer ID]],Table2[#All],5,FALSE)</f>
        <v>No</v>
      </c>
      <c r="G25" t="str">
        <f>VLOOKUP(Table2[[#This Row],[Customer ID]],Table2[#All],6,FALSE)</f>
        <v>No</v>
      </c>
      <c r="H25">
        <f>VLOOKUP(Table2[[#This Row],[Customer ID]],Table2[#All],7,FALSE)</f>
        <v>2</v>
      </c>
      <c r="I25" t="str">
        <f>VLOOKUP(Table2[[#This Row],[Customer ID]],Table2[#All],8,FALSE)</f>
        <v>Yes</v>
      </c>
      <c r="J25" t="str">
        <f>VLOOKUP(Table2[[#This Row],[Customer ID]],Table2[#All],9,FALSE)</f>
        <v>Obesity</v>
      </c>
      <c r="K25" t="str">
        <f>VLOOKUP(Table2[[#This Row],[Customer ID]],Table2[#All],10,FALSE)</f>
        <v>Diabetes</v>
      </c>
    </row>
    <row r="26" spans="1:11" ht="15.6" x14ac:dyDescent="0.3">
      <c r="A26" s="1" t="s">
        <v>2348</v>
      </c>
      <c r="B26" t="str">
        <f>VLOOKUP('Customer Names'!A26,'Customer Names'!$A$1:$E$2336,4,FALSE)</f>
        <v>Mr.  Emiliano I.</v>
      </c>
      <c r="C26">
        <f>VLOOKUP(Table2[[#This Row],[Customer ID]],Table2[#All],2,FALSE)</f>
        <v>35.090000000000003</v>
      </c>
      <c r="D26">
        <f>VLOOKUP(Table2[[#This Row],[Customer ID]],Table2[#All],3,FALSE)</f>
        <v>4.38</v>
      </c>
      <c r="E26" t="str">
        <f>VLOOKUP(Table2[[#This Row],[Customer ID]],Table2[#All],4,FALSE)</f>
        <v>Yes</v>
      </c>
      <c r="F26" t="str">
        <f>VLOOKUP(Table2[[#This Row],[Customer ID]],Table2[#All],5,FALSE)</f>
        <v>No</v>
      </c>
      <c r="G26" t="str">
        <f>VLOOKUP(Table2[[#This Row],[Customer ID]],Table2[#All],6,FALSE)</f>
        <v>No</v>
      </c>
      <c r="H26">
        <f>VLOOKUP(Table2[[#This Row],[Customer ID]],Table2[#All],7,FALSE)</f>
        <v>2</v>
      </c>
      <c r="I26" t="str">
        <f>VLOOKUP(Table2[[#This Row],[Customer ID]],Table2[#All],8,FALSE)</f>
        <v>Yes</v>
      </c>
      <c r="J26" t="str">
        <f>VLOOKUP(Table2[[#This Row],[Customer ID]],Table2[#All],9,FALSE)</f>
        <v>Obesity</v>
      </c>
      <c r="K26" t="str">
        <f>VLOOKUP(Table2[[#This Row],[Customer ID]],Table2[#All],10,FALSE)</f>
        <v>Normal</v>
      </c>
    </row>
    <row r="27" spans="1:11" ht="15.6" x14ac:dyDescent="0.3">
      <c r="A27" s="1" t="s">
        <v>2347</v>
      </c>
      <c r="B27" t="str">
        <f>VLOOKUP('Customer Names'!A27,'Customer Names'!$A$1:$E$2336,4,FALSE)</f>
        <v>Mr.  Adam</v>
      </c>
      <c r="C27">
        <f>VLOOKUP(Table2[[#This Row],[Customer ID]],Table2[#All],2,FALSE)</f>
        <v>33.880000000000003</v>
      </c>
      <c r="D27">
        <f>VLOOKUP(Table2[[#This Row],[Customer ID]],Table2[#All],3,FALSE)</f>
        <v>7.01</v>
      </c>
      <c r="E27" t="str">
        <f>VLOOKUP(Table2[[#This Row],[Customer ID]],Table2[#All],4,FALSE)</f>
        <v>No</v>
      </c>
      <c r="F27" t="str">
        <f>VLOOKUP(Table2[[#This Row],[Customer ID]],Table2[#All],5,FALSE)</f>
        <v>No</v>
      </c>
      <c r="G27" t="str">
        <f>VLOOKUP(Table2[[#This Row],[Customer ID]],Table2[#All],6,FALSE)</f>
        <v>No</v>
      </c>
      <c r="H27">
        <f>VLOOKUP(Table2[[#This Row],[Customer ID]],Table2[#All],7,FALSE)</f>
        <v>3</v>
      </c>
      <c r="I27" t="str">
        <f>VLOOKUP(Table2[[#This Row],[Customer ID]],Table2[#All],8,FALSE)</f>
        <v>Yes</v>
      </c>
      <c r="J27" t="str">
        <f>VLOOKUP(Table2[[#This Row],[Customer ID]],Table2[#All],9,FALSE)</f>
        <v>Obesity</v>
      </c>
      <c r="K27" t="str">
        <f>VLOOKUP(Table2[[#This Row],[Customer ID]],Table2[#All],10,FALSE)</f>
        <v>Diabetes</v>
      </c>
    </row>
    <row r="28" spans="1:11" ht="15.6" x14ac:dyDescent="0.3">
      <c r="A28" s="1" t="s">
        <v>2346</v>
      </c>
      <c r="B28" t="str">
        <f>VLOOKUP('Customer Names'!A28,'Customer Names'!$A$1:$E$2336,4,FALSE)</f>
        <v>Mr.  Zach</v>
      </c>
      <c r="C28">
        <f>VLOOKUP(Table2[[#This Row],[Customer ID]],Table2[#All],2,FALSE)</f>
        <v>30.875</v>
      </c>
      <c r="D28">
        <f>VLOOKUP(Table2[[#This Row],[Customer ID]],Table2[#All],3,FALSE)</f>
        <v>11.88</v>
      </c>
      <c r="E28" t="str">
        <f>VLOOKUP(Table2[[#This Row],[Customer ID]],Table2[#All],4,FALSE)</f>
        <v>No</v>
      </c>
      <c r="F28" t="str">
        <f>VLOOKUP(Table2[[#This Row],[Customer ID]],Table2[#All],5,FALSE)</f>
        <v>No</v>
      </c>
      <c r="G28" t="str">
        <f>VLOOKUP(Table2[[#This Row],[Customer ID]],Table2[#All],6,FALSE)</f>
        <v>No</v>
      </c>
      <c r="H28">
        <f>VLOOKUP(Table2[[#This Row],[Customer ID]],Table2[#All],7,FALSE)</f>
        <v>0</v>
      </c>
      <c r="I28" t="str">
        <f>VLOOKUP(Table2[[#This Row],[Customer ID]],Table2[#All],8,FALSE)</f>
        <v>Yes</v>
      </c>
      <c r="J28" t="str">
        <f>VLOOKUP(Table2[[#This Row],[Customer ID]],Table2[#All],9,FALSE)</f>
        <v>Obesity</v>
      </c>
      <c r="K28" t="str">
        <f>VLOOKUP(Table2[[#This Row],[Customer ID]],Table2[#All],10,FALSE)</f>
        <v>Diabetes</v>
      </c>
    </row>
    <row r="29" spans="1:11" ht="15.6" x14ac:dyDescent="0.3">
      <c r="A29" s="1" t="s">
        <v>2345</v>
      </c>
      <c r="B29" t="str">
        <f>VLOOKUP('Customer Names'!A29,'Customer Names'!$A$1:$E$2336,4,FALSE)</f>
        <v>Ms.  Stephanie W.</v>
      </c>
      <c r="C29">
        <f>VLOOKUP(Table2[[#This Row],[Customer ID]],Table2[#All],2,FALSE)</f>
        <v>36.86</v>
      </c>
      <c r="D29">
        <f>VLOOKUP(Table2[[#This Row],[Customer ID]],Table2[#All],3,FALSE)</f>
        <v>5.19</v>
      </c>
      <c r="E29" t="str">
        <f>VLOOKUP(Table2[[#This Row],[Customer ID]],Table2[#All],4,FALSE)</f>
        <v>Yes</v>
      </c>
      <c r="F29" t="str">
        <f>VLOOKUP(Table2[[#This Row],[Customer ID]],Table2[#All],5,FALSE)</f>
        <v>No</v>
      </c>
      <c r="G29" t="str">
        <f>VLOOKUP(Table2[[#This Row],[Customer ID]],Table2[#All],6,FALSE)</f>
        <v>Yes</v>
      </c>
      <c r="H29">
        <f>VLOOKUP(Table2[[#This Row],[Customer ID]],Table2[#All],7,FALSE)</f>
        <v>1</v>
      </c>
      <c r="I29" t="str">
        <f>VLOOKUP(Table2[[#This Row],[Customer ID]],Table2[#All],8,FALSE)</f>
        <v>Yes</v>
      </c>
      <c r="J29" t="str">
        <f>VLOOKUP(Table2[[#This Row],[Customer ID]],Table2[#All],9,FALSE)</f>
        <v>Obesity</v>
      </c>
      <c r="K29" t="str">
        <f>VLOOKUP(Table2[[#This Row],[Customer ID]],Table2[#All],10,FALSE)</f>
        <v>Normal</v>
      </c>
    </row>
    <row r="30" spans="1:11" ht="15.6" x14ac:dyDescent="0.3">
      <c r="A30" s="1" t="s">
        <v>2344</v>
      </c>
      <c r="B30" t="str">
        <f>VLOOKUP('Customer Names'!A30,'Customer Names'!$A$1:$E$2336,4,FALSE)</f>
        <v>Mr.  Stephen</v>
      </c>
      <c r="C30">
        <f>VLOOKUP(Table2[[#This Row],[Customer ID]],Table2[#All],2,FALSE)</f>
        <v>35.86</v>
      </c>
      <c r="D30">
        <f>VLOOKUP(Table2[[#This Row],[Customer ID]],Table2[#All],3,FALSE)</f>
        <v>6.74</v>
      </c>
      <c r="E30" t="str">
        <f>VLOOKUP(Table2[[#This Row],[Customer ID]],Table2[#All],4,FALSE)</f>
        <v>Yes</v>
      </c>
      <c r="F30" t="str">
        <f>VLOOKUP(Table2[[#This Row],[Customer ID]],Table2[#All],5,FALSE)</f>
        <v>No</v>
      </c>
      <c r="G30" t="str">
        <f>VLOOKUP(Table2[[#This Row],[Customer ID]],Table2[#All],6,FALSE)</f>
        <v>No</v>
      </c>
      <c r="H30">
        <f>VLOOKUP(Table2[[#This Row],[Customer ID]],Table2[#All],7,FALSE)</f>
        <v>2</v>
      </c>
      <c r="I30" t="str">
        <f>VLOOKUP(Table2[[#This Row],[Customer ID]],Table2[#All],8,FALSE)</f>
        <v>Yes</v>
      </c>
      <c r="J30" t="str">
        <f>VLOOKUP(Table2[[#This Row],[Customer ID]],Table2[#All],9,FALSE)</f>
        <v>Obesity</v>
      </c>
      <c r="K30" t="str">
        <f>VLOOKUP(Table2[[#This Row],[Customer ID]],Table2[#All],10,FALSE)</f>
        <v>Diabetes</v>
      </c>
    </row>
    <row r="31" spans="1:11" ht="15.6" x14ac:dyDescent="0.3">
      <c r="A31" s="1" t="s">
        <v>2343</v>
      </c>
      <c r="B31" t="str">
        <f>VLOOKUP('Customer Names'!A31,'Customer Names'!$A$1:$E$2336,4,FALSE)</f>
        <v>Ms.  Natalie</v>
      </c>
      <c r="C31">
        <f>VLOOKUP(Table2[[#This Row],[Customer ID]],Table2[#All],2,FALSE)</f>
        <v>37.049999999999997</v>
      </c>
      <c r="D31">
        <f>VLOOKUP(Table2[[#This Row],[Customer ID]],Table2[#All],3,FALSE)</f>
        <v>8.44</v>
      </c>
      <c r="E31" t="str">
        <f>VLOOKUP(Table2[[#This Row],[Customer ID]],Table2[#All],4,FALSE)</f>
        <v>No</v>
      </c>
      <c r="F31" t="str">
        <f>VLOOKUP(Table2[[#This Row],[Customer ID]],Table2[#All],5,FALSE)</f>
        <v>No</v>
      </c>
      <c r="G31" t="str">
        <f>VLOOKUP(Table2[[#This Row],[Customer ID]],Table2[#All],6,FALSE)</f>
        <v>No</v>
      </c>
      <c r="H31">
        <f>VLOOKUP(Table2[[#This Row],[Customer ID]],Table2[#All],7,FALSE)</f>
        <v>0</v>
      </c>
      <c r="I31" t="str">
        <f>VLOOKUP(Table2[[#This Row],[Customer ID]],Table2[#All],8,FALSE)</f>
        <v>Yes</v>
      </c>
      <c r="J31" t="str">
        <f>VLOOKUP(Table2[[#This Row],[Customer ID]],Table2[#All],9,FALSE)</f>
        <v>Obesity</v>
      </c>
      <c r="K31" t="str">
        <f>VLOOKUP(Table2[[#This Row],[Customer ID]],Table2[#All],10,FALSE)</f>
        <v>Diabetes</v>
      </c>
    </row>
    <row r="32" spans="1:11" ht="15.6" x14ac:dyDescent="0.3">
      <c r="A32" s="1" t="s">
        <v>2342</v>
      </c>
      <c r="B32" t="str">
        <f>VLOOKUP('Customer Names'!A32,'Customer Names'!$A$1:$E$2336,4,FALSE)</f>
        <v>Ms.  Nicole J.</v>
      </c>
      <c r="C32">
        <f>VLOOKUP(Table2[[#This Row],[Customer ID]],Table2[#All],2,FALSE)</f>
        <v>43.89</v>
      </c>
      <c r="D32">
        <f>VLOOKUP(Table2[[#This Row],[Customer ID]],Table2[#All],3,FALSE)</f>
        <v>8.7100000000000009</v>
      </c>
      <c r="E32" t="str">
        <f>VLOOKUP(Table2[[#This Row],[Customer ID]],Table2[#All],4,FALSE)</f>
        <v>No</v>
      </c>
      <c r="F32" t="str">
        <f>VLOOKUP(Table2[[#This Row],[Customer ID]],Table2[#All],5,FALSE)</f>
        <v>No</v>
      </c>
      <c r="G32" t="str">
        <f>VLOOKUP(Table2[[#This Row],[Customer ID]],Table2[#All],6,FALSE)</f>
        <v>No</v>
      </c>
      <c r="H32">
        <f>VLOOKUP(Table2[[#This Row],[Customer ID]],Table2[#All],7,FALSE)</f>
        <v>0</v>
      </c>
      <c r="I32" t="str">
        <f>VLOOKUP(Table2[[#This Row],[Customer ID]],Table2[#All],8,FALSE)</f>
        <v>Yes</v>
      </c>
      <c r="J32" t="str">
        <f>VLOOKUP(Table2[[#This Row],[Customer ID]],Table2[#All],9,FALSE)</f>
        <v>Obesity</v>
      </c>
      <c r="K32" t="str">
        <f>VLOOKUP(Table2[[#This Row],[Customer ID]],Table2[#All],10,FALSE)</f>
        <v>Diabetes</v>
      </c>
    </row>
    <row r="33" spans="1:11" ht="15.6" x14ac:dyDescent="0.3">
      <c r="A33" s="1" t="s">
        <v>2341</v>
      </c>
      <c r="B33" t="str">
        <f>VLOOKUP('Customer Names'!A33,'Customer Names'!$A$1:$E$2336,4,FALSE)</f>
        <v>Mr.  Jefferson D</v>
      </c>
      <c r="C33">
        <f>VLOOKUP(Table2[[#This Row],[Customer ID]],Table2[#All],2,FALSE)</f>
        <v>42.35</v>
      </c>
      <c r="D33">
        <f>VLOOKUP(Table2[[#This Row],[Customer ID]],Table2[#All],3,FALSE)</f>
        <v>5.08</v>
      </c>
      <c r="E33" t="str">
        <f>VLOOKUP(Table2[[#This Row],[Customer ID]],Table2[#All],4,FALSE)</f>
        <v>Yes</v>
      </c>
      <c r="F33" t="str">
        <f>VLOOKUP(Table2[[#This Row],[Customer ID]],Table2[#All],5,FALSE)</f>
        <v>No</v>
      </c>
      <c r="G33" t="str">
        <f>VLOOKUP(Table2[[#This Row],[Customer ID]],Table2[#All],6,FALSE)</f>
        <v>No</v>
      </c>
      <c r="H33">
        <f>VLOOKUP(Table2[[#This Row],[Customer ID]],Table2[#All],7,FALSE)</f>
        <v>0</v>
      </c>
      <c r="I33" t="str">
        <f>VLOOKUP(Table2[[#This Row],[Customer ID]],Table2[#All],8,FALSE)</f>
        <v>Yes</v>
      </c>
      <c r="J33" t="str">
        <f>VLOOKUP(Table2[[#This Row],[Customer ID]],Table2[#All],9,FALSE)</f>
        <v>Obesity</v>
      </c>
      <c r="K33" t="str">
        <f>VLOOKUP(Table2[[#This Row],[Customer ID]],Table2[#All],10,FALSE)</f>
        <v>Normal</v>
      </c>
    </row>
    <row r="34" spans="1:11" ht="15.6" x14ac:dyDescent="0.3">
      <c r="A34" s="1" t="s">
        <v>2340</v>
      </c>
      <c r="B34" t="str">
        <f>VLOOKUP('Customer Names'!A34,'Customer Names'!$A$1:$E$2336,4,FALSE)</f>
        <v>Mr.  Brendan D.</v>
      </c>
      <c r="C34">
        <f>VLOOKUP(Table2[[#This Row],[Customer ID]],Table2[#All],2,FALSE)</f>
        <v>31.35</v>
      </c>
      <c r="D34">
        <f>VLOOKUP(Table2[[#This Row],[Customer ID]],Table2[#All],3,FALSE)</f>
        <v>6.86</v>
      </c>
      <c r="E34" t="str">
        <f>VLOOKUP(Table2[[#This Row],[Customer ID]],Table2[#All],4,FALSE)</f>
        <v>No</v>
      </c>
      <c r="F34" t="str">
        <f>VLOOKUP(Table2[[#This Row],[Customer ID]],Table2[#All],5,FALSE)</f>
        <v>No</v>
      </c>
      <c r="G34" t="str">
        <f>VLOOKUP(Table2[[#This Row],[Customer ID]],Table2[#All],6,FALSE)</f>
        <v>No</v>
      </c>
      <c r="H34">
        <f>VLOOKUP(Table2[[#This Row],[Customer ID]],Table2[#All],7,FALSE)</f>
        <v>0</v>
      </c>
      <c r="I34" t="str">
        <f>VLOOKUP(Table2[[#This Row],[Customer ID]],Table2[#All],8,FALSE)</f>
        <v>Yes</v>
      </c>
      <c r="J34" t="str">
        <f>VLOOKUP(Table2[[#This Row],[Customer ID]],Table2[#All],9,FALSE)</f>
        <v>Obesity</v>
      </c>
      <c r="K34" t="str">
        <f>VLOOKUP(Table2[[#This Row],[Customer ID]],Table2[#All],10,FALSE)</f>
        <v>Diabetes</v>
      </c>
    </row>
    <row r="35" spans="1:11" ht="15.6" x14ac:dyDescent="0.3">
      <c r="A35" s="1" t="s">
        <v>2339</v>
      </c>
      <c r="B35" t="str">
        <f>VLOOKUP('Customer Names'!A35,'Customer Names'!$A$1:$E$2336,4,FALSE)</f>
        <v>Ms.  Courtney</v>
      </c>
      <c r="C35">
        <f>VLOOKUP(Table2[[#This Row],[Customer ID]],Table2[#All],2,FALSE)</f>
        <v>47.6</v>
      </c>
      <c r="D35">
        <f>VLOOKUP(Table2[[#This Row],[Customer ID]],Table2[#All],3,FALSE)</f>
        <v>5.95</v>
      </c>
      <c r="E35" t="str">
        <f>VLOOKUP(Table2[[#This Row],[Customer ID]],Table2[#All],4,FALSE)</f>
        <v>Yes</v>
      </c>
      <c r="F35" t="str">
        <f>VLOOKUP(Table2[[#This Row],[Customer ID]],Table2[#All],5,FALSE)</f>
        <v>No</v>
      </c>
      <c r="G35" t="str">
        <f>VLOOKUP(Table2[[#This Row],[Customer ID]],Table2[#All],6,FALSE)</f>
        <v>No</v>
      </c>
      <c r="H35">
        <f>VLOOKUP(Table2[[#This Row],[Customer ID]],Table2[#All],7,FALSE)</f>
        <v>0</v>
      </c>
      <c r="I35" t="str">
        <f>VLOOKUP(Table2[[#This Row],[Customer ID]],Table2[#All],8,FALSE)</f>
        <v>Yes</v>
      </c>
      <c r="J35" t="str">
        <f>VLOOKUP(Table2[[#This Row],[Customer ID]],Table2[#All],9,FALSE)</f>
        <v>Obesity</v>
      </c>
      <c r="K35" t="str">
        <f>VLOOKUP(Table2[[#This Row],[Customer ID]],Table2[#All],10,FALSE)</f>
        <v>Prediabetes</v>
      </c>
    </row>
    <row r="36" spans="1:11" ht="15.6" x14ac:dyDescent="0.3">
      <c r="A36" s="1" t="s">
        <v>2338</v>
      </c>
      <c r="B36" t="str">
        <f>VLOOKUP('Customer Names'!A36,'Customer Names'!$A$1:$E$2336,4,FALSE)</f>
        <v>Ms.  Sydney L.</v>
      </c>
      <c r="C36">
        <f>VLOOKUP(Table2[[#This Row],[Customer ID]],Table2[#All],2,FALSE)</f>
        <v>46.2</v>
      </c>
      <c r="D36">
        <f>VLOOKUP(Table2[[#This Row],[Customer ID]],Table2[#All],3,FALSE)</f>
        <v>6.09</v>
      </c>
      <c r="E36" t="str">
        <f>VLOOKUP(Table2[[#This Row],[Customer ID]],Table2[#All],4,FALSE)</f>
        <v>No</v>
      </c>
      <c r="F36" t="str">
        <f>VLOOKUP(Table2[[#This Row],[Customer ID]],Table2[#All],5,FALSE)</f>
        <v>No</v>
      </c>
      <c r="G36" t="str">
        <f>VLOOKUP(Table2[[#This Row],[Customer ID]],Table2[#All],6,FALSE)</f>
        <v>Yes</v>
      </c>
      <c r="H36">
        <f>VLOOKUP(Table2[[#This Row],[Customer ID]],Table2[#All],7,FALSE)</f>
        <v>1</v>
      </c>
      <c r="I36" t="str">
        <f>VLOOKUP(Table2[[#This Row],[Customer ID]],Table2[#All],8,FALSE)</f>
        <v>Yes</v>
      </c>
      <c r="J36" t="str">
        <f>VLOOKUP(Table2[[#This Row],[Customer ID]],Table2[#All],9,FALSE)</f>
        <v>Obesity</v>
      </c>
      <c r="K36" t="str">
        <f>VLOOKUP(Table2[[#This Row],[Customer ID]],Table2[#All],10,FALSE)</f>
        <v>Prediabetes</v>
      </c>
    </row>
    <row r="37" spans="1:11" ht="15.6" x14ac:dyDescent="0.3">
      <c r="A37" s="1" t="s">
        <v>2337</v>
      </c>
      <c r="B37" t="str">
        <f>VLOOKUP('Customer Names'!A37,'Customer Names'!$A$1:$E$2336,4,FALSE)</f>
        <v>Mr.  Julien</v>
      </c>
      <c r="C37">
        <f>VLOOKUP(Table2[[#This Row],[Customer ID]],Table2[#All],2,FALSE)</f>
        <v>32.015000000000001</v>
      </c>
      <c r="D37">
        <f>VLOOKUP(Table2[[#This Row],[Customer ID]],Table2[#All],3,FALSE)</f>
        <v>11.75</v>
      </c>
      <c r="E37" t="str">
        <f>VLOOKUP(Table2[[#This Row],[Customer ID]],Table2[#All],4,FALSE)</f>
        <v>No</v>
      </c>
      <c r="F37" t="str">
        <f>VLOOKUP(Table2[[#This Row],[Customer ID]],Table2[#All],5,FALSE)</f>
        <v>No</v>
      </c>
      <c r="G37" t="str">
        <f>VLOOKUP(Table2[[#This Row],[Customer ID]],Table2[#All],6,FALSE)</f>
        <v>No</v>
      </c>
      <c r="H37">
        <f>VLOOKUP(Table2[[#This Row],[Customer ID]],Table2[#All],7,FALSE)</f>
        <v>0</v>
      </c>
      <c r="I37" t="str">
        <f>VLOOKUP(Table2[[#This Row],[Customer ID]],Table2[#All],8,FALSE)</f>
        <v>Yes</v>
      </c>
      <c r="J37" t="str">
        <f>VLOOKUP(Table2[[#This Row],[Customer ID]],Table2[#All],9,FALSE)</f>
        <v>Obesity</v>
      </c>
      <c r="K37" t="str">
        <f>VLOOKUP(Table2[[#This Row],[Customer ID]],Table2[#All],10,FALSE)</f>
        <v>Diabetes</v>
      </c>
    </row>
    <row r="38" spans="1:11" ht="15.6" x14ac:dyDescent="0.3">
      <c r="A38" s="1" t="s">
        <v>2336</v>
      </c>
      <c r="B38" t="str">
        <f>VLOOKUP('Customer Names'!A38,'Customer Names'!$A$1:$E$2336,4,FALSE)</f>
        <v>Mr.  Ryan M</v>
      </c>
      <c r="C38">
        <f>VLOOKUP(Table2[[#This Row],[Customer ID]],Table2[#All],2,FALSE)</f>
        <v>40.564999999999998</v>
      </c>
      <c r="D38">
        <f>VLOOKUP(Table2[[#This Row],[Customer ID]],Table2[#All],3,FALSE)</f>
        <v>7.37</v>
      </c>
      <c r="E38" t="str">
        <f>VLOOKUP(Table2[[#This Row],[Customer ID]],Table2[#All],4,FALSE)</f>
        <v>No</v>
      </c>
      <c r="F38" t="str">
        <f>VLOOKUP(Table2[[#This Row],[Customer ID]],Table2[#All],5,FALSE)</f>
        <v>No</v>
      </c>
      <c r="G38" t="str">
        <f>VLOOKUP(Table2[[#This Row],[Customer ID]],Table2[#All],6,FALSE)</f>
        <v>No</v>
      </c>
      <c r="H38">
        <f>VLOOKUP(Table2[[#This Row],[Customer ID]],Table2[#All],7,FALSE)</f>
        <v>0</v>
      </c>
      <c r="I38" t="str">
        <f>VLOOKUP(Table2[[#This Row],[Customer ID]],Table2[#All],8,FALSE)</f>
        <v>Yes</v>
      </c>
      <c r="J38" t="str">
        <f>VLOOKUP(Table2[[#This Row],[Customer ID]],Table2[#All],9,FALSE)</f>
        <v>Obesity</v>
      </c>
      <c r="K38" t="str">
        <f>VLOOKUP(Table2[[#This Row],[Customer ID]],Table2[#All],10,FALSE)</f>
        <v>Diabetes</v>
      </c>
    </row>
    <row r="39" spans="1:11" ht="15.6" x14ac:dyDescent="0.3">
      <c r="A39" s="1" t="s">
        <v>2335</v>
      </c>
      <c r="B39" t="str">
        <f>VLOOKUP('Customer Names'!A39,'Customer Names'!$A$1:$E$2336,4,FALSE)</f>
        <v>Ms.  Anna H.</v>
      </c>
      <c r="C39">
        <f>VLOOKUP(Table2[[#This Row],[Customer ID]],Table2[#All],2,FALSE)</f>
        <v>32.450000000000003</v>
      </c>
      <c r="D39">
        <f>VLOOKUP(Table2[[#This Row],[Customer ID]],Table2[#All],3,FALSE)</f>
        <v>11.91</v>
      </c>
      <c r="E39" t="str">
        <f>VLOOKUP(Table2[[#This Row],[Customer ID]],Table2[#All],4,FALSE)</f>
        <v>No</v>
      </c>
      <c r="F39" t="str">
        <f>VLOOKUP(Table2[[#This Row],[Customer ID]],Table2[#All],5,FALSE)</f>
        <v>No</v>
      </c>
      <c r="G39" t="str">
        <f>VLOOKUP(Table2[[#This Row],[Customer ID]],Table2[#All],6,FALSE)</f>
        <v>No</v>
      </c>
      <c r="H39">
        <f>VLOOKUP(Table2[[#This Row],[Customer ID]],Table2[#All],7,FALSE)</f>
        <v>0</v>
      </c>
      <c r="I39" t="str">
        <f>VLOOKUP(Table2[[#This Row],[Customer ID]],Table2[#All],8,FALSE)</f>
        <v>Yes</v>
      </c>
      <c r="J39" t="str">
        <f>VLOOKUP(Table2[[#This Row],[Customer ID]],Table2[#All],9,FALSE)</f>
        <v>Obesity</v>
      </c>
      <c r="K39" t="str">
        <f>VLOOKUP(Table2[[#This Row],[Customer ID]],Table2[#All],10,FALSE)</f>
        <v>Diabetes</v>
      </c>
    </row>
    <row r="40" spans="1:11" ht="15.6" x14ac:dyDescent="0.3">
      <c r="A40" s="1" t="s">
        <v>2334</v>
      </c>
      <c r="B40" t="str">
        <f>VLOOKUP('Customer Names'!A40,'Customer Names'!$A$1:$E$2336,4,FALSE)</f>
        <v>Ms.  Samantha</v>
      </c>
      <c r="C40">
        <f>VLOOKUP(Table2[[#This Row],[Customer ID]],Table2[#All],2,FALSE)</f>
        <v>34.96</v>
      </c>
      <c r="D40">
        <f>VLOOKUP(Table2[[#This Row],[Customer ID]],Table2[#All],3,FALSE)</f>
        <v>6.52</v>
      </c>
      <c r="E40" t="str">
        <f>VLOOKUP(Table2[[#This Row],[Customer ID]],Table2[#All],4,FALSE)</f>
        <v>No</v>
      </c>
      <c r="F40" t="str">
        <f>VLOOKUP(Table2[[#This Row],[Customer ID]],Table2[#All],5,FALSE)</f>
        <v>No</v>
      </c>
      <c r="G40" t="str">
        <f>VLOOKUP(Table2[[#This Row],[Customer ID]],Table2[#All],6,FALSE)</f>
        <v>No</v>
      </c>
      <c r="H40">
        <f>VLOOKUP(Table2[[#This Row],[Customer ID]],Table2[#All],7,FALSE)</f>
        <v>0</v>
      </c>
      <c r="I40" t="str">
        <f>VLOOKUP(Table2[[#This Row],[Customer ID]],Table2[#All],8,FALSE)</f>
        <v>Yes</v>
      </c>
      <c r="J40" t="str">
        <f>VLOOKUP(Table2[[#This Row],[Customer ID]],Table2[#All],9,FALSE)</f>
        <v>Obesity</v>
      </c>
      <c r="K40" t="str">
        <f>VLOOKUP(Table2[[#This Row],[Customer ID]],Table2[#All],10,FALSE)</f>
        <v>Diabetes</v>
      </c>
    </row>
    <row r="41" spans="1:11" ht="15.6" x14ac:dyDescent="0.3">
      <c r="A41" s="1" t="s">
        <v>2333</v>
      </c>
      <c r="B41" t="str">
        <f>VLOOKUP('Customer Names'!A41,'Customer Names'!$A$1:$E$2336,4,FALSE)</f>
        <v>Mr.  Robert</v>
      </c>
      <c r="C41">
        <f>VLOOKUP(Table2[[#This Row],[Customer ID]],Table2[#All],2,FALSE)</f>
        <v>35.5</v>
      </c>
      <c r="D41">
        <f>VLOOKUP(Table2[[#This Row],[Customer ID]],Table2[#All],3,FALSE)</f>
        <v>5.14</v>
      </c>
      <c r="E41" t="str">
        <f>VLOOKUP(Table2[[#This Row],[Customer ID]],Table2[#All],4,FALSE)</f>
        <v>No</v>
      </c>
      <c r="F41" t="str">
        <f>VLOOKUP(Table2[[#This Row],[Customer ID]],Table2[#All],5,FALSE)</f>
        <v>No</v>
      </c>
      <c r="G41" t="str">
        <f>VLOOKUP(Table2[[#This Row],[Customer ID]],Table2[#All],6,FALSE)</f>
        <v>Yes</v>
      </c>
      <c r="H41">
        <f>VLOOKUP(Table2[[#This Row],[Customer ID]],Table2[#All],7,FALSE)</f>
        <v>1</v>
      </c>
      <c r="I41" t="str">
        <f>VLOOKUP(Table2[[#This Row],[Customer ID]],Table2[#All],8,FALSE)</f>
        <v>Yes</v>
      </c>
      <c r="J41" t="str">
        <f>VLOOKUP(Table2[[#This Row],[Customer ID]],Table2[#All],9,FALSE)</f>
        <v>Obesity</v>
      </c>
      <c r="K41" t="str">
        <f>VLOOKUP(Table2[[#This Row],[Customer ID]],Table2[#All],10,FALSE)</f>
        <v>Normal</v>
      </c>
    </row>
    <row r="42" spans="1:11" ht="15.6" x14ac:dyDescent="0.3">
      <c r="A42" s="1" t="s">
        <v>2332</v>
      </c>
      <c r="B42" t="str">
        <f>VLOOKUP('Customer Names'!A42,'Customer Names'!$A$1:$E$2336,4,FALSE)</f>
        <v>Mr.  James R.</v>
      </c>
      <c r="C42">
        <f>VLOOKUP(Table2[[#This Row],[Customer ID]],Table2[#All],2,FALSE)</f>
        <v>52.58</v>
      </c>
      <c r="D42">
        <f>VLOOKUP(Table2[[#This Row],[Customer ID]],Table2[#All],3,FALSE)</f>
        <v>4.1900000000000004</v>
      </c>
      <c r="E42" t="str">
        <f>VLOOKUP(Table2[[#This Row],[Customer ID]],Table2[#All],4,FALSE)</f>
        <v>No</v>
      </c>
      <c r="F42" t="str">
        <f>VLOOKUP(Table2[[#This Row],[Customer ID]],Table2[#All],5,FALSE)</f>
        <v>yes</v>
      </c>
      <c r="G42" t="str">
        <f>VLOOKUP(Table2[[#This Row],[Customer ID]],Table2[#All],6,FALSE)</f>
        <v>No</v>
      </c>
      <c r="H42">
        <f>VLOOKUP(Table2[[#This Row],[Customer ID]],Table2[#All],7,FALSE)</f>
        <v>1</v>
      </c>
      <c r="I42" t="str">
        <f>VLOOKUP(Table2[[#This Row],[Customer ID]],Table2[#All],8,FALSE)</f>
        <v>Yes</v>
      </c>
      <c r="J42" t="str">
        <f>VLOOKUP(Table2[[#This Row],[Customer ID]],Table2[#All],9,FALSE)</f>
        <v>Obesity</v>
      </c>
      <c r="K42" t="str">
        <f>VLOOKUP(Table2[[#This Row],[Customer ID]],Table2[#All],10,FALSE)</f>
        <v>Normal</v>
      </c>
    </row>
    <row r="43" spans="1:11" ht="15.6" x14ac:dyDescent="0.3">
      <c r="A43" s="1" t="s">
        <v>2331</v>
      </c>
      <c r="B43" t="str">
        <f>VLOOKUP('Customer Names'!A43,'Customer Names'!$A$1:$E$2336,4,FALSE)</f>
        <v>Ms.  Roseann</v>
      </c>
      <c r="C43">
        <f>VLOOKUP(Table2[[#This Row],[Customer ID]],Table2[#All],2,FALSE)</f>
        <v>35.200000000000003</v>
      </c>
      <c r="D43">
        <f>VLOOKUP(Table2[[#This Row],[Customer ID]],Table2[#All],3,FALSE)</f>
        <v>11.68</v>
      </c>
      <c r="E43" t="str">
        <f>VLOOKUP(Table2[[#This Row],[Customer ID]],Table2[#All],4,FALSE)</f>
        <v>Yes</v>
      </c>
      <c r="F43" t="str">
        <f>VLOOKUP(Table2[[#This Row],[Customer ID]],Table2[#All],5,FALSE)</f>
        <v>No</v>
      </c>
      <c r="G43" t="str">
        <f>VLOOKUP(Table2[[#This Row],[Customer ID]],Table2[#All],6,FALSE)</f>
        <v>No</v>
      </c>
      <c r="H43">
        <f>VLOOKUP(Table2[[#This Row],[Customer ID]],Table2[#All],7,FALSE)</f>
        <v>0</v>
      </c>
      <c r="I43" t="str">
        <f>VLOOKUP(Table2[[#This Row],[Customer ID]],Table2[#All],8,FALSE)</f>
        <v>Yes</v>
      </c>
      <c r="J43" t="str">
        <f>VLOOKUP(Table2[[#This Row],[Customer ID]],Table2[#All],9,FALSE)</f>
        <v>Obesity</v>
      </c>
      <c r="K43" t="str">
        <f>VLOOKUP(Table2[[#This Row],[Customer ID]],Table2[#All],10,FALSE)</f>
        <v>Diabetes</v>
      </c>
    </row>
    <row r="44" spans="1:11" ht="15.6" x14ac:dyDescent="0.3">
      <c r="A44" s="1" t="s">
        <v>2330</v>
      </c>
      <c r="B44" t="str">
        <f>VLOOKUP('Customer Names'!A44,'Customer Names'!$A$1:$E$2336,4,FALSE)</f>
        <v>Ms.  Nicole</v>
      </c>
      <c r="C44">
        <f>VLOOKUP(Table2[[#This Row],[Customer ID]],Table2[#All],2,FALSE)</f>
        <v>38.06</v>
      </c>
      <c r="D44">
        <f>VLOOKUP(Table2[[#This Row],[Customer ID]],Table2[#All],3,FALSE)</f>
        <v>6.98</v>
      </c>
      <c r="E44" t="str">
        <f>VLOOKUP(Table2[[#This Row],[Customer ID]],Table2[#All],4,FALSE)</f>
        <v>No</v>
      </c>
      <c r="F44" t="str">
        <f>VLOOKUP(Table2[[#This Row],[Customer ID]],Table2[#All],5,FALSE)</f>
        <v>No</v>
      </c>
      <c r="G44" t="str">
        <f>VLOOKUP(Table2[[#This Row],[Customer ID]],Table2[#All],6,FALSE)</f>
        <v>No</v>
      </c>
      <c r="H44">
        <f>VLOOKUP(Table2[[#This Row],[Customer ID]],Table2[#All],7,FALSE)</f>
        <v>0</v>
      </c>
      <c r="I44" t="str">
        <f>VLOOKUP(Table2[[#This Row],[Customer ID]],Table2[#All],8,FALSE)</f>
        <v>Yes</v>
      </c>
      <c r="J44" t="str">
        <f>VLOOKUP(Table2[[#This Row],[Customer ID]],Table2[#All],9,FALSE)</f>
        <v>Obesity</v>
      </c>
      <c r="K44" t="str">
        <f>VLOOKUP(Table2[[#This Row],[Customer ID]],Table2[#All],10,FALSE)</f>
        <v>Diabetes</v>
      </c>
    </row>
    <row r="45" spans="1:11" ht="15.6" x14ac:dyDescent="0.3">
      <c r="A45" s="1" t="s">
        <v>2329</v>
      </c>
      <c r="B45" t="str">
        <f>VLOOKUP('Customer Names'!A45,'Customer Names'!$A$1:$E$2336,4,FALSE)</f>
        <v>Mr.  Spencer</v>
      </c>
      <c r="C45">
        <f>VLOOKUP(Table2[[#This Row],[Customer ID]],Table2[#All],2,FALSE)</f>
        <v>34.21</v>
      </c>
      <c r="D45">
        <f>VLOOKUP(Table2[[#This Row],[Customer ID]],Table2[#All],3,FALSE)</f>
        <v>8.34</v>
      </c>
      <c r="E45" t="str">
        <f>VLOOKUP(Table2[[#This Row],[Customer ID]],Table2[#All],4,FALSE)</f>
        <v>No</v>
      </c>
      <c r="F45" t="str">
        <f>VLOOKUP(Table2[[#This Row],[Customer ID]],Table2[#All],5,FALSE)</f>
        <v>No</v>
      </c>
      <c r="G45" t="str">
        <f>VLOOKUP(Table2[[#This Row],[Customer ID]],Table2[#All],6,FALSE)</f>
        <v>No</v>
      </c>
      <c r="H45">
        <f>VLOOKUP(Table2[[#This Row],[Customer ID]],Table2[#All],7,FALSE)</f>
        <v>0</v>
      </c>
      <c r="I45" t="str">
        <f>VLOOKUP(Table2[[#This Row],[Customer ID]],Table2[#All],8,FALSE)</f>
        <v>Yes</v>
      </c>
      <c r="J45" t="str">
        <f>VLOOKUP(Table2[[#This Row],[Customer ID]],Table2[#All],9,FALSE)</f>
        <v>Obesity</v>
      </c>
      <c r="K45" t="str">
        <f>VLOOKUP(Table2[[#This Row],[Customer ID]],Table2[#All],10,FALSE)</f>
        <v>Diabetes</v>
      </c>
    </row>
    <row r="46" spans="1:11" ht="15.6" x14ac:dyDescent="0.3">
      <c r="A46" s="1" t="s">
        <v>2328</v>
      </c>
      <c r="B46" t="str">
        <f>VLOOKUP('Customer Names'!A46,'Customer Names'!$A$1:$E$2336,4,FALSE)</f>
        <v>Mr.  Eric W</v>
      </c>
      <c r="C46">
        <f>VLOOKUP(Table2[[#This Row],[Customer ID]],Table2[#All],2,FALSE)</f>
        <v>38.94</v>
      </c>
      <c r="D46">
        <f>VLOOKUP(Table2[[#This Row],[Customer ID]],Table2[#All],3,FALSE)</f>
        <v>8.49</v>
      </c>
      <c r="E46" t="str">
        <f>VLOOKUP(Table2[[#This Row],[Customer ID]],Table2[#All],4,FALSE)</f>
        <v>Yes</v>
      </c>
      <c r="F46" t="str">
        <f>VLOOKUP(Table2[[#This Row],[Customer ID]],Table2[#All],5,FALSE)</f>
        <v>No</v>
      </c>
      <c r="G46" t="str">
        <f>VLOOKUP(Table2[[#This Row],[Customer ID]],Table2[#All],6,FALSE)</f>
        <v>No</v>
      </c>
      <c r="H46">
        <f>VLOOKUP(Table2[[#This Row],[Customer ID]],Table2[#All],7,FALSE)</f>
        <v>1</v>
      </c>
      <c r="I46" t="str">
        <f>VLOOKUP(Table2[[#This Row],[Customer ID]],Table2[#All],8,FALSE)</f>
        <v>Yes</v>
      </c>
      <c r="J46" t="str">
        <f>VLOOKUP(Table2[[#This Row],[Customer ID]],Table2[#All],9,FALSE)</f>
        <v>Obesity</v>
      </c>
      <c r="K46" t="str">
        <f>VLOOKUP(Table2[[#This Row],[Customer ID]],Table2[#All],10,FALSE)</f>
        <v>Diabetes</v>
      </c>
    </row>
    <row r="47" spans="1:11" ht="15.6" x14ac:dyDescent="0.3">
      <c r="A47" s="1" t="s">
        <v>2327</v>
      </c>
      <c r="B47" t="str">
        <f>VLOOKUP('Customer Names'!A47,'Customer Names'!$A$1:$E$2336,4,FALSE)</f>
        <v>Ms.  Brianna L</v>
      </c>
      <c r="C47">
        <f>VLOOKUP(Table2[[#This Row],[Customer ID]],Table2[#All],2,FALSE)</f>
        <v>30.21</v>
      </c>
      <c r="D47">
        <f>VLOOKUP(Table2[[#This Row],[Customer ID]],Table2[#All],3,FALSE)</f>
        <v>5.34</v>
      </c>
      <c r="E47" t="str">
        <f>VLOOKUP(Table2[[#This Row],[Customer ID]],Table2[#All],4,FALSE)</f>
        <v>Yes</v>
      </c>
      <c r="F47" t="str">
        <f>VLOOKUP(Table2[[#This Row],[Customer ID]],Table2[#All],5,FALSE)</f>
        <v>No</v>
      </c>
      <c r="G47" t="str">
        <f>VLOOKUP(Table2[[#This Row],[Customer ID]],Table2[#All],6,FALSE)</f>
        <v>No</v>
      </c>
      <c r="H47">
        <f>VLOOKUP(Table2[[#This Row],[Customer ID]],Table2[#All],7,FALSE)</f>
        <v>1</v>
      </c>
      <c r="I47" t="str">
        <f>VLOOKUP(Table2[[#This Row],[Customer ID]],Table2[#All],8,FALSE)</f>
        <v>Yes</v>
      </c>
      <c r="J47" t="str">
        <f>VLOOKUP(Table2[[#This Row],[Customer ID]],Table2[#All],9,FALSE)</f>
        <v>Obesity</v>
      </c>
      <c r="K47" t="str">
        <f>VLOOKUP(Table2[[#This Row],[Customer ID]],Table2[#All],10,FALSE)</f>
        <v>Normal</v>
      </c>
    </row>
    <row r="48" spans="1:11" ht="15.6" x14ac:dyDescent="0.3">
      <c r="A48" s="1" t="s">
        <v>2326</v>
      </c>
      <c r="B48" t="str">
        <f>VLOOKUP('Customer Names'!A48,'Customer Names'!$A$1:$E$2336,4,FALSE)</f>
        <v>Mr.  Thomas J.</v>
      </c>
      <c r="C48">
        <f>VLOOKUP(Table2[[#This Row],[Customer ID]],Table2[#All],2,FALSE)</f>
        <v>33.630000000000003</v>
      </c>
      <c r="D48">
        <f>VLOOKUP(Table2[[#This Row],[Customer ID]],Table2[#All],3,FALSE)</f>
        <v>4.43</v>
      </c>
      <c r="E48" t="str">
        <f>VLOOKUP(Table2[[#This Row],[Customer ID]],Table2[#All],4,FALSE)</f>
        <v>Yes</v>
      </c>
      <c r="F48" t="str">
        <f>VLOOKUP(Table2[[#This Row],[Customer ID]],Table2[#All],5,FALSE)</f>
        <v>No</v>
      </c>
      <c r="G48" t="str">
        <f>VLOOKUP(Table2[[#This Row],[Customer ID]],Table2[#All],6,FALSE)</f>
        <v>No</v>
      </c>
      <c r="H48">
        <f>VLOOKUP(Table2[[#This Row],[Customer ID]],Table2[#All],7,FALSE)</f>
        <v>2</v>
      </c>
      <c r="I48" t="str">
        <f>VLOOKUP(Table2[[#This Row],[Customer ID]],Table2[#All],8,FALSE)</f>
        <v>Yes</v>
      </c>
      <c r="J48" t="str">
        <f>VLOOKUP(Table2[[#This Row],[Customer ID]],Table2[#All],9,FALSE)</f>
        <v>Obesity</v>
      </c>
      <c r="K48" t="str">
        <f>VLOOKUP(Table2[[#This Row],[Customer ID]],Table2[#All],10,FALSE)</f>
        <v>Normal</v>
      </c>
    </row>
    <row r="49" spans="1:11" ht="15.6" x14ac:dyDescent="0.3">
      <c r="A49" s="1" t="s">
        <v>2325</v>
      </c>
      <c r="B49" t="str">
        <f>VLOOKUP('Customer Names'!A49,'Customer Names'!$A$1:$E$2336,4,FALSE)</f>
        <v>Ms.  Melissa L</v>
      </c>
      <c r="C49">
        <f>VLOOKUP(Table2[[#This Row],[Customer ID]],Table2[#All],2,FALSE)</f>
        <v>40.369999999999997</v>
      </c>
      <c r="D49">
        <f>VLOOKUP(Table2[[#This Row],[Customer ID]],Table2[#All],3,FALSE)</f>
        <v>4.47</v>
      </c>
      <c r="E49" t="str">
        <f>VLOOKUP(Table2[[#This Row],[Customer ID]],Table2[#All],4,FALSE)</f>
        <v>No</v>
      </c>
      <c r="F49" t="str">
        <f>VLOOKUP(Table2[[#This Row],[Customer ID]],Table2[#All],5,FALSE)</f>
        <v>No</v>
      </c>
      <c r="G49" t="str">
        <f>VLOOKUP(Table2[[#This Row],[Customer ID]],Table2[#All],6,FALSE)</f>
        <v>No</v>
      </c>
      <c r="H49">
        <f>VLOOKUP(Table2[[#This Row],[Customer ID]],Table2[#All],7,FALSE)</f>
        <v>0</v>
      </c>
      <c r="I49" t="str">
        <f>VLOOKUP(Table2[[#This Row],[Customer ID]],Table2[#All],8,FALSE)</f>
        <v>Yes</v>
      </c>
      <c r="J49" t="str">
        <f>VLOOKUP(Table2[[#This Row],[Customer ID]],Table2[#All],9,FALSE)</f>
        <v>Obesity</v>
      </c>
      <c r="K49" t="str">
        <f>VLOOKUP(Table2[[#This Row],[Customer ID]],Table2[#All],10,FALSE)</f>
        <v>Normal</v>
      </c>
    </row>
    <row r="50" spans="1:11" ht="15.6" x14ac:dyDescent="0.3">
      <c r="A50" s="1" t="s">
        <v>2324</v>
      </c>
      <c r="B50" t="str">
        <f>VLOOKUP('Customer Names'!A50,'Customer Names'!$A$1:$E$2336,4,FALSE)</f>
        <v>Mr.  Flavio</v>
      </c>
      <c r="C50">
        <f>VLOOKUP(Table2[[#This Row],[Customer ID]],Table2[#All],2,FALSE)</f>
        <v>53.09</v>
      </c>
      <c r="D50">
        <f>VLOOKUP(Table2[[#This Row],[Customer ID]],Table2[#All],3,FALSE)</f>
        <v>4.82</v>
      </c>
      <c r="E50" t="str">
        <f>VLOOKUP(Table2[[#This Row],[Customer ID]],Table2[#All],4,FALSE)</f>
        <v>Yes</v>
      </c>
      <c r="F50" t="str">
        <f>VLOOKUP(Table2[[#This Row],[Customer ID]],Table2[#All],5,FALSE)</f>
        <v>No</v>
      </c>
      <c r="G50" t="str">
        <f>VLOOKUP(Table2[[#This Row],[Customer ID]],Table2[#All],6,FALSE)</f>
        <v>No</v>
      </c>
      <c r="H50">
        <f>VLOOKUP(Table2[[#This Row],[Customer ID]],Table2[#All],7,FALSE)</f>
        <v>2</v>
      </c>
      <c r="I50" t="str">
        <f>VLOOKUP(Table2[[#This Row],[Customer ID]],Table2[#All],8,FALSE)</f>
        <v>Yes</v>
      </c>
      <c r="J50" t="str">
        <f>VLOOKUP(Table2[[#This Row],[Customer ID]],Table2[#All],9,FALSE)</f>
        <v>Obesity</v>
      </c>
      <c r="K50" t="str">
        <f>VLOOKUP(Table2[[#This Row],[Customer ID]],Table2[#All],10,FALSE)</f>
        <v>Normal</v>
      </c>
    </row>
    <row r="51" spans="1:11" ht="15.6" x14ac:dyDescent="0.3">
      <c r="A51" s="1" t="s">
        <v>2323</v>
      </c>
      <c r="B51" t="str">
        <f>VLOOKUP('Customer Names'!A51,'Customer Names'!$A$1:$E$2336,4,FALSE)</f>
        <v>Mr.  Ryan</v>
      </c>
      <c r="C51">
        <f>VLOOKUP(Table2[[#This Row],[Customer ID]],Table2[#All],2,FALSE)</f>
        <v>31.79</v>
      </c>
      <c r="D51">
        <f>VLOOKUP(Table2[[#This Row],[Customer ID]],Table2[#All],3,FALSE)</f>
        <v>5.51</v>
      </c>
      <c r="E51" t="str">
        <f>VLOOKUP(Table2[[#This Row],[Customer ID]],Table2[#All],4,FALSE)</f>
        <v>Yes</v>
      </c>
      <c r="F51" t="str">
        <f>VLOOKUP(Table2[[#This Row],[Customer ID]],Table2[#All],5,FALSE)</f>
        <v>No</v>
      </c>
      <c r="G51" t="str">
        <f>VLOOKUP(Table2[[#This Row],[Customer ID]],Table2[#All],6,FALSE)</f>
        <v>No</v>
      </c>
      <c r="H51">
        <f>VLOOKUP(Table2[[#This Row],[Customer ID]],Table2[#All],7,FALSE)</f>
        <v>2</v>
      </c>
      <c r="I51" t="str">
        <f>VLOOKUP(Table2[[#This Row],[Customer ID]],Table2[#All],8,FALSE)</f>
        <v>Yes</v>
      </c>
      <c r="J51" t="str">
        <f>VLOOKUP(Table2[[#This Row],[Customer ID]],Table2[#All],9,FALSE)</f>
        <v>Obesity</v>
      </c>
      <c r="K51" t="str">
        <f>VLOOKUP(Table2[[#This Row],[Customer ID]],Table2[#All],10,FALSE)</f>
        <v>Normal</v>
      </c>
    </row>
    <row r="52" spans="1:11" ht="15.6" x14ac:dyDescent="0.3">
      <c r="A52" s="1" t="s">
        <v>2322</v>
      </c>
      <c r="B52" t="str">
        <f>VLOOKUP('Customer Names'!A52,'Customer Names'!$A$1:$E$2336,4,FALSE)</f>
        <v>Mr.  Anthony J.</v>
      </c>
      <c r="C52">
        <f>VLOOKUP(Table2[[#This Row],[Customer ID]],Table2[#All],2,FALSE)</f>
        <v>41.895000000000003</v>
      </c>
      <c r="D52">
        <f>VLOOKUP(Table2[[#This Row],[Customer ID]],Table2[#All],3,FALSE)</f>
        <v>10.87</v>
      </c>
      <c r="E52" t="str">
        <f>VLOOKUP(Table2[[#This Row],[Customer ID]],Table2[#All],4,FALSE)</f>
        <v>Yes</v>
      </c>
      <c r="F52" t="str">
        <f>VLOOKUP(Table2[[#This Row],[Customer ID]],Table2[#All],5,FALSE)</f>
        <v>No</v>
      </c>
      <c r="G52" t="str">
        <f>VLOOKUP(Table2[[#This Row],[Customer ID]],Table2[#All],6,FALSE)</f>
        <v>No</v>
      </c>
      <c r="H52">
        <f>VLOOKUP(Table2[[#This Row],[Customer ID]],Table2[#All],7,FALSE)</f>
        <v>1</v>
      </c>
      <c r="I52" t="str">
        <f>VLOOKUP(Table2[[#This Row],[Customer ID]],Table2[#All],8,FALSE)</f>
        <v>Yes</v>
      </c>
      <c r="J52" t="str">
        <f>VLOOKUP(Table2[[#This Row],[Customer ID]],Table2[#All],9,FALSE)</f>
        <v>Obesity</v>
      </c>
      <c r="K52" t="str">
        <f>VLOOKUP(Table2[[#This Row],[Customer ID]],Table2[#All],10,FALSE)</f>
        <v>Diabetes</v>
      </c>
    </row>
    <row r="53" spans="1:11" ht="15.6" x14ac:dyDescent="0.3">
      <c r="A53" s="1" t="s">
        <v>2321</v>
      </c>
      <c r="B53" t="str">
        <f>VLOOKUP('Customer Names'!A53,'Customer Names'!$A$1:$E$2336,4,FALSE)</f>
        <v>Ms.  Alex</v>
      </c>
      <c r="C53">
        <f>VLOOKUP(Table2[[#This Row],[Customer ID]],Table2[#All],2,FALSE)</f>
        <v>31.16</v>
      </c>
      <c r="D53">
        <f>VLOOKUP(Table2[[#This Row],[Customer ID]],Table2[#All],3,FALSE)</f>
        <v>9.34</v>
      </c>
      <c r="E53" t="str">
        <f>VLOOKUP(Table2[[#This Row],[Customer ID]],Table2[#All],4,FALSE)</f>
        <v>No</v>
      </c>
      <c r="F53" t="str">
        <f>VLOOKUP(Table2[[#This Row],[Customer ID]],Table2[#All],5,FALSE)</f>
        <v>No</v>
      </c>
      <c r="G53" t="str">
        <f>VLOOKUP(Table2[[#This Row],[Customer ID]],Table2[#All],6,FALSE)</f>
        <v>No</v>
      </c>
      <c r="H53">
        <f>VLOOKUP(Table2[[#This Row],[Customer ID]],Table2[#All],7,FALSE)</f>
        <v>0</v>
      </c>
      <c r="I53" t="str">
        <f>VLOOKUP(Table2[[#This Row],[Customer ID]],Table2[#All],8,FALSE)</f>
        <v>Yes</v>
      </c>
      <c r="J53" t="str">
        <f>VLOOKUP(Table2[[#This Row],[Customer ID]],Table2[#All],9,FALSE)</f>
        <v>Obesity</v>
      </c>
      <c r="K53" t="str">
        <f>VLOOKUP(Table2[[#This Row],[Customer ID]],Table2[#All],10,FALSE)</f>
        <v>Diabetes</v>
      </c>
    </row>
    <row r="54" spans="1:11" ht="15.6" x14ac:dyDescent="0.3">
      <c r="A54" s="1" t="s">
        <v>2320</v>
      </c>
      <c r="B54" t="str">
        <f>VLOOKUP('Customer Names'!A54,'Customer Names'!$A$1:$E$2336,4,FALSE)</f>
        <v>Mr.  David</v>
      </c>
      <c r="C54">
        <f>VLOOKUP(Table2[[#This Row],[Customer ID]],Table2[#All],2,FALSE)</f>
        <v>34.104999999999997</v>
      </c>
      <c r="D54">
        <f>VLOOKUP(Table2[[#This Row],[Customer ID]],Table2[#All],3,FALSE)</f>
        <v>5.03</v>
      </c>
      <c r="E54" t="str">
        <f>VLOOKUP(Table2[[#This Row],[Customer ID]],Table2[#All],4,FALSE)</f>
        <v>Yes</v>
      </c>
      <c r="F54" t="str">
        <f>VLOOKUP(Table2[[#This Row],[Customer ID]],Table2[#All],5,FALSE)</f>
        <v>No</v>
      </c>
      <c r="G54" t="str">
        <f>VLOOKUP(Table2[[#This Row],[Customer ID]],Table2[#All],6,FALSE)</f>
        <v>Yes</v>
      </c>
      <c r="H54">
        <f>VLOOKUP(Table2[[#This Row],[Customer ID]],Table2[#All],7,FALSE)</f>
        <v>1</v>
      </c>
      <c r="I54" t="str">
        <f>VLOOKUP(Table2[[#This Row],[Customer ID]],Table2[#All],8,FALSE)</f>
        <v>Yes</v>
      </c>
      <c r="J54" t="str">
        <f>VLOOKUP(Table2[[#This Row],[Customer ID]],Table2[#All],9,FALSE)</f>
        <v>Obesity</v>
      </c>
      <c r="K54" t="str">
        <f>VLOOKUP(Table2[[#This Row],[Customer ID]],Table2[#All],10,FALSE)</f>
        <v>Normal</v>
      </c>
    </row>
    <row r="55" spans="1:11" ht="15.6" x14ac:dyDescent="0.3">
      <c r="A55" s="1" t="s">
        <v>2319</v>
      </c>
      <c r="B55" t="str">
        <f>VLOOKUP('Customer Names'!A55,'Customer Names'!$A$1:$E$2336,4,FALSE)</f>
        <v>Mr.  Andrew B</v>
      </c>
      <c r="C55">
        <f>VLOOKUP(Table2[[#This Row],[Customer ID]],Table2[#All],2,FALSE)</f>
        <v>51.93</v>
      </c>
      <c r="D55">
        <f>VLOOKUP(Table2[[#This Row],[Customer ID]],Table2[#All],3,FALSE)</f>
        <v>11.05</v>
      </c>
      <c r="E55" t="str">
        <f>VLOOKUP(Table2[[#This Row],[Customer ID]],Table2[#All],4,FALSE)</f>
        <v>No</v>
      </c>
      <c r="F55" t="str">
        <f>VLOOKUP(Table2[[#This Row],[Customer ID]],Table2[#All],5,FALSE)</f>
        <v>No</v>
      </c>
      <c r="G55" t="str">
        <f>VLOOKUP(Table2[[#This Row],[Customer ID]],Table2[#All],6,FALSE)</f>
        <v>No</v>
      </c>
      <c r="H55">
        <f>VLOOKUP(Table2[[#This Row],[Customer ID]],Table2[#All],7,FALSE)</f>
        <v>0</v>
      </c>
      <c r="I55" t="str">
        <f>VLOOKUP(Table2[[#This Row],[Customer ID]],Table2[#All],8,FALSE)</f>
        <v>Yes</v>
      </c>
      <c r="J55" t="str">
        <f>VLOOKUP(Table2[[#This Row],[Customer ID]],Table2[#All],9,FALSE)</f>
        <v>Obesity</v>
      </c>
      <c r="K55" t="str">
        <f>VLOOKUP(Table2[[#This Row],[Customer ID]],Table2[#All],10,FALSE)</f>
        <v>Diabetes</v>
      </c>
    </row>
    <row r="56" spans="1:11" ht="15.6" x14ac:dyDescent="0.3">
      <c r="A56" s="1" t="s">
        <v>2318</v>
      </c>
      <c r="B56" t="str">
        <f>VLOOKUP('Customer Names'!A56,'Customer Names'!$A$1:$E$2336,4,FALSE)</f>
        <v>Ms.  Dara E</v>
      </c>
      <c r="C56">
        <f>VLOOKUP(Table2[[#This Row],[Customer ID]],Table2[#All],2,FALSE)</f>
        <v>38.950000000000003</v>
      </c>
      <c r="D56">
        <f>VLOOKUP(Table2[[#This Row],[Customer ID]],Table2[#All],3,FALSE)</f>
        <v>11.95</v>
      </c>
      <c r="E56" t="str">
        <f>VLOOKUP(Table2[[#This Row],[Customer ID]],Table2[#All],4,FALSE)</f>
        <v>No</v>
      </c>
      <c r="F56" t="str">
        <f>VLOOKUP(Table2[[#This Row],[Customer ID]],Table2[#All],5,FALSE)</f>
        <v>No</v>
      </c>
      <c r="G56" t="str">
        <f>VLOOKUP(Table2[[#This Row],[Customer ID]],Table2[#All],6,FALSE)</f>
        <v>No</v>
      </c>
      <c r="H56">
        <f>VLOOKUP(Table2[[#This Row],[Customer ID]],Table2[#All],7,FALSE)</f>
        <v>0</v>
      </c>
      <c r="I56" t="str">
        <f>VLOOKUP(Table2[[#This Row],[Customer ID]],Table2[#All],8,FALSE)</f>
        <v>Yes</v>
      </c>
      <c r="J56" t="str">
        <f>VLOOKUP(Table2[[#This Row],[Customer ID]],Table2[#All],9,FALSE)</f>
        <v>Obesity</v>
      </c>
      <c r="K56" t="str">
        <f>VLOOKUP(Table2[[#This Row],[Customer ID]],Table2[#All],10,FALSE)</f>
        <v>Diabetes</v>
      </c>
    </row>
    <row r="57" spans="1:11" ht="15.6" x14ac:dyDescent="0.3">
      <c r="A57" s="1" t="s">
        <v>2317</v>
      </c>
      <c r="B57" t="str">
        <f>VLOOKUP('Customer Names'!A57,'Customer Names'!$A$1:$E$2336,4,FALSE)</f>
        <v>Ms.  Inna</v>
      </c>
      <c r="C57">
        <f>VLOOKUP(Table2[[#This Row],[Customer ID]],Table2[#All],2,FALSE)</f>
        <v>36.630000000000003</v>
      </c>
      <c r="D57">
        <f>VLOOKUP(Table2[[#This Row],[Customer ID]],Table2[#All],3,FALSE)</f>
        <v>7.72</v>
      </c>
      <c r="E57" t="str">
        <f>VLOOKUP(Table2[[#This Row],[Customer ID]],Table2[#All],4,FALSE)</f>
        <v>Yes</v>
      </c>
      <c r="F57" t="str">
        <f>VLOOKUP(Table2[[#This Row],[Customer ID]],Table2[#All],5,FALSE)</f>
        <v>No</v>
      </c>
      <c r="G57" t="str">
        <f>VLOOKUP(Table2[[#This Row],[Customer ID]],Table2[#All],6,FALSE)</f>
        <v>No</v>
      </c>
      <c r="H57">
        <f>VLOOKUP(Table2[[#This Row],[Customer ID]],Table2[#All],7,FALSE)</f>
        <v>1</v>
      </c>
      <c r="I57" t="str">
        <f>VLOOKUP(Table2[[#This Row],[Customer ID]],Table2[#All],8,FALSE)</f>
        <v>Yes</v>
      </c>
      <c r="J57" t="str">
        <f>VLOOKUP(Table2[[#This Row],[Customer ID]],Table2[#All],9,FALSE)</f>
        <v>Obesity</v>
      </c>
      <c r="K57" t="str">
        <f>VLOOKUP(Table2[[#This Row],[Customer ID]],Table2[#All],10,FALSE)</f>
        <v>Diabetes</v>
      </c>
    </row>
    <row r="58" spans="1:11" ht="15.6" x14ac:dyDescent="0.3">
      <c r="A58" s="1" t="s">
        <v>2316</v>
      </c>
      <c r="B58" t="str">
        <f>VLOOKUP('Customer Names'!A58,'Customer Names'!$A$1:$E$2336,4,FALSE)</f>
        <v>Mr.  Ari</v>
      </c>
      <c r="C58">
        <f>VLOOKUP(Table2[[#This Row],[Customer ID]],Table2[#All],2,FALSE)</f>
        <v>34.200000000000003</v>
      </c>
      <c r="D58">
        <f>VLOOKUP(Table2[[#This Row],[Customer ID]],Table2[#All],3,FALSE)</f>
        <v>5.75</v>
      </c>
      <c r="E58" t="str">
        <f>VLOOKUP(Table2[[#This Row],[Customer ID]],Table2[#All],4,FALSE)</f>
        <v>No</v>
      </c>
      <c r="F58" t="str">
        <f>VLOOKUP(Table2[[#This Row],[Customer ID]],Table2[#All],5,FALSE)</f>
        <v>No</v>
      </c>
      <c r="G58" t="str">
        <f>VLOOKUP(Table2[[#This Row],[Customer ID]],Table2[#All],6,FALSE)</f>
        <v>No</v>
      </c>
      <c r="H58">
        <f>VLOOKUP(Table2[[#This Row],[Customer ID]],Table2[#All],7,FALSE)</f>
        <v>2</v>
      </c>
      <c r="I58" t="str">
        <f>VLOOKUP(Table2[[#This Row],[Customer ID]],Table2[#All],8,FALSE)</f>
        <v>Yes</v>
      </c>
      <c r="J58" t="str">
        <f>VLOOKUP(Table2[[#This Row],[Customer ID]],Table2[#All],9,FALSE)</f>
        <v>Obesity</v>
      </c>
      <c r="K58" t="str">
        <f>VLOOKUP(Table2[[#This Row],[Customer ID]],Table2[#All],10,FALSE)</f>
        <v>Prediabetes</v>
      </c>
    </row>
    <row r="59" spans="1:11" ht="15.6" x14ac:dyDescent="0.3">
      <c r="A59" s="1" t="s">
        <v>2315</v>
      </c>
      <c r="B59" t="str">
        <f>VLOOKUP('Customer Names'!A59,'Customer Names'!$A$1:$E$2336,4,FALSE)</f>
        <v>Ms.  Lindsey</v>
      </c>
      <c r="C59">
        <f>VLOOKUP(Table2[[#This Row],[Customer ID]],Table2[#All],2,FALSE)</f>
        <v>50.63</v>
      </c>
      <c r="D59">
        <f>VLOOKUP(Table2[[#This Row],[Customer ID]],Table2[#All],3,FALSE)</f>
        <v>11.89</v>
      </c>
      <c r="E59" t="str">
        <f>VLOOKUP(Table2[[#This Row],[Customer ID]],Table2[#All],4,FALSE)</f>
        <v>No</v>
      </c>
      <c r="F59" t="str">
        <f>VLOOKUP(Table2[[#This Row],[Customer ID]],Table2[#All],5,FALSE)</f>
        <v>No</v>
      </c>
      <c r="G59" t="str">
        <f>VLOOKUP(Table2[[#This Row],[Customer ID]],Table2[#All],6,FALSE)</f>
        <v>No</v>
      </c>
      <c r="H59">
        <f>VLOOKUP(Table2[[#This Row],[Customer ID]],Table2[#All],7,FALSE)</f>
        <v>0</v>
      </c>
      <c r="I59" t="str">
        <f>VLOOKUP(Table2[[#This Row],[Customer ID]],Table2[#All],8,FALSE)</f>
        <v>Yes</v>
      </c>
      <c r="J59" t="str">
        <f>VLOOKUP(Table2[[#This Row],[Customer ID]],Table2[#All],9,FALSE)</f>
        <v>Obesity</v>
      </c>
      <c r="K59" t="str">
        <f>VLOOKUP(Table2[[#This Row],[Customer ID]],Table2[#All],10,FALSE)</f>
        <v>Diabetes</v>
      </c>
    </row>
    <row r="60" spans="1:11" ht="15.6" x14ac:dyDescent="0.3">
      <c r="A60" s="1" t="s">
        <v>2314</v>
      </c>
      <c r="B60" t="str">
        <f>VLOOKUP('Customer Names'!A60,'Customer Names'!$A$1:$E$2336,4,FALSE)</f>
        <v>Mr.  Kenny</v>
      </c>
      <c r="C60">
        <f>VLOOKUP(Table2[[#This Row],[Customer ID]],Table2[#All],2,FALSE)</f>
        <v>36.479999999999997</v>
      </c>
      <c r="D60">
        <f>VLOOKUP(Table2[[#This Row],[Customer ID]],Table2[#All],3,FALSE)</f>
        <v>6.2</v>
      </c>
      <c r="E60" t="str">
        <f>VLOOKUP(Table2[[#This Row],[Customer ID]],Table2[#All],4,FALSE)</f>
        <v>No</v>
      </c>
      <c r="F60" t="str">
        <f>VLOOKUP(Table2[[#This Row],[Customer ID]],Table2[#All],5,FALSE)</f>
        <v>No</v>
      </c>
      <c r="G60" t="str">
        <f>VLOOKUP(Table2[[#This Row],[Customer ID]],Table2[#All],6,FALSE)</f>
        <v>No</v>
      </c>
      <c r="H60">
        <f>VLOOKUP(Table2[[#This Row],[Customer ID]],Table2[#All],7,FALSE)</f>
        <v>0</v>
      </c>
      <c r="I60" t="str">
        <f>VLOOKUP(Table2[[#This Row],[Customer ID]],Table2[#All],8,FALSE)</f>
        <v>Yes</v>
      </c>
      <c r="J60" t="str">
        <f>VLOOKUP(Table2[[#This Row],[Customer ID]],Table2[#All],9,FALSE)</f>
        <v>Obesity</v>
      </c>
      <c r="K60" t="str">
        <f>VLOOKUP(Table2[[#This Row],[Customer ID]],Table2[#All],10,FALSE)</f>
        <v>Prediabetes</v>
      </c>
    </row>
    <row r="61" spans="1:11" ht="15.6" x14ac:dyDescent="0.3">
      <c r="A61" s="1" t="s">
        <v>2313</v>
      </c>
      <c r="B61" t="str">
        <f>VLOOKUP('Customer Names'!A61,'Customer Names'!$A$1:$E$2336,4,FALSE)</f>
        <v>Ms.  Louise</v>
      </c>
      <c r="C61">
        <f>VLOOKUP(Table2[[#This Row],[Customer ID]],Table2[#All],2,FALSE)</f>
        <v>54.82</v>
      </c>
      <c r="D61">
        <f>VLOOKUP(Table2[[#This Row],[Customer ID]],Table2[#All],3,FALSE)</f>
        <v>10.61</v>
      </c>
      <c r="E61" t="str">
        <f>VLOOKUP(Table2[[#This Row],[Customer ID]],Table2[#All],4,FALSE)</f>
        <v>No</v>
      </c>
      <c r="F61" t="str">
        <f>VLOOKUP(Table2[[#This Row],[Customer ID]],Table2[#All],5,FALSE)</f>
        <v>No</v>
      </c>
      <c r="G61" t="str">
        <f>VLOOKUP(Table2[[#This Row],[Customer ID]],Table2[#All],6,FALSE)</f>
        <v>No</v>
      </c>
      <c r="H61">
        <f>VLOOKUP(Table2[[#This Row],[Customer ID]],Table2[#All],7,FALSE)</f>
        <v>0</v>
      </c>
      <c r="I61" t="str">
        <f>VLOOKUP(Table2[[#This Row],[Customer ID]],Table2[#All],8,FALSE)</f>
        <v>Yes</v>
      </c>
      <c r="J61" t="str">
        <f>VLOOKUP(Table2[[#This Row],[Customer ID]],Table2[#All],9,FALSE)</f>
        <v>Obesity</v>
      </c>
      <c r="K61" t="str">
        <f>VLOOKUP(Table2[[#This Row],[Customer ID]],Table2[#All],10,FALSE)</f>
        <v>Diabetes</v>
      </c>
    </row>
    <row r="62" spans="1:11" ht="15.6" x14ac:dyDescent="0.3">
      <c r="A62" s="1" t="s">
        <v>2312</v>
      </c>
      <c r="B62" t="str">
        <f>VLOOKUP('Customer Names'!A62,'Customer Names'!$A$1:$E$2336,4,FALSE)</f>
        <v>Mr.  Cameron</v>
      </c>
      <c r="C62">
        <f>VLOOKUP(Table2[[#This Row],[Customer ID]],Table2[#All],2,FALSE)</f>
        <v>38.06</v>
      </c>
      <c r="D62">
        <f>VLOOKUP(Table2[[#This Row],[Customer ID]],Table2[#All],3,FALSE)</f>
        <v>6.04</v>
      </c>
      <c r="E62" t="str">
        <f>VLOOKUP(Table2[[#This Row],[Customer ID]],Table2[#All],4,FALSE)</f>
        <v>No</v>
      </c>
      <c r="F62" t="str">
        <f>VLOOKUP(Table2[[#This Row],[Customer ID]],Table2[#All],5,FALSE)</f>
        <v>No</v>
      </c>
      <c r="G62" t="str">
        <f>VLOOKUP(Table2[[#This Row],[Customer ID]],Table2[#All],6,FALSE)</f>
        <v>Yes</v>
      </c>
      <c r="H62">
        <f>VLOOKUP(Table2[[#This Row],[Customer ID]],Table2[#All],7,FALSE)</f>
        <v>1</v>
      </c>
      <c r="I62" t="str">
        <f>VLOOKUP(Table2[[#This Row],[Customer ID]],Table2[#All],8,FALSE)</f>
        <v>Yes</v>
      </c>
      <c r="J62" t="str">
        <f>VLOOKUP(Table2[[#This Row],[Customer ID]],Table2[#All],9,FALSE)</f>
        <v>Obesity</v>
      </c>
      <c r="K62" t="str">
        <f>VLOOKUP(Table2[[#This Row],[Customer ID]],Table2[#All],10,FALSE)</f>
        <v>Prediabetes</v>
      </c>
    </row>
    <row r="63" spans="1:11" ht="15.6" x14ac:dyDescent="0.3">
      <c r="A63" s="1" t="s">
        <v>2311</v>
      </c>
      <c r="B63" t="str">
        <f>VLOOKUP('Customer Names'!A63,'Customer Names'!$A$1:$E$2336,4,FALSE)</f>
        <v>Ms.  Katie T.</v>
      </c>
      <c r="C63">
        <f>VLOOKUP(Table2[[#This Row],[Customer ID]],Table2[#All],2,FALSE)</f>
        <v>51.48</v>
      </c>
      <c r="D63">
        <f>VLOOKUP(Table2[[#This Row],[Customer ID]],Table2[#All],3,FALSE)</f>
        <v>9.33</v>
      </c>
      <c r="E63" t="str">
        <f>VLOOKUP(Table2[[#This Row],[Customer ID]],Table2[#All],4,FALSE)</f>
        <v>Yes</v>
      </c>
      <c r="F63" t="str">
        <f>VLOOKUP(Table2[[#This Row],[Customer ID]],Table2[#All],5,FALSE)</f>
        <v>No</v>
      </c>
      <c r="G63" t="str">
        <f>VLOOKUP(Table2[[#This Row],[Customer ID]],Table2[#All],6,FALSE)</f>
        <v>No</v>
      </c>
      <c r="H63">
        <f>VLOOKUP(Table2[[#This Row],[Customer ID]],Table2[#All],7,FALSE)</f>
        <v>0</v>
      </c>
      <c r="I63" t="str">
        <f>VLOOKUP(Table2[[#This Row],[Customer ID]],Table2[#All],8,FALSE)</f>
        <v>Yes</v>
      </c>
      <c r="J63" t="str">
        <f>VLOOKUP(Table2[[#This Row],[Customer ID]],Table2[#All],9,FALSE)</f>
        <v>Obesity</v>
      </c>
      <c r="K63" t="str">
        <f>VLOOKUP(Table2[[#This Row],[Customer ID]],Table2[#All],10,FALSE)</f>
        <v>Diabetes</v>
      </c>
    </row>
    <row r="64" spans="1:11" ht="15.6" x14ac:dyDescent="0.3">
      <c r="A64" s="1" t="s">
        <v>2310</v>
      </c>
      <c r="B64" t="str">
        <f>VLOOKUP('Customer Names'!A64,'Customer Names'!$A$1:$E$2336,4,FALSE)</f>
        <v>Ms.  Casey</v>
      </c>
      <c r="C64">
        <f>VLOOKUP(Table2[[#This Row],[Customer ID]],Table2[#All],2,FALSE)</f>
        <v>52.06</v>
      </c>
      <c r="D64">
        <f>VLOOKUP(Table2[[#This Row],[Customer ID]],Table2[#All],3,FALSE)</f>
        <v>11.47</v>
      </c>
      <c r="E64" t="str">
        <f>VLOOKUP(Table2[[#This Row],[Customer ID]],Table2[#All],4,FALSE)</f>
        <v>No</v>
      </c>
      <c r="F64" t="str">
        <f>VLOOKUP(Table2[[#This Row],[Customer ID]],Table2[#All],5,FALSE)</f>
        <v>No</v>
      </c>
      <c r="G64" t="str">
        <f>VLOOKUP(Table2[[#This Row],[Customer ID]],Table2[#All],6,FALSE)</f>
        <v>No</v>
      </c>
      <c r="H64">
        <f>VLOOKUP(Table2[[#This Row],[Customer ID]],Table2[#All],7,FALSE)</f>
        <v>0</v>
      </c>
      <c r="I64" t="str">
        <f>VLOOKUP(Table2[[#This Row],[Customer ID]],Table2[#All],8,FALSE)</f>
        <v>Yes</v>
      </c>
      <c r="J64" t="str">
        <f>VLOOKUP(Table2[[#This Row],[Customer ID]],Table2[#All],9,FALSE)</f>
        <v>Obesity</v>
      </c>
      <c r="K64" t="str">
        <f>VLOOKUP(Table2[[#This Row],[Customer ID]],Table2[#All],10,FALSE)</f>
        <v>Diabetes</v>
      </c>
    </row>
    <row r="65" spans="1:11" ht="15.6" x14ac:dyDescent="0.3">
      <c r="A65" s="1" t="s">
        <v>2309</v>
      </c>
      <c r="B65" t="str">
        <f>VLOOKUP('Customer Names'!A65,'Customer Names'!$A$1:$E$2336,4,FALSE)</f>
        <v>Mr.  David</v>
      </c>
      <c r="C65">
        <f>VLOOKUP(Table2[[#This Row],[Customer ID]],Table2[#All],2,FALSE)</f>
        <v>30.684999999999999</v>
      </c>
      <c r="D65">
        <f>VLOOKUP(Table2[[#This Row],[Customer ID]],Table2[#All],3,FALSE)</f>
        <v>7.02</v>
      </c>
      <c r="E65" t="str">
        <f>VLOOKUP(Table2[[#This Row],[Customer ID]],Table2[#All],4,FALSE)</f>
        <v>Yes</v>
      </c>
      <c r="F65" t="str">
        <f>VLOOKUP(Table2[[#This Row],[Customer ID]],Table2[#All],5,FALSE)</f>
        <v>No</v>
      </c>
      <c r="G65" t="str">
        <f>VLOOKUP(Table2[[#This Row],[Customer ID]],Table2[#All],6,FALSE)</f>
        <v>No</v>
      </c>
      <c r="H65">
        <f>VLOOKUP(Table2[[#This Row],[Customer ID]],Table2[#All],7,FALSE)</f>
        <v>0</v>
      </c>
      <c r="I65" t="str">
        <f>VLOOKUP(Table2[[#This Row],[Customer ID]],Table2[#All],8,FALSE)</f>
        <v>Yes</v>
      </c>
      <c r="J65" t="str">
        <f>VLOOKUP(Table2[[#This Row],[Customer ID]],Table2[#All],9,FALSE)</f>
        <v>Obesity</v>
      </c>
      <c r="K65" t="str">
        <f>VLOOKUP(Table2[[#This Row],[Customer ID]],Table2[#All],10,FALSE)</f>
        <v>Diabetes</v>
      </c>
    </row>
    <row r="66" spans="1:11" ht="15.6" x14ac:dyDescent="0.3">
      <c r="A66" s="1" t="s">
        <v>2308</v>
      </c>
      <c r="B66" t="str">
        <f>VLOOKUP('Customer Names'!A66,'Customer Names'!$A$1:$E$2336,4,FALSE)</f>
        <v>Mr.  Bryson C.</v>
      </c>
      <c r="C66">
        <f>VLOOKUP(Table2[[#This Row],[Customer ID]],Table2[#All],2,FALSE)</f>
        <v>36.08</v>
      </c>
      <c r="D66">
        <f>VLOOKUP(Table2[[#This Row],[Customer ID]],Table2[#All],3,FALSE)</f>
        <v>8.8000000000000007</v>
      </c>
      <c r="E66" t="str">
        <f>VLOOKUP(Table2[[#This Row],[Customer ID]],Table2[#All],4,FALSE)</f>
        <v>Yes</v>
      </c>
      <c r="F66" t="str">
        <f>VLOOKUP(Table2[[#This Row],[Customer ID]],Table2[#All],5,FALSE)</f>
        <v>No</v>
      </c>
      <c r="G66" t="str">
        <f>VLOOKUP(Table2[[#This Row],[Customer ID]],Table2[#All],6,FALSE)</f>
        <v>No</v>
      </c>
      <c r="H66">
        <f>VLOOKUP(Table2[[#This Row],[Customer ID]],Table2[#All],7,FALSE)</f>
        <v>1</v>
      </c>
      <c r="I66" t="str">
        <f>VLOOKUP(Table2[[#This Row],[Customer ID]],Table2[#All],8,FALSE)</f>
        <v>Yes</v>
      </c>
      <c r="J66" t="str">
        <f>VLOOKUP(Table2[[#This Row],[Customer ID]],Table2[#All],9,FALSE)</f>
        <v>Obesity</v>
      </c>
      <c r="K66" t="str">
        <f>VLOOKUP(Table2[[#This Row],[Customer ID]],Table2[#All],10,FALSE)</f>
        <v>Diabetes</v>
      </c>
    </row>
    <row r="67" spans="1:11" ht="15.6" x14ac:dyDescent="0.3">
      <c r="A67" s="1" t="s">
        <v>2307</v>
      </c>
      <c r="B67" t="str">
        <f>VLOOKUP('Customer Names'!A67,'Customer Names'!$A$1:$E$2336,4,FALSE)</f>
        <v>Ms.  Megan</v>
      </c>
      <c r="C67">
        <f>VLOOKUP(Table2[[#This Row],[Customer ID]],Table2[#All],2,FALSE)</f>
        <v>54.99</v>
      </c>
      <c r="D67">
        <f>VLOOKUP(Table2[[#This Row],[Customer ID]],Table2[#All],3,FALSE)</f>
        <v>8.68</v>
      </c>
      <c r="E67" t="str">
        <f>VLOOKUP(Table2[[#This Row],[Customer ID]],Table2[#All],4,FALSE)</f>
        <v>No</v>
      </c>
      <c r="F67" t="str">
        <f>VLOOKUP(Table2[[#This Row],[Customer ID]],Table2[#All],5,FALSE)</f>
        <v>No</v>
      </c>
      <c r="G67" t="str">
        <f>VLOOKUP(Table2[[#This Row],[Customer ID]],Table2[#All],6,FALSE)</f>
        <v>No</v>
      </c>
      <c r="H67">
        <f>VLOOKUP(Table2[[#This Row],[Customer ID]],Table2[#All],7,FALSE)</f>
        <v>2</v>
      </c>
      <c r="I67" t="str">
        <f>VLOOKUP(Table2[[#This Row],[Customer ID]],Table2[#All],8,FALSE)</f>
        <v>Yes</v>
      </c>
      <c r="J67" t="str">
        <f>VLOOKUP(Table2[[#This Row],[Customer ID]],Table2[#All],9,FALSE)</f>
        <v>Obesity</v>
      </c>
      <c r="K67" t="str">
        <f>VLOOKUP(Table2[[#This Row],[Customer ID]],Table2[#All],10,FALSE)</f>
        <v>Diabetes</v>
      </c>
    </row>
    <row r="68" spans="1:11" ht="15.6" x14ac:dyDescent="0.3">
      <c r="A68" s="1" t="s">
        <v>2306</v>
      </c>
      <c r="B68" t="str">
        <f>VLOOKUP('Customer Names'!A68,'Customer Names'!$A$1:$E$2336,4,FALSE)</f>
        <v>Mr.  Daniel</v>
      </c>
      <c r="C68">
        <f>VLOOKUP(Table2[[#This Row],[Customer ID]],Table2[#All],2,FALSE)</f>
        <v>35.97</v>
      </c>
      <c r="D68">
        <f>VLOOKUP(Table2[[#This Row],[Customer ID]],Table2[#All],3,FALSE)</f>
        <v>6.12</v>
      </c>
      <c r="E68" t="str">
        <f>VLOOKUP(Table2[[#This Row],[Customer ID]],Table2[#All],4,FALSE)</f>
        <v>No</v>
      </c>
      <c r="F68" t="str">
        <f>VLOOKUP(Table2[[#This Row],[Customer ID]],Table2[#All],5,FALSE)</f>
        <v>No</v>
      </c>
      <c r="G68" t="str">
        <f>VLOOKUP(Table2[[#This Row],[Customer ID]],Table2[#All],6,FALSE)</f>
        <v>Yes</v>
      </c>
      <c r="H68">
        <f>VLOOKUP(Table2[[#This Row],[Customer ID]],Table2[#All],7,FALSE)</f>
        <v>1</v>
      </c>
      <c r="I68" t="str">
        <f>VLOOKUP(Table2[[#This Row],[Customer ID]],Table2[#All],8,FALSE)</f>
        <v>Yes</v>
      </c>
      <c r="J68" t="str">
        <f>VLOOKUP(Table2[[#This Row],[Customer ID]],Table2[#All],9,FALSE)</f>
        <v>Obesity</v>
      </c>
      <c r="K68" t="str">
        <f>VLOOKUP(Table2[[#This Row],[Customer ID]],Table2[#All],10,FALSE)</f>
        <v>Prediabetes</v>
      </c>
    </row>
    <row r="69" spans="1:11" ht="15.6" x14ac:dyDescent="0.3">
      <c r="A69" s="1" t="s">
        <v>2305</v>
      </c>
      <c r="B69" t="str">
        <f>VLOOKUP('Customer Names'!A69,'Customer Names'!$A$1:$E$2336,4,FALSE)</f>
        <v>Mr.  Steven M.</v>
      </c>
      <c r="C69">
        <f>VLOOKUP(Table2[[#This Row],[Customer ID]],Table2[#All],2,FALSE)</f>
        <v>45.54</v>
      </c>
      <c r="D69">
        <f>VLOOKUP(Table2[[#This Row],[Customer ID]],Table2[#All],3,FALSE)</f>
        <v>5.4</v>
      </c>
      <c r="E69" t="str">
        <f>VLOOKUP(Table2[[#This Row],[Customer ID]],Table2[#All],4,FALSE)</f>
        <v>Yes</v>
      </c>
      <c r="F69" t="str">
        <f>VLOOKUP(Table2[[#This Row],[Customer ID]],Table2[#All],5,FALSE)</f>
        <v>No</v>
      </c>
      <c r="G69" t="str">
        <f>VLOOKUP(Table2[[#This Row],[Customer ID]],Table2[#All],6,FALSE)</f>
        <v>Yes</v>
      </c>
      <c r="H69">
        <f>VLOOKUP(Table2[[#This Row],[Customer ID]],Table2[#All],7,FALSE)</f>
        <v>1</v>
      </c>
      <c r="I69" t="str">
        <f>VLOOKUP(Table2[[#This Row],[Customer ID]],Table2[#All],8,FALSE)</f>
        <v>Yes</v>
      </c>
      <c r="J69" t="str">
        <f>VLOOKUP(Table2[[#This Row],[Customer ID]],Table2[#All],9,FALSE)</f>
        <v>Obesity</v>
      </c>
      <c r="K69" t="str">
        <f>VLOOKUP(Table2[[#This Row],[Customer ID]],Table2[#All],10,FALSE)</f>
        <v>Normal</v>
      </c>
    </row>
    <row r="70" spans="1:11" ht="15.6" x14ac:dyDescent="0.3">
      <c r="A70" s="1" t="s">
        <v>2304</v>
      </c>
      <c r="B70" t="str">
        <f>VLOOKUP('Customer Names'!A70,'Customer Names'!$A$1:$E$2336,4,FALSE)</f>
        <v>Ms.  Jenna L.</v>
      </c>
      <c r="C70">
        <f>VLOOKUP(Table2[[#This Row],[Customer ID]],Table2[#All],2,FALSE)</f>
        <v>35.53</v>
      </c>
      <c r="D70">
        <f>VLOOKUP(Table2[[#This Row],[Customer ID]],Table2[#All],3,FALSE)</f>
        <v>4.3600000000000003</v>
      </c>
      <c r="E70" t="str">
        <f>VLOOKUP(Table2[[#This Row],[Customer ID]],Table2[#All],4,FALSE)</f>
        <v>Yes</v>
      </c>
      <c r="F70" t="str">
        <f>VLOOKUP(Table2[[#This Row],[Customer ID]],Table2[#All],5,FALSE)</f>
        <v>No</v>
      </c>
      <c r="G70" t="str">
        <f>VLOOKUP(Table2[[#This Row],[Customer ID]],Table2[#All],6,FALSE)</f>
        <v>No</v>
      </c>
      <c r="H70">
        <f>VLOOKUP(Table2[[#This Row],[Customer ID]],Table2[#All],7,FALSE)</f>
        <v>0</v>
      </c>
      <c r="I70" t="str">
        <f>VLOOKUP(Table2[[#This Row],[Customer ID]],Table2[#All],8,FALSE)</f>
        <v>Yes</v>
      </c>
      <c r="J70" t="str">
        <f>VLOOKUP(Table2[[#This Row],[Customer ID]],Table2[#All],9,FALSE)</f>
        <v>Obesity</v>
      </c>
      <c r="K70" t="str">
        <f>VLOOKUP(Table2[[#This Row],[Customer ID]],Table2[#All],10,FALSE)</f>
        <v>Normal</v>
      </c>
    </row>
    <row r="71" spans="1:11" ht="15.6" x14ac:dyDescent="0.3">
      <c r="A71" s="1" t="s">
        <v>2303</v>
      </c>
      <c r="B71" t="str">
        <f>VLOOKUP('Customer Names'!A71,'Customer Names'!$A$1:$E$2336,4,FALSE)</f>
        <v>Mr.  Freeman</v>
      </c>
      <c r="C71">
        <f>VLOOKUP(Table2[[#This Row],[Customer ID]],Table2[#All],2,FALSE)</f>
        <v>30.8</v>
      </c>
      <c r="D71">
        <f>VLOOKUP(Table2[[#This Row],[Customer ID]],Table2[#All],3,FALSE)</f>
        <v>9.77</v>
      </c>
      <c r="E71" t="str">
        <f>VLOOKUP(Table2[[#This Row],[Customer ID]],Table2[#All],4,FALSE)</f>
        <v>No</v>
      </c>
      <c r="F71" t="str">
        <f>VLOOKUP(Table2[[#This Row],[Customer ID]],Table2[#All],5,FALSE)</f>
        <v>No</v>
      </c>
      <c r="G71" t="str">
        <f>VLOOKUP(Table2[[#This Row],[Customer ID]],Table2[#All],6,FALSE)</f>
        <v>No</v>
      </c>
      <c r="H71">
        <f>VLOOKUP(Table2[[#This Row],[Customer ID]],Table2[#All],7,FALSE)</f>
        <v>0</v>
      </c>
      <c r="I71" t="str">
        <f>VLOOKUP(Table2[[#This Row],[Customer ID]],Table2[#All],8,FALSE)</f>
        <v>Yes</v>
      </c>
      <c r="J71" t="str">
        <f>VLOOKUP(Table2[[#This Row],[Customer ID]],Table2[#All],9,FALSE)</f>
        <v>Obesity</v>
      </c>
      <c r="K71" t="str">
        <f>VLOOKUP(Table2[[#This Row],[Customer ID]],Table2[#All],10,FALSE)</f>
        <v>Diabetes</v>
      </c>
    </row>
    <row r="72" spans="1:11" ht="15.6" x14ac:dyDescent="0.3">
      <c r="A72" s="1" t="s">
        <v>2302</v>
      </c>
      <c r="B72" t="str">
        <f>VLOOKUP('Customer Names'!A72,'Customer Names'!$A$1:$E$2336,4,FALSE)</f>
        <v>Mr.  Jeff</v>
      </c>
      <c r="C72">
        <f>VLOOKUP(Table2[[#This Row],[Customer ID]],Table2[#All],2,FALSE)</f>
        <v>38.39</v>
      </c>
      <c r="D72">
        <f>VLOOKUP(Table2[[#This Row],[Customer ID]],Table2[#All],3,FALSE)</f>
        <v>4.25</v>
      </c>
      <c r="E72" t="str">
        <f>VLOOKUP(Table2[[#This Row],[Customer ID]],Table2[#All],4,FALSE)</f>
        <v>No</v>
      </c>
      <c r="F72" t="str">
        <f>VLOOKUP(Table2[[#This Row],[Customer ID]],Table2[#All],5,FALSE)</f>
        <v>No</v>
      </c>
      <c r="G72" t="str">
        <f>VLOOKUP(Table2[[#This Row],[Customer ID]],Table2[#All],6,FALSE)</f>
        <v>No</v>
      </c>
      <c r="H72">
        <f>VLOOKUP(Table2[[#This Row],[Customer ID]],Table2[#All],7,FALSE)</f>
        <v>1</v>
      </c>
      <c r="I72" t="str">
        <f>VLOOKUP(Table2[[#This Row],[Customer ID]],Table2[#All],8,FALSE)</f>
        <v>Yes</v>
      </c>
      <c r="J72" t="str">
        <f>VLOOKUP(Table2[[#This Row],[Customer ID]],Table2[#All],9,FALSE)</f>
        <v>Obesity</v>
      </c>
      <c r="K72" t="str">
        <f>VLOOKUP(Table2[[#This Row],[Customer ID]],Table2[#All],10,FALSE)</f>
        <v>Normal</v>
      </c>
    </row>
    <row r="73" spans="1:11" ht="15.6" x14ac:dyDescent="0.3">
      <c r="A73" s="1" t="s">
        <v>2301</v>
      </c>
      <c r="B73" t="str">
        <f>VLOOKUP('Customer Names'!A73,'Customer Names'!$A$1:$E$2336,4,FALSE)</f>
        <v>Mr.  Elenilton V. Sr.</v>
      </c>
      <c r="C73">
        <f>VLOOKUP(Table2[[#This Row],[Customer ID]],Table2[#All],2,FALSE)</f>
        <v>32.299999999999997</v>
      </c>
      <c r="D73">
        <f>VLOOKUP(Table2[[#This Row],[Customer ID]],Table2[#All],3,FALSE)</f>
        <v>4.76</v>
      </c>
      <c r="E73" t="str">
        <f>VLOOKUP(Table2[[#This Row],[Customer ID]],Table2[#All],4,FALSE)</f>
        <v>No</v>
      </c>
      <c r="F73" t="str">
        <f>VLOOKUP(Table2[[#This Row],[Customer ID]],Table2[#All],5,FALSE)</f>
        <v>No</v>
      </c>
      <c r="G73" t="str">
        <f>VLOOKUP(Table2[[#This Row],[Customer ID]],Table2[#All],6,FALSE)</f>
        <v>No</v>
      </c>
      <c r="H73">
        <f>VLOOKUP(Table2[[#This Row],[Customer ID]],Table2[#All],7,FALSE)</f>
        <v>2</v>
      </c>
      <c r="I73" t="str">
        <f>VLOOKUP(Table2[[#This Row],[Customer ID]],Table2[#All],8,FALSE)</f>
        <v>Yes</v>
      </c>
      <c r="J73" t="str">
        <f>VLOOKUP(Table2[[#This Row],[Customer ID]],Table2[#All],9,FALSE)</f>
        <v>Obesity</v>
      </c>
      <c r="K73" t="str">
        <f>VLOOKUP(Table2[[#This Row],[Customer ID]],Table2[#All],10,FALSE)</f>
        <v>Normal</v>
      </c>
    </row>
    <row r="74" spans="1:11" ht="15.6" x14ac:dyDescent="0.3">
      <c r="A74" s="1" t="s">
        <v>2300</v>
      </c>
      <c r="B74" t="str">
        <f>VLOOKUP('Customer Names'!A74,'Customer Names'!$A$1:$E$2336,4,FALSE)</f>
        <v>Ms.  Maurya</v>
      </c>
      <c r="C74">
        <f>VLOOKUP(Table2[[#This Row],[Customer ID]],Table2[#All],2,FALSE)</f>
        <v>48.8</v>
      </c>
      <c r="D74">
        <f>VLOOKUP(Table2[[#This Row],[Customer ID]],Table2[#All],3,FALSE)</f>
        <v>6.22</v>
      </c>
      <c r="E74" t="str">
        <f>VLOOKUP(Table2[[#This Row],[Customer ID]],Table2[#All],4,FALSE)</f>
        <v>Yes</v>
      </c>
      <c r="F74" t="str">
        <f>VLOOKUP(Table2[[#This Row],[Customer ID]],Table2[#All],5,FALSE)</f>
        <v>No</v>
      </c>
      <c r="G74" t="str">
        <f>VLOOKUP(Table2[[#This Row],[Customer ID]],Table2[#All],6,FALSE)</f>
        <v>No</v>
      </c>
      <c r="H74">
        <f>VLOOKUP(Table2[[#This Row],[Customer ID]],Table2[#All],7,FALSE)</f>
        <v>2</v>
      </c>
      <c r="I74" t="str">
        <f>VLOOKUP(Table2[[#This Row],[Customer ID]],Table2[#All],8,FALSE)</f>
        <v>Yes</v>
      </c>
      <c r="J74" t="str">
        <f>VLOOKUP(Table2[[#This Row],[Customer ID]],Table2[#All],9,FALSE)</f>
        <v>Obesity</v>
      </c>
      <c r="K74" t="str">
        <f>VLOOKUP(Table2[[#This Row],[Customer ID]],Table2[#All],10,FALSE)</f>
        <v>Prediabetes</v>
      </c>
    </row>
    <row r="75" spans="1:11" ht="15.6" x14ac:dyDescent="0.3">
      <c r="A75" s="1" t="s">
        <v>2299</v>
      </c>
      <c r="B75" t="str">
        <f>VLOOKUP('Customer Names'!A75,'Customer Names'!$A$1:$E$2336,4,FALSE)</f>
        <v>Ms.  Samantha C</v>
      </c>
      <c r="C75">
        <f>VLOOKUP(Table2[[#This Row],[Customer ID]],Table2[#All],2,FALSE)</f>
        <v>45.5</v>
      </c>
      <c r="D75">
        <f>VLOOKUP(Table2[[#This Row],[Customer ID]],Table2[#All],3,FALSE)</f>
        <v>7.96</v>
      </c>
      <c r="E75" t="str">
        <f>VLOOKUP(Table2[[#This Row],[Customer ID]],Table2[#All],4,FALSE)</f>
        <v>No</v>
      </c>
      <c r="F75" t="str">
        <f>VLOOKUP(Table2[[#This Row],[Customer ID]],Table2[#All],5,FALSE)</f>
        <v>No</v>
      </c>
      <c r="G75" t="str">
        <f>VLOOKUP(Table2[[#This Row],[Customer ID]],Table2[#All],6,FALSE)</f>
        <v>No</v>
      </c>
      <c r="H75">
        <f>VLOOKUP(Table2[[#This Row],[Customer ID]],Table2[#All],7,FALSE)</f>
        <v>0</v>
      </c>
      <c r="I75" t="str">
        <f>VLOOKUP(Table2[[#This Row],[Customer ID]],Table2[#All],8,FALSE)</f>
        <v>Yes</v>
      </c>
      <c r="J75" t="str">
        <f>VLOOKUP(Table2[[#This Row],[Customer ID]],Table2[#All],9,FALSE)</f>
        <v>Obesity</v>
      </c>
      <c r="K75" t="str">
        <f>VLOOKUP(Table2[[#This Row],[Customer ID]],Table2[#All],10,FALSE)</f>
        <v>Diabetes</v>
      </c>
    </row>
    <row r="76" spans="1:11" ht="15.6" x14ac:dyDescent="0.3">
      <c r="A76" s="1" t="s">
        <v>2298</v>
      </c>
      <c r="B76" t="str">
        <f>VLOOKUP('Customer Names'!A76,'Customer Names'!$A$1:$E$2336,4,FALSE)</f>
        <v>Ms.  Bethany A</v>
      </c>
      <c r="C76">
        <f>VLOOKUP(Table2[[#This Row],[Customer ID]],Table2[#All],2,FALSE)</f>
        <v>53.61</v>
      </c>
      <c r="D76">
        <f>VLOOKUP(Table2[[#This Row],[Customer ID]],Table2[#All],3,FALSE)</f>
        <v>10.92</v>
      </c>
      <c r="E76" t="str">
        <f>VLOOKUP(Table2[[#This Row],[Customer ID]],Table2[#All],4,FALSE)</f>
        <v>Yes</v>
      </c>
      <c r="F76" t="str">
        <f>VLOOKUP(Table2[[#This Row],[Customer ID]],Table2[#All],5,FALSE)</f>
        <v>No</v>
      </c>
      <c r="G76" t="str">
        <f>VLOOKUP(Table2[[#This Row],[Customer ID]],Table2[#All],6,FALSE)</f>
        <v>No</v>
      </c>
      <c r="H76">
        <f>VLOOKUP(Table2[[#This Row],[Customer ID]],Table2[#All],7,FALSE)</f>
        <v>1</v>
      </c>
      <c r="I76" t="str">
        <f>VLOOKUP(Table2[[#This Row],[Customer ID]],Table2[#All],8,FALSE)</f>
        <v>Yes</v>
      </c>
      <c r="J76" t="str">
        <f>VLOOKUP(Table2[[#This Row],[Customer ID]],Table2[#All],9,FALSE)</f>
        <v>Obesity</v>
      </c>
      <c r="K76" t="str">
        <f>VLOOKUP(Table2[[#This Row],[Customer ID]],Table2[#All],10,FALSE)</f>
        <v>Diabetes</v>
      </c>
    </row>
    <row r="77" spans="1:11" ht="15.6" x14ac:dyDescent="0.3">
      <c r="A77" s="1" t="s">
        <v>2297</v>
      </c>
      <c r="B77" t="str">
        <f>VLOOKUP('Customer Names'!A77,'Customer Names'!$A$1:$E$2336,4,FALSE)</f>
        <v>Mr.  Yves</v>
      </c>
      <c r="C77">
        <f>VLOOKUP(Table2[[#This Row],[Customer ID]],Table2[#All],2,FALSE)</f>
        <v>36.19</v>
      </c>
      <c r="D77">
        <f>VLOOKUP(Table2[[#This Row],[Customer ID]],Table2[#All],3,FALSE)</f>
        <v>11.51</v>
      </c>
      <c r="E77" t="str">
        <f>VLOOKUP(Table2[[#This Row],[Customer ID]],Table2[#All],4,FALSE)</f>
        <v>Yes</v>
      </c>
      <c r="F77" t="str">
        <f>VLOOKUP(Table2[[#This Row],[Customer ID]],Table2[#All],5,FALSE)</f>
        <v>No</v>
      </c>
      <c r="G77" t="str">
        <f>VLOOKUP(Table2[[#This Row],[Customer ID]],Table2[#All],6,FALSE)</f>
        <v>No</v>
      </c>
      <c r="H77">
        <f>VLOOKUP(Table2[[#This Row],[Customer ID]],Table2[#All],7,FALSE)</f>
        <v>1</v>
      </c>
      <c r="I77" t="str">
        <f>VLOOKUP(Table2[[#This Row],[Customer ID]],Table2[#All],8,FALSE)</f>
        <v>Yes</v>
      </c>
      <c r="J77" t="str">
        <f>VLOOKUP(Table2[[#This Row],[Customer ID]],Table2[#All],9,FALSE)</f>
        <v>Obesity</v>
      </c>
      <c r="K77" t="str">
        <f>VLOOKUP(Table2[[#This Row],[Customer ID]],Table2[#All],10,FALSE)</f>
        <v>Diabetes</v>
      </c>
    </row>
    <row r="78" spans="1:11" ht="15.6" x14ac:dyDescent="0.3">
      <c r="A78" s="1" t="s">
        <v>2296</v>
      </c>
      <c r="B78" t="str">
        <f>VLOOKUP('Customer Names'!A78,'Customer Names'!$A$1:$E$2336,4,FALSE)</f>
        <v>Ms.  Danielle</v>
      </c>
      <c r="C78">
        <f>VLOOKUP(Table2[[#This Row],[Customer ID]],Table2[#All],2,FALSE)</f>
        <v>34.6</v>
      </c>
      <c r="D78">
        <f>VLOOKUP(Table2[[#This Row],[Customer ID]],Table2[#All],3,FALSE)</f>
        <v>5.99</v>
      </c>
      <c r="E78" t="str">
        <f>VLOOKUP(Table2[[#This Row],[Customer ID]],Table2[#All],4,FALSE)</f>
        <v>Yes</v>
      </c>
      <c r="F78" t="str">
        <f>VLOOKUP(Table2[[#This Row],[Customer ID]],Table2[#All],5,FALSE)</f>
        <v>No</v>
      </c>
      <c r="G78" t="str">
        <f>VLOOKUP(Table2[[#This Row],[Customer ID]],Table2[#All],6,FALSE)</f>
        <v>No</v>
      </c>
      <c r="H78">
        <f>VLOOKUP(Table2[[#This Row],[Customer ID]],Table2[#All],7,FALSE)</f>
        <v>0</v>
      </c>
      <c r="I78" t="str">
        <f>VLOOKUP(Table2[[#This Row],[Customer ID]],Table2[#All],8,FALSE)</f>
        <v>Yes</v>
      </c>
      <c r="J78" t="str">
        <f>VLOOKUP(Table2[[#This Row],[Customer ID]],Table2[#All],9,FALSE)</f>
        <v>Obesity</v>
      </c>
      <c r="K78" t="str">
        <f>VLOOKUP(Table2[[#This Row],[Customer ID]],Table2[#All],10,FALSE)</f>
        <v>Prediabetes</v>
      </c>
    </row>
    <row r="79" spans="1:11" ht="15.6" x14ac:dyDescent="0.3">
      <c r="A79" s="1" t="s">
        <v>2295</v>
      </c>
      <c r="B79" t="str">
        <f>VLOOKUP('Customer Names'!A79,'Customer Names'!$A$1:$E$2336,4,FALSE)</f>
        <v>Ms.  Julia</v>
      </c>
      <c r="C79">
        <f>VLOOKUP(Table2[[#This Row],[Customer ID]],Table2[#All],2,FALSE)</f>
        <v>54.12</v>
      </c>
      <c r="D79">
        <f>VLOOKUP(Table2[[#This Row],[Customer ID]],Table2[#All],3,FALSE)</f>
        <v>11.57</v>
      </c>
      <c r="E79" t="str">
        <f>VLOOKUP(Table2[[#This Row],[Customer ID]],Table2[#All],4,FALSE)</f>
        <v>No</v>
      </c>
      <c r="F79" t="str">
        <f>VLOOKUP(Table2[[#This Row],[Customer ID]],Table2[#All],5,FALSE)</f>
        <v>No</v>
      </c>
      <c r="G79" t="str">
        <f>VLOOKUP(Table2[[#This Row],[Customer ID]],Table2[#All],6,FALSE)</f>
        <v>No</v>
      </c>
      <c r="H79">
        <f>VLOOKUP(Table2[[#This Row],[Customer ID]],Table2[#All],7,FALSE)</f>
        <v>0</v>
      </c>
      <c r="I79" t="str">
        <f>VLOOKUP(Table2[[#This Row],[Customer ID]],Table2[#All],8,FALSE)</f>
        <v>Yes</v>
      </c>
      <c r="J79" t="str">
        <f>VLOOKUP(Table2[[#This Row],[Customer ID]],Table2[#All],9,FALSE)</f>
        <v>Obesity</v>
      </c>
      <c r="K79" t="str">
        <f>VLOOKUP(Table2[[#This Row],[Customer ID]],Table2[#All],10,FALSE)</f>
        <v>Diabetes</v>
      </c>
    </row>
    <row r="80" spans="1:11" ht="15.6" x14ac:dyDescent="0.3">
      <c r="A80" s="1" t="s">
        <v>2294</v>
      </c>
      <c r="B80" t="str">
        <f>VLOOKUP('Customer Names'!A80,'Customer Names'!$A$1:$E$2336,4,FALSE)</f>
        <v>Mr.  Joshua</v>
      </c>
      <c r="C80">
        <f>VLOOKUP(Table2[[#This Row],[Customer ID]],Table2[#All],2,FALSE)</f>
        <v>48.82</v>
      </c>
      <c r="D80">
        <f>VLOOKUP(Table2[[#This Row],[Customer ID]],Table2[#All],3,FALSE)</f>
        <v>6.67</v>
      </c>
      <c r="E80" t="str">
        <f>VLOOKUP(Table2[[#This Row],[Customer ID]],Table2[#All],4,FALSE)</f>
        <v>Yes</v>
      </c>
      <c r="F80" t="str">
        <f>VLOOKUP(Table2[[#This Row],[Customer ID]],Table2[#All],5,FALSE)</f>
        <v>No</v>
      </c>
      <c r="G80" t="str">
        <f>VLOOKUP(Table2[[#This Row],[Customer ID]],Table2[#All],6,FALSE)</f>
        <v>No</v>
      </c>
      <c r="H80">
        <f>VLOOKUP(Table2[[#This Row],[Customer ID]],Table2[#All],7,FALSE)</f>
        <v>0</v>
      </c>
      <c r="I80" t="str">
        <f>VLOOKUP(Table2[[#This Row],[Customer ID]],Table2[#All],8,FALSE)</f>
        <v>Yes</v>
      </c>
      <c r="J80" t="str">
        <f>VLOOKUP(Table2[[#This Row],[Customer ID]],Table2[#All],9,FALSE)</f>
        <v>Obesity</v>
      </c>
      <c r="K80" t="str">
        <f>VLOOKUP(Table2[[#This Row],[Customer ID]],Table2[#All],10,FALSE)</f>
        <v>Diabetes</v>
      </c>
    </row>
    <row r="81" spans="1:11" ht="15.6" x14ac:dyDescent="0.3">
      <c r="A81" s="1" t="s">
        <v>2293</v>
      </c>
      <c r="B81" t="str">
        <f>VLOOKUP('Customer Names'!A81,'Customer Names'!$A$1:$E$2336,4,FALSE)</f>
        <v>Ms.  Jennifer</v>
      </c>
      <c r="C81">
        <f>VLOOKUP(Table2[[#This Row],[Customer ID]],Table2[#All],2,FALSE)</f>
        <v>51.01</v>
      </c>
      <c r="D81">
        <f>VLOOKUP(Table2[[#This Row],[Customer ID]],Table2[#All],3,FALSE)</f>
        <v>9.1999999999999993</v>
      </c>
      <c r="E81" t="str">
        <f>VLOOKUP(Table2[[#This Row],[Customer ID]],Table2[#All],4,FALSE)</f>
        <v>No</v>
      </c>
      <c r="F81" t="str">
        <f>VLOOKUP(Table2[[#This Row],[Customer ID]],Table2[#All],5,FALSE)</f>
        <v>No</v>
      </c>
      <c r="G81" t="str">
        <f>VLOOKUP(Table2[[#This Row],[Customer ID]],Table2[#All],6,FALSE)</f>
        <v>No</v>
      </c>
      <c r="H81">
        <f>VLOOKUP(Table2[[#This Row],[Customer ID]],Table2[#All],7,FALSE)</f>
        <v>0</v>
      </c>
      <c r="I81" t="str">
        <f>VLOOKUP(Table2[[#This Row],[Customer ID]],Table2[#All],8,FALSE)</f>
        <v>Yes</v>
      </c>
      <c r="J81" t="str">
        <f>VLOOKUP(Table2[[#This Row],[Customer ID]],Table2[#All],9,FALSE)</f>
        <v>Obesity</v>
      </c>
      <c r="K81" t="str">
        <f>VLOOKUP(Table2[[#This Row],[Customer ID]],Table2[#All],10,FALSE)</f>
        <v>Diabetes</v>
      </c>
    </row>
    <row r="82" spans="1:11" ht="15.6" x14ac:dyDescent="0.3">
      <c r="A82" s="1" t="s">
        <v>2292</v>
      </c>
      <c r="B82" t="str">
        <f>VLOOKUP('Customer Names'!A82,'Customer Names'!$A$1:$E$2336,4,FALSE)</f>
        <v>Ms.  Gwen M.</v>
      </c>
      <c r="C82">
        <f>VLOOKUP(Table2[[#This Row],[Customer ID]],Table2[#All],2,FALSE)</f>
        <v>45.65</v>
      </c>
      <c r="D82">
        <f>VLOOKUP(Table2[[#This Row],[Customer ID]],Table2[#All],3,FALSE)</f>
        <v>5.1100000000000003</v>
      </c>
      <c r="E82" t="str">
        <f>VLOOKUP(Table2[[#This Row],[Customer ID]],Table2[#All],4,FALSE)</f>
        <v>Yes</v>
      </c>
      <c r="F82" t="str">
        <f>VLOOKUP(Table2[[#This Row],[Customer ID]],Table2[#All],5,FALSE)</f>
        <v>No</v>
      </c>
      <c r="G82" t="str">
        <f>VLOOKUP(Table2[[#This Row],[Customer ID]],Table2[#All],6,FALSE)</f>
        <v>No</v>
      </c>
      <c r="H82">
        <f>VLOOKUP(Table2[[#This Row],[Customer ID]],Table2[#All],7,FALSE)</f>
        <v>1</v>
      </c>
      <c r="I82" t="str">
        <f>VLOOKUP(Table2[[#This Row],[Customer ID]],Table2[#All],8,FALSE)</f>
        <v>Yes</v>
      </c>
      <c r="J82" t="str">
        <f>VLOOKUP(Table2[[#This Row],[Customer ID]],Table2[#All],9,FALSE)</f>
        <v>Obesity</v>
      </c>
      <c r="K82" t="str">
        <f>VLOOKUP(Table2[[#This Row],[Customer ID]],Table2[#All],10,FALSE)</f>
        <v>Normal</v>
      </c>
    </row>
    <row r="83" spans="1:11" ht="15.6" x14ac:dyDescent="0.3">
      <c r="A83" s="1" t="s">
        <v>2291</v>
      </c>
      <c r="B83" t="str">
        <f>VLOOKUP('Customer Names'!A83,'Customer Names'!$A$1:$E$2336,4,FALSE)</f>
        <v>Mr.  Patrick</v>
      </c>
      <c r="C83">
        <f>VLOOKUP(Table2[[#This Row],[Customer ID]],Table2[#All],2,FALSE)</f>
        <v>52.9</v>
      </c>
      <c r="D83">
        <f>VLOOKUP(Table2[[#This Row],[Customer ID]],Table2[#All],3,FALSE)</f>
        <v>5.34</v>
      </c>
      <c r="E83" t="str">
        <f>VLOOKUP(Table2[[#This Row],[Customer ID]],Table2[#All],4,FALSE)</f>
        <v>No</v>
      </c>
      <c r="F83" t="str">
        <f>VLOOKUP(Table2[[#This Row],[Customer ID]],Table2[#All],5,FALSE)</f>
        <v>No</v>
      </c>
      <c r="G83" t="str">
        <f>VLOOKUP(Table2[[#This Row],[Customer ID]],Table2[#All],6,FALSE)</f>
        <v>No</v>
      </c>
      <c r="H83">
        <f>VLOOKUP(Table2[[#This Row],[Customer ID]],Table2[#All],7,FALSE)</f>
        <v>0</v>
      </c>
      <c r="I83" t="str">
        <f>VLOOKUP(Table2[[#This Row],[Customer ID]],Table2[#All],8,FALSE)</f>
        <v>Yes</v>
      </c>
      <c r="J83" t="str">
        <f>VLOOKUP(Table2[[#This Row],[Customer ID]],Table2[#All],9,FALSE)</f>
        <v>Obesity</v>
      </c>
      <c r="K83" t="str">
        <f>VLOOKUP(Table2[[#This Row],[Customer ID]],Table2[#All],10,FALSE)</f>
        <v>Normal</v>
      </c>
    </row>
    <row r="84" spans="1:11" ht="15.6" x14ac:dyDescent="0.3">
      <c r="A84" s="1" t="s">
        <v>2290</v>
      </c>
      <c r="B84" t="str">
        <f>VLOOKUP('Customer Names'!A84,'Customer Names'!$A$1:$E$2336,4,FALSE)</f>
        <v>Ms.  Kate</v>
      </c>
      <c r="C84">
        <f>VLOOKUP(Table2[[#This Row],[Customer ID]],Table2[#All],2,FALSE)</f>
        <v>45.41</v>
      </c>
      <c r="D84">
        <f>VLOOKUP(Table2[[#This Row],[Customer ID]],Table2[#All],3,FALSE)</f>
        <v>4.03</v>
      </c>
      <c r="E84" t="str">
        <f>VLOOKUP(Table2[[#This Row],[Customer ID]],Table2[#All],4,FALSE)</f>
        <v>Yes</v>
      </c>
      <c r="F84" t="str">
        <f>VLOOKUP(Table2[[#This Row],[Customer ID]],Table2[#All],5,FALSE)</f>
        <v>No</v>
      </c>
      <c r="G84" t="str">
        <f>VLOOKUP(Table2[[#This Row],[Customer ID]],Table2[#All],6,FALSE)</f>
        <v>No</v>
      </c>
      <c r="H84">
        <f>VLOOKUP(Table2[[#This Row],[Customer ID]],Table2[#All],7,FALSE)</f>
        <v>1</v>
      </c>
      <c r="I84" t="str">
        <f>VLOOKUP(Table2[[#This Row],[Customer ID]],Table2[#All],8,FALSE)</f>
        <v>Yes</v>
      </c>
      <c r="J84" t="str">
        <f>VLOOKUP(Table2[[#This Row],[Customer ID]],Table2[#All],9,FALSE)</f>
        <v>Obesity</v>
      </c>
      <c r="K84" t="str">
        <f>VLOOKUP(Table2[[#This Row],[Customer ID]],Table2[#All],10,FALSE)</f>
        <v>Normal</v>
      </c>
    </row>
    <row r="85" spans="1:11" ht="15.6" x14ac:dyDescent="0.3">
      <c r="A85" s="1" t="s">
        <v>2289</v>
      </c>
      <c r="B85" t="str">
        <f>VLOOKUP('Customer Names'!A85,'Customer Names'!$A$1:$E$2336,4,FALSE)</f>
        <v>Mr.  Kevin</v>
      </c>
      <c r="C85">
        <f>VLOOKUP(Table2[[#This Row],[Customer ID]],Table2[#All],2,FALSE)</f>
        <v>49.41</v>
      </c>
      <c r="D85">
        <f>VLOOKUP(Table2[[#This Row],[Customer ID]],Table2[#All],3,FALSE)</f>
        <v>4.2300000000000004</v>
      </c>
      <c r="E85" t="str">
        <f>VLOOKUP(Table2[[#This Row],[Customer ID]],Table2[#All],4,FALSE)</f>
        <v>Yes</v>
      </c>
      <c r="F85" t="str">
        <f>VLOOKUP(Table2[[#This Row],[Customer ID]],Table2[#All],5,FALSE)</f>
        <v>No</v>
      </c>
      <c r="G85" t="str">
        <f>VLOOKUP(Table2[[#This Row],[Customer ID]],Table2[#All],6,FALSE)</f>
        <v>Yes</v>
      </c>
      <c r="H85">
        <f>VLOOKUP(Table2[[#This Row],[Customer ID]],Table2[#All],7,FALSE)</f>
        <v>1</v>
      </c>
      <c r="I85" t="str">
        <f>VLOOKUP(Table2[[#This Row],[Customer ID]],Table2[#All],8,FALSE)</f>
        <v>Yes</v>
      </c>
      <c r="J85" t="str">
        <f>VLOOKUP(Table2[[#This Row],[Customer ID]],Table2[#All],9,FALSE)</f>
        <v>Obesity</v>
      </c>
      <c r="K85" t="str">
        <f>VLOOKUP(Table2[[#This Row],[Customer ID]],Table2[#All],10,FALSE)</f>
        <v>Normal</v>
      </c>
    </row>
    <row r="86" spans="1:11" ht="15.6" x14ac:dyDescent="0.3">
      <c r="A86" s="1" t="s">
        <v>2288</v>
      </c>
      <c r="B86" t="str">
        <f>VLOOKUP('Customer Names'!A86,'Customer Names'!$A$1:$E$2336,4,FALSE)</f>
        <v>Mr.  Stephen II</v>
      </c>
      <c r="C86">
        <f>VLOOKUP(Table2[[#This Row],[Customer ID]],Table2[#All],2,FALSE)</f>
        <v>31.824999999999999</v>
      </c>
      <c r="D86">
        <f>VLOOKUP(Table2[[#This Row],[Customer ID]],Table2[#All],3,FALSE)</f>
        <v>4.0599999999999996</v>
      </c>
      <c r="E86" t="str">
        <f>VLOOKUP(Table2[[#This Row],[Customer ID]],Table2[#All],4,FALSE)</f>
        <v>No</v>
      </c>
      <c r="F86" t="str">
        <f>VLOOKUP(Table2[[#This Row],[Customer ID]],Table2[#All],5,FALSE)</f>
        <v>No</v>
      </c>
      <c r="G86" t="str">
        <f>VLOOKUP(Table2[[#This Row],[Customer ID]],Table2[#All],6,FALSE)</f>
        <v>No</v>
      </c>
      <c r="H86">
        <f>VLOOKUP(Table2[[#This Row],[Customer ID]],Table2[#All],7,FALSE)</f>
        <v>2</v>
      </c>
      <c r="I86" t="str">
        <f>VLOOKUP(Table2[[#This Row],[Customer ID]],Table2[#All],8,FALSE)</f>
        <v>Yes</v>
      </c>
      <c r="J86" t="str">
        <f>VLOOKUP(Table2[[#This Row],[Customer ID]],Table2[#All],9,FALSE)</f>
        <v>Obesity</v>
      </c>
      <c r="K86" t="str">
        <f>VLOOKUP(Table2[[#This Row],[Customer ID]],Table2[#All],10,FALSE)</f>
        <v>Normal</v>
      </c>
    </row>
    <row r="87" spans="1:11" ht="15.6" x14ac:dyDescent="0.3">
      <c r="A87" s="1" t="s">
        <v>2287</v>
      </c>
      <c r="B87" t="str">
        <f>VLOOKUP('Customer Names'!A87,'Customer Names'!$A$1:$E$2336,4,FALSE)</f>
        <v>Mr.  Philip</v>
      </c>
      <c r="C87">
        <f>VLOOKUP(Table2[[#This Row],[Customer ID]],Table2[#All],2,FALSE)</f>
        <v>51.28</v>
      </c>
      <c r="D87">
        <f>VLOOKUP(Table2[[#This Row],[Customer ID]],Table2[#All],3,FALSE)</f>
        <v>4.68</v>
      </c>
      <c r="E87" t="str">
        <f>VLOOKUP(Table2[[#This Row],[Customer ID]],Table2[#All],4,FALSE)</f>
        <v>No</v>
      </c>
      <c r="F87" t="str">
        <f>VLOOKUP(Table2[[#This Row],[Customer ID]],Table2[#All],5,FALSE)</f>
        <v>No</v>
      </c>
      <c r="G87" t="str">
        <f>VLOOKUP(Table2[[#This Row],[Customer ID]],Table2[#All],6,FALSE)</f>
        <v>No</v>
      </c>
      <c r="H87">
        <f>VLOOKUP(Table2[[#This Row],[Customer ID]],Table2[#All],7,FALSE)</f>
        <v>2</v>
      </c>
      <c r="I87" t="str">
        <f>VLOOKUP(Table2[[#This Row],[Customer ID]],Table2[#All],8,FALSE)</f>
        <v>Yes</v>
      </c>
      <c r="J87" t="str">
        <f>VLOOKUP(Table2[[#This Row],[Customer ID]],Table2[#All],9,FALSE)</f>
        <v>Obesity</v>
      </c>
      <c r="K87" t="str">
        <f>VLOOKUP(Table2[[#This Row],[Customer ID]],Table2[#All],10,FALSE)</f>
        <v>Normal</v>
      </c>
    </row>
    <row r="88" spans="1:11" ht="15.6" x14ac:dyDescent="0.3">
      <c r="A88" s="1" t="s">
        <v>2286</v>
      </c>
      <c r="B88" t="str">
        <f>VLOOKUP('Customer Names'!A88,'Customer Names'!$A$1:$E$2336,4,FALSE)</f>
        <v>Mr.  Brett A</v>
      </c>
      <c r="C88">
        <f>VLOOKUP(Table2[[#This Row],[Customer ID]],Table2[#All],2,FALSE)</f>
        <v>34.96</v>
      </c>
      <c r="D88">
        <f>VLOOKUP(Table2[[#This Row],[Customer ID]],Table2[#All],3,FALSE)</f>
        <v>4.34</v>
      </c>
      <c r="E88" t="str">
        <f>VLOOKUP(Table2[[#This Row],[Customer ID]],Table2[#All],4,FALSE)</f>
        <v>No</v>
      </c>
      <c r="F88" t="str">
        <f>VLOOKUP(Table2[[#This Row],[Customer ID]],Table2[#All],5,FALSE)</f>
        <v>No</v>
      </c>
      <c r="G88" t="str">
        <f>VLOOKUP(Table2[[#This Row],[Customer ID]],Table2[#All],6,FALSE)</f>
        <v>Yes</v>
      </c>
      <c r="H88">
        <f>VLOOKUP(Table2[[#This Row],[Customer ID]],Table2[#All],7,FALSE)</f>
        <v>1</v>
      </c>
      <c r="I88" t="str">
        <f>VLOOKUP(Table2[[#This Row],[Customer ID]],Table2[#All],8,FALSE)</f>
        <v>Yes</v>
      </c>
      <c r="J88" t="str">
        <f>VLOOKUP(Table2[[#This Row],[Customer ID]],Table2[#All],9,FALSE)</f>
        <v>Obesity</v>
      </c>
      <c r="K88" t="str">
        <f>VLOOKUP(Table2[[#This Row],[Customer ID]],Table2[#All],10,FALSE)</f>
        <v>Normal</v>
      </c>
    </row>
    <row r="89" spans="1:11" ht="15.6" x14ac:dyDescent="0.3">
      <c r="A89" s="1" t="s">
        <v>2285</v>
      </c>
      <c r="B89" t="str">
        <f>VLOOKUP('Customer Names'!A89,'Customer Names'!$A$1:$E$2336,4,FALSE)</f>
        <v>Ms.  Rebecca</v>
      </c>
      <c r="C89">
        <f>VLOOKUP(Table2[[#This Row],[Customer ID]],Table2[#All],2,FALSE)</f>
        <v>33.11</v>
      </c>
      <c r="D89">
        <f>VLOOKUP(Table2[[#This Row],[Customer ID]],Table2[#All],3,FALSE)</f>
        <v>10.51</v>
      </c>
      <c r="E89" t="str">
        <f>VLOOKUP(Table2[[#This Row],[Customer ID]],Table2[#All],4,FALSE)</f>
        <v>No</v>
      </c>
      <c r="F89" t="str">
        <f>VLOOKUP(Table2[[#This Row],[Customer ID]],Table2[#All],5,FALSE)</f>
        <v>No</v>
      </c>
      <c r="G89" t="str">
        <f>VLOOKUP(Table2[[#This Row],[Customer ID]],Table2[#All],6,FALSE)</f>
        <v>No</v>
      </c>
      <c r="H89">
        <f>VLOOKUP(Table2[[#This Row],[Customer ID]],Table2[#All],7,FALSE)</f>
        <v>0</v>
      </c>
      <c r="I89" t="str">
        <f>VLOOKUP(Table2[[#This Row],[Customer ID]],Table2[#All],8,FALSE)</f>
        <v>Yes</v>
      </c>
      <c r="J89" t="str">
        <f>VLOOKUP(Table2[[#This Row],[Customer ID]],Table2[#All],9,FALSE)</f>
        <v>Obesity</v>
      </c>
      <c r="K89" t="str">
        <f>VLOOKUP(Table2[[#This Row],[Customer ID]],Table2[#All],10,FALSE)</f>
        <v>Diabetes</v>
      </c>
    </row>
    <row r="90" spans="1:11" ht="15.6" x14ac:dyDescent="0.3">
      <c r="A90" s="1" t="s">
        <v>2284</v>
      </c>
      <c r="B90" t="str">
        <f>VLOOKUP('Customer Names'!A90,'Customer Names'!$A$1:$E$2336,4,FALSE)</f>
        <v>Ms.  Kelley</v>
      </c>
      <c r="C90">
        <f>VLOOKUP(Table2[[#This Row],[Customer ID]],Table2[#All],2,FALSE)</f>
        <v>54.74</v>
      </c>
      <c r="D90">
        <f>VLOOKUP(Table2[[#This Row],[Customer ID]],Table2[#All],3,FALSE)</f>
        <v>5.84</v>
      </c>
      <c r="E90" t="str">
        <f>VLOOKUP(Table2[[#This Row],[Customer ID]],Table2[#All],4,FALSE)</f>
        <v>Yes</v>
      </c>
      <c r="F90" t="str">
        <f>VLOOKUP(Table2[[#This Row],[Customer ID]],Table2[#All],5,FALSE)</f>
        <v>No</v>
      </c>
      <c r="G90" t="str">
        <f>VLOOKUP(Table2[[#This Row],[Customer ID]],Table2[#All],6,FALSE)</f>
        <v>Yes</v>
      </c>
      <c r="H90">
        <f>VLOOKUP(Table2[[#This Row],[Customer ID]],Table2[#All],7,FALSE)</f>
        <v>1</v>
      </c>
      <c r="I90" t="str">
        <f>VLOOKUP(Table2[[#This Row],[Customer ID]],Table2[#All],8,FALSE)</f>
        <v>Yes</v>
      </c>
      <c r="J90" t="str">
        <f>VLOOKUP(Table2[[#This Row],[Customer ID]],Table2[#All],9,FALSE)</f>
        <v>Obesity</v>
      </c>
      <c r="K90" t="str">
        <f>VLOOKUP(Table2[[#This Row],[Customer ID]],Table2[#All],10,FALSE)</f>
        <v>Prediabetes</v>
      </c>
    </row>
    <row r="91" spans="1:11" ht="15.6" x14ac:dyDescent="0.3">
      <c r="A91" s="1" t="s">
        <v>2283</v>
      </c>
      <c r="B91" t="str">
        <f>VLOOKUP('Customer Names'!A91,'Customer Names'!$A$1:$E$2336,4,FALSE)</f>
        <v>Ms.  Abigail K</v>
      </c>
      <c r="C91">
        <f>VLOOKUP(Table2[[#This Row],[Customer ID]],Table2[#All],2,FALSE)</f>
        <v>32.56</v>
      </c>
      <c r="D91">
        <f>VLOOKUP(Table2[[#This Row],[Customer ID]],Table2[#All],3,FALSE)</f>
        <v>5.41</v>
      </c>
      <c r="E91" t="str">
        <f>VLOOKUP(Table2[[#This Row],[Customer ID]],Table2[#All],4,FALSE)</f>
        <v>No</v>
      </c>
      <c r="F91" t="str">
        <f>VLOOKUP(Table2[[#This Row],[Customer ID]],Table2[#All],5,FALSE)</f>
        <v>No</v>
      </c>
      <c r="G91" t="str">
        <f>VLOOKUP(Table2[[#This Row],[Customer ID]],Table2[#All],6,FALSE)</f>
        <v>Yes</v>
      </c>
      <c r="H91">
        <f>VLOOKUP(Table2[[#This Row],[Customer ID]],Table2[#All],7,FALSE)</f>
        <v>1</v>
      </c>
      <c r="I91" t="str">
        <f>VLOOKUP(Table2[[#This Row],[Customer ID]],Table2[#All],8,FALSE)</f>
        <v>Yes</v>
      </c>
      <c r="J91" t="str">
        <f>VLOOKUP(Table2[[#This Row],[Customer ID]],Table2[#All],9,FALSE)</f>
        <v>Obesity</v>
      </c>
      <c r="K91" t="str">
        <f>VLOOKUP(Table2[[#This Row],[Customer ID]],Table2[#All],10,FALSE)</f>
        <v>Normal</v>
      </c>
    </row>
    <row r="92" spans="1:11" ht="15.6" x14ac:dyDescent="0.3">
      <c r="A92" s="1" t="s">
        <v>2282</v>
      </c>
      <c r="B92" t="str">
        <f>VLOOKUP('Customer Names'!A92,'Customer Names'!$A$1:$E$2336,4,FALSE)</f>
        <v>Ms.  Hope</v>
      </c>
      <c r="C92">
        <f>VLOOKUP(Table2[[#This Row],[Customer ID]],Table2[#All],2,FALSE)</f>
        <v>39.049999999999997</v>
      </c>
      <c r="D92">
        <f>VLOOKUP(Table2[[#This Row],[Customer ID]],Table2[#All],3,FALSE)</f>
        <v>6.06</v>
      </c>
      <c r="E92" t="str">
        <f>VLOOKUP(Table2[[#This Row],[Customer ID]],Table2[#All],4,FALSE)</f>
        <v>No</v>
      </c>
      <c r="F92" t="str">
        <f>VLOOKUP(Table2[[#This Row],[Customer ID]],Table2[#All],5,FALSE)</f>
        <v>No</v>
      </c>
      <c r="G92" t="str">
        <f>VLOOKUP(Table2[[#This Row],[Customer ID]],Table2[#All],6,FALSE)</f>
        <v>No</v>
      </c>
      <c r="H92">
        <f>VLOOKUP(Table2[[#This Row],[Customer ID]],Table2[#All],7,FALSE)</f>
        <v>1</v>
      </c>
      <c r="I92" t="str">
        <f>VLOOKUP(Table2[[#This Row],[Customer ID]],Table2[#All],8,FALSE)</f>
        <v>Yes</v>
      </c>
      <c r="J92" t="str">
        <f>VLOOKUP(Table2[[#This Row],[Customer ID]],Table2[#All],9,FALSE)</f>
        <v>Obesity</v>
      </c>
      <c r="K92" t="str">
        <f>VLOOKUP(Table2[[#This Row],[Customer ID]],Table2[#All],10,FALSE)</f>
        <v>Prediabetes</v>
      </c>
    </row>
    <row r="93" spans="1:11" ht="15.6" x14ac:dyDescent="0.3">
      <c r="A93" s="1" t="s">
        <v>2281</v>
      </c>
      <c r="B93" t="str">
        <f>VLOOKUP('Customer Names'!A93,'Customer Names'!$A$1:$E$2336,4,FALSE)</f>
        <v>Ms.  Elyse M.</v>
      </c>
      <c r="C93">
        <f>VLOOKUP(Table2[[#This Row],[Customer ID]],Table2[#All],2,FALSE)</f>
        <v>42.75</v>
      </c>
      <c r="D93">
        <f>VLOOKUP(Table2[[#This Row],[Customer ID]],Table2[#All],3,FALSE)</f>
        <v>4.22</v>
      </c>
      <c r="E93" t="str">
        <f>VLOOKUP(Table2[[#This Row],[Customer ID]],Table2[#All],4,FALSE)</f>
        <v>No</v>
      </c>
      <c r="F93" t="str">
        <f>VLOOKUP(Table2[[#This Row],[Customer ID]],Table2[#All],5,FALSE)</f>
        <v>No</v>
      </c>
      <c r="G93" t="str">
        <f>VLOOKUP(Table2[[#This Row],[Customer ID]],Table2[#All],6,FALSE)</f>
        <v>No</v>
      </c>
      <c r="H93">
        <f>VLOOKUP(Table2[[#This Row],[Customer ID]],Table2[#All],7,FALSE)</f>
        <v>0</v>
      </c>
      <c r="I93" t="str">
        <f>VLOOKUP(Table2[[#This Row],[Customer ID]],Table2[#All],8,FALSE)</f>
        <v>Yes</v>
      </c>
      <c r="J93" t="str">
        <f>VLOOKUP(Table2[[#This Row],[Customer ID]],Table2[#All],9,FALSE)</f>
        <v>Obesity</v>
      </c>
      <c r="K93" t="str">
        <f>VLOOKUP(Table2[[#This Row],[Customer ID]],Table2[#All],10,FALSE)</f>
        <v>Normal</v>
      </c>
    </row>
    <row r="94" spans="1:11" ht="15.6" x14ac:dyDescent="0.3">
      <c r="A94" s="1" t="s">
        <v>2280</v>
      </c>
      <c r="B94" t="str">
        <f>VLOOKUP('Customer Names'!A94,'Customer Names'!$A$1:$E$2336,4,FALSE)</f>
        <v>Mr.  Nicholas</v>
      </c>
      <c r="C94">
        <f>VLOOKUP(Table2[[#This Row],[Customer ID]],Table2[#All],2,FALSE)</f>
        <v>50.58</v>
      </c>
      <c r="D94">
        <f>VLOOKUP(Table2[[#This Row],[Customer ID]],Table2[#All],3,FALSE)</f>
        <v>5.12</v>
      </c>
      <c r="E94" t="str">
        <f>VLOOKUP(Table2[[#This Row],[Customer ID]],Table2[#All],4,FALSE)</f>
        <v>No</v>
      </c>
      <c r="F94" t="str">
        <f>VLOOKUP(Table2[[#This Row],[Customer ID]],Table2[#All],5,FALSE)</f>
        <v>No</v>
      </c>
      <c r="G94" t="str">
        <f>VLOOKUP(Table2[[#This Row],[Customer ID]],Table2[#All],6,FALSE)</f>
        <v>No</v>
      </c>
      <c r="H94">
        <f>VLOOKUP(Table2[[#This Row],[Customer ID]],Table2[#All],7,FALSE)</f>
        <v>2</v>
      </c>
      <c r="I94" t="str">
        <f>VLOOKUP(Table2[[#This Row],[Customer ID]],Table2[#All],8,FALSE)</f>
        <v>Yes</v>
      </c>
      <c r="J94" t="str">
        <f>VLOOKUP(Table2[[#This Row],[Customer ID]],Table2[#All],9,FALSE)</f>
        <v>Obesity</v>
      </c>
      <c r="K94" t="str">
        <f>VLOOKUP(Table2[[#This Row],[Customer ID]],Table2[#All],10,FALSE)</f>
        <v>Normal</v>
      </c>
    </row>
    <row r="95" spans="1:11" ht="15.6" x14ac:dyDescent="0.3">
      <c r="A95" s="1" t="s">
        <v>2279</v>
      </c>
      <c r="B95" t="str">
        <f>VLOOKUP('Customer Names'!A95,'Customer Names'!$A$1:$E$2336,4,FALSE)</f>
        <v>Mr.  David</v>
      </c>
      <c r="C95">
        <f>VLOOKUP(Table2[[#This Row],[Customer ID]],Table2[#All],2,FALSE)</f>
        <v>30.495000000000001</v>
      </c>
      <c r="D95">
        <f>VLOOKUP(Table2[[#This Row],[Customer ID]],Table2[#All],3,FALSE)</f>
        <v>4.57</v>
      </c>
      <c r="E95" t="str">
        <f>VLOOKUP(Table2[[#This Row],[Customer ID]],Table2[#All],4,FALSE)</f>
        <v>Yes</v>
      </c>
      <c r="F95" t="str">
        <f>VLOOKUP(Table2[[#This Row],[Customer ID]],Table2[#All],5,FALSE)</f>
        <v>No</v>
      </c>
      <c r="G95" t="str">
        <f>VLOOKUP(Table2[[#This Row],[Customer ID]],Table2[#All],6,FALSE)</f>
        <v>No</v>
      </c>
      <c r="H95">
        <f>VLOOKUP(Table2[[#This Row],[Customer ID]],Table2[#All],7,FALSE)</f>
        <v>0</v>
      </c>
      <c r="I95" t="str">
        <f>VLOOKUP(Table2[[#This Row],[Customer ID]],Table2[#All],8,FALSE)</f>
        <v>Yes</v>
      </c>
      <c r="J95" t="str">
        <f>VLOOKUP(Table2[[#This Row],[Customer ID]],Table2[#All],9,FALSE)</f>
        <v>Obesity</v>
      </c>
      <c r="K95" t="str">
        <f>VLOOKUP(Table2[[#This Row],[Customer ID]],Table2[#All],10,FALSE)</f>
        <v>Normal</v>
      </c>
    </row>
    <row r="96" spans="1:11" ht="15.6" x14ac:dyDescent="0.3">
      <c r="A96" s="1" t="s">
        <v>2278</v>
      </c>
      <c r="B96" t="str">
        <f>VLOOKUP('Customer Names'!A96,'Customer Names'!$A$1:$E$2336,4,FALSE)</f>
        <v>Ms.  Natalie</v>
      </c>
      <c r="C96">
        <f>VLOOKUP(Table2[[#This Row],[Customer ID]],Table2[#All],2,FALSE)</f>
        <v>48.31</v>
      </c>
      <c r="D96">
        <f>VLOOKUP(Table2[[#This Row],[Customer ID]],Table2[#All],3,FALSE)</f>
        <v>9.58</v>
      </c>
      <c r="E96" t="str">
        <f>VLOOKUP(Table2[[#This Row],[Customer ID]],Table2[#All],4,FALSE)</f>
        <v>Yes</v>
      </c>
      <c r="F96" t="str">
        <f>VLOOKUP(Table2[[#This Row],[Customer ID]],Table2[#All],5,FALSE)</f>
        <v>No</v>
      </c>
      <c r="G96" t="str">
        <f>VLOOKUP(Table2[[#This Row],[Customer ID]],Table2[#All],6,FALSE)</f>
        <v>No</v>
      </c>
      <c r="H96">
        <f>VLOOKUP(Table2[[#This Row],[Customer ID]],Table2[#All],7,FALSE)</f>
        <v>2</v>
      </c>
      <c r="I96" t="str">
        <f>VLOOKUP(Table2[[#This Row],[Customer ID]],Table2[#All],8,FALSE)</f>
        <v>Yes</v>
      </c>
      <c r="J96" t="str">
        <f>VLOOKUP(Table2[[#This Row],[Customer ID]],Table2[#All],9,FALSE)</f>
        <v>Obesity</v>
      </c>
      <c r="K96" t="str">
        <f>VLOOKUP(Table2[[#This Row],[Customer ID]],Table2[#All],10,FALSE)</f>
        <v>Diabetes</v>
      </c>
    </row>
    <row r="97" spans="1:11" ht="15.6" x14ac:dyDescent="0.3">
      <c r="A97" s="1" t="s">
        <v>2277</v>
      </c>
      <c r="B97" t="str">
        <f>VLOOKUP('Customer Names'!A97,'Customer Names'!$A$1:$E$2336,4,FALSE)</f>
        <v>Mr.  Thomas</v>
      </c>
      <c r="C97">
        <f>VLOOKUP(Table2[[#This Row],[Customer ID]],Table2[#All],2,FALSE)</f>
        <v>48.99</v>
      </c>
      <c r="D97">
        <f>VLOOKUP(Table2[[#This Row],[Customer ID]],Table2[#All],3,FALSE)</f>
        <v>9.7799999999999994</v>
      </c>
      <c r="E97" t="str">
        <f>VLOOKUP(Table2[[#This Row],[Customer ID]],Table2[#All],4,FALSE)</f>
        <v>Yes</v>
      </c>
      <c r="F97" t="str">
        <f>VLOOKUP(Table2[[#This Row],[Customer ID]],Table2[#All],5,FALSE)</f>
        <v>No</v>
      </c>
      <c r="G97" t="str">
        <f>VLOOKUP(Table2[[#This Row],[Customer ID]],Table2[#All],6,FALSE)</f>
        <v>No</v>
      </c>
      <c r="H97">
        <f>VLOOKUP(Table2[[#This Row],[Customer ID]],Table2[#All],7,FALSE)</f>
        <v>1</v>
      </c>
      <c r="I97" t="str">
        <f>VLOOKUP(Table2[[#This Row],[Customer ID]],Table2[#All],8,FALSE)</f>
        <v>Yes</v>
      </c>
      <c r="J97" t="str">
        <f>VLOOKUP(Table2[[#This Row],[Customer ID]],Table2[#All],9,FALSE)</f>
        <v>Obesity</v>
      </c>
      <c r="K97" t="str">
        <f>VLOOKUP(Table2[[#This Row],[Customer ID]],Table2[#All],10,FALSE)</f>
        <v>Diabetes</v>
      </c>
    </row>
    <row r="98" spans="1:11" ht="15.6" x14ac:dyDescent="0.3">
      <c r="A98" s="1" t="s">
        <v>2276</v>
      </c>
      <c r="B98" t="str">
        <f>VLOOKUP('Customer Names'!A98,'Customer Names'!$A$1:$E$2336,4,FALSE)</f>
        <v>Ms.  Pamela J.</v>
      </c>
      <c r="C98">
        <f>VLOOKUP(Table2[[#This Row],[Customer ID]],Table2[#All],2,FALSE)</f>
        <v>38.39</v>
      </c>
      <c r="D98">
        <f>VLOOKUP(Table2[[#This Row],[Customer ID]],Table2[#All],3,FALSE)</f>
        <v>4.1100000000000003</v>
      </c>
      <c r="E98" t="str">
        <f>VLOOKUP(Table2[[#This Row],[Customer ID]],Table2[#All],4,FALSE)</f>
        <v>Yes</v>
      </c>
      <c r="F98" t="str">
        <f>VLOOKUP(Table2[[#This Row],[Customer ID]],Table2[#All],5,FALSE)</f>
        <v>No</v>
      </c>
      <c r="G98" t="str">
        <f>VLOOKUP(Table2[[#This Row],[Customer ID]],Table2[#All],6,FALSE)</f>
        <v>No</v>
      </c>
      <c r="H98">
        <f>VLOOKUP(Table2[[#This Row],[Customer ID]],Table2[#All],7,FALSE)</f>
        <v>0</v>
      </c>
      <c r="I98" t="str">
        <f>VLOOKUP(Table2[[#This Row],[Customer ID]],Table2[#All],8,FALSE)</f>
        <v>Yes</v>
      </c>
      <c r="J98" t="str">
        <f>VLOOKUP(Table2[[#This Row],[Customer ID]],Table2[#All],9,FALSE)</f>
        <v>Obesity</v>
      </c>
      <c r="K98" t="str">
        <f>VLOOKUP(Table2[[#This Row],[Customer ID]],Table2[#All],10,FALSE)</f>
        <v>Normal</v>
      </c>
    </row>
    <row r="99" spans="1:11" ht="15.6" x14ac:dyDescent="0.3">
      <c r="A99" s="1" t="s">
        <v>2275</v>
      </c>
      <c r="B99" t="str">
        <f>VLOOKUP('Customer Names'!A99,'Customer Names'!$A$1:$E$2336,4,FALSE)</f>
        <v>Ms.  Jessica</v>
      </c>
      <c r="C99">
        <f>VLOOKUP(Table2[[#This Row],[Customer ID]],Table2[#All],2,FALSE)</f>
        <v>44.34</v>
      </c>
      <c r="D99">
        <f>VLOOKUP(Table2[[#This Row],[Customer ID]],Table2[#All],3,FALSE)</f>
        <v>4.0199999999999996</v>
      </c>
      <c r="E99" t="str">
        <f>VLOOKUP(Table2[[#This Row],[Customer ID]],Table2[#All],4,FALSE)</f>
        <v>Yes</v>
      </c>
      <c r="F99" t="str">
        <f>VLOOKUP(Table2[[#This Row],[Customer ID]],Table2[#All],5,FALSE)</f>
        <v>No</v>
      </c>
      <c r="G99" t="str">
        <f>VLOOKUP(Table2[[#This Row],[Customer ID]],Table2[#All],6,FALSE)</f>
        <v>No</v>
      </c>
      <c r="H99">
        <f>VLOOKUP(Table2[[#This Row],[Customer ID]],Table2[#All],7,FALSE)</f>
        <v>2</v>
      </c>
      <c r="I99" t="str">
        <f>VLOOKUP(Table2[[#This Row],[Customer ID]],Table2[#All],8,FALSE)</f>
        <v>Yes</v>
      </c>
      <c r="J99" t="str">
        <f>VLOOKUP(Table2[[#This Row],[Customer ID]],Table2[#All],9,FALSE)</f>
        <v>Obesity</v>
      </c>
      <c r="K99" t="str">
        <f>VLOOKUP(Table2[[#This Row],[Customer ID]],Table2[#All],10,FALSE)</f>
        <v>Normal</v>
      </c>
    </row>
    <row r="100" spans="1:11" ht="15.6" x14ac:dyDescent="0.3">
      <c r="A100" s="1" t="s">
        <v>2274</v>
      </c>
      <c r="B100" t="str">
        <f>VLOOKUP('Customer Names'!A100,'Customer Names'!$A$1:$E$2336,4,FALSE)</f>
        <v>Mr.  Ron N</v>
      </c>
      <c r="C100">
        <f>VLOOKUP(Table2[[#This Row],[Customer ID]],Table2[#All],2,FALSE)</f>
        <v>41.51</v>
      </c>
      <c r="D100">
        <f>VLOOKUP(Table2[[#This Row],[Customer ID]],Table2[#All],3,FALSE)</f>
        <v>6.92</v>
      </c>
      <c r="E100" t="str">
        <f>VLOOKUP(Table2[[#This Row],[Customer ID]],Table2[#All],4,FALSE)</f>
        <v>No</v>
      </c>
      <c r="F100" t="str">
        <f>VLOOKUP(Table2[[#This Row],[Customer ID]],Table2[#All],5,FALSE)</f>
        <v>No</v>
      </c>
      <c r="G100" t="str">
        <f>VLOOKUP(Table2[[#This Row],[Customer ID]],Table2[#All],6,FALSE)</f>
        <v>No</v>
      </c>
      <c r="H100">
        <f>VLOOKUP(Table2[[#This Row],[Customer ID]],Table2[#All],7,FALSE)</f>
        <v>0</v>
      </c>
      <c r="I100" t="str">
        <f>VLOOKUP(Table2[[#This Row],[Customer ID]],Table2[#All],8,FALSE)</f>
        <v>Yes</v>
      </c>
      <c r="J100" t="str">
        <f>VLOOKUP(Table2[[#This Row],[Customer ID]],Table2[#All],9,FALSE)</f>
        <v>Obesity</v>
      </c>
      <c r="K100" t="str">
        <f>VLOOKUP(Table2[[#This Row],[Customer ID]],Table2[#All],10,FALSE)</f>
        <v>Diabetes</v>
      </c>
    </row>
    <row r="101" spans="1:11" ht="15.6" x14ac:dyDescent="0.3">
      <c r="A101" s="1" t="s">
        <v>2273</v>
      </c>
      <c r="B101" t="str">
        <f>VLOOKUP('Customer Names'!A101,'Customer Names'!$A$1:$E$2336,4,FALSE)</f>
        <v>Mr.  Daniel</v>
      </c>
      <c r="C101">
        <f>VLOOKUP(Table2[[#This Row],[Customer ID]],Table2[#All],2,FALSE)</f>
        <v>48.2</v>
      </c>
      <c r="D101">
        <f>VLOOKUP(Table2[[#This Row],[Customer ID]],Table2[#All],3,FALSE)</f>
        <v>4.84</v>
      </c>
      <c r="E101" t="str">
        <f>VLOOKUP(Table2[[#This Row],[Customer ID]],Table2[#All],4,FALSE)</f>
        <v>No</v>
      </c>
      <c r="F101" t="str">
        <f>VLOOKUP(Table2[[#This Row],[Customer ID]],Table2[#All],5,FALSE)</f>
        <v>No</v>
      </c>
      <c r="G101" t="str">
        <f>VLOOKUP(Table2[[#This Row],[Customer ID]],Table2[#All],6,FALSE)</f>
        <v>No</v>
      </c>
      <c r="H101">
        <f>VLOOKUP(Table2[[#This Row],[Customer ID]],Table2[#All],7,FALSE)</f>
        <v>0</v>
      </c>
      <c r="I101" t="str">
        <f>VLOOKUP(Table2[[#This Row],[Customer ID]],Table2[#All],8,FALSE)</f>
        <v>Yes</v>
      </c>
      <c r="J101" t="str">
        <f>VLOOKUP(Table2[[#This Row],[Customer ID]],Table2[#All],9,FALSE)</f>
        <v>Obesity</v>
      </c>
      <c r="K101" t="str">
        <f>VLOOKUP(Table2[[#This Row],[Customer ID]],Table2[#All],10,FALSE)</f>
        <v>Normal</v>
      </c>
    </row>
    <row r="102" spans="1:11" ht="15.6" x14ac:dyDescent="0.3">
      <c r="A102" s="1" t="s">
        <v>2272</v>
      </c>
      <c r="B102" t="str">
        <f>VLOOKUP('Customer Names'!A102,'Customer Names'!$A$1:$E$2336,4,FALSE)</f>
        <v>Mr.  Brian</v>
      </c>
      <c r="C102">
        <f>VLOOKUP(Table2[[#This Row],[Customer ID]],Table2[#All],2,FALSE)</f>
        <v>35.75</v>
      </c>
      <c r="D102">
        <f>VLOOKUP(Table2[[#This Row],[Customer ID]],Table2[#All],3,FALSE)</f>
        <v>8</v>
      </c>
      <c r="E102" t="str">
        <f>VLOOKUP(Table2[[#This Row],[Customer ID]],Table2[#All],4,FALSE)</f>
        <v>Yes</v>
      </c>
      <c r="F102" t="str">
        <f>VLOOKUP(Table2[[#This Row],[Customer ID]],Table2[#All],5,FALSE)</f>
        <v>No</v>
      </c>
      <c r="G102" t="str">
        <f>VLOOKUP(Table2[[#This Row],[Customer ID]],Table2[#All],6,FALSE)</f>
        <v>No</v>
      </c>
      <c r="H102">
        <f>VLOOKUP(Table2[[#This Row],[Customer ID]],Table2[#All],7,FALSE)</f>
        <v>0</v>
      </c>
      <c r="I102" t="str">
        <f>VLOOKUP(Table2[[#This Row],[Customer ID]],Table2[#All],8,FALSE)</f>
        <v>Yes</v>
      </c>
      <c r="J102" t="str">
        <f>VLOOKUP(Table2[[#This Row],[Customer ID]],Table2[#All],9,FALSE)</f>
        <v>Obesity</v>
      </c>
      <c r="K102" t="str">
        <f>VLOOKUP(Table2[[#This Row],[Customer ID]],Table2[#All],10,FALSE)</f>
        <v>Diabetes</v>
      </c>
    </row>
    <row r="103" spans="1:11" ht="15.6" x14ac:dyDescent="0.3">
      <c r="A103" s="1" t="s">
        <v>2271</v>
      </c>
      <c r="B103" t="str">
        <f>VLOOKUP('Customer Names'!A103,'Customer Names'!$A$1:$E$2336,4,FALSE)</f>
        <v>Ms.  Sari</v>
      </c>
      <c r="C103">
        <f>VLOOKUP(Table2[[#This Row],[Customer ID]],Table2[#All],2,FALSE)</f>
        <v>53.81</v>
      </c>
      <c r="D103">
        <f>VLOOKUP(Table2[[#This Row],[Customer ID]],Table2[#All],3,FALSE)</f>
        <v>8.77</v>
      </c>
      <c r="E103" t="str">
        <f>VLOOKUP(Table2[[#This Row],[Customer ID]],Table2[#All],4,FALSE)</f>
        <v>Yes</v>
      </c>
      <c r="F103" t="str">
        <f>VLOOKUP(Table2[[#This Row],[Customer ID]],Table2[#All],5,FALSE)</f>
        <v>No</v>
      </c>
      <c r="G103" t="str">
        <f>VLOOKUP(Table2[[#This Row],[Customer ID]],Table2[#All],6,FALSE)</f>
        <v>No</v>
      </c>
      <c r="H103">
        <f>VLOOKUP(Table2[[#This Row],[Customer ID]],Table2[#All],7,FALSE)</f>
        <v>0</v>
      </c>
      <c r="I103" t="str">
        <f>VLOOKUP(Table2[[#This Row],[Customer ID]],Table2[#All],8,FALSE)</f>
        <v>Yes</v>
      </c>
      <c r="J103" t="str">
        <f>VLOOKUP(Table2[[#This Row],[Customer ID]],Table2[#All],9,FALSE)</f>
        <v>Obesity</v>
      </c>
      <c r="K103" t="str">
        <f>VLOOKUP(Table2[[#This Row],[Customer ID]],Table2[#All],10,FALSE)</f>
        <v>Diabetes</v>
      </c>
    </row>
    <row r="104" spans="1:11" ht="15.6" x14ac:dyDescent="0.3">
      <c r="A104" s="1" t="s">
        <v>2270</v>
      </c>
      <c r="B104" t="str">
        <f>VLOOKUP('Customer Names'!A104,'Customer Names'!$A$1:$E$2336,4,FALSE)</f>
        <v>Mr.  Robert M.</v>
      </c>
      <c r="C104">
        <f>VLOOKUP(Table2[[#This Row],[Customer ID]],Table2[#All],2,FALSE)</f>
        <v>49.48</v>
      </c>
      <c r="D104">
        <f>VLOOKUP(Table2[[#This Row],[Customer ID]],Table2[#All],3,FALSE)</f>
        <v>4.96</v>
      </c>
      <c r="E104" t="str">
        <f>VLOOKUP(Table2[[#This Row],[Customer ID]],Table2[#All],4,FALSE)</f>
        <v>No</v>
      </c>
      <c r="F104" t="str">
        <f>VLOOKUP(Table2[[#This Row],[Customer ID]],Table2[#All],5,FALSE)</f>
        <v>No</v>
      </c>
      <c r="G104" t="str">
        <f>VLOOKUP(Table2[[#This Row],[Customer ID]],Table2[#All],6,FALSE)</f>
        <v>Yes</v>
      </c>
      <c r="H104">
        <f>VLOOKUP(Table2[[#This Row],[Customer ID]],Table2[#All],7,FALSE)</f>
        <v>1</v>
      </c>
      <c r="I104" t="str">
        <f>VLOOKUP(Table2[[#This Row],[Customer ID]],Table2[#All],8,FALSE)</f>
        <v>Yes</v>
      </c>
      <c r="J104" t="str">
        <f>VLOOKUP(Table2[[#This Row],[Customer ID]],Table2[#All],9,FALSE)</f>
        <v>Obesity</v>
      </c>
      <c r="K104" t="str">
        <f>VLOOKUP(Table2[[#This Row],[Customer ID]],Table2[#All],10,FALSE)</f>
        <v>Normal</v>
      </c>
    </row>
    <row r="105" spans="1:11" ht="15.6" x14ac:dyDescent="0.3">
      <c r="A105" s="1" t="s">
        <v>2269</v>
      </c>
      <c r="B105" t="str">
        <f>VLOOKUP('Customer Names'!A105,'Customer Names'!$A$1:$E$2336,4,FALSE)</f>
        <v>Mr.  Ricardo</v>
      </c>
      <c r="C105">
        <f>VLOOKUP(Table2[[#This Row],[Customer ID]],Table2[#All],2,FALSE)</f>
        <v>34.1</v>
      </c>
      <c r="D105">
        <f>VLOOKUP(Table2[[#This Row],[Customer ID]],Table2[#All],3,FALSE)</f>
        <v>4.43</v>
      </c>
      <c r="E105" t="str">
        <f>VLOOKUP(Table2[[#This Row],[Customer ID]],Table2[#All],4,FALSE)</f>
        <v>Yes</v>
      </c>
      <c r="F105" t="str">
        <f>VLOOKUP(Table2[[#This Row],[Customer ID]],Table2[#All],5,FALSE)</f>
        <v>No</v>
      </c>
      <c r="G105" t="str">
        <f>VLOOKUP(Table2[[#This Row],[Customer ID]],Table2[#All],6,FALSE)</f>
        <v>No</v>
      </c>
      <c r="H105">
        <f>VLOOKUP(Table2[[#This Row],[Customer ID]],Table2[#All],7,FALSE)</f>
        <v>0</v>
      </c>
      <c r="I105" t="str">
        <f>VLOOKUP(Table2[[#This Row],[Customer ID]],Table2[#All],8,FALSE)</f>
        <v>Yes</v>
      </c>
      <c r="J105" t="str">
        <f>VLOOKUP(Table2[[#This Row],[Customer ID]],Table2[#All],9,FALSE)</f>
        <v>Obesity</v>
      </c>
      <c r="K105" t="str">
        <f>VLOOKUP(Table2[[#This Row],[Customer ID]],Table2[#All],10,FALSE)</f>
        <v>Normal</v>
      </c>
    </row>
    <row r="106" spans="1:11" ht="15.6" x14ac:dyDescent="0.3">
      <c r="A106" s="1" t="s">
        <v>2268</v>
      </c>
      <c r="B106" t="str">
        <f>VLOOKUP('Customer Names'!A106,'Customer Names'!$A$1:$E$2336,4,FALSE)</f>
        <v>Mr.  Gedion</v>
      </c>
      <c r="C106">
        <f>VLOOKUP(Table2[[#This Row],[Customer ID]],Table2[#All],2,FALSE)</f>
        <v>35.299999999999997</v>
      </c>
      <c r="D106">
        <f>VLOOKUP(Table2[[#This Row],[Customer ID]],Table2[#All],3,FALSE)</f>
        <v>5.82</v>
      </c>
      <c r="E106" t="str">
        <f>VLOOKUP(Table2[[#This Row],[Customer ID]],Table2[#All],4,FALSE)</f>
        <v>Yes</v>
      </c>
      <c r="F106" t="str">
        <f>VLOOKUP(Table2[[#This Row],[Customer ID]],Table2[#All],5,FALSE)</f>
        <v>No</v>
      </c>
      <c r="G106" t="str">
        <f>VLOOKUP(Table2[[#This Row],[Customer ID]],Table2[#All],6,FALSE)</f>
        <v>Yes</v>
      </c>
      <c r="H106">
        <f>VLOOKUP(Table2[[#This Row],[Customer ID]],Table2[#All],7,FALSE)</f>
        <v>1</v>
      </c>
      <c r="I106" t="str">
        <f>VLOOKUP(Table2[[#This Row],[Customer ID]],Table2[#All],8,FALSE)</f>
        <v>Yes</v>
      </c>
      <c r="J106" t="str">
        <f>VLOOKUP(Table2[[#This Row],[Customer ID]],Table2[#All],9,FALSE)</f>
        <v>Obesity</v>
      </c>
      <c r="K106" t="str">
        <f>VLOOKUP(Table2[[#This Row],[Customer ID]],Table2[#All],10,FALSE)</f>
        <v>Prediabetes</v>
      </c>
    </row>
    <row r="107" spans="1:11" ht="15.6" x14ac:dyDescent="0.3">
      <c r="A107" s="1" t="s">
        <v>2267</v>
      </c>
      <c r="B107" t="str">
        <f>VLOOKUP('Customer Names'!A107,'Customer Names'!$A$1:$E$2336,4,FALSE)</f>
        <v>Mr.  Mark</v>
      </c>
      <c r="C107">
        <f>VLOOKUP(Table2[[#This Row],[Customer ID]],Table2[#All],2,FALSE)</f>
        <v>43.83</v>
      </c>
      <c r="D107">
        <f>VLOOKUP(Table2[[#This Row],[Customer ID]],Table2[#All],3,FALSE)</f>
        <v>6.03</v>
      </c>
      <c r="E107" t="str">
        <f>VLOOKUP(Table2[[#This Row],[Customer ID]],Table2[#All],4,FALSE)</f>
        <v>Yes</v>
      </c>
      <c r="F107" t="str">
        <f>VLOOKUP(Table2[[#This Row],[Customer ID]],Table2[#All],5,FALSE)</f>
        <v>No</v>
      </c>
      <c r="G107" t="str">
        <f>VLOOKUP(Table2[[#This Row],[Customer ID]],Table2[#All],6,FALSE)</f>
        <v>No</v>
      </c>
      <c r="H107">
        <f>VLOOKUP(Table2[[#This Row],[Customer ID]],Table2[#All],7,FALSE)</f>
        <v>2</v>
      </c>
      <c r="I107" t="str">
        <f>VLOOKUP(Table2[[#This Row],[Customer ID]],Table2[#All],8,FALSE)</f>
        <v>Yes</v>
      </c>
      <c r="J107" t="str">
        <f>VLOOKUP(Table2[[#This Row],[Customer ID]],Table2[#All],9,FALSE)</f>
        <v>Obesity</v>
      </c>
      <c r="K107" t="str">
        <f>VLOOKUP(Table2[[#This Row],[Customer ID]],Table2[#All],10,FALSE)</f>
        <v>Prediabetes</v>
      </c>
    </row>
    <row r="108" spans="1:11" ht="15.6" x14ac:dyDescent="0.3">
      <c r="A108" s="1" t="s">
        <v>2266</v>
      </c>
      <c r="B108" t="str">
        <f>VLOOKUP('Customer Names'!A108,'Customer Names'!$A$1:$E$2336,4,FALSE)</f>
        <v>Mr.  Gamini P.</v>
      </c>
      <c r="C108">
        <f>VLOOKUP(Table2[[#This Row],[Customer ID]],Table2[#All],2,FALSE)</f>
        <v>50.07</v>
      </c>
      <c r="D108">
        <f>VLOOKUP(Table2[[#This Row],[Customer ID]],Table2[#All],3,FALSE)</f>
        <v>9.27</v>
      </c>
      <c r="E108" t="str">
        <f>VLOOKUP(Table2[[#This Row],[Customer ID]],Table2[#All],4,FALSE)</f>
        <v>No</v>
      </c>
      <c r="F108" t="str">
        <f>VLOOKUP(Table2[[#This Row],[Customer ID]],Table2[#All],5,FALSE)</f>
        <v>No</v>
      </c>
      <c r="G108" t="str">
        <f>VLOOKUP(Table2[[#This Row],[Customer ID]],Table2[#All],6,FALSE)</f>
        <v>No</v>
      </c>
      <c r="H108">
        <f>VLOOKUP(Table2[[#This Row],[Customer ID]],Table2[#All],7,FALSE)</f>
        <v>0</v>
      </c>
      <c r="I108" t="str">
        <f>VLOOKUP(Table2[[#This Row],[Customer ID]],Table2[#All],8,FALSE)</f>
        <v>Yes</v>
      </c>
      <c r="J108" t="str">
        <f>VLOOKUP(Table2[[#This Row],[Customer ID]],Table2[#All],9,FALSE)</f>
        <v>Obesity</v>
      </c>
      <c r="K108" t="str">
        <f>VLOOKUP(Table2[[#This Row],[Customer ID]],Table2[#All],10,FALSE)</f>
        <v>Diabetes</v>
      </c>
    </row>
    <row r="109" spans="1:11" ht="15.6" x14ac:dyDescent="0.3">
      <c r="A109" s="1" t="s">
        <v>2265</v>
      </c>
      <c r="B109" t="str">
        <f>VLOOKUP('Customer Names'!A109,'Customer Names'!$A$1:$E$2336,4,FALSE)</f>
        <v>Ms.  Emily J</v>
      </c>
      <c r="C109">
        <f>VLOOKUP(Table2[[#This Row],[Customer ID]],Table2[#All],2,FALSE)</f>
        <v>32.774999999999999</v>
      </c>
      <c r="D109">
        <f>VLOOKUP(Table2[[#This Row],[Customer ID]],Table2[#All],3,FALSE)</f>
        <v>5.53</v>
      </c>
      <c r="E109" t="str">
        <f>VLOOKUP(Table2[[#This Row],[Customer ID]],Table2[#All],4,FALSE)</f>
        <v>No</v>
      </c>
      <c r="F109" t="str">
        <f>VLOOKUP(Table2[[#This Row],[Customer ID]],Table2[#All],5,FALSE)</f>
        <v>No</v>
      </c>
      <c r="G109" t="str">
        <f>VLOOKUP(Table2[[#This Row],[Customer ID]],Table2[#All],6,FALSE)</f>
        <v>No</v>
      </c>
      <c r="H109">
        <f>VLOOKUP(Table2[[#This Row],[Customer ID]],Table2[#All],7,FALSE)</f>
        <v>0</v>
      </c>
      <c r="I109" t="str">
        <f>VLOOKUP(Table2[[#This Row],[Customer ID]],Table2[#All],8,FALSE)</f>
        <v>Yes</v>
      </c>
      <c r="J109" t="str">
        <f>VLOOKUP(Table2[[#This Row],[Customer ID]],Table2[#All],9,FALSE)</f>
        <v>Obesity</v>
      </c>
      <c r="K109" t="str">
        <f>VLOOKUP(Table2[[#This Row],[Customer ID]],Table2[#All],10,FALSE)</f>
        <v>Normal</v>
      </c>
    </row>
    <row r="110" spans="1:11" ht="15.6" x14ac:dyDescent="0.3">
      <c r="A110" s="1" t="s">
        <v>2264</v>
      </c>
      <c r="B110" t="str">
        <f>VLOOKUP('Customer Names'!A110,'Customer Names'!$A$1:$E$2336,4,FALSE)</f>
        <v>Ms.  Amanda</v>
      </c>
      <c r="C110">
        <f>VLOOKUP(Table2[[#This Row],[Customer ID]],Table2[#All],2,FALSE)</f>
        <v>34.104999999999997</v>
      </c>
      <c r="D110">
        <f>VLOOKUP(Table2[[#This Row],[Customer ID]],Table2[#All],3,FALSE)</f>
        <v>5.07</v>
      </c>
      <c r="E110" t="str">
        <f>VLOOKUP(Table2[[#This Row],[Customer ID]],Table2[#All],4,FALSE)</f>
        <v>No</v>
      </c>
      <c r="F110" t="str">
        <f>VLOOKUP(Table2[[#This Row],[Customer ID]],Table2[#All],5,FALSE)</f>
        <v>No</v>
      </c>
      <c r="G110" t="str">
        <f>VLOOKUP(Table2[[#This Row],[Customer ID]],Table2[#All],6,FALSE)</f>
        <v>No</v>
      </c>
      <c r="H110">
        <f>VLOOKUP(Table2[[#This Row],[Customer ID]],Table2[#All],7,FALSE)</f>
        <v>1</v>
      </c>
      <c r="I110" t="str">
        <f>VLOOKUP(Table2[[#This Row],[Customer ID]],Table2[#All],8,FALSE)</f>
        <v>Yes</v>
      </c>
      <c r="J110" t="str">
        <f>VLOOKUP(Table2[[#This Row],[Customer ID]],Table2[#All],9,FALSE)</f>
        <v>Obesity</v>
      </c>
      <c r="K110" t="str">
        <f>VLOOKUP(Table2[[#This Row],[Customer ID]],Table2[#All],10,FALSE)</f>
        <v>Normal</v>
      </c>
    </row>
    <row r="111" spans="1:11" ht="15.6" x14ac:dyDescent="0.3">
      <c r="A111" s="1" t="s">
        <v>2263</v>
      </c>
      <c r="B111" t="str">
        <f>VLOOKUP('Customer Names'!A111,'Customer Names'!$A$1:$E$2336,4,FALSE)</f>
        <v>Mr.  Nicholas</v>
      </c>
      <c r="C111">
        <f>VLOOKUP(Table2[[#This Row],[Customer ID]],Table2[#All],2,FALSE)</f>
        <v>48.93</v>
      </c>
      <c r="D111">
        <f>VLOOKUP(Table2[[#This Row],[Customer ID]],Table2[#All],3,FALSE)</f>
        <v>11.17</v>
      </c>
      <c r="E111" t="str">
        <f>VLOOKUP(Table2[[#This Row],[Customer ID]],Table2[#All],4,FALSE)</f>
        <v>Yes</v>
      </c>
      <c r="F111" t="str">
        <f>VLOOKUP(Table2[[#This Row],[Customer ID]],Table2[#All],5,FALSE)</f>
        <v>No</v>
      </c>
      <c r="G111" t="str">
        <f>VLOOKUP(Table2[[#This Row],[Customer ID]],Table2[#All],6,FALSE)</f>
        <v>No</v>
      </c>
      <c r="H111">
        <f>VLOOKUP(Table2[[#This Row],[Customer ID]],Table2[#All],7,FALSE)</f>
        <v>1</v>
      </c>
      <c r="I111" t="str">
        <f>VLOOKUP(Table2[[#This Row],[Customer ID]],Table2[#All],8,FALSE)</f>
        <v>Yes</v>
      </c>
      <c r="J111" t="str">
        <f>VLOOKUP(Table2[[#This Row],[Customer ID]],Table2[#All],9,FALSE)</f>
        <v>Obesity</v>
      </c>
      <c r="K111" t="str">
        <f>VLOOKUP(Table2[[#This Row],[Customer ID]],Table2[#All],10,FALSE)</f>
        <v>Diabetes</v>
      </c>
    </row>
    <row r="112" spans="1:11" ht="15.6" x14ac:dyDescent="0.3">
      <c r="A112" s="1" t="s">
        <v>2262</v>
      </c>
      <c r="B112" t="str">
        <f>VLOOKUP('Customer Names'!A112,'Customer Names'!$A$1:$E$2336,4,FALSE)</f>
        <v>Mr.  Knox</v>
      </c>
      <c r="C112">
        <f>VLOOKUP(Table2[[#This Row],[Customer ID]],Table2[#All],2,FALSE)</f>
        <v>37.07</v>
      </c>
      <c r="D112">
        <f>VLOOKUP(Table2[[#This Row],[Customer ID]],Table2[#All],3,FALSE)</f>
        <v>6.14</v>
      </c>
      <c r="E112" t="str">
        <f>VLOOKUP(Table2[[#This Row],[Customer ID]],Table2[#All],4,FALSE)</f>
        <v>Yes</v>
      </c>
      <c r="F112" t="str">
        <f>VLOOKUP(Table2[[#This Row],[Customer ID]],Table2[#All],5,FALSE)</f>
        <v>No</v>
      </c>
      <c r="G112" t="str">
        <f>VLOOKUP(Table2[[#This Row],[Customer ID]],Table2[#All],6,FALSE)</f>
        <v>No</v>
      </c>
      <c r="H112">
        <f>VLOOKUP(Table2[[#This Row],[Customer ID]],Table2[#All],7,FALSE)</f>
        <v>0</v>
      </c>
      <c r="I112" t="str">
        <f>VLOOKUP(Table2[[#This Row],[Customer ID]],Table2[#All],8,FALSE)</f>
        <v>Yes</v>
      </c>
      <c r="J112" t="str">
        <f>VLOOKUP(Table2[[#This Row],[Customer ID]],Table2[#All],9,FALSE)</f>
        <v>Obesity</v>
      </c>
      <c r="K112" t="str">
        <f>VLOOKUP(Table2[[#This Row],[Customer ID]],Table2[#All],10,FALSE)</f>
        <v>Prediabetes</v>
      </c>
    </row>
    <row r="113" spans="1:11" ht="15.6" x14ac:dyDescent="0.3">
      <c r="A113" s="1" t="s">
        <v>2261</v>
      </c>
      <c r="B113" t="str">
        <f>VLOOKUP('Customer Names'!A113,'Customer Names'!$A$1:$E$2336,4,FALSE)</f>
        <v>Ms.  Yianna</v>
      </c>
      <c r="C113">
        <f>VLOOKUP(Table2[[#This Row],[Customer ID]],Table2[#All],2,FALSE)</f>
        <v>51.51</v>
      </c>
      <c r="D113">
        <f>VLOOKUP(Table2[[#This Row],[Customer ID]],Table2[#All],3,FALSE)</f>
        <v>6.26</v>
      </c>
      <c r="E113" t="str">
        <f>VLOOKUP(Table2[[#This Row],[Customer ID]],Table2[#All],4,FALSE)</f>
        <v>Yes</v>
      </c>
      <c r="F113" t="str">
        <f>VLOOKUP(Table2[[#This Row],[Customer ID]],Table2[#All],5,FALSE)</f>
        <v>No</v>
      </c>
      <c r="G113" t="str">
        <f>VLOOKUP(Table2[[#This Row],[Customer ID]],Table2[#All],6,FALSE)</f>
        <v>Yes</v>
      </c>
      <c r="H113">
        <f>VLOOKUP(Table2[[#This Row],[Customer ID]],Table2[#All],7,FALSE)</f>
        <v>1</v>
      </c>
      <c r="I113" t="str">
        <f>VLOOKUP(Table2[[#This Row],[Customer ID]],Table2[#All],8,FALSE)</f>
        <v>Yes</v>
      </c>
      <c r="J113" t="str">
        <f>VLOOKUP(Table2[[#This Row],[Customer ID]],Table2[#All],9,FALSE)</f>
        <v>Obesity</v>
      </c>
      <c r="K113" t="str">
        <f>VLOOKUP(Table2[[#This Row],[Customer ID]],Table2[#All],10,FALSE)</f>
        <v>Prediabetes</v>
      </c>
    </row>
    <row r="114" spans="1:11" ht="15.6" x14ac:dyDescent="0.3">
      <c r="A114" s="1" t="s">
        <v>2260</v>
      </c>
      <c r="B114" t="str">
        <f>VLOOKUP('Customer Names'!A114,'Customer Names'!$A$1:$E$2336,4,FALSE)</f>
        <v>Ms.  Roberta</v>
      </c>
      <c r="C114">
        <f>VLOOKUP(Table2[[#This Row],[Customer ID]],Table2[#All],2,FALSE)</f>
        <v>34.799999999999997</v>
      </c>
      <c r="D114">
        <f>VLOOKUP(Table2[[#This Row],[Customer ID]],Table2[#All],3,FALSE)</f>
        <v>4.72</v>
      </c>
      <c r="E114" t="str">
        <f>VLOOKUP(Table2[[#This Row],[Customer ID]],Table2[#All],4,FALSE)</f>
        <v>Yes</v>
      </c>
      <c r="F114" t="str">
        <f>VLOOKUP(Table2[[#This Row],[Customer ID]],Table2[#All],5,FALSE)</f>
        <v>No</v>
      </c>
      <c r="G114" t="str">
        <f>VLOOKUP(Table2[[#This Row],[Customer ID]],Table2[#All],6,FALSE)</f>
        <v>No</v>
      </c>
      <c r="H114">
        <f>VLOOKUP(Table2[[#This Row],[Customer ID]],Table2[#All],7,FALSE)</f>
        <v>0</v>
      </c>
      <c r="I114" t="str">
        <f>VLOOKUP(Table2[[#This Row],[Customer ID]],Table2[#All],8,FALSE)</f>
        <v>Yes</v>
      </c>
      <c r="J114" t="str">
        <f>VLOOKUP(Table2[[#This Row],[Customer ID]],Table2[#All],9,FALSE)</f>
        <v>Obesity</v>
      </c>
      <c r="K114" t="str">
        <f>VLOOKUP(Table2[[#This Row],[Customer ID]],Table2[#All],10,FALSE)</f>
        <v>Normal</v>
      </c>
    </row>
    <row r="115" spans="1:11" ht="15.6" x14ac:dyDescent="0.3">
      <c r="A115" s="1" t="s">
        <v>2259</v>
      </c>
      <c r="B115" t="str">
        <f>VLOOKUP('Customer Names'!A115,'Customer Names'!$A$1:$E$2336,4,FALSE)</f>
        <v>Mr.  Benjamin P.</v>
      </c>
      <c r="C115">
        <f>VLOOKUP(Table2[[#This Row],[Customer ID]],Table2[#All],2,FALSE)</f>
        <v>36.67</v>
      </c>
      <c r="D115">
        <f>VLOOKUP(Table2[[#This Row],[Customer ID]],Table2[#All],3,FALSE)</f>
        <v>5.18</v>
      </c>
      <c r="E115" t="str">
        <f>VLOOKUP(Table2[[#This Row],[Customer ID]],Table2[#All],4,FALSE)</f>
        <v>No</v>
      </c>
      <c r="F115" t="str">
        <f>VLOOKUP(Table2[[#This Row],[Customer ID]],Table2[#All],5,FALSE)</f>
        <v>No</v>
      </c>
      <c r="G115" t="str">
        <f>VLOOKUP(Table2[[#This Row],[Customer ID]],Table2[#All],6,FALSE)</f>
        <v>No</v>
      </c>
      <c r="H115">
        <f>VLOOKUP(Table2[[#This Row],[Customer ID]],Table2[#All],7,FALSE)</f>
        <v>1</v>
      </c>
      <c r="I115" t="str">
        <f>VLOOKUP(Table2[[#This Row],[Customer ID]],Table2[#All],8,FALSE)</f>
        <v>Yes</v>
      </c>
      <c r="J115" t="str">
        <f>VLOOKUP(Table2[[#This Row],[Customer ID]],Table2[#All],9,FALSE)</f>
        <v>Obesity</v>
      </c>
      <c r="K115" t="str">
        <f>VLOOKUP(Table2[[#This Row],[Customer ID]],Table2[#All],10,FALSE)</f>
        <v>Normal</v>
      </c>
    </row>
    <row r="116" spans="1:11" ht="15.6" x14ac:dyDescent="0.3">
      <c r="A116" s="1" t="s">
        <v>2258</v>
      </c>
      <c r="B116" t="str">
        <f>VLOOKUP('Customer Names'!A116,'Customer Names'!$A$1:$E$2336,4,FALSE)</f>
        <v>Mr.  Craig</v>
      </c>
      <c r="C116">
        <f>VLOOKUP(Table2[[#This Row],[Customer ID]],Table2[#All],2,FALSE)</f>
        <v>30.9</v>
      </c>
      <c r="D116">
        <f>VLOOKUP(Table2[[#This Row],[Customer ID]],Table2[#All],3,FALSE)</f>
        <v>9.4</v>
      </c>
      <c r="E116" t="str">
        <f>VLOOKUP(Table2[[#This Row],[Customer ID]],Table2[#All],4,FALSE)</f>
        <v>No</v>
      </c>
      <c r="F116" t="str">
        <f>VLOOKUP(Table2[[#This Row],[Customer ID]],Table2[#All],5,FALSE)</f>
        <v>No</v>
      </c>
      <c r="G116" t="str">
        <f>VLOOKUP(Table2[[#This Row],[Customer ID]],Table2[#All],6,FALSE)</f>
        <v>No</v>
      </c>
      <c r="H116">
        <f>VLOOKUP(Table2[[#This Row],[Customer ID]],Table2[#All],7,FALSE)</f>
        <v>2</v>
      </c>
      <c r="I116" t="str">
        <f>VLOOKUP(Table2[[#This Row],[Customer ID]],Table2[#All],8,FALSE)</f>
        <v>Yes</v>
      </c>
      <c r="J116" t="str">
        <f>VLOOKUP(Table2[[#This Row],[Customer ID]],Table2[#All],9,FALSE)</f>
        <v>Obesity</v>
      </c>
      <c r="K116" t="str">
        <f>VLOOKUP(Table2[[#This Row],[Customer ID]],Table2[#All],10,FALSE)</f>
        <v>Diabetes</v>
      </c>
    </row>
    <row r="117" spans="1:11" ht="15.6" x14ac:dyDescent="0.3">
      <c r="A117" s="1" t="s">
        <v>2257</v>
      </c>
      <c r="B117" t="str">
        <f>VLOOKUP('Customer Names'!A117,'Customer Names'!$A$1:$E$2336,4,FALSE)</f>
        <v>Ms.  Ann</v>
      </c>
      <c r="C117">
        <f>VLOOKUP(Table2[[#This Row],[Customer ID]],Table2[#All],2,FALSE)</f>
        <v>30.495000000000001</v>
      </c>
      <c r="D117">
        <f>VLOOKUP(Table2[[#This Row],[Customer ID]],Table2[#All],3,FALSE)</f>
        <v>6.29</v>
      </c>
      <c r="E117" t="str">
        <f>VLOOKUP(Table2[[#This Row],[Customer ID]],Table2[#All],4,FALSE)</f>
        <v>No</v>
      </c>
      <c r="F117" t="str">
        <f>VLOOKUP(Table2[[#This Row],[Customer ID]],Table2[#All],5,FALSE)</f>
        <v>No</v>
      </c>
      <c r="G117" t="str">
        <f>VLOOKUP(Table2[[#This Row],[Customer ID]],Table2[#All],6,FALSE)</f>
        <v>No</v>
      </c>
      <c r="H117">
        <f>VLOOKUP(Table2[[#This Row],[Customer ID]],Table2[#All],7,FALSE)</f>
        <v>0</v>
      </c>
      <c r="I117" t="str">
        <f>VLOOKUP(Table2[[#This Row],[Customer ID]],Table2[#All],8,FALSE)</f>
        <v>Yes</v>
      </c>
      <c r="J117" t="str">
        <f>VLOOKUP(Table2[[#This Row],[Customer ID]],Table2[#All],9,FALSE)</f>
        <v>Obesity</v>
      </c>
      <c r="K117" t="str">
        <f>VLOOKUP(Table2[[#This Row],[Customer ID]],Table2[#All],10,FALSE)</f>
        <v>Prediabetes</v>
      </c>
    </row>
    <row r="118" spans="1:11" ht="15.6" x14ac:dyDescent="0.3">
      <c r="A118" s="1" t="s">
        <v>2256</v>
      </c>
      <c r="B118" t="str">
        <f>VLOOKUP('Customer Names'!A118,'Customer Names'!$A$1:$E$2336,4,FALSE)</f>
        <v>Mr.  Jamie P</v>
      </c>
      <c r="C118">
        <f>VLOOKUP(Table2[[#This Row],[Customer ID]],Table2[#All],2,FALSE)</f>
        <v>44.88</v>
      </c>
      <c r="D118">
        <f>VLOOKUP(Table2[[#This Row],[Customer ID]],Table2[#All],3,FALSE)</f>
        <v>6.04</v>
      </c>
      <c r="E118" t="str">
        <f>VLOOKUP(Table2[[#This Row],[Customer ID]],Table2[#All],4,FALSE)</f>
        <v>No</v>
      </c>
      <c r="F118" t="str">
        <f>VLOOKUP(Table2[[#This Row],[Customer ID]],Table2[#All],5,FALSE)</f>
        <v>No</v>
      </c>
      <c r="G118" t="str">
        <f>VLOOKUP(Table2[[#This Row],[Customer ID]],Table2[#All],6,FALSE)</f>
        <v>Yes</v>
      </c>
      <c r="H118">
        <f>VLOOKUP(Table2[[#This Row],[Customer ID]],Table2[#All],7,FALSE)</f>
        <v>1</v>
      </c>
      <c r="I118" t="str">
        <f>VLOOKUP(Table2[[#This Row],[Customer ID]],Table2[#All],8,FALSE)</f>
        <v>Yes</v>
      </c>
      <c r="J118" t="str">
        <f>VLOOKUP(Table2[[#This Row],[Customer ID]],Table2[#All],9,FALSE)</f>
        <v>Obesity</v>
      </c>
      <c r="K118" t="str">
        <f>VLOOKUP(Table2[[#This Row],[Customer ID]],Table2[#All],10,FALSE)</f>
        <v>Prediabetes</v>
      </c>
    </row>
    <row r="119" spans="1:11" ht="15.6" x14ac:dyDescent="0.3">
      <c r="A119" s="1" t="s">
        <v>2255</v>
      </c>
      <c r="B119" t="str">
        <f>VLOOKUP('Customer Names'!A119,'Customer Names'!$A$1:$E$2336,4,FALSE)</f>
        <v>Mr.  John</v>
      </c>
      <c r="C119">
        <f>VLOOKUP(Table2[[#This Row],[Customer ID]],Table2[#All],2,FALSE)</f>
        <v>44.32</v>
      </c>
      <c r="D119">
        <f>VLOOKUP(Table2[[#This Row],[Customer ID]],Table2[#All],3,FALSE)</f>
        <v>10.55</v>
      </c>
      <c r="E119" t="str">
        <f>VLOOKUP(Table2[[#This Row],[Customer ID]],Table2[#All],4,FALSE)</f>
        <v>No</v>
      </c>
      <c r="F119" t="str">
        <f>VLOOKUP(Table2[[#This Row],[Customer ID]],Table2[#All],5,FALSE)</f>
        <v>No</v>
      </c>
      <c r="G119" t="str">
        <f>VLOOKUP(Table2[[#This Row],[Customer ID]],Table2[#All],6,FALSE)</f>
        <v>No</v>
      </c>
      <c r="H119">
        <f>VLOOKUP(Table2[[#This Row],[Customer ID]],Table2[#All],7,FALSE)</f>
        <v>0</v>
      </c>
      <c r="I119" t="str">
        <f>VLOOKUP(Table2[[#This Row],[Customer ID]],Table2[#All],8,FALSE)</f>
        <v>Yes</v>
      </c>
      <c r="J119" t="str">
        <f>VLOOKUP(Table2[[#This Row],[Customer ID]],Table2[#All],9,FALSE)</f>
        <v>Obesity</v>
      </c>
      <c r="K119" t="str">
        <f>VLOOKUP(Table2[[#This Row],[Customer ID]],Table2[#All],10,FALSE)</f>
        <v>Diabetes</v>
      </c>
    </row>
    <row r="120" spans="1:11" ht="15.6" x14ac:dyDescent="0.3">
      <c r="A120" s="1" t="s">
        <v>2254</v>
      </c>
      <c r="B120" t="str">
        <f>VLOOKUP('Customer Names'!A120,'Customer Names'!$A$1:$E$2336,4,FALSE)</f>
        <v>Mr.  Charlie</v>
      </c>
      <c r="C120">
        <f>VLOOKUP(Table2[[#This Row],[Customer ID]],Table2[#All],2,FALSE)</f>
        <v>46.39</v>
      </c>
      <c r="D120">
        <f>VLOOKUP(Table2[[#This Row],[Customer ID]],Table2[#All],3,FALSE)</f>
        <v>5.09</v>
      </c>
      <c r="E120" t="str">
        <f>VLOOKUP(Table2[[#This Row],[Customer ID]],Table2[#All],4,FALSE)</f>
        <v>No</v>
      </c>
      <c r="F120" t="str">
        <f>VLOOKUP(Table2[[#This Row],[Customer ID]],Table2[#All],5,FALSE)</f>
        <v>No</v>
      </c>
      <c r="G120" t="str">
        <f>VLOOKUP(Table2[[#This Row],[Customer ID]],Table2[#All],6,FALSE)</f>
        <v>No</v>
      </c>
      <c r="H120">
        <f>VLOOKUP(Table2[[#This Row],[Customer ID]],Table2[#All],7,FALSE)</f>
        <v>0</v>
      </c>
      <c r="I120" t="str">
        <f>VLOOKUP(Table2[[#This Row],[Customer ID]],Table2[#All],8,FALSE)</f>
        <v>Yes</v>
      </c>
      <c r="J120" t="str">
        <f>VLOOKUP(Table2[[#This Row],[Customer ID]],Table2[#All],9,FALSE)</f>
        <v>Obesity</v>
      </c>
      <c r="K120" t="str">
        <f>VLOOKUP(Table2[[#This Row],[Customer ID]],Table2[#All],10,FALSE)</f>
        <v>Normal</v>
      </c>
    </row>
    <row r="121" spans="1:11" ht="15.6" x14ac:dyDescent="0.3">
      <c r="A121" s="1" t="s">
        <v>2253</v>
      </c>
      <c r="B121" t="str">
        <f>VLOOKUP('Customer Names'!A121,'Customer Names'!$A$1:$E$2336,4,FALSE)</f>
        <v>Mr.  Meb</v>
      </c>
      <c r="C121">
        <f>VLOOKUP(Table2[[#This Row],[Customer ID]],Table2[#All],2,FALSE)</f>
        <v>42.13</v>
      </c>
      <c r="D121">
        <f>VLOOKUP(Table2[[#This Row],[Customer ID]],Table2[#All],3,FALSE)</f>
        <v>5.2</v>
      </c>
      <c r="E121" t="str">
        <f>VLOOKUP(Table2[[#This Row],[Customer ID]],Table2[#All],4,FALSE)</f>
        <v>Yes</v>
      </c>
      <c r="F121" t="str">
        <f>VLOOKUP(Table2[[#This Row],[Customer ID]],Table2[#All],5,FALSE)</f>
        <v>No</v>
      </c>
      <c r="G121" t="str">
        <f>VLOOKUP(Table2[[#This Row],[Customer ID]],Table2[#All],6,FALSE)</f>
        <v>No</v>
      </c>
      <c r="H121">
        <f>VLOOKUP(Table2[[#This Row],[Customer ID]],Table2[#All],7,FALSE)</f>
        <v>1</v>
      </c>
      <c r="I121" t="str">
        <f>VLOOKUP(Table2[[#This Row],[Customer ID]],Table2[#All],8,FALSE)</f>
        <v>Yes</v>
      </c>
      <c r="J121" t="str">
        <f>VLOOKUP(Table2[[#This Row],[Customer ID]],Table2[#All],9,FALSE)</f>
        <v>Obesity</v>
      </c>
      <c r="K121" t="str">
        <f>VLOOKUP(Table2[[#This Row],[Customer ID]],Table2[#All],10,FALSE)</f>
        <v>Normal</v>
      </c>
    </row>
    <row r="122" spans="1:11" ht="15.6" x14ac:dyDescent="0.3">
      <c r="A122" s="1" t="s">
        <v>2252</v>
      </c>
      <c r="B122" t="str">
        <f>VLOOKUP('Customer Names'!A122,'Customer Names'!$A$1:$E$2336,4,FALSE)</f>
        <v>Mr.  Aaqib L.</v>
      </c>
      <c r="C122">
        <f>VLOOKUP(Table2[[#This Row],[Customer ID]],Table2[#All],2,FALSE)</f>
        <v>30.78</v>
      </c>
      <c r="D122">
        <f>VLOOKUP(Table2[[#This Row],[Customer ID]],Table2[#All],3,FALSE)</f>
        <v>8.4499999999999993</v>
      </c>
      <c r="E122" t="str">
        <f>VLOOKUP(Table2[[#This Row],[Customer ID]],Table2[#All],4,FALSE)</f>
        <v>Yes</v>
      </c>
      <c r="F122" t="str">
        <f>VLOOKUP(Table2[[#This Row],[Customer ID]],Table2[#All],5,FALSE)</f>
        <v>No</v>
      </c>
      <c r="G122" t="str">
        <f>VLOOKUP(Table2[[#This Row],[Customer ID]],Table2[#All],6,FALSE)</f>
        <v>No</v>
      </c>
      <c r="H122">
        <f>VLOOKUP(Table2[[#This Row],[Customer ID]],Table2[#All],7,FALSE)</f>
        <v>0</v>
      </c>
      <c r="I122" t="str">
        <f>VLOOKUP(Table2[[#This Row],[Customer ID]],Table2[#All],8,FALSE)</f>
        <v>Yes</v>
      </c>
      <c r="J122" t="str">
        <f>VLOOKUP(Table2[[#This Row],[Customer ID]],Table2[#All],9,FALSE)</f>
        <v>Obesity</v>
      </c>
      <c r="K122" t="str">
        <f>VLOOKUP(Table2[[#This Row],[Customer ID]],Table2[#All],10,FALSE)</f>
        <v>Diabetes</v>
      </c>
    </row>
    <row r="123" spans="1:11" ht="15.6" x14ac:dyDescent="0.3">
      <c r="A123" s="1" t="s">
        <v>2251</v>
      </c>
      <c r="B123" t="str">
        <f>VLOOKUP('Customer Names'!A123,'Customer Names'!$A$1:$E$2336,4,FALSE)</f>
        <v>Mr.  Craig A.</v>
      </c>
      <c r="C123">
        <f>VLOOKUP(Table2[[#This Row],[Customer ID]],Table2[#All],2,FALSE)</f>
        <v>31.35</v>
      </c>
      <c r="D123">
        <f>VLOOKUP(Table2[[#This Row],[Customer ID]],Table2[#All],3,FALSE)</f>
        <v>9.5399999999999991</v>
      </c>
      <c r="E123" t="str">
        <f>VLOOKUP(Table2[[#This Row],[Customer ID]],Table2[#All],4,FALSE)</f>
        <v>No</v>
      </c>
      <c r="F123" t="str">
        <f>VLOOKUP(Table2[[#This Row],[Customer ID]],Table2[#All],5,FALSE)</f>
        <v>No</v>
      </c>
      <c r="G123" t="str">
        <f>VLOOKUP(Table2[[#This Row],[Customer ID]],Table2[#All],6,FALSE)</f>
        <v>No</v>
      </c>
      <c r="H123">
        <f>VLOOKUP(Table2[[#This Row],[Customer ID]],Table2[#All],7,FALSE)</f>
        <v>0</v>
      </c>
      <c r="I123" t="str">
        <f>VLOOKUP(Table2[[#This Row],[Customer ID]],Table2[#All],8,FALSE)</f>
        <v>Yes</v>
      </c>
      <c r="J123" t="str">
        <f>VLOOKUP(Table2[[#This Row],[Customer ID]],Table2[#All],9,FALSE)</f>
        <v>Obesity</v>
      </c>
      <c r="K123" t="str">
        <f>VLOOKUP(Table2[[#This Row],[Customer ID]],Table2[#All],10,FALSE)</f>
        <v>Diabetes</v>
      </c>
    </row>
    <row r="124" spans="1:11" ht="15.6" x14ac:dyDescent="0.3">
      <c r="A124" s="1" t="s">
        <v>2250</v>
      </c>
      <c r="B124" t="str">
        <f>VLOOKUP('Customer Names'!A124,'Customer Names'!$A$1:$E$2336,4,FALSE)</f>
        <v>Ms.  Meredith</v>
      </c>
      <c r="C124">
        <f>VLOOKUP(Table2[[#This Row],[Customer ID]],Table2[#All],2,FALSE)</f>
        <v>41.46</v>
      </c>
      <c r="D124">
        <f>VLOOKUP(Table2[[#This Row],[Customer ID]],Table2[#All],3,FALSE)</f>
        <v>4.99</v>
      </c>
      <c r="E124" t="str">
        <f>VLOOKUP(Table2[[#This Row],[Customer ID]],Table2[#All],4,FALSE)</f>
        <v>Yes</v>
      </c>
      <c r="F124" t="str">
        <f>VLOOKUP(Table2[[#This Row],[Customer ID]],Table2[#All],5,FALSE)</f>
        <v>No</v>
      </c>
      <c r="G124" t="str">
        <f>VLOOKUP(Table2[[#This Row],[Customer ID]],Table2[#All],6,FALSE)</f>
        <v>No</v>
      </c>
      <c r="H124">
        <f>VLOOKUP(Table2[[#This Row],[Customer ID]],Table2[#All],7,FALSE)</f>
        <v>2</v>
      </c>
      <c r="I124" t="str">
        <f>VLOOKUP(Table2[[#This Row],[Customer ID]],Table2[#All],8,FALSE)</f>
        <v>Yes</v>
      </c>
      <c r="J124" t="str">
        <f>VLOOKUP(Table2[[#This Row],[Customer ID]],Table2[#All],9,FALSE)</f>
        <v>Obesity</v>
      </c>
      <c r="K124" t="str">
        <f>VLOOKUP(Table2[[#This Row],[Customer ID]],Table2[#All],10,FALSE)</f>
        <v>Normal</v>
      </c>
    </row>
    <row r="125" spans="1:11" ht="15.6" x14ac:dyDescent="0.3">
      <c r="A125" s="1" t="s">
        <v>2249</v>
      </c>
      <c r="B125" t="str">
        <f>VLOOKUP('Customer Names'!A125,'Customer Names'!$A$1:$E$2336,4,FALSE)</f>
        <v>Mr.  Doug</v>
      </c>
      <c r="C125">
        <f>VLOOKUP(Table2[[#This Row],[Customer ID]],Table2[#All],2,FALSE)</f>
        <v>48</v>
      </c>
      <c r="D125">
        <f>VLOOKUP(Table2[[#This Row],[Customer ID]],Table2[#All],3,FALSE)</f>
        <v>10.54</v>
      </c>
      <c r="E125" t="str">
        <f>VLOOKUP(Table2[[#This Row],[Customer ID]],Table2[#All],4,FALSE)</f>
        <v>No</v>
      </c>
      <c r="F125" t="str">
        <f>VLOOKUP(Table2[[#This Row],[Customer ID]],Table2[#All],5,FALSE)</f>
        <v>No</v>
      </c>
      <c r="G125" t="str">
        <f>VLOOKUP(Table2[[#This Row],[Customer ID]],Table2[#All],6,FALSE)</f>
        <v>No</v>
      </c>
      <c r="H125">
        <f>VLOOKUP(Table2[[#This Row],[Customer ID]],Table2[#All],7,FALSE)</f>
        <v>0</v>
      </c>
      <c r="I125" t="str">
        <f>VLOOKUP(Table2[[#This Row],[Customer ID]],Table2[#All],8,FALSE)</f>
        <v>Yes</v>
      </c>
      <c r="J125" t="str">
        <f>VLOOKUP(Table2[[#This Row],[Customer ID]],Table2[#All],9,FALSE)</f>
        <v>Obesity</v>
      </c>
      <c r="K125" t="str">
        <f>VLOOKUP(Table2[[#This Row],[Customer ID]],Table2[#All],10,FALSE)</f>
        <v>Diabetes</v>
      </c>
    </row>
    <row r="126" spans="1:11" ht="15.6" x14ac:dyDescent="0.3">
      <c r="A126" s="1" t="s">
        <v>2248</v>
      </c>
      <c r="B126" t="str">
        <f>VLOOKUP('Customer Names'!A126,'Customer Names'!$A$1:$E$2336,4,FALSE)</f>
        <v>Ms.  Elizabeth J.</v>
      </c>
      <c r="C126">
        <f>VLOOKUP(Table2[[#This Row],[Customer ID]],Table2[#All],2,FALSE)</f>
        <v>49.13</v>
      </c>
      <c r="D126">
        <f>VLOOKUP(Table2[[#This Row],[Customer ID]],Table2[#All],3,FALSE)</f>
        <v>4.54</v>
      </c>
      <c r="E126" t="str">
        <f>VLOOKUP(Table2[[#This Row],[Customer ID]],Table2[#All],4,FALSE)</f>
        <v>No</v>
      </c>
      <c r="F126" t="str">
        <f>VLOOKUP(Table2[[#This Row],[Customer ID]],Table2[#All],5,FALSE)</f>
        <v>No</v>
      </c>
      <c r="G126" t="str">
        <f>VLOOKUP(Table2[[#This Row],[Customer ID]],Table2[#All],6,FALSE)</f>
        <v>No</v>
      </c>
      <c r="H126">
        <f>VLOOKUP(Table2[[#This Row],[Customer ID]],Table2[#All],7,FALSE)</f>
        <v>0</v>
      </c>
      <c r="I126" t="str">
        <f>VLOOKUP(Table2[[#This Row],[Customer ID]],Table2[#All],8,FALSE)</f>
        <v>Yes</v>
      </c>
      <c r="J126" t="str">
        <f>VLOOKUP(Table2[[#This Row],[Customer ID]],Table2[#All],9,FALSE)</f>
        <v>Obesity</v>
      </c>
      <c r="K126" t="str">
        <f>VLOOKUP(Table2[[#This Row],[Customer ID]],Table2[#All],10,FALSE)</f>
        <v>Normal</v>
      </c>
    </row>
    <row r="127" spans="1:11" ht="15.6" x14ac:dyDescent="0.3">
      <c r="A127" s="1" t="s">
        <v>2247</v>
      </c>
      <c r="B127" t="str">
        <f>VLOOKUP('Customer Names'!A127,'Customer Names'!$A$1:$E$2336,4,FALSE)</f>
        <v>Mr.  Matthew P</v>
      </c>
      <c r="C127">
        <f>VLOOKUP(Table2[[#This Row],[Customer ID]],Table2[#All],2,FALSE)</f>
        <v>37.799999999999997</v>
      </c>
      <c r="D127">
        <f>VLOOKUP(Table2[[#This Row],[Customer ID]],Table2[#All],3,FALSE)</f>
        <v>6.29</v>
      </c>
      <c r="E127" t="str">
        <f>VLOOKUP(Table2[[#This Row],[Customer ID]],Table2[#All],4,FALSE)</f>
        <v>No</v>
      </c>
      <c r="F127" t="str">
        <f>VLOOKUP(Table2[[#This Row],[Customer ID]],Table2[#All],5,FALSE)</f>
        <v>No</v>
      </c>
      <c r="G127" t="str">
        <f>VLOOKUP(Table2[[#This Row],[Customer ID]],Table2[#All],6,FALSE)</f>
        <v>No</v>
      </c>
      <c r="H127">
        <f>VLOOKUP(Table2[[#This Row],[Customer ID]],Table2[#All],7,FALSE)</f>
        <v>1</v>
      </c>
      <c r="I127" t="str">
        <f>VLOOKUP(Table2[[#This Row],[Customer ID]],Table2[#All],8,FALSE)</f>
        <v>Yes</v>
      </c>
      <c r="J127" t="str">
        <f>VLOOKUP(Table2[[#This Row],[Customer ID]],Table2[#All],9,FALSE)</f>
        <v>Obesity</v>
      </c>
      <c r="K127" t="str">
        <f>VLOOKUP(Table2[[#This Row],[Customer ID]],Table2[#All],10,FALSE)</f>
        <v>Prediabetes</v>
      </c>
    </row>
    <row r="128" spans="1:11" ht="15.6" x14ac:dyDescent="0.3">
      <c r="A128" s="1" t="s">
        <v>2246</v>
      </c>
      <c r="B128" t="str">
        <f>VLOOKUP('Customer Names'!A128,'Customer Names'!$A$1:$E$2336,4,FALSE)</f>
        <v>Mr.  Guillermo Sr.</v>
      </c>
      <c r="C128">
        <f>VLOOKUP(Table2[[#This Row],[Customer ID]],Table2[#All],2,FALSE)</f>
        <v>38.299999999999997</v>
      </c>
      <c r="D128">
        <f>VLOOKUP(Table2[[#This Row],[Customer ID]],Table2[#All],3,FALSE)</f>
        <v>9.51</v>
      </c>
      <c r="E128" t="str">
        <f>VLOOKUP(Table2[[#This Row],[Customer ID]],Table2[#All],4,FALSE)</f>
        <v>No</v>
      </c>
      <c r="F128" t="str">
        <f>VLOOKUP(Table2[[#This Row],[Customer ID]],Table2[#All],5,FALSE)</f>
        <v>No</v>
      </c>
      <c r="G128" t="str">
        <f>VLOOKUP(Table2[[#This Row],[Customer ID]],Table2[#All],6,FALSE)</f>
        <v>No</v>
      </c>
      <c r="H128">
        <f>VLOOKUP(Table2[[#This Row],[Customer ID]],Table2[#All],7,FALSE)</f>
        <v>0</v>
      </c>
      <c r="I128" t="str">
        <f>VLOOKUP(Table2[[#This Row],[Customer ID]],Table2[#All],8,FALSE)</f>
        <v>Yes</v>
      </c>
      <c r="J128" t="str">
        <f>VLOOKUP(Table2[[#This Row],[Customer ID]],Table2[#All],9,FALSE)</f>
        <v>Obesity</v>
      </c>
      <c r="K128" t="str">
        <f>VLOOKUP(Table2[[#This Row],[Customer ID]],Table2[#All],10,FALSE)</f>
        <v>Diabetes</v>
      </c>
    </row>
    <row r="129" spans="1:11" ht="15.6" x14ac:dyDescent="0.3">
      <c r="A129" s="1" t="s">
        <v>2245</v>
      </c>
      <c r="B129" t="str">
        <f>VLOOKUP('Customer Names'!A129,'Customer Names'!$A$1:$E$2336,4,FALSE)</f>
        <v>Mr.  Ryan C</v>
      </c>
      <c r="C129">
        <f>VLOOKUP(Table2[[#This Row],[Customer ID]],Table2[#All],2,FALSE)</f>
        <v>32.774999999999999</v>
      </c>
      <c r="D129">
        <f>VLOOKUP(Table2[[#This Row],[Customer ID]],Table2[#All],3,FALSE)</f>
        <v>4.72</v>
      </c>
      <c r="E129" t="str">
        <f>VLOOKUP(Table2[[#This Row],[Customer ID]],Table2[#All],4,FALSE)</f>
        <v>No</v>
      </c>
      <c r="F129" t="str">
        <f>VLOOKUP(Table2[[#This Row],[Customer ID]],Table2[#All],5,FALSE)</f>
        <v>No</v>
      </c>
      <c r="G129" t="str">
        <f>VLOOKUP(Table2[[#This Row],[Customer ID]],Table2[#All],6,FALSE)</f>
        <v>No</v>
      </c>
      <c r="H129">
        <f>VLOOKUP(Table2[[#This Row],[Customer ID]],Table2[#All],7,FALSE)</f>
        <v>0</v>
      </c>
      <c r="I129" t="str">
        <f>VLOOKUP(Table2[[#This Row],[Customer ID]],Table2[#All],8,FALSE)</f>
        <v>Yes</v>
      </c>
      <c r="J129" t="str">
        <f>VLOOKUP(Table2[[#This Row],[Customer ID]],Table2[#All],9,FALSE)</f>
        <v>Obesity</v>
      </c>
      <c r="K129" t="str">
        <f>VLOOKUP(Table2[[#This Row],[Customer ID]],Table2[#All],10,FALSE)</f>
        <v>Normal</v>
      </c>
    </row>
    <row r="130" spans="1:11" ht="15.6" x14ac:dyDescent="0.3">
      <c r="A130" s="1" t="s">
        <v>2244</v>
      </c>
      <c r="B130" t="str">
        <f>VLOOKUP('Customer Names'!A130,'Customer Names'!$A$1:$E$2336,4,FALSE)</f>
        <v>Mr.  Dane</v>
      </c>
      <c r="C130">
        <f>VLOOKUP(Table2[[#This Row],[Customer ID]],Table2[#All],2,FALSE)</f>
        <v>34.200000000000003</v>
      </c>
      <c r="D130">
        <f>VLOOKUP(Table2[[#This Row],[Customer ID]],Table2[#All],3,FALSE)</f>
        <v>5.91</v>
      </c>
      <c r="E130" t="str">
        <f>VLOOKUP(Table2[[#This Row],[Customer ID]],Table2[#All],4,FALSE)</f>
        <v>Yes</v>
      </c>
      <c r="F130" t="str">
        <f>VLOOKUP(Table2[[#This Row],[Customer ID]],Table2[#All],5,FALSE)</f>
        <v>No</v>
      </c>
      <c r="G130" t="str">
        <f>VLOOKUP(Table2[[#This Row],[Customer ID]],Table2[#All],6,FALSE)</f>
        <v>No</v>
      </c>
      <c r="H130">
        <f>VLOOKUP(Table2[[#This Row],[Customer ID]],Table2[#All],7,FALSE)</f>
        <v>0</v>
      </c>
      <c r="I130" t="str">
        <f>VLOOKUP(Table2[[#This Row],[Customer ID]],Table2[#All],8,FALSE)</f>
        <v>Yes</v>
      </c>
      <c r="J130" t="str">
        <f>VLOOKUP(Table2[[#This Row],[Customer ID]],Table2[#All],9,FALSE)</f>
        <v>Obesity</v>
      </c>
      <c r="K130" t="str">
        <f>VLOOKUP(Table2[[#This Row],[Customer ID]],Table2[#All],10,FALSE)</f>
        <v>Prediabetes</v>
      </c>
    </row>
    <row r="131" spans="1:11" ht="15.6" x14ac:dyDescent="0.3">
      <c r="A131" s="1" t="s">
        <v>2243</v>
      </c>
      <c r="B131" t="str">
        <f>VLOOKUP('Customer Names'!A131,'Customer Names'!$A$1:$E$2336,4,FALSE)</f>
        <v>Mr.  Jonas</v>
      </c>
      <c r="C131">
        <f>VLOOKUP(Table2[[#This Row],[Customer ID]],Table2[#All],2,FALSE)</f>
        <v>30.2</v>
      </c>
      <c r="D131">
        <f>VLOOKUP(Table2[[#This Row],[Customer ID]],Table2[#All],3,FALSE)</f>
        <v>9.58</v>
      </c>
      <c r="E131" t="str">
        <f>VLOOKUP(Table2[[#This Row],[Customer ID]],Table2[#All],4,FALSE)</f>
        <v>No</v>
      </c>
      <c r="F131" t="str">
        <f>VLOOKUP(Table2[[#This Row],[Customer ID]],Table2[#All],5,FALSE)</f>
        <v>No</v>
      </c>
      <c r="G131" t="str">
        <f>VLOOKUP(Table2[[#This Row],[Customer ID]],Table2[#All],6,FALSE)</f>
        <v>No</v>
      </c>
      <c r="H131">
        <f>VLOOKUP(Table2[[#This Row],[Customer ID]],Table2[#All],7,FALSE)</f>
        <v>0</v>
      </c>
      <c r="I131" t="str">
        <f>VLOOKUP(Table2[[#This Row],[Customer ID]],Table2[#All],8,FALSE)</f>
        <v>Yes</v>
      </c>
      <c r="J131" t="str">
        <f>VLOOKUP(Table2[[#This Row],[Customer ID]],Table2[#All],9,FALSE)</f>
        <v>Obesity</v>
      </c>
      <c r="K131" t="str">
        <f>VLOOKUP(Table2[[#This Row],[Customer ID]],Table2[#All],10,FALSE)</f>
        <v>Diabetes</v>
      </c>
    </row>
    <row r="132" spans="1:11" ht="15.6" x14ac:dyDescent="0.3">
      <c r="A132" s="1" t="s">
        <v>2242</v>
      </c>
      <c r="B132" t="str">
        <f>VLOOKUP('Customer Names'!A132,'Customer Names'!$A$1:$E$2336,4,FALSE)</f>
        <v>Mr.  George E</v>
      </c>
      <c r="C132">
        <f>VLOOKUP(Table2[[#This Row],[Customer ID]],Table2[#All],2,FALSE)</f>
        <v>48.32</v>
      </c>
      <c r="D132">
        <f>VLOOKUP(Table2[[#This Row],[Customer ID]],Table2[#All],3,FALSE)</f>
        <v>5.77</v>
      </c>
      <c r="E132" t="str">
        <f>VLOOKUP(Table2[[#This Row],[Customer ID]],Table2[#All],4,FALSE)</f>
        <v>No</v>
      </c>
      <c r="F132" t="str">
        <f>VLOOKUP(Table2[[#This Row],[Customer ID]],Table2[#All],5,FALSE)</f>
        <v>No</v>
      </c>
      <c r="G132" t="str">
        <f>VLOOKUP(Table2[[#This Row],[Customer ID]],Table2[#All],6,FALSE)</f>
        <v>No</v>
      </c>
      <c r="H132">
        <f>VLOOKUP(Table2[[#This Row],[Customer ID]],Table2[#All],7,FALSE)</f>
        <v>0</v>
      </c>
      <c r="I132" t="str">
        <f>VLOOKUP(Table2[[#This Row],[Customer ID]],Table2[#All],8,FALSE)</f>
        <v>Yes</v>
      </c>
      <c r="J132" t="str">
        <f>VLOOKUP(Table2[[#This Row],[Customer ID]],Table2[#All],9,FALSE)</f>
        <v>Obesity</v>
      </c>
      <c r="K132" t="str">
        <f>VLOOKUP(Table2[[#This Row],[Customer ID]],Table2[#All],10,FALSE)</f>
        <v>Prediabetes</v>
      </c>
    </row>
    <row r="133" spans="1:11" ht="15.6" x14ac:dyDescent="0.3">
      <c r="A133" s="1" t="s">
        <v>2241</v>
      </c>
      <c r="B133" t="str">
        <f>VLOOKUP('Customer Names'!A133,'Customer Names'!$A$1:$E$2336,4,FALSE)</f>
        <v>Ms.  Sara S</v>
      </c>
      <c r="C133">
        <f>VLOOKUP(Table2[[#This Row],[Customer ID]],Table2[#All],2,FALSE)</f>
        <v>44.86</v>
      </c>
      <c r="D133">
        <f>VLOOKUP(Table2[[#This Row],[Customer ID]],Table2[#All],3,FALSE)</f>
        <v>4.38</v>
      </c>
      <c r="E133" t="str">
        <f>VLOOKUP(Table2[[#This Row],[Customer ID]],Table2[#All],4,FALSE)</f>
        <v>Yes</v>
      </c>
      <c r="F133" t="str">
        <f>VLOOKUP(Table2[[#This Row],[Customer ID]],Table2[#All],5,FALSE)</f>
        <v>No</v>
      </c>
      <c r="G133" t="str">
        <f>VLOOKUP(Table2[[#This Row],[Customer ID]],Table2[#All],6,FALSE)</f>
        <v>No</v>
      </c>
      <c r="H133">
        <f>VLOOKUP(Table2[[#This Row],[Customer ID]],Table2[#All],7,FALSE)</f>
        <v>0</v>
      </c>
      <c r="I133" t="str">
        <f>VLOOKUP(Table2[[#This Row],[Customer ID]],Table2[#All],8,FALSE)</f>
        <v>Yes</v>
      </c>
      <c r="J133" t="str">
        <f>VLOOKUP(Table2[[#This Row],[Customer ID]],Table2[#All],9,FALSE)</f>
        <v>Obesity</v>
      </c>
      <c r="K133" t="str">
        <f>VLOOKUP(Table2[[#This Row],[Customer ID]],Table2[#All],10,FALSE)</f>
        <v>Normal</v>
      </c>
    </row>
    <row r="134" spans="1:11" ht="15.6" x14ac:dyDescent="0.3">
      <c r="A134" s="1" t="s">
        <v>2240</v>
      </c>
      <c r="B134" t="str">
        <f>VLOOKUP('Customer Names'!A134,'Customer Names'!$A$1:$E$2336,4,FALSE)</f>
        <v>Mr.  Nick</v>
      </c>
      <c r="C134">
        <f>VLOOKUP(Table2[[#This Row],[Customer ID]],Table2[#All],2,FALSE)</f>
        <v>52.15</v>
      </c>
      <c r="D134">
        <f>VLOOKUP(Table2[[#This Row],[Customer ID]],Table2[#All],3,FALSE)</f>
        <v>5.65</v>
      </c>
      <c r="E134" t="str">
        <f>VLOOKUP(Table2[[#This Row],[Customer ID]],Table2[#All],4,FALSE)</f>
        <v>No</v>
      </c>
      <c r="F134" t="str">
        <f>VLOOKUP(Table2[[#This Row],[Customer ID]],Table2[#All],5,FALSE)</f>
        <v>No</v>
      </c>
      <c r="G134" t="str">
        <f>VLOOKUP(Table2[[#This Row],[Customer ID]],Table2[#All],6,FALSE)</f>
        <v>No</v>
      </c>
      <c r="H134">
        <f>VLOOKUP(Table2[[#This Row],[Customer ID]],Table2[#All],7,FALSE)</f>
        <v>1</v>
      </c>
      <c r="I134" t="str">
        <f>VLOOKUP(Table2[[#This Row],[Customer ID]],Table2[#All],8,FALSE)</f>
        <v>Yes</v>
      </c>
      <c r="J134" t="str">
        <f>VLOOKUP(Table2[[#This Row],[Customer ID]],Table2[#All],9,FALSE)</f>
        <v>Obesity</v>
      </c>
      <c r="K134" t="str">
        <f>VLOOKUP(Table2[[#This Row],[Customer ID]],Table2[#All],10,FALSE)</f>
        <v>Normal</v>
      </c>
    </row>
    <row r="135" spans="1:11" ht="15.6" x14ac:dyDescent="0.3">
      <c r="A135" s="1" t="s">
        <v>2239</v>
      </c>
      <c r="B135" t="str">
        <f>VLOOKUP('Customer Names'!A135,'Customer Names'!$A$1:$E$2336,4,FALSE)</f>
        <v>Mr.  Timothy</v>
      </c>
      <c r="C135">
        <f>VLOOKUP(Table2[[#This Row],[Customer ID]],Table2[#All],2,FALSE)</f>
        <v>41.12</v>
      </c>
      <c r="D135">
        <f>VLOOKUP(Table2[[#This Row],[Customer ID]],Table2[#All],3,FALSE)</f>
        <v>7.54</v>
      </c>
      <c r="E135" t="str">
        <f>VLOOKUP(Table2[[#This Row],[Customer ID]],Table2[#All],4,FALSE)</f>
        <v>Yes</v>
      </c>
      <c r="F135" t="str">
        <f>VLOOKUP(Table2[[#This Row],[Customer ID]],Table2[#All],5,FALSE)</f>
        <v>No</v>
      </c>
      <c r="G135" t="str">
        <f>VLOOKUP(Table2[[#This Row],[Customer ID]],Table2[#All],6,FALSE)</f>
        <v>No</v>
      </c>
      <c r="H135">
        <f>VLOOKUP(Table2[[#This Row],[Customer ID]],Table2[#All],7,FALSE)</f>
        <v>0</v>
      </c>
      <c r="I135" t="str">
        <f>VLOOKUP(Table2[[#This Row],[Customer ID]],Table2[#All],8,FALSE)</f>
        <v>Yes</v>
      </c>
      <c r="J135" t="str">
        <f>VLOOKUP(Table2[[#This Row],[Customer ID]],Table2[#All],9,FALSE)</f>
        <v>Obesity</v>
      </c>
      <c r="K135" t="str">
        <f>VLOOKUP(Table2[[#This Row],[Customer ID]],Table2[#All],10,FALSE)</f>
        <v>Diabetes</v>
      </c>
    </row>
    <row r="136" spans="1:11" ht="15.6" x14ac:dyDescent="0.3">
      <c r="A136" s="1" t="s">
        <v>2238</v>
      </c>
      <c r="B136" t="str">
        <f>VLOOKUP('Customer Names'!A136,'Customer Names'!$A$1:$E$2336,4,FALSE)</f>
        <v>Ms.  Becky L</v>
      </c>
      <c r="C136">
        <f>VLOOKUP(Table2[[#This Row],[Customer ID]],Table2[#All],2,FALSE)</f>
        <v>38.39</v>
      </c>
      <c r="D136">
        <f>VLOOKUP(Table2[[#This Row],[Customer ID]],Table2[#All],3,FALSE)</f>
        <v>5.1100000000000003</v>
      </c>
      <c r="E136" t="str">
        <f>VLOOKUP(Table2[[#This Row],[Customer ID]],Table2[#All],4,FALSE)</f>
        <v>Yes</v>
      </c>
      <c r="F136" t="str">
        <f>VLOOKUP(Table2[[#This Row],[Customer ID]],Table2[#All],5,FALSE)</f>
        <v>No</v>
      </c>
      <c r="G136" t="str">
        <f>VLOOKUP(Table2[[#This Row],[Customer ID]],Table2[#All],6,FALSE)</f>
        <v>No</v>
      </c>
      <c r="H136">
        <f>VLOOKUP(Table2[[#This Row],[Customer ID]],Table2[#All],7,FALSE)</f>
        <v>1</v>
      </c>
      <c r="I136" t="str">
        <f>VLOOKUP(Table2[[#This Row],[Customer ID]],Table2[#All],8,FALSE)</f>
        <v>Yes</v>
      </c>
      <c r="J136" t="str">
        <f>VLOOKUP(Table2[[#This Row],[Customer ID]],Table2[#All],9,FALSE)</f>
        <v>Obesity</v>
      </c>
      <c r="K136" t="str">
        <f>VLOOKUP(Table2[[#This Row],[Customer ID]],Table2[#All],10,FALSE)</f>
        <v>Normal</v>
      </c>
    </row>
    <row r="137" spans="1:11" ht="15.6" x14ac:dyDescent="0.3">
      <c r="A137" s="1" t="s">
        <v>2237</v>
      </c>
      <c r="B137" t="str">
        <f>VLOOKUP('Customer Names'!A137,'Customer Names'!$A$1:$E$2336,4,FALSE)</f>
        <v>Ms.  Steph K.</v>
      </c>
      <c r="C137">
        <f>VLOOKUP(Table2[[#This Row],[Customer ID]],Table2[#All],2,FALSE)</f>
        <v>46.85</v>
      </c>
      <c r="D137">
        <f>VLOOKUP(Table2[[#This Row],[Customer ID]],Table2[#All],3,FALSE)</f>
        <v>4.25</v>
      </c>
      <c r="E137" t="str">
        <f>VLOOKUP(Table2[[#This Row],[Customer ID]],Table2[#All],4,FALSE)</f>
        <v>No</v>
      </c>
      <c r="F137" t="str">
        <f>VLOOKUP(Table2[[#This Row],[Customer ID]],Table2[#All],5,FALSE)</f>
        <v>No</v>
      </c>
      <c r="G137" t="str">
        <f>VLOOKUP(Table2[[#This Row],[Customer ID]],Table2[#All],6,FALSE)</f>
        <v>Yes</v>
      </c>
      <c r="H137">
        <f>VLOOKUP(Table2[[#This Row],[Customer ID]],Table2[#All],7,FALSE)</f>
        <v>1</v>
      </c>
      <c r="I137" t="str">
        <f>VLOOKUP(Table2[[#This Row],[Customer ID]],Table2[#All],8,FALSE)</f>
        <v>Yes</v>
      </c>
      <c r="J137" t="str">
        <f>VLOOKUP(Table2[[#This Row],[Customer ID]],Table2[#All],9,FALSE)</f>
        <v>Obesity</v>
      </c>
      <c r="K137" t="str">
        <f>VLOOKUP(Table2[[#This Row],[Customer ID]],Table2[#All],10,FALSE)</f>
        <v>Normal</v>
      </c>
    </row>
    <row r="138" spans="1:11" ht="15.6" x14ac:dyDescent="0.3">
      <c r="A138" s="1" t="s">
        <v>2236</v>
      </c>
      <c r="B138" t="str">
        <f>VLOOKUP('Customer Names'!A138,'Customer Names'!$A$1:$E$2336,4,FALSE)</f>
        <v>Ms.  Kristine B.</v>
      </c>
      <c r="C138">
        <f>VLOOKUP(Table2[[#This Row],[Customer ID]],Table2[#All],2,FALSE)</f>
        <v>42.24</v>
      </c>
      <c r="D138">
        <f>VLOOKUP(Table2[[#This Row],[Customer ID]],Table2[#All],3,FALSE)</f>
        <v>5.55</v>
      </c>
      <c r="E138" t="str">
        <f>VLOOKUP(Table2[[#This Row],[Customer ID]],Table2[#All],4,FALSE)</f>
        <v>No</v>
      </c>
      <c r="F138" t="str">
        <f>VLOOKUP(Table2[[#This Row],[Customer ID]],Table2[#All],5,FALSE)</f>
        <v>yes</v>
      </c>
      <c r="G138" t="str">
        <f>VLOOKUP(Table2[[#This Row],[Customer ID]],Table2[#All],6,FALSE)</f>
        <v>No</v>
      </c>
      <c r="H138">
        <f>VLOOKUP(Table2[[#This Row],[Customer ID]],Table2[#All],7,FALSE)</f>
        <v>1</v>
      </c>
      <c r="I138" t="str">
        <f>VLOOKUP(Table2[[#This Row],[Customer ID]],Table2[#All],8,FALSE)</f>
        <v>Yes</v>
      </c>
      <c r="J138" t="str">
        <f>VLOOKUP(Table2[[#This Row],[Customer ID]],Table2[#All],9,FALSE)</f>
        <v>Obesity</v>
      </c>
      <c r="K138" t="str">
        <f>VLOOKUP(Table2[[#This Row],[Customer ID]],Table2[#All],10,FALSE)</f>
        <v>Normal</v>
      </c>
    </row>
    <row r="139" spans="1:11" ht="15.6" x14ac:dyDescent="0.3">
      <c r="A139" s="1" t="s">
        <v>2235</v>
      </c>
      <c r="B139" t="str">
        <f>VLOOKUP('Customer Names'!A139,'Customer Names'!$A$1:$E$2336,4,FALSE)</f>
        <v>Mr.  Taylor B</v>
      </c>
      <c r="C139">
        <f>VLOOKUP(Table2[[#This Row],[Customer ID]],Table2[#All],2,FALSE)</f>
        <v>34.39</v>
      </c>
      <c r="D139">
        <f>VLOOKUP(Table2[[#This Row],[Customer ID]],Table2[#All],3,FALSE)</f>
        <v>5.78</v>
      </c>
      <c r="E139" t="str">
        <f>VLOOKUP(Table2[[#This Row],[Customer ID]],Table2[#All],4,FALSE)</f>
        <v>No</v>
      </c>
      <c r="F139" t="str">
        <f>VLOOKUP(Table2[[#This Row],[Customer ID]],Table2[#All],5,FALSE)</f>
        <v>No</v>
      </c>
      <c r="G139" t="str">
        <f>VLOOKUP(Table2[[#This Row],[Customer ID]],Table2[#All],6,FALSE)</f>
        <v>No</v>
      </c>
      <c r="H139">
        <f>VLOOKUP(Table2[[#This Row],[Customer ID]],Table2[#All],7,FALSE)</f>
        <v>0</v>
      </c>
      <c r="I139" t="str">
        <f>VLOOKUP(Table2[[#This Row],[Customer ID]],Table2[#All],8,FALSE)</f>
        <v>Yes</v>
      </c>
      <c r="J139" t="str">
        <f>VLOOKUP(Table2[[#This Row],[Customer ID]],Table2[#All],9,FALSE)</f>
        <v>Obesity</v>
      </c>
      <c r="K139" t="str">
        <f>VLOOKUP(Table2[[#This Row],[Customer ID]],Table2[#All],10,FALSE)</f>
        <v>Prediabetes</v>
      </c>
    </row>
    <row r="140" spans="1:11" ht="15.6" x14ac:dyDescent="0.3">
      <c r="A140" s="1" t="s">
        <v>2234</v>
      </c>
      <c r="B140" t="str">
        <f>VLOOKUP('Customer Names'!A140,'Customer Names'!$A$1:$E$2336,4,FALSE)</f>
        <v>Mr.  William</v>
      </c>
      <c r="C140">
        <f>VLOOKUP(Table2[[#This Row],[Customer ID]],Table2[#All],2,FALSE)</f>
        <v>42.89</v>
      </c>
      <c r="D140">
        <f>VLOOKUP(Table2[[#This Row],[Customer ID]],Table2[#All],3,FALSE)</f>
        <v>5.28</v>
      </c>
      <c r="E140" t="str">
        <f>VLOOKUP(Table2[[#This Row],[Customer ID]],Table2[#All],4,FALSE)</f>
        <v>Yes</v>
      </c>
      <c r="F140" t="str">
        <f>VLOOKUP(Table2[[#This Row],[Customer ID]],Table2[#All],5,FALSE)</f>
        <v>No</v>
      </c>
      <c r="G140" t="str">
        <f>VLOOKUP(Table2[[#This Row],[Customer ID]],Table2[#All],6,FALSE)</f>
        <v>No</v>
      </c>
      <c r="H140">
        <f>VLOOKUP(Table2[[#This Row],[Customer ID]],Table2[#All],7,FALSE)</f>
        <v>0</v>
      </c>
      <c r="I140" t="str">
        <f>VLOOKUP(Table2[[#This Row],[Customer ID]],Table2[#All],8,FALSE)</f>
        <v>Yes</v>
      </c>
      <c r="J140" t="str">
        <f>VLOOKUP(Table2[[#This Row],[Customer ID]],Table2[#All],9,FALSE)</f>
        <v>Obesity</v>
      </c>
      <c r="K140" t="str">
        <f>VLOOKUP(Table2[[#This Row],[Customer ID]],Table2[#All],10,FALSE)</f>
        <v>Normal</v>
      </c>
    </row>
    <row r="141" spans="1:11" ht="15.6" x14ac:dyDescent="0.3">
      <c r="A141" s="1" t="s">
        <v>2233</v>
      </c>
      <c r="B141" t="str">
        <f>VLOOKUP('Customer Names'!A141,'Customer Names'!$A$1:$E$2336,4,FALSE)</f>
        <v>Mr.  Sage</v>
      </c>
      <c r="C141">
        <f>VLOOKUP(Table2[[#This Row],[Customer ID]],Table2[#All],2,FALSE)</f>
        <v>36.299999999999997</v>
      </c>
      <c r="D141">
        <f>VLOOKUP(Table2[[#This Row],[Customer ID]],Table2[#All],3,FALSE)</f>
        <v>5.39</v>
      </c>
      <c r="E141" t="str">
        <f>VLOOKUP(Table2[[#This Row],[Customer ID]],Table2[#All],4,FALSE)</f>
        <v>No</v>
      </c>
      <c r="F141" t="str">
        <f>VLOOKUP(Table2[[#This Row],[Customer ID]],Table2[#All],5,FALSE)</f>
        <v>No</v>
      </c>
      <c r="G141" t="str">
        <f>VLOOKUP(Table2[[#This Row],[Customer ID]],Table2[#All],6,FALSE)</f>
        <v>No</v>
      </c>
      <c r="H141">
        <f>VLOOKUP(Table2[[#This Row],[Customer ID]],Table2[#All],7,FALSE)</f>
        <v>0</v>
      </c>
      <c r="I141" t="str">
        <f>VLOOKUP(Table2[[#This Row],[Customer ID]],Table2[#All],8,FALSE)</f>
        <v>Yes</v>
      </c>
      <c r="J141" t="str">
        <f>VLOOKUP(Table2[[#This Row],[Customer ID]],Table2[#All],9,FALSE)</f>
        <v>Obesity</v>
      </c>
      <c r="K141" t="str">
        <f>VLOOKUP(Table2[[#This Row],[Customer ID]],Table2[#All],10,FALSE)</f>
        <v>Normal</v>
      </c>
    </row>
    <row r="142" spans="1:11" ht="15.6" x14ac:dyDescent="0.3">
      <c r="A142" s="1" t="s">
        <v>2232</v>
      </c>
      <c r="B142" t="str">
        <f>VLOOKUP('Customer Names'!A142,'Customer Names'!$A$1:$E$2336,4,FALSE)</f>
        <v>Mr.  Cole</v>
      </c>
      <c r="C142">
        <f>VLOOKUP(Table2[[#This Row],[Customer ID]],Table2[#All],2,FALSE)</f>
        <v>35.200000000000003</v>
      </c>
      <c r="D142">
        <f>VLOOKUP(Table2[[#This Row],[Customer ID]],Table2[#All],3,FALSE)</f>
        <v>8.01</v>
      </c>
      <c r="E142" t="str">
        <f>VLOOKUP(Table2[[#This Row],[Customer ID]],Table2[#All],4,FALSE)</f>
        <v>Yes</v>
      </c>
      <c r="F142" t="str">
        <f>VLOOKUP(Table2[[#This Row],[Customer ID]],Table2[#All],5,FALSE)</f>
        <v>No</v>
      </c>
      <c r="G142" t="str">
        <f>VLOOKUP(Table2[[#This Row],[Customer ID]],Table2[#All],6,FALSE)</f>
        <v>No</v>
      </c>
      <c r="H142">
        <f>VLOOKUP(Table2[[#This Row],[Customer ID]],Table2[#All],7,FALSE)</f>
        <v>1</v>
      </c>
      <c r="I142" t="str">
        <f>VLOOKUP(Table2[[#This Row],[Customer ID]],Table2[#All],8,FALSE)</f>
        <v>Yes</v>
      </c>
      <c r="J142" t="str">
        <f>VLOOKUP(Table2[[#This Row],[Customer ID]],Table2[#All],9,FALSE)</f>
        <v>Obesity</v>
      </c>
      <c r="K142" t="str">
        <f>VLOOKUP(Table2[[#This Row],[Customer ID]],Table2[#All],10,FALSE)</f>
        <v>Diabetes</v>
      </c>
    </row>
    <row r="143" spans="1:11" ht="15.6" x14ac:dyDescent="0.3">
      <c r="A143" s="1" t="s">
        <v>2231</v>
      </c>
      <c r="B143" t="str">
        <f>VLOOKUP('Customer Names'!A143,'Customer Names'!$A$1:$E$2336,4,FALSE)</f>
        <v>Mr.  Jesse</v>
      </c>
      <c r="C143">
        <f>VLOOKUP(Table2[[#This Row],[Customer ID]],Table2[#All],2,FALSE)</f>
        <v>53.62</v>
      </c>
      <c r="D143">
        <f>VLOOKUP(Table2[[#This Row],[Customer ID]],Table2[#All],3,FALSE)</f>
        <v>5.21</v>
      </c>
      <c r="E143" t="str">
        <f>VLOOKUP(Table2[[#This Row],[Customer ID]],Table2[#All],4,FALSE)</f>
        <v>No</v>
      </c>
      <c r="F143" t="str">
        <f>VLOOKUP(Table2[[#This Row],[Customer ID]],Table2[#All],5,FALSE)</f>
        <v>No</v>
      </c>
      <c r="G143" t="str">
        <f>VLOOKUP(Table2[[#This Row],[Customer ID]],Table2[#All],6,FALSE)</f>
        <v>No</v>
      </c>
      <c r="H143">
        <f>VLOOKUP(Table2[[#This Row],[Customer ID]],Table2[#All],7,FALSE)</f>
        <v>0</v>
      </c>
      <c r="I143" t="str">
        <f>VLOOKUP(Table2[[#This Row],[Customer ID]],Table2[#All],8,FALSE)</f>
        <v>Yes</v>
      </c>
      <c r="J143" t="str">
        <f>VLOOKUP(Table2[[#This Row],[Customer ID]],Table2[#All],9,FALSE)</f>
        <v>Obesity</v>
      </c>
      <c r="K143" t="str">
        <f>VLOOKUP(Table2[[#This Row],[Customer ID]],Table2[#All],10,FALSE)</f>
        <v>Normal</v>
      </c>
    </row>
    <row r="144" spans="1:11" ht="15.6" x14ac:dyDescent="0.3">
      <c r="A144" s="1" t="s">
        <v>2230</v>
      </c>
      <c r="B144" t="str">
        <f>VLOOKUP('Customer Names'!A144,'Customer Names'!$A$1:$E$2336,4,FALSE)</f>
        <v>Ms.  Tammi J.</v>
      </c>
      <c r="C144">
        <f>VLOOKUP(Table2[[#This Row],[Customer ID]],Table2[#All],2,FALSE)</f>
        <v>36.67</v>
      </c>
      <c r="D144">
        <f>VLOOKUP(Table2[[#This Row],[Customer ID]],Table2[#All],3,FALSE)</f>
        <v>6.27</v>
      </c>
      <c r="E144" t="str">
        <f>VLOOKUP(Table2[[#This Row],[Customer ID]],Table2[#All],4,FALSE)</f>
        <v>No</v>
      </c>
      <c r="F144" t="str">
        <f>VLOOKUP(Table2[[#This Row],[Customer ID]],Table2[#All],5,FALSE)</f>
        <v>No</v>
      </c>
      <c r="G144" t="str">
        <f>VLOOKUP(Table2[[#This Row],[Customer ID]],Table2[#All],6,FALSE)</f>
        <v>No</v>
      </c>
      <c r="H144">
        <f>VLOOKUP(Table2[[#This Row],[Customer ID]],Table2[#All],7,FALSE)</f>
        <v>0</v>
      </c>
      <c r="I144" t="str">
        <f>VLOOKUP(Table2[[#This Row],[Customer ID]],Table2[#All],8,FALSE)</f>
        <v>Yes</v>
      </c>
      <c r="J144" t="str">
        <f>VLOOKUP(Table2[[#This Row],[Customer ID]],Table2[#All],9,FALSE)</f>
        <v>Obesity</v>
      </c>
      <c r="K144" t="str">
        <f>VLOOKUP(Table2[[#This Row],[Customer ID]],Table2[#All],10,FALSE)</f>
        <v>Prediabetes</v>
      </c>
    </row>
    <row r="145" spans="1:11" ht="15.6" x14ac:dyDescent="0.3">
      <c r="A145" s="1" t="s">
        <v>2229</v>
      </c>
      <c r="B145" t="str">
        <f>VLOOKUP('Customer Names'!A145,'Customer Names'!$A$1:$E$2336,4,FALSE)</f>
        <v>Mr.  Matthew S.</v>
      </c>
      <c r="C145">
        <f>VLOOKUP(Table2[[#This Row],[Customer ID]],Table2[#All],2,FALSE)</f>
        <v>33.4</v>
      </c>
      <c r="D145">
        <f>VLOOKUP(Table2[[#This Row],[Customer ID]],Table2[#All],3,FALSE)</f>
        <v>10.73</v>
      </c>
      <c r="E145" t="str">
        <f>VLOOKUP(Table2[[#This Row],[Customer ID]],Table2[#All],4,FALSE)</f>
        <v>Yes</v>
      </c>
      <c r="F145" t="str">
        <f>VLOOKUP(Table2[[#This Row],[Customer ID]],Table2[#All],5,FALSE)</f>
        <v>No</v>
      </c>
      <c r="G145" t="str">
        <f>VLOOKUP(Table2[[#This Row],[Customer ID]],Table2[#All],6,FALSE)</f>
        <v>No</v>
      </c>
      <c r="H145">
        <f>VLOOKUP(Table2[[#This Row],[Customer ID]],Table2[#All],7,FALSE)</f>
        <v>1</v>
      </c>
      <c r="I145" t="str">
        <f>VLOOKUP(Table2[[#This Row],[Customer ID]],Table2[#All],8,FALSE)</f>
        <v>Yes</v>
      </c>
      <c r="J145" t="str">
        <f>VLOOKUP(Table2[[#This Row],[Customer ID]],Table2[#All],9,FALSE)</f>
        <v>Obesity</v>
      </c>
      <c r="K145" t="str">
        <f>VLOOKUP(Table2[[#This Row],[Customer ID]],Table2[#All],10,FALSE)</f>
        <v>Diabetes</v>
      </c>
    </row>
    <row r="146" spans="1:11" ht="15.6" x14ac:dyDescent="0.3">
      <c r="A146" s="1" t="s">
        <v>2228</v>
      </c>
      <c r="B146" t="str">
        <f>VLOOKUP('Customer Names'!A146,'Customer Names'!$A$1:$E$2336,4,FALSE)</f>
        <v>Mr.  Eric</v>
      </c>
      <c r="C146">
        <f>VLOOKUP(Table2[[#This Row],[Customer ID]],Table2[#All],2,FALSE)</f>
        <v>42.71</v>
      </c>
      <c r="D146">
        <f>VLOOKUP(Table2[[#This Row],[Customer ID]],Table2[#All],3,FALSE)</f>
        <v>10.52</v>
      </c>
      <c r="E146" t="str">
        <f>VLOOKUP(Table2[[#This Row],[Customer ID]],Table2[#All],4,FALSE)</f>
        <v>No</v>
      </c>
      <c r="F146" t="str">
        <f>VLOOKUP(Table2[[#This Row],[Customer ID]],Table2[#All],5,FALSE)</f>
        <v>No</v>
      </c>
      <c r="G146" t="str">
        <f>VLOOKUP(Table2[[#This Row],[Customer ID]],Table2[#All],6,FALSE)</f>
        <v>No</v>
      </c>
      <c r="H146">
        <f>VLOOKUP(Table2[[#This Row],[Customer ID]],Table2[#All],7,FALSE)</f>
        <v>0</v>
      </c>
      <c r="I146" t="str">
        <f>VLOOKUP(Table2[[#This Row],[Customer ID]],Table2[#All],8,FALSE)</f>
        <v>Yes</v>
      </c>
      <c r="J146" t="str">
        <f>VLOOKUP(Table2[[#This Row],[Customer ID]],Table2[#All],9,FALSE)</f>
        <v>Obesity</v>
      </c>
      <c r="K146" t="str">
        <f>VLOOKUP(Table2[[#This Row],[Customer ID]],Table2[#All],10,FALSE)</f>
        <v>Diabetes</v>
      </c>
    </row>
    <row r="147" spans="1:11" ht="15.6" x14ac:dyDescent="0.3">
      <c r="A147" s="1" t="s">
        <v>2227</v>
      </c>
      <c r="B147" t="str">
        <f>VLOOKUP('Customer Names'!A147,'Customer Names'!$A$1:$E$2336,4,FALSE)</f>
        <v>Ms.  Valeria R</v>
      </c>
      <c r="C147">
        <f>VLOOKUP(Table2[[#This Row],[Customer ID]],Table2[#All],2,FALSE)</f>
        <v>41.52</v>
      </c>
      <c r="D147">
        <f>VLOOKUP(Table2[[#This Row],[Customer ID]],Table2[#All],3,FALSE)</f>
        <v>11.82</v>
      </c>
      <c r="E147" t="str">
        <f>VLOOKUP(Table2[[#This Row],[Customer ID]],Table2[#All],4,FALSE)</f>
        <v>Yes</v>
      </c>
      <c r="F147" t="str">
        <f>VLOOKUP(Table2[[#This Row],[Customer ID]],Table2[#All],5,FALSE)</f>
        <v>No</v>
      </c>
      <c r="G147" t="str">
        <f>VLOOKUP(Table2[[#This Row],[Customer ID]],Table2[#All],6,FALSE)</f>
        <v>No</v>
      </c>
      <c r="H147">
        <f>VLOOKUP(Table2[[#This Row],[Customer ID]],Table2[#All],7,FALSE)</f>
        <v>2</v>
      </c>
      <c r="I147" t="str">
        <f>VLOOKUP(Table2[[#This Row],[Customer ID]],Table2[#All],8,FALSE)</f>
        <v>Yes</v>
      </c>
      <c r="J147" t="str">
        <f>VLOOKUP(Table2[[#This Row],[Customer ID]],Table2[#All],9,FALSE)</f>
        <v>Obesity</v>
      </c>
      <c r="K147" t="str">
        <f>VLOOKUP(Table2[[#This Row],[Customer ID]],Table2[#All],10,FALSE)</f>
        <v>Diabetes</v>
      </c>
    </row>
    <row r="148" spans="1:11" ht="15.6" x14ac:dyDescent="0.3">
      <c r="A148" s="1" t="s">
        <v>2226</v>
      </c>
      <c r="B148" t="str">
        <f>VLOOKUP('Customer Names'!A148,'Customer Names'!$A$1:$E$2336,4,FALSE)</f>
        <v>Mr.  Michael P</v>
      </c>
      <c r="C148">
        <f>VLOOKUP(Table2[[#This Row],[Customer ID]],Table2[#All],2,FALSE)</f>
        <v>39.4</v>
      </c>
      <c r="D148">
        <f>VLOOKUP(Table2[[#This Row],[Customer ID]],Table2[#All],3,FALSE)</f>
        <v>6.76</v>
      </c>
      <c r="E148" t="str">
        <f>VLOOKUP(Table2[[#This Row],[Customer ID]],Table2[#All],4,FALSE)</f>
        <v>No</v>
      </c>
      <c r="F148" t="str">
        <f>VLOOKUP(Table2[[#This Row],[Customer ID]],Table2[#All],5,FALSE)</f>
        <v>No</v>
      </c>
      <c r="G148" t="str">
        <f>VLOOKUP(Table2[[#This Row],[Customer ID]],Table2[#All],6,FALSE)</f>
        <v>No</v>
      </c>
      <c r="H148">
        <f>VLOOKUP(Table2[[#This Row],[Customer ID]],Table2[#All],7,FALSE)</f>
        <v>0</v>
      </c>
      <c r="I148" t="str">
        <f>VLOOKUP(Table2[[#This Row],[Customer ID]],Table2[#All],8,FALSE)</f>
        <v>Yes</v>
      </c>
      <c r="J148" t="str">
        <f>VLOOKUP(Table2[[#This Row],[Customer ID]],Table2[#All],9,FALSE)</f>
        <v>Obesity</v>
      </c>
      <c r="K148" t="str">
        <f>VLOOKUP(Table2[[#This Row],[Customer ID]],Table2[#All],10,FALSE)</f>
        <v>Diabetes</v>
      </c>
    </row>
    <row r="149" spans="1:11" ht="15.6" x14ac:dyDescent="0.3">
      <c r="A149" s="1" t="s">
        <v>2225</v>
      </c>
      <c r="B149" t="str">
        <f>VLOOKUP('Customer Names'!A149,'Customer Names'!$A$1:$E$2336,4,FALSE)</f>
        <v>Mr.  Rami</v>
      </c>
      <c r="C149">
        <f>VLOOKUP(Table2[[#This Row],[Customer ID]],Table2[#All],2,FALSE)</f>
        <v>46.45</v>
      </c>
      <c r="D149">
        <f>VLOOKUP(Table2[[#This Row],[Customer ID]],Table2[#All],3,FALSE)</f>
        <v>5.62</v>
      </c>
      <c r="E149" t="str">
        <f>VLOOKUP(Table2[[#This Row],[Customer ID]],Table2[#All],4,FALSE)</f>
        <v>No</v>
      </c>
      <c r="F149" t="str">
        <f>VLOOKUP(Table2[[#This Row],[Customer ID]],Table2[#All],5,FALSE)</f>
        <v>No</v>
      </c>
      <c r="G149" t="str">
        <f>VLOOKUP(Table2[[#This Row],[Customer ID]],Table2[#All],6,FALSE)</f>
        <v>No</v>
      </c>
      <c r="H149">
        <f>VLOOKUP(Table2[[#This Row],[Customer ID]],Table2[#All],7,FALSE)</f>
        <v>0</v>
      </c>
      <c r="I149" t="str">
        <f>VLOOKUP(Table2[[#This Row],[Customer ID]],Table2[#All],8,FALSE)</f>
        <v>Yes</v>
      </c>
      <c r="J149" t="str">
        <f>VLOOKUP(Table2[[#This Row],[Customer ID]],Table2[#All],9,FALSE)</f>
        <v>Obesity</v>
      </c>
      <c r="K149" t="str">
        <f>VLOOKUP(Table2[[#This Row],[Customer ID]],Table2[#All],10,FALSE)</f>
        <v>Normal</v>
      </c>
    </row>
    <row r="150" spans="1:11" ht="15.6" x14ac:dyDescent="0.3">
      <c r="A150" s="1" t="s">
        <v>2224</v>
      </c>
      <c r="B150" t="str">
        <f>VLOOKUP('Customer Names'!A150,'Customer Names'!$A$1:$E$2336,4,FALSE)</f>
        <v>Mr.  Denis</v>
      </c>
      <c r="C150">
        <f>VLOOKUP(Table2[[#This Row],[Customer ID]],Table2[#All],2,FALSE)</f>
        <v>35.75</v>
      </c>
      <c r="D150">
        <f>VLOOKUP(Table2[[#This Row],[Customer ID]],Table2[#All],3,FALSE)</f>
        <v>4.1900000000000004</v>
      </c>
      <c r="E150" t="str">
        <f>VLOOKUP(Table2[[#This Row],[Customer ID]],Table2[#All],4,FALSE)</f>
        <v>No</v>
      </c>
      <c r="F150" t="str">
        <f>VLOOKUP(Table2[[#This Row],[Customer ID]],Table2[#All],5,FALSE)</f>
        <v>No</v>
      </c>
      <c r="G150" t="str">
        <f>VLOOKUP(Table2[[#This Row],[Customer ID]],Table2[#All],6,FALSE)</f>
        <v>No</v>
      </c>
      <c r="H150">
        <f>VLOOKUP(Table2[[#This Row],[Customer ID]],Table2[#All],7,FALSE)</f>
        <v>0</v>
      </c>
      <c r="I150" t="str">
        <f>VLOOKUP(Table2[[#This Row],[Customer ID]],Table2[#All],8,FALSE)</f>
        <v>Yes</v>
      </c>
      <c r="J150" t="str">
        <f>VLOOKUP(Table2[[#This Row],[Customer ID]],Table2[#All],9,FALSE)</f>
        <v>Obesity</v>
      </c>
      <c r="K150" t="str">
        <f>VLOOKUP(Table2[[#This Row],[Customer ID]],Table2[#All],10,FALSE)</f>
        <v>Normal</v>
      </c>
    </row>
    <row r="151" spans="1:11" ht="15.6" x14ac:dyDescent="0.3">
      <c r="A151" s="1" t="s">
        <v>2223</v>
      </c>
      <c r="B151" t="str">
        <f>VLOOKUP('Customer Names'!A151,'Customer Names'!$A$1:$E$2336,4,FALSE)</f>
        <v>Mr.  Brian E</v>
      </c>
      <c r="C151">
        <f>VLOOKUP(Table2[[#This Row],[Customer ID]],Table2[#All],2,FALSE)</f>
        <v>26.07</v>
      </c>
      <c r="D151">
        <f>VLOOKUP(Table2[[#This Row],[Customer ID]],Table2[#All],3,FALSE)</f>
        <v>5.32</v>
      </c>
      <c r="E151" t="str">
        <f>VLOOKUP(Table2[[#This Row],[Customer ID]],Table2[#All],4,FALSE)</f>
        <v>No</v>
      </c>
      <c r="F151" t="str">
        <f>VLOOKUP(Table2[[#This Row],[Customer ID]],Table2[#All],5,FALSE)</f>
        <v>No</v>
      </c>
      <c r="G151" t="str">
        <f>VLOOKUP(Table2[[#This Row],[Customer ID]],Table2[#All],6,FALSE)</f>
        <v>No</v>
      </c>
      <c r="H151">
        <f>VLOOKUP(Table2[[#This Row],[Customer ID]],Table2[#All],7,FALSE)</f>
        <v>0</v>
      </c>
      <c r="I151" t="str">
        <f>VLOOKUP(Table2[[#This Row],[Customer ID]],Table2[#All],8,FALSE)</f>
        <v>Yes</v>
      </c>
      <c r="J151" t="str">
        <f>VLOOKUP(Table2[[#This Row],[Customer ID]],Table2[#All],9,FALSE)</f>
        <v>Overweight</v>
      </c>
      <c r="K151" t="str">
        <f>VLOOKUP(Table2[[#This Row],[Customer ID]],Table2[#All],10,FALSE)</f>
        <v>Normal</v>
      </c>
    </row>
    <row r="152" spans="1:11" ht="15.6" x14ac:dyDescent="0.3">
      <c r="A152" s="1" t="s">
        <v>2222</v>
      </c>
      <c r="B152" t="str">
        <f>VLOOKUP('Customer Names'!A152,'Customer Names'!$A$1:$E$2336,4,FALSE)</f>
        <v>Ms.  Bonnie</v>
      </c>
      <c r="C152">
        <f>VLOOKUP(Table2[[#This Row],[Customer ID]],Table2[#All],2,FALSE)</f>
        <v>36.54</v>
      </c>
      <c r="D152">
        <f>VLOOKUP(Table2[[#This Row],[Customer ID]],Table2[#All],3,FALSE)</f>
        <v>4.46</v>
      </c>
      <c r="E152" t="str">
        <f>VLOOKUP(Table2[[#This Row],[Customer ID]],Table2[#All],4,FALSE)</f>
        <v>Yes</v>
      </c>
      <c r="F152" t="str">
        <f>VLOOKUP(Table2[[#This Row],[Customer ID]],Table2[#All],5,FALSE)</f>
        <v>No</v>
      </c>
      <c r="G152" t="str">
        <f>VLOOKUP(Table2[[#This Row],[Customer ID]],Table2[#All],6,FALSE)</f>
        <v>No</v>
      </c>
      <c r="H152">
        <f>VLOOKUP(Table2[[#This Row],[Customer ID]],Table2[#All],7,FALSE)</f>
        <v>1</v>
      </c>
      <c r="I152" t="str">
        <f>VLOOKUP(Table2[[#This Row],[Customer ID]],Table2[#All],8,FALSE)</f>
        <v>Yes</v>
      </c>
      <c r="J152" t="str">
        <f>VLOOKUP(Table2[[#This Row],[Customer ID]],Table2[#All],9,FALSE)</f>
        <v>Obesity</v>
      </c>
      <c r="K152" t="str">
        <f>VLOOKUP(Table2[[#This Row],[Customer ID]],Table2[#All],10,FALSE)</f>
        <v>Normal</v>
      </c>
    </row>
    <row r="153" spans="1:11" ht="15.6" x14ac:dyDescent="0.3">
      <c r="A153" s="1" t="s">
        <v>2221</v>
      </c>
      <c r="B153" t="str">
        <f>VLOOKUP('Customer Names'!A153,'Customer Names'!$A$1:$E$2336,4,FALSE)</f>
        <v>Mr.  Michael P</v>
      </c>
      <c r="C153">
        <f>VLOOKUP(Table2[[#This Row],[Customer ID]],Table2[#All],2,FALSE)</f>
        <v>51.64</v>
      </c>
      <c r="D153">
        <f>VLOOKUP(Table2[[#This Row],[Customer ID]],Table2[#All],3,FALSE)</f>
        <v>5.65</v>
      </c>
      <c r="E153" t="str">
        <f>VLOOKUP(Table2[[#This Row],[Customer ID]],Table2[#All],4,FALSE)</f>
        <v>No</v>
      </c>
      <c r="F153" t="str">
        <f>VLOOKUP(Table2[[#This Row],[Customer ID]],Table2[#All],5,FALSE)</f>
        <v>No</v>
      </c>
      <c r="G153" t="str">
        <f>VLOOKUP(Table2[[#This Row],[Customer ID]],Table2[#All],6,FALSE)</f>
        <v>No</v>
      </c>
      <c r="H153">
        <f>VLOOKUP(Table2[[#This Row],[Customer ID]],Table2[#All],7,FALSE)</f>
        <v>0</v>
      </c>
      <c r="I153" t="str">
        <f>VLOOKUP(Table2[[#This Row],[Customer ID]],Table2[#All],8,FALSE)</f>
        <v>Yes</v>
      </c>
      <c r="J153" t="str">
        <f>VLOOKUP(Table2[[#This Row],[Customer ID]],Table2[#All],9,FALSE)</f>
        <v>Obesity</v>
      </c>
      <c r="K153" t="str">
        <f>VLOOKUP(Table2[[#This Row],[Customer ID]],Table2[#All],10,FALSE)</f>
        <v>Normal</v>
      </c>
    </row>
    <row r="154" spans="1:11" ht="15.6" x14ac:dyDescent="0.3">
      <c r="A154" s="1" t="s">
        <v>2220</v>
      </c>
      <c r="B154" t="str">
        <f>VLOOKUP('Customer Names'!A154,'Customer Names'!$A$1:$E$2336,4,FALSE)</f>
        <v>Mr.  Paul</v>
      </c>
      <c r="C154">
        <f>VLOOKUP(Table2[[#This Row],[Customer ID]],Table2[#All],2,FALSE)</f>
        <v>42.83</v>
      </c>
      <c r="D154">
        <f>VLOOKUP(Table2[[#This Row],[Customer ID]],Table2[#All],3,FALSE)</f>
        <v>6.04</v>
      </c>
      <c r="E154" t="str">
        <f>VLOOKUP(Table2[[#This Row],[Customer ID]],Table2[#All],4,FALSE)</f>
        <v>No</v>
      </c>
      <c r="F154" t="str">
        <f>VLOOKUP(Table2[[#This Row],[Customer ID]],Table2[#All],5,FALSE)</f>
        <v>No</v>
      </c>
      <c r="G154" t="str">
        <f>VLOOKUP(Table2[[#This Row],[Customer ID]],Table2[#All],6,FALSE)</f>
        <v>No</v>
      </c>
      <c r="H154">
        <f>VLOOKUP(Table2[[#This Row],[Customer ID]],Table2[#All],7,FALSE)</f>
        <v>2</v>
      </c>
      <c r="I154" t="str">
        <f>VLOOKUP(Table2[[#This Row],[Customer ID]],Table2[#All],8,FALSE)</f>
        <v>Yes</v>
      </c>
      <c r="J154" t="str">
        <f>VLOOKUP(Table2[[#This Row],[Customer ID]],Table2[#All],9,FALSE)</f>
        <v>Obesity</v>
      </c>
      <c r="K154" t="str">
        <f>VLOOKUP(Table2[[#This Row],[Customer ID]],Table2[#All],10,FALSE)</f>
        <v>Prediabetes</v>
      </c>
    </row>
    <row r="155" spans="1:11" ht="15.6" x14ac:dyDescent="0.3">
      <c r="A155" s="1" t="s">
        <v>2219</v>
      </c>
      <c r="B155" t="str">
        <f>VLOOKUP('Customer Names'!A155,'Customer Names'!$A$1:$E$2336,4,FALSE)</f>
        <v>Mr.  Michael</v>
      </c>
      <c r="C155">
        <f>VLOOKUP(Table2[[#This Row],[Customer ID]],Table2[#All],2,FALSE)</f>
        <v>40.15</v>
      </c>
      <c r="D155">
        <f>VLOOKUP(Table2[[#This Row],[Customer ID]],Table2[#All],3,FALSE)</f>
        <v>5.76</v>
      </c>
      <c r="E155" t="str">
        <f>VLOOKUP(Table2[[#This Row],[Customer ID]],Table2[#All],4,FALSE)</f>
        <v>No</v>
      </c>
      <c r="F155" t="str">
        <f>VLOOKUP(Table2[[#This Row],[Customer ID]],Table2[#All],5,FALSE)</f>
        <v>No</v>
      </c>
      <c r="G155" t="str">
        <f>VLOOKUP(Table2[[#This Row],[Customer ID]],Table2[#All],6,FALSE)</f>
        <v>No</v>
      </c>
      <c r="H155">
        <f>VLOOKUP(Table2[[#This Row],[Customer ID]],Table2[#All],7,FALSE)</f>
        <v>1</v>
      </c>
      <c r="I155" t="str">
        <f>VLOOKUP(Table2[[#This Row],[Customer ID]],Table2[#All],8,FALSE)</f>
        <v>Yes</v>
      </c>
      <c r="J155" t="str">
        <f>VLOOKUP(Table2[[#This Row],[Customer ID]],Table2[#All],9,FALSE)</f>
        <v>Obesity</v>
      </c>
      <c r="K155" t="str">
        <f>VLOOKUP(Table2[[#This Row],[Customer ID]],Table2[#All],10,FALSE)</f>
        <v>Prediabetes</v>
      </c>
    </row>
    <row r="156" spans="1:11" ht="15.6" x14ac:dyDescent="0.3">
      <c r="A156" s="1" t="s">
        <v>2218</v>
      </c>
      <c r="B156" t="str">
        <f>VLOOKUP('Customer Names'!A156,'Customer Names'!$A$1:$E$2336,4,FALSE)</f>
        <v>Mr.  Samuel</v>
      </c>
      <c r="C156">
        <f>VLOOKUP(Table2[[#This Row],[Customer ID]],Table2[#All],2,FALSE)</f>
        <v>27.8</v>
      </c>
      <c r="D156">
        <f>VLOOKUP(Table2[[#This Row],[Customer ID]],Table2[#All],3,FALSE)</f>
        <v>4.3600000000000003</v>
      </c>
      <c r="E156" t="str">
        <f>VLOOKUP(Table2[[#This Row],[Customer ID]],Table2[#All],4,FALSE)</f>
        <v>No</v>
      </c>
      <c r="F156" t="str">
        <f>VLOOKUP(Table2[[#This Row],[Customer ID]],Table2[#All],5,FALSE)</f>
        <v>No</v>
      </c>
      <c r="G156" t="str">
        <f>VLOOKUP(Table2[[#This Row],[Customer ID]],Table2[#All],6,FALSE)</f>
        <v>Yes</v>
      </c>
      <c r="H156">
        <f>VLOOKUP(Table2[[#This Row],[Customer ID]],Table2[#All],7,FALSE)</f>
        <v>1</v>
      </c>
      <c r="I156" t="str">
        <f>VLOOKUP(Table2[[#This Row],[Customer ID]],Table2[#All],8,FALSE)</f>
        <v>Yes</v>
      </c>
      <c r="J156" t="str">
        <f>VLOOKUP(Table2[[#This Row],[Customer ID]],Table2[#All],9,FALSE)</f>
        <v>Overweight</v>
      </c>
      <c r="K156" t="str">
        <f>VLOOKUP(Table2[[#This Row],[Customer ID]],Table2[#All],10,FALSE)</f>
        <v>Normal</v>
      </c>
    </row>
    <row r="157" spans="1:11" ht="15.6" x14ac:dyDescent="0.3">
      <c r="A157" s="1" t="s">
        <v>2217</v>
      </c>
      <c r="B157" t="str">
        <f>VLOOKUP('Customer Names'!A157,'Customer Names'!$A$1:$E$2336,4,FALSE)</f>
        <v>Mr.  Matthew</v>
      </c>
      <c r="C157">
        <f>VLOOKUP(Table2[[#This Row],[Customer ID]],Table2[#All],2,FALSE)</f>
        <v>45.81</v>
      </c>
      <c r="D157">
        <f>VLOOKUP(Table2[[#This Row],[Customer ID]],Table2[#All],3,FALSE)</f>
        <v>4.76</v>
      </c>
      <c r="E157" t="str">
        <f>VLOOKUP(Table2[[#This Row],[Customer ID]],Table2[#All],4,FALSE)</f>
        <v>Yes</v>
      </c>
      <c r="F157" t="str">
        <f>VLOOKUP(Table2[[#This Row],[Customer ID]],Table2[#All],5,FALSE)</f>
        <v>No</v>
      </c>
      <c r="G157" t="str">
        <f>VLOOKUP(Table2[[#This Row],[Customer ID]],Table2[#All],6,FALSE)</f>
        <v>Yes</v>
      </c>
      <c r="H157">
        <f>VLOOKUP(Table2[[#This Row],[Customer ID]],Table2[#All],7,FALSE)</f>
        <v>1</v>
      </c>
      <c r="I157" t="str">
        <f>VLOOKUP(Table2[[#This Row],[Customer ID]],Table2[#All],8,FALSE)</f>
        <v>Yes</v>
      </c>
      <c r="J157" t="str">
        <f>VLOOKUP(Table2[[#This Row],[Customer ID]],Table2[#All],9,FALSE)</f>
        <v>Obesity</v>
      </c>
      <c r="K157" t="str">
        <f>VLOOKUP(Table2[[#This Row],[Customer ID]],Table2[#All],10,FALSE)</f>
        <v>Normal</v>
      </c>
    </row>
    <row r="158" spans="1:11" ht="15.6" x14ac:dyDescent="0.3">
      <c r="A158" s="1" t="s">
        <v>2216</v>
      </c>
      <c r="B158" t="str">
        <f>VLOOKUP('Customer Names'!A158,'Customer Names'!$A$1:$E$2336,4,FALSE)</f>
        <v>Mr.  Daniel</v>
      </c>
      <c r="C158">
        <f>VLOOKUP(Table2[[#This Row],[Customer ID]],Table2[#All],2,FALSE)</f>
        <v>34.43</v>
      </c>
      <c r="D158">
        <f>VLOOKUP(Table2[[#This Row],[Customer ID]],Table2[#All],3,FALSE)</f>
        <v>10.82</v>
      </c>
      <c r="E158" t="str">
        <f>VLOOKUP(Table2[[#This Row],[Customer ID]],Table2[#All],4,FALSE)</f>
        <v>Yes</v>
      </c>
      <c r="F158" t="str">
        <f>VLOOKUP(Table2[[#This Row],[Customer ID]],Table2[#All],5,FALSE)</f>
        <v>No</v>
      </c>
      <c r="G158" t="str">
        <f>VLOOKUP(Table2[[#This Row],[Customer ID]],Table2[#All],6,FALSE)</f>
        <v>No</v>
      </c>
      <c r="H158">
        <f>VLOOKUP(Table2[[#This Row],[Customer ID]],Table2[#All],7,FALSE)</f>
        <v>1</v>
      </c>
      <c r="I158" t="str">
        <f>VLOOKUP(Table2[[#This Row],[Customer ID]],Table2[#All],8,FALSE)</f>
        <v>Yes</v>
      </c>
      <c r="J158" t="str">
        <f>VLOOKUP(Table2[[#This Row],[Customer ID]],Table2[#All],9,FALSE)</f>
        <v>Obesity</v>
      </c>
      <c r="K158" t="str">
        <f>VLOOKUP(Table2[[#This Row],[Customer ID]],Table2[#All],10,FALSE)</f>
        <v>Diabetes</v>
      </c>
    </row>
    <row r="159" spans="1:11" ht="15.6" x14ac:dyDescent="0.3">
      <c r="A159" s="1" t="s">
        <v>2215</v>
      </c>
      <c r="B159" t="str">
        <f>VLOOKUP('Customer Names'!A159,'Customer Names'!$A$1:$E$2336,4,FALSE)</f>
        <v>Ms.  Syndy</v>
      </c>
      <c r="C159">
        <f>VLOOKUP(Table2[[#This Row],[Customer ID]],Table2[#All],2,FALSE)</f>
        <v>41.33</v>
      </c>
      <c r="D159">
        <f>VLOOKUP(Table2[[#This Row],[Customer ID]],Table2[#All],3,FALSE)</f>
        <v>4.01</v>
      </c>
      <c r="E159" t="str">
        <f>VLOOKUP(Table2[[#This Row],[Customer ID]],Table2[#All],4,FALSE)</f>
        <v>Yes</v>
      </c>
      <c r="F159" t="str">
        <f>VLOOKUP(Table2[[#This Row],[Customer ID]],Table2[#All],5,FALSE)</f>
        <v>No</v>
      </c>
      <c r="G159" t="str">
        <f>VLOOKUP(Table2[[#This Row],[Customer ID]],Table2[#All],6,FALSE)</f>
        <v>No</v>
      </c>
      <c r="H159">
        <f>VLOOKUP(Table2[[#This Row],[Customer ID]],Table2[#All],7,FALSE)</f>
        <v>0</v>
      </c>
      <c r="I159" t="str">
        <f>VLOOKUP(Table2[[#This Row],[Customer ID]],Table2[#All],8,FALSE)</f>
        <v>Yes</v>
      </c>
      <c r="J159" t="str">
        <f>VLOOKUP(Table2[[#This Row],[Customer ID]],Table2[#All],9,FALSE)</f>
        <v>Obesity</v>
      </c>
      <c r="K159" t="str">
        <f>VLOOKUP(Table2[[#This Row],[Customer ID]],Table2[#All],10,FALSE)</f>
        <v>Normal</v>
      </c>
    </row>
    <row r="160" spans="1:11" ht="15.6" x14ac:dyDescent="0.3">
      <c r="A160" s="1" t="s">
        <v>2214</v>
      </c>
      <c r="B160" t="str">
        <f>VLOOKUP('Customer Names'!A160,'Customer Names'!$A$1:$E$2336,4,FALSE)</f>
        <v>Ms.  Aleksandra</v>
      </c>
      <c r="C160">
        <f>VLOOKUP(Table2[[#This Row],[Customer ID]],Table2[#All],2,FALSE)</f>
        <v>31.92</v>
      </c>
      <c r="D160">
        <f>VLOOKUP(Table2[[#This Row],[Customer ID]],Table2[#All],3,FALSE)</f>
        <v>5.12</v>
      </c>
      <c r="E160" t="str">
        <f>VLOOKUP(Table2[[#This Row],[Customer ID]],Table2[#All],4,FALSE)</f>
        <v>Yes</v>
      </c>
      <c r="F160" t="str">
        <f>VLOOKUP(Table2[[#This Row],[Customer ID]],Table2[#All],5,FALSE)</f>
        <v>No</v>
      </c>
      <c r="G160" t="str">
        <f>VLOOKUP(Table2[[#This Row],[Customer ID]],Table2[#All],6,FALSE)</f>
        <v>No</v>
      </c>
      <c r="H160">
        <f>VLOOKUP(Table2[[#This Row],[Customer ID]],Table2[#All],7,FALSE)</f>
        <v>1</v>
      </c>
      <c r="I160" t="str">
        <f>VLOOKUP(Table2[[#This Row],[Customer ID]],Table2[#All],8,FALSE)</f>
        <v>Yes</v>
      </c>
      <c r="J160" t="str">
        <f>VLOOKUP(Table2[[#This Row],[Customer ID]],Table2[#All],9,FALSE)</f>
        <v>Obesity</v>
      </c>
      <c r="K160" t="str">
        <f>VLOOKUP(Table2[[#This Row],[Customer ID]],Table2[#All],10,FALSE)</f>
        <v>Normal</v>
      </c>
    </row>
    <row r="161" spans="1:11" ht="15.6" x14ac:dyDescent="0.3">
      <c r="A161" s="1" t="s">
        <v>2213</v>
      </c>
      <c r="B161" t="str">
        <f>VLOOKUP('Customer Names'!A161,'Customer Names'!$A$1:$E$2336,4,FALSE)</f>
        <v>Mr.  Steeve T Sr.</v>
      </c>
      <c r="C161">
        <f>VLOOKUP(Table2[[#This Row],[Customer ID]],Table2[#All],2,FALSE)</f>
        <v>39.799999999999997</v>
      </c>
      <c r="D161">
        <f>VLOOKUP(Table2[[#This Row],[Customer ID]],Table2[#All],3,FALSE)</f>
        <v>10.54</v>
      </c>
      <c r="E161" t="str">
        <f>VLOOKUP(Table2[[#This Row],[Customer ID]],Table2[#All],4,FALSE)</f>
        <v>Yes</v>
      </c>
      <c r="F161" t="str">
        <f>VLOOKUP(Table2[[#This Row],[Customer ID]],Table2[#All],5,FALSE)</f>
        <v>No</v>
      </c>
      <c r="G161" t="str">
        <f>VLOOKUP(Table2[[#This Row],[Customer ID]],Table2[#All],6,FALSE)</f>
        <v>No</v>
      </c>
      <c r="H161">
        <f>VLOOKUP(Table2[[#This Row],[Customer ID]],Table2[#All],7,FALSE)</f>
        <v>2</v>
      </c>
      <c r="I161" t="str">
        <f>VLOOKUP(Table2[[#This Row],[Customer ID]],Table2[#All],8,FALSE)</f>
        <v>Yes</v>
      </c>
      <c r="J161" t="str">
        <f>VLOOKUP(Table2[[#This Row],[Customer ID]],Table2[#All],9,FALSE)</f>
        <v>Obesity</v>
      </c>
      <c r="K161" t="str">
        <f>VLOOKUP(Table2[[#This Row],[Customer ID]],Table2[#All],10,FALSE)</f>
        <v>Diabetes</v>
      </c>
    </row>
    <row r="162" spans="1:11" ht="15.6" x14ac:dyDescent="0.3">
      <c r="A162" s="1" t="s">
        <v>2212</v>
      </c>
      <c r="B162" t="str">
        <f>VLOOKUP('Customer Names'!A162,'Customer Names'!$A$1:$E$2336,4,FALSE)</f>
        <v>Mr.  Richard</v>
      </c>
      <c r="C162">
        <f>VLOOKUP(Table2[[#This Row],[Customer ID]],Table2[#All],2,FALSE)</f>
        <v>42.82</v>
      </c>
      <c r="D162">
        <f>VLOOKUP(Table2[[#This Row],[Customer ID]],Table2[#All],3,FALSE)</f>
        <v>4.21</v>
      </c>
      <c r="E162" t="str">
        <f>VLOOKUP(Table2[[#This Row],[Customer ID]],Table2[#All],4,FALSE)</f>
        <v>No</v>
      </c>
      <c r="F162" t="str">
        <f>VLOOKUP(Table2[[#This Row],[Customer ID]],Table2[#All],5,FALSE)</f>
        <v>No</v>
      </c>
      <c r="G162" t="str">
        <f>VLOOKUP(Table2[[#This Row],[Customer ID]],Table2[#All],6,FALSE)</f>
        <v>No</v>
      </c>
      <c r="H162">
        <f>VLOOKUP(Table2[[#This Row],[Customer ID]],Table2[#All],7,FALSE)</f>
        <v>0</v>
      </c>
      <c r="I162" t="str">
        <f>VLOOKUP(Table2[[#This Row],[Customer ID]],Table2[#All],8,FALSE)</f>
        <v>Yes</v>
      </c>
      <c r="J162" t="str">
        <f>VLOOKUP(Table2[[#This Row],[Customer ID]],Table2[#All],9,FALSE)</f>
        <v>Obesity</v>
      </c>
      <c r="K162" t="str">
        <f>VLOOKUP(Table2[[#This Row],[Customer ID]],Table2[#All],10,FALSE)</f>
        <v>Normal</v>
      </c>
    </row>
    <row r="163" spans="1:11" ht="15.6" x14ac:dyDescent="0.3">
      <c r="A163" s="1" t="s">
        <v>2211</v>
      </c>
      <c r="B163" t="str">
        <f>VLOOKUP('Customer Names'!A163,'Customer Names'!$A$1:$E$2336,4,FALSE)</f>
        <v>Mr.  Aaron T</v>
      </c>
      <c r="C163">
        <f>VLOOKUP(Table2[[#This Row],[Customer ID]],Table2[#All],2,FALSE)</f>
        <v>33.630000000000003</v>
      </c>
      <c r="D163">
        <f>VLOOKUP(Table2[[#This Row],[Customer ID]],Table2[#All],3,FALSE)</f>
        <v>5.42</v>
      </c>
      <c r="E163" t="str">
        <f>VLOOKUP(Table2[[#This Row],[Customer ID]],Table2[#All],4,FALSE)</f>
        <v>No</v>
      </c>
      <c r="F163" t="str">
        <f>VLOOKUP(Table2[[#This Row],[Customer ID]],Table2[#All],5,FALSE)</f>
        <v>No</v>
      </c>
      <c r="G163" t="str">
        <f>VLOOKUP(Table2[[#This Row],[Customer ID]],Table2[#All],6,FALSE)</f>
        <v>No</v>
      </c>
      <c r="H163">
        <f>VLOOKUP(Table2[[#This Row],[Customer ID]],Table2[#All],7,FALSE)</f>
        <v>0</v>
      </c>
      <c r="I163" t="str">
        <f>VLOOKUP(Table2[[#This Row],[Customer ID]],Table2[#All],8,FALSE)</f>
        <v>Yes</v>
      </c>
      <c r="J163" t="str">
        <f>VLOOKUP(Table2[[#This Row],[Customer ID]],Table2[#All],9,FALSE)</f>
        <v>Obesity</v>
      </c>
      <c r="K163" t="str">
        <f>VLOOKUP(Table2[[#This Row],[Customer ID]],Table2[#All],10,FALSE)</f>
        <v>Normal</v>
      </c>
    </row>
    <row r="164" spans="1:11" ht="15.6" x14ac:dyDescent="0.3">
      <c r="A164" s="1" t="s">
        <v>2210</v>
      </c>
      <c r="B164" t="str">
        <f>VLOOKUP('Customer Names'!A164,'Customer Names'!$A$1:$E$2336,4,FALSE)</f>
        <v>Mr.  Akira</v>
      </c>
      <c r="C164">
        <f>VLOOKUP(Table2[[#This Row],[Customer ID]],Table2[#All],2,FALSE)</f>
        <v>37.07</v>
      </c>
      <c r="D164">
        <f>VLOOKUP(Table2[[#This Row],[Customer ID]],Table2[#All],3,FALSE)</f>
        <v>4.28</v>
      </c>
      <c r="E164" t="str">
        <f>VLOOKUP(Table2[[#This Row],[Customer ID]],Table2[#All],4,FALSE)</f>
        <v>No</v>
      </c>
      <c r="F164" t="str">
        <f>VLOOKUP(Table2[[#This Row],[Customer ID]],Table2[#All],5,FALSE)</f>
        <v>yes</v>
      </c>
      <c r="G164" t="str">
        <f>VLOOKUP(Table2[[#This Row],[Customer ID]],Table2[#All],6,FALSE)</f>
        <v>No</v>
      </c>
      <c r="H164">
        <f>VLOOKUP(Table2[[#This Row],[Customer ID]],Table2[#All],7,FALSE)</f>
        <v>1</v>
      </c>
      <c r="I164" t="str">
        <f>VLOOKUP(Table2[[#This Row],[Customer ID]],Table2[#All],8,FALSE)</f>
        <v>Yes</v>
      </c>
      <c r="J164" t="str">
        <f>VLOOKUP(Table2[[#This Row],[Customer ID]],Table2[#All],9,FALSE)</f>
        <v>Obesity</v>
      </c>
      <c r="K164" t="str">
        <f>VLOOKUP(Table2[[#This Row],[Customer ID]],Table2[#All],10,FALSE)</f>
        <v>Normal</v>
      </c>
    </row>
    <row r="165" spans="1:11" ht="15.6" x14ac:dyDescent="0.3">
      <c r="A165" s="1" t="s">
        <v>2209</v>
      </c>
      <c r="B165" t="str">
        <f>VLOOKUP('Customer Names'!A165,'Customer Names'!$A$1:$E$2336,4,FALSE)</f>
        <v>Mr.  Ben</v>
      </c>
      <c r="C165">
        <f>VLOOKUP(Table2[[#This Row],[Customer ID]],Table2[#All],2,FALSE)</f>
        <v>35.625</v>
      </c>
      <c r="D165">
        <f>VLOOKUP(Table2[[#This Row],[Customer ID]],Table2[#All],3,FALSE)</f>
        <v>8.9</v>
      </c>
      <c r="E165" t="str">
        <f>VLOOKUP(Table2[[#This Row],[Customer ID]],Table2[#All],4,FALSE)</f>
        <v>No</v>
      </c>
      <c r="F165" t="str">
        <f>VLOOKUP(Table2[[#This Row],[Customer ID]],Table2[#All],5,FALSE)</f>
        <v>No</v>
      </c>
      <c r="G165" t="str">
        <f>VLOOKUP(Table2[[#This Row],[Customer ID]],Table2[#All],6,FALSE)</f>
        <v>No</v>
      </c>
      <c r="H165">
        <f>VLOOKUP(Table2[[#This Row],[Customer ID]],Table2[#All],7,FALSE)</f>
        <v>0</v>
      </c>
      <c r="I165" t="str">
        <f>VLOOKUP(Table2[[#This Row],[Customer ID]],Table2[#All],8,FALSE)</f>
        <v>Yes</v>
      </c>
      <c r="J165" t="str">
        <f>VLOOKUP(Table2[[#This Row],[Customer ID]],Table2[#All],9,FALSE)</f>
        <v>Obesity</v>
      </c>
      <c r="K165" t="str">
        <f>VLOOKUP(Table2[[#This Row],[Customer ID]],Table2[#All],10,FALSE)</f>
        <v>Diabetes</v>
      </c>
    </row>
    <row r="166" spans="1:11" ht="15.6" x14ac:dyDescent="0.3">
      <c r="A166" s="1" t="s">
        <v>2208</v>
      </c>
      <c r="B166" t="str">
        <f>VLOOKUP('Customer Names'!A166,'Customer Names'!$A$1:$E$2336,4,FALSE)</f>
        <v>Ms.  Jana</v>
      </c>
      <c r="C166">
        <f>VLOOKUP(Table2[[#This Row],[Customer ID]],Table2[#All],2,FALSE)</f>
        <v>42.69</v>
      </c>
      <c r="D166">
        <f>VLOOKUP(Table2[[#This Row],[Customer ID]],Table2[#All],3,FALSE)</f>
        <v>4.8899999999999997</v>
      </c>
      <c r="E166" t="str">
        <f>VLOOKUP(Table2[[#This Row],[Customer ID]],Table2[#All],4,FALSE)</f>
        <v>No</v>
      </c>
      <c r="F166" t="str">
        <f>VLOOKUP(Table2[[#This Row],[Customer ID]],Table2[#All],5,FALSE)</f>
        <v>No</v>
      </c>
      <c r="G166" t="str">
        <f>VLOOKUP(Table2[[#This Row],[Customer ID]],Table2[#All],6,FALSE)</f>
        <v>Yes</v>
      </c>
      <c r="H166">
        <f>VLOOKUP(Table2[[#This Row],[Customer ID]],Table2[#All],7,FALSE)</f>
        <v>1</v>
      </c>
      <c r="I166" t="str">
        <f>VLOOKUP(Table2[[#This Row],[Customer ID]],Table2[#All],8,FALSE)</f>
        <v>Yes</v>
      </c>
      <c r="J166" t="str">
        <f>VLOOKUP(Table2[[#This Row],[Customer ID]],Table2[#All],9,FALSE)</f>
        <v>Obesity</v>
      </c>
      <c r="K166" t="str">
        <f>VLOOKUP(Table2[[#This Row],[Customer ID]],Table2[#All],10,FALSE)</f>
        <v>Normal</v>
      </c>
    </row>
    <row r="167" spans="1:11" ht="15.6" x14ac:dyDescent="0.3">
      <c r="A167" s="1" t="s">
        <v>2207</v>
      </c>
      <c r="B167" t="str">
        <f>VLOOKUP('Customer Names'!A167,'Customer Names'!$A$1:$E$2336,4,FALSE)</f>
        <v>Mr.  Jay T.</v>
      </c>
      <c r="C167">
        <f>VLOOKUP(Table2[[#This Row],[Customer ID]],Table2[#All],2,FALSE)</f>
        <v>37.869999999999997</v>
      </c>
      <c r="D167">
        <f>VLOOKUP(Table2[[#This Row],[Customer ID]],Table2[#All],3,FALSE)</f>
        <v>4.29</v>
      </c>
      <c r="E167" t="str">
        <f>VLOOKUP(Table2[[#This Row],[Customer ID]],Table2[#All],4,FALSE)</f>
        <v>Yes</v>
      </c>
      <c r="F167" t="str">
        <f>VLOOKUP(Table2[[#This Row],[Customer ID]],Table2[#All],5,FALSE)</f>
        <v>No</v>
      </c>
      <c r="G167" t="str">
        <f>VLOOKUP(Table2[[#This Row],[Customer ID]],Table2[#All],6,FALSE)</f>
        <v>Yes</v>
      </c>
      <c r="H167">
        <f>VLOOKUP(Table2[[#This Row],[Customer ID]],Table2[#All],7,FALSE)</f>
        <v>1</v>
      </c>
      <c r="I167" t="str">
        <f>VLOOKUP(Table2[[#This Row],[Customer ID]],Table2[#All],8,FALSE)</f>
        <v>Yes</v>
      </c>
      <c r="J167" t="str">
        <f>VLOOKUP(Table2[[#This Row],[Customer ID]],Table2[#All],9,FALSE)</f>
        <v>Obesity</v>
      </c>
      <c r="K167" t="str">
        <f>VLOOKUP(Table2[[#This Row],[Customer ID]],Table2[#All],10,FALSE)</f>
        <v>Normal</v>
      </c>
    </row>
    <row r="168" spans="1:11" ht="15.6" x14ac:dyDescent="0.3">
      <c r="A168" s="1" t="s">
        <v>2206</v>
      </c>
      <c r="B168" t="str">
        <f>VLOOKUP('Customer Names'!A168,'Customer Names'!$A$1:$E$2336,4,FALSE)</f>
        <v>Ms.  Marie-Helene</v>
      </c>
      <c r="C168">
        <f>VLOOKUP(Table2[[#This Row],[Customer ID]],Table2[#All],2,FALSE)</f>
        <v>40.61</v>
      </c>
      <c r="D168">
        <f>VLOOKUP(Table2[[#This Row],[Customer ID]],Table2[#All],3,FALSE)</f>
        <v>8</v>
      </c>
      <c r="E168" t="str">
        <f>VLOOKUP(Table2[[#This Row],[Customer ID]],Table2[#All],4,FALSE)</f>
        <v>Yes</v>
      </c>
      <c r="F168" t="str">
        <f>VLOOKUP(Table2[[#This Row],[Customer ID]],Table2[#All],5,FALSE)</f>
        <v>No</v>
      </c>
      <c r="G168" t="str">
        <f>VLOOKUP(Table2[[#This Row],[Customer ID]],Table2[#All],6,FALSE)</f>
        <v>No</v>
      </c>
      <c r="H168">
        <f>VLOOKUP(Table2[[#This Row],[Customer ID]],Table2[#All],7,FALSE)</f>
        <v>1</v>
      </c>
      <c r="I168" t="str">
        <f>VLOOKUP(Table2[[#This Row],[Customer ID]],Table2[#All],8,FALSE)</f>
        <v>Yes</v>
      </c>
      <c r="J168" t="str">
        <f>VLOOKUP(Table2[[#This Row],[Customer ID]],Table2[#All],9,FALSE)</f>
        <v>Obesity</v>
      </c>
      <c r="K168" t="str">
        <f>VLOOKUP(Table2[[#This Row],[Customer ID]],Table2[#All],10,FALSE)</f>
        <v>Diabetes</v>
      </c>
    </row>
    <row r="169" spans="1:11" ht="15.6" x14ac:dyDescent="0.3">
      <c r="A169" s="1" t="s">
        <v>2205</v>
      </c>
      <c r="B169" t="str">
        <f>VLOOKUP('Customer Names'!A169,'Customer Names'!$A$1:$E$2336,4,FALSE)</f>
        <v>Ms.  Bret R</v>
      </c>
      <c r="C169">
        <f>VLOOKUP(Table2[[#This Row],[Customer ID]],Table2[#All],2,FALSE)</f>
        <v>30.78</v>
      </c>
      <c r="D169">
        <f>VLOOKUP(Table2[[#This Row],[Customer ID]],Table2[#All],3,FALSE)</f>
        <v>4.67</v>
      </c>
      <c r="E169" t="str">
        <f>VLOOKUP(Table2[[#This Row],[Customer ID]],Table2[#All],4,FALSE)</f>
        <v>Yes</v>
      </c>
      <c r="F169" t="str">
        <f>VLOOKUP(Table2[[#This Row],[Customer ID]],Table2[#All],5,FALSE)</f>
        <v>No</v>
      </c>
      <c r="G169" t="str">
        <f>VLOOKUP(Table2[[#This Row],[Customer ID]],Table2[#All],6,FALSE)</f>
        <v>No</v>
      </c>
      <c r="H169">
        <f>VLOOKUP(Table2[[#This Row],[Customer ID]],Table2[#All],7,FALSE)</f>
        <v>0</v>
      </c>
      <c r="I169" t="str">
        <f>VLOOKUP(Table2[[#This Row],[Customer ID]],Table2[#All],8,FALSE)</f>
        <v>Yes</v>
      </c>
      <c r="J169" t="str">
        <f>VLOOKUP(Table2[[#This Row],[Customer ID]],Table2[#All],9,FALSE)</f>
        <v>Obesity</v>
      </c>
      <c r="K169" t="str">
        <f>VLOOKUP(Table2[[#This Row],[Customer ID]],Table2[#All],10,FALSE)</f>
        <v>Normal</v>
      </c>
    </row>
    <row r="170" spans="1:11" ht="15.6" x14ac:dyDescent="0.3">
      <c r="A170" s="1" t="s">
        <v>2204</v>
      </c>
      <c r="B170" t="str">
        <f>VLOOKUP('Customer Names'!A170,'Customer Names'!$A$1:$E$2336,4,FALSE)</f>
        <v>Mr.  Gardner L</v>
      </c>
      <c r="C170">
        <f>VLOOKUP(Table2[[#This Row],[Customer ID]],Table2[#All],2,FALSE)</f>
        <v>49.49</v>
      </c>
      <c r="D170">
        <f>VLOOKUP(Table2[[#This Row],[Customer ID]],Table2[#All],3,FALSE)</f>
        <v>4.5</v>
      </c>
      <c r="E170" t="str">
        <f>VLOOKUP(Table2[[#This Row],[Customer ID]],Table2[#All],4,FALSE)</f>
        <v>No</v>
      </c>
      <c r="F170" t="str">
        <f>VLOOKUP(Table2[[#This Row],[Customer ID]],Table2[#All],5,FALSE)</f>
        <v>No</v>
      </c>
      <c r="G170" t="str">
        <f>VLOOKUP(Table2[[#This Row],[Customer ID]],Table2[#All],6,FALSE)</f>
        <v>No</v>
      </c>
      <c r="H170">
        <f>VLOOKUP(Table2[[#This Row],[Customer ID]],Table2[#All],7,FALSE)</f>
        <v>0</v>
      </c>
      <c r="I170" t="str">
        <f>VLOOKUP(Table2[[#This Row],[Customer ID]],Table2[#All],8,FALSE)</f>
        <v>Yes</v>
      </c>
      <c r="J170" t="str">
        <f>VLOOKUP(Table2[[#This Row],[Customer ID]],Table2[#All],9,FALSE)</f>
        <v>Obesity</v>
      </c>
      <c r="K170" t="str">
        <f>VLOOKUP(Table2[[#This Row],[Customer ID]],Table2[#All],10,FALSE)</f>
        <v>Normal</v>
      </c>
    </row>
    <row r="171" spans="1:11" ht="15.6" x14ac:dyDescent="0.3">
      <c r="A171" s="1" t="s">
        <v>2203</v>
      </c>
      <c r="B171" t="str">
        <f>VLOOKUP('Customer Names'!A171,'Customer Names'!$A$1:$E$2336,4,FALSE)</f>
        <v>Mr.  Bobby</v>
      </c>
      <c r="C171">
        <f>VLOOKUP(Table2[[#This Row],[Customer ID]],Table2[#All],2,FALSE)</f>
        <v>37.619999999999997</v>
      </c>
      <c r="D171">
        <f>VLOOKUP(Table2[[#This Row],[Customer ID]],Table2[#All],3,FALSE)</f>
        <v>6.32</v>
      </c>
      <c r="E171" t="str">
        <f>VLOOKUP(Table2[[#This Row],[Customer ID]],Table2[#All],4,FALSE)</f>
        <v>Yes</v>
      </c>
      <c r="F171" t="str">
        <f>VLOOKUP(Table2[[#This Row],[Customer ID]],Table2[#All],5,FALSE)</f>
        <v>yes</v>
      </c>
      <c r="G171" t="str">
        <f>VLOOKUP(Table2[[#This Row],[Customer ID]],Table2[#All],6,FALSE)</f>
        <v>No</v>
      </c>
      <c r="H171">
        <f>VLOOKUP(Table2[[#This Row],[Customer ID]],Table2[#All],7,FALSE)</f>
        <v>2</v>
      </c>
      <c r="I171" t="str">
        <f>VLOOKUP(Table2[[#This Row],[Customer ID]],Table2[#All],8,FALSE)</f>
        <v>Yes</v>
      </c>
      <c r="J171" t="str">
        <f>VLOOKUP(Table2[[#This Row],[Customer ID]],Table2[#All],9,FALSE)</f>
        <v>Obesity</v>
      </c>
      <c r="K171" t="str">
        <f>VLOOKUP(Table2[[#This Row],[Customer ID]],Table2[#All],10,FALSE)</f>
        <v>Prediabetes</v>
      </c>
    </row>
    <row r="172" spans="1:11" ht="15.6" x14ac:dyDescent="0.3">
      <c r="A172" s="1" t="s">
        <v>2202</v>
      </c>
      <c r="B172" t="str">
        <f>VLOOKUP('Customer Names'!A172,'Customer Names'!$A$1:$E$2336,4,FALSE)</f>
        <v>Ms.  Natalie</v>
      </c>
      <c r="C172">
        <f>VLOOKUP(Table2[[#This Row],[Customer ID]],Table2[#All],2,FALSE)</f>
        <v>36.08</v>
      </c>
      <c r="D172">
        <f>VLOOKUP(Table2[[#This Row],[Customer ID]],Table2[#All],3,FALSE)</f>
        <v>6.1</v>
      </c>
      <c r="E172" t="str">
        <f>VLOOKUP(Table2[[#This Row],[Customer ID]],Table2[#All],4,FALSE)</f>
        <v>Yes</v>
      </c>
      <c r="F172" t="str">
        <f>VLOOKUP(Table2[[#This Row],[Customer ID]],Table2[#All],5,FALSE)</f>
        <v>No</v>
      </c>
      <c r="G172" t="str">
        <f>VLOOKUP(Table2[[#This Row],[Customer ID]],Table2[#All],6,FALSE)</f>
        <v>No</v>
      </c>
      <c r="H172">
        <f>VLOOKUP(Table2[[#This Row],[Customer ID]],Table2[#All],7,FALSE)</f>
        <v>1</v>
      </c>
      <c r="I172" t="str">
        <f>VLOOKUP(Table2[[#This Row],[Customer ID]],Table2[#All],8,FALSE)</f>
        <v>Yes</v>
      </c>
      <c r="J172" t="str">
        <f>VLOOKUP(Table2[[#This Row],[Customer ID]],Table2[#All],9,FALSE)</f>
        <v>Obesity</v>
      </c>
      <c r="K172" t="str">
        <f>VLOOKUP(Table2[[#This Row],[Customer ID]],Table2[#All],10,FALSE)</f>
        <v>Prediabetes</v>
      </c>
    </row>
    <row r="173" spans="1:11" ht="15.6" x14ac:dyDescent="0.3">
      <c r="A173" s="1" t="s">
        <v>2201</v>
      </c>
      <c r="B173" t="str">
        <f>VLOOKUP('Customer Names'!A173,'Customer Names'!$A$1:$E$2336,4,FALSE)</f>
        <v>Ms.  Lina</v>
      </c>
      <c r="C173">
        <f>VLOOKUP(Table2[[#This Row],[Customer ID]],Table2[#All],2,FALSE)</f>
        <v>33.5</v>
      </c>
      <c r="D173">
        <f>VLOOKUP(Table2[[#This Row],[Customer ID]],Table2[#All],3,FALSE)</f>
        <v>5.4</v>
      </c>
      <c r="E173" t="str">
        <f>VLOOKUP(Table2[[#This Row],[Customer ID]],Table2[#All],4,FALSE)</f>
        <v>No</v>
      </c>
      <c r="F173" t="str">
        <f>VLOOKUP(Table2[[#This Row],[Customer ID]],Table2[#All],5,FALSE)</f>
        <v>No</v>
      </c>
      <c r="G173" t="str">
        <f>VLOOKUP(Table2[[#This Row],[Customer ID]],Table2[#All],6,FALSE)</f>
        <v>No</v>
      </c>
      <c r="H173">
        <f>VLOOKUP(Table2[[#This Row],[Customer ID]],Table2[#All],7,FALSE)</f>
        <v>0</v>
      </c>
      <c r="I173" t="str">
        <f>VLOOKUP(Table2[[#This Row],[Customer ID]],Table2[#All],8,FALSE)</f>
        <v>Yes</v>
      </c>
      <c r="J173" t="str">
        <f>VLOOKUP(Table2[[#This Row],[Customer ID]],Table2[#All],9,FALSE)</f>
        <v>Obesity</v>
      </c>
      <c r="K173" t="str">
        <f>VLOOKUP(Table2[[#This Row],[Customer ID]],Table2[#All],10,FALSE)</f>
        <v>Normal</v>
      </c>
    </row>
    <row r="174" spans="1:11" ht="15.6" x14ac:dyDescent="0.3">
      <c r="A174" s="1" t="s">
        <v>2200</v>
      </c>
      <c r="B174" t="str">
        <f>VLOOKUP('Customer Names'!A174,'Customer Names'!$A$1:$E$2336,4,FALSE)</f>
        <v>Mr.  Zebulon</v>
      </c>
      <c r="C174">
        <f>VLOOKUP(Table2[[#This Row],[Customer ID]],Table2[#All],2,FALSE)</f>
        <v>47.46</v>
      </c>
      <c r="D174">
        <f>VLOOKUP(Table2[[#This Row],[Customer ID]],Table2[#All],3,FALSE)</f>
        <v>6.24</v>
      </c>
      <c r="E174" t="str">
        <f>VLOOKUP(Table2[[#This Row],[Customer ID]],Table2[#All],4,FALSE)</f>
        <v>Yes</v>
      </c>
      <c r="F174" t="str">
        <f>VLOOKUP(Table2[[#This Row],[Customer ID]],Table2[#All],5,FALSE)</f>
        <v>No</v>
      </c>
      <c r="G174" t="str">
        <f>VLOOKUP(Table2[[#This Row],[Customer ID]],Table2[#All],6,FALSE)</f>
        <v>No</v>
      </c>
      <c r="H174">
        <f>VLOOKUP(Table2[[#This Row],[Customer ID]],Table2[#All],7,FALSE)</f>
        <v>1</v>
      </c>
      <c r="I174" t="str">
        <f>VLOOKUP(Table2[[#This Row],[Customer ID]],Table2[#All],8,FALSE)</f>
        <v>Yes</v>
      </c>
      <c r="J174" t="str">
        <f>VLOOKUP(Table2[[#This Row],[Customer ID]],Table2[#All],9,FALSE)</f>
        <v>Obesity</v>
      </c>
      <c r="K174" t="str">
        <f>VLOOKUP(Table2[[#This Row],[Customer ID]],Table2[#All],10,FALSE)</f>
        <v>Prediabetes</v>
      </c>
    </row>
    <row r="175" spans="1:11" ht="15.6" x14ac:dyDescent="0.3">
      <c r="A175" s="1" t="s">
        <v>2199</v>
      </c>
      <c r="B175" t="str">
        <f>VLOOKUP('Customer Names'!A175,'Customer Names'!$A$1:$E$2336,4,FALSE)</f>
        <v>Ms.  Amanda</v>
      </c>
      <c r="C175">
        <f>VLOOKUP(Table2[[#This Row],[Customer ID]],Table2[#All],2,FALSE)</f>
        <v>49.24</v>
      </c>
      <c r="D175">
        <f>VLOOKUP(Table2[[#This Row],[Customer ID]],Table2[#All],3,FALSE)</f>
        <v>4.45</v>
      </c>
      <c r="E175" t="str">
        <f>VLOOKUP(Table2[[#This Row],[Customer ID]],Table2[#All],4,FALSE)</f>
        <v>No</v>
      </c>
      <c r="F175" t="str">
        <f>VLOOKUP(Table2[[#This Row],[Customer ID]],Table2[#All],5,FALSE)</f>
        <v>No</v>
      </c>
      <c r="G175" t="str">
        <f>VLOOKUP(Table2[[#This Row],[Customer ID]],Table2[#All],6,FALSE)</f>
        <v>No</v>
      </c>
      <c r="H175">
        <f>VLOOKUP(Table2[[#This Row],[Customer ID]],Table2[#All],7,FALSE)</f>
        <v>0</v>
      </c>
      <c r="I175" t="str">
        <f>VLOOKUP(Table2[[#This Row],[Customer ID]],Table2[#All],8,FALSE)</f>
        <v>Yes</v>
      </c>
      <c r="J175" t="str">
        <f>VLOOKUP(Table2[[#This Row],[Customer ID]],Table2[#All],9,FALSE)</f>
        <v>Obesity</v>
      </c>
      <c r="K175" t="str">
        <f>VLOOKUP(Table2[[#This Row],[Customer ID]],Table2[#All],10,FALSE)</f>
        <v>Normal</v>
      </c>
    </row>
    <row r="176" spans="1:11" ht="15.6" x14ac:dyDescent="0.3">
      <c r="A176" s="1" t="s">
        <v>2198</v>
      </c>
      <c r="B176" t="str">
        <f>VLOOKUP('Customer Names'!A176,'Customer Names'!$A$1:$E$2336,4,FALSE)</f>
        <v>Mr.  Greg</v>
      </c>
      <c r="C176">
        <f>VLOOKUP(Table2[[#This Row],[Customer ID]],Table2[#All],2,FALSE)</f>
        <v>54.4</v>
      </c>
      <c r="D176">
        <f>VLOOKUP(Table2[[#This Row],[Customer ID]],Table2[#All],3,FALSE)</f>
        <v>5.22</v>
      </c>
      <c r="E176" t="str">
        <f>VLOOKUP(Table2[[#This Row],[Customer ID]],Table2[#All],4,FALSE)</f>
        <v>No</v>
      </c>
      <c r="F176" t="str">
        <f>VLOOKUP(Table2[[#This Row],[Customer ID]],Table2[#All],5,FALSE)</f>
        <v>No</v>
      </c>
      <c r="G176" t="str">
        <f>VLOOKUP(Table2[[#This Row],[Customer ID]],Table2[#All],6,FALSE)</f>
        <v>No</v>
      </c>
      <c r="H176">
        <f>VLOOKUP(Table2[[#This Row],[Customer ID]],Table2[#All],7,FALSE)</f>
        <v>1</v>
      </c>
      <c r="I176" t="str">
        <f>VLOOKUP(Table2[[#This Row],[Customer ID]],Table2[#All],8,FALSE)</f>
        <v>Yes</v>
      </c>
      <c r="J176" t="str">
        <f>VLOOKUP(Table2[[#This Row],[Customer ID]],Table2[#All],9,FALSE)</f>
        <v>Obesity</v>
      </c>
      <c r="K176" t="str">
        <f>VLOOKUP(Table2[[#This Row],[Customer ID]],Table2[#All],10,FALSE)</f>
        <v>Normal</v>
      </c>
    </row>
    <row r="177" spans="1:11" ht="15.6" x14ac:dyDescent="0.3">
      <c r="A177" s="1" t="s">
        <v>2197</v>
      </c>
      <c r="B177" t="str">
        <f>VLOOKUP('Customer Names'!A177,'Customer Names'!$A$1:$E$2336,4,FALSE)</f>
        <v>Mr.  John</v>
      </c>
      <c r="C177">
        <f>VLOOKUP(Table2[[#This Row],[Customer ID]],Table2[#All],2,FALSE)</f>
        <v>35.53</v>
      </c>
      <c r="D177">
        <f>VLOOKUP(Table2[[#This Row],[Customer ID]],Table2[#All],3,FALSE)</f>
        <v>4.6100000000000003</v>
      </c>
      <c r="E177" t="str">
        <f>VLOOKUP(Table2[[#This Row],[Customer ID]],Table2[#All],4,FALSE)</f>
        <v>No</v>
      </c>
      <c r="F177" t="str">
        <f>VLOOKUP(Table2[[#This Row],[Customer ID]],Table2[#All],5,FALSE)</f>
        <v>No</v>
      </c>
      <c r="G177" t="str">
        <f>VLOOKUP(Table2[[#This Row],[Customer ID]],Table2[#All],6,FALSE)</f>
        <v>No</v>
      </c>
      <c r="H177">
        <f>VLOOKUP(Table2[[#This Row],[Customer ID]],Table2[#All],7,FALSE)</f>
        <v>1</v>
      </c>
      <c r="I177" t="str">
        <f>VLOOKUP(Table2[[#This Row],[Customer ID]],Table2[#All],8,FALSE)</f>
        <v>Yes</v>
      </c>
      <c r="J177" t="str">
        <f>VLOOKUP(Table2[[#This Row],[Customer ID]],Table2[#All],9,FALSE)</f>
        <v>Obesity</v>
      </c>
      <c r="K177" t="str">
        <f>VLOOKUP(Table2[[#This Row],[Customer ID]],Table2[#All],10,FALSE)</f>
        <v>Normal</v>
      </c>
    </row>
    <row r="178" spans="1:11" ht="15.6" x14ac:dyDescent="0.3">
      <c r="A178" s="1" t="s">
        <v>2196</v>
      </c>
      <c r="B178" t="str">
        <f>VLOOKUP('Customer Names'!A178,'Customer Names'!$A$1:$E$2336,4,FALSE)</f>
        <v>Ms.  Kelsey A.</v>
      </c>
      <c r="C178">
        <f>VLOOKUP(Table2[[#This Row],[Customer ID]],Table2[#All],2,FALSE)</f>
        <v>39.729999999999997</v>
      </c>
      <c r="D178">
        <f>VLOOKUP(Table2[[#This Row],[Customer ID]],Table2[#All],3,FALSE)</f>
        <v>6.24</v>
      </c>
      <c r="E178" t="str">
        <f>VLOOKUP(Table2[[#This Row],[Customer ID]],Table2[#All],4,FALSE)</f>
        <v>No</v>
      </c>
      <c r="F178" t="str">
        <f>VLOOKUP(Table2[[#This Row],[Customer ID]],Table2[#All],5,FALSE)</f>
        <v>No</v>
      </c>
      <c r="G178" t="str">
        <f>VLOOKUP(Table2[[#This Row],[Customer ID]],Table2[#All],6,FALSE)</f>
        <v>No</v>
      </c>
      <c r="H178">
        <f>VLOOKUP(Table2[[#This Row],[Customer ID]],Table2[#All],7,FALSE)</f>
        <v>0</v>
      </c>
      <c r="I178" t="str">
        <f>VLOOKUP(Table2[[#This Row],[Customer ID]],Table2[#All],8,FALSE)</f>
        <v>Yes</v>
      </c>
      <c r="J178" t="str">
        <f>VLOOKUP(Table2[[#This Row],[Customer ID]],Table2[#All],9,FALSE)</f>
        <v>Obesity</v>
      </c>
      <c r="K178" t="str">
        <f>VLOOKUP(Table2[[#This Row],[Customer ID]],Table2[#All],10,FALSE)</f>
        <v>Prediabetes</v>
      </c>
    </row>
    <row r="179" spans="1:11" ht="15.6" x14ac:dyDescent="0.3">
      <c r="A179" s="1" t="s">
        <v>2195</v>
      </c>
      <c r="B179" t="str">
        <f>VLOOKUP('Customer Names'!A179,'Customer Names'!$A$1:$E$2336,4,FALSE)</f>
        <v>Ms.  Bronwen L</v>
      </c>
      <c r="C179">
        <f>VLOOKUP(Table2[[#This Row],[Customer ID]],Table2[#All],2,FALSE)</f>
        <v>35.68</v>
      </c>
      <c r="D179">
        <f>VLOOKUP(Table2[[#This Row],[Customer ID]],Table2[#All],3,FALSE)</f>
        <v>10.039999999999999</v>
      </c>
      <c r="E179" t="str">
        <f>VLOOKUP(Table2[[#This Row],[Customer ID]],Table2[#All],4,FALSE)</f>
        <v>No</v>
      </c>
      <c r="F179" t="str">
        <f>VLOOKUP(Table2[[#This Row],[Customer ID]],Table2[#All],5,FALSE)</f>
        <v>No</v>
      </c>
      <c r="G179" t="str">
        <f>VLOOKUP(Table2[[#This Row],[Customer ID]],Table2[#All],6,FALSE)</f>
        <v>No</v>
      </c>
      <c r="H179">
        <f>VLOOKUP(Table2[[#This Row],[Customer ID]],Table2[#All],7,FALSE)</f>
        <v>0</v>
      </c>
      <c r="I179" t="str">
        <f>VLOOKUP(Table2[[#This Row],[Customer ID]],Table2[#All],8,FALSE)</f>
        <v>Yes</v>
      </c>
      <c r="J179" t="str">
        <f>VLOOKUP(Table2[[#This Row],[Customer ID]],Table2[#All],9,FALSE)</f>
        <v>Obesity</v>
      </c>
      <c r="K179" t="str">
        <f>VLOOKUP(Table2[[#This Row],[Customer ID]],Table2[#All],10,FALSE)</f>
        <v>Diabetes</v>
      </c>
    </row>
    <row r="180" spans="1:11" ht="15.6" x14ac:dyDescent="0.3">
      <c r="A180" s="1" t="s">
        <v>2194</v>
      </c>
      <c r="B180" t="str">
        <f>VLOOKUP('Customer Names'!A180,'Customer Names'!$A$1:$E$2336,4,FALSE)</f>
        <v>Ms.  Manuela</v>
      </c>
      <c r="C180">
        <f>VLOOKUP(Table2[[#This Row],[Customer ID]],Table2[#All],2,FALSE)</f>
        <v>48.86</v>
      </c>
      <c r="D180">
        <f>VLOOKUP(Table2[[#This Row],[Customer ID]],Table2[#All],3,FALSE)</f>
        <v>6.09</v>
      </c>
      <c r="E180" t="str">
        <f>VLOOKUP(Table2[[#This Row],[Customer ID]],Table2[#All],4,FALSE)</f>
        <v>No</v>
      </c>
      <c r="F180" t="str">
        <f>VLOOKUP(Table2[[#This Row],[Customer ID]],Table2[#All],5,FALSE)</f>
        <v>No</v>
      </c>
      <c r="G180" t="str">
        <f>VLOOKUP(Table2[[#This Row],[Customer ID]],Table2[#All],6,FALSE)</f>
        <v>No</v>
      </c>
      <c r="H180">
        <f>VLOOKUP(Table2[[#This Row],[Customer ID]],Table2[#All],7,FALSE)</f>
        <v>0</v>
      </c>
      <c r="I180" t="str">
        <f>VLOOKUP(Table2[[#This Row],[Customer ID]],Table2[#All],8,FALSE)</f>
        <v>Yes</v>
      </c>
      <c r="J180" t="str">
        <f>VLOOKUP(Table2[[#This Row],[Customer ID]],Table2[#All],9,FALSE)</f>
        <v>Obesity</v>
      </c>
      <c r="K180" t="str">
        <f>VLOOKUP(Table2[[#This Row],[Customer ID]],Table2[#All],10,FALSE)</f>
        <v>Prediabetes</v>
      </c>
    </row>
    <row r="181" spans="1:11" ht="15.6" x14ac:dyDescent="0.3">
      <c r="A181" s="1" t="s">
        <v>2193</v>
      </c>
      <c r="B181" t="str">
        <f>VLOOKUP('Customer Names'!A181,'Customer Names'!$A$1:$E$2336,4,FALSE)</f>
        <v>Ms.  Jennifer L</v>
      </c>
      <c r="C181">
        <f>VLOOKUP(Table2[[#This Row],[Customer ID]],Table2[#All],2,FALSE)</f>
        <v>34.799999999999997</v>
      </c>
      <c r="D181">
        <f>VLOOKUP(Table2[[#This Row],[Customer ID]],Table2[#All],3,FALSE)</f>
        <v>11.4</v>
      </c>
      <c r="E181" t="str">
        <f>VLOOKUP(Table2[[#This Row],[Customer ID]],Table2[#All],4,FALSE)</f>
        <v>Yes</v>
      </c>
      <c r="F181" t="str">
        <f>VLOOKUP(Table2[[#This Row],[Customer ID]],Table2[#All],5,FALSE)</f>
        <v>No</v>
      </c>
      <c r="G181" t="str">
        <f>VLOOKUP(Table2[[#This Row],[Customer ID]],Table2[#All],6,FALSE)</f>
        <v>Yes</v>
      </c>
      <c r="H181">
        <f>VLOOKUP(Table2[[#This Row],[Customer ID]],Table2[#All],7,FALSE)</f>
        <v>1</v>
      </c>
      <c r="I181" t="str">
        <f>VLOOKUP(Table2[[#This Row],[Customer ID]],Table2[#All],8,FALSE)</f>
        <v>No</v>
      </c>
      <c r="J181" t="str">
        <f>VLOOKUP(Table2[[#This Row],[Customer ID]],Table2[#All],9,FALSE)</f>
        <v>Obesity</v>
      </c>
      <c r="K181" t="str">
        <f>VLOOKUP(Table2[[#This Row],[Customer ID]],Table2[#All],10,FALSE)</f>
        <v>Diabetes</v>
      </c>
    </row>
    <row r="182" spans="1:11" ht="15.6" x14ac:dyDescent="0.3">
      <c r="A182" s="1" t="s">
        <v>2192</v>
      </c>
      <c r="B182" t="str">
        <f>VLOOKUP('Customer Names'!A182,'Customer Names'!$A$1:$E$2336,4,FALSE)</f>
        <v>Ms.  Abby W.</v>
      </c>
      <c r="C182">
        <f>VLOOKUP(Table2[[#This Row],[Customer ID]],Table2[#All],2,FALSE)</f>
        <v>32.49</v>
      </c>
      <c r="D182">
        <f>VLOOKUP(Table2[[#This Row],[Customer ID]],Table2[#All],3,FALSE)</f>
        <v>4.29</v>
      </c>
      <c r="E182" t="str">
        <f>VLOOKUP(Table2[[#This Row],[Customer ID]],Table2[#All],4,FALSE)</f>
        <v>No</v>
      </c>
      <c r="F182" t="str">
        <f>VLOOKUP(Table2[[#This Row],[Customer ID]],Table2[#All],5,FALSE)</f>
        <v>No</v>
      </c>
      <c r="G182" t="str">
        <f>VLOOKUP(Table2[[#This Row],[Customer ID]],Table2[#All],6,FALSE)</f>
        <v>Yes</v>
      </c>
      <c r="H182">
        <f>VLOOKUP(Table2[[#This Row],[Customer ID]],Table2[#All],7,FALSE)</f>
        <v>1</v>
      </c>
      <c r="I182" t="str">
        <f>VLOOKUP(Table2[[#This Row],[Customer ID]],Table2[#All],8,FALSE)</f>
        <v>Yes</v>
      </c>
      <c r="J182" t="str">
        <f>VLOOKUP(Table2[[#This Row],[Customer ID]],Table2[#All],9,FALSE)</f>
        <v>Obesity</v>
      </c>
      <c r="K182" t="str">
        <f>VLOOKUP(Table2[[#This Row],[Customer ID]],Table2[#All],10,FALSE)</f>
        <v>Normal</v>
      </c>
    </row>
    <row r="183" spans="1:11" ht="15.6" x14ac:dyDescent="0.3">
      <c r="A183" s="1" t="s">
        <v>2191</v>
      </c>
      <c r="B183" t="str">
        <f>VLOOKUP('Customer Names'!A183,'Customer Names'!$A$1:$E$2336,4,FALSE)</f>
        <v>Mr.  Tyler</v>
      </c>
      <c r="C183">
        <f>VLOOKUP(Table2[[#This Row],[Customer ID]],Table2[#All],2,FALSE)</f>
        <v>39</v>
      </c>
      <c r="D183">
        <f>VLOOKUP(Table2[[#This Row],[Customer ID]],Table2[#All],3,FALSE)</f>
        <v>5.7</v>
      </c>
      <c r="E183" t="str">
        <f>VLOOKUP(Table2[[#This Row],[Customer ID]],Table2[#All],4,FALSE)</f>
        <v>No</v>
      </c>
      <c r="F183" t="str">
        <f>VLOOKUP(Table2[[#This Row],[Customer ID]],Table2[#All],5,FALSE)</f>
        <v>No</v>
      </c>
      <c r="G183" t="str">
        <f>VLOOKUP(Table2[[#This Row],[Customer ID]],Table2[#All],6,FALSE)</f>
        <v>No</v>
      </c>
      <c r="H183">
        <f>VLOOKUP(Table2[[#This Row],[Customer ID]],Table2[#All],7,FALSE)</f>
        <v>2</v>
      </c>
      <c r="I183" t="str">
        <f>VLOOKUP(Table2[[#This Row],[Customer ID]],Table2[#All],8,FALSE)</f>
        <v>Yes</v>
      </c>
      <c r="J183" t="str">
        <f>VLOOKUP(Table2[[#This Row],[Customer ID]],Table2[#All],9,FALSE)</f>
        <v>Obesity</v>
      </c>
      <c r="K183" t="str">
        <f>VLOOKUP(Table2[[#This Row],[Customer ID]],Table2[#All],10,FALSE)</f>
        <v>Prediabetes</v>
      </c>
    </row>
    <row r="184" spans="1:11" ht="15.6" x14ac:dyDescent="0.3">
      <c r="A184" s="1" t="s">
        <v>2190</v>
      </c>
      <c r="B184" t="str">
        <f>VLOOKUP('Customer Names'!A184,'Customer Names'!$A$1:$E$2336,4,FALSE)</f>
        <v>Mr.  Jeffrey</v>
      </c>
      <c r="C184">
        <f>VLOOKUP(Table2[[#This Row],[Customer ID]],Table2[#All],2,FALSE)</f>
        <v>35.299999999999997</v>
      </c>
      <c r="D184">
        <f>VLOOKUP(Table2[[#This Row],[Customer ID]],Table2[#All],3,FALSE)</f>
        <v>6.09</v>
      </c>
      <c r="E184" t="str">
        <f>VLOOKUP(Table2[[#This Row],[Customer ID]],Table2[#All],4,FALSE)</f>
        <v>No</v>
      </c>
      <c r="F184" t="str">
        <f>VLOOKUP(Table2[[#This Row],[Customer ID]],Table2[#All],5,FALSE)</f>
        <v>No</v>
      </c>
      <c r="G184" t="str">
        <f>VLOOKUP(Table2[[#This Row],[Customer ID]],Table2[#All],6,FALSE)</f>
        <v>No</v>
      </c>
      <c r="H184">
        <f>VLOOKUP(Table2[[#This Row],[Customer ID]],Table2[#All],7,FALSE)</f>
        <v>1</v>
      </c>
      <c r="I184" t="str">
        <f>VLOOKUP(Table2[[#This Row],[Customer ID]],Table2[#All],8,FALSE)</f>
        <v>Yes</v>
      </c>
      <c r="J184" t="str">
        <f>VLOOKUP(Table2[[#This Row],[Customer ID]],Table2[#All],9,FALSE)</f>
        <v>Obesity</v>
      </c>
      <c r="K184" t="str">
        <f>VLOOKUP(Table2[[#This Row],[Customer ID]],Table2[#All],10,FALSE)</f>
        <v>Prediabetes</v>
      </c>
    </row>
    <row r="185" spans="1:11" ht="15.6" x14ac:dyDescent="0.3">
      <c r="A185" s="1" t="s">
        <v>2189</v>
      </c>
      <c r="B185" t="str">
        <f>VLOOKUP('Customer Names'!A185,'Customer Names'!$A$1:$E$2336,4,FALSE)</f>
        <v>Mr.  Matthew F</v>
      </c>
      <c r="C185">
        <f>VLOOKUP(Table2[[#This Row],[Customer ID]],Table2[#All],2,FALSE)</f>
        <v>33.42</v>
      </c>
      <c r="D185">
        <f>VLOOKUP(Table2[[#This Row],[Customer ID]],Table2[#All],3,FALSE)</f>
        <v>10.67</v>
      </c>
      <c r="E185" t="str">
        <f>VLOOKUP(Table2[[#This Row],[Customer ID]],Table2[#All],4,FALSE)</f>
        <v>No</v>
      </c>
      <c r="F185" t="str">
        <f>VLOOKUP(Table2[[#This Row],[Customer ID]],Table2[#All],5,FALSE)</f>
        <v>No</v>
      </c>
      <c r="G185" t="str">
        <f>VLOOKUP(Table2[[#This Row],[Customer ID]],Table2[#All],6,FALSE)</f>
        <v>No</v>
      </c>
      <c r="H185">
        <f>VLOOKUP(Table2[[#This Row],[Customer ID]],Table2[#All],7,FALSE)</f>
        <v>0</v>
      </c>
      <c r="I185" t="str">
        <f>VLOOKUP(Table2[[#This Row],[Customer ID]],Table2[#All],8,FALSE)</f>
        <v>Yes</v>
      </c>
      <c r="J185" t="str">
        <f>VLOOKUP(Table2[[#This Row],[Customer ID]],Table2[#All],9,FALSE)</f>
        <v>Obesity</v>
      </c>
      <c r="K185" t="str">
        <f>VLOOKUP(Table2[[#This Row],[Customer ID]],Table2[#All],10,FALSE)</f>
        <v>Diabetes</v>
      </c>
    </row>
    <row r="186" spans="1:11" ht="15.6" x14ac:dyDescent="0.3">
      <c r="A186" s="1" t="s">
        <v>2188</v>
      </c>
      <c r="B186" t="str">
        <f>VLOOKUP('Customer Names'!A186,'Customer Names'!$A$1:$E$2336,4,FALSE)</f>
        <v>Mr.  Ryan J.</v>
      </c>
      <c r="C186">
        <f>VLOOKUP(Table2[[#This Row],[Customer ID]],Table2[#All],2,FALSE)</f>
        <v>37.18</v>
      </c>
      <c r="D186">
        <f>VLOOKUP(Table2[[#This Row],[Customer ID]],Table2[#All],3,FALSE)</f>
        <v>6.75</v>
      </c>
      <c r="E186" t="str">
        <f>VLOOKUP(Table2[[#This Row],[Customer ID]],Table2[#All],4,FALSE)</f>
        <v>Yes</v>
      </c>
      <c r="F186" t="str">
        <f>VLOOKUP(Table2[[#This Row],[Customer ID]],Table2[#All],5,FALSE)</f>
        <v>No</v>
      </c>
      <c r="G186" t="str">
        <f>VLOOKUP(Table2[[#This Row],[Customer ID]],Table2[#All],6,FALSE)</f>
        <v>No</v>
      </c>
      <c r="H186">
        <f>VLOOKUP(Table2[[#This Row],[Customer ID]],Table2[#All],7,FALSE)</f>
        <v>2</v>
      </c>
      <c r="I186" t="str">
        <f>VLOOKUP(Table2[[#This Row],[Customer ID]],Table2[#All],8,FALSE)</f>
        <v>Yes</v>
      </c>
      <c r="J186" t="str">
        <f>VLOOKUP(Table2[[#This Row],[Customer ID]],Table2[#All],9,FALSE)</f>
        <v>Obesity</v>
      </c>
      <c r="K186" t="str">
        <f>VLOOKUP(Table2[[#This Row],[Customer ID]],Table2[#All],10,FALSE)</f>
        <v>Diabetes</v>
      </c>
    </row>
    <row r="187" spans="1:11" ht="15.6" x14ac:dyDescent="0.3">
      <c r="A187" s="1" t="s">
        <v>2187</v>
      </c>
      <c r="B187" t="str">
        <f>VLOOKUP('Customer Names'!A187,'Customer Names'!$A$1:$E$2336,4,FALSE)</f>
        <v>Ms.  Amy</v>
      </c>
      <c r="C187">
        <f>VLOOKUP(Table2[[#This Row],[Customer ID]],Table2[#All],2,FALSE)</f>
        <v>33.33</v>
      </c>
      <c r="D187">
        <f>VLOOKUP(Table2[[#This Row],[Customer ID]],Table2[#All],3,FALSE)</f>
        <v>9.26</v>
      </c>
      <c r="E187" t="str">
        <f>VLOOKUP(Table2[[#This Row],[Customer ID]],Table2[#All],4,FALSE)</f>
        <v>Yes</v>
      </c>
      <c r="F187" t="str">
        <f>VLOOKUP(Table2[[#This Row],[Customer ID]],Table2[#All],5,FALSE)</f>
        <v>No</v>
      </c>
      <c r="G187" t="str">
        <f>VLOOKUP(Table2[[#This Row],[Customer ID]],Table2[#All],6,FALSE)</f>
        <v>No</v>
      </c>
      <c r="H187">
        <f>VLOOKUP(Table2[[#This Row],[Customer ID]],Table2[#All],7,FALSE)</f>
        <v>2</v>
      </c>
      <c r="I187" t="str">
        <f>VLOOKUP(Table2[[#This Row],[Customer ID]],Table2[#All],8,FALSE)</f>
        <v>No</v>
      </c>
      <c r="J187" t="str">
        <f>VLOOKUP(Table2[[#This Row],[Customer ID]],Table2[#All],9,FALSE)</f>
        <v>Obesity</v>
      </c>
      <c r="K187" t="str">
        <f>VLOOKUP(Table2[[#This Row],[Customer ID]],Table2[#All],10,FALSE)</f>
        <v>Diabetes</v>
      </c>
    </row>
    <row r="188" spans="1:11" ht="15.6" x14ac:dyDescent="0.3">
      <c r="A188" s="1" t="s">
        <v>2186</v>
      </c>
      <c r="B188" t="str">
        <f>VLOOKUP('Customer Names'!A188,'Customer Names'!$A$1:$E$2336,4,FALSE)</f>
        <v>Mr.  Andrew P</v>
      </c>
      <c r="C188">
        <f>VLOOKUP(Table2[[#This Row],[Customer ID]],Table2[#All],2,FALSE)</f>
        <v>53.21</v>
      </c>
      <c r="D188">
        <f>VLOOKUP(Table2[[#This Row],[Customer ID]],Table2[#All],3,FALSE)</f>
        <v>4.2699999999999996</v>
      </c>
      <c r="E188" t="str">
        <f>VLOOKUP(Table2[[#This Row],[Customer ID]],Table2[#All],4,FALSE)</f>
        <v>No</v>
      </c>
      <c r="F188" t="str">
        <f>VLOOKUP(Table2[[#This Row],[Customer ID]],Table2[#All],5,FALSE)</f>
        <v>No</v>
      </c>
      <c r="G188" t="str">
        <f>VLOOKUP(Table2[[#This Row],[Customer ID]],Table2[#All],6,FALSE)</f>
        <v>No</v>
      </c>
      <c r="H188">
        <f>VLOOKUP(Table2[[#This Row],[Customer ID]],Table2[#All],7,FALSE)</f>
        <v>1</v>
      </c>
      <c r="I188" t="str">
        <f>VLOOKUP(Table2[[#This Row],[Customer ID]],Table2[#All],8,FALSE)</f>
        <v>Yes</v>
      </c>
      <c r="J188" t="str">
        <f>VLOOKUP(Table2[[#This Row],[Customer ID]],Table2[#All],9,FALSE)</f>
        <v>Obesity</v>
      </c>
      <c r="K188" t="str">
        <f>VLOOKUP(Table2[[#This Row],[Customer ID]],Table2[#All],10,FALSE)</f>
        <v>Normal</v>
      </c>
    </row>
    <row r="189" spans="1:11" ht="15.6" x14ac:dyDescent="0.3">
      <c r="A189" s="1" t="s">
        <v>2185</v>
      </c>
      <c r="B189" t="str">
        <f>VLOOKUP('Customer Names'!A189,'Customer Names'!$A$1:$E$2336,4,FALSE)</f>
        <v>Mr.  George M. V</v>
      </c>
      <c r="C189">
        <f>VLOOKUP(Table2[[#This Row],[Customer ID]],Table2[#All],2,FALSE)</f>
        <v>38.729999999999997</v>
      </c>
      <c r="D189">
        <f>VLOOKUP(Table2[[#This Row],[Customer ID]],Table2[#All],3,FALSE)</f>
        <v>11.51</v>
      </c>
      <c r="E189" t="str">
        <f>VLOOKUP(Table2[[#This Row],[Customer ID]],Table2[#All],4,FALSE)</f>
        <v>No</v>
      </c>
      <c r="F189" t="str">
        <f>VLOOKUP(Table2[[#This Row],[Customer ID]],Table2[#All],5,FALSE)</f>
        <v>No</v>
      </c>
      <c r="G189" t="str">
        <f>VLOOKUP(Table2[[#This Row],[Customer ID]],Table2[#All],6,FALSE)</f>
        <v>No</v>
      </c>
      <c r="H189">
        <f>VLOOKUP(Table2[[#This Row],[Customer ID]],Table2[#All],7,FALSE)</f>
        <v>2</v>
      </c>
      <c r="I189" t="str">
        <f>VLOOKUP(Table2[[#This Row],[Customer ID]],Table2[#All],8,FALSE)</f>
        <v>Yes</v>
      </c>
      <c r="J189" t="str">
        <f>VLOOKUP(Table2[[#This Row],[Customer ID]],Table2[#All],9,FALSE)</f>
        <v>Obesity</v>
      </c>
      <c r="K189" t="str">
        <f>VLOOKUP(Table2[[#This Row],[Customer ID]],Table2[#All],10,FALSE)</f>
        <v>Diabetes</v>
      </c>
    </row>
    <row r="190" spans="1:11" ht="15.6" x14ac:dyDescent="0.3">
      <c r="A190" s="1" t="s">
        <v>2184</v>
      </c>
      <c r="B190" t="str">
        <f>VLOOKUP('Customer Names'!A190,'Customer Names'!$A$1:$E$2336,4,FALSE)</f>
        <v>Ms.  Sarah</v>
      </c>
      <c r="C190">
        <f>VLOOKUP(Table2[[#This Row],[Customer ID]],Table2[#All],2,FALSE)</f>
        <v>29.73</v>
      </c>
      <c r="D190">
        <f>VLOOKUP(Table2[[#This Row],[Customer ID]],Table2[#All],3,FALSE)</f>
        <v>7.22</v>
      </c>
      <c r="E190" t="str">
        <f>VLOOKUP(Table2[[#This Row],[Customer ID]],Table2[#All],4,FALSE)</f>
        <v>No</v>
      </c>
      <c r="F190" t="str">
        <f>VLOOKUP(Table2[[#This Row],[Customer ID]],Table2[#All],5,FALSE)</f>
        <v>No</v>
      </c>
      <c r="G190" t="str">
        <f>VLOOKUP(Table2[[#This Row],[Customer ID]],Table2[#All],6,FALSE)</f>
        <v>No</v>
      </c>
      <c r="H190">
        <f>VLOOKUP(Table2[[#This Row],[Customer ID]],Table2[#All],7,FALSE)</f>
        <v>0</v>
      </c>
      <c r="I190" t="str">
        <f>VLOOKUP(Table2[[#This Row],[Customer ID]],Table2[#All],8,FALSE)</f>
        <v>Yes</v>
      </c>
      <c r="J190" t="str">
        <f>VLOOKUP(Table2[[#This Row],[Customer ID]],Table2[#All],9,FALSE)</f>
        <v>Overweight</v>
      </c>
      <c r="K190" t="str">
        <f>VLOOKUP(Table2[[#This Row],[Customer ID]],Table2[#All],10,FALSE)</f>
        <v>Diabetes</v>
      </c>
    </row>
    <row r="191" spans="1:11" ht="15.6" x14ac:dyDescent="0.3">
      <c r="A191" s="1" t="s">
        <v>2183</v>
      </c>
      <c r="B191" t="str">
        <f>VLOOKUP('Customer Names'!A191,'Customer Names'!$A$1:$E$2336,4,FALSE)</f>
        <v>Ms.  Lara</v>
      </c>
      <c r="C191">
        <f>VLOOKUP(Table2[[#This Row],[Customer ID]],Table2[#All],2,FALSE)</f>
        <v>34.700000000000003</v>
      </c>
      <c r="D191">
        <f>VLOOKUP(Table2[[#This Row],[Customer ID]],Table2[#All],3,FALSE)</f>
        <v>4.37</v>
      </c>
      <c r="E191" t="str">
        <f>VLOOKUP(Table2[[#This Row],[Customer ID]],Table2[#All],4,FALSE)</f>
        <v>No</v>
      </c>
      <c r="F191" t="str">
        <f>VLOOKUP(Table2[[#This Row],[Customer ID]],Table2[#All],5,FALSE)</f>
        <v>No</v>
      </c>
      <c r="G191" t="str">
        <f>VLOOKUP(Table2[[#This Row],[Customer ID]],Table2[#All],6,FALSE)</f>
        <v>Yes</v>
      </c>
      <c r="H191">
        <f>VLOOKUP(Table2[[#This Row],[Customer ID]],Table2[#All],7,FALSE)</f>
        <v>1</v>
      </c>
      <c r="I191" t="str">
        <f>VLOOKUP(Table2[[#This Row],[Customer ID]],Table2[#All],8,FALSE)</f>
        <v>Yes</v>
      </c>
      <c r="J191" t="str">
        <f>VLOOKUP(Table2[[#This Row],[Customer ID]],Table2[#All],9,FALSE)</f>
        <v>Obesity</v>
      </c>
      <c r="K191" t="str">
        <f>VLOOKUP(Table2[[#This Row],[Customer ID]],Table2[#All],10,FALSE)</f>
        <v>Normal</v>
      </c>
    </row>
    <row r="192" spans="1:11" ht="15.6" x14ac:dyDescent="0.3">
      <c r="A192" s="1" t="s">
        <v>2182</v>
      </c>
      <c r="B192" t="str">
        <f>VLOOKUP('Customer Names'!A192,'Customer Names'!$A$1:$E$2336,4,FALSE)</f>
        <v>Mr.  Sebastien</v>
      </c>
      <c r="C192">
        <f>VLOOKUP(Table2[[#This Row],[Customer ID]],Table2[#All],2,FALSE)</f>
        <v>38.28</v>
      </c>
      <c r="D192">
        <f>VLOOKUP(Table2[[#This Row],[Customer ID]],Table2[#All],3,FALSE)</f>
        <v>11.56</v>
      </c>
      <c r="E192" t="str">
        <f>VLOOKUP(Table2[[#This Row],[Customer ID]],Table2[#All],4,FALSE)</f>
        <v>Yes</v>
      </c>
      <c r="F192" t="str">
        <f>VLOOKUP(Table2[[#This Row],[Customer ID]],Table2[#All],5,FALSE)</f>
        <v>No</v>
      </c>
      <c r="G192" t="str">
        <f>VLOOKUP(Table2[[#This Row],[Customer ID]],Table2[#All],6,FALSE)</f>
        <v>No</v>
      </c>
      <c r="H192">
        <f>VLOOKUP(Table2[[#This Row],[Customer ID]],Table2[#All],7,FALSE)</f>
        <v>1</v>
      </c>
      <c r="I192" t="str">
        <f>VLOOKUP(Table2[[#This Row],[Customer ID]],Table2[#All],8,FALSE)</f>
        <v>Yes</v>
      </c>
      <c r="J192" t="str">
        <f>VLOOKUP(Table2[[#This Row],[Customer ID]],Table2[#All],9,FALSE)</f>
        <v>Obesity</v>
      </c>
      <c r="K192" t="str">
        <f>VLOOKUP(Table2[[#This Row],[Customer ID]],Table2[#All],10,FALSE)</f>
        <v>Diabetes</v>
      </c>
    </row>
    <row r="193" spans="1:11" ht="15.6" x14ac:dyDescent="0.3">
      <c r="A193" s="1" t="s">
        <v>2181</v>
      </c>
      <c r="B193" t="str">
        <f>VLOOKUP('Customer Names'!A193,'Customer Names'!$A$1:$E$2336,4,FALSE)</f>
        <v>Mr.  Padraig</v>
      </c>
      <c r="C193">
        <f>VLOOKUP(Table2[[#This Row],[Customer ID]],Table2[#All],2,FALSE)</f>
        <v>33.57</v>
      </c>
      <c r="D193">
        <f>VLOOKUP(Table2[[#This Row],[Customer ID]],Table2[#All],3,FALSE)</f>
        <v>8.82</v>
      </c>
      <c r="E193" t="str">
        <f>VLOOKUP(Table2[[#This Row],[Customer ID]],Table2[#All],4,FALSE)</f>
        <v>Yes</v>
      </c>
      <c r="F193" t="str">
        <f>VLOOKUP(Table2[[#This Row],[Customer ID]],Table2[#All],5,FALSE)</f>
        <v>No</v>
      </c>
      <c r="G193" t="str">
        <f>VLOOKUP(Table2[[#This Row],[Customer ID]],Table2[#All],6,FALSE)</f>
        <v>No</v>
      </c>
      <c r="H193">
        <f>VLOOKUP(Table2[[#This Row],[Customer ID]],Table2[#All],7,FALSE)</f>
        <v>0</v>
      </c>
      <c r="I193" t="str">
        <f>VLOOKUP(Table2[[#This Row],[Customer ID]],Table2[#All],8,FALSE)</f>
        <v>Yes</v>
      </c>
      <c r="J193" t="str">
        <f>VLOOKUP(Table2[[#This Row],[Customer ID]],Table2[#All],9,FALSE)</f>
        <v>Obesity</v>
      </c>
      <c r="K193" t="str">
        <f>VLOOKUP(Table2[[#This Row],[Customer ID]],Table2[#All],10,FALSE)</f>
        <v>Diabetes</v>
      </c>
    </row>
    <row r="194" spans="1:11" ht="15.6" x14ac:dyDescent="0.3">
      <c r="A194" s="1" t="s">
        <v>2180</v>
      </c>
      <c r="B194" t="str">
        <f>VLOOKUP('Customer Names'!A194,'Customer Names'!$A$1:$E$2336,4,FALSE)</f>
        <v>Ms.  Heather</v>
      </c>
      <c r="C194">
        <f>VLOOKUP(Table2[[#This Row],[Customer ID]],Table2[#All],2,FALSE)</f>
        <v>52.06</v>
      </c>
      <c r="D194">
        <f>VLOOKUP(Table2[[#This Row],[Customer ID]],Table2[#All],3,FALSE)</f>
        <v>4.6900000000000004</v>
      </c>
      <c r="E194" t="str">
        <f>VLOOKUP(Table2[[#This Row],[Customer ID]],Table2[#All],4,FALSE)</f>
        <v>No</v>
      </c>
      <c r="F194" t="str">
        <f>VLOOKUP(Table2[[#This Row],[Customer ID]],Table2[#All],5,FALSE)</f>
        <v>No</v>
      </c>
      <c r="G194" t="str">
        <f>VLOOKUP(Table2[[#This Row],[Customer ID]],Table2[#All],6,FALSE)</f>
        <v>No</v>
      </c>
      <c r="H194">
        <f>VLOOKUP(Table2[[#This Row],[Customer ID]],Table2[#All],7,FALSE)</f>
        <v>1</v>
      </c>
      <c r="I194" t="str">
        <f>VLOOKUP(Table2[[#This Row],[Customer ID]],Table2[#All],8,FALSE)</f>
        <v>Yes</v>
      </c>
      <c r="J194" t="str">
        <f>VLOOKUP(Table2[[#This Row],[Customer ID]],Table2[#All],9,FALSE)</f>
        <v>Obesity</v>
      </c>
      <c r="K194" t="str">
        <f>VLOOKUP(Table2[[#This Row],[Customer ID]],Table2[#All],10,FALSE)</f>
        <v>Normal</v>
      </c>
    </row>
    <row r="195" spans="1:11" ht="15.6" x14ac:dyDescent="0.3">
      <c r="A195" s="1" t="s">
        <v>2179</v>
      </c>
      <c r="B195" t="str">
        <f>VLOOKUP('Customer Names'!A195,'Customer Names'!$A$1:$E$2336,4,FALSE)</f>
        <v>Mr.  Jorge</v>
      </c>
      <c r="C195">
        <f>VLOOKUP(Table2[[#This Row],[Customer ID]],Table2[#All],2,FALSE)</f>
        <v>38.17</v>
      </c>
      <c r="D195">
        <f>VLOOKUP(Table2[[#This Row],[Customer ID]],Table2[#All],3,FALSE)</f>
        <v>4.53</v>
      </c>
      <c r="E195" t="str">
        <f>VLOOKUP(Table2[[#This Row],[Customer ID]],Table2[#All],4,FALSE)</f>
        <v>No</v>
      </c>
      <c r="F195" t="str">
        <f>VLOOKUP(Table2[[#This Row],[Customer ID]],Table2[#All],5,FALSE)</f>
        <v>yes</v>
      </c>
      <c r="G195" t="str">
        <f>VLOOKUP(Table2[[#This Row],[Customer ID]],Table2[#All],6,FALSE)</f>
        <v>No</v>
      </c>
      <c r="H195">
        <f>VLOOKUP(Table2[[#This Row],[Customer ID]],Table2[#All],7,FALSE)</f>
        <v>1</v>
      </c>
      <c r="I195" t="str">
        <f>VLOOKUP(Table2[[#This Row],[Customer ID]],Table2[#All],8,FALSE)</f>
        <v>Yes</v>
      </c>
      <c r="J195" t="str">
        <f>VLOOKUP(Table2[[#This Row],[Customer ID]],Table2[#All],9,FALSE)</f>
        <v>Obesity</v>
      </c>
      <c r="K195" t="str">
        <f>VLOOKUP(Table2[[#This Row],[Customer ID]],Table2[#All],10,FALSE)</f>
        <v>Normal</v>
      </c>
    </row>
    <row r="196" spans="1:11" ht="15.6" x14ac:dyDescent="0.3">
      <c r="A196" s="1" t="s">
        <v>2178</v>
      </c>
      <c r="B196" t="str">
        <f>VLOOKUP('Customer Names'!A196,'Customer Names'!$A$1:$E$2336,4,FALSE)</f>
        <v>Mr.  Jack R</v>
      </c>
      <c r="C196">
        <f>VLOOKUP(Table2[[#This Row],[Customer ID]],Table2[#All],2,FALSE)</f>
        <v>36.954999999999998</v>
      </c>
      <c r="D196">
        <f>VLOOKUP(Table2[[#This Row],[Customer ID]],Table2[#All],3,FALSE)</f>
        <v>5.84</v>
      </c>
      <c r="E196" t="str">
        <f>VLOOKUP(Table2[[#This Row],[Customer ID]],Table2[#All],4,FALSE)</f>
        <v>No</v>
      </c>
      <c r="F196" t="str">
        <f>VLOOKUP(Table2[[#This Row],[Customer ID]],Table2[#All],5,FALSE)</f>
        <v>No</v>
      </c>
      <c r="G196" t="str">
        <f>VLOOKUP(Table2[[#This Row],[Customer ID]],Table2[#All],6,FALSE)</f>
        <v>Yes</v>
      </c>
      <c r="H196">
        <f>VLOOKUP(Table2[[#This Row],[Customer ID]],Table2[#All],7,FALSE)</f>
        <v>1</v>
      </c>
      <c r="I196" t="str">
        <f>VLOOKUP(Table2[[#This Row],[Customer ID]],Table2[#All],8,FALSE)</f>
        <v>Yes</v>
      </c>
      <c r="J196" t="str">
        <f>VLOOKUP(Table2[[#This Row],[Customer ID]],Table2[#All],9,FALSE)</f>
        <v>Obesity</v>
      </c>
      <c r="K196" t="str">
        <f>VLOOKUP(Table2[[#This Row],[Customer ID]],Table2[#All],10,FALSE)</f>
        <v>Prediabetes</v>
      </c>
    </row>
    <row r="197" spans="1:11" ht="15.6" x14ac:dyDescent="0.3">
      <c r="A197" s="1" t="s">
        <v>2177</v>
      </c>
      <c r="B197" t="str">
        <f>VLOOKUP('Customer Names'!A197,'Customer Names'!$A$1:$E$2336,4,FALSE)</f>
        <v>Mr.  Felix</v>
      </c>
      <c r="C197">
        <f>VLOOKUP(Table2[[#This Row],[Customer ID]],Table2[#All],2,FALSE)</f>
        <v>34.4</v>
      </c>
      <c r="D197">
        <f>VLOOKUP(Table2[[#This Row],[Customer ID]],Table2[#All],3,FALSE)</f>
        <v>4.9000000000000004</v>
      </c>
      <c r="E197" t="str">
        <f>VLOOKUP(Table2[[#This Row],[Customer ID]],Table2[#All],4,FALSE)</f>
        <v>No</v>
      </c>
      <c r="F197" t="str">
        <f>VLOOKUP(Table2[[#This Row],[Customer ID]],Table2[#All],5,FALSE)</f>
        <v>No</v>
      </c>
      <c r="G197" t="str">
        <f>VLOOKUP(Table2[[#This Row],[Customer ID]],Table2[#All],6,FALSE)</f>
        <v>Yes</v>
      </c>
      <c r="H197">
        <f>VLOOKUP(Table2[[#This Row],[Customer ID]],Table2[#All],7,FALSE)</f>
        <v>1</v>
      </c>
      <c r="I197" t="str">
        <f>VLOOKUP(Table2[[#This Row],[Customer ID]],Table2[#All],8,FALSE)</f>
        <v>Yes</v>
      </c>
      <c r="J197" t="str">
        <f>VLOOKUP(Table2[[#This Row],[Customer ID]],Table2[#All],9,FALSE)</f>
        <v>Obesity</v>
      </c>
      <c r="K197" t="str">
        <f>VLOOKUP(Table2[[#This Row],[Customer ID]],Table2[#All],10,FALSE)</f>
        <v>Normal</v>
      </c>
    </row>
    <row r="198" spans="1:11" ht="15.6" x14ac:dyDescent="0.3">
      <c r="A198" s="1" t="s">
        <v>2176</v>
      </c>
      <c r="B198" t="str">
        <f>VLOOKUP('Customer Names'!A198,'Customer Names'!$A$1:$E$2336,4,FALSE)</f>
        <v>Mr.  Christopher C</v>
      </c>
      <c r="C198">
        <f>VLOOKUP(Table2[[#This Row],[Customer ID]],Table2[#All],2,FALSE)</f>
        <v>31.73</v>
      </c>
      <c r="D198">
        <f>VLOOKUP(Table2[[#This Row],[Customer ID]],Table2[#All],3,FALSE)</f>
        <v>4.3</v>
      </c>
      <c r="E198" t="str">
        <f>VLOOKUP(Table2[[#This Row],[Customer ID]],Table2[#All],4,FALSE)</f>
        <v>No</v>
      </c>
      <c r="F198" t="str">
        <f>VLOOKUP(Table2[[#This Row],[Customer ID]],Table2[#All],5,FALSE)</f>
        <v>No</v>
      </c>
      <c r="G198" t="str">
        <f>VLOOKUP(Table2[[#This Row],[Customer ID]],Table2[#All],6,FALSE)</f>
        <v>No</v>
      </c>
      <c r="H198">
        <f>VLOOKUP(Table2[[#This Row],[Customer ID]],Table2[#All],7,FALSE)</f>
        <v>0</v>
      </c>
      <c r="I198" t="str">
        <f>VLOOKUP(Table2[[#This Row],[Customer ID]],Table2[#All],8,FALSE)</f>
        <v>Yes</v>
      </c>
      <c r="J198" t="str">
        <f>VLOOKUP(Table2[[#This Row],[Customer ID]],Table2[#All],9,FALSE)</f>
        <v>Obesity</v>
      </c>
      <c r="K198" t="str">
        <f>VLOOKUP(Table2[[#This Row],[Customer ID]],Table2[#All],10,FALSE)</f>
        <v>Normal</v>
      </c>
    </row>
    <row r="199" spans="1:11" ht="15.6" x14ac:dyDescent="0.3">
      <c r="A199" s="1" t="s">
        <v>2175</v>
      </c>
      <c r="B199" t="str">
        <f>VLOOKUP('Customer Names'!A199,'Customer Names'!$A$1:$E$2336,4,FALSE)</f>
        <v>Mr.  Jesse</v>
      </c>
      <c r="C199">
        <f>VLOOKUP(Table2[[#This Row],[Customer ID]],Table2[#All],2,FALSE)</f>
        <v>36.64</v>
      </c>
      <c r="D199">
        <f>VLOOKUP(Table2[[#This Row],[Customer ID]],Table2[#All],3,FALSE)</f>
        <v>11.34</v>
      </c>
      <c r="E199" t="str">
        <f>VLOOKUP(Table2[[#This Row],[Customer ID]],Table2[#All],4,FALSE)</f>
        <v>No</v>
      </c>
      <c r="F199" t="str">
        <f>VLOOKUP(Table2[[#This Row],[Customer ID]],Table2[#All],5,FALSE)</f>
        <v>No</v>
      </c>
      <c r="G199" t="str">
        <f>VLOOKUP(Table2[[#This Row],[Customer ID]],Table2[#All],6,FALSE)</f>
        <v>No</v>
      </c>
      <c r="H199">
        <f>VLOOKUP(Table2[[#This Row],[Customer ID]],Table2[#All],7,FALSE)</f>
        <v>0</v>
      </c>
      <c r="I199" t="str">
        <f>VLOOKUP(Table2[[#This Row],[Customer ID]],Table2[#All],8,FALSE)</f>
        <v>Yes</v>
      </c>
      <c r="J199" t="str">
        <f>VLOOKUP(Table2[[#This Row],[Customer ID]],Table2[#All],9,FALSE)</f>
        <v>Obesity</v>
      </c>
      <c r="K199" t="str">
        <f>VLOOKUP(Table2[[#This Row],[Customer ID]],Table2[#All],10,FALSE)</f>
        <v>Diabetes</v>
      </c>
    </row>
    <row r="200" spans="1:11" ht="15.6" x14ac:dyDescent="0.3">
      <c r="A200" s="1" t="s">
        <v>2174</v>
      </c>
      <c r="B200" t="str">
        <f>VLOOKUP('Customer Names'!A200,'Customer Names'!$A$1:$E$2336,4,FALSE)</f>
        <v>Ms.  Jill</v>
      </c>
      <c r="C200">
        <f>VLOOKUP(Table2[[#This Row],[Customer ID]],Table2[#All],2,FALSE)</f>
        <v>36.85</v>
      </c>
      <c r="D200">
        <f>VLOOKUP(Table2[[#This Row],[Customer ID]],Table2[#All],3,FALSE)</f>
        <v>5.88</v>
      </c>
      <c r="E200" t="str">
        <f>VLOOKUP(Table2[[#This Row],[Customer ID]],Table2[#All],4,FALSE)</f>
        <v>No</v>
      </c>
      <c r="F200" t="str">
        <f>VLOOKUP(Table2[[#This Row],[Customer ID]],Table2[#All],5,FALSE)</f>
        <v>yes</v>
      </c>
      <c r="G200" t="str">
        <f>VLOOKUP(Table2[[#This Row],[Customer ID]],Table2[#All],6,FALSE)</f>
        <v>No</v>
      </c>
      <c r="H200">
        <f>VLOOKUP(Table2[[#This Row],[Customer ID]],Table2[#All],7,FALSE)</f>
        <v>1</v>
      </c>
      <c r="I200" t="str">
        <f>VLOOKUP(Table2[[#This Row],[Customer ID]],Table2[#All],8,FALSE)</f>
        <v>Yes</v>
      </c>
      <c r="J200" t="str">
        <f>VLOOKUP(Table2[[#This Row],[Customer ID]],Table2[#All],9,FALSE)</f>
        <v>Obesity</v>
      </c>
      <c r="K200" t="str">
        <f>VLOOKUP(Table2[[#This Row],[Customer ID]],Table2[#All],10,FALSE)</f>
        <v>Prediabetes</v>
      </c>
    </row>
    <row r="201" spans="1:11" ht="15.6" x14ac:dyDescent="0.3">
      <c r="A201" s="1" t="s">
        <v>2173</v>
      </c>
      <c r="B201" t="str">
        <f>VLOOKUP('Customer Names'!A201,'Customer Names'!$A$1:$E$2336,4,FALSE)</f>
        <v>Mr.  William</v>
      </c>
      <c r="C201">
        <f>VLOOKUP(Table2[[#This Row],[Customer ID]],Table2[#All],2,FALSE)</f>
        <v>33.33</v>
      </c>
      <c r="D201">
        <f>VLOOKUP(Table2[[#This Row],[Customer ID]],Table2[#All],3,FALSE)</f>
        <v>5.01</v>
      </c>
      <c r="E201" t="str">
        <f>VLOOKUP(Table2[[#This Row],[Customer ID]],Table2[#All],4,FALSE)</f>
        <v>Yes</v>
      </c>
      <c r="F201" t="str">
        <f>VLOOKUP(Table2[[#This Row],[Customer ID]],Table2[#All],5,FALSE)</f>
        <v>No</v>
      </c>
      <c r="G201" t="str">
        <f>VLOOKUP(Table2[[#This Row],[Customer ID]],Table2[#All],6,FALSE)</f>
        <v>Yes</v>
      </c>
      <c r="H201">
        <f>VLOOKUP(Table2[[#This Row],[Customer ID]],Table2[#All],7,FALSE)</f>
        <v>1</v>
      </c>
      <c r="I201" t="str">
        <f>VLOOKUP(Table2[[#This Row],[Customer ID]],Table2[#All],8,FALSE)</f>
        <v>Yes</v>
      </c>
      <c r="J201" t="str">
        <f>VLOOKUP(Table2[[#This Row],[Customer ID]],Table2[#All],9,FALSE)</f>
        <v>Obesity</v>
      </c>
      <c r="K201" t="str">
        <f>VLOOKUP(Table2[[#This Row],[Customer ID]],Table2[#All],10,FALSE)</f>
        <v>Normal</v>
      </c>
    </row>
    <row r="202" spans="1:11" ht="15.6" x14ac:dyDescent="0.3">
      <c r="A202" s="1" t="s">
        <v>2172</v>
      </c>
      <c r="B202" t="str">
        <f>VLOOKUP('Customer Names'!A202,'Customer Names'!$A$1:$E$2336,4,FALSE)</f>
        <v>Mr.  Alejandro</v>
      </c>
      <c r="C202">
        <f>VLOOKUP(Table2[[#This Row],[Customer ID]],Table2[#All],2,FALSE)</f>
        <v>39.14</v>
      </c>
      <c r="D202">
        <f>VLOOKUP(Table2[[#This Row],[Customer ID]],Table2[#All],3,FALSE)</f>
        <v>4.4000000000000004</v>
      </c>
      <c r="E202" t="str">
        <f>VLOOKUP(Table2[[#This Row],[Customer ID]],Table2[#All],4,FALSE)</f>
        <v>No</v>
      </c>
      <c r="F202" t="str">
        <f>VLOOKUP(Table2[[#This Row],[Customer ID]],Table2[#All],5,FALSE)</f>
        <v>No</v>
      </c>
      <c r="G202" t="str">
        <f>VLOOKUP(Table2[[#This Row],[Customer ID]],Table2[#All],6,FALSE)</f>
        <v>Yes</v>
      </c>
      <c r="H202">
        <f>VLOOKUP(Table2[[#This Row],[Customer ID]],Table2[#All],7,FALSE)</f>
        <v>1</v>
      </c>
      <c r="I202" t="str">
        <f>VLOOKUP(Table2[[#This Row],[Customer ID]],Table2[#All],8,FALSE)</f>
        <v>Yes</v>
      </c>
      <c r="J202" t="str">
        <f>VLOOKUP(Table2[[#This Row],[Customer ID]],Table2[#All],9,FALSE)</f>
        <v>Obesity</v>
      </c>
      <c r="K202" t="str">
        <f>VLOOKUP(Table2[[#This Row],[Customer ID]],Table2[#All],10,FALSE)</f>
        <v>Normal</v>
      </c>
    </row>
    <row r="203" spans="1:11" ht="15.6" x14ac:dyDescent="0.3">
      <c r="A203" s="1" t="s">
        <v>2171</v>
      </c>
      <c r="B203" t="str">
        <f>VLOOKUP('Customer Names'!A203,'Customer Names'!$A$1:$E$2336,4,FALSE)</f>
        <v>Mr.  Ian E.</v>
      </c>
      <c r="C203">
        <f>VLOOKUP(Table2[[#This Row],[Customer ID]],Table2[#All],2,FALSE)</f>
        <v>32.9</v>
      </c>
      <c r="D203">
        <f>VLOOKUP(Table2[[#This Row],[Customer ID]],Table2[#All],3,FALSE)</f>
        <v>6.26</v>
      </c>
      <c r="E203" t="str">
        <f>VLOOKUP(Table2[[#This Row],[Customer ID]],Table2[#All],4,FALSE)</f>
        <v>Yes</v>
      </c>
      <c r="F203" t="str">
        <f>VLOOKUP(Table2[[#This Row],[Customer ID]],Table2[#All],5,FALSE)</f>
        <v>No</v>
      </c>
      <c r="G203" t="str">
        <f>VLOOKUP(Table2[[#This Row],[Customer ID]],Table2[#All],6,FALSE)</f>
        <v>No</v>
      </c>
      <c r="H203">
        <f>VLOOKUP(Table2[[#This Row],[Customer ID]],Table2[#All],7,FALSE)</f>
        <v>0</v>
      </c>
      <c r="I203" t="str">
        <f>VLOOKUP(Table2[[#This Row],[Customer ID]],Table2[#All],8,FALSE)</f>
        <v>Yes</v>
      </c>
      <c r="J203" t="str">
        <f>VLOOKUP(Table2[[#This Row],[Customer ID]],Table2[#All],9,FALSE)</f>
        <v>Obesity</v>
      </c>
      <c r="K203" t="str">
        <f>VLOOKUP(Table2[[#This Row],[Customer ID]],Table2[#All],10,FALSE)</f>
        <v>Prediabetes</v>
      </c>
    </row>
    <row r="204" spans="1:11" ht="15.6" x14ac:dyDescent="0.3">
      <c r="A204" s="1" t="s">
        <v>2170</v>
      </c>
      <c r="B204" t="str">
        <f>VLOOKUP('Customer Names'!A204,'Customer Names'!$A$1:$E$2336,4,FALSE)</f>
        <v>Mr.  Hector Sr.</v>
      </c>
      <c r="C204">
        <f>VLOOKUP(Table2[[#This Row],[Customer ID]],Table2[#All],2,FALSE)</f>
        <v>29.78</v>
      </c>
      <c r="D204">
        <f>VLOOKUP(Table2[[#This Row],[Customer ID]],Table2[#All],3,FALSE)</f>
        <v>10.27</v>
      </c>
      <c r="E204" t="str">
        <f>VLOOKUP(Table2[[#This Row],[Customer ID]],Table2[#All],4,FALSE)</f>
        <v>Yes</v>
      </c>
      <c r="F204" t="str">
        <f>VLOOKUP(Table2[[#This Row],[Customer ID]],Table2[#All],5,FALSE)</f>
        <v>No</v>
      </c>
      <c r="G204" t="str">
        <f>VLOOKUP(Table2[[#This Row],[Customer ID]],Table2[#All],6,FALSE)</f>
        <v>Yes</v>
      </c>
      <c r="H204">
        <f>VLOOKUP(Table2[[#This Row],[Customer ID]],Table2[#All],7,FALSE)</f>
        <v>1</v>
      </c>
      <c r="I204" t="str">
        <f>VLOOKUP(Table2[[#This Row],[Customer ID]],Table2[#All],8,FALSE)</f>
        <v>Yes</v>
      </c>
      <c r="J204" t="str">
        <f>VLOOKUP(Table2[[#This Row],[Customer ID]],Table2[#All],9,FALSE)</f>
        <v>Overweight</v>
      </c>
      <c r="K204" t="str">
        <f>VLOOKUP(Table2[[#This Row],[Customer ID]],Table2[#All],10,FALSE)</f>
        <v>Diabetes</v>
      </c>
    </row>
    <row r="205" spans="1:11" ht="15.6" x14ac:dyDescent="0.3">
      <c r="A205" s="1" t="s">
        <v>2169</v>
      </c>
      <c r="B205" t="str">
        <f>VLOOKUP('Customer Names'!A205,'Customer Names'!$A$1:$E$2336,4,FALSE)</f>
        <v>Ms.  Rebecca</v>
      </c>
      <c r="C205">
        <f>VLOOKUP(Table2[[#This Row],[Customer ID]],Table2[#All],2,FALSE)</f>
        <v>32.78</v>
      </c>
      <c r="D205">
        <f>VLOOKUP(Table2[[#This Row],[Customer ID]],Table2[#All],3,FALSE)</f>
        <v>5.27</v>
      </c>
      <c r="E205" t="str">
        <f>VLOOKUP(Table2[[#This Row],[Customer ID]],Table2[#All],4,FALSE)</f>
        <v>No</v>
      </c>
      <c r="F205" t="str">
        <f>VLOOKUP(Table2[[#This Row],[Customer ID]],Table2[#All],5,FALSE)</f>
        <v>No</v>
      </c>
      <c r="G205" t="str">
        <f>VLOOKUP(Table2[[#This Row],[Customer ID]],Table2[#All],6,FALSE)</f>
        <v>No</v>
      </c>
      <c r="H205">
        <f>VLOOKUP(Table2[[#This Row],[Customer ID]],Table2[#All],7,FALSE)</f>
        <v>0</v>
      </c>
      <c r="I205" t="str">
        <f>VLOOKUP(Table2[[#This Row],[Customer ID]],Table2[#All],8,FALSE)</f>
        <v>Yes</v>
      </c>
      <c r="J205" t="str">
        <f>VLOOKUP(Table2[[#This Row],[Customer ID]],Table2[#All],9,FALSE)</f>
        <v>Obesity</v>
      </c>
      <c r="K205" t="str">
        <f>VLOOKUP(Table2[[#This Row],[Customer ID]],Table2[#All],10,FALSE)</f>
        <v>Normal</v>
      </c>
    </row>
    <row r="206" spans="1:11" ht="15.6" x14ac:dyDescent="0.3">
      <c r="A206" s="1" t="s">
        <v>2168</v>
      </c>
      <c r="B206" t="str">
        <f>VLOOKUP('Customer Names'!A206,'Customer Names'!$A$1:$E$2336,4,FALSE)</f>
        <v>Mr.  Matt</v>
      </c>
      <c r="C206">
        <f>VLOOKUP(Table2[[#This Row],[Customer ID]],Table2[#All],2,FALSE)</f>
        <v>41.65</v>
      </c>
      <c r="D206">
        <f>VLOOKUP(Table2[[#This Row],[Customer ID]],Table2[#All],3,FALSE)</f>
        <v>10.73</v>
      </c>
      <c r="E206" t="str">
        <f>VLOOKUP(Table2[[#This Row],[Customer ID]],Table2[#All],4,FALSE)</f>
        <v>Yes</v>
      </c>
      <c r="F206" t="str">
        <f>VLOOKUP(Table2[[#This Row],[Customer ID]],Table2[#All],5,FALSE)</f>
        <v>No</v>
      </c>
      <c r="G206" t="str">
        <f>VLOOKUP(Table2[[#This Row],[Customer ID]],Table2[#All],6,FALSE)</f>
        <v>No</v>
      </c>
      <c r="H206">
        <f>VLOOKUP(Table2[[#This Row],[Customer ID]],Table2[#All],7,FALSE)</f>
        <v>0</v>
      </c>
      <c r="I206" t="str">
        <f>VLOOKUP(Table2[[#This Row],[Customer ID]],Table2[#All],8,FALSE)</f>
        <v>Yes</v>
      </c>
      <c r="J206" t="str">
        <f>VLOOKUP(Table2[[#This Row],[Customer ID]],Table2[#All],9,FALSE)</f>
        <v>Obesity</v>
      </c>
      <c r="K206" t="str">
        <f>VLOOKUP(Table2[[#This Row],[Customer ID]],Table2[#All],10,FALSE)</f>
        <v>Diabetes</v>
      </c>
    </row>
    <row r="207" spans="1:11" ht="15.6" x14ac:dyDescent="0.3">
      <c r="A207" s="1" t="s">
        <v>2167</v>
      </c>
      <c r="B207" t="str">
        <f>VLOOKUP('Customer Names'!A207,'Customer Names'!$A$1:$E$2336,4,FALSE)</f>
        <v>Ms.  Elizabeth H</v>
      </c>
      <c r="C207">
        <f>VLOOKUP(Table2[[#This Row],[Customer ID]],Table2[#All],2,FALSE)</f>
        <v>50.79</v>
      </c>
      <c r="D207">
        <f>VLOOKUP(Table2[[#This Row],[Customer ID]],Table2[#All],3,FALSE)</f>
        <v>4.45</v>
      </c>
      <c r="E207" t="str">
        <f>VLOOKUP(Table2[[#This Row],[Customer ID]],Table2[#All],4,FALSE)</f>
        <v>No</v>
      </c>
      <c r="F207" t="str">
        <f>VLOOKUP(Table2[[#This Row],[Customer ID]],Table2[#All],5,FALSE)</f>
        <v>No</v>
      </c>
      <c r="G207" t="str">
        <f>VLOOKUP(Table2[[#This Row],[Customer ID]],Table2[#All],6,FALSE)</f>
        <v>No</v>
      </c>
      <c r="H207">
        <f>VLOOKUP(Table2[[#This Row],[Customer ID]],Table2[#All],7,FALSE)</f>
        <v>1</v>
      </c>
      <c r="I207" t="str">
        <f>VLOOKUP(Table2[[#This Row],[Customer ID]],Table2[#All],8,FALSE)</f>
        <v>Yes</v>
      </c>
      <c r="J207" t="str">
        <f>VLOOKUP(Table2[[#This Row],[Customer ID]],Table2[#All],9,FALSE)</f>
        <v>Obesity</v>
      </c>
      <c r="K207" t="str">
        <f>VLOOKUP(Table2[[#This Row],[Customer ID]],Table2[#All],10,FALSE)</f>
        <v>Normal</v>
      </c>
    </row>
    <row r="208" spans="1:11" ht="15.6" x14ac:dyDescent="0.3">
      <c r="A208" s="1" t="s">
        <v>2166</v>
      </c>
      <c r="B208" t="str">
        <f>VLOOKUP('Customer Names'!A208,'Customer Names'!$A$1:$E$2336,4,FALSE)</f>
        <v>Ms.  Grace</v>
      </c>
      <c r="C208">
        <f>VLOOKUP(Table2[[#This Row],[Customer ID]],Table2[#All],2,FALSE)</f>
        <v>35.43</v>
      </c>
      <c r="D208">
        <f>VLOOKUP(Table2[[#This Row],[Customer ID]],Table2[#All],3,FALSE)</f>
        <v>5.25</v>
      </c>
      <c r="E208" t="str">
        <f>VLOOKUP(Table2[[#This Row],[Customer ID]],Table2[#All],4,FALSE)</f>
        <v>Yes</v>
      </c>
      <c r="F208" t="str">
        <f>VLOOKUP(Table2[[#This Row],[Customer ID]],Table2[#All],5,FALSE)</f>
        <v>No</v>
      </c>
      <c r="G208" t="str">
        <f>VLOOKUP(Table2[[#This Row],[Customer ID]],Table2[#All],6,FALSE)</f>
        <v>No</v>
      </c>
      <c r="H208">
        <f>VLOOKUP(Table2[[#This Row],[Customer ID]],Table2[#All],7,FALSE)</f>
        <v>0</v>
      </c>
      <c r="I208" t="str">
        <f>VLOOKUP(Table2[[#This Row],[Customer ID]],Table2[#All],8,FALSE)</f>
        <v>Yes</v>
      </c>
      <c r="J208" t="str">
        <f>VLOOKUP(Table2[[#This Row],[Customer ID]],Table2[#All],9,FALSE)</f>
        <v>Obesity</v>
      </c>
      <c r="K208" t="str">
        <f>VLOOKUP(Table2[[#This Row],[Customer ID]],Table2[#All],10,FALSE)</f>
        <v>Normal</v>
      </c>
    </row>
    <row r="209" spans="1:11" ht="15.6" x14ac:dyDescent="0.3">
      <c r="A209" s="1" t="s">
        <v>2165</v>
      </c>
      <c r="B209" t="str">
        <f>VLOOKUP('Customer Names'!A209,'Customer Names'!$A$1:$E$2336,4,FALSE)</f>
        <v>Mr.  Jaime</v>
      </c>
      <c r="C209">
        <f>VLOOKUP(Table2[[#This Row],[Customer ID]],Table2[#All],2,FALSE)</f>
        <v>35.25</v>
      </c>
      <c r="D209">
        <f>VLOOKUP(Table2[[#This Row],[Customer ID]],Table2[#All],3,FALSE)</f>
        <v>9.51</v>
      </c>
      <c r="E209" t="str">
        <f>VLOOKUP(Table2[[#This Row],[Customer ID]],Table2[#All],4,FALSE)</f>
        <v>No</v>
      </c>
      <c r="F209" t="str">
        <f>VLOOKUP(Table2[[#This Row],[Customer ID]],Table2[#All],5,FALSE)</f>
        <v>No</v>
      </c>
      <c r="G209" t="str">
        <f>VLOOKUP(Table2[[#This Row],[Customer ID]],Table2[#All],6,FALSE)</f>
        <v>No</v>
      </c>
      <c r="H209">
        <f>VLOOKUP(Table2[[#This Row],[Customer ID]],Table2[#All],7,FALSE)</f>
        <v>0</v>
      </c>
      <c r="I209" t="str">
        <f>VLOOKUP(Table2[[#This Row],[Customer ID]],Table2[#All],8,FALSE)</f>
        <v>Yes</v>
      </c>
      <c r="J209" t="str">
        <f>VLOOKUP(Table2[[#This Row],[Customer ID]],Table2[#All],9,FALSE)</f>
        <v>Obesity</v>
      </c>
      <c r="K209" t="str">
        <f>VLOOKUP(Table2[[#This Row],[Customer ID]],Table2[#All],10,FALSE)</f>
        <v>Diabetes</v>
      </c>
    </row>
    <row r="210" spans="1:11" ht="15.6" x14ac:dyDescent="0.3">
      <c r="A210" s="1" t="s">
        <v>2164</v>
      </c>
      <c r="B210" t="str">
        <f>VLOOKUP('Customer Names'!A210,'Customer Names'!$A$1:$E$2336,4,FALSE)</f>
        <v>Ms.  Calesse</v>
      </c>
      <c r="C210">
        <f>VLOOKUP(Table2[[#This Row],[Customer ID]],Table2[#All],2,FALSE)</f>
        <v>36.85</v>
      </c>
      <c r="D210">
        <f>VLOOKUP(Table2[[#This Row],[Customer ID]],Table2[#All],3,FALSE)</f>
        <v>11.12</v>
      </c>
      <c r="E210" t="str">
        <f>VLOOKUP(Table2[[#This Row],[Customer ID]],Table2[#All],4,FALSE)</f>
        <v>No</v>
      </c>
      <c r="F210" t="str">
        <f>VLOOKUP(Table2[[#This Row],[Customer ID]],Table2[#All],5,FALSE)</f>
        <v>No</v>
      </c>
      <c r="G210" t="str">
        <f>VLOOKUP(Table2[[#This Row],[Customer ID]],Table2[#All],6,FALSE)</f>
        <v>No</v>
      </c>
      <c r="H210">
        <f>VLOOKUP(Table2[[#This Row],[Customer ID]],Table2[#All],7,FALSE)</f>
        <v>0</v>
      </c>
      <c r="I210" t="str">
        <f>VLOOKUP(Table2[[#This Row],[Customer ID]],Table2[#All],8,FALSE)</f>
        <v>Yes</v>
      </c>
      <c r="J210" t="str">
        <f>VLOOKUP(Table2[[#This Row],[Customer ID]],Table2[#All],9,FALSE)</f>
        <v>Obesity</v>
      </c>
      <c r="K210" t="str">
        <f>VLOOKUP(Table2[[#This Row],[Customer ID]],Table2[#All],10,FALSE)</f>
        <v>Diabetes</v>
      </c>
    </row>
    <row r="211" spans="1:11" ht="15.6" x14ac:dyDescent="0.3">
      <c r="A211" s="1" t="s">
        <v>2163</v>
      </c>
      <c r="B211" t="str">
        <f>VLOOKUP('Customer Names'!A211,'Customer Names'!$A$1:$E$2336,4,FALSE)</f>
        <v>Ms.  Kate L</v>
      </c>
      <c r="C211">
        <f>VLOOKUP(Table2[[#This Row],[Customer ID]],Table2[#All],2,FALSE)</f>
        <v>31.02</v>
      </c>
      <c r="D211">
        <f>VLOOKUP(Table2[[#This Row],[Customer ID]],Table2[#All],3,FALSE)</f>
        <v>4.5599999999999996</v>
      </c>
      <c r="E211" t="str">
        <f>VLOOKUP(Table2[[#This Row],[Customer ID]],Table2[#All],4,FALSE)</f>
        <v>No</v>
      </c>
      <c r="F211" t="str">
        <f>VLOOKUP(Table2[[#This Row],[Customer ID]],Table2[#All],5,FALSE)</f>
        <v>yes</v>
      </c>
      <c r="G211" t="str">
        <f>VLOOKUP(Table2[[#This Row],[Customer ID]],Table2[#All],6,FALSE)</f>
        <v>No</v>
      </c>
      <c r="H211">
        <f>VLOOKUP(Table2[[#This Row],[Customer ID]],Table2[#All],7,FALSE)</f>
        <v>1</v>
      </c>
      <c r="I211" t="str">
        <f>VLOOKUP(Table2[[#This Row],[Customer ID]],Table2[#All],8,FALSE)</f>
        <v>Yes</v>
      </c>
      <c r="J211" t="str">
        <f>VLOOKUP(Table2[[#This Row],[Customer ID]],Table2[#All],9,FALSE)</f>
        <v>Obesity</v>
      </c>
      <c r="K211" t="str">
        <f>VLOOKUP(Table2[[#This Row],[Customer ID]],Table2[#All],10,FALSE)</f>
        <v>Normal</v>
      </c>
    </row>
    <row r="212" spans="1:11" ht="15.6" x14ac:dyDescent="0.3">
      <c r="A212" s="1" t="s">
        <v>2162</v>
      </c>
      <c r="B212" t="str">
        <f>VLOOKUP('Customer Names'!A212,'Customer Names'!$A$1:$E$2336,4,FALSE)</f>
        <v>Mr.  Sergey</v>
      </c>
      <c r="C212">
        <f>VLOOKUP(Table2[[#This Row],[Customer ID]],Table2[#All],2,FALSE)</f>
        <v>35.6</v>
      </c>
      <c r="D212">
        <f>VLOOKUP(Table2[[#This Row],[Customer ID]],Table2[#All],3,FALSE)</f>
        <v>4.0199999999999996</v>
      </c>
      <c r="E212" t="str">
        <f>VLOOKUP(Table2[[#This Row],[Customer ID]],Table2[#All],4,FALSE)</f>
        <v>Yes</v>
      </c>
      <c r="F212" t="str">
        <f>VLOOKUP(Table2[[#This Row],[Customer ID]],Table2[#All],5,FALSE)</f>
        <v>yes</v>
      </c>
      <c r="G212" t="str">
        <f>VLOOKUP(Table2[[#This Row],[Customer ID]],Table2[#All],6,FALSE)</f>
        <v>No</v>
      </c>
      <c r="H212">
        <f>VLOOKUP(Table2[[#This Row],[Customer ID]],Table2[#All],7,FALSE)</f>
        <v>2</v>
      </c>
      <c r="I212" t="str">
        <f>VLOOKUP(Table2[[#This Row],[Customer ID]],Table2[#All],8,FALSE)</f>
        <v>Yes</v>
      </c>
      <c r="J212" t="str">
        <f>VLOOKUP(Table2[[#This Row],[Customer ID]],Table2[#All],9,FALSE)</f>
        <v>Obesity</v>
      </c>
      <c r="K212" t="str">
        <f>VLOOKUP(Table2[[#This Row],[Customer ID]],Table2[#All],10,FALSE)</f>
        <v>Normal</v>
      </c>
    </row>
    <row r="213" spans="1:11" ht="15.6" x14ac:dyDescent="0.3">
      <c r="A213" s="1" t="s">
        <v>2161</v>
      </c>
      <c r="B213" t="str">
        <f>VLOOKUP('Customer Names'!A213,'Customer Names'!$A$1:$E$2336,4,FALSE)</f>
        <v>Mr.  Timothy V</v>
      </c>
      <c r="C213">
        <f>VLOOKUP(Table2[[#This Row],[Customer ID]],Table2[#All],2,FALSE)</f>
        <v>34.39</v>
      </c>
      <c r="D213">
        <f>VLOOKUP(Table2[[#This Row],[Customer ID]],Table2[#All],3,FALSE)</f>
        <v>8.7200000000000006</v>
      </c>
      <c r="E213" t="str">
        <f>VLOOKUP(Table2[[#This Row],[Customer ID]],Table2[#All],4,FALSE)</f>
        <v>No</v>
      </c>
      <c r="F213" t="str">
        <f>VLOOKUP(Table2[[#This Row],[Customer ID]],Table2[#All],5,FALSE)</f>
        <v>No</v>
      </c>
      <c r="G213" t="str">
        <f>VLOOKUP(Table2[[#This Row],[Customer ID]],Table2[#All],6,FALSE)</f>
        <v>No</v>
      </c>
      <c r="H213">
        <f>VLOOKUP(Table2[[#This Row],[Customer ID]],Table2[#All],7,FALSE)</f>
        <v>0</v>
      </c>
      <c r="I213" t="str">
        <f>VLOOKUP(Table2[[#This Row],[Customer ID]],Table2[#All],8,FALSE)</f>
        <v>Yes</v>
      </c>
      <c r="J213" t="str">
        <f>VLOOKUP(Table2[[#This Row],[Customer ID]],Table2[#All],9,FALSE)</f>
        <v>Obesity</v>
      </c>
      <c r="K213" t="str">
        <f>VLOOKUP(Table2[[#This Row],[Customer ID]],Table2[#All],10,FALSE)</f>
        <v>Diabetes</v>
      </c>
    </row>
    <row r="214" spans="1:11" ht="15.6" x14ac:dyDescent="0.3">
      <c r="A214" s="1" t="s">
        <v>2160</v>
      </c>
      <c r="B214" t="str">
        <f>VLOOKUP('Customer Names'!A214,'Customer Names'!$A$1:$E$2336,4,FALSE)</f>
        <v>Mr.  Andrew S</v>
      </c>
      <c r="C214">
        <f>VLOOKUP(Table2[[#This Row],[Customer ID]],Table2[#All],2,FALSE)</f>
        <v>29.06</v>
      </c>
      <c r="D214">
        <f>VLOOKUP(Table2[[#This Row],[Customer ID]],Table2[#All],3,FALSE)</f>
        <v>6.25</v>
      </c>
      <c r="E214" t="str">
        <f>VLOOKUP(Table2[[#This Row],[Customer ID]],Table2[#All],4,FALSE)</f>
        <v>Yes</v>
      </c>
      <c r="F214" t="str">
        <f>VLOOKUP(Table2[[#This Row],[Customer ID]],Table2[#All],5,FALSE)</f>
        <v>No</v>
      </c>
      <c r="G214" t="str">
        <f>VLOOKUP(Table2[[#This Row],[Customer ID]],Table2[#All],6,FALSE)</f>
        <v>No</v>
      </c>
      <c r="H214">
        <f>VLOOKUP(Table2[[#This Row],[Customer ID]],Table2[#All],7,FALSE)</f>
        <v>1</v>
      </c>
      <c r="I214" t="str">
        <f>VLOOKUP(Table2[[#This Row],[Customer ID]],Table2[#All],8,FALSE)</f>
        <v>Yes</v>
      </c>
      <c r="J214" t="str">
        <f>VLOOKUP(Table2[[#This Row],[Customer ID]],Table2[#All],9,FALSE)</f>
        <v>Overweight</v>
      </c>
      <c r="K214" t="str">
        <f>VLOOKUP(Table2[[#This Row],[Customer ID]],Table2[#All],10,FALSE)</f>
        <v>Prediabetes</v>
      </c>
    </row>
    <row r="215" spans="1:11" ht="15.6" x14ac:dyDescent="0.3">
      <c r="A215" s="1" t="s">
        <v>2159</v>
      </c>
      <c r="B215" t="str">
        <f>VLOOKUP('Customer Names'!A215,'Customer Names'!$A$1:$E$2336,4,FALSE)</f>
        <v>Mr.  Matthew D</v>
      </c>
      <c r="C215">
        <f>VLOOKUP(Table2[[#This Row],[Customer ID]],Table2[#All],2,FALSE)</f>
        <v>35.799999999999997</v>
      </c>
      <c r="D215">
        <f>VLOOKUP(Table2[[#This Row],[Customer ID]],Table2[#All],3,FALSE)</f>
        <v>7.32</v>
      </c>
      <c r="E215" t="str">
        <f>VLOOKUP(Table2[[#This Row],[Customer ID]],Table2[#All],4,FALSE)</f>
        <v>No</v>
      </c>
      <c r="F215" t="str">
        <f>VLOOKUP(Table2[[#This Row],[Customer ID]],Table2[#All],5,FALSE)</f>
        <v>No</v>
      </c>
      <c r="G215" t="str">
        <f>VLOOKUP(Table2[[#This Row],[Customer ID]],Table2[#All],6,FALSE)</f>
        <v>No</v>
      </c>
      <c r="H215">
        <f>VLOOKUP(Table2[[#This Row],[Customer ID]],Table2[#All],7,FALSE)</f>
        <v>2</v>
      </c>
      <c r="I215" t="str">
        <f>VLOOKUP(Table2[[#This Row],[Customer ID]],Table2[#All],8,FALSE)</f>
        <v>Yes</v>
      </c>
      <c r="J215" t="str">
        <f>VLOOKUP(Table2[[#This Row],[Customer ID]],Table2[#All],9,FALSE)</f>
        <v>Obesity</v>
      </c>
      <c r="K215" t="str">
        <f>VLOOKUP(Table2[[#This Row],[Customer ID]],Table2[#All],10,FALSE)</f>
        <v>Diabetes</v>
      </c>
    </row>
    <row r="216" spans="1:11" ht="15.6" x14ac:dyDescent="0.3">
      <c r="A216" s="1" t="s">
        <v>2158</v>
      </c>
      <c r="B216" t="str">
        <f>VLOOKUP('Customer Names'!A216,'Customer Names'!$A$1:$E$2336,4,FALSE)</f>
        <v>Ms.  Jessica</v>
      </c>
      <c r="C216">
        <f>VLOOKUP(Table2[[#This Row],[Customer ID]],Table2[#All],2,FALSE)</f>
        <v>49.8</v>
      </c>
      <c r="D216">
        <f>VLOOKUP(Table2[[#This Row],[Customer ID]],Table2[#All],3,FALSE)</f>
        <v>4.24</v>
      </c>
      <c r="E216" t="str">
        <f>VLOOKUP(Table2[[#This Row],[Customer ID]],Table2[#All],4,FALSE)</f>
        <v>No</v>
      </c>
      <c r="F216" t="str">
        <f>VLOOKUP(Table2[[#This Row],[Customer ID]],Table2[#All],5,FALSE)</f>
        <v>No</v>
      </c>
      <c r="G216" t="str">
        <f>VLOOKUP(Table2[[#This Row],[Customer ID]],Table2[#All],6,FALSE)</f>
        <v>No</v>
      </c>
      <c r="H216">
        <f>VLOOKUP(Table2[[#This Row],[Customer ID]],Table2[#All],7,FALSE)</f>
        <v>1</v>
      </c>
      <c r="I216" t="str">
        <f>VLOOKUP(Table2[[#This Row],[Customer ID]],Table2[#All],8,FALSE)</f>
        <v>Yes</v>
      </c>
      <c r="J216" t="str">
        <f>VLOOKUP(Table2[[#This Row],[Customer ID]],Table2[#All],9,FALSE)</f>
        <v>Obesity</v>
      </c>
      <c r="K216" t="str">
        <f>VLOOKUP(Table2[[#This Row],[Customer ID]],Table2[#All],10,FALSE)</f>
        <v>Normal</v>
      </c>
    </row>
    <row r="217" spans="1:11" ht="15.6" x14ac:dyDescent="0.3">
      <c r="A217" s="1" t="s">
        <v>2157</v>
      </c>
      <c r="B217" t="str">
        <f>VLOOKUP('Customer Names'!A217,'Customer Names'!$A$1:$E$2336,4,FALSE)</f>
        <v>Mr.  Lawrence</v>
      </c>
      <c r="C217">
        <f>VLOOKUP(Table2[[#This Row],[Customer ID]],Table2[#All],2,FALSE)</f>
        <v>35.71</v>
      </c>
      <c r="D217">
        <f>VLOOKUP(Table2[[#This Row],[Customer ID]],Table2[#All],3,FALSE)</f>
        <v>6.84</v>
      </c>
      <c r="E217" t="str">
        <f>VLOOKUP(Table2[[#This Row],[Customer ID]],Table2[#All],4,FALSE)</f>
        <v>No</v>
      </c>
      <c r="F217" t="str">
        <f>VLOOKUP(Table2[[#This Row],[Customer ID]],Table2[#All],5,FALSE)</f>
        <v>No</v>
      </c>
      <c r="G217" t="str">
        <f>VLOOKUP(Table2[[#This Row],[Customer ID]],Table2[#All],6,FALSE)</f>
        <v>No</v>
      </c>
      <c r="H217">
        <f>VLOOKUP(Table2[[#This Row],[Customer ID]],Table2[#All],7,FALSE)</f>
        <v>2</v>
      </c>
      <c r="I217" t="str">
        <f>VLOOKUP(Table2[[#This Row],[Customer ID]],Table2[#All],8,FALSE)</f>
        <v>Yes</v>
      </c>
      <c r="J217" t="str">
        <f>VLOOKUP(Table2[[#This Row],[Customer ID]],Table2[#All],9,FALSE)</f>
        <v>Obesity</v>
      </c>
      <c r="K217" t="str">
        <f>VLOOKUP(Table2[[#This Row],[Customer ID]],Table2[#All],10,FALSE)</f>
        <v>Diabetes</v>
      </c>
    </row>
    <row r="218" spans="1:11" ht="15.6" x14ac:dyDescent="0.3">
      <c r="A218" s="1" t="s">
        <v>2156</v>
      </c>
      <c r="B218" t="str">
        <f>VLOOKUP('Customer Names'!A218,'Customer Names'!$A$1:$E$2336,4,FALSE)</f>
        <v>Mr.  Alex</v>
      </c>
      <c r="C218">
        <f>VLOOKUP(Table2[[#This Row],[Customer ID]],Table2[#All],2,FALSE)</f>
        <v>30.8</v>
      </c>
      <c r="D218">
        <f>VLOOKUP(Table2[[#This Row],[Customer ID]],Table2[#All],3,FALSE)</f>
        <v>5.23</v>
      </c>
      <c r="E218" t="str">
        <f>VLOOKUP(Table2[[#This Row],[Customer ID]],Table2[#All],4,FALSE)</f>
        <v>Yes</v>
      </c>
      <c r="F218" t="str">
        <f>VLOOKUP(Table2[[#This Row],[Customer ID]],Table2[#All],5,FALSE)</f>
        <v>No</v>
      </c>
      <c r="G218" t="str">
        <f>VLOOKUP(Table2[[#This Row],[Customer ID]],Table2[#All],6,FALSE)</f>
        <v>No</v>
      </c>
      <c r="H218">
        <f>VLOOKUP(Table2[[#This Row],[Customer ID]],Table2[#All],7,FALSE)</f>
        <v>1</v>
      </c>
      <c r="I218" t="str">
        <f>VLOOKUP(Table2[[#This Row],[Customer ID]],Table2[#All],8,FALSE)</f>
        <v>Yes</v>
      </c>
      <c r="J218" t="str">
        <f>VLOOKUP(Table2[[#This Row],[Customer ID]],Table2[#All],9,FALSE)</f>
        <v>Obesity</v>
      </c>
      <c r="K218" t="str">
        <f>VLOOKUP(Table2[[#This Row],[Customer ID]],Table2[#All],10,FALSE)</f>
        <v>Normal</v>
      </c>
    </row>
    <row r="219" spans="1:11" ht="15.6" x14ac:dyDescent="0.3">
      <c r="A219" s="1" t="s">
        <v>2155</v>
      </c>
      <c r="B219" t="str">
        <f>VLOOKUP('Customer Names'!A219,'Customer Names'!$A$1:$E$2336,4,FALSE)</f>
        <v>Mr.  Kevin</v>
      </c>
      <c r="C219">
        <f>VLOOKUP(Table2[[#This Row],[Customer ID]],Table2[#All],2,FALSE)</f>
        <v>33.69</v>
      </c>
      <c r="D219">
        <f>VLOOKUP(Table2[[#This Row],[Customer ID]],Table2[#All],3,FALSE)</f>
        <v>9.68</v>
      </c>
      <c r="E219" t="str">
        <f>VLOOKUP(Table2[[#This Row],[Customer ID]],Table2[#All],4,FALSE)</f>
        <v>No</v>
      </c>
      <c r="F219" t="str">
        <f>VLOOKUP(Table2[[#This Row],[Customer ID]],Table2[#All],5,FALSE)</f>
        <v>No</v>
      </c>
      <c r="G219" t="str">
        <f>VLOOKUP(Table2[[#This Row],[Customer ID]],Table2[#All],6,FALSE)</f>
        <v>No</v>
      </c>
      <c r="H219">
        <f>VLOOKUP(Table2[[#This Row],[Customer ID]],Table2[#All],7,FALSE)</f>
        <v>0</v>
      </c>
      <c r="I219" t="str">
        <f>VLOOKUP(Table2[[#This Row],[Customer ID]],Table2[#All],8,FALSE)</f>
        <v>Yes</v>
      </c>
      <c r="J219" t="str">
        <f>VLOOKUP(Table2[[#This Row],[Customer ID]],Table2[#All],9,FALSE)</f>
        <v>Obesity</v>
      </c>
      <c r="K219" t="str">
        <f>VLOOKUP(Table2[[#This Row],[Customer ID]],Table2[#All],10,FALSE)</f>
        <v>Diabetes</v>
      </c>
    </row>
    <row r="220" spans="1:11" ht="15.6" x14ac:dyDescent="0.3">
      <c r="A220" s="1" t="s">
        <v>2154</v>
      </c>
      <c r="B220" t="str">
        <f>VLOOKUP('Customer Names'!A220,'Customer Names'!$A$1:$E$2336,4,FALSE)</f>
        <v>Mr.  Gavin M.</v>
      </c>
      <c r="C220">
        <f>VLOOKUP(Table2[[#This Row],[Customer ID]],Table2[#All],2,FALSE)</f>
        <v>42.27</v>
      </c>
      <c r="D220">
        <f>VLOOKUP(Table2[[#This Row],[Customer ID]],Table2[#All],3,FALSE)</f>
        <v>6.05</v>
      </c>
      <c r="E220" t="str">
        <f>VLOOKUP(Table2[[#This Row],[Customer ID]],Table2[#All],4,FALSE)</f>
        <v>Yes</v>
      </c>
      <c r="F220" t="str">
        <f>VLOOKUP(Table2[[#This Row],[Customer ID]],Table2[#All],5,FALSE)</f>
        <v>No</v>
      </c>
      <c r="G220" t="str">
        <f>VLOOKUP(Table2[[#This Row],[Customer ID]],Table2[#All],6,FALSE)</f>
        <v>No</v>
      </c>
      <c r="H220">
        <f>VLOOKUP(Table2[[#This Row],[Customer ID]],Table2[#All],7,FALSE)</f>
        <v>1</v>
      </c>
      <c r="I220" t="str">
        <f>VLOOKUP(Table2[[#This Row],[Customer ID]],Table2[#All],8,FALSE)</f>
        <v>Yes</v>
      </c>
      <c r="J220" t="str">
        <f>VLOOKUP(Table2[[#This Row],[Customer ID]],Table2[#All],9,FALSE)</f>
        <v>Obesity</v>
      </c>
      <c r="K220" t="str">
        <f>VLOOKUP(Table2[[#This Row],[Customer ID]],Table2[#All],10,FALSE)</f>
        <v>Prediabetes</v>
      </c>
    </row>
    <row r="221" spans="1:11" ht="15.6" x14ac:dyDescent="0.3">
      <c r="A221" s="1" t="s">
        <v>2153</v>
      </c>
      <c r="B221" t="str">
        <f>VLOOKUP('Customer Names'!A221,'Customer Names'!$A$1:$E$2336,4,FALSE)</f>
        <v>Mr.  Rick E</v>
      </c>
      <c r="C221">
        <f>VLOOKUP(Table2[[#This Row],[Customer ID]],Table2[#All],2,FALSE)</f>
        <v>53.25</v>
      </c>
      <c r="D221">
        <f>VLOOKUP(Table2[[#This Row],[Customer ID]],Table2[#All],3,FALSE)</f>
        <v>6.11</v>
      </c>
      <c r="E221" t="str">
        <f>VLOOKUP(Table2[[#This Row],[Customer ID]],Table2[#All],4,FALSE)</f>
        <v>Yes</v>
      </c>
      <c r="F221" t="str">
        <f>VLOOKUP(Table2[[#This Row],[Customer ID]],Table2[#All],5,FALSE)</f>
        <v>No</v>
      </c>
      <c r="G221" t="str">
        <f>VLOOKUP(Table2[[#This Row],[Customer ID]],Table2[#All],6,FALSE)</f>
        <v>Yes</v>
      </c>
      <c r="H221">
        <f>VLOOKUP(Table2[[#This Row],[Customer ID]],Table2[#All],7,FALSE)</f>
        <v>1</v>
      </c>
      <c r="I221" t="str">
        <f>VLOOKUP(Table2[[#This Row],[Customer ID]],Table2[#All],8,FALSE)</f>
        <v>Yes</v>
      </c>
      <c r="J221" t="str">
        <f>VLOOKUP(Table2[[#This Row],[Customer ID]],Table2[#All],9,FALSE)</f>
        <v>Obesity</v>
      </c>
      <c r="K221" t="str">
        <f>VLOOKUP(Table2[[#This Row],[Customer ID]],Table2[#All],10,FALSE)</f>
        <v>Prediabetes</v>
      </c>
    </row>
    <row r="222" spans="1:11" ht="15.6" x14ac:dyDescent="0.3">
      <c r="A222" s="1" t="s">
        <v>2152</v>
      </c>
      <c r="B222" t="str">
        <f>VLOOKUP('Customer Names'!A222,'Customer Names'!$A$1:$E$2336,4,FALSE)</f>
        <v>Ms.  Andrea H.</v>
      </c>
      <c r="C222">
        <f>VLOOKUP(Table2[[#This Row],[Customer ID]],Table2[#All],2,FALSE)</f>
        <v>26.8</v>
      </c>
      <c r="D222">
        <f>VLOOKUP(Table2[[#This Row],[Customer ID]],Table2[#All],3,FALSE)</f>
        <v>10.93</v>
      </c>
      <c r="E222" t="str">
        <f>VLOOKUP(Table2[[#This Row],[Customer ID]],Table2[#All],4,FALSE)</f>
        <v>Yes</v>
      </c>
      <c r="F222" t="str">
        <f>VLOOKUP(Table2[[#This Row],[Customer ID]],Table2[#All],5,FALSE)</f>
        <v>No</v>
      </c>
      <c r="G222" t="str">
        <f>VLOOKUP(Table2[[#This Row],[Customer ID]],Table2[#All],6,FALSE)</f>
        <v>No</v>
      </c>
      <c r="H222">
        <f>VLOOKUP(Table2[[#This Row],[Customer ID]],Table2[#All],7,FALSE)</f>
        <v>0</v>
      </c>
      <c r="I222" t="str">
        <f>VLOOKUP(Table2[[#This Row],[Customer ID]],Table2[#All],8,FALSE)</f>
        <v>No</v>
      </c>
      <c r="J222" t="str">
        <f>VLOOKUP(Table2[[#This Row],[Customer ID]],Table2[#All],9,FALSE)</f>
        <v>Overweight</v>
      </c>
      <c r="K222" t="str">
        <f>VLOOKUP(Table2[[#This Row],[Customer ID]],Table2[#All],10,FALSE)</f>
        <v>Diabetes</v>
      </c>
    </row>
    <row r="223" spans="1:11" ht="15.6" x14ac:dyDescent="0.3">
      <c r="A223" s="1" t="s">
        <v>2151</v>
      </c>
      <c r="B223" t="str">
        <f>VLOOKUP('Customer Names'!A223,'Customer Names'!$A$1:$E$2336,4,FALSE)</f>
        <v>Mr.  Anthony S</v>
      </c>
      <c r="C223">
        <f>VLOOKUP(Table2[[#This Row],[Customer ID]],Table2[#All],2,FALSE)</f>
        <v>28.5</v>
      </c>
      <c r="D223">
        <f>VLOOKUP(Table2[[#This Row],[Customer ID]],Table2[#All],3,FALSE)</f>
        <v>5.12</v>
      </c>
      <c r="E223" t="str">
        <f>VLOOKUP(Table2[[#This Row],[Customer ID]],Table2[#All],4,FALSE)</f>
        <v>No</v>
      </c>
      <c r="F223" t="str">
        <f>VLOOKUP(Table2[[#This Row],[Customer ID]],Table2[#All],5,FALSE)</f>
        <v>No</v>
      </c>
      <c r="G223" t="str">
        <f>VLOOKUP(Table2[[#This Row],[Customer ID]],Table2[#All],6,FALSE)</f>
        <v>No</v>
      </c>
      <c r="H223">
        <f>VLOOKUP(Table2[[#This Row],[Customer ID]],Table2[#All],7,FALSE)</f>
        <v>1</v>
      </c>
      <c r="I223" t="str">
        <f>VLOOKUP(Table2[[#This Row],[Customer ID]],Table2[#All],8,FALSE)</f>
        <v>Yes</v>
      </c>
      <c r="J223" t="str">
        <f>VLOOKUP(Table2[[#This Row],[Customer ID]],Table2[#All],9,FALSE)</f>
        <v>Overweight</v>
      </c>
      <c r="K223" t="str">
        <f>VLOOKUP(Table2[[#This Row],[Customer ID]],Table2[#All],10,FALSE)</f>
        <v>Normal</v>
      </c>
    </row>
    <row r="224" spans="1:11" ht="15.6" x14ac:dyDescent="0.3">
      <c r="A224" s="1" t="s">
        <v>2150</v>
      </c>
      <c r="B224" t="str">
        <f>VLOOKUP('Customer Names'!A224,'Customer Names'!$A$1:$E$2336,4,FALSE)</f>
        <v>Mr.  Erik</v>
      </c>
      <c r="C224">
        <f>VLOOKUP(Table2[[#This Row],[Customer ID]],Table2[#All],2,FALSE)</f>
        <v>22.895</v>
      </c>
      <c r="D224">
        <f>VLOOKUP(Table2[[#This Row],[Customer ID]],Table2[#All],3,FALSE)</f>
        <v>5.72</v>
      </c>
      <c r="E224" t="str">
        <f>VLOOKUP(Table2[[#This Row],[Customer ID]],Table2[#All],4,FALSE)</f>
        <v>No</v>
      </c>
      <c r="F224" t="str">
        <f>VLOOKUP(Table2[[#This Row],[Customer ID]],Table2[#All],5,FALSE)</f>
        <v>No</v>
      </c>
      <c r="G224" t="str">
        <f>VLOOKUP(Table2[[#This Row],[Customer ID]],Table2[#All],6,FALSE)</f>
        <v>No</v>
      </c>
      <c r="H224">
        <f>VLOOKUP(Table2[[#This Row],[Customer ID]],Table2[#All],7,FALSE)</f>
        <v>0</v>
      </c>
      <c r="I224" t="str">
        <f>VLOOKUP(Table2[[#This Row],[Customer ID]],Table2[#All],8,FALSE)</f>
        <v>Yes</v>
      </c>
      <c r="J224" t="str">
        <f>VLOOKUP(Table2[[#This Row],[Customer ID]],Table2[#All],9,FALSE)</f>
        <v>Normalweight</v>
      </c>
      <c r="K224" t="str">
        <f>VLOOKUP(Table2[[#This Row],[Customer ID]],Table2[#All],10,FALSE)</f>
        <v>Prediabetes</v>
      </c>
    </row>
    <row r="225" spans="1:11" ht="15.6" x14ac:dyDescent="0.3">
      <c r="A225" s="1" t="s">
        <v>2149</v>
      </c>
      <c r="B225" t="str">
        <f>VLOOKUP('Customer Names'!A225,'Customer Names'!$A$1:$E$2336,4,FALSE)</f>
        <v>Ms.  Kiley D</v>
      </c>
      <c r="C225">
        <f>VLOOKUP(Table2[[#This Row],[Customer ID]],Table2[#All],2,FALSE)</f>
        <v>34.06</v>
      </c>
      <c r="D225">
        <f>VLOOKUP(Table2[[#This Row],[Customer ID]],Table2[#All],3,FALSE)</f>
        <v>11.83</v>
      </c>
      <c r="E225" t="str">
        <f>VLOOKUP(Table2[[#This Row],[Customer ID]],Table2[#All],4,FALSE)</f>
        <v>Yes</v>
      </c>
      <c r="F225" t="str">
        <f>VLOOKUP(Table2[[#This Row],[Customer ID]],Table2[#All],5,FALSE)</f>
        <v>No</v>
      </c>
      <c r="G225" t="str">
        <f>VLOOKUP(Table2[[#This Row],[Customer ID]],Table2[#All],6,FALSE)</f>
        <v>No</v>
      </c>
      <c r="H225">
        <f>VLOOKUP(Table2[[#This Row],[Customer ID]],Table2[#All],7,FALSE)</f>
        <v>1</v>
      </c>
      <c r="I225" t="str">
        <f>VLOOKUP(Table2[[#This Row],[Customer ID]],Table2[#All],8,FALSE)</f>
        <v>Yes</v>
      </c>
      <c r="J225" t="str">
        <f>VLOOKUP(Table2[[#This Row],[Customer ID]],Table2[#All],9,FALSE)</f>
        <v>Obesity</v>
      </c>
      <c r="K225" t="str">
        <f>VLOOKUP(Table2[[#This Row],[Customer ID]],Table2[#All],10,FALSE)</f>
        <v>Diabetes</v>
      </c>
    </row>
    <row r="226" spans="1:11" ht="15.6" x14ac:dyDescent="0.3">
      <c r="A226" s="1" t="s">
        <v>2148</v>
      </c>
      <c r="B226" t="str">
        <f>VLOOKUP('Customer Names'!A226,'Customer Names'!$A$1:$E$2336,4,FALSE)</f>
        <v>Ms.  Jennifer</v>
      </c>
      <c r="C226">
        <f>VLOOKUP(Table2[[#This Row],[Customer ID]],Table2[#All],2,FALSE)</f>
        <v>36.409999999999997</v>
      </c>
      <c r="D226">
        <f>VLOOKUP(Table2[[#This Row],[Customer ID]],Table2[#All],3,FALSE)</f>
        <v>4.55</v>
      </c>
      <c r="E226" t="str">
        <f>VLOOKUP(Table2[[#This Row],[Customer ID]],Table2[#All],4,FALSE)</f>
        <v>No</v>
      </c>
      <c r="F226" t="str">
        <f>VLOOKUP(Table2[[#This Row],[Customer ID]],Table2[#All],5,FALSE)</f>
        <v>No</v>
      </c>
      <c r="G226" t="str">
        <f>VLOOKUP(Table2[[#This Row],[Customer ID]],Table2[#All],6,FALSE)</f>
        <v>No</v>
      </c>
      <c r="H226">
        <f>VLOOKUP(Table2[[#This Row],[Customer ID]],Table2[#All],7,FALSE)</f>
        <v>0</v>
      </c>
      <c r="I226" t="str">
        <f>VLOOKUP(Table2[[#This Row],[Customer ID]],Table2[#All],8,FALSE)</f>
        <v>Yes</v>
      </c>
      <c r="J226" t="str">
        <f>VLOOKUP(Table2[[#This Row],[Customer ID]],Table2[#All],9,FALSE)</f>
        <v>Obesity</v>
      </c>
      <c r="K226" t="str">
        <f>VLOOKUP(Table2[[#This Row],[Customer ID]],Table2[#All],10,FALSE)</f>
        <v>Normal</v>
      </c>
    </row>
    <row r="227" spans="1:11" ht="15.6" x14ac:dyDescent="0.3">
      <c r="A227" s="1" t="s">
        <v>2147</v>
      </c>
      <c r="B227" t="str">
        <f>VLOOKUP('Customer Names'!A227,'Customer Names'!$A$1:$E$2336,4,FALSE)</f>
        <v>Mr.  Chris</v>
      </c>
      <c r="C227">
        <f>VLOOKUP(Table2[[#This Row],[Customer ID]],Table2[#All],2,FALSE)</f>
        <v>52.3</v>
      </c>
      <c r="D227">
        <f>VLOOKUP(Table2[[#This Row],[Customer ID]],Table2[#All],3,FALSE)</f>
        <v>4.87</v>
      </c>
      <c r="E227" t="str">
        <f>VLOOKUP(Table2[[#This Row],[Customer ID]],Table2[#All],4,FALSE)</f>
        <v>Yes</v>
      </c>
      <c r="F227" t="str">
        <f>VLOOKUP(Table2[[#This Row],[Customer ID]],Table2[#All],5,FALSE)</f>
        <v>No</v>
      </c>
      <c r="G227" t="str">
        <f>VLOOKUP(Table2[[#This Row],[Customer ID]],Table2[#All],6,FALSE)</f>
        <v>Yes</v>
      </c>
      <c r="H227">
        <f>VLOOKUP(Table2[[#This Row],[Customer ID]],Table2[#All],7,FALSE)</f>
        <v>1</v>
      </c>
      <c r="I227" t="str">
        <f>VLOOKUP(Table2[[#This Row],[Customer ID]],Table2[#All],8,FALSE)</f>
        <v>Yes</v>
      </c>
      <c r="J227" t="str">
        <f>VLOOKUP(Table2[[#This Row],[Customer ID]],Table2[#All],9,FALSE)</f>
        <v>Obesity</v>
      </c>
      <c r="K227" t="str">
        <f>VLOOKUP(Table2[[#This Row],[Customer ID]],Table2[#All],10,FALSE)</f>
        <v>Normal</v>
      </c>
    </row>
    <row r="228" spans="1:11" ht="15.6" x14ac:dyDescent="0.3">
      <c r="A228" s="1" t="s">
        <v>2146</v>
      </c>
      <c r="B228" t="str">
        <f>VLOOKUP('Customer Names'!A228,'Customer Names'!$A$1:$E$2336,4,FALSE)</f>
        <v>Ms.  Marian M.</v>
      </c>
      <c r="C228">
        <f>VLOOKUP(Table2[[#This Row],[Customer ID]],Table2[#All],2,FALSE)</f>
        <v>52.66</v>
      </c>
      <c r="D228">
        <f>VLOOKUP(Table2[[#This Row],[Customer ID]],Table2[#All],3,FALSE)</f>
        <v>4.45</v>
      </c>
      <c r="E228" t="str">
        <f>VLOOKUP(Table2[[#This Row],[Customer ID]],Table2[#All],4,FALSE)</f>
        <v>No</v>
      </c>
      <c r="F228" t="str">
        <f>VLOOKUP(Table2[[#This Row],[Customer ID]],Table2[#All],5,FALSE)</f>
        <v>No</v>
      </c>
      <c r="G228" t="str">
        <f>VLOOKUP(Table2[[#This Row],[Customer ID]],Table2[#All],6,FALSE)</f>
        <v>No</v>
      </c>
      <c r="H228">
        <f>VLOOKUP(Table2[[#This Row],[Customer ID]],Table2[#All],7,FALSE)</f>
        <v>1</v>
      </c>
      <c r="I228" t="str">
        <f>VLOOKUP(Table2[[#This Row],[Customer ID]],Table2[#All],8,FALSE)</f>
        <v>Yes</v>
      </c>
      <c r="J228" t="str">
        <f>VLOOKUP(Table2[[#This Row],[Customer ID]],Table2[#All],9,FALSE)</f>
        <v>Obesity</v>
      </c>
      <c r="K228" t="str">
        <f>VLOOKUP(Table2[[#This Row],[Customer ID]],Table2[#All],10,FALSE)</f>
        <v>Normal</v>
      </c>
    </row>
    <row r="229" spans="1:11" ht="15.6" x14ac:dyDescent="0.3">
      <c r="A229" s="1" t="s">
        <v>2145</v>
      </c>
      <c r="B229" t="str">
        <f>VLOOKUP('Customer Names'!A229,'Customer Names'!$A$1:$E$2336,4,FALSE)</f>
        <v>Mr.  Jeremy</v>
      </c>
      <c r="C229">
        <f>VLOOKUP(Table2[[#This Row],[Customer ID]],Table2[#All],2,FALSE)</f>
        <v>29.57</v>
      </c>
      <c r="D229">
        <f>VLOOKUP(Table2[[#This Row],[Customer ID]],Table2[#All],3,FALSE)</f>
        <v>9.42</v>
      </c>
      <c r="E229" t="str">
        <f>VLOOKUP(Table2[[#This Row],[Customer ID]],Table2[#All],4,FALSE)</f>
        <v>Yes</v>
      </c>
      <c r="F229" t="str">
        <f>VLOOKUP(Table2[[#This Row],[Customer ID]],Table2[#All],5,FALSE)</f>
        <v>No</v>
      </c>
      <c r="G229" t="str">
        <f>VLOOKUP(Table2[[#This Row],[Customer ID]],Table2[#All],6,FALSE)</f>
        <v>No</v>
      </c>
      <c r="H229">
        <f>VLOOKUP(Table2[[#This Row],[Customer ID]],Table2[#All],7,FALSE)</f>
        <v>0</v>
      </c>
      <c r="I229" t="str">
        <f>VLOOKUP(Table2[[#This Row],[Customer ID]],Table2[#All],8,FALSE)</f>
        <v>Yes</v>
      </c>
      <c r="J229" t="str">
        <f>VLOOKUP(Table2[[#This Row],[Customer ID]],Table2[#All],9,FALSE)</f>
        <v>Overweight</v>
      </c>
      <c r="K229" t="str">
        <f>VLOOKUP(Table2[[#This Row],[Customer ID]],Table2[#All],10,FALSE)</f>
        <v>Diabetes</v>
      </c>
    </row>
    <row r="230" spans="1:11" ht="15.6" x14ac:dyDescent="0.3">
      <c r="A230" s="1" t="s">
        <v>2144</v>
      </c>
      <c r="B230" t="str">
        <f>VLOOKUP('Customer Names'!A230,'Customer Names'!$A$1:$E$2336,4,FALSE)</f>
        <v>Ms.  Allison H</v>
      </c>
      <c r="C230">
        <f>VLOOKUP(Table2[[#This Row],[Customer ID]],Table2[#All],2,FALSE)</f>
        <v>36.99</v>
      </c>
      <c r="D230">
        <f>VLOOKUP(Table2[[#This Row],[Customer ID]],Table2[#All],3,FALSE)</f>
        <v>5.37</v>
      </c>
      <c r="E230" t="str">
        <f>VLOOKUP(Table2[[#This Row],[Customer ID]],Table2[#All],4,FALSE)</f>
        <v>Yes</v>
      </c>
      <c r="F230" t="str">
        <f>VLOOKUP(Table2[[#This Row],[Customer ID]],Table2[#All],5,FALSE)</f>
        <v>No</v>
      </c>
      <c r="G230" t="str">
        <f>VLOOKUP(Table2[[#This Row],[Customer ID]],Table2[#All],6,FALSE)</f>
        <v>Yes</v>
      </c>
      <c r="H230">
        <f>VLOOKUP(Table2[[#This Row],[Customer ID]],Table2[#All],7,FALSE)</f>
        <v>1</v>
      </c>
      <c r="I230" t="str">
        <f>VLOOKUP(Table2[[#This Row],[Customer ID]],Table2[#All],8,FALSE)</f>
        <v>Yes</v>
      </c>
      <c r="J230" t="str">
        <f>VLOOKUP(Table2[[#This Row],[Customer ID]],Table2[#All],9,FALSE)</f>
        <v>Obesity</v>
      </c>
      <c r="K230" t="str">
        <f>VLOOKUP(Table2[[#This Row],[Customer ID]],Table2[#All],10,FALSE)</f>
        <v>Normal</v>
      </c>
    </row>
    <row r="231" spans="1:11" ht="15.6" x14ac:dyDescent="0.3">
      <c r="A231" s="1" t="s">
        <v>2143</v>
      </c>
      <c r="B231" t="str">
        <f>VLOOKUP('Customer Names'!A231,'Customer Names'!$A$1:$E$2336,4,FALSE)</f>
        <v>Ms.  Elizabeth</v>
      </c>
      <c r="C231">
        <f>VLOOKUP(Table2[[#This Row],[Customer ID]],Table2[#All],2,FALSE)</f>
        <v>31.4</v>
      </c>
      <c r="D231">
        <f>VLOOKUP(Table2[[#This Row],[Customer ID]],Table2[#All],3,FALSE)</f>
        <v>4.5999999999999996</v>
      </c>
      <c r="E231" t="str">
        <f>VLOOKUP(Table2[[#This Row],[Customer ID]],Table2[#All],4,FALSE)</f>
        <v>Yes</v>
      </c>
      <c r="F231" t="str">
        <f>VLOOKUP(Table2[[#This Row],[Customer ID]],Table2[#All],5,FALSE)</f>
        <v>No</v>
      </c>
      <c r="G231" t="str">
        <f>VLOOKUP(Table2[[#This Row],[Customer ID]],Table2[#All],6,FALSE)</f>
        <v>No</v>
      </c>
      <c r="H231">
        <f>VLOOKUP(Table2[[#This Row],[Customer ID]],Table2[#All],7,FALSE)</f>
        <v>1</v>
      </c>
      <c r="I231" t="str">
        <f>VLOOKUP(Table2[[#This Row],[Customer ID]],Table2[#All],8,FALSE)</f>
        <v>Yes</v>
      </c>
      <c r="J231" t="str">
        <f>VLOOKUP(Table2[[#This Row],[Customer ID]],Table2[#All],9,FALSE)</f>
        <v>Obesity</v>
      </c>
      <c r="K231" t="str">
        <f>VLOOKUP(Table2[[#This Row],[Customer ID]],Table2[#All],10,FALSE)</f>
        <v>Normal</v>
      </c>
    </row>
    <row r="232" spans="1:11" ht="15.6" x14ac:dyDescent="0.3">
      <c r="A232" s="1" t="s">
        <v>2142</v>
      </c>
      <c r="B232" t="str">
        <f>VLOOKUP('Customer Names'!A232,'Customer Names'!$A$1:$E$2336,4,FALSE)</f>
        <v>Mr.  Andrew</v>
      </c>
      <c r="C232">
        <f>VLOOKUP(Table2[[#This Row],[Customer ID]],Table2[#All],2,FALSE)</f>
        <v>34.9</v>
      </c>
      <c r="D232">
        <f>VLOOKUP(Table2[[#This Row],[Customer ID]],Table2[#All],3,FALSE)</f>
        <v>6.22</v>
      </c>
      <c r="E232" t="str">
        <f>VLOOKUP(Table2[[#This Row],[Customer ID]],Table2[#All],4,FALSE)</f>
        <v>No</v>
      </c>
      <c r="F232" t="str">
        <f>VLOOKUP(Table2[[#This Row],[Customer ID]],Table2[#All],5,FALSE)</f>
        <v>No</v>
      </c>
      <c r="G232" t="str">
        <f>VLOOKUP(Table2[[#This Row],[Customer ID]],Table2[#All],6,FALSE)</f>
        <v>Yes</v>
      </c>
      <c r="H232">
        <f>VLOOKUP(Table2[[#This Row],[Customer ID]],Table2[#All],7,FALSE)</f>
        <v>1</v>
      </c>
      <c r="I232" t="str">
        <f>VLOOKUP(Table2[[#This Row],[Customer ID]],Table2[#All],8,FALSE)</f>
        <v>Yes</v>
      </c>
      <c r="J232" t="str">
        <f>VLOOKUP(Table2[[#This Row],[Customer ID]],Table2[#All],9,FALSE)</f>
        <v>Obesity</v>
      </c>
      <c r="K232" t="str">
        <f>VLOOKUP(Table2[[#This Row],[Customer ID]],Table2[#All],10,FALSE)</f>
        <v>Prediabetes</v>
      </c>
    </row>
    <row r="233" spans="1:11" ht="15.6" x14ac:dyDescent="0.3">
      <c r="A233" s="1" t="s">
        <v>2141</v>
      </c>
      <c r="B233" t="str">
        <f>VLOOKUP('Customer Names'!A233,'Customer Names'!$A$1:$E$2336,4,FALSE)</f>
        <v>Mr.  Anders J</v>
      </c>
      <c r="C233">
        <f>VLOOKUP(Table2[[#This Row],[Customer ID]],Table2[#All],2,FALSE)</f>
        <v>31.13</v>
      </c>
      <c r="D233">
        <f>VLOOKUP(Table2[[#This Row],[Customer ID]],Table2[#All],3,FALSE)</f>
        <v>4.5199999999999996</v>
      </c>
      <c r="E233" t="str">
        <f>VLOOKUP(Table2[[#This Row],[Customer ID]],Table2[#All],4,FALSE)</f>
        <v>Yes</v>
      </c>
      <c r="F233" t="str">
        <f>VLOOKUP(Table2[[#This Row],[Customer ID]],Table2[#All],5,FALSE)</f>
        <v>No</v>
      </c>
      <c r="G233" t="str">
        <f>VLOOKUP(Table2[[#This Row],[Customer ID]],Table2[#All],6,FALSE)</f>
        <v>No</v>
      </c>
      <c r="H233">
        <f>VLOOKUP(Table2[[#This Row],[Customer ID]],Table2[#All],7,FALSE)</f>
        <v>1</v>
      </c>
      <c r="I233" t="str">
        <f>VLOOKUP(Table2[[#This Row],[Customer ID]],Table2[#All],8,FALSE)</f>
        <v>Yes</v>
      </c>
      <c r="J233" t="str">
        <f>VLOOKUP(Table2[[#This Row],[Customer ID]],Table2[#All],9,FALSE)</f>
        <v>Obesity</v>
      </c>
      <c r="K233" t="str">
        <f>VLOOKUP(Table2[[#This Row],[Customer ID]],Table2[#All],10,FALSE)</f>
        <v>Normal</v>
      </c>
    </row>
    <row r="234" spans="1:11" ht="15.6" x14ac:dyDescent="0.3">
      <c r="A234" s="1" t="s">
        <v>2140</v>
      </c>
      <c r="B234" t="str">
        <f>VLOOKUP('Customer Names'!A234,'Customer Names'!$A$1:$E$2336,4,FALSE)</f>
        <v>Mr.  Sean</v>
      </c>
      <c r="C234">
        <f>VLOOKUP(Table2[[#This Row],[Customer ID]],Table2[#All],2,FALSE)</f>
        <v>34.799999999999997</v>
      </c>
      <c r="D234">
        <f>VLOOKUP(Table2[[#This Row],[Customer ID]],Table2[#All],3,FALSE)</f>
        <v>6.18</v>
      </c>
      <c r="E234" t="str">
        <f>VLOOKUP(Table2[[#This Row],[Customer ID]],Table2[#All],4,FALSE)</f>
        <v>No</v>
      </c>
      <c r="F234" t="str">
        <f>VLOOKUP(Table2[[#This Row],[Customer ID]],Table2[#All],5,FALSE)</f>
        <v>No</v>
      </c>
      <c r="G234" t="str">
        <f>VLOOKUP(Table2[[#This Row],[Customer ID]],Table2[#All],6,FALSE)</f>
        <v>Yes</v>
      </c>
      <c r="H234">
        <f>VLOOKUP(Table2[[#This Row],[Customer ID]],Table2[#All],7,FALSE)</f>
        <v>1</v>
      </c>
      <c r="I234" t="str">
        <f>VLOOKUP(Table2[[#This Row],[Customer ID]],Table2[#All],8,FALSE)</f>
        <v>Yes</v>
      </c>
      <c r="J234" t="str">
        <f>VLOOKUP(Table2[[#This Row],[Customer ID]],Table2[#All],9,FALSE)</f>
        <v>Obesity</v>
      </c>
      <c r="K234" t="str">
        <f>VLOOKUP(Table2[[#This Row],[Customer ID]],Table2[#All],10,FALSE)</f>
        <v>Prediabetes</v>
      </c>
    </row>
    <row r="235" spans="1:11" ht="15.6" x14ac:dyDescent="0.3">
      <c r="A235" s="1" t="s">
        <v>2139</v>
      </c>
      <c r="B235" t="str">
        <f>VLOOKUP('Customer Names'!A235,'Customer Names'!$A$1:$E$2336,4,FALSE)</f>
        <v>Mr.  Brian M.</v>
      </c>
      <c r="C235">
        <f>VLOOKUP(Table2[[#This Row],[Customer ID]],Table2[#All],2,FALSE)</f>
        <v>31.68</v>
      </c>
      <c r="D235">
        <f>VLOOKUP(Table2[[#This Row],[Customer ID]],Table2[#All],3,FALSE)</f>
        <v>4.4000000000000004</v>
      </c>
      <c r="E235" t="str">
        <f>VLOOKUP(Table2[[#This Row],[Customer ID]],Table2[#All],4,FALSE)</f>
        <v>No</v>
      </c>
      <c r="F235" t="str">
        <f>VLOOKUP(Table2[[#This Row],[Customer ID]],Table2[#All],5,FALSE)</f>
        <v>No</v>
      </c>
      <c r="G235" t="str">
        <f>VLOOKUP(Table2[[#This Row],[Customer ID]],Table2[#All],6,FALSE)</f>
        <v>No</v>
      </c>
      <c r="H235">
        <f>VLOOKUP(Table2[[#This Row],[Customer ID]],Table2[#All],7,FALSE)</f>
        <v>0</v>
      </c>
      <c r="I235" t="str">
        <f>VLOOKUP(Table2[[#This Row],[Customer ID]],Table2[#All],8,FALSE)</f>
        <v>Yes</v>
      </c>
      <c r="J235" t="str">
        <f>VLOOKUP(Table2[[#This Row],[Customer ID]],Table2[#All],9,FALSE)</f>
        <v>Obesity</v>
      </c>
      <c r="K235" t="str">
        <f>VLOOKUP(Table2[[#This Row],[Customer ID]],Table2[#All],10,FALSE)</f>
        <v>Normal</v>
      </c>
    </row>
    <row r="236" spans="1:11" ht="15.6" x14ac:dyDescent="0.3">
      <c r="A236" s="1" t="s">
        <v>2138</v>
      </c>
      <c r="B236" t="str">
        <f>VLOOKUP('Customer Names'!A236,'Customer Names'!$A$1:$E$2336,4,FALSE)</f>
        <v>Mr.  Jeremy</v>
      </c>
      <c r="C236">
        <f>VLOOKUP(Table2[[#This Row],[Customer ID]],Table2[#All],2,FALSE)</f>
        <v>33.534999999999997</v>
      </c>
      <c r="D236">
        <f>VLOOKUP(Table2[[#This Row],[Customer ID]],Table2[#All],3,FALSE)</f>
        <v>6.23</v>
      </c>
      <c r="E236" t="str">
        <f>VLOOKUP(Table2[[#This Row],[Customer ID]],Table2[#All],4,FALSE)</f>
        <v>No</v>
      </c>
      <c r="F236" t="str">
        <f>VLOOKUP(Table2[[#This Row],[Customer ID]],Table2[#All],5,FALSE)</f>
        <v>yes</v>
      </c>
      <c r="G236" t="str">
        <f>VLOOKUP(Table2[[#This Row],[Customer ID]],Table2[#All],6,FALSE)</f>
        <v>No</v>
      </c>
      <c r="H236">
        <f>VLOOKUP(Table2[[#This Row],[Customer ID]],Table2[#All],7,FALSE)</f>
        <v>1</v>
      </c>
      <c r="I236" t="str">
        <f>VLOOKUP(Table2[[#This Row],[Customer ID]],Table2[#All],8,FALSE)</f>
        <v>Yes</v>
      </c>
      <c r="J236" t="str">
        <f>VLOOKUP(Table2[[#This Row],[Customer ID]],Table2[#All],9,FALSE)</f>
        <v>Obesity</v>
      </c>
      <c r="K236" t="str">
        <f>VLOOKUP(Table2[[#This Row],[Customer ID]],Table2[#All],10,FALSE)</f>
        <v>Prediabetes</v>
      </c>
    </row>
    <row r="237" spans="1:11" ht="15.6" x14ac:dyDescent="0.3">
      <c r="A237" s="1" t="s">
        <v>2137</v>
      </c>
      <c r="B237" t="str">
        <f>VLOOKUP('Customer Names'!A237,'Customer Names'!$A$1:$E$2336,4,FALSE)</f>
        <v>Ms.  Susannah</v>
      </c>
      <c r="C237">
        <f>VLOOKUP(Table2[[#This Row],[Customer ID]],Table2[#All],2,FALSE)</f>
        <v>31.92</v>
      </c>
      <c r="D237">
        <f>VLOOKUP(Table2[[#This Row],[Customer ID]],Table2[#All],3,FALSE)</f>
        <v>5.33</v>
      </c>
      <c r="E237" t="str">
        <f>VLOOKUP(Table2[[#This Row],[Customer ID]],Table2[#All],4,FALSE)</f>
        <v>Yes</v>
      </c>
      <c r="F237" t="str">
        <f>VLOOKUP(Table2[[#This Row],[Customer ID]],Table2[#All],5,FALSE)</f>
        <v>No</v>
      </c>
      <c r="G237" t="str">
        <f>VLOOKUP(Table2[[#This Row],[Customer ID]],Table2[#All],6,FALSE)</f>
        <v>No</v>
      </c>
      <c r="H237">
        <f>VLOOKUP(Table2[[#This Row],[Customer ID]],Table2[#All],7,FALSE)</f>
        <v>0</v>
      </c>
      <c r="I237" t="str">
        <f>VLOOKUP(Table2[[#This Row],[Customer ID]],Table2[#All],8,FALSE)</f>
        <v>Yes</v>
      </c>
      <c r="J237" t="str">
        <f>VLOOKUP(Table2[[#This Row],[Customer ID]],Table2[#All],9,FALSE)</f>
        <v>Obesity</v>
      </c>
      <c r="K237" t="str">
        <f>VLOOKUP(Table2[[#This Row],[Customer ID]],Table2[#All],10,FALSE)</f>
        <v>Normal</v>
      </c>
    </row>
    <row r="238" spans="1:11" ht="15.6" x14ac:dyDescent="0.3">
      <c r="A238" s="1" t="s">
        <v>2136</v>
      </c>
      <c r="B238" t="str">
        <f>VLOOKUP('Customer Names'!A238,'Customer Names'!$A$1:$E$2336,4,FALSE)</f>
        <v>Mr.  Randy</v>
      </c>
      <c r="C238">
        <f>VLOOKUP(Table2[[#This Row],[Customer ID]],Table2[#All],2,FALSE)</f>
        <v>32.700000000000003</v>
      </c>
      <c r="D238">
        <f>VLOOKUP(Table2[[#This Row],[Customer ID]],Table2[#All],3,FALSE)</f>
        <v>4.09</v>
      </c>
      <c r="E238" t="str">
        <f>VLOOKUP(Table2[[#This Row],[Customer ID]],Table2[#All],4,FALSE)</f>
        <v>No</v>
      </c>
      <c r="F238" t="str">
        <f>VLOOKUP(Table2[[#This Row],[Customer ID]],Table2[#All],5,FALSE)</f>
        <v>No</v>
      </c>
      <c r="G238" t="str">
        <f>VLOOKUP(Table2[[#This Row],[Customer ID]],Table2[#All],6,FALSE)</f>
        <v>No</v>
      </c>
      <c r="H238">
        <f>VLOOKUP(Table2[[#This Row],[Customer ID]],Table2[#All],7,FALSE)</f>
        <v>1</v>
      </c>
      <c r="I238" t="str">
        <f>VLOOKUP(Table2[[#This Row],[Customer ID]],Table2[#All],8,FALSE)</f>
        <v>Yes</v>
      </c>
      <c r="J238" t="str">
        <f>VLOOKUP(Table2[[#This Row],[Customer ID]],Table2[#All],9,FALSE)</f>
        <v>Obesity</v>
      </c>
      <c r="K238" t="str">
        <f>VLOOKUP(Table2[[#This Row],[Customer ID]],Table2[#All],10,FALSE)</f>
        <v>Normal</v>
      </c>
    </row>
    <row r="239" spans="1:11" ht="15.6" x14ac:dyDescent="0.3">
      <c r="A239" s="1" t="s">
        <v>2135</v>
      </c>
      <c r="B239" t="str">
        <f>VLOOKUP('Customer Names'!A239,'Customer Names'!$A$1:$E$2336,4,FALSE)</f>
        <v>Mr.  Leslie</v>
      </c>
      <c r="C239">
        <f>VLOOKUP(Table2[[#This Row],[Customer ID]],Table2[#All],2,FALSE)</f>
        <v>41.25</v>
      </c>
      <c r="D239">
        <f>VLOOKUP(Table2[[#This Row],[Customer ID]],Table2[#All],3,FALSE)</f>
        <v>5.19</v>
      </c>
      <c r="E239" t="str">
        <f>VLOOKUP(Table2[[#This Row],[Customer ID]],Table2[#All],4,FALSE)</f>
        <v>No</v>
      </c>
      <c r="F239" t="str">
        <f>VLOOKUP(Table2[[#This Row],[Customer ID]],Table2[#All],5,FALSE)</f>
        <v>No</v>
      </c>
      <c r="G239" t="str">
        <f>VLOOKUP(Table2[[#This Row],[Customer ID]],Table2[#All],6,FALSE)</f>
        <v>No</v>
      </c>
      <c r="H239">
        <f>VLOOKUP(Table2[[#This Row],[Customer ID]],Table2[#All],7,FALSE)</f>
        <v>0</v>
      </c>
      <c r="I239" t="str">
        <f>VLOOKUP(Table2[[#This Row],[Customer ID]],Table2[#All],8,FALSE)</f>
        <v>Yes</v>
      </c>
      <c r="J239" t="str">
        <f>VLOOKUP(Table2[[#This Row],[Customer ID]],Table2[#All],9,FALSE)</f>
        <v>Obesity</v>
      </c>
      <c r="K239" t="str">
        <f>VLOOKUP(Table2[[#This Row],[Customer ID]],Table2[#All],10,FALSE)</f>
        <v>Normal</v>
      </c>
    </row>
    <row r="240" spans="1:11" ht="15.6" x14ac:dyDescent="0.3">
      <c r="A240" s="1" t="s">
        <v>2134</v>
      </c>
      <c r="B240" t="str">
        <f>VLOOKUP('Customer Names'!A240,'Customer Names'!$A$1:$E$2336,4,FALSE)</f>
        <v>Ms.  Brittany L.</v>
      </c>
      <c r="C240">
        <f>VLOOKUP(Table2[[#This Row],[Customer ID]],Table2[#All],2,FALSE)</f>
        <v>33.11</v>
      </c>
      <c r="D240">
        <f>VLOOKUP(Table2[[#This Row],[Customer ID]],Table2[#All],3,FALSE)</f>
        <v>4.12</v>
      </c>
      <c r="E240" t="str">
        <f>VLOOKUP(Table2[[#This Row],[Customer ID]],Table2[#All],4,FALSE)</f>
        <v>No</v>
      </c>
      <c r="F240" t="str">
        <f>VLOOKUP(Table2[[#This Row],[Customer ID]],Table2[#All],5,FALSE)</f>
        <v>No</v>
      </c>
      <c r="G240" t="str">
        <f>VLOOKUP(Table2[[#This Row],[Customer ID]],Table2[#All],6,FALSE)</f>
        <v>Yes</v>
      </c>
      <c r="H240">
        <f>VLOOKUP(Table2[[#This Row],[Customer ID]],Table2[#All],7,FALSE)</f>
        <v>1</v>
      </c>
      <c r="I240" t="str">
        <f>VLOOKUP(Table2[[#This Row],[Customer ID]],Table2[#All],8,FALSE)</f>
        <v>Yes</v>
      </c>
      <c r="J240" t="str">
        <f>VLOOKUP(Table2[[#This Row],[Customer ID]],Table2[#All],9,FALSE)</f>
        <v>Obesity</v>
      </c>
      <c r="K240" t="str">
        <f>VLOOKUP(Table2[[#This Row],[Customer ID]],Table2[#All],10,FALSE)</f>
        <v>Normal</v>
      </c>
    </row>
    <row r="241" spans="1:11" ht="15.6" x14ac:dyDescent="0.3">
      <c r="A241" s="1" t="s">
        <v>2133</v>
      </c>
      <c r="B241" t="str">
        <f>VLOOKUP('Customer Names'!A241,'Customer Names'!$A$1:$E$2336,4,FALSE)</f>
        <v>Ms.  Cassie J.</v>
      </c>
      <c r="C241">
        <f>VLOOKUP(Table2[[#This Row],[Customer ID]],Table2[#All],2,FALSE)</f>
        <v>36.159999999999997</v>
      </c>
      <c r="D241">
        <f>VLOOKUP(Table2[[#This Row],[Customer ID]],Table2[#All],3,FALSE)</f>
        <v>5.0999999999999996</v>
      </c>
      <c r="E241" t="str">
        <f>VLOOKUP(Table2[[#This Row],[Customer ID]],Table2[#All],4,FALSE)</f>
        <v>No</v>
      </c>
      <c r="F241" t="str">
        <f>VLOOKUP(Table2[[#This Row],[Customer ID]],Table2[#All],5,FALSE)</f>
        <v>No</v>
      </c>
      <c r="G241" t="str">
        <f>VLOOKUP(Table2[[#This Row],[Customer ID]],Table2[#All],6,FALSE)</f>
        <v>No</v>
      </c>
      <c r="H241">
        <f>VLOOKUP(Table2[[#This Row],[Customer ID]],Table2[#All],7,FALSE)</f>
        <v>1</v>
      </c>
      <c r="I241" t="str">
        <f>VLOOKUP(Table2[[#This Row],[Customer ID]],Table2[#All],8,FALSE)</f>
        <v>Yes</v>
      </c>
      <c r="J241" t="str">
        <f>VLOOKUP(Table2[[#This Row],[Customer ID]],Table2[#All],9,FALSE)</f>
        <v>Obesity</v>
      </c>
      <c r="K241" t="str">
        <f>VLOOKUP(Table2[[#This Row],[Customer ID]],Table2[#All],10,FALSE)</f>
        <v>Normal</v>
      </c>
    </row>
    <row r="242" spans="1:11" ht="15.6" x14ac:dyDescent="0.3">
      <c r="A242" s="1" t="s">
        <v>2132</v>
      </c>
      <c r="B242" t="str">
        <f>VLOOKUP('Customer Names'!A242,'Customer Names'!$A$1:$E$2336,4,FALSE)</f>
        <v>Mr.  Peter W</v>
      </c>
      <c r="C242">
        <f>VLOOKUP(Table2[[#This Row],[Customer ID]],Table2[#All],2,FALSE)</f>
        <v>33.72</v>
      </c>
      <c r="D242">
        <f>VLOOKUP(Table2[[#This Row],[Customer ID]],Table2[#All],3,FALSE)</f>
        <v>6.21</v>
      </c>
      <c r="E242" t="str">
        <f>VLOOKUP(Table2[[#This Row],[Customer ID]],Table2[#All],4,FALSE)</f>
        <v>Yes</v>
      </c>
      <c r="F242" t="str">
        <f>VLOOKUP(Table2[[#This Row],[Customer ID]],Table2[#All],5,FALSE)</f>
        <v>No</v>
      </c>
      <c r="G242" t="str">
        <f>VLOOKUP(Table2[[#This Row],[Customer ID]],Table2[#All],6,FALSE)</f>
        <v>Yes</v>
      </c>
      <c r="H242">
        <f>VLOOKUP(Table2[[#This Row],[Customer ID]],Table2[#All],7,FALSE)</f>
        <v>1</v>
      </c>
      <c r="I242" t="str">
        <f>VLOOKUP(Table2[[#This Row],[Customer ID]],Table2[#All],8,FALSE)</f>
        <v>Yes</v>
      </c>
      <c r="J242" t="str">
        <f>VLOOKUP(Table2[[#This Row],[Customer ID]],Table2[#All],9,FALSE)</f>
        <v>Obesity</v>
      </c>
      <c r="K242" t="str">
        <f>VLOOKUP(Table2[[#This Row],[Customer ID]],Table2[#All],10,FALSE)</f>
        <v>Prediabetes</v>
      </c>
    </row>
    <row r="243" spans="1:11" ht="15.6" x14ac:dyDescent="0.3">
      <c r="A243" s="1" t="s">
        <v>2130</v>
      </c>
      <c r="B243" t="str">
        <f>VLOOKUP('Customer Names'!A243,'Customer Names'!$A$1:$E$2336,4,FALSE)</f>
        <v>Mr.  Douglas</v>
      </c>
      <c r="C243">
        <f>VLOOKUP(Table2[[#This Row],[Customer ID]],Table2[#All],2,FALSE)</f>
        <v>37.74</v>
      </c>
      <c r="D243">
        <f>VLOOKUP(Table2[[#This Row],[Customer ID]],Table2[#All],3,FALSE)</f>
        <v>9.5299999999999994</v>
      </c>
      <c r="E243" t="str">
        <f>VLOOKUP(Table2[[#This Row],[Customer ID]],Table2[#All],4,FALSE)</f>
        <v>Yes</v>
      </c>
      <c r="F243" t="str">
        <f>VLOOKUP(Table2[[#This Row],[Customer ID]],Table2[#All],5,FALSE)</f>
        <v>No</v>
      </c>
      <c r="G243" t="str">
        <f>VLOOKUP(Table2[[#This Row],[Customer ID]],Table2[#All],6,FALSE)</f>
        <v>No</v>
      </c>
      <c r="H243">
        <f>VLOOKUP(Table2[[#This Row],[Customer ID]],Table2[#All],7,FALSE)</f>
        <v>1</v>
      </c>
      <c r="I243" t="str">
        <f>VLOOKUP(Table2[[#This Row],[Customer ID]],Table2[#All],8,FALSE)</f>
        <v>Yes</v>
      </c>
      <c r="J243" t="str">
        <f>VLOOKUP(Table2[[#This Row],[Customer ID]],Table2[#All],9,FALSE)</f>
        <v>Obesity</v>
      </c>
      <c r="K243" t="str">
        <f>VLOOKUP(Table2[[#This Row],[Customer ID]],Table2[#All],10,FALSE)</f>
        <v>Diabetes</v>
      </c>
    </row>
    <row r="244" spans="1:11" ht="15.6" x14ac:dyDescent="0.3">
      <c r="A244" s="1" t="s">
        <v>2129</v>
      </c>
      <c r="B244" t="str">
        <f>VLOOKUP('Customer Names'!A244,'Customer Names'!$A$1:$E$2336,4,FALSE)</f>
        <v>Mr.  Dan</v>
      </c>
      <c r="C244">
        <f>VLOOKUP(Table2[[#This Row],[Customer ID]],Table2[#All],2,FALSE)</f>
        <v>48.75</v>
      </c>
      <c r="D244">
        <f>VLOOKUP(Table2[[#This Row],[Customer ID]],Table2[#All],3,FALSE)</f>
        <v>4.6399999999999997</v>
      </c>
      <c r="E244" t="str">
        <f>VLOOKUP(Table2[[#This Row],[Customer ID]],Table2[#All],4,FALSE)</f>
        <v>Yes</v>
      </c>
      <c r="F244" t="str">
        <f>VLOOKUP(Table2[[#This Row],[Customer ID]],Table2[#All],5,FALSE)</f>
        <v>No</v>
      </c>
      <c r="G244" t="str">
        <f>VLOOKUP(Table2[[#This Row],[Customer ID]],Table2[#All],6,FALSE)</f>
        <v>No</v>
      </c>
      <c r="H244">
        <f>VLOOKUP(Table2[[#This Row],[Customer ID]],Table2[#All],7,FALSE)</f>
        <v>1</v>
      </c>
      <c r="I244" t="str">
        <f>VLOOKUP(Table2[[#This Row],[Customer ID]],Table2[#All],8,FALSE)</f>
        <v>Yes</v>
      </c>
      <c r="J244" t="str">
        <f>VLOOKUP(Table2[[#This Row],[Customer ID]],Table2[#All],9,FALSE)</f>
        <v>Obesity</v>
      </c>
      <c r="K244" t="str">
        <f>VLOOKUP(Table2[[#This Row],[Customer ID]],Table2[#All],10,FALSE)</f>
        <v>Normal</v>
      </c>
    </row>
    <row r="245" spans="1:11" ht="15.6" x14ac:dyDescent="0.3">
      <c r="A245" s="1" t="s">
        <v>2128</v>
      </c>
      <c r="B245" t="str">
        <f>VLOOKUP('Customer Names'!A245,'Customer Names'!$A$1:$E$2336,4,FALSE)</f>
        <v>Mr.  Dan M.</v>
      </c>
      <c r="C245">
        <f>VLOOKUP(Table2[[#This Row],[Customer ID]],Table2[#All],2,FALSE)</f>
        <v>31.065000000000001</v>
      </c>
      <c r="D245">
        <f>VLOOKUP(Table2[[#This Row],[Customer ID]],Table2[#All],3,FALSE)</f>
        <v>5.05</v>
      </c>
      <c r="E245" t="str">
        <f>VLOOKUP(Table2[[#This Row],[Customer ID]],Table2[#All],4,FALSE)</f>
        <v>No</v>
      </c>
      <c r="F245" t="str">
        <f>VLOOKUP(Table2[[#This Row],[Customer ID]],Table2[#All],5,FALSE)</f>
        <v>No</v>
      </c>
      <c r="G245" t="str">
        <f>VLOOKUP(Table2[[#This Row],[Customer ID]],Table2[#All],6,FALSE)</f>
        <v>No</v>
      </c>
      <c r="H245">
        <f>VLOOKUP(Table2[[#This Row],[Customer ID]],Table2[#All],7,FALSE)</f>
        <v>1</v>
      </c>
      <c r="I245" t="str">
        <f>VLOOKUP(Table2[[#This Row],[Customer ID]],Table2[#All],8,FALSE)</f>
        <v>Yes</v>
      </c>
      <c r="J245" t="str">
        <f>VLOOKUP(Table2[[#This Row],[Customer ID]],Table2[#All],9,FALSE)</f>
        <v>Obesity</v>
      </c>
      <c r="K245" t="str">
        <f>VLOOKUP(Table2[[#This Row],[Customer ID]],Table2[#All],10,FALSE)</f>
        <v>Normal</v>
      </c>
    </row>
    <row r="246" spans="1:11" ht="15.6" x14ac:dyDescent="0.3">
      <c r="A246" s="1" t="s">
        <v>2127</v>
      </c>
      <c r="B246" t="str">
        <f>VLOOKUP('Customer Names'!A246,'Customer Names'!$A$1:$E$2336,4,FALSE)</f>
        <v>Mr.  Eric L.</v>
      </c>
      <c r="C246">
        <f>VLOOKUP(Table2[[#This Row],[Customer ID]],Table2[#All],2,FALSE)</f>
        <v>23.55</v>
      </c>
      <c r="D246">
        <f>VLOOKUP(Table2[[#This Row],[Customer ID]],Table2[#All],3,FALSE)</f>
        <v>10.38</v>
      </c>
      <c r="E246" t="str">
        <f>VLOOKUP(Table2[[#This Row],[Customer ID]],Table2[#All],4,FALSE)</f>
        <v>No</v>
      </c>
      <c r="F246" t="str">
        <f>VLOOKUP(Table2[[#This Row],[Customer ID]],Table2[#All],5,FALSE)</f>
        <v>No</v>
      </c>
      <c r="G246" t="str">
        <f>VLOOKUP(Table2[[#This Row],[Customer ID]],Table2[#All],6,FALSE)</f>
        <v>No</v>
      </c>
      <c r="H246">
        <f>VLOOKUP(Table2[[#This Row],[Customer ID]],Table2[#All],7,FALSE)</f>
        <v>0</v>
      </c>
      <c r="I246" t="str">
        <f>VLOOKUP(Table2[[#This Row],[Customer ID]],Table2[#All],8,FALSE)</f>
        <v>Yes</v>
      </c>
      <c r="J246" t="str">
        <f>VLOOKUP(Table2[[#This Row],[Customer ID]],Table2[#All],9,FALSE)</f>
        <v>Normalweight</v>
      </c>
      <c r="K246" t="str">
        <f>VLOOKUP(Table2[[#This Row],[Customer ID]],Table2[#All],10,FALSE)</f>
        <v>Diabetes</v>
      </c>
    </row>
    <row r="247" spans="1:11" ht="15.6" x14ac:dyDescent="0.3">
      <c r="A247" s="1" t="s">
        <v>2126</v>
      </c>
      <c r="B247" t="str">
        <f>VLOOKUP('Customer Names'!A247,'Customer Names'!$A$1:$E$2336,4,FALSE)</f>
        <v>Mr.  Les J</v>
      </c>
      <c r="C247">
        <f>VLOOKUP(Table2[[#This Row],[Customer ID]],Table2[#All],2,FALSE)</f>
        <v>30.18</v>
      </c>
      <c r="D247">
        <f>VLOOKUP(Table2[[#This Row],[Customer ID]],Table2[#All],3,FALSE)</f>
        <v>8.31</v>
      </c>
      <c r="E247" t="str">
        <f>VLOOKUP(Table2[[#This Row],[Customer ID]],Table2[#All],4,FALSE)</f>
        <v>Yes</v>
      </c>
      <c r="F247" t="str">
        <f>VLOOKUP(Table2[[#This Row],[Customer ID]],Table2[#All],5,FALSE)</f>
        <v>No</v>
      </c>
      <c r="G247" t="str">
        <f>VLOOKUP(Table2[[#This Row],[Customer ID]],Table2[#All],6,FALSE)</f>
        <v>No</v>
      </c>
      <c r="H247">
        <f>VLOOKUP(Table2[[#This Row],[Customer ID]],Table2[#All],7,FALSE)</f>
        <v>1</v>
      </c>
      <c r="I247" t="str">
        <f>VLOOKUP(Table2[[#This Row],[Customer ID]],Table2[#All],8,FALSE)</f>
        <v>Yes</v>
      </c>
      <c r="J247" t="str">
        <f>VLOOKUP(Table2[[#This Row],[Customer ID]],Table2[#All],9,FALSE)</f>
        <v>Obesity</v>
      </c>
      <c r="K247" t="str">
        <f>VLOOKUP(Table2[[#This Row],[Customer ID]],Table2[#All],10,FALSE)</f>
        <v>Diabetes</v>
      </c>
    </row>
    <row r="248" spans="1:11" ht="15.6" x14ac:dyDescent="0.3">
      <c r="A248" s="1" t="s">
        <v>2125</v>
      </c>
      <c r="B248" t="str">
        <f>VLOOKUP('Customer Names'!A248,'Customer Names'!$A$1:$E$2336,4,FALSE)</f>
        <v>Ms.  Stephanie</v>
      </c>
      <c r="C248">
        <f>VLOOKUP(Table2[[#This Row],[Customer ID]],Table2[#All],2,FALSE)</f>
        <v>29.94</v>
      </c>
      <c r="D248">
        <f>VLOOKUP(Table2[[#This Row],[Customer ID]],Table2[#All],3,FALSE)</f>
        <v>7.59</v>
      </c>
      <c r="E248" t="str">
        <f>VLOOKUP(Table2[[#This Row],[Customer ID]],Table2[#All],4,FALSE)</f>
        <v>No</v>
      </c>
      <c r="F248" t="str">
        <f>VLOOKUP(Table2[[#This Row],[Customer ID]],Table2[#All],5,FALSE)</f>
        <v>No</v>
      </c>
      <c r="G248" t="str">
        <f>VLOOKUP(Table2[[#This Row],[Customer ID]],Table2[#All],6,FALSE)</f>
        <v>No</v>
      </c>
      <c r="H248">
        <f>VLOOKUP(Table2[[#This Row],[Customer ID]],Table2[#All],7,FALSE)</f>
        <v>0</v>
      </c>
      <c r="I248" t="str">
        <f>VLOOKUP(Table2[[#This Row],[Customer ID]],Table2[#All],8,FALSE)</f>
        <v>Yes</v>
      </c>
      <c r="J248" t="str">
        <f>VLOOKUP(Table2[[#This Row],[Customer ID]],Table2[#All],9,FALSE)</f>
        <v>Overweight</v>
      </c>
      <c r="K248" t="str">
        <f>VLOOKUP(Table2[[#This Row],[Customer ID]],Table2[#All],10,FALSE)</f>
        <v>Diabetes</v>
      </c>
    </row>
    <row r="249" spans="1:11" ht="15.6" x14ac:dyDescent="0.3">
      <c r="A249" s="1" t="s">
        <v>2124</v>
      </c>
      <c r="B249" t="str">
        <f>VLOOKUP('Customer Names'!A249,'Customer Names'!$A$1:$E$2336,4,FALSE)</f>
        <v>Ms.  Melissa Y</v>
      </c>
      <c r="C249">
        <f>VLOOKUP(Table2[[#This Row],[Customer ID]],Table2[#All],2,FALSE)</f>
        <v>31.4</v>
      </c>
      <c r="D249">
        <f>VLOOKUP(Table2[[#This Row],[Customer ID]],Table2[#All],3,FALSE)</f>
        <v>5.49</v>
      </c>
      <c r="E249" t="str">
        <f>VLOOKUP(Table2[[#This Row],[Customer ID]],Table2[#All],4,FALSE)</f>
        <v>No</v>
      </c>
      <c r="F249" t="str">
        <f>VLOOKUP(Table2[[#This Row],[Customer ID]],Table2[#All],5,FALSE)</f>
        <v>No</v>
      </c>
      <c r="G249" t="str">
        <f>VLOOKUP(Table2[[#This Row],[Customer ID]],Table2[#All],6,FALSE)</f>
        <v>No</v>
      </c>
      <c r="H249">
        <f>VLOOKUP(Table2[[#This Row],[Customer ID]],Table2[#All],7,FALSE)</f>
        <v>0</v>
      </c>
      <c r="I249" t="str">
        <f>VLOOKUP(Table2[[#This Row],[Customer ID]],Table2[#All],8,FALSE)</f>
        <v>Yes</v>
      </c>
      <c r="J249" t="str">
        <f>VLOOKUP(Table2[[#This Row],[Customer ID]],Table2[#All],9,FALSE)</f>
        <v>Obesity</v>
      </c>
      <c r="K249" t="str">
        <f>VLOOKUP(Table2[[#This Row],[Customer ID]],Table2[#All],10,FALSE)</f>
        <v>Normal</v>
      </c>
    </row>
    <row r="250" spans="1:11" ht="15.6" x14ac:dyDescent="0.3">
      <c r="A250" s="1" t="s">
        <v>2123</v>
      </c>
      <c r="B250" t="str">
        <f>VLOOKUP('Customer Names'!A250,'Customer Names'!$A$1:$E$2336,4,FALSE)</f>
        <v>Ms.  Ashley</v>
      </c>
      <c r="C250">
        <f>VLOOKUP(Table2[[#This Row],[Customer ID]],Table2[#All],2,FALSE)</f>
        <v>53.06</v>
      </c>
      <c r="D250">
        <f>VLOOKUP(Table2[[#This Row],[Customer ID]],Table2[#All],3,FALSE)</f>
        <v>11.68</v>
      </c>
      <c r="E250" t="str">
        <f>VLOOKUP(Table2[[#This Row],[Customer ID]],Table2[#All],4,FALSE)</f>
        <v>No</v>
      </c>
      <c r="F250" t="str">
        <f>VLOOKUP(Table2[[#This Row],[Customer ID]],Table2[#All],5,FALSE)</f>
        <v>No</v>
      </c>
      <c r="G250" t="str">
        <f>VLOOKUP(Table2[[#This Row],[Customer ID]],Table2[#All],6,FALSE)</f>
        <v>No</v>
      </c>
      <c r="H250">
        <f>VLOOKUP(Table2[[#This Row],[Customer ID]],Table2[#All],7,FALSE)</f>
        <v>0</v>
      </c>
      <c r="I250" t="str">
        <f>VLOOKUP(Table2[[#This Row],[Customer ID]],Table2[#All],8,FALSE)</f>
        <v>Yes</v>
      </c>
      <c r="J250" t="str">
        <f>VLOOKUP(Table2[[#This Row],[Customer ID]],Table2[#All],9,FALSE)</f>
        <v>Obesity</v>
      </c>
      <c r="K250" t="str">
        <f>VLOOKUP(Table2[[#This Row],[Customer ID]],Table2[#All],10,FALSE)</f>
        <v>Diabetes</v>
      </c>
    </row>
    <row r="251" spans="1:11" ht="15.6" x14ac:dyDescent="0.3">
      <c r="A251" s="1" t="s">
        <v>2122</v>
      </c>
      <c r="B251" t="str">
        <f>VLOOKUP('Customer Names'!A251,'Customer Names'!$A$1:$E$2336,4,FALSE)</f>
        <v>Ms.  Stephanie M.</v>
      </c>
      <c r="C251">
        <f>VLOOKUP(Table2[[#This Row],[Customer ID]],Table2[#All],2,FALSE)</f>
        <v>30.25</v>
      </c>
      <c r="D251">
        <f>VLOOKUP(Table2[[#This Row],[Customer ID]],Table2[#All],3,FALSE)</f>
        <v>4.1900000000000004</v>
      </c>
      <c r="E251" t="str">
        <f>VLOOKUP(Table2[[#This Row],[Customer ID]],Table2[#All],4,FALSE)</f>
        <v>No</v>
      </c>
      <c r="F251" t="str">
        <f>VLOOKUP(Table2[[#This Row],[Customer ID]],Table2[#All],5,FALSE)</f>
        <v>No</v>
      </c>
      <c r="G251" t="str">
        <f>VLOOKUP(Table2[[#This Row],[Customer ID]],Table2[#All],6,FALSE)</f>
        <v>No</v>
      </c>
      <c r="H251">
        <f>VLOOKUP(Table2[[#This Row],[Customer ID]],Table2[#All],7,FALSE)</f>
        <v>2</v>
      </c>
      <c r="I251" t="str">
        <f>VLOOKUP(Table2[[#This Row],[Customer ID]],Table2[#All],8,FALSE)</f>
        <v>Yes</v>
      </c>
      <c r="J251" t="str">
        <f>VLOOKUP(Table2[[#This Row],[Customer ID]],Table2[#All],9,FALSE)</f>
        <v>Obesity</v>
      </c>
      <c r="K251" t="str">
        <f>VLOOKUP(Table2[[#This Row],[Customer ID]],Table2[#All],10,FALSE)</f>
        <v>Normal</v>
      </c>
    </row>
    <row r="252" spans="1:11" ht="15.6" x14ac:dyDescent="0.3">
      <c r="A252" s="1" t="s">
        <v>2121</v>
      </c>
      <c r="B252" t="str">
        <f>VLOOKUP('Customer Names'!A252,'Customer Names'!$A$1:$E$2336,4,FALSE)</f>
        <v>Ms.  Kylie</v>
      </c>
      <c r="C252">
        <f>VLOOKUP(Table2[[#This Row],[Customer ID]],Table2[#All],2,FALSE)</f>
        <v>46.68</v>
      </c>
      <c r="D252">
        <f>VLOOKUP(Table2[[#This Row],[Customer ID]],Table2[#All],3,FALSE)</f>
        <v>4.01</v>
      </c>
      <c r="E252" t="str">
        <f>VLOOKUP(Table2[[#This Row],[Customer ID]],Table2[#All],4,FALSE)</f>
        <v>No</v>
      </c>
      <c r="F252" t="str">
        <f>VLOOKUP(Table2[[#This Row],[Customer ID]],Table2[#All],5,FALSE)</f>
        <v>No</v>
      </c>
      <c r="G252" t="str">
        <f>VLOOKUP(Table2[[#This Row],[Customer ID]],Table2[#All],6,FALSE)</f>
        <v>No</v>
      </c>
      <c r="H252">
        <f>VLOOKUP(Table2[[#This Row],[Customer ID]],Table2[#All],7,FALSE)</f>
        <v>0</v>
      </c>
      <c r="I252" t="str">
        <f>VLOOKUP(Table2[[#This Row],[Customer ID]],Table2[#All],8,FALSE)</f>
        <v>Yes</v>
      </c>
      <c r="J252" t="str">
        <f>VLOOKUP(Table2[[#This Row],[Customer ID]],Table2[#All],9,FALSE)</f>
        <v>Obesity</v>
      </c>
      <c r="K252" t="str">
        <f>VLOOKUP(Table2[[#This Row],[Customer ID]],Table2[#All],10,FALSE)</f>
        <v>Normal</v>
      </c>
    </row>
    <row r="253" spans="1:11" ht="15.6" x14ac:dyDescent="0.3">
      <c r="A253" s="1" t="s">
        <v>2120</v>
      </c>
      <c r="B253" t="str">
        <f>VLOOKUP('Customer Names'!A253,'Customer Names'!$A$1:$E$2336,4,FALSE)</f>
        <v>Ms.  Kelly</v>
      </c>
      <c r="C253">
        <f>VLOOKUP(Table2[[#This Row],[Customer ID]],Table2[#All],2,FALSE)</f>
        <v>30.4</v>
      </c>
      <c r="D253">
        <f>VLOOKUP(Table2[[#This Row],[Customer ID]],Table2[#All],3,FALSE)</f>
        <v>5.91</v>
      </c>
      <c r="E253" t="str">
        <f>VLOOKUP(Table2[[#This Row],[Customer ID]],Table2[#All],4,FALSE)</f>
        <v>No</v>
      </c>
      <c r="F253" t="str">
        <f>VLOOKUP(Table2[[#This Row],[Customer ID]],Table2[#All],5,FALSE)</f>
        <v>yes</v>
      </c>
      <c r="G253" t="str">
        <f>VLOOKUP(Table2[[#This Row],[Customer ID]],Table2[#All],6,FALSE)</f>
        <v>No</v>
      </c>
      <c r="H253">
        <f>VLOOKUP(Table2[[#This Row],[Customer ID]],Table2[#All],7,FALSE)</f>
        <v>2</v>
      </c>
      <c r="I253" t="str">
        <f>VLOOKUP(Table2[[#This Row],[Customer ID]],Table2[#All],8,FALSE)</f>
        <v>Yes</v>
      </c>
      <c r="J253" t="str">
        <f>VLOOKUP(Table2[[#This Row],[Customer ID]],Table2[#All],9,FALSE)</f>
        <v>Obesity</v>
      </c>
      <c r="K253" t="str">
        <f>VLOOKUP(Table2[[#This Row],[Customer ID]],Table2[#All],10,FALSE)</f>
        <v>Prediabetes</v>
      </c>
    </row>
    <row r="254" spans="1:11" ht="15.6" x14ac:dyDescent="0.3">
      <c r="A254" s="1" t="s">
        <v>2119</v>
      </c>
      <c r="B254" t="str">
        <f>VLOOKUP('Customer Names'!A254,'Customer Names'!$A$1:$E$2336,4,FALSE)</f>
        <v>Ms.  Carrie</v>
      </c>
      <c r="C254">
        <f>VLOOKUP(Table2[[#This Row],[Customer ID]],Table2[#All],2,FALSE)</f>
        <v>30.2</v>
      </c>
      <c r="D254">
        <f>VLOOKUP(Table2[[#This Row],[Customer ID]],Table2[#All],3,FALSE)</f>
        <v>4.47</v>
      </c>
      <c r="E254" t="str">
        <f>VLOOKUP(Table2[[#This Row],[Customer ID]],Table2[#All],4,FALSE)</f>
        <v>Yes</v>
      </c>
      <c r="F254" t="str">
        <f>VLOOKUP(Table2[[#This Row],[Customer ID]],Table2[#All],5,FALSE)</f>
        <v>No</v>
      </c>
      <c r="G254" t="str">
        <f>VLOOKUP(Table2[[#This Row],[Customer ID]],Table2[#All],6,FALSE)</f>
        <v>Yes</v>
      </c>
      <c r="H254">
        <f>VLOOKUP(Table2[[#This Row],[Customer ID]],Table2[#All],7,FALSE)</f>
        <v>1</v>
      </c>
      <c r="I254" t="str">
        <f>VLOOKUP(Table2[[#This Row],[Customer ID]],Table2[#All],8,FALSE)</f>
        <v>Yes</v>
      </c>
      <c r="J254" t="str">
        <f>VLOOKUP(Table2[[#This Row],[Customer ID]],Table2[#All],9,FALSE)</f>
        <v>Obesity</v>
      </c>
      <c r="K254" t="str">
        <f>VLOOKUP(Table2[[#This Row],[Customer ID]],Table2[#All],10,FALSE)</f>
        <v>Normal</v>
      </c>
    </row>
    <row r="255" spans="1:11" ht="15.6" x14ac:dyDescent="0.3">
      <c r="A255" s="1" t="s">
        <v>2118</v>
      </c>
      <c r="B255" t="str">
        <f>VLOOKUP('Customer Names'!A255,'Customer Names'!$A$1:$E$2336,4,FALSE)</f>
        <v>Mr.  Alex</v>
      </c>
      <c r="C255">
        <f>VLOOKUP(Table2[[#This Row],[Customer ID]],Table2[#All],2,FALSE)</f>
        <v>51.18</v>
      </c>
      <c r="D255">
        <f>VLOOKUP(Table2[[#This Row],[Customer ID]],Table2[#All],3,FALSE)</f>
        <v>4.5599999999999996</v>
      </c>
      <c r="E255" t="str">
        <f>VLOOKUP(Table2[[#This Row],[Customer ID]],Table2[#All],4,FALSE)</f>
        <v>Yes</v>
      </c>
      <c r="F255" t="str">
        <f>VLOOKUP(Table2[[#This Row],[Customer ID]],Table2[#All],5,FALSE)</f>
        <v>yes</v>
      </c>
      <c r="G255" t="str">
        <f>VLOOKUP(Table2[[#This Row],[Customer ID]],Table2[#All],6,FALSE)</f>
        <v>No</v>
      </c>
      <c r="H255">
        <f>VLOOKUP(Table2[[#This Row],[Customer ID]],Table2[#All],7,FALSE)</f>
        <v>2</v>
      </c>
      <c r="I255" t="str">
        <f>VLOOKUP(Table2[[#This Row],[Customer ID]],Table2[#All],8,FALSE)</f>
        <v>Yes</v>
      </c>
      <c r="J255" t="str">
        <f>VLOOKUP(Table2[[#This Row],[Customer ID]],Table2[#All],9,FALSE)</f>
        <v>Obesity</v>
      </c>
      <c r="K255" t="str">
        <f>VLOOKUP(Table2[[#This Row],[Customer ID]],Table2[#All],10,FALSE)</f>
        <v>Normal</v>
      </c>
    </row>
    <row r="256" spans="1:11" ht="15.6" x14ac:dyDescent="0.3">
      <c r="A256" s="1" t="s">
        <v>2117</v>
      </c>
      <c r="B256" t="str">
        <f>VLOOKUP('Customer Names'!A256,'Customer Names'!$A$1:$E$2336,4,FALSE)</f>
        <v>Mr.  Zach S</v>
      </c>
      <c r="C256">
        <f>VLOOKUP(Table2[[#This Row],[Customer ID]],Table2[#All],2,FALSE)</f>
        <v>22.18</v>
      </c>
      <c r="D256">
        <f>VLOOKUP(Table2[[#This Row],[Customer ID]],Table2[#All],3,FALSE)</f>
        <v>9.9</v>
      </c>
      <c r="E256" t="str">
        <f>VLOOKUP(Table2[[#This Row],[Customer ID]],Table2[#All],4,FALSE)</f>
        <v>No</v>
      </c>
      <c r="F256" t="str">
        <f>VLOOKUP(Table2[[#This Row],[Customer ID]],Table2[#All],5,FALSE)</f>
        <v>No</v>
      </c>
      <c r="G256" t="str">
        <f>VLOOKUP(Table2[[#This Row],[Customer ID]],Table2[#All],6,FALSE)</f>
        <v>No</v>
      </c>
      <c r="H256">
        <f>VLOOKUP(Table2[[#This Row],[Customer ID]],Table2[#All],7,FALSE)</f>
        <v>0</v>
      </c>
      <c r="I256" t="str">
        <f>VLOOKUP(Table2[[#This Row],[Customer ID]],Table2[#All],8,FALSE)</f>
        <v>Yes</v>
      </c>
      <c r="J256" t="str">
        <f>VLOOKUP(Table2[[#This Row],[Customer ID]],Table2[#All],9,FALSE)</f>
        <v>Normalweight</v>
      </c>
      <c r="K256" t="str">
        <f>VLOOKUP(Table2[[#This Row],[Customer ID]],Table2[#All],10,FALSE)</f>
        <v>Diabetes</v>
      </c>
    </row>
    <row r="257" spans="1:11" ht="15.6" x14ac:dyDescent="0.3">
      <c r="A257" s="1" t="s">
        <v>2116</v>
      </c>
      <c r="B257" t="str">
        <f>VLOOKUP('Customer Names'!A257,'Customer Names'!$A$1:$E$2336,4,FALSE)</f>
        <v>Mr.  Alan</v>
      </c>
      <c r="C257">
        <f>VLOOKUP(Table2[[#This Row],[Customer ID]],Table2[#All],2,FALSE)</f>
        <v>31.92</v>
      </c>
      <c r="D257">
        <f>VLOOKUP(Table2[[#This Row],[Customer ID]],Table2[#All],3,FALSE)</f>
        <v>5.1100000000000003</v>
      </c>
      <c r="E257" t="str">
        <f>VLOOKUP(Table2[[#This Row],[Customer ID]],Table2[#All],4,FALSE)</f>
        <v>No</v>
      </c>
      <c r="F257" t="str">
        <f>VLOOKUP(Table2[[#This Row],[Customer ID]],Table2[#All],5,FALSE)</f>
        <v>No</v>
      </c>
      <c r="G257" t="str">
        <f>VLOOKUP(Table2[[#This Row],[Customer ID]],Table2[#All],6,FALSE)</f>
        <v>Yes</v>
      </c>
      <c r="H257">
        <f>VLOOKUP(Table2[[#This Row],[Customer ID]],Table2[#All],7,FALSE)</f>
        <v>1</v>
      </c>
      <c r="I257" t="str">
        <f>VLOOKUP(Table2[[#This Row],[Customer ID]],Table2[#All],8,FALSE)</f>
        <v>Yes</v>
      </c>
      <c r="J257" t="str">
        <f>VLOOKUP(Table2[[#This Row],[Customer ID]],Table2[#All],9,FALSE)</f>
        <v>Obesity</v>
      </c>
      <c r="K257" t="str">
        <f>VLOOKUP(Table2[[#This Row],[Customer ID]],Table2[#All],10,FALSE)</f>
        <v>Normal</v>
      </c>
    </row>
    <row r="258" spans="1:11" ht="15.6" x14ac:dyDescent="0.3">
      <c r="A258" s="1" t="s">
        <v>2115</v>
      </c>
      <c r="B258" t="str">
        <f>VLOOKUP('Customer Names'!A258,'Customer Names'!$A$1:$E$2336,4,FALSE)</f>
        <v>Mr.  Nate</v>
      </c>
      <c r="C258">
        <f>VLOOKUP(Table2[[#This Row],[Customer ID]],Table2[#All],2,FALSE)</f>
        <v>31.73</v>
      </c>
      <c r="D258">
        <f>VLOOKUP(Table2[[#This Row],[Customer ID]],Table2[#All],3,FALSE)</f>
        <v>5.73</v>
      </c>
      <c r="E258" t="str">
        <f>VLOOKUP(Table2[[#This Row],[Customer ID]],Table2[#All],4,FALSE)</f>
        <v>No</v>
      </c>
      <c r="F258" t="str">
        <f>VLOOKUP(Table2[[#This Row],[Customer ID]],Table2[#All],5,FALSE)</f>
        <v>yes</v>
      </c>
      <c r="G258" t="str">
        <f>VLOOKUP(Table2[[#This Row],[Customer ID]],Table2[#All],6,FALSE)</f>
        <v>No</v>
      </c>
      <c r="H258">
        <f>VLOOKUP(Table2[[#This Row],[Customer ID]],Table2[#All],7,FALSE)</f>
        <v>1</v>
      </c>
      <c r="I258" t="str">
        <f>VLOOKUP(Table2[[#This Row],[Customer ID]],Table2[#All],8,FALSE)</f>
        <v>Yes</v>
      </c>
      <c r="J258" t="str">
        <f>VLOOKUP(Table2[[#This Row],[Customer ID]],Table2[#All],9,FALSE)</f>
        <v>Obesity</v>
      </c>
      <c r="K258" t="str">
        <f>VLOOKUP(Table2[[#This Row],[Customer ID]],Table2[#All],10,FALSE)</f>
        <v>Prediabetes</v>
      </c>
    </row>
    <row r="259" spans="1:11" ht="15.6" x14ac:dyDescent="0.3">
      <c r="A259" s="1" t="s">
        <v>2114</v>
      </c>
      <c r="B259" t="str">
        <f>VLOOKUP('Customer Names'!A259,'Customer Names'!$A$1:$E$2336,4,FALSE)</f>
        <v>Mr.  Jesse G.</v>
      </c>
      <c r="C259">
        <f>VLOOKUP(Table2[[#This Row],[Customer ID]],Table2[#All],2,FALSE)</f>
        <v>45.52</v>
      </c>
      <c r="D259">
        <f>VLOOKUP(Table2[[#This Row],[Customer ID]],Table2[#All],3,FALSE)</f>
        <v>6.04</v>
      </c>
      <c r="E259" t="str">
        <f>VLOOKUP(Table2[[#This Row],[Customer ID]],Table2[#All],4,FALSE)</f>
        <v>No</v>
      </c>
      <c r="F259" t="str">
        <f>VLOOKUP(Table2[[#This Row],[Customer ID]],Table2[#All],5,FALSE)</f>
        <v>No</v>
      </c>
      <c r="G259" t="str">
        <f>VLOOKUP(Table2[[#This Row],[Customer ID]],Table2[#All],6,FALSE)</f>
        <v>Yes</v>
      </c>
      <c r="H259">
        <f>VLOOKUP(Table2[[#This Row],[Customer ID]],Table2[#All],7,FALSE)</f>
        <v>1</v>
      </c>
      <c r="I259" t="str">
        <f>VLOOKUP(Table2[[#This Row],[Customer ID]],Table2[#All],8,FALSE)</f>
        <v>Yes</v>
      </c>
      <c r="J259" t="str">
        <f>VLOOKUP(Table2[[#This Row],[Customer ID]],Table2[#All],9,FALSE)</f>
        <v>Obesity</v>
      </c>
      <c r="K259" t="str">
        <f>VLOOKUP(Table2[[#This Row],[Customer ID]],Table2[#All],10,FALSE)</f>
        <v>Prediabetes</v>
      </c>
    </row>
    <row r="260" spans="1:11" ht="15.6" x14ac:dyDescent="0.3">
      <c r="A260" s="1" t="s">
        <v>2113</v>
      </c>
      <c r="B260" t="str">
        <f>VLOOKUP('Customer Names'!A260,'Customer Names'!$A$1:$E$2336,4,FALSE)</f>
        <v>Mr.  Jason</v>
      </c>
      <c r="C260">
        <f>VLOOKUP(Table2[[#This Row],[Customer ID]],Table2[#All],2,FALSE)</f>
        <v>52.81</v>
      </c>
      <c r="D260">
        <f>VLOOKUP(Table2[[#This Row],[Customer ID]],Table2[#All],3,FALSE)</f>
        <v>5.19</v>
      </c>
      <c r="E260" t="str">
        <f>VLOOKUP(Table2[[#This Row],[Customer ID]],Table2[#All],4,FALSE)</f>
        <v>No</v>
      </c>
      <c r="F260" t="str">
        <f>VLOOKUP(Table2[[#This Row],[Customer ID]],Table2[#All],5,FALSE)</f>
        <v>No</v>
      </c>
      <c r="G260" t="str">
        <f>VLOOKUP(Table2[[#This Row],[Customer ID]],Table2[#All],6,FALSE)</f>
        <v>Yes</v>
      </c>
      <c r="H260">
        <f>VLOOKUP(Table2[[#This Row],[Customer ID]],Table2[#All],7,FALSE)</f>
        <v>1</v>
      </c>
      <c r="I260" t="str">
        <f>VLOOKUP(Table2[[#This Row],[Customer ID]],Table2[#All],8,FALSE)</f>
        <v>Yes</v>
      </c>
      <c r="J260" t="str">
        <f>VLOOKUP(Table2[[#This Row],[Customer ID]],Table2[#All],9,FALSE)</f>
        <v>Obesity</v>
      </c>
      <c r="K260" t="str">
        <f>VLOOKUP(Table2[[#This Row],[Customer ID]],Table2[#All],10,FALSE)</f>
        <v>Normal</v>
      </c>
    </row>
    <row r="261" spans="1:11" ht="15.6" x14ac:dyDescent="0.3">
      <c r="A261" s="1" t="s">
        <v>2112</v>
      </c>
      <c r="B261" t="str">
        <f>VLOOKUP('Customer Names'!A261,'Customer Names'!$A$1:$E$2336,4,FALSE)</f>
        <v>Ms.  Megan A.</v>
      </c>
      <c r="C261">
        <f>VLOOKUP(Table2[[#This Row],[Customer ID]],Table2[#All],2,FALSE)</f>
        <v>33.58</v>
      </c>
      <c r="D261">
        <f>VLOOKUP(Table2[[#This Row],[Customer ID]],Table2[#All],3,FALSE)</f>
        <v>5.56</v>
      </c>
      <c r="E261" t="str">
        <f>VLOOKUP(Table2[[#This Row],[Customer ID]],Table2[#All],4,FALSE)</f>
        <v>No</v>
      </c>
      <c r="F261" t="str">
        <f>VLOOKUP(Table2[[#This Row],[Customer ID]],Table2[#All],5,FALSE)</f>
        <v>No</v>
      </c>
      <c r="G261" t="str">
        <f>VLOOKUP(Table2[[#This Row],[Customer ID]],Table2[#All],6,FALSE)</f>
        <v>No</v>
      </c>
      <c r="H261">
        <f>VLOOKUP(Table2[[#This Row],[Customer ID]],Table2[#All],7,FALSE)</f>
        <v>1</v>
      </c>
      <c r="I261" t="str">
        <f>VLOOKUP(Table2[[#This Row],[Customer ID]],Table2[#All],8,FALSE)</f>
        <v>Yes</v>
      </c>
      <c r="J261" t="str">
        <f>VLOOKUP(Table2[[#This Row],[Customer ID]],Table2[#All],9,FALSE)</f>
        <v>Obesity</v>
      </c>
      <c r="K261" t="str">
        <f>VLOOKUP(Table2[[#This Row],[Customer ID]],Table2[#All],10,FALSE)</f>
        <v>Normal</v>
      </c>
    </row>
    <row r="262" spans="1:11" ht="15.6" x14ac:dyDescent="0.3">
      <c r="A262" s="1" t="s">
        <v>2111</v>
      </c>
      <c r="B262" t="str">
        <f>VLOOKUP('Customer Names'!A262,'Customer Names'!$A$1:$E$2336,4,FALSE)</f>
        <v>Mr.  Luke M</v>
      </c>
      <c r="C262">
        <f>VLOOKUP(Table2[[#This Row],[Customer ID]],Table2[#All],2,FALSE)</f>
        <v>30.684999999999999</v>
      </c>
      <c r="D262">
        <f>VLOOKUP(Table2[[#This Row],[Customer ID]],Table2[#All],3,FALSE)</f>
        <v>8.23</v>
      </c>
      <c r="E262" t="str">
        <f>VLOOKUP(Table2[[#This Row],[Customer ID]],Table2[#All],4,FALSE)</f>
        <v>No</v>
      </c>
      <c r="F262" t="str">
        <f>VLOOKUP(Table2[[#This Row],[Customer ID]],Table2[#All],5,FALSE)</f>
        <v>No</v>
      </c>
      <c r="G262" t="str">
        <f>VLOOKUP(Table2[[#This Row],[Customer ID]],Table2[#All],6,FALSE)</f>
        <v>No</v>
      </c>
      <c r="H262">
        <f>VLOOKUP(Table2[[#This Row],[Customer ID]],Table2[#All],7,FALSE)</f>
        <v>0</v>
      </c>
      <c r="I262" t="str">
        <f>VLOOKUP(Table2[[#This Row],[Customer ID]],Table2[#All],8,FALSE)</f>
        <v>Yes</v>
      </c>
      <c r="J262" t="str">
        <f>VLOOKUP(Table2[[#This Row],[Customer ID]],Table2[#All],9,FALSE)</f>
        <v>Obesity</v>
      </c>
      <c r="K262" t="str">
        <f>VLOOKUP(Table2[[#This Row],[Customer ID]],Table2[#All],10,FALSE)</f>
        <v>Diabetes</v>
      </c>
    </row>
    <row r="263" spans="1:11" ht="15.6" x14ac:dyDescent="0.3">
      <c r="A263" s="1" t="s">
        <v>2110</v>
      </c>
      <c r="B263" t="str">
        <f>VLOOKUP('Customer Names'!A263,'Customer Names'!$A$1:$E$2336,4,FALSE)</f>
        <v>Ms.  Jacy D</v>
      </c>
      <c r="C263">
        <f>VLOOKUP(Table2[[#This Row],[Customer ID]],Table2[#All],2,FALSE)</f>
        <v>37.524999999999999</v>
      </c>
      <c r="D263">
        <f>VLOOKUP(Table2[[#This Row],[Customer ID]],Table2[#All],3,FALSE)</f>
        <v>9.0299999999999994</v>
      </c>
      <c r="E263" t="str">
        <f>VLOOKUP(Table2[[#This Row],[Customer ID]],Table2[#All],4,FALSE)</f>
        <v>Yes</v>
      </c>
      <c r="F263" t="str">
        <f>VLOOKUP(Table2[[#This Row],[Customer ID]],Table2[#All],5,FALSE)</f>
        <v>No</v>
      </c>
      <c r="G263" t="str">
        <f>VLOOKUP(Table2[[#This Row],[Customer ID]],Table2[#All],6,FALSE)</f>
        <v>No</v>
      </c>
      <c r="H263">
        <f>VLOOKUP(Table2[[#This Row],[Customer ID]],Table2[#All],7,FALSE)</f>
        <v>2</v>
      </c>
      <c r="I263" t="str">
        <f>VLOOKUP(Table2[[#This Row],[Customer ID]],Table2[#All],8,FALSE)</f>
        <v>No</v>
      </c>
      <c r="J263" t="str">
        <f>VLOOKUP(Table2[[#This Row],[Customer ID]],Table2[#All],9,FALSE)</f>
        <v>Obesity</v>
      </c>
      <c r="K263" t="str">
        <f>VLOOKUP(Table2[[#This Row],[Customer ID]],Table2[#All],10,FALSE)</f>
        <v>Diabetes</v>
      </c>
    </row>
    <row r="264" spans="1:11" ht="15.6" x14ac:dyDescent="0.3">
      <c r="A264" s="1" t="s">
        <v>2109</v>
      </c>
      <c r="B264" t="str">
        <f>VLOOKUP('Customer Names'!A264,'Customer Names'!$A$1:$E$2336,4,FALSE)</f>
        <v>Mr.  Simon G.</v>
      </c>
      <c r="C264">
        <f>VLOOKUP(Table2[[#This Row],[Customer ID]],Table2[#All],2,FALSE)</f>
        <v>34.5</v>
      </c>
      <c r="D264">
        <f>VLOOKUP(Table2[[#This Row],[Customer ID]],Table2[#All],3,FALSE)</f>
        <v>4.07</v>
      </c>
      <c r="E264" t="str">
        <f>VLOOKUP(Table2[[#This Row],[Customer ID]],Table2[#All],4,FALSE)</f>
        <v>Yes</v>
      </c>
      <c r="F264" t="str">
        <f>VLOOKUP(Table2[[#This Row],[Customer ID]],Table2[#All],5,FALSE)</f>
        <v>No</v>
      </c>
      <c r="G264" t="str">
        <f>VLOOKUP(Table2[[#This Row],[Customer ID]],Table2[#All],6,FALSE)</f>
        <v>No</v>
      </c>
      <c r="H264">
        <f>VLOOKUP(Table2[[#This Row],[Customer ID]],Table2[#All],7,FALSE)</f>
        <v>0</v>
      </c>
      <c r="I264" t="str">
        <f>VLOOKUP(Table2[[#This Row],[Customer ID]],Table2[#All],8,FALSE)</f>
        <v>Yes</v>
      </c>
      <c r="J264" t="str">
        <f>VLOOKUP(Table2[[#This Row],[Customer ID]],Table2[#All],9,FALSE)</f>
        <v>Obesity</v>
      </c>
      <c r="K264" t="str">
        <f>VLOOKUP(Table2[[#This Row],[Customer ID]],Table2[#All],10,FALSE)</f>
        <v>Normal</v>
      </c>
    </row>
    <row r="265" spans="1:11" ht="15.6" x14ac:dyDescent="0.3">
      <c r="A265" s="1" t="s">
        <v>2108</v>
      </c>
      <c r="B265" t="str">
        <f>VLOOKUP('Customer Names'!A265,'Customer Names'!$A$1:$E$2336,4,FALSE)</f>
        <v>Ms.  Ainsley E.</v>
      </c>
      <c r="C265">
        <f>VLOOKUP(Table2[[#This Row],[Customer ID]],Table2[#All],2,FALSE)</f>
        <v>28.16</v>
      </c>
      <c r="D265">
        <f>VLOOKUP(Table2[[#This Row],[Customer ID]],Table2[#All],3,FALSE)</f>
        <v>5.77</v>
      </c>
      <c r="E265" t="str">
        <f>VLOOKUP(Table2[[#This Row],[Customer ID]],Table2[#All],4,FALSE)</f>
        <v>No</v>
      </c>
      <c r="F265" t="str">
        <f>VLOOKUP(Table2[[#This Row],[Customer ID]],Table2[#All],5,FALSE)</f>
        <v>No</v>
      </c>
      <c r="G265" t="str">
        <f>VLOOKUP(Table2[[#This Row],[Customer ID]],Table2[#All],6,FALSE)</f>
        <v>No</v>
      </c>
      <c r="H265">
        <f>VLOOKUP(Table2[[#This Row],[Customer ID]],Table2[#All],7,FALSE)</f>
        <v>2</v>
      </c>
      <c r="I265" t="str">
        <f>VLOOKUP(Table2[[#This Row],[Customer ID]],Table2[#All],8,FALSE)</f>
        <v>Yes</v>
      </c>
      <c r="J265" t="str">
        <f>VLOOKUP(Table2[[#This Row],[Customer ID]],Table2[#All],9,FALSE)</f>
        <v>Overweight</v>
      </c>
      <c r="K265" t="str">
        <f>VLOOKUP(Table2[[#This Row],[Customer ID]],Table2[#All],10,FALSE)</f>
        <v>Prediabetes</v>
      </c>
    </row>
    <row r="266" spans="1:11" ht="15.6" x14ac:dyDescent="0.3">
      <c r="A266" s="1" t="s">
        <v>2107</v>
      </c>
      <c r="B266" t="str">
        <f>VLOOKUP('Customer Names'!A266,'Customer Names'!$A$1:$E$2336,4,FALSE)</f>
        <v>Ms.  Erica A.</v>
      </c>
      <c r="C266">
        <f>VLOOKUP(Table2[[#This Row],[Customer ID]],Table2[#All],2,FALSE)</f>
        <v>30.02</v>
      </c>
      <c r="D266">
        <f>VLOOKUP(Table2[[#This Row],[Customer ID]],Table2[#All],3,FALSE)</f>
        <v>5.98</v>
      </c>
      <c r="E266" t="str">
        <f>VLOOKUP(Table2[[#This Row],[Customer ID]],Table2[#All],4,FALSE)</f>
        <v>No</v>
      </c>
      <c r="F266" t="str">
        <f>VLOOKUP(Table2[[#This Row],[Customer ID]],Table2[#All],5,FALSE)</f>
        <v>No</v>
      </c>
      <c r="G266" t="str">
        <f>VLOOKUP(Table2[[#This Row],[Customer ID]],Table2[#All],6,FALSE)</f>
        <v>Yes</v>
      </c>
      <c r="H266">
        <f>VLOOKUP(Table2[[#This Row],[Customer ID]],Table2[#All],7,FALSE)</f>
        <v>1</v>
      </c>
      <c r="I266" t="str">
        <f>VLOOKUP(Table2[[#This Row],[Customer ID]],Table2[#All],8,FALSE)</f>
        <v>Yes</v>
      </c>
      <c r="J266" t="str">
        <f>VLOOKUP(Table2[[#This Row],[Customer ID]],Table2[#All],9,FALSE)</f>
        <v>Obesity</v>
      </c>
      <c r="K266" t="str">
        <f>VLOOKUP(Table2[[#This Row],[Customer ID]],Table2[#All],10,FALSE)</f>
        <v>Prediabetes</v>
      </c>
    </row>
    <row r="267" spans="1:11" ht="15.6" x14ac:dyDescent="0.3">
      <c r="A267" s="1" t="s">
        <v>2106</v>
      </c>
      <c r="B267" t="str">
        <f>VLOOKUP('Customer Names'!A267,'Customer Names'!$A$1:$E$2336,4,FALSE)</f>
        <v>Mr.  Erik</v>
      </c>
      <c r="C267">
        <f>VLOOKUP(Table2[[#This Row],[Customer ID]],Table2[#All],2,FALSE)</f>
        <v>37.82</v>
      </c>
      <c r="D267">
        <f>VLOOKUP(Table2[[#This Row],[Customer ID]],Table2[#All],3,FALSE)</f>
        <v>6.01</v>
      </c>
      <c r="E267" t="str">
        <f>VLOOKUP(Table2[[#This Row],[Customer ID]],Table2[#All],4,FALSE)</f>
        <v>No</v>
      </c>
      <c r="F267" t="str">
        <f>VLOOKUP(Table2[[#This Row],[Customer ID]],Table2[#All],5,FALSE)</f>
        <v>No</v>
      </c>
      <c r="G267" t="str">
        <f>VLOOKUP(Table2[[#This Row],[Customer ID]],Table2[#All],6,FALSE)</f>
        <v>No</v>
      </c>
      <c r="H267">
        <f>VLOOKUP(Table2[[#This Row],[Customer ID]],Table2[#All],7,FALSE)</f>
        <v>0</v>
      </c>
      <c r="I267" t="str">
        <f>VLOOKUP(Table2[[#This Row],[Customer ID]],Table2[#All],8,FALSE)</f>
        <v>Yes</v>
      </c>
      <c r="J267" t="str">
        <f>VLOOKUP(Table2[[#This Row],[Customer ID]],Table2[#All],9,FALSE)</f>
        <v>Obesity</v>
      </c>
      <c r="K267" t="str">
        <f>VLOOKUP(Table2[[#This Row],[Customer ID]],Table2[#All],10,FALSE)</f>
        <v>Prediabetes</v>
      </c>
    </row>
    <row r="268" spans="1:11" ht="15.6" x14ac:dyDescent="0.3">
      <c r="A268" s="1" t="s">
        <v>2105</v>
      </c>
      <c r="B268" t="str">
        <f>VLOOKUP('Customer Names'!A268,'Customer Names'!$A$1:$E$2336,4,FALSE)</f>
        <v>Ms.  Erin C.</v>
      </c>
      <c r="C268">
        <f>VLOOKUP(Table2[[#This Row],[Customer ID]],Table2[#All],2,FALSE)</f>
        <v>33.14</v>
      </c>
      <c r="D268">
        <f>VLOOKUP(Table2[[#This Row],[Customer ID]],Table2[#All],3,FALSE)</f>
        <v>5.67</v>
      </c>
      <c r="E268" t="str">
        <f>VLOOKUP(Table2[[#This Row],[Customer ID]],Table2[#All],4,FALSE)</f>
        <v>Yes</v>
      </c>
      <c r="F268" t="str">
        <f>VLOOKUP(Table2[[#This Row],[Customer ID]],Table2[#All],5,FALSE)</f>
        <v>No</v>
      </c>
      <c r="G268" t="str">
        <f>VLOOKUP(Table2[[#This Row],[Customer ID]],Table2[#All],6,FALSE)</f>
        <v>No</v>
      </c>
      <c r="H268">
        <f>VLOOKUP(Table2[[#This Row],[Customer ID]],Table2[#All],7,FALSE)</f>
        <v>0</v>
      </c>
      <c r="I268" t="str">
        <f>VLOOKUP(Table2[[#This Row],[Customer ID]],Table2[#All],8,FALSE)</f>
        <v>Yes</v>
      </c>
      <c r="J268" t="str">
        <f>VLOOKUP(Table2[[#This Row],[Customer ID]],Table2[#All],9,FALSE)</f>
        <v>Obesity</v>
      </c>
      <c r="K268" t="str">
        <f>VLOOKUP(Table2[[#This Row],[Customer ID]],Table2[#All],10,FALSE)</f>
        <v>Normal</v>
      </c>
    </row>
    <row r="269" spans="1:11" ht="15.6" x14ac:dyDescent="0.3">
      <c r="A269" s="1" t="s">
        <v>2104</v>
      </c>
      <c r="B269" t="str">
        <f>VLOOKUP('Customer Names'!A269,'Customer Names'!$A$1:$E$2336,4,FALSE)</f>
        <v>Ms.  Adrienne</v>
      </c>
      <c r="C269">
        <f>VLOOKUP(Table2[[#This Row],[Customer ID]],Table2[#All],2,FALSE)</f>
        <v>25.14</v>
      </c>
      <c r="D269">
        <f>VLOOKUP(Table2[[#This Row],[Customer ID]],Table2[#All],3,FALSE)</f>
        <v>6.02</v>
      </c>
      <c r="E269" t="str">
        <f>VLOOKUP(Table2[[#This Row],[Customer ID]],Table2[#All],4,FALSE)</f>
        <v>Yes</v>
      </c>
      <c r="F269" t="str">
        <f>VLOOKUP(Table2[[#This Row],[Customer ID]],Table2[#All],5,FALSE)</f>
        <v>No</v>
      </c>
      <c r="G269" t="str">
        <f>VLOOKUP(Table2[[#This Row],[Customer ID]],Table2[#All],6,FALSE)</f>
        <v>Yes</v>
      </c>
      <c r="H269">
        <f>VLOOKUP(Table2[[#This Row],[Customer ID]],Table2[#All],7,FALSE)</f>
        <v>1</v>
      </c>
      <c r="I269" t="str">
        <f>VLOOKUP(Table2[[#This Row],[Customer ID]],Table2[#All],8,FALSE)</f>
        <v>Yes</v>
      </c>
      <c r="J269" t="str">
        <f>VLOOKUP(Table2[[#This Row],[Customer ID]],Table2[#All],9,FALSE)</f>
        <v>Overweight</v>
      </c>
      <c r="K269" t="str">
        <f>VLOOKUP(Table2[[#This Row],[Customer ID]],Table2[#All],10,FALSE)</f>
        <v>Prediabetes</v>
      </c>
    </row>
    <row r="270" spans="1:11" ht="15.6" x14ac:dyDescent="0.3">
      <c r="A270" s="1" t="s">
        <v>2103</v>
      </c>
      <c r="B270" t="str">
        <f>VLOOKUP('Customer Names'!A270,'Customer Names'!$A$1:$E$2336,4,FALSE)</f>
        <v>Mr.  Adam</v>
      </c>
      <c r="C270">
        <f>VLOOKUP(Table2[[#This Row],[Customer ID]],Table2[#All],2,FALSE)</f>
        <v>20.18</v>
      </c>
      <c r="D270">
        <f>VLOOKUP(Table2[[#This Row],[Customer ID]],Table2[#All],3,FALSE)</f>
        <v>11.19</v>
      </c>
      <c r="E270" t="str">
        <f>VLOOKUP(Table2[[#This Row],[Customer ID]],Table2[#All],4,FALSE)</f>
        <v>No</v>
      </c>
      <c r="F270" t="str">
        <f>VLOOKUP(Table2[[#This Row],[Customer ID]],Table2[#All],5,FALSE)</f>
        <v>No</v>
      </c>
      <c r="G270" t="str">
        <f>VLOOKUP(Table2[[#This Row],[Customer ID]],Table2[#All],6,FALSE)</f>
        <v>No</v>
      </c>
      <c r="H270">
        <f>VLOOKUP(Table2[[#This Row],[Customer ID]],Table2[#All],7,FALSE)</f>
        <v>0</v>
      </c>
      <c r="I270" t="str">
        <f>VLOOKUP(Table2[[#This Row],[Customer ID]],Table2[#All],8,FALSE)</f>
        <v>Yes</v>
      </c>
      <c r="J270" t="str">
        <f>VLOOKUP(Table2[[#This Row],[Customer ID]],Table2[#All],9,FALSE)</f>
        <v>Normalweight</v>
      </c>
      <c r="K270" t="str">
        <f>VLOOKUP(Table2[[#This Row],[Customer ID]],Table2[#All],10,FALSE)</f>
        <v>Diabetes</v>
      </c>
    </row>
    <row r="271" spans="1:11" ht="15.6" x14ac:dyDescent="0.3">
      <c r="A271" s="1" t="s">
        <v>2102</v>
      </c>
      <c r="B271" t="str">
        <f>VLOOKUP('Customer Names'!A271,'Customer Names'!$A$1:$E$2336,4,FALSE)</f>
        <v>Mr.  Yutaka</v>
      </c>
      <c r="C271">
        <f>VLOOKUP(Table2[[#This Row],[Customer ID]],Table2[#All],2,FALSE)</f>
        <v>44.36</v>
      </c>
      <c r="D271">
        <f>VLOOKUP(Table2[[#This Row],[Customer ID]],Table2[#All],3,FALSE)</f>
        <v>5.1100000000000003</v>
      </c>
      <c r="E271" t="str">
        <f>VLOOKUP(Table2[[#This Row],[Customer ID]],Table2[#All],4,FALSE)</f>
        <v>No</v>
      </c>
      <c r="F271" t="str">
        <f>VLOOKUP(Table2[[#This Row],[Customer ID]],Table2[#All],5,FALSE)</f>
        <v>No</v>
      </c>
      <c r="G271" t="str">
        <f>VLOOKUP(Table2[[#This Row],[Customer ID]],Table2[#All],6,FALSE)</f>
        <v>No</v>
      </c>
      <c r="H271">
        <f>VLOOKUP(Table2[[#This Row],[Customer ID]],Table2[#All],7,FALSE)</f>
        <v>0</v>
      </c>
      <c r="I271" t="str">
        <f>VLOOKUP(Table2[[#This Row],[Customer ID]],Table2[#All],8,FALSE)</f>
        <v>Yes</v>
      </c>
      <c r="J271" t="str">
        <f>VLOOKUP(Table2[[#This Row],[Customer ID]],Table2[#All],9,FALSE)</f>
        <v>Obesity</v>
      </c>
      <c r="K271" t="str">
        <f>VLOOKUP(Table2[[#This Row],[Customer ID]],Table2[#All],10,FALSE)</f>
        <v>Normal</v>
      </c>
    </row>
    <row r="272" spans="1:11" ht="15.6" x14ac:dyDescent="0.3">
      <c r="A272" s="1" t="s">
        <v>2101</v>
      </c>
      <c r="B272" t="str">
        <f>VLOOKUP('Customer Names'!A272,'Customer Names'!$A$1:$E$2336,4,FALSE)</f>
        <v>Mr.  Tyler M</v>
      </c>
      <c r="C272">
        <f>VLOOKUP(Table2[[#This Row],[Customer ID]],Table2[#All],2,FALSE)</f>
        <v>23.82</v>
      </c>
      <c r="D272">
        <f>VLOOKUP(Table2[[#This Row],[Customer ID]],Table2[#All],3,FALSE)</f>
        <v>10.85</v>
      </c>
      <c r="E272" t="str">
        <f>VLOOKUP(Table2[[#This Row],[Customer ID]],Table2[#All],4,FALSE)</f>
        <v>Yes</v>
      </c>
      <c r="F272" t="str">
        <f>VLOOKUP(Table2[[#This Row],[Customer ID]],Table2[#All],5,FALSE)</f>
        <v>No</v>
      </c>
      <c r="G272" t="str">
        <f>VLOOKUP(Table2[[#This Row],[Customer ID]],Table2[#All],6,FALSE)</f>
        <v>No</v>
      </c>
      <c r="H272">
        <f>VLOOKUP(Table2[[#This Row],[Customer ID]],Table2[#All],7,FALSE)</f>
        <v>0</v>
      </c>
      <c r="I272" t="str">
        <f>VLOOKUP(Table2[[#This Row],[Customer ID]],Table2[#All],8,FALSE)</f>
        <v>Yes</v>
      </c>
      <c r="J272" t="str">
        <f>VLOOKUP(Table2[[#This Row],[Customer ID]],Table2[#All],9,FALSE)</f>
        <v>Normalweight</v>
      </c>
      <c r="K272" t="str">
        <f>VLOOKUP(Table2[[#This Row],[Customer ID]],Table2[#All],10,FALSE)</f>
        <v>Diabetes</v>
      </c>
    </row>
    <row r="273" spans="1:11" ht="15.6" x14ac:dyDescent="0.3">
      <c r="A273" s="1" t="s">
        <v>2100</v>
      </c>
      <c r="B273" t="str">
        <f>VLOOKUP('Customer Names'!A273,'Customer Names'!$A$1:$E$2336,4,FALSE)</f>
        <v>Mr.  Stephen</v>
      </c>
      <c r="C273">
        <f>VLOOKUP(Table2[[#This Row],[Customer ID]],Table2[#All],2,FALSE)</f>
        <v>45</v>
      </c>
      <c r="D273">
        <f>VLOOKUP(Table2[[#This Row],[Customer ID]],Table2[#All],3,FALSE)</f>
        <v>5.24</v>
      </c>
      <c r="E273" t="str">
        <f>VLOOKUP(Table2[[#This Row],[Customer ID]],Table2[#All],4,FALSE)</f>
        <v>Yes</v>
      </c>
      <c r="F273" t="str">
        <f>VLOOKUP(Table2[[#This Row],[Customer ID]],Table2[#All],5,FALSE)</f>
        <v>No</v>
      </c>
      <c r="G273" t="str">
        <f>VLOOKUP(Table2[[#This Row],[Customer ID]],Table2[#All],6,FALSE)</f>
        <v>No</v>
      </c>
      <c r="H273">
        <f>VLOOKUP(Table2[[#This Row],[Customer ID]],Table2[#All],7,FALSE)</f>
        <v>1</v>
      </c>
      <c r="I273" t="str">
        <f>VLOOKUP(Table2[[#This Row],[Customer ID]],Table2[#All],8,FALSE)</f>
        <v>Yes</v>
      </c>
      <c r="J273" t="str">
        <f>VLOOKUP(Table2[[#This Row],[Customer ID]],Table2[#All],9,FALSE)</f>
        <v>Obesity</v>
      </c>
      <c r="K273" t="str">
        <f>VLOOKUP(Table2[[#This Row],[Customer ID]],Table2[#All],10,FALSE)</f>
        <v>Normal</v>
      </c>
    </row>
    <row r="274" spans="1:11" ht="15.6" x14ac:dyDescent="0.3">
      <c r="A274" s="1" t="s">
        <v>2099</v>
      </c>
      <c r="B274" t="str">
        <f>VLOOKUP('Customer Names'!A274,'Customer Names'!$A$1:$E$2336,4,FALSE)</f>
        <v>Mr.  Andrew B.</v>
      </c>
      <c r="C274">
        <f>VLOOKUP(Table2[[#This Row],[Customer ID]],Table2[#All],2,FALSE)</f>
        <v>26.62</v>
      </c>
      <c r="D274">
        <f>VLOOKUP(Table2[[#This Row],[Customer ID]],Table2[#All],3,FALSE)</f>
        <v>10.08</v>
      </c>
      <c r="E274" t="str">
        <f>VLOOKUP(Table2[[#This Row],[Customer ID]],Table2[#All],4,FALSE)</f>
        <v>No</v>
      </c>
      <c r="F274" t="str">
        <f>VLOOKUP(Table2[[#This Row],[Customer ID]],Table2[#All],5,FALSE)</f>
        <v>No</v>
      </c>
      <c r="G274" t="str">
        <f>VLOOKUP(Table2[[#This Row],[Customer ID]],Table2[#All],6,FALSE)</f>
        <v>No</v>
      </c>
      <c r="H274">
        <f>VLOOKUP(Table2[[#This Row],[Customer ID]],Table2[#All],7,FALSE)</f>
        <v>0</v>
      </c>
      <c r="I274" t="str">
        <f>VLOOKUP(Table2[[#This Row],[Customer ID]],Table2[#All],8,FALSE)</f>
        <v>Yes</v>
      </c>
      <c r="J274" t="str">
        <f>VLOOKUP(Table2[[#This Row],[Customer ID]],Table2[#All],9,FALSE)</f>
        <v>Overweight</v>
      </c>
      <c r="K274" t="str">
        <f>VLOOKUP(Table2[[#This Row],[Customer ID]],Table2[#All],10,FALSE)</f>
        <v>Diabetes</v>
      </c>
    </row>
    <row r="275" spans="1:11" ht="15.6" x14ac:dyDescent="0.3">
      <c r="A275" s="1" t="s">
        <v>2098</v>
      </c>
      <c r="B275" t="str">
        <f>VLOOKUP('Customer Names'!A275,'Customer Names'!$A$1:$E$2336,4,FALSE)</f>
        <v>Mr.  James</v>
      </c>
      <c r="C275">
        <f>VLOOKUP(Table2[[#This Row],[Customer ID]],Table2[#All],2,FALSE)</f>
        <v>32.67</v>
      </c>
      <c r="D275">
        <f>VLOOKUP(Table2[[#This Row],[Customer ID]],Table2[#All],3,FALSE)</f>
        <v>10.97</v>
      </c>
      <c r="E275" t="str">
        <f>VLOOKUP(Table2[[#This Row],[Customer ID]],Table2[#All],4,FALSE)</f>
        <v>Yes</v>
      </c>
      <c r="F275" t="str">
        <f>VLOOKUP(Table2[[#This Row],[Customer ID]],Table2[#All],5,FALSE)</f>
        <v>No</v>
      </c>
      <c r="G275" t="str">
        <f>VLOOKUP(Table2[[#This Row],[Customer ID]],Table2[#All],6,FALSE)</f>
        <v>No</v>
      </c>
      <c r="H275">
        <f>VLOOKUP(Table2[[#This Row],[Customer ID]],Table2[#All],7,FALSE)</f>
        <v>0</v>
      </c>
      <c r="I275" t="str">
        <f>VLOOKUP(Table2[[#This Row],[Customer ID]],Table2[#All],8,FALSE)</f>
        <v>Yes</v>
      </c>
      <c r="J275" t="str">
        <f>VLOOKUP(Table2[[#This Row],[Customer ID]],Table2[#All],9,FALSE)</f>
        <v>Obesity</v>
      </c>
      <c r="K275" t="str">
        <f>VLOOKUP(Table2[[#This Row],[Customer ID]],Table2[#All],10,FALSE)</f>
        <v>Diabetes</v>
      </c>
    </row>
    <row r="276" spans="1:11" ht="15.6" x14ac:dyDescent="0.3">
      <c r="A276" s="1" t="s">
        <v>2097</v>
      </c>
      <c r="B276" t="str">
        <f>VLOOKUP('Customer Names'!A276,'Customer Names'!$A$1:$E$2336,4,FALSE)</f>
        <v>Mr.  Shawn P.</v>
      </c>
      <c r="C276">
        <f>VLOOKUP(Table2[[#This Row],[Customer ID]],Table2[#All],2,FALSE)</f>
        <v>44.44</v>
      </c>
      <c r="D276">
        <f>VLOOKUP(Table2[[#This Row],[Customer ID]],Table2[#All],3,FALSE)</f>
        <v>4.9000000000000004</v>
      </c>
      <c r="E276" t="str">
        <f>VLOOKUP(Table2[[#This Row],[Customer ID]],Table2[#All],4,FALSE)</f>
        <v>Yes</v>
      </c>
      <c r="F276" t="str">
        <f>VLOOKUP(Table2[[#This Row],[Customer ID]],Table2[#All],5,FALSE)</f>
        <v>No</v>
      </c>
      <c r="G276" t="str">
        <f>VLOOKUP(Table2[[#This Row],[Customer ID]],Table2[#All],6,FALSE)</f>
        <v>No</v>
      </c>
      <c r="H276">
        <f>VLOOKUP(Table2[[#This Row],[Customer ID]],Table2[#All],7,FALSE)</f>
        <v>1</v>
      </c>
      <c r="I276" t="str">
        <f>VLOOKUP(Table2[[#This Row],[Customer ID]],Table2[#All],8,FALSE)</f>
        <v>Yes</v>
      </c>
      <c r="J276" t="str">
        <f>VLOOKUP(Table2[[#This Row],[Customer ID]],Table2[#All],9,FALSE)</f>
        <v>Obesity</v>
      </c>
      <c r="K276" t="str">
        <f>VLOOKUP(Table2[[#This Row],[Customer ID]],Table2[#All],10,FALSE)</f>
        <v>Normal</v>
      </c>
    </row>
    <row r="277" spans="1:11" ht="15.6" x14ac:dyDescent="0.3">
      <c r="A277" s="1" t="s">
        <v>2096</v>
      </c>
      <c r="B277" t="str">
        <f>VLOOKUP('Customer Names'!A277,'Customer Names'!$A$1:$E$2336,4,FALSE)</f>
        <v>Mr.  Matt</v>
      </c>
      <c r="C277">
        <f>VLOOKUP(Table2[[#This Row],[Customer ID]],Table2[#All],2,FALSE)</f>
        <v>28.31</v>
      </c>
      <c r="D277">
        <f>VLOOKUP(Table2[[#This Row],[Customer ID]],Table2[#All],3,FALSE)</f>
        <v>5.33</v>
      </c>
      <c r="E277" t="str">
        <f>VLOOKUP(Table2[[#This Row],[Customer ID]],Table2[#All],4,FALSE)</f>
        <v>No</v>
      </c>
      <c r="F277" t="str">
        <f>VLOOKUP(Table2[[#This Row],[Customer ID]],Table2[#All],5,FALSE)</f>
        <v>No</v>
      </c>
      <c r="G277" t="str">
        <f>VLOOKUP(Table2[[#This Row],[Customer ID]],Table2[#All],6,FALSE)</f>
        <v>No</v>
      </c>
      <c r="H277">
        <f>VLOOKUP(Table2[[#This Row],[Customer ID]],Table2[#All],7,FALSE)</f>
        <v>0</v>
      </c>
      <c r="I277" t="str">
        <f>VLOOKUP(Table2[[#This Row],[Customer ID]],Table2[#All],8,FALSE)</f>
        <v>Yes</v>
      </c>
      <c r="J277" t="str">
        <f>VLOOKUP(Table2[[#This Row],[Customer ID]],Table2[#All],9,FALSE)</f>
        <v>Overweight</v>
      </c>
      <c r="K277" t="str">
        <f>VLOOKUP(Table2[[#This Row],[Customer ID]],Table2[#All],10,FALSE)</f>
        <v>Normal</v>
      </c>
    </row>
    <row r="278" spans="1:11" ht="15.6" x14ac:dyDescent="0.3">
      <c r="A278" s="1" t="s">
        <v>2095</v>
      </c>
      <c r="B278" t="str">
        <f>VLOOKUP('Customer Names'!A278,'Customer Names'!$A$1:$E$2336,4,FALSE)</f>
        <v>Mr.  Nathaniel</v>
      </c>
      <c r="C278">
        <f>VLOOKUP(Table2[[#This Row],[Customer ID]],Table2[#All],2,FALSE)</f>
        <v>25.05</v>
      </c>
      <c r="D278">
        <f>VLOOKUP(Table2[[#This Row],[Customer ID]],Table2[#All],3,FALSE)</f>
        <v>4.6100000000000003</v>
      </c>
      <c r="E278" t="str">
        <f>VLOOKUP(Table2[[#This Row],[Customer ID]],Table2[#All],4,FALSE)</f>
        <v>No</v>
      </c>
      <c r="F278" t="str">
        <f>VLOOKUP(Table2[[#This Row],[Customer ID]],Table2[#All],5,FALSE)</f>
        <v>No</v>
      </c>
      <c r="G278" t="str">
        <f>VLOOKUP(Table2[[#This Row],[Customer ID]],Table2[#All],6,FALSE)</f>
        <v>No</v>
      </c>
      <c r="H278">
        <f>VLOOKUP(Table2[[#This Row],[Customer ID]],Table2[#All],7,FALSE)</f>
        <v>2</v>
      </c>
      <c r="I278" t="str">
        <f>VLOOKUP(Table2[[#This Row],[Customer ID]],Table2[#All],8,FALSE)</f>
        <v>Yes</v>
      </c>
      <c r="J278" t="str">
        <f>VLOOKUP(Table2[[#This Row],[Customer ID]],Table2[#All],9,FALSE)</f>
        <v>Overweight</v>
      </c>
      <c r="K278" t="str">
        <f>VLOOKUP(Table2[[#This Row],[Customer ID]],Table2[#All],10,FALSE)</f>
        <v>Normal</v>
      </c>
    </row>
    <row r="279" spans="1:11" ht="15.6" x14ac:dyDescent="0.3">
      <c r="A279" s="1" t="s">
        <v>2094</v>
      </c>
      <c r="B279" t="str">
        <f>VLOOKUP('Customer Names'!A279,'Customer Names'!$A$1:$E$2336,4,FALSE)</f>
        <v>Mr.  Kevin D.</v>
      </c>
      <c r="C279">
        <f>VLOOKUP(Table2[[#This Row],[Customer ID]],Table2[#All],2,FALSE)</f>
        <v>28.34</v>
      </c>
      <c r="D279">
        <f>VLOOKUP(Table2[[#This Row],[Customer ID]],Table2[#All],3,FALSE)</f>
        <v>8.18</v>
      </c>
      <c r="E279" t="str">
        <f>VLOOKUP(Table2[[#This Row],[Customer ID]],Table2[#All],4,FALSE)</f>
        <v>No</v>
      </c>
      <c r="F279" t="str">
        <f>VLOOKUP(Table2[[#This Row],[Customer ID]],Table2[#All],5,FALSE)</f>
        <v>No</v>
      </c>
      <c r="G279" t="str">
        <f>VLOOKUP(Table2[[#This Row],[Customer ID]],Table2[#All],6,FALSE)</f>
        <v>No</v>
      </c>
      <c r="H279">
        <f>VLOOKUP(Table2[[#This Row],[Customer ID]],Table2[#All],7,FALSE)</f>
        <v>0</v>
      </c>
      <c r="I279" t="str">
        <f>VLOOKUP(Table2[[#This Row],[Customer ID]],Table2[#All],8,FALSE)</f>
        <v>Yes</v>
      </c>
      <c r="J279" t="str">
        <f>VLOOKUP(Table2[[#This Row],[Customer ID]],Table2[#All],9,FALSE)</f>
        <v>Overweight</v>
      </c>
      <c r="K279" t="str">
        <f>VLOOKUP(Table2[[#This Row],[Customer ID]],Table2[#All],10,FALSE)</f>
        <v>Diabetes</v>
      </c>
    </row>
    <row r="280" spans="1:11" ht="15.6" x14ac:dyDescent="0.3">
      <c r="A280" s="1" t="s">
        <v>2093</v>
      </c>
      <c r="B280" t="str">
        <f>VLOOKUP('Customer Names'!A280,'Customer Names'!$A$1:$E$2336,4,FALSE)</f>
        <v>Ms.  Joan</v>
      </c>
      <c r="C280">
        <f>VLOOKUP(Table2[[#This Row],[Customer ID]],Table2[#All],2,FALSE)</f>
        <v>17.765000000000001</v>
      </c>
      <c r="D280">
        <f>VLOOKUP(Table2[[#This Row],[Customer ID]],Table2[#All],3,FALSE)</f>
        <v>5.62</v>
      </c>
      <c r="E280" t="str">
        <f>VLOOKUP(Table2[[#This Row],[Customer ID]],Table2[#All],4,FALSE)</f>
        <v>No</v>
      </c>
      <c r="F280" t="str">
        <f>VLOOKUP(Table2[[#This Row],[Customer ID]],Table2[#All],5,FALSE)</f>
        <v>No</v>
      </c>
      <c r="G280" t="str">
        <f>VLOOKUP(Table2[[#This Row],[Customer ID]],Table2[#All],6,FALSE)</f>
        <v>No</v>
      </c>
      <c r="H280">
        <f>VLOOKUP(Table2[[#This Row],[Customer ID]],Table2[#All],7,FALSE)</f>
        <v>0</v>
      </c>
      <c r="I280" t="str">
        <f>VLOOKUP(Table2[[#This Row],[Customer ID]],Table2[#All],8,FALSE)</f>
        <v>Yes</v>
      </c>
      <c r="J280" t="str">
        <f>VLOOKUP(Table2[[#This Row],[Customer ID]],Table2[#All],9,FALSE)</f>
        <v>Underweight</v>
      </c>
      <c r="K280" t="str">
        <f>VLOOKUP(Table2[[#This Row],[Customer ID]],Table2[#All],10,FALSE)</f>
        <v>Normal</v>
      </c>
    </row>
    <row r="281" spans="1:11" ht="15.6" x14ac:dyDescent="0.3">
      <c r="A281" s="1" t="s">
        <v>2092</v>
      </c>
      <c r="B281" t="str">
        <f>VLOOKUP('Customer Names'!A281,'Customer Names'!$A$1:$E$2336,4,FALSE)</f>
        <v>Mr.  Christopher A</v>
      </c>
      <c r="C281">
        <f>VLOOKUP(Table2[[#This Row],[Customer ID]],Table2[#All],2,FALSE)</f>
        <v>36.119999999999997</v>
      </c>
      <c r="D281">
        <f>VLOOKUP(Table2[[#This Row],[Customer ID]],Table2[#All],3,FALSE)</f>
        <v>5.82</v>
      </c>
      <c r="E281" t="str">
        <f>VLOOKUP(Table2[[#This Row],[Customer ID]],Table2[#All],4,FALSE)</f>
        <v>No</v>
      </c>
      <c r="F281" t="str">
        <f>VLOOKUP(Table2[[#This Row],[Customer ID]],Table2[#All],5,FALSE)</f>
        <v>No</v>
      </c>
      <c r="G281" t="str">
        <f>VLOOKUP(Table2[[#This Row],[Customer ID]],Table2[#All],6,FALSE)</f>
        <v>No</v>
      </c>
      <c r="H281">
        <f>VLOOKUP(Table2[[#This Row],[Customer ID]],Table2[#All],7,FALSE)</f>
        <v>0</v>
      </c>
      <c r="I281" t="str">
        <f>VLOOKUP(Table2[[#This Row],[Customer ID]],Table2[#All],8,FALSE)</f>
        <v>Yes</v>
      </c>
      <c r="J281" t="str">
        <f>VLOOKUP(Table2[[#This Row],[Customer ID]],Table2[#All],9,FALSE)</f>
        <v>Obesity</v>
      </c>
      <c r="K281" t="str">
        <f>VLOOKUP(Table2[[#This Row],[Customer ID]],Table2[#All],10,FALSE)</f>
        <v>Prediabetes</v>
      </c>
    </row>
    <row r="282" spans="1:11" ht="15.6" x14ac:dyDescent="0.3">
      <c r="A282" s="1" t="s">
        <v>2091</v>
      </c>
      <c r="B282" t="str">
        <f>VLOOKUP('Customer Names'!A282,'Customer Names'!$A$1:$E$2336,4,FALSE)</f>
        <v>Ms.  Kacy L.</v>
      </c>
      <c r="C282">
        <f>VLOOKUP(Table2[[#This Row],[Customer ID]],Table2[#All],2,FALSE)</f>
        <v>23.19</v>
      </c>
      <c r="D282">
        <f>VLOOKUP(Table2[[#This Row],[Customer ID]],Table2[#All],3,FALSE)</f>
        <v>7.66</v>
      </c>
      <c r="E282" t="str">
        <f>VLOOKUP(Table2[[#This Row],[Customer ID]],Table2[#All],4,FALSE)</f>
        <v>No</v>
      </c>
      <c r="F282" t="str">
        <f>VLOOKUP(Table2[[#This Row],[Customer ID]],Table2[#All],5,FALSE)</f>
        <v>No</v>
      </c>
      <c r="G282" t="str">
        <f>VLOOKUP(Table2[[#This Row],[Customer ID]],Table2[#All],6,FALSE)</f>
        <v>No</v>
      </c>
      <c r="H282">
        <f>VLOOKUP(Table2[[#This Row],[Customer ID]],Table2[#All],7,FALSE)</f>
        <v>0</v>
      </c>
      <c r="I282" t="str">
        <f>VLOOKUP(Table2[[#This Row],[Customer ID]],Table2[#All],8,FALSE)</f>
        <v>Yes</v>
      </c>
      <c r="J282" t="str">
        <f>VLOOKUP(Table2[[#This Row],[Customer ID]],Table2[#All],9,FALSE)</f>
        <v>Normalweight</v>
      </c>
      <c r="K282" t="str">
        <f>VLOOKUP(Table2[[#This Row],[Customer ID]],Table2[#All],10,FALSE)</f>
        <v>Diabetes</v>
      </c>
    </row>
    <row r="283" spans="1:11" ht="15.6" x14ac:dyDescent="0.3">
      <c r="A283" s="1" t="s">
        <v>2090</v>
      </c>
      <c r="B283" t="str">
        <f>VLOOKUP('Customer Names'!A283,'Customer Names'!$A$1:$E$2336,4,FALSE)</f>
        <v>Mr.  Benjamin H.</v>
      </c>
      <c r="C283">
        <f>VLOOKUP(Table2[[#This Row],[Customer ID]],Table2[#All],2,FALSE)</f>
        <v>35.99</v>
      </c>
      <c r="D283">
        <f>VLOOKUP(Table2[[#This Row],[Customer ID]],Table2[#All],3,FALSE)</f>
        <v>4.2300000000000004</v>
      </c>
      <c r="E283" t="str">
        <f>VLOOKUP(Table2[[#This Row],[Customer ID]],Table2[#All],4,FALSE)</f>
        <v>No</v>
      </c>
      <c r="F283" t="str">
        <f>VLOOKUP(Table2[[#This Row],[Customer ID]],Table2[#All],5,FALSE)</f>
        <v>No</v>
      </c>
      <c r="G283" t="str">
        <f>VLOOKUP(Table2[[#This Row],[Customer ID]],Table2[#All],6,FALSE)</f>
        <v>No</v>
      </c>
      <c r="H283">
        <f>VLOOKUP(Table2[[#This Row],[Customer ID]],Table2[#All],7,FALSE)</f>
        <v>0</v>
      </c>
      <c r="I283" t="str">
        <f>VLOOKUP(Table2[[#This Row],[Customer ID]],Table2[#All],8,FALSE)</f>
        <v>Yes</v>
      </c>
      <c r="J283" t="str">
        <f>VLOOKUP(Table2[[#This Row],[Customer ID]],Table2[#All],9,FALSE)</f>
        <v>Obesity</v>
      </c>
      <c r="K283" t="str">
        <f>VLOOKUP(Table2[[#This Row],[Customer ID]],Table2[#All],10,FALSE)</f>
        <v>Normal</v>
      </c>
    </row>
    <row r="284" spans="1:11" ht="15.6" x14ac:dyDescent="0.3">
      <c r="A284" s="1" t="s">
        <v>2089</v>
      </c>
      <c r="B284" t="str">
        <f>VLOOKUP('Customer Names'!A284,'Customer Names'!$A$1:$E$2336,4,FALSE)</f>
        <v>Mr.  Xaviour J.</v>
      </c>
      <c r="C284">
        <f>VLOOKUP(Table2[[#This Row],[Customer ID]],Table2[#All],2,FALSE)</f>
        <v>30.25</v>
      </c>
      <c r="D284">
        <f>VLOOKUP(Table2[[#This Row],[Customer ID]],Table2[#All],3,FALSE)</f>
        <v>5.58</v>
      </c>
      <c r="E284" t="str">
        <f>VLOOKUP(Table2[[#This Row],[Customer ID]],Table2[#All],4,FALSE)</f>
        <v>No</v>
      </c>
      <c r="F284" t="str">
        <f>VLOOKUP(Table2[[#This Row],[Customer ID]],Table2[#All],5,FALSE)</f>
        <v>No</v>
      </c>
      <c r="G284" t="str">
        <f>VLOOKUP(Table2[[#This Row],[Customer ID]],Table2[#All],6,FALSE)</f>
        <v>Yes</v>
      </c>
      <c r="H284">
        <f>VLOOKUP(Table2[[#This Row],[Customer ID]],Table2[#All],7,FALSE)</f>
        <v>1</v>
      </c>
      <c r="I284" t="str">
        <f>VLOOKUP(Table2[[#This Row],[Customer ID]],Table2[#All],8,FALSE)</f>
        <v>Yes</v>
      </c>
      <c r="J284" t="str">
        <f>VLOOKUP(Table2[[#This Row],[Customer ID]],Table2[#All],9,FALSE)</f>
        <v>Obesity</v>
      </c>
      <c r="K284" t="str">
        <f>VLOOKUP(Table2[[#This Row],[Customer ID]],Table2[#All],10,FALSE)</f>
        <v>Normal</v>
      </c>
    </row>
    <row r="285" spans="1:11" ht="15.6" x14ac:dyDescent="0.3">
      <c r="A285" s="1" t="s">
        <v>2088</v>
      </c>
      <c r="B285" t="str">
        <f>VLOOKUP('Customer Names'!A285,'Customer Names'!$A$1:$E$2336,4,FALSE)</f>
        <v>Mr.  Michael T.</v>
      </c>
      <c r="C285">
        <f>VLOOKUP(Table2[[#This Row],[Customer ID]],Table2[#All],2,FALSE)</f>
        <v>26.24</v>
      </c>
      <c r="D285">
        <f>VLOOKUP(Table2[[#This Row],[Customer ID]],Table2[#All],3,FALSE)</f>
        <v>6.26</v>
      </c>
      <c r="E285" t="str">
        <f>VLOOKUP(Table2[[#This Row],[Customer ID]],Table2[#All],4,FALSE)</f>
        <v>Yes</v>
      </c>
      <c r="F285" t="str">
        <f>VLOOKUP(Table2[[#This Row],[Customer ID]],Table2[#All],5,FALSE)</f>
        <v>No</v>
      </c>
      <c r="G285" t="str">
        <f>VLOOKUP(Table2[[#This Row],[Customer ID]],Table2[#All],6,FALSE)</f>
        <v>No</v>
      </c>
      <c r="H285">
        <f>VLOOKUP(Table2[[#This Row],[Customer ID]],Table2[#All],7,FALSE)</f>
        <v>0</v>
      </c>
      <c r="I285" t="str">
        <f>VLOOKUP(Table2[[#This Row],[Customer ID]],Table2[#All],8,FALSE)</f>
        <v>Yes</v>
      </c>
      <c r="J285" t="str">
        <f>VLOOKUP(Table2[[#This Row],[Customer ID]],Table2[#All],9,FALSE)</f>
        <v>Overweight</v>
      </c>
      <c r="K285" t="str">
        <f>VLOOKUP(Table2[[#This Row],[Customer ID]],Table2[#All],10,FALSE)</f>
        <v>Prediabetes</v>
      </c>
    </row>
    <row r="286" spans="1:11" ht="15.6" x14ac:dyDescent="0.3">
      <c r="A286" s="1" t="s">
        <v>2087</v>
      </c>
      <c r="B286" t="str">
        <f>VLOOKUP('Customer Names'!A286,'Customer Names'!$A$1:$E$2336,4,FALSE)</f>
        <v>Mr.  Bradley</v>
      </c>
      <c r="C286">
        <f>VLOOKUP(Table2[[#This Row],[Customer ID]],Table2[#All],2,FALSE)</f>
        <v>31.36</v>
      </c>
      <c r="D286">
        <f>VLOOKUP(Table2[[#This Row],[Customer ID]],Table2[#All],3,FALSE)</f>
        <v>10.6</v>
      </c>
      <c r="E286" t="str">
        <f>VLOOKUP(Table2[[#This Row],[Customer ID]],Table2[#All],4,FALSE)</f>
        <v>Yes</v>
      </c>
      <c r="F286" t="str">
        <f>VLOOKUP(Table2[[#This Row],[Customer ID]],Table2[#All],5,FALSE)</f>
        <v>No</v>
      </c>
      <c r="G286" t="str">
        <f>VLOOKUP(Table2[[#This Row],[Customer ID]],Table2[#All],6,FALSE)</f>
        <v>No</v>
      </c>
      <c r="H286">
        <f>VLOOKUP(Table2[[#This Row],[Customer ID]],Table2[#All],7,FALSE)</f>
        <v>0</v>
      </c>
      <c r="I286" t="str">
        <f>VLOOKUP(Table2[[#This Row],[Customer ID]],Table2[#All],8,FALSE)</f>
        <v>Yes</v>
      </c>
      <c r="J286" t="str">
        <f>VLOOKUP(Table2[[#This Row],[Customer ID]],Table2[#All],9,FALSE)</f>
        <v>Obesity</v>
      </c>
      <c r="K286" t="str">
        <f>VLOOKUP(Table2[[#This Row],[Customer ID]],Table2[#All],10,FALSE)</f>
        <v>Diabetes</v>
      </c>
    </row>
    <row r="287" spans="1:11" ht="15.6" x14ac:dyDescent="0.3">
      <c r="A287" s="1" t="s">
        <v>2086</v>
      </c>
      <c r="B287" t="str">
        <f>VLOOKUP('Customer Names'!A287,'Customer Names'!$A$1:$E$2336,4,FALSE)</f>
        <v>Ms.  Andrea</v>
      </c>
      <c r="C287">
        <f>VLOOKUP(Table2[[#This Row],[Customer ID]],Table2[#All],2,FALSE)</f>
        <v>25.69</v>
      </c>
      <c r="D287">
        <f>VLOOKUP(Table2[[#This Row],[Customer ID]],Table2[#All],3,FALSE)</f>
        <v>4.78</v>
      </c>
      <c r="E287" t="str">
        <f>VLOOKUP(Table2[[#This Row],[Customer ID]],Table2[#All],4,FALSE)</f>
        <v>Yes</v>
      </c>
      <c r="F287" t="str">
        <f>VLOOKUP(Table2[[#This Row],[Customer ID]],Table2[#All],5,FALSE)</f>
        <v>No</v>
      </c>
      <c r="G287" t="str">
        <f>VLOOKUP(Table2[[#This Row],[Customer ID]],Table2[#All],6,FALSE)</f>
        <v>No</v>
      </c>
      <c r="H287">
        <f>VLOOKUP(Table2[[#This Row],[Customer ID]],Table2[#All],7,FALSE)</f>
        <v>0</v>
      </c>
      <c r="I287" t="str">
        <f>VLOOKUP(Table2[[#This Row],[Customer ID]],Table2[#All],8,FALSE)</f>
        <v>Yes</v>
      </c>
      <c r="J287" t="str">
        <f>VLOOKUP(Table2[[#This Row],[Customer ID]],Table2[#All],9,FALSE)</f>
        <v>Overweight</v>
      </c>
      <c r="K287" t="str">
        <f>VLOOKUP(Table2[[#This Row],[Customer ID]],Table2[#All],10,FALSE)</f>
        <v>Normal</v>
      </c>
    </row>
    <row r="288" spans="1:11" ht="15.6" x14ac:dyDescent="0.3">
      <c r="A288" s="1" t="s">
        <v>2085</v>
      </c>
      <c r="B288" t="str">
        <f>VLOOKUP('Customer Names'!A288,'Customer Names'!$A$1:$E$2336,4,FALSE)</f>
        <v>Ms.  Nancy M</v>
      </c>
      <c r="C288">
        <f>VLOOKUP(Table2[[#This Row],[Customer ID]],Table2[#All],2,FALSE)</f>
        <v>25.46</v>
      </c>
      <c r="D288">
        <f>VLOOKUP(Table2[[#This Row],[Customer ID]],Table2[#All],3,FALSE)</f>
        <v>6.03</v>
      </c>
      <c r="E288" t="str">
        <f>VLOOKUP(Table2[[#This Row],[Customer ID]],Table2[#All],4,FALSE)</f>
        <v>No</v>
      </c>
      <c r="F288" t="str">
        <f>VLOOKUP(Table2[[#This Row],[Customer ID]],Table2[#All],5,FALSE)</f>
        <v>No</v>
      </c>
      <c r="G288" t="str">
        <f>VLOOKUP(Table2[[#This Row],[Customer ID]],Table2[#All],6,FALSE)</f>
        <v>No</v>
      </c>
      <c r="H288">
        <f>VLOOKUP(Table2[[#This Row],[Customer ID]],Table2[#All],7,FALSE)</f>
        <v>2</v>
      </c>
      <c r="I288" t="str">
        <f>VLOOKUP(Table2[[#This Row],[Customer ID]],Table2[#All],8,FALSE)</f>
        <v>Yes</v>
      </c>
      <c r="J288" t="str">
        <f>VLOOKUP(Table2[[#This Row],[Customer ID]],Table2[#All],9,FALSE)</f>
        <v>Overweight</v>
      </c>
      <c r="K288" t="str">
        <f>VLOOKUP(Table2[[#This Row],[Customer ID]],Table2[#All],10,FALSE)</f>
        <v>Prediabetes</v>
      </c>
    </row>
    <row r="289" spans="1:11" ht="15.6" x14ac:dyDescent="0.3">
      <c r="A289" s="1" t="s">
        <v>2084</v>
      </c>
      <c r="B289" t="str">
        <f>VLOOKUP('Customer Names'!A289,'Customer Names'!$A$1:$E$2336,4,FALSE)</f>
        <v>Mr.  Matt</v>
      </c>
      <c r="C289">
        <f>VLOOKUP(Table2[[#This Row],[Customer ID]],Table2[#All],2,FALSE)</f>
        <v>31.83</v>
      </c>
      <c r="D289">
        <f>VLOOKUP(Table2[[#This Row],[Customer ID]],Table2[#All],3,FALSE)</f>
        <v>11.55</v>
      </c>
      <c r="E289" t="str">
        <f>VLOOKUP(Table2[[#This Row],[Customer ID]],Table2[#All],4,FALSE)</f>
        <v>Yes</v>
      </c>
      <c r="F289" t="str">
        <f>VLOOKUP(Table2[[#This Row],[Customer ID]],Table2[#All],5,FALSE)</f>
        <v>No</v>
      </c>
      <c r="G289" t="str">
        <f>VLOOKUP(Table2[[#This Row],[Customer ID]],Table2[#All],6,FALSE)</f>
        <v>No</v>
      </c>
      <c r="H289">
        <f>VLOOKUP(Table2[[#This Row],[Customer ID]],Table2[#All],7,FALSE)</f>
        <v>1</v>
      </c>
      <c r="I289" t="str">
        <f>VLOOKUP(Table2[[#This Row],[Customer ID]],Table2[#All],8,FALSE)</f>
        <v>Yes</v>
      </c>
      <c r="J289" t="str">
        <f>VLOOKUP(Table2[[#This Row],[Customer ID]],Table2[#All],9,FALSE)</f>
        <v>Obesity</v>
      </c>
      <c r="K289" t="str">
        <f>VLOOKUP(Table2[[#This Row],[Customer ID]],Table2[#All],10,FALSE)</f>
        <v>Diabetes</v>
      </c>
    </row>
    <row r="290" spans="1:11" ht="15.6" x14ac:dyDescent="0.3">
      <c r="A290" s="1" t="s">
        <v>2083</v>
      </c>
      <c r="B290" t="str">
        <f>VLOOKUP('Customer Names'!A290,'Customer Names'!$A$1:$E$2336,4,FALSE)</f>
        <v>Mr.  Lee</v>
      </c>
      <c r="C290">
        <f>VLOOKUP(Table2[[#This Row],[Customer ID]],Table2[#All],2,FALSE)</f>
        <v>24.43</v>
      </c>
      <c r="D290">
        <f>VLOOKUP(Table2[[#This Row],[Customer ID]],Table2[#All],3,FALSE)</f>
        <v>7.59</v>
      </c>
      <c r="E290" t="str">
        <f>VLOOKUP(Table2[[#This Row],[Customer ID]],Table2[#All],4,FALSE)</f>
        <v>Yes</v>
      </c>
      <c r="F290" t="str">
        <f>VLOOKUP(Table2[[#This Row],[Customer ID]],Table2[#All],5,FALSE)</f>
        <v>No</v>
      </c>
      <c r="G290" t="str">
        <f>VLOOKUP(Table2[[#This Row],[Customer ID]],Table2[#All],6,FALSE)</f>
        <v>No</v>
      </c>
      <c r="H290">
        <f>VLOOKUP(Table2[[#This Row],[Customer ID]],Table2[#All],7,FALSE)</f>
        <v>1</v>
      </c>
      <c r="I290" t="str">
        <f>VLOOKUP(Table2[[#This Row],[Customer ID]],Table2[#All],8,FALSE)</f>
        <v>Yes</v>
      </c>
      <c r="J290" t="str">
        <f>VLOOKUP(Table2[[#This Row],[Customer ID]],Table2[#All],9,FALSE)</f>
        <v>Normalweight</v>
      </c>
      <c r="K290" t="str">
        <f>VLOOKUP(Table2[[#This Row],[Customer ID]],Table2[#All],10,FALSE)</f>
        <v>Diabetes</v>
      </c>
    </row>
    <row r="291" spans="1:11" ht="15.6" x14ac:dyDescent="0.3">
      <c r="A291" s="1" t="s">
        <v>2082</v>
      </c>
      <c r="B291" t="str">
        <f>VLOOKUP('Customer Names'!A291,'Customer Names'!$A$1:$E$2336,4,FALSE)</f>
        <v>Mr.  Chris</v>
      </c>
      <c r="C291">
        <f>VLOOKUP(Table2[[#This Row],[Customer ID]],Table2[#All],2,FALSE)</f>
        <v>41.9</v>
      </c>
      <c r="D291">
        <f>VLOOKUP(Table2[[#This Row],[Customer ID]],Table2[#All],3,FALSE)</f>
        <v>4.26</v>
      </c>
      <c r="E291" t="str">
        <f>VLOOKUP(Table2[[#This Row],[Customer ID]],Table2[#All],4,FALSE)</f>
        <v>No</v>
      </c>
      <c r="F291" t="str">
        <f>VLOOKUP(Table2[[#This Row],[Customer ID]],Table2[#All],5,FALSE)</f>
        <v>No</v>
      </c>
      <c r="G291" t="str">
        <f>VLOOKUP(Table2[[#This Row],[Customer ID]],Table2[#All],6,FALSE)</f>
        <v>No</v>
      </c>
      <c r="H291">
        <f>VLOOKUP(Table2[[#This Row],[Customer ID]],Table2[#All],7,FALSE)</f>
        <v>0</v>
      </c>
      <c r="I291" t="str">
        <f>VLOOKUP(Table2[[#This Row],[Customer ID]],Table2[#All],8,FALSE)</f>
        <v>Yes</v>
      </c>
      <c r="J291" t="str">
        <f>VLOOKUP(Table2[[#This Row],[Customer ID]],Table2[#All],9,FALSE)</f>
        <v>Obesity</v>
      </c>
      <c r="K291" t="str">
        <f>VLOOKUP(Table2[[#This Row],[Customer ID]],Table2[#All],10,FALSE)</f>
        <v>Normal</v>
      </c>
    </row>
    <row r="292" spans="1:11" ht="15.6" x14ac:dyDescent="0.3">
      <c r="A292" s="1" t="s">
        <v>2081</v>
      </c>
      <c r="B292" t="str">
        <f>VLOOKUP('Customer Names'!A292,'Customer Names'!$A$1:$E$2336,4,FALSE)</f>
        <v>Mr.  Erik T.</v>
      </c>
      <c r="C292">
        <f>VLOOKUP(Table2[[#This Row],[Customer ID]],Table2[#All],2,FALSE)</f>
        <v>22.88</v>
      </c>
      <c r="D292">
        <f>VLOOKUP(Table2[[#This Row],[Customer ID]],Table2[#All],3,FALSE)</f>
        <v>5.9</v>
      </c>
      <c r="E292" t="str">
        <f>VLOOKUP(Table2[[#This Row],[Customer ID]],Table2[#All],4,FALSE)</f>
        <v>Yes</v>
      </c>
      <c r="F292" t="str">
        <f>VLOOKUP(Table2[[#This Row],[Customer ID]],Table2[#All],5,FALSE)</f>
        <v>No</v>
      </c>
      <c r="G292" t="str">
        <f>VLOOKUP(Table2[[#This Row],[Customer ID]],Table2[#All],6,FALSE)</f>
        <v>Yes</v>
      </c>
      <c r="H292">
        <f>VLOOKUP(Table2[[#This Row],[Customer ID]],Table2[#All],7,FALSE)</f>
        <v>1</v>
      </c>
      <c r="I292" t="str">
        <f>VLOOKUP(Table2[[#This Row],[Customer ID]],Table2[#All],8,FALSE)</f>
        <v>Yes</v>
      </c>
      <c r="J292" t="str">
        <f>VLOOKUP(Table2[[#This Row],[Customer ID]],Table2[#All],9,FALSE)</f>
        <v>Normalweight</v>
      </c>
      <c r="K292" t="str">
        <f>VLOOKUP(Table2[[#This Row],[Customer ID]],Table2[#All],10,FALSE)</f>
        <v>Prediabetes</v>
      </c>
    </row>
    <row r="293" spans="1:11" ht="15.6" x14ac:dyDescent="0.3">
      <c r="A293" s="1" t="s">
        <v>2080</v>
      </c>
      <c r="B293" t="str">
        <f>VLOOKUP('Customer Names'!A293,'Customer Names'!$A$1:$E$2336,4,FALSE)</f>
        <v>Mr.  Rod W</v>
      </c>
      <c r="C293">
        <f>VLOOKUP(Table2[[#This Row],[Customer ID]],Table2[#All],2,FALSE)</f>
        <v>29.734999999999999</v>
      </c>
      <c r="D293">
        <f>VLOOKUP(Table2[[#This Row],[Customer ID]],Table2[#All],3,FALSE)</f>
        <v>7.79</v>
      </c>
      <c r="E293" t="str">
        <f>VLOOKUP(Table2[[#This Row],[Customer ID]],Table2[#All],4,FALSE)</f>
        <v>No</v>
      </c>
      <c r="F293" t="str">
        <f>VLOOKUP(Table2[[#This Row],[Customer ID]],Table2[#All],5,FALSE)</f>
        <v>No</v>
      </c>
      <c r="G293" t="str">
        <f>VLOOKUP(Table2[[#This Row],[Customer ID]],Table2[#All],6,FALSE)</f>
        <v>No</v>
      </c>
      <c r="H293">
        <f>VLOOKUP(Table2[[#This Row],[Customer ID]],Table2[#All],7,FALSE)</f>
        <v>0</v>
      </c>
      <c r="I293" t="str">
        <f>VLOOKUP(Table2[[#This Row],[Customer ID]],Table2[#All],8,FALSE)</f>
        <v>No</v>
      </c>
      <c r="J293" t="str">
        <f>VLOOKUP(Table2[[#This Row],[Customer ID]],Table2[#All],9,FALSE)</f>
        <v>Overweight</v>
      </c>
      <c r="K293" t="str">
        <f>VLOOKUP(Table2[[#This Row],[Customer ID]],Table2[#All],10,FALSE)</f>
        <v>Diabetes</v>
      </c>
    </row>
    <row r="294" spans="1:11" ht="15.6" x14ac:dyDescent="0.3">
      <c r="A294" s="1" t="s">
        <v>2079</v>
      </c>
      <c r="B294" t="str">
        <f>VLOOKUP('Customer Names'!A294,'Customer Names'!$A$1:$E$2336,4,FALSE)</f>
        <v>Mr.  Joey</v>
      </c>
      <c r="C294">
        <f>VLOOKUP(Table2[[#This Row],[Customer ID]],Table2[#All],2,FALSE)</f>
        <v>40.74</v>
      </c>
      <c r="D294">
        <f>VLOOKUP(Table2[[#This Row],[Customer ID]],Table2[#All],3,FALSE)</f>
        <v>5.28</v>
      </c>
      <c r="E294" t="str">
        <f>VLOOKUP(Table2[[#This Row],[Customer ID]],Table2[#All],4,FALSE)</f>
        <v>No</v>
      </c>
      <c r="F294" t="str">
        <f>VLOOKUP(Table2[[#This Row],[Customer ID]],Table2[#All],5,FALSE)</f>
        <v>No</v>
      </c>
      <c r="G294" t="str">
        <f>VLOOKUP(Table2[[#This Row],[Customer ID]],Table2[#All],6,FALSE)</f>
        <v>Yes</v>
      </c>
      <c r="H294">
        <f>VLOOKUP(Table2[[#This Row],[Customer ID]],Table2[#All],7,FALSE)</f>
        <v>1</v>
      </c>
      <c r="I294" t="str">
        <f>VLOOKUP(Table2[[#This Row],[Customer ID]],Table2[#All],8,FALSE)</f>
        <v>Yes</v>
      </c>
      <c r="J294" t="str">
        <f>VLOOKUP(Table2[[#This Row],[Customer ID]],Table2[#All],9,FALSE)</f>
        <v>Obesity</v>
      </c>
      <c r="K294" t="str">
        <f>VLOOKUP(Table2[[#This Row],[Customer ID]],Table2[#All],10,FALSE)</f>
        <v>Normal</v>
      </c>
    </row>
    <row r="295" spans="1:11" ht="15.6" x14ac:dyDescent="0.3">
      <c r="A295" s="1" t="s">
        <v>2078</v>
      </c>
      <c r="B295" t="str">
        <f>VLOOKUP('Customer Names'!A295,'Customer Names'!$A$1:$E$2336,4,FALSE)</f>
        <v>Ms.  Hillary L.</v>
      </c>
      <c r="C295">
        <f>VLOOKUP(Table2[[#This Row],[Customer ID]],Table2[#All],2,FALSE)</f>
        <v>24.14</v>
      </c>
      <c r="D295">
        <f>VLOOKUP(Table2[[#This Row],[Customer ID]],Table2[#All],3,FALSE)</f>
        <v>5.87</v>
      </c>
      <c r="E295" t="str">
        <f>VLOOKUP(Table2[[#This Row],[Customer ID]],Table2[#All],4,FALSE)</f>
        <v>No</v>
      </c>
      <c r="F295" t="str">
        <f>VLOOKUP(Table2[[#This Row],[Customer ID]],Table2[#All],5,FALSE)</f>
        <v>No</v>
      </c>
      <c r="G295" t="str">
        <f>VLOOKUP(Table2[[#This Row],[Customer ID]],Table2[#All],6,FALSE)</f>
        <v>No</v>
      </c>
      <c r="H295">
        <f>VLOOKUP(Table2[[#This Row],[Customer ID]],Table2[#All],7,FALSE)</f>
        <v>2</v>
      </c>
      <c r="I295" t="str">
        <f>VLOOKUP(Table2[[#This Row],[Customer ID]],Table2[#All],8,FALSE)</f>
        <v>Yes</v>
      </c>
      <c r="J295" t="str">
        <f>VLOOKUP(Table2[[#This Row],[Customer ID]],Table2[#All],9,FALSE)</f>
        <v>Normalweight</v>
      </c>
      <c r="K295" t="str">
        <f>VLOOKUP(Table2[[#This Row],[Customer ID]],Table2[#All],10,FALSE)</f>
        <v>Prediabetes</v>
      </c>
    </row>
    <row r="296" spans="1:11" ht="15.6" x14ac:dyDescent="0.3">
      <c r="A296" s="1" t="s">
        <v>2077</v>
      </c>
      <c r="B296" t="str">
        <f>VLOOKUP('Customer Names'!A296,'Customer Names'!$A$1:$E$2336,4,FALSE)</f>
        <v>Mr.  Eric J</v>
      </c>
      <c r="C296">
        <f>VLOOKUP(Table2[[#This Row],[Customer ID]],Table2[#All],2,FALSE)</f>
        <v>25.15</v>
      </c>
      <c r="D296">
        <f>VLOOKUP(Table2[[#This Row],[Customer ID]],Table2[#All],3,FALSE)</f>
        <v>9.08</v>
      </c>
      <c r="E296" t="str">
        <f>VLOOKUP(Table2[[#This Row],[Customer ID]],Table2[#All],4,FALSE)</f>
        <v>Yes</v>
      </c>
      <c r="F296" t="str">
        <f>VLOOKUP(Table2[[#This Row],[Customer ID]],Table2[#All],5,FALSE)</f>
        <v>No</v>
      </c>
      <c r="G296" t="str">
        <f>VLOOKUP(Table2[[#This Row],[Customer ID]],Table2[#All],6,FALSE)</f>
        <v>No</v>
      </c>
      <c r="H296">
        <f>VLOOKUP(Table2[[#This Row],[Customer ID]],Table2[#All],7,FALSE)</f>
        <v>1</v>
      </c>
      <c r="I296" t="str">
        <f>VLOOKUP(Table2[[#This Row],[Customer ID]],Table2[#All],8,FALSE)</f>
        <v>Yes</v>
      </c>
      <c r="J296" t="str">
        <f>VLOOKUP(Table2[[#This Row],[Customer ID]],Table2[#All],9,FALSE)</f>
        <v>Overweight</v>
      </c>
      <c r="K296" t="str">
        <f>VLOOKUP(Table2[[#This Row],[Customer ID]],Table2[#All],10,FALSE)</f>
        <v>Diabetes</v>
      </c>
    </row>
    <row r="297" spans="1:11" ht="15.6" x14ac:dyDescent="0.3">
      <c r="A297" s="1" t="s">
        <v>2076</v>
      </c>
      <c r="B297" t="str">
        <f>VLOOKUP('Customer Names'!A297,'Customer Names'!$A$1:$E$2336,4,FALSE)</f>
        <v>Mr.  Nicolas</v>
      </c>
      <c r="C297">
        <f>VLOOKUP(Table2[[#This Row],[Customer ID]],Table2[#All],2,FALSE)</f>
        <v>28.71</v>
      </c>
      <c r="D297">
        <f>VLOOKUP(Table2[[#This Row],[Customer ID]],Table2[#All],3,FALSE)</f>
        <v>5.2</v>
      </c>
      <c r="E297" t="str">
        <f>VLOOKUP(Table2[[#This Row],[Customer ID]],Table2[#All],4,FALSE)</f>
        <v>No</v>
      </c>
      <c r="F297" t="str">
        <f>VLOOKUP(Table2[[#This Row],[Customer ID]],Table2[#All],5,FALSE)</f>
        <v>No</v>
      </c>
      <c r="G297" t="str">
        <f>VLOOKUP(Table2[[#This Row],[Customer ID]],Table2[#All],6,FALSE)</f>
        <v>No</v>
      </c>
      <c r="H297">
        <f>VLOOKUP(Table2[[#This Row],[Customer ID]],Table2[#All],7,FALSE)</f>
        <v>1</v>
      </c>
      <c r="I297" t="str">
        <f>VLOOKUP(Table2[[#This Row],[Customer ID]],Table2[#All],8,FALSE)</f>
        <v>Yes</v>
      </c>
      <c r="J297" t="str">
        <f>VLOOKUP(Table2[[#This Row],[Customer ID]],Table2[#All],9,FALSE)</f>
        <v>Overweight</v>
      </c>
      <c r="K297" t="str">
        <f>VLOOKUP(Table2[[#This Row],[Customer ID]],Table2[#All],10,FALSE)</f>
        <v>Normal</v>
      </c>
    </row>
    <row r="298" spans="1:11" ht="15.6" x14ac:dyDescent="0.3">
      <c r="A298" s="1" t="s">
        <v>2075</v>
      </c>
      <c r="B298" t="str">
        <f>VLOOKUP('Customer Names'!A298,'Customer Names'!$A$1:$E$2336,4,FALSE)</f>
        <v>Mr.  Marcel</v>
      </c>
      <c r="C298">
        <f>VLOOKUP(Table2[[#This Row],[Customer ID]],Table2[#All],2,FALSE)</f>
        <v>23</v>
      </c>
      <c r="D298">
        <f>VLOOKUP(Table2[[#This Row],[Customer ID]],Table2[#All],3,FALSE)</f>
        <v>5.48</v>
      </c>
      <c r="E298" t="str">
        <f>VLOOKUP(Table2[[#This Row],[Customer ID]],Table2[#All],4,FALSE)</f>
        <v>No</v>
      </c>
      <c r="F298" t="str">
        <f>VLOOKUP(Table2[[#This Row],[Customer ID]],Table2[#All],5,FALSE)</f>
        <v>No</v>
      </c>
      <c r="G298" t="str">
        <f>VLOOKUP(Table2[[#This Row],[Customer ID]],Table2[#All],6,FALSE)</f>
        <v>No</v>
      </c>
      <c r="H298">
        <f>VLOOKUP(Table2[[#This Row],[Customer ID]],Table2[#All],7,FALSE)</f>
        <v>0</v>
      </c>
      <c r="I298" t="str">
        <f>VLOOKUP(Table2[[#This Row],[Customer ID]],Table2[#All],8,FALSE)</f>
        <v>Yes</v>
      </c>
      <c r="J298" t="str">
        <f>VLOOKUP(Table2[[#This Row],[Customer ID]],Table2[#All],9,FALSE)</f>
        <v>Normalweight</v>
      </c>
      <c r="K298" t="str">
        <f>VLOOKUP(Table2[[#This Row],[Customer ID]],Table2[#All],10,FALSE)</f>
        <v>Normal</v>
      </c>
    </row>
    <row r="299" spans="1:11" ht="15.6" x14ac:dyDescent="0.3">
      <c r="A299" s="1" t="s">
        <v>2074</v>
      </c>
      <c r="B299" t="str">
        <f>VLOOKUP('Customer Names'!A299,'Customer Names'!$A$1:$E$2336,4,FALSE)</f>
        <v>Ms.  Ashley N</v>
      </c>
      <c r="C299">
        <f>VLOOKUP(Table2[[#This Row],[Customer ID]],Table2[#All],2,FALSE)</f>
        <v>36.86</v>
      </c>
      <c r="D299">
        <f>VLOOKUP(Table2[[#This Row],[Customer ID]],Table2[#All],3,FALSE)</f>
        <v>11.95</v>
      </c>
      <c r="E299" t="str">
        <f>VLOOKUP(Table2[[#This Row],[Customer ID]],Table2[#All],4,FALSE)</f>
        <v>No</v>
      </c>
      <c r="F299" t="str">
        <f>VLOOKUP(Table2[[#This Row],[Customer ID]],Table2[#All],5,FALSE)</f>
        <v>No</v>
      </c>
      <c r="G299" t="str">
        <f>VLOOKUP(Table2[[#This Row],[Customer ID]],Table2[#All],6,FALSE)</f>
        <v>No</v>
      </c>
      <c r="H299">
        <f>VLOOKUP(Table2[[#This Row],[Customer ID]],Table2[#All],7,FALSE)</f>
        <v>0</v>
      </c>
      <c r="I299" t="str">
        <f>VLOOKUP(Table2[[#This Row],[Customer ID]],Table2[#All],8,FALSE)</f>
        <v>No</v>
      </c>
      <c r="J299" t="str">
        <f>VLOOKUP(Table2[[#This Row],[Customer ID]],Table2[#All],9,FALSE)</f>
        <v>Obesity</v>
      </c>
      <c r="K299" t="str">
        <f>VLOOKUP(Table2[[#This Row],[Customer ID]],Table2[#All],10,FALSE)</f>
        <v>Diabetes</v>
      </c>
    </row>
    <row r="300" spans="1:11" ht="15.6" x14ac:dyDescent="0.3">
      <c r="A300" s="1" t="s">
        <v>2073</v>
      </c>
      <c r="B300" t="str">
        <f>VLOOKUP('Customer Names'!A300,'Customer Names'!$A$1:$E$2336,4,FALSE)</f>
        <v>Mr.  Evan D</v>
      </c>
      <c r="C300">
        <f>VLOOKUP(Table2[[#This Row],[Customer ID]],Table2[#All],2,FALSE)</f>
        <v>24.25</v>
      </c>
      <c r="D300">
        <f>VLOOKUP(Table2[[#This Row],[Customer ID]],Table2[#All],3,FALSE)</f>
        <v>8.6999999999999993</v>
      </c>
      <c r="E300" t="str">
        <f>VLOOKUP(Table2[[#This Row],[Customer ID]],Table2[#All],4,FALSE)</f>
        <v>Yes</v>
      </c>
      <c r="F300" t="str">
        <f>VLOOKUP(Table2[[#This Row],[Customer ID]],Table2[#All],5,FALSE)</f>
        <v>No</v>
      </c>
      <c r="G300" t="str">
        <f>VLOOKUP(Table2[[#This Row],[Customer ID]],Table2[#All],6,FALSE)</f>
        <v>No</v>
      </c>
      <c r="H300">
        <f>VLOOKUP(Table2[[#This Row],[Customer ID]],Table2[#All],7,FALSE)</f>
        <v>1</v>
      </c>
      <c r="I300" t="str">
        <f>VLOOKUP(Table2[[#This Row],[Customer ID]],Table2[#All],8,FALSE)</f>
        <v>Yes</v>
      </c>
      <c r="J300" t="str">
        <f>VLOOKUP(Table2[[#This Row],[Customer ID]],Table2[#All],9,FALSE)</f>
        <v>Normalweight</v>
      </c>
      <c r="K300" t="str">
        <f>VLOOKUP(Table2[[#This Row],[Customer ID]],Table2[#All],10,FALSE)</f>
        <v>Diabetes</v>
      </c>
    </row>
    <row r="301" spans="1:11" ht="15.6" x14ac:dyDescent="0.3">
      <c r="A301" s="1" t="s">
        <v>2072</v>
      </c>
      <c r="B301" t="str">
        <f>VLOOKUP('Customer Names'!A301,'Customer Names'!$A$1:$E$2336,4,FALSE)</f>
        <v>Ms.  Krisana</v>
      </c>
      <c r="C301">
        <f>VLOOKUP(Table2[[#This Row],[Customer ID]],Table2[#All],2,FALSE)</f>
        <v>23.85</v>
      </c>
      <c r="D301">
        <f>VLOOKUP(Table2[[#This Row],[Customer ID]],Table2[#All],3,FALSE)</f>
        <v>7.84</v>
      </c>
      <c r="E301" t="str">
        <f>VLOOKUP(Table2[[#This Row],[Customer ID]],Table2[#All],4,FALSE)</f>
        <v>No</v>
      </c>
      <c r="F301" t="str">
        <f>VLOOKUP(Table2[[#This Row],[Customer ID]],Table2[#All],5,FALSE)</f>
        <v>No</v>
      </c>
      <c r="G301" t="str">
        <f>VLOOKUP(Table2[[#This Row],[Customer ID]],Table2[#All],6,FALSE)</f>
        <v>No</v>
      </c>
      <c r="H301">
        <f>VLOOKUP(Table2[[#This Row],[Customer ID]],Table2[#All],7,FALSE)</f>
        <v>0</v>
      </c>
      <c r="I301" t="str">
        <f>VLOOKUP(Table2[[#This Row],[Customer ID]],Table2[#All],8,FALSE)</f>
        <v>Yes</v>
      </c>
      <c r="J301" t="str">
        <f>VLOOKUP(Table2[[#This Row],[Customer ID]],Table2[#All],9,FALSE)</f>
        <v>Normalweight</v>
      </c>
      <c r="K301" t="str">
        <f>VLOOKUP(Table2[[#This Row],[Customer ID]],Table2[#All],10,FALSE)</f>
        <v>Diabetes</v>
      </c>
    </row>
    <row r="302" spans="1:11" ht="15.6" x14ac:dyDescent="0.3">
      <c r="A302" s="1" t="s">
        <v>2071</v>
      </c>
      <c r="B302" t="str">
        <f>VLOOKUP('Customer Names'!A302,'Customer Names'!$A$1:$E$2336,4,FALSE)</f>
        <v>Mr.  Kyle</v>
      </c>
      <c r="C302">
        <f>VLOOKUP(Table2[[#This Row],[Customer ID]],Table2[#All],2,FALSE)</f>
        <v>40.020000000000003</v>
      </c>
      <c r="D302">
        <f>VLOOKUP(Table2[[#This Row],[Customer ID]],Table2[#All],3,FALSE)</f>
        <v>5.19</v>
      </c>
      <c r="E302" t="str">
        <f>VLOOKUP(Table2[[#This Row],[Customer ID]],Table2[#All],4,FALSE)</f>
        <v>Yes</v>
      </c>
      <c r="F302" t="str">
        <f>VLOOKUP(Table2[[#This Row],[Customer ID]],Table2[#All],5,FALSE)</f>
        <v>No</v>
      </c>
      <c r="G302" t="str">
        <f>VLOOKUP(Table2[[#This Row],[Customer ID]],Table2[#All],6,FALSE)</f>
        <v>No</v>
      </c>
      <c r="H302">
        <f>VLOOKUP(Table2[[#This Row],[Customer ID]],Table2[#All],7,FALSE)</f>
        <v>1</v>
      </c>
      <c r="I302" t="str">
        <f>VLOOKUP(Table2[[#This Row],[Customer ID]],Table2[#All],8,FALSE)</f>
        <v>Yes</v>
      </c>
      <c r="J302" t="str">
        <f>VLOOKUP(Table2[[#This Row],[Customer ID]],Table2[#All],9,FALSE)</f>
        <v>Obesity</v>
      </c>
      <c r="K302" t="str">
        <f>VLOOKUP(Table2[[#This Row],[Customer ID]],Table2[#All],10,FALSE)</f>
        <v>Normal</v>
      </c>
    </row>
    <row r="303" spans="1:11" ht="15.6" x14ac:dyDescent="0.3">
      <c r="A303" s="1" t="s">
        <v>2070</v>
      </c>
      <c r="B303" t="str">
        <f>VLOOKUP('Customer Names'!A303,'Customer Names'!$A$1:$E$2336,4,FALSE)</f>
        <v>Ms.  Kate</v>
      </c>
      <c r="C303">
        <f>VLOOKUP(Table2[[#This Row],[Customer ID]],Table2[#All],2,FALSE)</f>
        <v>19.170000000000002</v>
      </c>
      <c r="D303">
        <f>VLOOKUP(Table2[[#This Row],[Customer ID]],Table2[#All],3,FALSE)</f>
        <v>8.41</v>
      </c>
      <c r="E303" t="str">
        <f>VLOOKUP(Table2[[#This Row],[Customer ID]],Table2[#All],4,FALSE)</f>
        <v>No</v>
      </c>
      <c r="F303" t="str">
        <f>VLOOKUP(Table2[[#This Row],[Customer ID]],Table2[#All],5,FALSE)</f>
        <v>No</v>
      </c>
      <c r="G303" t="str">
        <f>VLOOKUP(Table2[[#This Row],[Customer ID]],Table2[#All],6,FALSE)</f>
        <v>No</v>
      </c>
      <c r="H303">
        <f>VLOOKUP(Table2[[#This Row],[Customer ID]],Table2[#All],7,FALSE)</f>
        <v>0</v>
      </c>
      <c r="I303" t="str">
        <f>VLOOKUP(Table2[[#This Row],[Customer ID]],Table2[#All],8,FALSE)</f>
        <v>Yes</v>
      </c>
      <c r="J303" t="str">
        <f>VLOOKUP(Table2[[#This Row],[Customer ID]],Table2[#All],9,FALSE)</f>
        <v>Normalweight</v>
      </c>
      <c r="K303" t="str">
        <f>VLOOKUP(Table2[[#This Row],[Customer ID]],Table2[#All],10,FALSE)</f>
        <v>Diabetes</v>
      </c>
    </row>
    <row r="304" spans="1:11" ht="15.6" x14ac:dyDescent="0.3">
      <c r="A304" s="1" t="s">
        <v>2069</v>
      </c>
      <c r="B304" t="str">
        <f>VLOOKUP('Customer Names'!A304,'Customer Names'!$A$1:$E$2336,4,FALSE)</f>
        <v>Mr.  Martin A.</v>
      </c>
      <c r="C304">
        <f>VLOOKUP(Table2[[#This Row],[Customer ID]],Table2[#All],2,FALSE)</f>
        <v>43.53</v>
      </c>
      <c r="D304">
        <f>VLOOKUP(Table2[[#This Row],[Customer ID]],Table2[#All],3,FALSE)</f>
        <v>5.86</v>
      </c>
      <c r="E304" t="str">
        <f>VLOOKUP(Table2[[#This Row],[Customer ID]],Table2[#All],4,FALSE)</f>
        <v>Yes</v>
      </c>
      <c r="F304" t="str">
        <f>VLOOKUP(Table2[[#This Row],[Customer ID]],Table2[#All],5,FALSE)</f>
        <v>yes</v>
      </c>
      <c r="G304" t="str">
        <f>VLOOKUP(Table2[[#This Row],[Customer ID]],Table2[#All],6,FALSE)</f>
        <v>No</v>
      </c>
      <c r="H304">
        <f>VLOOKUP(Table2[[#This Row],[Customer ID]],Table2[#All],7,FALSE)</f>
        <v>2</v>
      </c>
      <c r="I304" t="str">
        <f>VLOOKUP(Table2[[#This Row],[Customer ID]],Table2[#All],8,FALSE)</f>
        <v>Yes</v>
      </c>
      <c r="J304" t="str">
        <f>VLOOKUP(Table2[[#This Row],[Customer ID]],Table2[#All],9,FALSE)</f>
        <v>Obesity</v>
      </c>
      <c r="K304" t="str">
        <f>VLOOKUP(Table2[[#This Row],[Customer ID]],Table2[#All],10,FALSE)</f>
        <v>Prediabetes</v>
      </c>
    </row>
    <row r="305" spans="1:11" ht="15.6" x14ac:dyDescent="0.3">
      <c r="A305" s="1" t="s">
        <v>2068</v>
      </c>
      <c r="B305" t="str">
        <f>VLOOKUP('Customer Names'!A305,'Customer Names'!$A$1:$E$2336,4,FALSE)</f>
        <v>Ms.  Stacey</v>
      </c>
      <c r="C305">
        <f>VLOOKUP(Table2[[#This Row],[Customer ID]],Table2[#All],2,FALSE)</f>
        <v>46.06</v>
      </c>
      <c r="D305">
        <f>VLOOKUP(Table2[[#This Row],[Customer ID]],Table2[#All],3,FALSE)</f>
        <v>4.18</v>
      </c>
      <c r="E305" t="str">
        <f>VLOOKUP(Table2[[#This Row],[Customer ID]],Table2[#All],4,FALSE)</f>
        <v>No</v>
      </c>
      <c r="F305" t="str">
        <f>VLOOKUP(Table2[[#This Row],[Customer ID]],Table2[#All],5,FALSE)</f>
        <v>yes</v>
      </c>
      <c r="G305" t="str">
        <f>VLOOKUP(Table2[[#This Row],[Customer ID]],Table2[#All],6,FALSE)</f>
        <v>No</v>
      </c>
      <c r="H305">
        <f>VLOOKUP(Table2[[#This Row],[Customer ID]],Table2[#All],7,FALSE)</f>
        <v>1</v>
      </c>
      <c r="I305" t="str">
        <f>VLOOKUP(Table2[[#This Row],[Customer ID]],Table2[#All],8,FALSE)</f>
        <v>Yes</v>
      </c>
      <c r="J305" t="str">
        <f>VLOOKUP(Table2[[#This Row],[Customer ID]],Table2[#All],9,FALSE)</f>
        <v>Obesity</v>
      </c>
      <c r="K305" t="str">
        <f>VLOOKUP(Table2[[#This Row],[Customer ID]],Table2[#All],10,FALSE)</f>
        <v>Normal</v>
      </c>
    </row>
    <row r="306" spans="1:11" ht="15.6" x14ac:dyDescent="0.3">
      <c r="A306" s="1" t="s">
        <v>2067</v>
      </c>
      <c r="B306" t="str">
        <f>VLOOKUP('Customer Names'!A306,'Customer Names'!$A$1:$E$2336,4,FALSE)</f>
        <v>Ms.  Christine</v>
      </c>
      <c r="C306">
        <f>VLOOKUP(Table2[[#This Row],[Customer ID]],Table2[#All],2,FALSE)</f>
        <v>29.92</v>
      </c>
      <c r="D306">
        <f>VLOOKUP(Table2[[#This Row],[Customer ID]],Table2[#All],3,FALSE)</f>
        <v>11.99</v>
      </c>
      <c r="E306" t="str">
        <f>VLOOKUP(Table2[[#This Row],[Customer ID]],Table2[#All],4,FALSE)</f>
        <v>Yes</v>
      </c>
      <c r="F306" t="str">
        <f>VLOOKUP(Table2[[#This Row],[Customer ID]],Table2[#All],5,FALSE)</f>
        <v>No</v>
      </c>
      <c r="G306" t="str">
        <f>VLOOKUP(Table2[[#This Row],[Customer ID]],Table2[#All],6,FALSE)</f>
        <v>No</v>
      </c>
      <c r="H306">
        <f>VLOOKUP(Table2[[#This Row],[Customer ID]],Table2[#All],7,FALSE)</f>
        <v>2</v>
      </c>
      <c r="I306" t="str">
        <f>VLOOKUP(Table2[[#This Row],[Customer ID]],Table2[#All],8,FALSE)</f>
        <v>Yes</v>
      </c>
      <c r="J306" t="str">
        <f>VLOOKUP(Table2[[#This Row],[Customer ID]],Table2[#All],9,FALSE)</f>
        <v>Overweight</v>
      </c>
      <c r="K306" t="str">
        <f>VLOOKUP(Table2[[#This Row],[Customer ID]],Table2[#All],10,FALSE)</f>
        <v>Diabetes</v>
      </c>
    </row>
    <row r="307" spans="1:11" ht="15.6" x14ac:dyDescent="0.3">
      <c r="A307" s="1" t="s">
        <v>2066</v>
      </c>
      <c r="B307" t="str">
        <f>VLOOKUP('Customer Names'!A307,'Customer Names'!$A$1:$E$2336,4,FALSE)</f>
        <v>Ms.  Sarah C.</v>
      </c>
      <c r="C307">
        <f>VLOOKUP(Table2[[#This Row],[Customer ID]],Table2[#All],2,FALSE)</f>
        <v>28.46</v>
      </c>
      <c r="D307">
        <f>VLOOKUP(Table2[[#This Row],[Customer ID]],Table2[#All],3,FALSE)</f>
        <v>4.8499999999999996</v>
      </c>
      <c r="E307" t="str">
        <f>VLOOKUP(Table2[[#This Row],[Customer ID]],Table2[#All],4,FALSE)</f>
        <v>Yes</v>
      </c>
      <c r="F307" t="str">
        <f>VLOOKUP(Table2[[#This Row],[Customer ID]],Table2[#All],5,FALSE)</f>
        <v>No</v>
      </c>
      <c r="G307" t="str">
        <f>VLOOKUP(Table2[[#This Row],[Customer ID]],Table2[#All],6,FALSE)</f>
        <v>No</v>
      </c>
      <c r="H307">
        <f>VLOOKUP(Table2[[#This Row],[Customer ID]],Table2[#All],7,FALSE)</f>
        <v>1</v>
      </c>
      <c r="I307" t="str">
        <f>VLOOKUP(Table2[[#This Row],[Customer ID]],Table2[#All],8,FALSE)</f>
        <v>Yes</v>
      </c>
      <c r="J307" t="str">
        <f>VLOOKUP(Table2[[#This Row],[Customer ID]],Table2[#All],9,FALSE)</f>
        <v>Overweight</v>
      </c>
      <c r="K307" t="str">
        <f>VLOOKUP(Table2[[#This Row],[Customer ID]],Table2[#All],10,FALSE)</f>
        <v>Normal</v>
      </c>
    </row>
    <row r="308" spans="1:11" ht="15.6" x14ac:dyDescent="0.3">
      <c r="A308" s="1" t="s">
        <v>2065</v>
      </c>
      <c r="B308" t="str">
        <f>VLOOKUP('Customer Names'!A308,'Customer Names'!$A$1:$E$2336,4,FALSE)</f>
        <v>Ms.  Megan</v>
      </c>
      <c r="C308">
        <f>VLOOKUP(Table2[[#This Row],[Customer ID]],Table2[#All],2,FALSE)</f>
        <v>24.56</v>
      </c>
      <c r="D308">
        <f>VLOOKUP(Table2[[#This Row],[Customer ID]],Table2[#All],3,FALSE)</f>
        <v>6.18</v>
      </c>
      <c r="E308" t="str">
        <f>VLOOKUP(Table2[[#This Row],[Customer ID]],Table2[#All],4,FALSE)</f>
        <v>Yes</v>
      </c>
      <c r="F308" t="str">
        <f>VLOOKUP(Table2[[#This Row],[Customer ID]],Table2[#All],5,FALSE)</f>
        <v>No</v>
      </c>
      <c r="G308" t="str">
        <f>VLOOKUP(Table2[[#This Row],[Customer ID]],Table2[#All],6,FALSE)</f>
        <v>Yes</v>
      </c>
      <c r="H308">
        <f>VLOOKUP(Table2[[#This Row],[Customer ID]],Table2[#All],7,FALSE)</f>
        <v>1</v>
      </c>
      <c r="I308" t="str">
        <f>VLOOKUP(Table2[[#This Row],[Customer ID]],Table2[#All],8,FALSE)</f>
        <v>Yes</v>
      </c>
      <c r="J308" t="str">
        <f>VLOOKUP(Table2[[#This Row],[Customer ID]],Table2[#All],9,FALSE)</f>
        <v>Normalweight</v>
      </c>
      <c r="K308" t="str">
        <f>VLOOKUP(Table2[[#This Row],[Customer ID]],Table2[#All],10,FALSE)</f>
        <v>Prediabetes</v>
      </c>
    </row>
    <row r="309" spans="1:11" ht="15.6" x14ac:dyDescent="0.3">
      <c r="A309" s="1" t="s">
        <v>2064</v>
      </c>
      <c r="B309" t="str">
        <f>VLOOKUP('Customer Names'!A309,'Customer Names'!$A$1:$E$2336,4,FALSE)</f>
        <v>Mr.  Jason W</v>
      </c>
      <c r="C309">
        <f>VLOOKUP(Table2[[#This Row],[Customer ID]],Table2[#All],2,FALSE)</f>
        <v>41.19</v>
      </c>
      <c r="D309">
        <f>VLOOKUP(Table2[[#This Row],[Customer ID]],Table2[#All],3,FALSE)</f>
        <v>6.37</v>
      </c>
      <c r="E309" t="str">
        <f>VLOOKUP(Table2[[#This Row],[Customer ID]],Table2[#All],4,FALSE)</f>
        <v>No</v>
      </c>
      <c r="F309" t="str">
        <f>VLOOKUP(Table2[[#This Row],[Customer ID]],Table2[#All],5,FALSE)</f>
        <v>No</v>
      </c>
      <c r="G309" t="str">
        <f>VLOOKUP(Table2[[#This Row],[Customer ID]],Table2[#All],6,FALSE)</f>
        <v>No</v>
      </c>
      <c r="H309">
        <f>VLOOKUP(Table2[[#This Row],[Customer ID]],Table2[#All],7,FALSE)</f>
        <v>0</v>
      </c>
      <c r="I309" t="str">
        <f>VLOOKUP(Table2[[#This Row],[Customer ID]],Table2[#All],8,FALSE)</f>
        <v>Yes</v>
      </c>
      <c r="J309" t="str">
        <f>VLOOKUP(Table2[[#This Row],[Customer ID]],Table2[#All],9,FALSE)</f>
        <v>Obesity</v>
      </c>
      <c r="K309" t="str">
        <f>VLOOKUP(Table2[[#This Row],[Customer ID]],Table2[#All],10,FALSE)</f>
        <v>Prediabetes</v>
      </c>
    </row>
    <row r="310" spans="1:11" ht="15.6" x14ac:dyDescent="0.3">
      <c r="A310" s="1" t="s">
        <v>2063</v>
      </c>
      <c r="B310" t="str">
        <f>VLOOKUP('Customer Names'!A310,'Customer Names'!$A$1:$E$2336,4,FALSE)</f>
        <v>Ms.  Michele</v>
      </c>
      <c r="C310">
        <f>VLOOKUP(Table2[[#This Row],[Customer ID]],Table2[#All],2,FALSE)</f>
        <v>18.63</v>
      </c>
      <c r="D310">
        <f>VLOOKUP(Table2[[#This Row],[Customer ID]],Table2[#All],3,FALSE)</f>
        <v>9.81</v>
      </c>
      <c r="E310" t="str">
        <f>VLOOKUP(Table2[[#This Row],[Customer ID]],Table2[#All],4,FALSE)</f>
        <v>Yes</v>
      </c>
      <c r="F310" t="str">
        <f>VLOOKUP(Table2[[#This Row],[Customer ID]],Table2[#All],5,FALSE)</f>
        <v>No</v>
      </c>
      <c r="G310" t="str">
        <f>VLOOKUP(Table2[[#This Row],[Customer ID]],Table2[#All],6,FALSE)</f>
        <v>No</v>
      </c>
      <c r="H310">
        <f>VLOOKUP(Table2[[#This Row],[Customer ID]],Table2[#All],7,FALSE)</f>
        <v>2</v>
      </c>
      <c r="I310" t="str">
        <f>VLOOKUP(Table2[[#This Row],[Customer ID]],Table2[#All],8,FALSE)</f>
        <v>Yes</v>
      </c>
      <c r="J310" t="str">
        <f>VLOOKUP(Table2[[#This Row],[Customer ID]],Table2[#All],9,FALSE)</f>
        <v>Normalweight</v>
      </c>
      <c r="K310" t="str">
        <f>VLOOKUP(Table2[[#This Row],[Customer ID]],Table2[#All],10,FALSE)</f>
        <v>Diabetes</v>
      </c>
    </row>
    <row r="311" spans="1:11" ht="15.6" x14ac:dyDescent="0.3">
      <c r="A311" s="1" t="s">
        <v>2062</v>
      </c>
      <c r="B311" t="str">
        <f>VLOOKUP('Customer Names'!A311,'Customer Names'!$A$1:$E$2336,4,FALSE)</f>
        <v>Ms.  Nikki</v>
      </c>
      <c r="C311">
        <f>VLOOKUP(Table2[[#This Row],[Customer ID]],Table2[#All],2,FALSE)</f>
        <v>26.26</v>
      </c>
      <c r="D311">
        <f>VLOOKUP(Table2[[#This Row],[Customer ID]],Table2[#All],3,FALSE)</f>
        <v>11.8</v>
      </c>
      <c r="E311" t="str">
        <f>VLOOKUP(Table2[[#This Row],[Customer ID]],Table2[#All],4,FALSE)</f>
        <v>Yes</v>
      </c>
      <c r="F311" t="str">
        <f>VLOOKUP(Table2[[#This Row],[Customer ID]],Table2[#All],5,FALSE)</f>
        <v>No</v>
      </c>
      <c r="G311" t="str">
        <f>VLOOKUP(Table2[[#This Row],[Customer ID]],Table2[#All],6,FALSE)</f>
        <v>No</v>
      </c>
      <c r="H311">
        <f>VLOOKUP(Table2[[#This Row],[Customer ID]],Table2[#All],7,FALSE)</f>
        <v>1</v>
      </c>
      <c r="I311" t="str">
        <f>VLOOKUP(Table2[[#This Row],[Customer ID]],Table2[#All],8,FALSE)</f>
        <v>Yes</v>
      </c>
      <c r="J311" t="str">
        <f>VLOOKUP(Table2[[#This Row],[Customer ID]],Table2[#All],9,FALSE)</f>
        <v>Overweight</v>
      </c>
      <c r="K311" t="str">
        <f>VLOOKUP(Table2[[#This Row],[Customer ID]],Table2[#All],10,FALSE)</f>
        <v>Diabetes</v>
      </c>
    </row>
    <row r="312" spans="1:11" ht="15.6" x14ac:dyDescent="0.3">
      <c r="A312" s="1" t="s">
        <v>2061</v>
      </c>
      <c r="B312" t="str">
        <f>VLOOKUP('Customer Names'!A312,'Customer Names'!$A$1:$E$2336,4,FALSE)</f>
        <v>Mr.  Philip J.</v>
      </c>
      <c r="C312">
        <f>VLOOKUP(Table2[[#This Row],[Customer ID]],Table2[#All],2,FALSE)</f>
        <v>22.37</v>
      </c>
      <c r="D312">
        <f>VLOOKUP(Table2[[#This Row],[Customer ID]],Table2[#All],3,FALSE)</f>
        <v>5.86</v>
      </c>
      <c r="E312" t="str">
        <f>VLOOKUP(Table2[[#This Row],[Customer ID]],Table2[#All],4,FALSE)</f>
        <v>Yes</v>
      </c>
      <c r="F312" t="str">
        <f>VLOOKUP(Table2[[#This Row],[Customer ID]],Table2[#All],5,FALSE)</f>
        <v>No</v>
      </c>
      <c r="G312" t="str">
        <f>VLOOKUP(Table2[[#This Row],[Customer ID]],Table2[#All],6,FALSE)</f>
        <v>Yes</v>
      </c>
      <c r="H312">
        <f>VLOOKUP(Table2[[#This Row],[Customer ID]],Table2[#All],7,FALSE)</f>
        <v>1</v>
      </c>
      <c r="I312" t="str">
        <f>VLOOKUP(Table2[[#This Row],[Customer ID]],Table2[#All],8,FALSE)</f>
        <v>Yes</v>
      </c>
      <c r="J312" t="str">
        <f>VLOOKUP(Table2[[#This Row],[Customer ID]],Table2[#All],9,FALSE)</f>
        <v>Normalweight</v>
      </c>
      <c r="K312" t="str">
        <f>VLOOKUP(Table2[[#This Row],[Customer ID]],Table2[#All],10,FALSE)</f>
        <v>Prediabetes</v>
      </c>
    </row>
    <row r="313" spans="1:11" ht="15.6" x14ac:dyDescent="0.3">
      <c r="A313" s="1" t="s">
        <v>2060</v>
      </c>
      <c r="B313" t="str">
        <f>VLOOKUP('Customer Names'!A313,'Customer Names'!$A$1:$E$2336,4,FALSE)</f>
        <v>Mr.  Bryan L</v>
      </c>
      <c r="C313">
        <f>VLOOKUP(Table2[[#This Row],[Customer ID]],Table2[#All],2,FALSE)</f>
        <v>39.619999999999997</v>
      </c>
      <c r="D313">
        <f>VLOOKUP(Table2[[#This Row],[Customer ID]],Table2[#All],3,FALSE)</f>
        <v>4.28</v>
      </c>
      <c r="E313" t="str">
        <f>VLOOKUP(Table2[[#This Row],[Customer ID]],Table2[#All],4,FALSE)</f>
        <v>No</v>
      </c>
      <c r="F313" t="str">
        <f>VLOOKUP(Table2[[#This Row],[Customer ID]],Table2[#All],5,FALSE)</f>
        <v>No</v>
      </c>
      <c r="G313" t="str">
        <f>VLOOKUP(Table2[[#This Row],[Customer ID]],Table2[#All],6,FALSE)</f>
        <v>No</v>
      </c>
      <c r="H313">
        <f>VLOOKUP(Table2[[#This Row],[Customer ID]],Table2[#All],7,FALSE)</f>
        <v>1</v>
      </c>
      <c r="I313" t="str">
        <f>VLOOKUP(Table2[[#This Row],[Customer ID]],Table2[#All],8,FALSE)</f>
        <v>Yes</v>
      </c>
      <c r="J313" t="str">
        <f>VLOOKUP(Table2[[#This Row],[Customer ID]],Table2[#All],9,FALSE)</f>
        <v>Obesity</v>
      </c>
      <c r="K313" t="str">
        <f>VLOOKUP(Table2[[#This Row],[Customer ID]],Table2[#All],10,FALSE)</f>
        <v>Normal</v>
      </c>
    </row>
    <row r="314" spans="1:11" ht="15.6" x14ac:dyDescent="0.3">
      <c r="A314" s="1" t="s">
        <v>2059</v>
      </c>
      <c r="B314" t="str">
        <f>VLOOKUP('Customer Names'!A314,'Customer Names'!$A$1:$E$2336,4,FALSE)</f>
        <v>Mr.  Timothy F</v>
      </c>
      <c r="C314">
        <f>VLOOKUP(Table2[[#This Row],[Customer ID]],Table2[#All],2,FALSE)</f>
        <v>18.329999999999998</v>
      </c>
      <c r="D314">
        <f>VLOOKUP(Table2[[#This Row],[Customer ID]],Table2[#All],3,FALSE)</f>
        <v>4.16</v>
      </c>
      <c r="E314" t="str">
        <f>VLOOKUP(Table2[[#This Row],[Customer ID]],Table2[#All],4,FALSE)</f>
        <v>Yes</v>
      </c>
      <c r="F314" t="str">
        <f>VLOOKUP(Table2[[#This Row],[Customer ID]],Table2[#All],5,FALSE)</f>
        <v>No</v>
      </c>
      <c r="G314" t="str">
        <f>VLOOKUP(Table2[[#This Row],[Customer ID]],Table2[#All],6,FALSE)</f>
        <v>No</v>
      </c>
      <c r="H314">
        <f>VLOOKUP(Table2[[#This Row],[Customer ID]],Table2[#All],7,FALSE)</f>
        <v>0</v>
      </c>
      <c r="I314" t="str">
        <f>VLOOKUP(Table2[[#This Row],[Customer ID]],Table2[#All],8,FALSE)</f>
        <v>Yes</v>
      </c>
      <c r="J314" t="str">
        <f>VLOOKUP(Table2[[#This Row],[Customer ID]],Table2[#All],9,FALSE)</f>
        <v>Underweight</v>
      </c>
      <c r="K314" t="str">
        <f>VLOOKUP(Table2[[#This Row],[Customer ID]],Table2[#All],10,FALSE)</f>
        <v>Normal</v>
      </c>
    </row>
    <row r="315" spans="1:11" ht="15.6" x14ac:dyDescent="0.3">
      <c r="A315" s="1" t="s">
        <v>2058</v>
      </c>
      <c r="B315" t="str">
        <f>VLOOKUP('Customer Names'!A315,'Customer Names'!$A$1:$E$2336,4,FALSE)</f>
        <v>Ms.  Angielyn M</v>
      </c>
      <c r="C315">
        <f>VLOOKUP(Table2[[#This Row],[Customer ID]],Table2[#All],2,FALSE)</f>
        <v>17.11</v>
      </c>
      <c r="D315">
        <f>VLOOKUP(Table2[[#This Row],[Customer ID]],Table2[#All],3,FALSE)</f>
        <v>4.9800000000000004</v>
      </c>
      <c r="E315" t="str">
        <f>VLOOKUP(Table2[[#This Row],[Customer ID]],Table2[#All],4,FALSE)</f>
        <v>Yes</v>
      </c>
      <c r="F315" t="str">
        <f>VLOOKUP(Table2[[#This Row],[Customer ID]],Table2[#All],5,FALSE)</f>
        <v>No</v>
      </c>
      <c r="G315" t="str">
        <f>VLOOKUP(Table2[[#This Row],[Customer ID]],Table2[#All],6,FALSE)</f>
        <v>Yes</v>
      </c>
      <c r="H315">
        <f>VLOOKUP(Table2[[#This Row],[Customer ID]],Table2[#All],7,FALSE)</f>
        <v>1</v>
      </c>
      <c r="I315" t="str">
        <f>VLOOKUP(Table2[[#This Row],[Customer ID]],Table2[#All],8,FALSE)</f>
        <v>Yes</v>
      </c>
      <c r="J315" t="str">
        <f>VLOOKUP(Table2[[#This Row],[Customer ID]],Table2[#All],9,FALSE)</f>
        <v>Underweight</v>
      </c>
      <c r="K315" t="str">
        <f>VLOOKUP(Table2[[#This Row],[Customer ID]],Table2[#All],10,FALSE)</f>
        <v>Normal</v>
      </c>
    </row>
    <row r="316" spans="1:11" ht="15.6" x14ac:dyDescent="0.3">
      <c r="A316" s="1" t="s">
        <v>2057</v>
      </c>
      <c r="B316" t="str">
        <f>VLOOKUP('Customer Names'!A316,'Customer Names'!$A$1:$E$2336,4,FALSE)</f>
        <v>Ms.  Jeanie M.</v>
      </c>
      <c r="C316">
        <f>VLOOKUP(Table2[[#This Row],[Customer ID]],Table2[#All],2,FALSE)</f>
        <v>43.5</v>
      </c>
      <c r="D316">
        <f>VLOOKUP(Table2[[#This Row],[Customer ID]],Table2[#All],3,FALSE)</f>
        <v>6.38</v>
      </c>
      <c r="E316" t="str">
        <f>VLOOKUP(Table2[[#This Row],[Customer ID]],Table2[#All],4,FALSE)</f>
        <v>No</v>
      </c>
      <c r="F316" t="str">
        <f>VLOOKUP(Table2[[#This Row],[Customer ID]],Table2[#All],5,FALSE)</f>
        <v>yes</v>
      </c>
      <c r="G316" t="str">
        <f>VLOOKUP(Table2[[#This Row],[Customer ID]],Table2[#All],6,FALSE)</f>
        <v>No</v>
      </c>
      <c r="H316">
        <f>VLOOKUP(Table2[[#This Row],[Customer ID]],Table2[#All],7,FALSE)</f>
        <v>1</v>
      </c>
      <c r="I316" t="str">
        <f>VLOOKUP(Table2[[#This Row],[Customer ID]],Table2[#All],8,FALSE)</f>
        <v>Yes</v>
      </c>
      <c r="J316" t="str">
        <f>VLOOKUP(Table2[[#This Row],[Customer ID]],Table2[#All],9,FALSE)</f>
        <v>Obesity</v>
      </c>
      <c r="K316" t="str">
        <f>VLOOKUP(Table2[[#This Row],[Customer ID]],Table2[#All],10,FALSE)</f>
        <v>Prediabetes</v>
      </c>
    </row>
    <row r="317" spans="1:11" ht="15.6" x14ac:dyDescent="0.3">
      <c r="A317" s="1" t="s">
        <v>2056</v>
      </c>
      <c r="B317" t="str">
        <f>VLOOKUP('Customer Names'!A317,'Customer Names'!$A$1:$E$2336,4,FALSE)</f>
        <v>Mr.  Greg</v>
      </c>
      <c r="C317">
        <f>VLOOKUP(Table2[[#This Row],[Customer ID]],Table2[#All],2,FALSE)</f>
        <v>25.364999999999998</v>
      </c>
      <c r="D317">
        <f>VLOOKUP(Table2[[#This Row],[Customer ID]],Table2[#All],3,FALSE)</f>
        <v>5.19</v>
      </c>
      <c r="E317" t="str">
        <f>VLOOKUP(Table2[[#This Row],[Customer ID]],Table2[#All],4,FALSE)</f>
        <v>No</v>
      </c>
      <c r="F317" t="str">
        <f>VLOOKUP(Table2[[#This Row],[Customer ID]],Table2[#All],5,FALSE)</f>
        <v>No</v>
      </c>
      <c r="G317" t="str">
        <f>VLOOKUP(Table2[[#This Row],[Customer ID]],Table2[#All],6,FALSE)</f>
        <v>No</v>
      </c>
      <c r="H317">
        <f>VLOOKUP(Table2[[#This Row],[Customer ID]],Table2[#All],7,FALSE)</f>
        <v>2</v>
      </c>
      <c r="I317" t="str">
        <f>VLOOKUP(Table2[[#This Row],[Customer ID]],Table2[#All],8,FALSE)</f>
        <v>No</v>
      </c>
      <c r="J317" t="str">
        <f>VLOOKUP(Table2[[#This Row],[Customer ID]],Table2[#All],9,FALSE)</f>
        <v>Overweight</v>
      </c>
      <c r="K317" t="str">
        <f>VLOOKUP(Table2[[#This Row],[Customer ID]],Table2[#All],10,FALSE)</f>
        <v>Normal</v>
      </c>
    </row>
    <row r="318" spans="1:11" ht="15.6" x14ac:dyDescent="0.3">
      <c r="A318" s="1" t="s">
        <v>2055</v>
      </c>
      <c r="B318" t="str">
        <f>VLOOKUP('Customer Names'!A318,'Customer Names'!$A$1:$E$2336,4,FALSE)</f>
        <v>Mr.  John</v>
      </c>
      <c r="C318">
        <f>VLOOKUP(Table2[[#This Row],[Customer ID]],Table2[#All],2,FALSE)</f>
        <v>28.594999999999999</v>
      </c>
      <c r="D318">
        <f>VLOOKUP(Table2[[#This Row],[Customer ID]],Table2[#All],3,FALSE)</f>
        <v>10.210000000000001</v>
      </c>
      <c r="E318" t="str">
        <f>VLOOKUP(Table2[[#This Row],[Customer ID]],Table2[#All],4,FALSE)</f>
        <v>No</v>
      </c>
      <c r="F318" t="str">
        <f>VLOOKUP(Table2[[#This Row],[Customer ID]],Table2[#All],5,FALSE)</f>
        <v>No</v>
      </c>
      <c r="G318" t="str">
        <f>VLOOKUP(Table2[[#This Row],[Customer ID]],Table2[#All],6,FALSE)</f>
        <v>No</v>
      </c>
      <c r="H318">
        <f>VLOOKUP(Table2[[#This Row],[Customer ID]],Table2[#All],7,FALSE)</f>
        <v>0</v>
      </c>
      <c r="I318" t="str">
        <f>VLOOKUP(Table2[[#This Row],[Customer ID]],Table2[#All],8,FALSE)</f>
        <v>No</v>
      </c>
      <c r="J318" t="str">
        <f>VLOOKUP(Table2[[#This Row],[Customer ID]],Table2[#All],9,FALSE)</f>
        <v>Overweight</v>
      </c>
      <c r="K318" t="str">
        <f>VLOOKUP(Table2[[#This Row],[Customer ID]],Table2[#All],10,FALSE)</f>
        <v>Diabetes</v>
      </c>
    </row>
    <row r="319" spans="1:11" ht="15.6" x14ac:dyDescent="0.3">
      <c r="A319" s="1" t="s">
        <v>2054</v>
      </c>
      <c r="B319" t="str">
        <f>VLOOKUP('Customer Names'!A319,'Customer Names'!$A$1:$E$2336,4,FALSE)</f>
        <v>Mr.  Aliaksandr</v>
      </c>
      <c r="C319">
        <f>VLOOKUP(Table2[[#This Row],[Customer ID]],Table2[#All],2,FALSE)</f>
        <v>29.83</v>
      </c>
      <c r="D319">
        <f>VLOOKUP(Table2[[#This Row],[Customer ID]],Table2[#All],3,FALSE)</f>
        <v>9.6999999999999993</v>
      </c>
      <c r="E319" t="str">
        <f>VLOOKUP(Table2[[#This Row],[Customer ID]],Table2[#All],4,FALSE)</f>
        <v>Yes</v>
      </c>
      <c r="F319" t="str">
        <f>VLOOKUP(Table2[[#This Row],[Customer ID]],Table2[#All],5,FALSE)</f>
        <v>No</v>
      </c>
      <c r="G319" t="str">
        <f>VLOOKUP(Table2[[#This Row],[Customer ID]],Table2[#All],6,FALSE)</f>
        <v>Yes</v>
      </c>
      <c r="H319">
        <f>VLOOKUP(Table2[[#This Row],[Customer ID]],Table2[#All],7,FALSE)</f>
        <v>1</v>
      </c>
      <c r="I319" t="str">
        <f>VLOOKUP(Table2[[#This Row],[Customer ID]],Table2[#All],8,FALSE)</f>
        <v>Yes</v>
      </c>
      <c r="J319" t="str">
        <f>VLOOKUP(Table2[[#This Row],[Customer ID]],Table2[#All],9,FALSE)</f>
        <v>Overweight</v>
      </c>
      <c r="K319" t="str">
        <f>VLOOKUP(Table2[[#This Row],[Customer ID]],Table2[#All],10,FALSE)</f>
        <v>Diabetes</v>
      </c>
    </row>
    <row r="320" spans="1:11" ht="15.6" x14ac:dyDescent="0.3">
      <c r="A320" s="1" t="s">
        <v>2053</v>
      </c>
      <c r="B320" t="str">
        <f>VLOOKUP('Customer Names'!A320,'Customer Names'!$A$1:$E$2336,4,FALSE)</f>
        <v>Mr.  Jason M.</v>
      </c>
      <c r="C320">
        <f>VLOOKUP(Table2[[#This Row],[Customer ID]],Table2[#All],2,FALSE)</f>
        <v>24.7</v>
      </c>
      <c r="D320">
        <f>VLOOKUP(Table2[[#This Row],[Customer ID]],Table2[#All],3,FALSE)</f>
        <v>10.25</v>
      </c>
      <c r="E320" t="str">
        <f>VLOOKUP(Table2[[#This Row],[Customer ID]],Table2[#All],4,FALSE)</f>
        <v>No</v>
      </c>
      <c r="F320" t="str">
        <f>VLOOKUP(Table2[[#This Row],[Customer ID]],Table2[#All],5,FALSE)</f>
        <v>No</v>
      </c>
      <c r="G320" t="str">
        <f>VLOOKUP(Table2[[#This Row],[Customer ID]],Table2[#All],6,FALSE)</f>
        <v>No</v>
      </c>
      <c r="H320">
        <f>VLOOKUP(Table2[[#This Row],[Customer ID]],Table2[#All],7,FALSE)</f>
        <v>3</v>
      </c>
      <c r="I320" t="str">
        <f>VLOOKUP(Table2[[#This Row],[Customer ID]],Table2[#All],8,FALSE)</f>
        <v>No</v>
      </c>
      <c r="J320" t="str">
        <f>VLOOKUP(Table2[[#This Row],[Customer ID]],Table2[#All],9,FALSE)</f>
        <v>Normalweight</v>
      </c>
      <c r="K320" t="str">
        <f>VLOOKUP(Table2[[#This Row],[Customer ID]],Table2[#All],10,FALSE)</f>
        <v>Diabetes</v>
      </c>
    </row>
    <row r="321" spans="1:11" ht="15.6" x14ac:dyDescent="0.3">
      <c r="A321" s="1" t="s">
        <v>2052</v>
      </c>
      <c r="B321" t="str">
        <f>VLOOKUP('Customer Names'!A321,'Customer Names'!$A$1:$E$2336,4,FALSE)</f>
        <v>Ms.  Sheera K</v>
      </c>
      <c r="C321">
        <f>VLOOKUP(Table2[[#This Row],[Customer ID]],Table2[#All],2,FALSE)</f>
        <v>17.940000000000001</v>
      </c>
      <c r="D321">
        <f>VLOOKUP(Table2[[#This Row],[Customer ID]],Table2[#All],3,FALSE)</f>
        <v>9.77</v>
      </c>
      <c r="E321" t="str">
        <f>VLOOKUP(Table2[[#This Row],[Customer ID]],Table2[#All],4,FALSE)</f>
        <v>No</v>
      </c>
      <c r="F321" t="str">
        <f>VLOOKUP(Table2[[#This Row],[Customer ID]],Table2[#All],5,FALSE)</f>
        <v>No</v>
      </c>
      <c r="G321" t="str">
        <f>VLOOKUP(Table2[[#This Row],[Customer ID]],Table2[#All],6,FALSE)</f>
        <v>No</v>
      </c>
      <c r="H321">
        <f>VLOOKUP(Table2[[#This Row],[Customer ID]],Table2[#All],7,FALSE)</f>
        <v>0</v>
      </c>
      <c r="I321" t="str">
        <f>VLOOKUP(Table2[[#This Row],[Customer ID]],Table2[#All],8,FALSE)</f>
        <v>Yes</v>
      </c>
      <c r="J321" t="str">
        <f>VLOOKUP(Table2[[#This Row],[Customer ID]],Table2[#All],9,FALSE)</f>
        <v>Underweight</v>
      </c>
      <c r="K321" t="str">
        <f>VLOOKUP(Table2[[#This Row],[Customer ID]],Table2[#All],10,FALSE)</f>
        <v>Diabetes</v>
      </c>
    </row>
    <row r="322" spans="1:11" ht="15.6" x14ac:dyDescent="0.3">
      <c r="A322" s="1" t="s">
        <v>2051</v>
      </c>
      <c r="B322" t="str">
        <f>VLOOKUP('Customer Names'!A322,'Customer Names'!$A$1:$E$2336,4,FALSE)</f>
        <v>Ms.  Janice</v>
      </c>
      <c r="C322">
        <f>VLOOKUP(Table2[[#This Row],[Customer ID]],Table2[#All],2,FALSE)</f>
        <v>21.08</v>
      </c>
      <c r="D322">
        <f>VLOOKUP(Table2[[#This Row],[Customer ID]],Table2[#All],3,FALSE)</f>
        <v>4.83</v>
      </c>
      <c r="E322" t="str">
        <f>VLOOKUP(Table2[[#This Row],[Customer ID]],Table2[#All],4,FALSE)</f>
        <v>No</v>
      </c>
      <c r="F322" t="str">
        <f>VLOOKUP(Table2[[#This Row],[Customer ID]],Table2[#All],5,FALSE)</f>
        <v>No</v>
      </c>
      <c r="G322" t="str">
        <f>VLOOKUP(Table2[[#This Row],[Customer ID]],Table2[#All],6,FALSE)</f>
        <v>Yes</v>
      </c>
      <c r="H322">
        <f>VLOOKUP(Table2[[#This Row],[Customer ID]],Table2[#All],7,FALSE)</f>
        <v>1</v>
      </c>
      <c r="I322" t="str">
        <f>VLOOKUP(Table2[[#This Row],[Customer ID]],Table2[#All],8,FALSE)</f>
        <v>Yes</v>
      </c>
      <c r="J322" t="str">
        <f>VLOOKUP(Table2[[#This Row],[Customer ID]],Table2[#All],9,FALSE)</f>
        <v>Normalweight</v>
      </c>
      <c r="K322" t="str">
        <f>VLOOKUP(Table2[[#This Row],[Customer ID]],Table2[#All],10,FALSE)</f>
        <v>Normal</v>
      </c>
    </row>
    <row r="323" spans="1:11" ht="15.6" x14ac:dyDescent="0.3">
      <c r="A323" s="1" t="s">
        <v>2050</v>
      </c>
      <c r="B323" t="str">
        <f>VLOOKUP('Customer Names'!A323,'Customer Names'!$A$1:$E$2336,4,FALSE)</f>
        <v>Mr.  Timothy G.</v>
      </c>
      <c r="C323">
        <f>VLOOKUP(Table2[[#This Row],[Customer ID]],Table2[#All],2,FALSE)</f>
        <v>37.715000000000003</v>
      </c>
      <c r="D323">
        <f>VLOOKUP(Table2[[#This Row],[Customer ID]],Table2[#All],3,FALSE)</f>
        <v>10.86</v>
      </c>
      <c r="E323" t="str">
        <f>VLOOKUP(Table2[[#This Row],[Customer ID]],Table2[#All],4,FALSE)</f>
        <v>Yes</v>
      </c>
      <c r="F323" t="str">
        <f>VLOOKUP(Table2[[#This Row],[Customer ID]],Table2[#All],5,FALSE)</f>
        <v>No</v>
      </c>
      <c r="G323" t="str">
        <f>VLOOKUP(Table2[[#This Row],[Customer ID]],Table2[#All],6,FALSE)</f>
        <v>No</v>
      </c>
      <c r="H323">
        <f>VLOOKUP(Table2[[#This Row],[Customer ID]],Table2[#All],7,FALSE)</f>
        <v>0</v>
      </c>
      <c r="I323" t="str">
        <f>VLOOKUP(Table2[[#This Row],[Customer ID]],Table2[#All],8,FALSE)</f>
        <v>No</v>
      </c>
      <c r="J323" t="str">
        <f>VLOOKUP(Table2[[#This Row],[Customer ID]],Table2[#All],9,FALSE)</f>
        <v>Obesity</v>
      </c>
      <c r="K323" t="str">
        <f>VLOOKUP(Table2[[#This Row],[Customer ID]],Table2[#All],10,FALSE)</f>
        <v>Diabetes</v>
      </c>
    </row>
    <row r="324" spans="1:11" ht="15.6" x14ac:dyDescent="0.3">
      <c r="A324" s="1" t="s">
        <v>2049</v>
      </c>
      <c r="B324" t="str">
        <f>VLOOKUP('Customer Names'!A324,'Customer Names'!$A$1:$E$2336,4,FALSE)</f>
        <v>Mr.  Alan R</v>
      </c>
      <c r="C324">
        <f>VLOOKUP(Table2[[#This Row],[Customer ID]],Table2[#All],2,FALSE)</f>
        <v>22.39</v>
      </c>
      <c r="D324">
        <f>VLOOKUP(Table2[[#This Row],[Customer ID]],Table2[#All],3,FALSE)</f>
        <v>9.5299999999999994</v>
      </c>
      <c r="E324" t="str">
        <f>VLOOKUP(Table2[[#This Row],[Customer ID]],Table2[#All],4,FALSE)</f>
        <v>Yes</v>
      </c>
      <c r="F324" t="str">
        <f>VLOOKUP(Table2[[#This Row],[Customer ID]],Table2[#All],5,FALSE)</f>
        <v>No</v>
      </c>
      <c r="G324" t="str">
        <f>VLOOKUP(Table2[[#This Row],[Customer ID]],Table2[#All],6,FALSE)</f>
        <v>No</v>
      </c>
      <c r="H324">
        <f>VLOOKUP(Table2[[#This Row],[Customer ID]],Table2[#All],7,FALSE)</f>
        <v>0</v>
      </c>
      <c r="I324" t="str">
        <f>VLOOKUP(Table2[[#This Row],[Customer ID]],Table2[#All],8,FALSE)</f>
        <v>Yes</v>
      </c>
      <c r="J324" t="str">
        <f>VLOOKUP(Table2[[#This Row],[Customer ID]],Table2[#All],9,FALSE)</f>
        <v>Normalweight</v>
      </c>
      <c r="K324" t="str">
        <f>VLOOKUP(Table2[[#This Row],[Customer ID]],Table2[#All],10,FALSE)</f>
        <v>Diabetes</v>
      </c>
    </row>
    <row r="325" spans="1:11" ht="15.6" x14ac:dyDescent="0.3">
      <c r="A325" s="1" t="s">
        <v>2048</v>
      </c>
      <c r="B325" t="str">
        <f>VLOOKUP('Customer Names'!A325,'Customer Names'!$A$1:$E$2336,4,FALSE)</f>
        <v>Mr.  Michael</v>
      </c>
      <c r="C325">
        <f>VLOOKUP(Table2[[#This Row],[Customer ID]],Table2[#All],2,FALSE)</f>
        <v>28.78</v>
      </c>
      <c r="D325">
        <f>VLOOKUP(Table2[[#This Row],[Customer ID]],Table2[#All],3,FALSE)</f>
        <v>5.68</v>
      </c>
      <c r="E325" t="str">
        <f>VLOOKUP(Table2[[#This Row],[Customer ID]],Table2[#All],4,FALSE)</f>
        <v>No</v>
      </c>
      <c r="F325" t="str">
        <f>VLOOKUP(Table2[[#This Row],[Customer ID]],Table2[#All],5,FALSE)</f>
        <v>No</v>
      </c>
      <c r="G325" t="str">
        <f>VLOOKUP(Table2[[#This Row],[Customer ID]],Table2[#All],6,FALSE)</f>
        <v>No</v>
      </c>
      <c r="H325">
        <f>VLOOKUP(Table2[[#This Row],[Customer ID]],Table2[#All],7,FALSE)</f>
        <v>0</v>
      </c>
      <c r="I325" t="str">
        <f>VLOOKUP(Table2[[#This Row],[Customer ID]],Table2[#All],8,FALSE)</f>
        <v>Yes</v>
      </c>
      <c r="J325" t="str">
        <f>VLOOKUP(Table2[[#This Row],[Customer ID]],Table2[#All],9,FALSE)</f>
        <v>Overweight</v>
      </c>
      <c r="K325" t="str">
        <f>VLOOKUP(Table2[[#This Row],[Customer ID]],Table2[#All],10,FALSE)</f>
        <v>Normal</v>
      </c>
    </row>
    <row r="326" spans="1:11" ht="15.6" x14ac:dyDescent="0.3">
      <c r="A326" s="1" t="s">
        <v>2047</v>
      </c>
      <c r="B326" t="str">
        <f>VLOOKUP('Customer Names'!A326,'Customer Names'!$A$1:$E$2336,4,FALSE)</f>
        <v>Ms.  Marie-France</v>
      </c>
      <c r="C326">
        <f>VLOOKUP(Table2[[#This Row],[Customer ID]],Table2[#All],2,FALSE)</f>
        <v>18.329999999999998</v>
      </c>
      <c r="D326">
        <f>VLOOKUP(Table2[[#This Row],[Customer ID]],Table2[#All],3,FALSE)</f>
        <v>5.57</v>
      </c>
      <c r="E326" t="str">
        <f>VLOOKUP(Table2[[#This Row],[Customer ID]],Table2[#All],4,FALSE)</f>
        <v>Yes</v>
      </c>
      <c r="F326" t="str">
        <f>VLOOKUP(Table2[[#This Row],[Customer ID]],Table2[#All],5,FALSE)</f>
        <v>No</v>
      </c>
      <c r="G326" t="str">
        <f>VLOOKUP(Table2[[#This Row],[Customer ID]],Table2[#All],6,FALSE)</f>
        <v>No</v>
      </c>
      <c r="H326">
        <f>VLOOKUP(Table2[[#This Row],[Customer ID]],Table2[#All],7,FALSE)</f>
        <v>0</v>
      </c>
      <c r="I326" t="str">
        <f>VLOOKUP(Table2[[#This Row],[Customer ID]],Table2[#All],8,FALSE)</f>
        <v>Yes</v>
      </c>
      <c r="J326" t="str">
        <f>VLOOKUP(Table2[[#This Row],[Customer ID]],Table2[#All],9,FALSE)</f>
        <v>Underweight</v>
      </c>
      <c r="K326" t="str">
        <f>VLOOKUP(Table2[[#This Row],[Customer ID]],Table2[#All],10,FALSE)</f>
        <v>Normal</v>
      </c>
    </row>
    <row r="327" spans="1:11" ht="15.6" x14ac:dyDescent="0.3">
      <c r="A327" s="1" t="s">
        <v>2046</v>
      </c>
      <c r="B327" t="str">
        <f>VLOOKUP('Customer Names'!A327,'Customer Names'!$A$1:$E$2336,4,FALSE)</f>
        <v>Mr.  Erik F.</v>
      </c>
      <c r="C327">
        <f>VLOOKUP(Table2[[#This Row],[Customer ID]],Table2[#All],2,FALSE)</f>
        <v>26.39</v>
      </c>
      <c r="D327">
        <f>VLOOKUP(Table2[[#This Row],[Customer ID]],Table2[#All],3,FALSE)</f>
        <v>4.58</v>
      </c>
      <c r="E327" t="str">
        <f>VLOOKUP(Table2[[#This Row],[Customer ID]],Table2[#All],4,FALSE)</f>
        <v>Yes</v>
      </c>
      <c r="F327" t="str">
        <f>VLOOKUP(Table2[[#This Row],[Customer ID]],Table2[#All],5,FALSE)</f>
        <v>No</v>
      </c>
      <c r="G327" t="str">
        <f>VLOOKUP(Table2[[#This Row],[Customer ID]],Table2[#All],6,FALSE)</f>
        <v>No</v>
      </c>
      <c r="H327">
        <f>VLOOKUP(Table2[[#This Row],[Customer ID]],Table2[#All],7,FALSE)</f>
        <v>1</v>
      </c>
      <c r="I327" t="str">
        <f>VLOOKUP(Table2[[#This Row],[Customer ID]],Table2[#All],8,FALSE)</f>
        <v>Yes</v>
      </c>
      <c r="J327" t="str">
        <f>VLOOKUP(Table2[[#This Row],[Customer ID]],Table2[#All],9,FALSE)</f>
        <v>Overweight</v>
      </c>
      <c r="K327" t="str">
        <f>VLOOKUP(Table2[[#This Row],[Customer ID]],Table2[#All],10,FALSE)</f>
        <v>Normal</v>
      </c>
    </row>
    <row r="328" spans="1:11" ht="15.6" x14ac:dyDescent="0.3">
      <c r="A328" s="1" t="s">
        <v>2045</v>
      </c>
      <c r="B328" t="str">
        <f>VLOOKUP('Customer Names'!A328,'Customer Names'!$A$1:$E$2336,4,FALSE)</f>
        <v>Mr.  Andrew</v>
      </c>
      <c r="C328">
        <f>VLOOKUP(Table2[[#This Row],[Customer ID]],Table2[#All],2,FALSE)</f>
        <v>19.260000000000002</v>
      </c>
      <c r="D328">
        <f>VLOOKUP(Table2[[#This Row],[Customer ID]],Table2[#All],3,FALSE)</f>
        <v>8.9600000000000009</v>
      </c>
      <c r="E328" t="str">
        <f>VLOOKUP(Table2[[#This Row],[Customer ID]],Table2[#All],4,FALSE)</f>
        <v>Yes</v>
      </c>
      <c r="F328" t="str">
        <f>VLOOKUP(Table2[[#This Row],[Customer ID]],Table2[#All],5,FALSE)</f>
        <v>No</v>
      </c>
      <c r="G328" t="str">
        <f>VLOOKUP(Table2[[#This Row],[Customer ID]],Table2[#All],6,FALSE)</f>
        <v>No</v>
      </c>
      <c r="H328">
        <f>VLOOKUP(Table2[[#This Row],[Customer ID]],Table2[#All],7,FALSE)</f>
        <v>1</v>
      </c>
      <c r="I328" t="str">
        <f>VLOOKUP(Table2[[#This Row],[Customer ID]],Table2[#All],8,FALSE)</f>
        <v>Yes</v>
      </c>
      <c r="J328" t="str">
        <f>VLOOKUP(Table2[[#This Row],[Customer ID]],Table2[#All],9,FALSE)</f>
        <v>Normalweight</v>
      </c>
      <c r="K328" t="str">
        <f>VLOOKUP(Table2[[#This Row],[Customer ID]],Table2[#All],10,FALSE)</f>
        <v>Diabetes</v>
      </c>
    </row>
    <row r="329" spans="1:11" ht="15.6" x14ac:dyDescent="0.3">
      <c r="A329" s="1" t="s">
        <v>2044</v>
      </c>
      <c r="B329" t="str">
        <f>VLOOKUP('Customer Names'!A329,'Customer Names'!$A$1:$E$2336,4,FALSE)</f>
        <v>Mr.  Anthony</v>
      </c>
      <c r="C329">
        <f>VLOOKUP(Table2[[#This Row],[Customer ID]],Table2[#All],2,FALSE)</f>
        <v>26.92</v>
      </c>
      <c r="D329">
        <f>VLOOKUP(Table2[[#This Row],[Customer ID]],Table2[#All],3,FALSE)</f>
        <v>6.09</v>
      </c>
      <c r="E329" t="str">
        <f>VLOOKUP(Table2[[#This Row],[Customer ID]],Table2[#All],4,FALSE)</f>
        <v>No</v>
      </c>
      <c r="F329" t="str">
        <f>VLOOKUP(Table2[[#This Row],[Customer ID]],Table2[#All],5,FALSE)</f>
        <v>No</v>
      </c>
      <c r="G329" t="str">
        <f>VLOOKUP(Table2[[#This Row],[Customer ID]],Table2[#All],6,FALSE)</f>
        <v>No</v>
      </c>
      <c r="H329">
        <f>VLOOKUP(Table2[[#This Row],[Customer ID]],Table2[#All],7,FALSE)</f>
        <v>0</v>
      </c>
      <c r="I329" t="str">
        <f>VLOOKUP(Table2[[#This Row],[Customer ID]],Table2[#All],8,FALSE)</f>
        <v>Yes</v>
      </c>
      <c r="J329" t="str">
        <f>VLOOKUP(Table2[[#This Row],[Customer ID]],Table2[#All],9,FALSE)</f>
        <v>Overweight</v>
      </c>
      <c r="K329" t="str">
        <f>VLOOKUP(Table2[[#This Row],[Customer ID]],Table2[#All],10,FALSE)</f>
        <v>Prediabetes</v>
      </c>
    </row>
    <row r="330" spans="1:11" ht="15.6" x14ac:dyDescent="0.3">
      <c r="A330" s="1" t="s">
        <v>2043</v>
      </c>
      <c r="B330" t="str">
        <f>VLOOKUP('Customer Names'!A330,'Customer Names'!$A$1:$E$2336,4,FALSE)</f>
        <v>Mr.  Chris</v>
      </c>
      <c r="C330">
        <f>VLOOKUP(Table2[[#This Row],[Customer ID]],Table2[#All],2,FALSE)</f>
        <v>19.73</v>
      </c>
      <c r="D330">
        <f>VLOOKUP(Table2[[#This Row],[Customer ID]],Table2[#All],3,FALSE)</f>
        <v>4.3600000000000003</v>
      </c>
      <c r="E330" t="str">
        <f>VLOOKUP(Table2[[#This Row],[Customer ID]],Table2[#All],4,FALSE)</f>
        <v>No</v>
      </c>
      <c r="F330" t="str">
        <f>VLOOKUP(Table2[[#This Row],[Customer ID]],Table2[#All],5,FALSE)</f>
        <v>No</v>
      </c>
      <c r="G330" t="str">
        <f>VLOOKUP(Table2[[#This Row],[Customer ID]],Table2[#All],6,FALSE)</f>
        <v>No</v>
      </c>
      <c r="H330">
        <f>VLOOKUP(Table2[[#This Row],[Customer ID]],Table2[#All],7,FALSE)</f>
        <v>0</v>
      </c>
      <c r="I330" t="str">
        <f>VLOOKUP(Table2[[#This Row],[Customer ID]],Table2[#All],8,FALSE)</f>
        <v>Yes</v>
      </c>
      <c r="J330" t="str">
        <f>VLOOKUP(Table2[[#This Row],[Customer ID]],Table2[#All],9,FALSE)</f>
        <v>Normalweight</v>
      </c>
      <c r="K330" t="str">
        <f>VLOOKUP(Table2[[#This Row],[Customer ID]],Table2[#All],10,FALSE)</f>
        <v>Normal</v>
      </c>
    </row>
    <row r="331" spans="1:11" ht="15.6" x14ac:dyDescent="0.3">
      <c r="A331" s="1" t="s">
        <v>2042</v>
      </c>
      <c r="B331" t="str">
        <f>VLOOKUP('Customer Names'!A331,'Customer Names'!$A$1:$E$2336,4,FALSE)</f>
        <v>Mr.  Yu</v>
      </c>
      <c r="C331">
        <f>VLOOKUP(Table2[[#This Row],[Customer ID]],Table2[#All],2,FALSE)</f>
        <v>23.56</v>
      </c>
      <c r="D331">
        <f>VLOOKUP(Table2[[#This Row],[Customer ID]],Table2[#All],3,FALSE)</f>
        <v>11.74</v>
      </c>
      <c r="E331" t="str">
        <f>VLOOKUP(Table2[[#This Row],[Customer ID]],Table2[#All],4,FALSE)</f>
        <v>Yes</v>
      </c>
      <c r="F331" t="str">
        <f>VLOOKUP(Table2[[#This Row],[Customer ID]],Table2[#All],5,FALSE)</f>
        <v>No</v>
      </c>
      <c r="G331" t="str">
        <f>VLOOKUP(Table2[[#This Row],[Customer ID]],Table2[#All],6,FALSE)</f>
        <v>No</v>
      </c>
      <c r="H331">
        <f>VLOOKUP(Table2[[#This Row],[Customer ID]],Table2[#All],7,FALSE)</f>
        <v>0</v>
      </c>
      <c r="I331" t="str">
        <f>VLOOKUP(Table2[[#This Row],[Customer ID]],Table2[#All],8,FALSE)</f>
        <v>Yes</v>
      </c>
      <c r="J331" t="str">
        <f>VLOOKUP(Table2[[#This Row],[Customer ID]],Table2[#All],9,FALSE)</f>
        <v>Normalweight</v>
      </c>
      <c r="K331" t="str">
        <f>VLOOKUP(Table2[[#This Row],[Customer ID]],Table2[#All],10,FALSE)</f>
        <v>Diabetes</v>
      </c>
    </row>
    <row r="332" spans="1:11" ht="15.6" x14ac:dyDescent="0.3">
      <c r="A332" s="1" t="s">
        <v>2041</v>
      </c>
      <c r="B332" t="str">
        <f>VLOOKUP('Customer Names'!A332,'Customer Names'!$A$1:$E$2336,4,FALSE)</f>
        <v>Mr.  Caleb N</v>
      </c>
      <c r="C332">
        <f>VLOOKUP(Table2[[#This Row],[Customer ID]],Table2[#All],2,FALSE)</f>
        <v>37.67</v>
      </c>
      <c r="D332">
        <f>VLOOKUP(Table2[[#This Row],[Customer ID]],Table2[#All],3,FALSE)</f>
        <v>5.89</v>
      </c>
      <c r="E332" t="str">
        <f>VLOOKUP(Table2[[#This Row],[Customer ID]],Table2[#All],4,FALSE)</f>
        <v>No</v>
      </c>
      <c r="F332" t="str">
        <f>VLOOKUP(Table2[[#This Row],[Customer ID]],Table2[#All],5,FALSE)</f>
        <v>No</v>
      </c>
      <c r="G332" t="str">
        <f>VLOOKUP(Table2[[#This Row],[Customer ID]],Table2[#All],6,FALSE)</f>
        <v>No</v>
      </c>
      <c r="H332">
        <f>VLOOKUP(Table2[[#This Row],[Customer ID]],Table2[#All],7,FALSE)</f>
        <v>1</v>
      </c>
      <c r="I332" t="str">
        <f>VLOOKUP(Table2[[#This Row],[Customer ID]],Table2[#All],8,FALSE)</f>
        <v>Yes</v>
      </c>
      <c r="J332" t="str">
        <f>VLOOKUP(Table2[[#This Row],[Customer ID]],Table2[#All],9,FALSE)</f>
        <v>Obesity</v>
      </c>
      <c r="K332" t="str">
        <f>VLOOKUP(Table2[[#This Row],[Customer ID]],Table2[#All],10,FALSE)</f>
        <v>Prediabetes</v>
      </c>
    </row>
    <row r="333" spans="1:11" ht="15.6" x14ac:dyDescent="0.3">
      <c r="A333" s="1" t="s">
        <v>2040</v>
      </c>
      <c r="B333" t="str">
        <f>VLOOKUP('Customer Names'!A333,'Customer Names'!$A$1:$E$2336,4,FALSE)</f>
        <v>Mr.  Jason M.</v>
      </c>
      <c r="C333">
        <f>VLOOKUP(Table2[[#This Row],[Customer ID]],Table2[#All],2,FALSE)</f>
        <v>18.73</v>
      </c>
      <c r="D333">
        <f>VLOOKUP(Table2[[#This Row],[Customer ID]],Table2[#All],3,FALSE)</f>
        <v>10.64</v>
      </c>
      <c r="E333" t="str">
        <f>VLOOKUP(Table2[[#This Row],[Customer ID]],Table2[#All],4,FALSE)</f>
        <v>No</v>
      </c>
      <c r="F333" t="str">
        <f>VLOOKUP(Table2[[#This Row],[Customer ID]],Table2[#All],5,FALSE)</f>
        <v>No</v>
      </c>
      <c r="G333" t="str">
        <f>VLOOKUP(Table2[[#This Row],[Customer ID]],Table2[#All],6,FALSE)</f>
        <v>No</v>
      </c>
      <c r="H333">
        <f>VLOOKUP(Table2[[#This Row],[Customer ID]],Table2[#All],7,FALSE)</f>
        <v>2</v>
      </c>
      <c r="I333" t="str">
        <f>VLOOKUP(Table2[[#This Row],[Customer ID]],Table2[#All],8,FALSE)</f>
        <v>Yes</v>
      </c>
      <c r="J333" t="str">
        <f>VLOOKUP(Table2[[#This Row],[Customer ID]],Table2[#All],9,FALSE)</f>
        <v>Normalweight</v>
      </c>
      <c r="K333" t="str">
        <f>VLOOKUP(Table2[[#This Row],[Customer ID]],Table2[#All],10,FALSE)</f>
        <v>Diabetes</v>
      </c>
    </row>
    <row r="334" spans="1:11" ht="15.6" x14ac:dyDescent="0.3">
      <c r="A334" s="1" t="s">
        <v>2039</v>
      </c>
      <c r="B334" t="str">
        <f>VLOOKUP('Customer Names'!A334,'Customer Names'!$A$1:$E$2336,4,FALSE)</f>
        <v>Ms.  Angela R</v>
      </c>
      <c r="C334">
        <f>VLOOKUP(Table2[[#This Row],[Customer ID]],Table2[#All],2,FALSE)</f>
        <v>33.090000000000003</v>
      </c>
      <c r="D334">
        <f>VLOOKUP(Table2[[#This Row],[Customer ID]],Table2[#All],3,FALSE)</f>
        <v>6.06</v>
      </c>
      <c r="E334" t="str">
        <f>VLOOKUP(Table2[[#This Row],[Customer ID]],Table2[#All],4,FALSE)</f>
        <v>No</v>
      </c>
      <c r="F334" t="str">
        <f>VLOOKUP(Table2[[#This Row],[Customer ID]],Table2[#All],5,FALSE)</f>
        <v>No</v>
      </c>
      <c r="G334" t="str">
        <f>VLOOKUP(Table2[[#This Row],[Customer ID]],Table2[#All],6,FALSE)</f>
        <v>Yes</v>
      </c>
      <c r="H334">
        <f>VLOOKUP(Table2[[#This Row],[Customer ID]],Table2[#All],7,FALSE)</f>
        <v>1</v>
      </c>
      <c r="I334" t="str">
        <f>VLOOKUP(Table2[[#This Row],[Customer ID]],Table2[#All],8,FALSE)</f>
        <v>Yes</v>
      </c>
      <c r="J334" t="str">
        <f>VLOOKUP(Table2[[#This Row],[Customer ID]],Table2[#All],9,FALSE)</f>
        <v>Obesity</v>
      </c>
      <c r="K334" t="str">
        <f>VLOOKUP(Table2[[#This Row],[Customer ID]],Table2[#All],10,FALSE)</f>
        <v>Prediabetes</v>
      </c>
    </row>
    <row r="335" spans="1:11" ht="15.6" x14ac:dyDescent="0.3">
      <c r="A335" s="1" t="s">
        <v>2038</v>
      </c>
      <c r="B335" t="str">
        <f>VLOOKUP('Customer Names'!A335,'Customer Names'!$A$1:$E$2336,4,FALSE)</f>
        <v>Mr.  Keith J</v>
      </c>
      <c r="C335">
        <f>VLOOKUP(Table2[[#This Row],[Customer ID]],Table2[#All],2,FALSE)</f>
        <v>18.329999999999998</v>
      </c>
      <c r="D335">
        <f>VLOOKUP(Table2[[#This Row],[Customer ID]],Table2[#All],3,FALSE)</f>
        <v>7.46</v>
      </c>
      <c r="E335" t="str">
        <f>VLOOKUP(Table2[[#This Row],[Customer ID]],Table2[#All],4,FALSE)</f>
        <v>Yes</v>
      </c>
      <c r="F335" t="str">
        <f>VLOOKUP(Table2[[#This Row],[Customer ID]],Table2[#All],5,FALSE)</f>
        <v>No</v>
      </c>
      <c r="G335" t="str">
        <f>VLOOKUP(Table2[[#This Row],[Customer ID]],Table2[#All],6,FALSE)</f>
        <v>No</v>
      </c>
      <c r="H335">
        <f>VLOOKUP(Table2[[#This Row],[Customer ID]],Table2[#All],7,FALSE)</f>
        <v>1</v>
      </c>
      <c r="I335" t="str">
        <f>VLOOKUP(Table2[[#This Row],[Customer ID]],Table2[#All],8,FALSE)</f>
        <v>Yes</v>
      </c>
      <c r="J335" t="str">
        <f>VLOOKUP(Table2[[#This Row],[Customer ID]],Table2[#All],9,FALSE)</f>
        <v>Underweight</v>
      </c>
      <c r="K335" t="str">
        <f>VLOOKUP(Table2[[#This Row],[Customer ID]],Table2[#All],10,FALSE)</f>
        <v>Diabetes</v>
      </c>
    </row>
    <row r="336" spans="1:11" ht="15.6" x14ac:dyDescent="0.3">
      <c r="A336" s="1" t="s">
        <v>2037</v>
      </c>
      <c r="B336" t="str">
        <f>VLOOKUP('Customer Names'!A336,'Customer Names'!$A$1:$E$2336,4,FALSE)</f>
        <v>Ms.  Emma</v>
      </c>
      <c r="C336">
        <f>VLOOKUP(Table2[[#This Row],[Customer ID]],Table2[#All],2,FALSE)</f>
        <v>27.74</v>
      </c>
      <c r="D336">
        <f>VLOOKUP(Table2[[#This Row],[Customer ID]],Table2[#All],3,FALSE)</f>
        <v>4.68</v>
      </c>
      <c r="E336" t="str">
        <f>VLOOKUP(Table2[[#This Row],[Customer ID]],Table2[#All],4,FALSE)</f>
        <v>Yes</v>
      </c>
      <c r="F336" t="str">
        <f>VLOOKUP(Table2[[#This Row],[Customer ID]],Table2[#All],5,FALSE)</f>
        <v>No</v>
      </c>
      <c r="G336" t="str">
        <f>VLOOKUP(Table2[[#This Row],[Customer ID]],Table2[#All],6,FALSE)</f>
        <v>No</v>
      </c>
      <c r="H336">
        <f>VLOOKUP(Table2[[#This Row],[Customer ID]],Table2[#All],7,FALSE)</f>
        <v>2</v>
      </c>
      <c r="I336" t="str">
        <f>VLOOKUP(Table2[[#This Row],[Customer ID]],Table2[#All],8,FALSE)</f>
        <v>Yes</v>
      </c>
      <c r="J336" t="str">
        <f>VLOOKUP(Table2[[#This Row],[Customer ID]],Table2[#All],9,FALSE)</f>
        <v>Overweight</v>
      </c>
      <c r="K336" t="str">
        <f>VLOOKUP(Table2[[#This Row],[Customer ID]],Table2[#All],10,FALSE)</f>
        <v>Normal</v>
      </c>
    </row>
    <row r="337" spans="1:11" ht="15.6" x14ac:dyDescent="0.3">
      <c r="A337" s="1" t="s">
        <v>2036</v>
      </c>
      <c r="B337" t="str">
        <f>VLOOKUP('Customer Names'!A337,'Customer Names'!$A$1:$E$2336,4,FALSE)</f>
        <v>Mr.  Nathan A</v>
      </c>
      <c r="C337">
        <f>VLOOKUP(Table2[[#This Row],[Customer ID]],Table2[#All],2,FALSE)</f>
        <v>24.2</v>
      </c>
      <c r="D337">
        <f>VLOOKUP(Table2[[#This Row],[Customer ID]],Table2[#All],3,FALSE)</f>
        <v>6.15</v>
      </c>
      <c r="E337" t="str">
        <f>VLOOKUP(Table2[[#This Row],[Customer ID]],Table2[#All],4,FALSE)</f>
        <v>No</v>
      </c>
      <c r="F337" t="str">
        <f>VLOOKUP(Table2[[#This Row],[Customer ID]],Table2[#All],5,FALSE)</f>
        <v>No</v>
      </c>
      <c r="G337" t="str">
        <f>VLOOKUP(Table2[[#This Row],[Customer ID]],Table2[#All],6,FALSE)</f>
        <v>No</v>
      </c>
      <c r="H337">
        <f>VLOOKUP(Table2[[#This Row],[Customer ID]],Table2[#All],7,FALSE)</f>
        <v>1</v>
      </c>
      <c r="I337" t="str">
        <f>VLOOKUP(Table2[[#This Row],[Customer ID]],Table2[#All],8,FALSE)</f>
        <v>Yes</v>
      </c>
      <c r="J337" t="str">
        <f>VLOOKUP(Table2[[#This Row],[Customer ID]],Table2[#All],9,FALSE)</f>
        <v>Normalweight</v>
      </c>
      <c r="K337" t="str">
        <f>VLOOKUP(Table2[[#This Row],[Customer ID]],Table2[#All],10,FALSE)</f>
        <v>Prediabetes</v>
      </c>
    </row>
    <row r="338" spans="1:11" ht="15.6" x14ac:dyDescent="0.3">
      <c r="A338" s="1" t="s">
        <v>2035</v>
      </c>
      <c r="B338" t="str">
        <f>VLOOKUP('Customer Names'!A338,'Customer Names'!$A$1:$E$2336,4,FALSE)</f>
        <v>Ms.  Kathryn</v>
      </c>
      <c r="C338">
        <f>VLOOKUP(Table2[[#This Row],[Customer ID]],Table2[#All],2,FALSE)</f>
        <v>22.03</v>
      </c>
      <c r="D338">
        <f>VLOOKUP(Table2[[#This Row],[Customer ID]],Table2[#All],3,FALSE)</f>
        <v>4.28</v>
      </c>
      <c r="E338" t="str">
        <f>VLOOKUP(Table2[[#This Row],[Customer ID]],Table2[#All],4,FALSE)</f>
        <v>Yes</v>
      </c>
      <c r="F338" t="str">
        <f>VLOOKUP(Table2[[#This Row],[Customer ID]],Table2[#All],5,FALSE)</f>
        <v>No</v>
      </c>
      <c r="G338" t="str">
        <f>VLOOKUP(Table2[[#This Row],[Customer ID]],Table2[#All],6,FALSE)</f>
        <v>No</v>
      </c>
      <c r="H338">
        <f>VLOOKUP(Table2[[#This Row],[Customer ID]],Table2[#All],7,FALSE)</f>
        <v>0</v>
      </c>
      <c r="I338" t="str">
        <f>VLOOKUP(Table2[[#This Row],[Customer ID]],Table2[#All],8,FALSE)</f>
        <v>Yes</v>
      </c>
      <c r="J338" t="str">
        <f>VLOOKUP(Table2[[#This Row],[Customer ID]],Table2[#All],9,FALSE)</f>
        <v>Normalweight</v>
      </c>
      <c r="K338" t="str">
        <f>VLOOKUP(Table2[[#This Row],[Customer ID]],Table2[#All],10,FALSE)</f>
        <v>Normal</v>
      </c>
    </row>
    <row r="339" spans="1:11" ht="15.6" x14ac:dyDescent="0.3">
      <c r="A339" s="1" t="s">
        <v>2034</v>
      </c>
      <c r="B339" t="str">
        <f>VLOOKUP('Customer Names'!A339,'Customer Names'!$A$1:$E$2336,4,FALSE)</f>
        <v>Ms.  Elizabeth H.</v>
      </c>
      <c r="C339">
        <f>VLOOKUP(Table2[[#This Row],[Customer ID]],Table2[#All],2,FALSE)</f>
        <v>26.885000000000002</v>
      </c>
      <c r="D339">
        <f>VLOOKUP(Table2[[#This Row],[Customer ID]],Table2[#All],3,FALSE)</f>
        <v>9.86</v>
      </c>
      <c r="E339" t="str">
        <f>VLOOKUP(Table2[[#This Row],[Customer ID]],Table2[#All],4,FALSE)</f>
        <v>No</v>
      </c>
      <c r="F339" t="str">
        <f>VLOOKUP(Table2[[#This Row],[Customer ID]],Table2[#All],5,FALSE)</f>
        <v>No</v>
      </c>
      <c r="G339" t="str">
        <f>VLOOKUP(Table2[[#This Row],[Customer ID]],Table2[#All],6,FALSE)</f>
        <v>No</v>
      </c>
      <c r="H339">
        <f>VLOOKUP(Table2[[#This Row],[Customer ID]],Table2[#All],7,FALSE)</f>
        <v>3</v>
      </c>
      <c r="I339" t="str">
        <f>VLOOKUP(Table2[[#This Row],[Customer ID]],Table2[#All],8,FALSE)</f>
        <v>Yes</v>
      </c>
      <c r="J339" t="str">
        <f>VLOOKUP(Table2[[#This Row],[Customer ID]],Table2[#All],9,FALSE)</f>
        <v>Overweight</v>
      </c>
      <c r="K339" t="str">
        <f>VLOOKUP(Table2[[#This Row],[Customer ID]],Table2[#All],10,FALSE)</f>
        <v>Diabetes</v>
      </c>
    </row>
    <row r="340" spans="1:11" ht="15.6" x14ac:dyDescent="0.3">
      <c r="A340" s="1" t="s">
        <v>2033</v>
      </c>
      <c r="B340" t="str">
        <f>VLOOKUP('Customer Names'!A340,'Customer Names'!$A$1:$E$2336,4,FALSE)</f>
        <v>Mr.  Ben</v>
      </c>
      <c r="C340">
        <f>VLOOKUP(Table2[[#This Row],[Customer ID]],Table2[#All],2,FALSE)</f>
        <v>16.36</v>
      </c>
      <c r="D340">
        <f>VLOOKUP(Table2[[#This Row],[Customer ID]],Table2[#All],3,FALSE)</f>
        <v>11.19</v>
      </c>
      <c r="E340" t="str">
        <f>VLOOKUP(Table2[[#This Row],[Customer ID]],Table2[#All],4,FALSE)</f>
        <v>No</v>
      </c>
      <c r="F340" t="str">
        <f>VLOOKUP(Table2[[#This Row],[Customer ID]],Table2[#All],5,FALSE)</f>
        <v>No</v>
      </c>
      <c r="G340" t="str">
        <f>VLOOKUP(Table2[[#This Row],[Customer ID]],Table2[#All],6,FALSE)</f>
        <v>No</v>
      </c>
      <c r="H340">
        <f>VLOOKUP(Table2[[#This Row],[Customer ID]],Table2[#All],7,FALSE)</f>
        <v>0</v>
      </c>
      <c r="I340" t="str">
        <f>VLOOKUP(Table2[[#This Row],[Customer ID]],Table2[#All],8,FALSE)</f>
        <v>Yes</v>
      </c>
      <c r="J340" t="str">
        <f>VLOOKUP(Table2[[#This Row],[Customer ID]],Table2[#All],9,FALSE)</f>
        <v>Underweight</v>
      </c>
      <c r="K340" t="str">
        <f>VLOOKUP(Table2[[#This Row],[Customer ID]],Table2[#All],10,FALSE)</f>
        <v>Diabetes</v>
      </c>
    </row>
    <row r="341" spans="1:11" ht="15.6" x14ac:dyDescent="0.3">
      <c r="A341" s="1" t="s">
        <v>2032</v>
      </c>
      <c r="B341" t="str">
        <f>VLOOKUP('Customer Names'!A341,'Customer Names'!$A$1:$E$2336,4,FALSE)</f>
        <v>Ms.  Cheryl A</v>
      </c>
      <c r="C341">
        <f>VLOOKUP(Table2[[#This Row],[Customer ID]],Table2[#All],2,FALSE)</f>
        <v>32.299999999999997</v>
      </c>
      <c r="D341">
        <f>VLOOKUP(Table2[[#This Row],[Customer ID]],Table2[#All],3,FALSE)</f>
        <v>4.8899999999999997</v>
      </c>
      <c r="E341" t="str">
        <f>VLOOKUP(Table2[[#This Row],[Customer ID]],Table2[#All],4,FALSE)</f>
        <v>Yes</v>
      </c>
      <c r="F341" t="str">
        <f>VLOOKUP(Table2[[#This Row],[Customer ID]],Table2[#All],5,FALSE)</f>
        <v>No</v>
      </c>
      <c r="G341" t="str">
        <f>VLOOKUP(Table2[[#This Row],[Customer ID]],Table2[#All],6,FALSE)</f>
        <v>Yes</v>
      </c>
      <c r="H341">
        <f>VLOOKUP(Table2[[#This Row],[Customer ID]],Table2[#All],7,FALSE)</f>
        <v>1</v>
      </c>
      <c r="I341" t="str">
        <f>VLOOKUP(Table2[[#This Row],[Customer ID]],Table2[#All],8,FALSE)</f>
        <v>No</v>
      </c>
      <c r="J341" t="str">
        <f>VLOOKUP(Table2[[#This Row],[Customer ID]],Table2[#All],9,FALSE)</f>
        <v>Obesity</v>
      </c>
      <c r="K341" t="str">
        <f>VLOOKUP(Table2[[#This Row],[Customer ID]],Table2[#All],10,FALSE)</f>
        <v>Normal</v>
      </c>
    </row>
    <row r="342" spans="1:11" ht="15.6" x14ac:dyDescent="0.3">
      <c r="A342" s="1" t="s">
        <v>2031</v>
      </c>
      <c r="B342" t="str">
        <f>VLOOKUP('Customer Names'!A342,'Customer Names'!$A$1:$E$2336,4,FALSE)</f>
        <v>Ms.  Kimberly A</v>
      </c>
      <c r="C342">
        <f>VLOOKUP(Table2[[#This Row],[Customer ID]],Table2[#All],2,FALSE)</f>
        <v>16.05</v>
      </c>
      <c r="D342">
        <f>VLOOKUP(Table2[[#This Row],[Customer ID]],Table2[#All],3,FALSE)</f>
        <v>4.3499999999999996</v>
      </c>
      <c r="E342" t="str">
        <f>VLOOKUP(Table2[[#This Row],[Customer ID]],Table2[#All],4,FALSE)</f>
        <v>Yes</v>
      </c>
      <c r="F342" t="str">
        <f>VLOOKUP(Table2[[#This Row],[Customer ID]],Table2[#All],5,FALSE)</f>
        <v>No</v>
      </c>
      <c r="G342" t="str">
        <f>VLOOKUP(Table2[[#This Row],[Customer ID]],Table2[#All],6,FALSE)</f>
        <v>No</v>
      </c>
      <c r="H342">
        <f>VLOOKUP(Table2[[#This Row],[Customer ID]],Table2[#All],7,FALSE)</f>
        <v>0</v>
      </c>
      <c r="I342" t="str">
        <f>VLOOKUP(Table2[[#This Row],[Customer ID]],Table2[#All],8,FALSE)</f>
        <v>Yes</v>
      </c>
      <c r="J342" t="str">
        <f>VLOOKUP(Table2[[#This Row],[Customer ID]],Table2[#All],9,FALSE)</f>
        <v>Underweight</v>
      </c>
      <c r="K342" t="str">
        <f>VLOOKUP(Table2[[#This Row],[Customer ID]],Table2[#All],10,FALSE)</f>
        <v>Normal</v>
      </c>
    </row>
    <row r="343" spans="1:11" ht="15.6" x14ac:dyDescent="0.3">
      <c r="A343" s="1" t="s">
        <v>2030</v>
      </c>
      <c r="B343" t="str">
        <f>VLOOKUP('Customer Names'!A343,'Customer Names'!$A$1:$E$2336,4,FALSE)</f>
        <v>Ms.  Cynthia</v>
      </c>
      <c r="C343">
        <f>VLOOKUP(Table2[[#This Row],[Customer ID]],Table2[#All],2,FALSE)</f>
        <v>29.07</v>
      </c>
      <c r="D343">
        <f>VLOOKUP(Table2[[#This Row],[Customer ID]],Table2[#All],3,FALSE)</f>
        <v>8.66</v>
      </c>
      <c r="E343" t="str">
        <f>VLOOKUP(Table2[[#This Row],[Customer ID]],Table2[#All],4,FALSE)</f>
        <v>Yes</v>
      </c>
      <c r="F343" t="str">
        <f>VLOOKUP(Table2[[#This Row],[Customer ID]],Table2[#All],5,FALSE)</f>
        <v>No</v>
      </c>
      <c r="G343" t="str">
        <f>VLOOKUP(Table2[[#This Row],[Customer ID]],Table2[#All],6,FALSE)</f>
        <v>No</v>
      </c>
      <c r="H343">
        <f>VLOOKUP(Table2[[#This Row],[Customer ID]],Table2[#All],7,FALSE)</f>
        <v>2</v>
      </c>
      <c r="I343" t="str">
        <f>VLOOKUP(Table2[[#This Row],[Customer ID]],Table2[#All],8,FALSE)</f>
        <v>Yes</v>
      </c>
      <c r="J343" t="str">
        <f>VLOOKUP(Table2[[#This Row],[Customer ID]],Table2[#All],9,FALSE)</f>
        <v>Overweight</v>
      </c>
      <c r="K343" t="str">
        <f>VLOOKUP(Table2[[#This Row],[Customer ID]],Table2[#All],10,FALSE)</f>
        <v>Diabetes</v>
      </c>
    </row>
    <row r="344" spans="1:11" ht="15.6" x14ac:dyDescent="0.3">
      <c r="A344" s="1" t="s">
        <v>2029</v>
      </c>
      <c r="B344" t="str">
        <f>VLOOKUP('Customer Names'!A344,'Customer Names'!$A$1:$E$2336,4,FALSE)</f>
        <v>Ms.  Jessica</v>
      </c>
      <c r="C344">
        <f>VLOOKUP(Table2[[#This Row],[Customer ID]],Table2[#All],2,FALSE)</f>
        <v>17.43</v>
      </c>
      <c r="D344">
        <f>VLOOKUP(Table2[[#This Row],[Customer ID]],Table2[#All],3,FALSE)</f>
        <v>8.64</v>
      </c>
      <c r="E344" t="str">
        <f>VLOOKUP(Table2[[#This Row],[Customer ID]],Table2[#All],4,FALSE)</f>
        <v>No</v>
      </c>
      <c r="F344" t="str">
        <f>VLOOKUP(Table2[[#This Row],[Customer ID]],Table2[#All],5,FALSE)</f>
        <v>No</v>
      </c>
      <c r="G344" t="str">
        <f>VLOOKUP(Table2[[#This Row],[Customer ID]],Table2[#All],6,FALSE)</f>
        <v>No</v>
      </c>
      <c r="H344">
        <f>VLOOKUP(Table2[[#This Row],[Customer ID]],Table2[#All],7,FALSE)</f>
        <v>0</v>
      </c>
      <c r="I344" t="str">
        <f>VLOOKUP(Table2[[#This Row],[Customer ID]],Table2[#All],8,FALSE)</f>
        <v>Yes</v>
      </c>
      <c r="J344" t="str">
        <f>VLOOKUP(Table2[[#This Row],[Customer ID]],Table2[#All],9,FALSE)</f>
        <v>Underweight</v>
      </c>
      <c r="K344" t="str">
        <f>VLOOKUP(Table2[[#This Row],[Customer ID]],Table2[#All],10,FALSE)</f>
        <v>Diabetes</v>
      </c>
    </row>
    <row r="345" spans="1:11" ht="15.6" x14ac:dyDescent="0.3">
      <c r="A345" s="1" t="s">
        <v>2028</v>
      </c>
      <c r="B345" t="str">
        <f>VLOOKUP('Customer Names'!A345,'Customer Names'!$A$1:$E$2336,4,FALSE)</f>
        <v>Mr.  Bruce</v>
      </c>
      <c r="C345">
        <f>VLOOKUP(Table2[[#This Row],[Customer ID]],Table2[#All],2,FALSE)</f>
        <v>19.329999999999998</v>
      </c>
      <c r="D345">
        <f>VLOOKUP(Table2[[#This Row],[Customer ID]],Table2[#All],3,FALSE)</f>
        <v>4.2699999999999996</v>
      </c>
      <c r="E345" t="str">
        <f>VLOOKUP(Table2[[#This Row],[Customer ID]],Table2[#All],4,FALSE)</f>
        <v>No</v>
      </c>
      <c r="F345" t="str">
        <f>VLOOKUP(Table2[[#This Row],[Customer ID]],Table2[#All],5,FALSE)</f>
        <v>No</v>
      </c>
      <c r="G345" t="str">
        <f>VLOOKUP(Table2[[#This Row],[Customer ID]],Table2[#All],6,FALSE)</f>
        <v>No</v>
      </c>
      <c r="H345">
        <f>VLOOKUP(Table2[[#This Row],[Customer ID]],Table2[#All],7,FALSE)</f>
        <v>0</v>
      </c>
      <c r="I345" t="str">
        <f>VLOOKUP(Table2[[#This Row],[Customer ID]],Table2[#All],8,FALSE)</f>
        <v>Yes</v>
      </c>
      <c r="J345" t="str">
        <f>VLOOKUP(Table2[[#This Row],[Customer ID]],Table2[#All],9,FALSE)</f>
        <v>Normalweight</v>
      </c>
      <c r="K345" t="str">
        <f>VLOOKUP(Table2[[#This Row],[Customer ID]],Table2[#All],10,FALSE)</f>
        <v>Normal</v>
      </c>
    </row>
    <row r="346" spans="1:11" ht="15.6" x14ac:dyDescent="0.3">
      <c r="A346" s="1" t="s">
        <v>2027</v>
      </c>
      <c r="B346" t="str">
        <f>VLOOKUP('Customer Names'!A346,'Customer Names'!$A$1:$E$2336,4,FALSE)</f>
        <v>Ms.  Allison</v>
      </c>
      <c r="C346">
        <f>VLOOKUP(Table2[[#This Row],[Customer ID]],Table2[#All],2,FALSE)</f>
        <v>30.52</v>
      </c>
      <c r="D346">
        <f>VLOOKUP(Table2[[#This Row],[Customer ID]],Table2[#All],3,FALSE)</f>
        <v>4.21</v>
      </c>
      <c r="E346" t="str">
        <f>VLOOKUP(Table2[[#This Row],[Customer ID]],Table2[#All],4,FALSE)</f>
        <v>No</v>
      </c>
      <c r="F346" t="str">
        <f>VLOOKUP(Table2[[#This Row],[Customer ID]],Table2[#All],5,FALSE)</f>
        <v>No</v>
      </c>
      <c r="G346" t="str">
        <f>VLOOKUP(Table2[[#This Row],[Customer ID]],Table2[#All],6,FALSE)</f>
        <v>No</v>
      </c>
      <c r="H346">
        <f>VLOOKUP(Table2[[#This Row],[Customer ID]],Table2[#All],7,FALSE)</f>
        <v>1</v>
      </c>
      <c r="I346" t="str">
        <f>VLOOKUP(Table2[[#This Row],[Customer ID]],Table2[#All],8,FALSE)</f>
        <v>Yes</v>
      </c>
      <c r="J346" t="str">
        <f>VLOOKUP(Table2[[#This Row],[Customer ID]],Table2[#All],9,FALSE)</f>
        <v>Obesity</v>
      </c>
      <c r="K346" t="str">
        <f>VLOOKUP(Table2[[#This Row],[Customer ID]],Table2[#All],10,FALSE)</f>
        <v>Normal</v>
      </c>
    </row>
    <row r="347" spans="1:11" ht="15.6" x14ac:dyDescent="0.3">
      <c r="A347" s="1" t="s">
        <v>2026</v>
      </c>
      <c r="B347" t="str">
        <f>VLOOKUP('Customer Names'!A347,'Customer Names'!$A$1:$E$2336,4,FALSE)</f>
        <v>Mr.  Alex</v>
      </c>
      <c r="C347">
        <f>VLOOKUP(Table2[[#This Row],[Customer ID]],Table2[#All],2,FALSE)</f>
        <v>39.21</v>
      </c>
      <c r="D347">
        <f>VLOOKUP(Table2[[#This Row],[Customer ID]],Table2[#All],3,FALSE)</f>
        <v>5.04</v>
      </c>
      <c r="E347" t="str">
        <f>VLOOKUP(Table2[[#This Row],[Customer ID]],Table2[#All],4,FALSE)</f>
        <v>No</v>
      </c>
      <c r="F347" t="str">
        <f>VLOOKUP(Table2[[#This Row],[Customer ID]],Table2[#All],5,FALSE)</f>
        <v>No</v>
      </c>
      <c r="G347" t="str">
        <f>VLOOKUP(Table2[[#This Row],[Customer ID]],Table2[#All],6,FALSE)</f>
        <v>Yes</v>
      </c>
      <c r="H347">
        <f>VLOOKUP(Table2[[#This Row],[Customer ID]],Table2[#All],7,FALSE)</f>
        <v>1</v>
      </c>
      <c r="I347" t="str">
        <f>VLOOKUP(Table2[[#This Row],[Customer ID]],Table2[#All],8,FALSE)</f>
        <v>Yes</v>
      </c>
      <c r="J347" t="str">
        <f>VLOOKUP(Table2[[#This Row],[Customer ID]],Table2[#All],9,FALSE)</f>
        <v>Obesity</v>
      </c>
      <c r="K347" t="str">
        <f>VLOOKUP(Table2[[#This Row],[Customer ID]],Table2[#All],10,FALSE)</f>
        <v>Normal</v>
      </c>
    </row>
    <row r="348" spans="1:11" ht="15.6" x14ac:dyDescent="0.3">
      <c r="A348" s="1" t="s">
        <v>2025</v>
      </c>
      <c r="B348" t="str">
        <f>VLOOKUP('Customer Names'!A348,'Customer Names'!$A$1:$E$2336,4,FALSE)</f>
        <v>Ms.  Gabriela</v>
      </c>
      <c r="C348">
        <f>VLOOKUP(Table2[[#This Row],[Customer ID]],Table2[#All],2,FALSE)</f>
        <v>26.98</v>
      </c>
      <c r="D348">
        <f>VLOOKUP(Table2[[#This Row],[Customer ID]],Table2[#All],3,FALSE)</f>
        <v>5.21</v>
      </c>
      <c r="E348" t="str">
        <f>VLOOKUP(Table2[[#This Row],[Customer ID]],Table2[#All],4,FALSE)</f>
        <v>Yes</v>
      </c>
      <c r="F348" t="str">
        <f>VLOOKUP(Table2[[#This Row],[Customer ID]],Table2[#All],5,FALSE)</f>
        <v>No</v>
      </c>
      <c r="G348" t="str">
        <f>VLOOKUP(Table2[[#This Row],[Customer ID]],Table2[#All],6,FALSE)</f>
        <v>No</v>
      </c>
      <c r="H348">
        <f>VLOOKUP(Table2[[#This Row],[Customer ID]],Table2[#All],7,FALSE)</f>
        <v>2</v>
      </c>
      <c r="I348" t="str">
        <f>VLOOKUP(Table2[[#This Row],[Customer ID]],Table2[#All],8,FALSE)</f>
        <v>Yes</v>
      </c>
      <c r="J348" t="str">
        <f>VLOOKUP(Table2[[#This Row],[Customer ID]],Table2[#All],9,FALSE)</f>
        <v>Overweight</v>
      </c>
      <c r="K348" t="str">
        <f>VLOOKUP(Table2[[#This Row],[Customer ID]],Table2[#All],10,FALSE)</f>
        <v>Normal</v>
      </c>
    </row>
    <row r="349" spans="1:11" ht="15.6" x14ac:dyDescent="0.3">
      <c r="A349" s="1" t="s">
        <v>2024</v>
      </c>
      <c r="B349" t="str">
        <f>VLOOKUP('Customer Names'!A349,'Customer Names'!$A$1:$E$2336,4,FALSE)</f>
        <v>Ms.  Sharon</v>
      </c>
      <c r="C349">
        <f>VLOOKUP(Table2[[#This Row],[Customer ID]],Table2[#All],2,FALSE)</f>
        <v>25.84</v>
      </c>
      <c r="D349">
        <f>VLOOKUP(Table2[[#This Row],[Customer ID]],Table2[#All],3,FALSE)</f>
        <v>8.83</v>
      </c>
      <c r="E349" t="str">
        <f>VLOOKUP(Table2[[#This Row],[Customer ID]],Table2[#All],4,FALSE)</f>
        <v>No</v>
      </c>
      <c r="F349" t="str">
        <f>VLOOKUP(Table2[[#This Row],[Customer ID]],Table2[#All],5,FALSE)</f>
        <v>No</v>
      </c>
      <c r="G349" t="str">
        <f>VLOOKUP(Table2[[#This Row],[Customer ID]],Table2[#All],6,FALSE)</f>
        <v>No</v>
      </c>
      <c r="H349">
        <f>VLOOKUP(Table2[[#This Row],[Customer ID]],Table2[#All],7,FALSE)</f>
        <v>0</v>
      </c>
      <c r="I349" t="str">
        <f>VLOOKUP(Table2[[#This Row],[Customer ID]],Table2[#All],8,FALSE)</f>
        <v>No</v>
      </c>
      <c r="J349" t="str">
        <f>VLOOKUP(Table2[[#This Row],[Customer ID]],Table2[#All],9,FALSE)</f>
        <v>Overweight</v>
      </c>
      <c r="K349" t="str">
        <f>VLOOKUP(Table2[[#This Row],[Customer ID]],Table2[#All],10,FALSE)</f>
        <v>Diabetes</v>
      </c>
    </row>
    <row r="350" spans="1:11" ht="15.6" x14ac:dyDescent="0.3">
      <c r="A350" s="1" t="s">
        <v>2023</v>
      </c>
      <c r="B350" t="str">
        <f>VLOOKUP('Customer Names'!A350,'Customer Names'!$A$1:$E$2336,4,FALSE)</f>
        <v>Mr.  Jason A</v>
      </c>
      <c r="C350">
        <f>VLOOKUP(Table2[[#This Row],[Customer ID]],Table2[#All],2,FALSE)</f>
        <v>28.31</v>
      </c>
      <c r="D350">
        <f>VLOOKUP(Table2[[#This Row],[Customer ID]],Table2[#All],3,FALSE)</f>
        <v>8.4700000000000006</v>
      </c>
      <c r="E350" t="str">
        <f>VLOOKUP(Table2[[#This Row],[Customer ID]],Table2[#All],4,FALSE)</f>
        <v>Yes</v>
      </c>
      <c r="F350" t="str">
        <f>VLOOKUP(Table2[[#This Row],[Customer ID]],Table2[#All],5,FALSE)</f>
        <v>No</v>
      </c>
      <c r="G350" t="str">
        <f>VLOOKUP(Table2[[#This Row],[Customer ID]],Table2[#All],6,FALSE)</f>
        <v>No</v>
      </c>
      <c r="H350">
        <f>VLOOKUP(Table2[[#This Row],[Customer ID]],Table2[#All],7,FALSE)</f>
        <v>2</v>
      </c>
      <c r="I350" t="str">
        <f>VLOOKUP(Table2[[#This Row],[Customer ID]],Table2[#All],8,FALSE)</f>
        <v>Yes</v>
      </c>
      <c r="J350" t="str">
        <f>VLOOKUP(Table2[[#This Row],[Customer ID]],Table2[#All],9,FALSE)</f>
        <v>Overweight</v>
      </c>
      <c r="K350" t="str">
        <f>VLOOKUP(Table2[[#This Row],[Customer ID]],Table2[#All],10,FALSE)</f>
        <v>Diabetes</v>
      </c>
    </row>
    <row r="351" spans="1:11" ht="15.6" x14ac:dyDescent="0.3">
      <c r="A351" s="1" t="s">
        <v>2022</v>
      </c>
      <c r="B351" t="str">
        <f>VLOOKUP('Customer Names'!A351,'Customer Names'!$A$1:$E$2336,4,FALSE)</f>
        <v>Ms.  Chelsey C.</v>
      </c>
      <c r="C351">
        <f>VLOOKUP(Table2[[#This Row],[Customer ID]],Table2[#All],2,FALSE)</f>
        <v>23.94</v>
      </c>
      <c r="D351">
        <f>VLOOKUP(Table2[[#This Row],[Customer ID]],Table2[#All],3,FALSE)</f>
        <v>4.2</v>
      </c>
      <c r="E351" t="str">
        <f>VLOOKUP(Table2[[#This Row],[Customer ID]],Table2[#All],4,FALSE)</f>
        <v>No</v>
      </c>
      <c r="F351" t="str">
        <f>VLOOKUP(Table2[[#This Row],[Customer ID]],Table2[#All],5,FALSE)</f>
        <v>No</v>
      </c>
      <c r="G351" t="str">
        <f>VLOOKUP(Table2[[#This Row],[Customer ID]],Table2[#All],6,FALSE)</f>
        <v>No</v>
      </c>
      <c r="H351">
        <f>VLOOKUP(Table2[[#This Row],[Customer ID]],Table2[#All],7,FALSE)</f>
        <v>0</v>
      </c>
      <c r="I351" t="str">
        <f>VLOOKUP(Table2[[#This Row],[Customer ID]],Table2[#All],8,FALSE)</f>
        <v>Yes</v>
      </c>
      <c r="J351" t="str">
        <f>VLOOKUP(Table2[[#This Row],[Customer ID]],Table2[#All],9,FALSE)</f>
        <v>Normalweight</v>
      </c>
      <c r="K351" t="str">
        <f>VLOOKUP(Table2[[#This Row],[Customer ID]],Table2[#All],10,FALSE)</f>
        <v>Normal</v>
      </c>
    </row>
    <row r="352" spans="1:11" ht="15.6" x14ac:dyDescent="0.3">
      <c r="A352" s="1" t="s">
        <v>2021</v>
      </c>
      <c r="B352" t="str">
        <f>VLOOKUP('Customer Names'!A352,'Customer Names'!$A$1:$E$2336,4,FALSE)</f>
        <v>Mr.  Devon A.</v>
      </c>
      <c r="C352">
        <f>VLOOKUP(Table2[[#This Row],[Customer ID]],Table2[#All],2,FALSE)</f>
        <v>20.03</v>
      </c>
      <c r="D352">
        <f>VLOOKUP(Table2[[#This Row],[Customer ID]],Table2[#All],3,FALSE)</f>
        <v>6.14</v>
      </c>
      <c r="E352" t="str">
        <f>VLOOKUP(Table2[[#This Row],[Customer ID]],Table2[#All],4,FALSE)</f>
        <v>Yes</v>
      </c>
      <c r="F352" t="str">
        <f>VLOOKUP(Table2[[#This Row],[Customer ID]],Table2[#All],5,FALSE)</f>
        <v>No</v>
      </c>
      <c r="G352" t="str">
        <f>VLOOKUP(Table2[[#This Row],[Customer ID]],Table2[#All],6,FALSE)</f>
        <v>No</v>
      </c>
      <c r="H352">
        <f>VLOOKUP(Table2[[#This Row],[Customer ID]],Table2[#All],7,FALSE)</f>
        <v>0</v>
      </c>
      <c r="I352" t="str">
        <f>VLOOKUP(Table2[[#This Row],[Customer ID]],Table2[#All],8,FALSE)</f>
        <v>Yes</v>
      </c>
      <c r="J352" t="str">
        <f>VLOOKUP(Table2[[#This Row],[Customer ID]],Table2[#All],9,FALSE)</f>
        <v>Normalweight</v>
      </c>
      <c r="K352" t="str">
        <f>VLOOKUP(Table2[[#This Row],[Customer ID]],Table2[#All],10,FALSE)</f>
        <v>Prediabetes</v>
      </c>
    </row>
    <row r="353" spans="1:11" ht="15.6" x14ac:dyDescent="0.3">
      <c r="A353" s="1" t="s">
        <v>2020</v>
      </c>
      <c r="B353" t="str">
        <f>VLOOKUP('Customer Names'!A353,'Customer Names'!$A$1:$E$2336,4,FALSE)</f>
        <v>Ms.  Joni L</v>
      </c>
      <c r="C353">
        <f>VLOOKUP(Table2[[#This Row],[Customer ID]],Table2[#All],2,FALSE)</f>
        <v>41.42</v>
      </c>
      <c r="D353">
        <f>VLOOKUP(Table2[[#This Row],[Customer ID]],Table2[#All],3,FALSE)</f>
        <v>6.07</v>
      </c>
      <c r="E353" t="str">
        <f>VLOOKUP(Table2[[#This Row],[Customer ID]],Table2[#All],4,FALSE)</f>
        <v>No</v>
      </c>
      <c r="F353" t="str">
        <f>VLOOKUP(Table2[[#This Row],[Customer ID]],Table2[#All],5,FALSE)</f>
        <v>No</v>
      </c>
      <c r="G353" t="str">
        <f>VLOOKUP(Table2[[#This Row],[Customer ID]],Table2[#All],6,FALSE)</f>
        <v>No</v>
      </c>
      <c r="H353">
        <f>VLOOKUP(Table2[[#This Row],[Customer ID]],Table2[#All],7,FALSE)</f>
        <v>0</v>
      </c>
      <c r="I353" t="str">
        <f>VLOOKUP(Table2[[#This Row],[Customer ID]],Table2[#All],8,FALSE)</f>
        <v>No</v>
      </c>
      <c r="J353" t="str">
        <f>VLOOKUP(Table2[[#This Row],[Customer ID]],Table2[#All],9,FALSE)</f>
        <v>Obesity</v>
      </c>
      <c r="K353" t="str">
        <f>VLOOKUP(Table2[[#This Row],[Customer ID]],Table2[#All],10,FALSE)</f>
        <v>Prediabetes</v>
      </c>
    </row>
    <row r="354" spans="1:11" ht="15.6" x14ac:dyDescent="0.3">
      <c r="A354" s="1" t="s">
        <v>2019</v>
      </c>
      <c r="B354" t="str">
        <f>VLOOKUP('Customer Names'!A354,'Customer Names'!$A$1:$E$2336,4,FALSE)</f>
        <v>Mr.  Colin</v>
      </c>
      <c r="C354">
        <f>VLOOKUP(Table2[[#This Row],[Customer ID]],Table2[#All],2,FALSE)</f>
        <v>36.67</v>
      </c>
      <c r="D354">
        <f>VLOOKUP(Table2[[#This Row],[Customer ID]],Table2[#All],3,FALSE)</f>
        <v>10.210000000000001</v>
      </c>
      <c r="E354" t="str">
        <f>VLOOKUP(Table2[[#This Row],[Customer ID]],Table2[#All],4,FALSE)</f>
        <v>No</v>
      </c>
      <c r="F354" t="str">
        <f>VLOOKUP(Table2[[#This Row],[Customer ID]],Table2[#All],5,FALSE)</f>
        <v>No</v>
      </c>
      <c r="G354" t="str">
        <f>VLOOKUP(Table2[[#This Row],[Customer ID]],Table2[#All],6,FALSE)</f>
        <v>No</v>
      </c>
      <c r="H354">
        <f>VLOOKUP(Table2[[#This Row],[Customer ID]],Table2[#All],7,FALSE)</f>
        <v>0</v>
      </c>
      <c r="I354" t="str">
        <f>VLOOKUP(Table2[[#This Row],[Customer ID]],Table2[#All],8,FALSE)</f>
        <v>No</v>
      </c>
      <c r="J354" t="str">
        <f>VLOOKUP(Table2[[#This Row],[Customer ID]],Table2[#All],9,FALSE)</f>
        <v>Obesity</v>
      </c>
      <c r="K354" t="str">
        <f>VLOOKUP(Table2[[#This Row],[Customer ID]],Table2[#All],10,FALSE)</f>
        <v>Diabetes</v>
      </c>
    </row>
    <row r="355" spans="1:11" ht="15.6" x14ac:dyDescent="0.3">
      <c r="A355" s="1" t="s">
        <v>2018</v>
      </c>
      <c r="B355" t="str">
        <f>VLOOKUP('Customer Names'!A355,'Customer Names'!$A$1:$E$2336,4,FALSE)</f>
        <v>Ms.  Rachael</v>
      </c>
      <c r="C355">
        <f>VLOOKUP(Table2[[#This Row],[Customer ID]],Table2[#All],2,FALSE)</f>
        <v>27.645</v>
      </c>
      <c r="D355">
        <f>VLOOKUP(Table2[[#This Row],[Customer ID]],Table2[#All],3,FALSE)</f>
        <v>4.6900000000000004</v>
      </c>
      <c r="E355" t="str">
        <f>VLOOKUP(Table2[[#This Row],[Customer ID]],Table2[#All],4,FALSE)</f>
        <v>No</v>
      </c>
      <c r="F355" t="str">
        <f>VLOOKUP(Table2[[#This Row],[Customer ID]],Table2[#All],5,FALSE)</f>
        <v>No</v>
      </c>
      <c r="G355" t="str">
        <f>VLOOKUP(Table2[[#This Row],[Customer ID]],Table2[#All],6,FALSE)</f>
        <v>No</v>
      </c>
      <c r="H355">
        <f>VLOOKUP(Table2[[#This Row],[Customer ID]],Table2[#All],7,FALSE)</f>
        <v>0</v>
      </c>
      <c r="I355" t="str">
        <f>VLOOKUP(Table2[[#This Row],[Customer ID]],Table2[#All],8,FALSE)</f>
        <v>No</v>
      </c>
      <c r="J355" t="str">
        <f>VLOOKUP(Table2[[#This Row],[Customer ID]],Table2[#All],9,FALSE)</f>
        <v>Overweight</v>
      </c>
      <c r="K355" t="str">
        <f>VLOOKUP(Table2[[#This Row],[Customer ID]],Table2[#All],10,FALSE)</f>
        <v>Normal</v>
      </c>
    </row>
    <row r="356" spans="1:11" ht="15.6" x14ac:dyDescent="0.3">
      <c r="A356" s="1" t="s">
        <v>2017</v>
      </c>
      <c r="B356" t="str">
        <f>VLOOKUP('Customer Names'!A356,'Customer Names'!$A$1:$E$2336,4,FALSE)</f>
        <v>Ms.  Maricela</v>
      </c>
      <c r="C356">
        <f>VLOOKUP(Table2[[#This Row],[Customer ID]],Table2[#All],2,FALSE)</f>
        <v>22.72</v>
      </c>
      <c r="D356">
        <f>VLOOKUP(Table2[[#This Row],[Customer ID]],Table2[#All],3,FALSE)</f>
        <v>5.71</v>
      </c>
      <c r="E356" t="str">
        <f>VLOOKUP(Table2[[#This Row],[Customer ID]],Table2[#All],4,FALSE)</f>
        <v>No</v>
      </c>
      <c r="F356" t="str">
        <f>VLOOKUP(Table2[[#This Row],[Customer ID]],Table2[#All],5,FALSE)</f>
        <v>No</v>
      </c>
      <c r="G356" t="str">
        <f>VLOOKUP(Table2[[#This Row],[Customer ID]],Table2[#All],6,FALSE)</f>
        <v>No</v>
      </c>
      <c r="H356">
        <f>VLOOKUP(Table2[[#This Row],[Customer ID]],Table2[#All],7,FALSE)</f>
        <v>0</v>
      </c>
      <c r="I356" t="str">
        <f>VLOOKUP(Table2[[#This Row],[Customer ID]],Table2[#All],8,FALSE)</f>
        <v>Yes</v>
      </c>
      <c r="J356" t="str">
        <f>VLOOKUP(Table2[[#This Row],[Customer ID]],Table2[#All],9,FALSE)</f>
        <v>Normalweight</v>
      </c>
      <c r="K356" t="str">
        <f>VLOOKUP(Table2[[#This Row],[Customer ID]],Table2[#All],10,FALSE)</f>
        <v>Prediabetes</v>
      </c>
    </row>
    <row r="357" spans="1:11" ht="15.6" x14ac:dyDescent="0.3">
      <c r="A357" s="1" t="s">
        <v>2016</v>
      </c>
      <c r="B357" t="str">
        <f>VLOOKUP('Customer Names'!A357,'Customer Names'!$A$1:$E$2336,4,FALSE)</f>
        <v>Ms.  Marie</v>
      </c>
      <c r="C357">
        <f>VLOOKUP(Table2[[#This Row],[Customer ID]],Table2[#All],2,FALSE)</f>
        <v>36.520000000000003</v>
      </c>
      <c r="D357">
        <f>VLOOKUP(Table2[[#This Row],[Customer ID]],Table2[#All],3,FALSE)</f>
        <v>9.07</v>
      </c>
      <c r="E357" t="str">
        <f>VLOOKUP(Table2[[#This Row],[Customer ID]],Table2[#All],4,FALSE)</f>
        <v>Yes</v>
      </c>
      <c r="F357" t="str">
        <f>VLOOKUP(Table2[[#This Row],[Customer ID]],Table2[#All],5,FALSE)</f>
        <v>No</v>
      </c>
      <c r="G357" t="str">
        <f>VLOOKUP(Table2[[#This Row],[Customer ID]],Table2[#All],6,FALSE)</f>
        <v>Yes</v>
      </c>
      <c r="H357">
        <f>VLOOKUP(Table2[[#This Row],[Customer ID]],Table2[#All],7,FALSE)</f>
        <v>1</v>
      </c>
      <c r="I357" t="str">
        <f>VLOOKUP(Table2[[#This Row],[Customer ID]],Table2[#All],8,FALSE)</f>
        <v>No</v>
      </c>
      <c r="J357" t="str">
        <f>VLOOKUP(Table2[[#This Row],[Customer ID]],Table2[#All],9,FALSE)</f>
        <v>Obesity</v>
      </c>
      <c r="K357" t="str">
        <f>VLOOKUP(Table2[[#This Row],[Customer ID]],Table2[#All],10,FALSE)</f>
        <v>Diabetes</v>
      </c>
    </row>
    <row r="358" spans="1:11" ht="15.6" x14ac:dyDescent="0.3">
      <c r="A358" s="1" t="s">
        <v>2015</v>
      </c>
      <c r="B358" t="str">
        <f>VLOOKUP('Customer Names'!A358,'Customer Names'!$A$1:$E$2336,4,FALSE)</f>
        <v>Mr.  Frank</v>
      </c>
      <c r="C358">
        <f>VLOOKUP(Table2[[#This Row],[Customer ID]],Table2[#All],2,FALSE)</f>
        <v>33.96</v>
      </c>
      <c r="D358">
        <f>VLOOKUP(Table2[[#This Row],[Customer ID]],Table2[#All],3,FALSE)</f>
        <v>4.99</v>
      </c>
      <c r="E358" t="str">
        <f>VLOOKUP(Table2[[#This Row],[Customer ID]],Table2[#All],4,FALSE)</f>
        <v>No</v>
      </c>
      <c r="F358" t="str">
        <f>VLOOKUP(Table2[[#This Row],[Customer ID]],Table2[#All],5,FALSE)</f>
        <v>No</v>
      </c>
      <c r="G358" t="str">
        <f>VLOOKUP(Table2[[#This Row],[Customer ID]],Table2[#All],6,FALSE)</f>
        <v>No</v>
      </c>
      <c r="H358">
        <f>VLOOKUP(Table2[[#This Row],[Customer ID]],Table2[#All],7,FALSE)</f>
        <v>0</v>
      </c>
      <c r="I358" t="str">
        <f>VLOOKUP(Table2[[#This Row],[Customer ID]],Table2[#All],8,FALSE)</f>
        <v>Yes</v>
      </c>
      <c r="J358" t="str">
        <f>VLOOKUP(Table2[[#This Row],[Customer ID]],Table2[#All],9,FALSE)</f>
        <v>Obesity</v>
      </c>
      <c r="K358" t="str">
        <f>VLOOKUP(Table2[[#This Row],[Customer ID]],Table2[#All],10,FALSE)</f>
        <v>Normal</v>
      </c>
    </row>
    <row r="359" spans="1:11" ht="15.6" x14ac:dyDescent="0.3">
      <c r="A359" s="1" t="s">
        <v>2014</v>
      </c>
      <c r="B359" t="str">
        <f>VLOOKUP('Customer Names'!A359,'Customer Names'!$A$1:$E$2336,4,FALSE)</f>
        <v>Mr.  Jeffry</v>
      </c>
      <c r="C359">
        <f>VLOOKUP(Table2[[#This Row],[Customer ID]],Table2[#All],2,FALSE)</f>
        <v>26.695</v>
      </c>
      <c r="D359">
        <f>VLOOKUP(Table2[[#This Row],[Customer ID]],Table2[#All],3,FALSE)</f>
        <v>8.31</v>
      </c>
      <c r="E359" t="str">
        <f>VLOOKUP(Table2[[#This Row],[Customer ID]],Table2[#All],4,FALSE)</f>
        <v>No</v>
      </c>
      <c r="F359" t="str">
        <f>VLOOKUP(Table2[[#This Row],[Customer ID]],Table2[#All],5,FALSE)</f>
        <v>No</v>
      </c>
      <c r="G359" t="str">
        <f>VLOOKUP(Table2[[#This Row],[Customer ID]],Table2[#All],6,FALSE)</f>
        <v>No</v>
      </c>
      <c r="H359">
        <f>VLOOKUP(Table2[[#This Row],[Customer ID]],Table2[#All],7,FALSE)</f>
        <v>0</v>
      </c>
      <c r="I359" t="str">
        <f>VLOOKUP(Table2[[#This Row],[Customer ID]],Table2[#All],8,FALSE)</f>
        <v>Yes</v>
      </c>
      <c r="J359" t="str">
        <f>VLOOKUP(Table2[[#This Row],[Customer ID]],Table2[#All],9,FALSE)</f>
        <v>Overweight</v>
      </c>
      <c r="K359" t="str">
        <f>VLOOKUP(Table2[[#This Row],[Customer ID]],Table2[#All],10,FALSE)</f>
        <v>Diabetes</v>
      </c>
    </row>
    <row r="360" spans="1:11" ht="15.6" x14ac:dyDescent="0.3">
      <c r="A360" s="1" t="s">
        <v>2013</v>
      </c>
      <c r="B360" t="str">
        <f>VLOOKUP('Customer Names'!A360,'Customer Names'!$A$1:$E$2336,4,FALSE)</f>
        <v>Mr.  Mike</v>
      </c>
      <c r="C360">
        <f>VLOOKUP(Table2[[#This Row],[Customer ID]],Table2[#All],2,FALSE)</f>
        <v>18.45</v>
      </c>
      <c r="D360">
        <f>VLOOKUP(Table2[[#This Row],[Customer ID]],Table2[#All],3,FALSE)</f>
        <v>5.07</v>
      </c>
      <c r="E360" t="str">
        <f>VLOOKUP(Table2[[#This Row],[Customer ID]],Table2[#All],4,FALSE)</f>
        <v>Yes</v>
      </c>
      <c r="F360" t="str">
        <f>VLOOKUP(Table2[[#This Row],[Customer ID]],Table2[#All],5,FALSE)</f>
        <v>No</v>
      </c>
      <c r="G360" t="str">
        <f>VLOOKUP(Table2[[#This Row],[Customer ID]],Table2[#All],6,FALSE)</f>
        <v>No</v>
      </c>
      <c r="H360">
        <f>VLOOKUP(Table2[[#This Row],[Customer ID]],Table2[#All],7,FALSE)</f>
        <v>0</v>
      </c>
      <c r="I360" t="str">
        <f>VLOOKUP(Table2[[#This Row],[Customer ID]],Table2[#All],8,FALSE)</f>
        <v>Yes</v>
      </c>
      <c r="J360" t="str">
        <f>VLOOKUP(Table2[[#This Row],[Customer ID]],Table2[#All],9,FALSE)</f>
        <v>Underweight</v>
      </c>
      <c r="K360" t="str">
        <f>VLOOKUP(Table2[[#This Row],[Customer ID]],Table2[#All],10,FALSE)</f>
        <v>Normal</v>
      </c>
    </row>
    <row r="361" spans="1:11" ht="15.6" x14ac:dyDescent="0.3">
      <c r="A361" s="1" t="s">
        <v>2012</v>
      </c>
      <c r="B361" t="str">
        <f>VLOOKUP('Customer Names'!A361,'Customer Names'!$A$1:$E$2336,4,FALSE)</f>
        <v>Mr.  Rick</v>
      </c>
      <c r="C361">
        <f>VLOOKUP(Table2[[#This Row],[Customer ID]],Table2[#All],2,FALSE)</f>
        <v>33.18</v>
      </c>
      <c r="D361">
        <f>VLOOKUP(Table2[[#This Row],[Customer ID]],Table2[#All],3,FALSE)</f>
        <v>4.79</v>
      </c>
      <c r="E361" t="str">
        <f>VLOOKUP(Table2[[#This Row],[Customer ID]],Table2[#All],4,FALSE)</f>
        <v>No</v>
      </c>
      <c r="F361" t="str">
        <f>VLOOKUP(Table2[[#This Row],[Customer ID]],Table2[#All],5,FALSE)</f>
        <v>No</v>
      </c>
      <c r="G361" t="str">
        <f>VLOOKUP(Table2[[#This Row],[Customer ID]],Table2[#All],6,FALSE)</f>
        <v>No</v>
      </c>
      <c r="H361">
        <f>VLOOKUP(Table2[[#This Row],[Customer ID]],Table2[#All],7,FALSE)</f>
        <v>0</v>
      </c>
      <c r="I361" t="str">
        <f>VLOOKUP(Table2[[#This Row],[Customer ID]],Table2[#All],8,FALSE)</f>
        <v>Yes</v>
      </c>
      <c r="J361" t="str">
        <f>VLOOKUP(Table2[[#This Row],[Customer ID]],Table2[#All],9,FALSE)</f>
        <v>Obesity</v>
      </c>
      <c r="K361" t="str">
        <f>VLOOKUP(Table2[[#This Row],[Customer ID]],Table2[#All],10,FALSE)</f>
        <v>Normal</v>
      </c>
    </row>
    <row r="362" spans="1:11" ht="15.6" x14ac:dyDescent="0.3">
      <c r="A362" s="1" t="s">
        <v>2011</v>
      </c>
      <c r="B362" t="str">
        <f>VLOOKUP('Customer Names'!A362,'Customer Names'!$A$1:$E$2336,4,FALSE)</f>
        <v>Mr.  Pierre-Michel</v>
      </c>
      <c r="C362">
        <f>VLOOKUP(Table2[[#This Row],[Customer ID]],Table2[#All],2,FALSE)</f>
        <v>36.1</v>
      </c>
      <c r="D362">
        <f>VLOOKUP(Table2[[#This Row],[Customer ID]],Table2[#All],3,FALSE)</f>
        <v>11.39</v>
      </c>
      <c r="E362" t="str">
        <f>VLOOKUP(Table2[[#This Row],[Customer ID]],Table2[#All],4,FALSE)</f>
        <v>Yes</v>
      </c>
      <c r="F362" t="str">
        <f>VLOOKUP(Table2[[#This Row],[Customer ID]],Table2[#All],5,FALSE)</f>
        <v>No</v>
      </c>
      <c r="G362" t="str">
        <f>VLOOKUP(Table2[[#This Row],[Customer ID]],Table2[#All],6,FALSE)</f>
        <v>No</v>
      </c>
      <c r="H362">
        <f>VLOOKUP(Table2[[#This Row],[Customer ID]],Table2[#All],7,FALSE)</f>
        <v>2</v>
      </c>
      <c r="I362" t="str">
        <f>VLOOKUP(Table2[[#This Row],[Customer ID]],Table2[#All],8,FALSE)</f>
        <v>No</v>
      </c>
      <c r="J362" t="str">
        <f>VLOOKUP(Table2[[#This Row],[Customer ID]],Table2[#All],9,FALSE)</f>
        <v>Obesity</v>
      </c>
      <c r="K362" t="str">
        <f>VLOOKUP(Table2[[#This Row],[Customer ID]],Table2[#All],10,FALSE)</f>
        <v>Diabetes</v>
      </c>
    </row>
    <row r="363" spans="1:11" ht="15.6" x14ac:dyDescent="0.3">
      <c r="A363" s="1" t="s">
        <v>2010</v>
      </c>
      <c r="B363" t="str">
        <f>VLOOKUP('Customer Names'!A363,'Customer Names'!$A$1:$E$2336,4,FALSE)</f>
        <v>Mr.  Daniel</v>
      </c>
      <c r="C363">
        <f>VLOOKUP(Table2[[#This Row],[Customer ID]],Table2[#All],2,FALSE)</f>
        <v>22.77</v>
      </c>
      <c r="D363">
        <f>VLOOKUP(Table2[[#This Row],[Customer ID]],Table2[#All],3,FALSE)</f>
        <v>6</v>
      </c>
      <c r="E363" t="str">
        <f>VLOOKUP(Table2[[#This Row],[Customer ID]],Table2[#All],4,FALSE)</f>
        <v>No</v>
      </c>
      <c r="F363" t="str">
        <f>VLOOKUP(Table2[[#This Row],[Customer ID]],Table2[#All],5,FALSE)</f>
        <v>No</v>
      </c>
      <c r="G363" t="str">
        <f>VLOOKUP(Table2[[#This Row],[Customer ID]],Table2[#All],6,FALSE)</f>
        <v>No</v>
      </c>
      <c r="H363">
        <f>VLOOKUP(Table2[[#This Row],[Customer ID]],Table2[#All],7,FALSE)</f>
        <v>0</v>
      </c>
      <c r="I363" t="str">
        <f>VLOOKUP(Table2[[#This Row],[Customer ID]],Table2[#All],8,FALSE)</f>
        <v>Yes</v>
      </c>
      <c r="J363" t="str">
        <f>VLOOKUP(Table2[[#This Row],[Customer ID]],Table2[#All],9,FALSE)</f>
        <v>Normalweight</v>
      </c>
      <c r="K363" t="str">
        <f>VLOOKUP(Table2[[#This Row],[Customer ID]],Table2[#All],10,FALSE)</f>
        <v>Prediabetes</v>
      </c>
    </row>
    <row r="364" spans="1:11" ht="15.6" x14ac:dyDescent="0.3">
      <c r="A364" s="1" t="s">
        <v>2009</v>
      </c>
      <c r="B364" t="str">
        <f>VLOOKUP('Customer Names'!A364,'Customer Names'!$A$1:$E$2336,4,FALSE)</f>
        <v>Mr.  Brian L.</v>
      </c>
      <c r="C364">
        <f>VLOOKUP(Table2[[#This Row],[Customer ID]],Table2[#All],2,FALSE)</f>
        <v>21.24</v>
      </c>
      <c r="D364">
        <f>VLOOKUP(Table2[[#This Row],[Customer ID]],Table2[#All],3,FALSE)</f>
        <v>5.13</v>
      </c>
      <c r="E364" t="str">
        <f>VLOOKUP(Table2[[#This Row],[Customer ID]],Table2[#All],4,FALSE)</f>
        <v>No</v>
      </c>
      <c r="F364" t="str">
        <f>VLOOKUP(Table2[[#This Row],[Customer ID]],Table2[#All],5,FALSE)</f>
        <v>No</v>
      </c>
      <c r="G364" t="str">
        <f>VLOOKUP(Table2[[#This Row],[Customer ID]],Table2[#All],6,FALSE)</f>
        <v>No</v>
      </c>
      <c r="H364">
        <f>VLOOKUP(Table2[[#This Row],[Customer ID]],Table2[#All],7,FALSE)</f>
        <v>0</v>
      </c>
      <c r="I364" t="str">
        <f>VLOOKUP(Table2[[#This Row],[Customer ID]],Table2[#All],8,FALSE)</f>
        <v>Yes</v>
      </c>
      <c r="J364" t="str">
        <f>VLOOKUP(Table2[[#This Row],[Customer ID]],Table2[#All],9,FALSE)</f>
        <v>Normalweight</v>
      </c>
      <c r="K364" t="str">
        <f>VLOOKUP(Table2[[#This Row],[Customer ID]],Table2[#All],10,FALSE)</f>
        <v>Normal</v>
      </c>
    </row>
    <row r="365" spans="1:11" ht="15.6" x14ac:dyDescent="0.3">
      <c r="A365" s="1" t="s">
        <v>2008</v>
      </c>
      <c r="B365" t="str">
        <f>VLOOKUP('Customer Names'!A365,'Customer Names'!$A$1:$E$2336,4,FALSE)</f>
        <v>Ms.  Morgan M.</v>
      </c>
      <c r="C365">
        <f>VLOOKUP(Table2[[#This Row],[Customer ID]],Table2[#All],2,FALSE)</f>
        <v>17.600000000000001</v>
      </c>
      <c r="D365">
        <f>VLOOKUP(Table2[[#This Row],[Customer ID]],Table2[#All],3,FALSE)</f>
        <v>5.26</v>
      </c>
      <c r="E365" t="str">
        <f>VLOOKUP(Table2[[#This Row],[Customer ID]],Table2[#All],4,FALSE)</f>
        <v>Yes</v>
      </c>
      <c r="F365" t="str">
        <f>VLOOKUP(Table2[[#This Row],[Customer ID]],Table2[#All],5,FALSE)</f>
        <v>No</v>
      </c>
      <c r="G365" t="str">
        <f>VLOOKUP(Table2[[#This Row],[Customer ID]],Table2[#All],6,FALSE)</f>
        <v>No</v>
      </c>
      <c r="H365">
        <f>VLOOKUP(Table2[[#This Row],[Customer ID]],Table2[#All],7,FALSE)</f>
        <v>0</v>
      </c>
      <c r="I365" t="str">
        <f>VLOOKUP(Table2[[#This Row],[Customer ID]],Table2[#All],8,FALSE)</f>
        <v>Yes</v>
      </c>
      <c r="J365" t="str">
        <f>VLOOKUP(Table2[[#This Row],[Customer ID]],Table2[#All],9,FALSE)</f>
        <v>Underweight</v>
      </c>
      <c r="K365" t="str">
        <f>VLOOKUP(Table2[[#This Row],[Customer ID]],Table2[#All],10,FALSE)</f>
        <v>Normal</v>
      </c>
    </row>
    <row r="366" spans="1:11" ht="15.6" x14ac:dyDescent="0.3">
      <c r="A366" s="1" t="s">
        <v>2007</v>
      </c>
      <c r="B366" t="str">
        <f>VLOOKUP('Customer Names'!A366,'Customer Names'!$A$1:$E$2336,4,FALSE)</f>
        <v>Ms.  Caroline</v>
      </c>
      <c r="C366">
        <f>VLOOKUP(Table2[[#This Row],[Customer ID]],Table2[#All],2,FALSE)</f>
        <v>26.29</v>
      </c>
      <c r="D366">
        <f>VLOOKUP(Table2[[#This Row],[Customer ID]],Table2[#All],3,FALSE)</f>
        <v>6.84</v>
      </c>
      <c r="E366" t="str">
        <f>VLOOKUP(Table2[[#This Row],[Customer ID]],Table2[#All],4,FALSE)</f>
        <v>No</v>
      </c>
      <c r="F366" t="str">
        <f>VLOOKUP(Table2[[#This Row],[Customer ID]],Table2[#All],5,FALSE)</f>
        <v>No</v>
      </c>
      <c r="G366" t="str">
        <f>VLOOKUP(Table2[[#This Row],[Customer ID]],Table2[#All],6,FALSE)</f>
        <v>No</v>
      </c>
      <c r="H366">
        <f>VLOOKUP(Table2[[#This Row],[Customer ID]],Table2[#All],7,FALSE)</f>
        <v>0</v>
      </c>
      <c r="I366" t="str">
        <f>VLOOKUP(Table2[[#This Row],[Customer ID]],Table2[#All],8,FALSE)</f>
        <v>Yes</v>
      </c>
      <c r="J366" t="str">
        <f>VLOOKUP(Table2[[#This Row],[Customer ID]],Table2[#All],9,FALSE)</f>
        <v>Overweight</v>
      </c>
      <c r="K366" t="str">
        <f>VLOOKUP(Table2[[#This Row],[Customer ID]],Table2[#All],10,FALSE)</f>
        <v>Diabetes</v>
      </c>
    </row>
    <row r="367" spans="1:11" ht="15.6" x14ac:dyDescent="0.3">
      <c r="A367" s="1" t="s">
        <v>2006</v>
      </c>
      <c r="B367" t="str">
        <f>VLOOKUP('Customer Names'!A367,'Customer Names'!$A$1:$E$2336,4,FALSE)</f>
        <v>Mr.  Drew T.</v>
      </c>
      <c r="C367">
        <f>VLOOKUP(Table2[[#This Row],[Customer ID]],Table2[#All],2,FALSE)</f>
        <v>35.31</v>
      </c>
      <c r="D367">
        <f>VLOOKUP(Table2[[#This Row],[Customer ID]],Table2[#All],3,FALSE)</f>
        <v>9.0399999999999991</v>
      </c>
      <c r="E367" t="str">
        <f>VLOOKUP(Table2[[#This Row],[Customer ID]],Table2[#All],4,FALSE)</f>
        <v>No</v>
      </c>
      <c r="F367" t="str">
        <f>VLOOKUP(Table2[[#This Row],[Customer ID]],Table2[#All],5,FALSE)</f>
        <v>No</v>
      </c>
      <c r="G367" t="str">
        <f>VLOOKUP(Table2[[#This Row],[Customer ID]],Table2[#All],6,FALSE)</f>
        <v>No</v>
      </c>
      <c r="H367">
        <f>VLOOKUP(Table2[[#This Row],[Customer ID]],Table2[#All],7,FALSE)</f>
        <v>0</v>
      </c>
      <c r="I367" t="str">
        <f>VLOOKUP(Table2[[#This Row],[Customer ID]],Table2[#All],8,FALSE)</f>
        <v>No</v>
      </c>
      <c r="J367" t="str">
        <f>VLOOKUP(Table2[[#This Row],[Customer ID]],Table2[#All],9,FALSE)</f>
        <v>Obesity</v>
      </c>
      <c r="K367" t="str">
        <f>VLOOKUP(Table2[[#This Row],[Customer ID]],Table2[#All],10,FALSE)</f>
        <v>Diabetes</v>
      </c>
    </row>
    <row r="368" spans="1:11" ht="15.6" x14ac:dyDescent="0.3">
      <c r="A368" s="1" t="s">
        <v>2005</v>
      </c>
      <c r="B368" t="str">
        <f>VLOOKUP('Customer Names'!A368,'Customer Names'!$A$1:$E$2336,4,FALSE)</f>
        <v>Mr.  Austin W</v>
      </c>
      <c r="C368">
        <f>VLOOKUP(Table2[[#This Row],[Customer ID]],Table2[#All],2,FALSE)</f>
        <v>27.04</v>
      </c>
      <c r="D368">
        <f>VLOOKUP(Table2[[#This Row],[Customer ID]],Table2[#All],3,FALSE)</f>
        <v>4.0999999999999996</v>
      </c>
      <c r="E368" t="str">
        <f>VLOOKUP(Table2[[#This Row],[Customer ID]],Table2[#All],4,FALSE)</f>
        <v>No</v>
      </c>
      <c r="F368" t="str">
        <f>VLOOKUP(Table2[[#This Row],[Customer ID]],Table2[#All],5,FALSE)</f>
        <v>No</v>
      </c>
      <c r="G368" t="str">
        <f>VLOOKUP(Table2[[#This Row],[Customer ID]],Table2[#All],6,FALSE)</f>
        <v>No</v>
      </c>
      <c r="H368">
        <f>VLOOKUP(Table2[[#This Row],[Customer ID]],Table2[#All],7,FALSE)</f>
        <v>1</v>
      </c>
      <c r="I368" t="str">
        <f>VLOOKUP(Table2[[#This Row],[Customer ID]],Table2[#All],8,FALSE)</f>
        <v>Yes</v>
      </c>
      <c r="J368" t="str">
        <f>VLOOKUP(Table2[[#This Row],[Customer ID]],Table2[#All],9,FALSE)</f>
        <v>Overweight</v>
      </c>
      <c r="K368" t="str">
        <f>VLOOKUP(Table2[[#This Row],[Customer ID]],Table2[#All],10,FALSE)</f>
        <v>Normal</v>
      </c>
    </row>
    <row r="369" spans="1:11" ht="15.6" x14ac:dyDescent="0.3">
      <c r="A369" s="1" t="s">
        <v>2004</v>
      </c>
      <c r="B369" t="str">
        <f>VLOOKUP('Customer Names'!A369,'Customer Names'!$A$1:$E$2336,4,FALSE)</f>
        <v>Ms.  Berenice</v>
      </c>
      <c r="C369">
        <f>VLOOKUP(Table2[[#This Row],[Customer ID]],Table2[#All],2,FALSE)</f>
        <v>30.23</v>
      </c>
      <c r="D369">
        <f>VLOOKUP(Table2[[#This Row],[Customer ID]],Table2[#All],3,FALSE)</f>
        <v>4.2300000000000004</v>
      </c>
      <c r="E369" t="str">
        <f>VLOOKUP(Table2[[#This Row],[Customer ID]],Table2[#All],4,FALSE)</f>
        <v>Yes</v>
      </c>
      <c r="F369" t="str">
        <f>VLOOKUP(Table2[[#This Row],[Customer ID]],Table2[#All],5,FALSE)</f>
        <v>No</v>
      </c>
      <c r="G369" t="str">
        <f>VLOOKUP(Table2[[#This Row],[Customer ID]],Table2[#All],6,FALSE)</f>
        <v>Yes</v>
      </c>
      <c r="H369">
        <f>VLOOKUP(Table2[[#This Row],[Customer ID]],Table2[#All],7,FALSE)</f>
        <v>1</v>
      </c>
      <c r="I369" t="str">
        <f>VLOOKUP(Table2[[#This Row],[Customer ID]],Table2[#All],8,FALSE)</f>
        <v>Yes</v>
      </c>
      <c r="J369" t="str">
        <f>VLOOKUP(Table2[[#This Row],[Customer ID]],Table2[#All],9,FALSE)</f>
        <v>Obesity</v>
      </c>
      <c r="K369" t="str">
        <f>VLOOKUP(Table2[[#This Row],[Customer ID]],Table2[#All],10,FALSE)</f>
        <v>Normal</v>
      </c>
    </row>
    <row r="370" spans="1:11" ht="15.6" x14ac:dyDescent="0.3">
      <c r="A370" s="1" t="s">
        <v>2003</v>
      </c>
      <c r="B370" t="str">
        <f>VLOOKUP('Customer Names'!A370,'Customer Names'!$A$1:$E$2336,4,FALSE)</f>
        <v>Mr.  Kenneth A</v>
      </c>
      <c r="C370">
        <f>VLOOKUP(Table2[[#This Row],[Customer ID]],Table2[#All],2,FALSE)</f>
        <v>30.6</v>
      </c>
      <c r="D370">
        <f>VLOOKUP(Table2[[#This Row],[Customer ID]],Table2[#All],3,FALSE)</f>
        <v>6.48</v>
      </c>
      <c r="E370" t="str">
        <f>VLOOKUP(Table2[[#This Row],[Customer ID]],Table2[#All],4,FALSE)</f>
        <v>Yes</v>
      </c>
      <c r="F370" t="str">
        <f>VLOOKUP(Table2[[#This Row],[Customer ID]],Table2[#All],5,FALSE)</f>
        <v>No</v>
      </c>
      <c r="G370" t="str">
        <f>VLOOKUP(Table2[[#This Row],[Customer ID]],Table2[#All],6,FALSE)</f>
        <v>Yes</v>
      </c>
      <c r="H370">
        <f>VLOOKUP(Table2[[#This Row],[Customer ID]],Table2[#All],7,FALSE)</f>
        <v>1</v>
      </c>
      <c r="I370" t="str">
        <f>VLOOKUP(Table2[[#This Row],[Customer ID]],Table2[#All],8,FALSE)</f>
        <v>Yes</v>
      </c>
      <c r="J370" t="str">
        <f>VLOOKUP(Table2[[#This Row],[Customer ID]],Table2[#All],9,FALSE)</f>
        <v>Obesity</v>
      </c>
      <c r="K370" t="str">
        <f>VLOOKUP(Table2[[#This Row],[Customer ID]],Table2[#All],10,FALSE)</f>
        <v>Prediabetes</v>
      </c>
    </row>
    <row r="371" spans="1:11" ht="15.6" x14ac:dyDescent="0.3">
      <c r="A371" s="1" t="s">
        <v>2002</v>
      </c>
      <c r="B371" t="str">
        <f>VLOOKUP('Customer Names'!A371,'Customer Names'!$A$1:$E$2336,4,FALSE)</f>
        <v>Mr.  Miguel</v>
      </c>
      <c r="C371">
        <f>VLOOKUP(Table2[[#This Row],[Customer ID]],Table2[#All],2,FALSE)</f>
        <v>26.8</v>
      </c>
      <c r="D371">
        <f>VLOOKUP(Table2[[#This Row],[Customer ID]],Table2[#All],3,FALSE)</f>
        <v>5.53</v>
      </c>
      <c r="E371" t="str">
        <f>VLOOKUP(Table2[[#This Row],[Customer ID]],Table2[#All],4,FALSE)</f>
        <v>No</v>
      </c>
      <c r="F371" t="str">
        <f>VLOOKUP(Table2[[#This Row],[Customer ID]],Table2[#All],5,FALSE)</f>
        <v>No</v>
      </c>
      <c r="G371" t="str">
        <f>VLOOKUP(Table2[[#This Row],[Customer ID]],Table2[#All],6,FALSE)</f>
        <v>No</v>
      </c>
      <c r="H371">
        <f>VLOOKUP(Table2[[#This Row],[Customer ID]],Table2[#All],7,FALSE)</f>
        <v>1</v>
      </c>
      <c r="I371" t="str">
        <f>VLOOKUP(Table2[[#This Row],[Customer ID]],Table2[#All],8,FALSE)</f>
        <v>Yes</v>
      </c>
      <c r="J371" t="str">
        <f>VLOOKUP(Table2[[#This Row],[Customer ID]],Table2[#All],9,FALSE)</f>
        <v>Overweight</v>
      </c>
      <c r="K371" t="str">
        <f>VLOOKUP(Table2[[#This Row],[Customer ID]],Table2[#All],10,FALSE)</f>
        <v>Normal</v>
      </c>
    </row>
    <row r="372" spans="1:11" ht="15.6" x14ac:dyDescent="0.3">
      <c r="A372" s="1" t="s">
        <v>2001</v>
      </c>
      <c r="B372" t="str">
        <f>VLOOKUP('Customer Names'!A372,'Customer Names'!$A$1:$E$2336,4,FALSE)</f>
        <v>Ms.  Hadley T.</v>
      </c>
      <c r="C372">
        <f>VLOOKUP(Table2[[#This Row],[Customer ID]],Table2[#All],2,FALSE)</f>
        <v>16.86</v>
      </c>
      <c r="D372">
        <f>VLOOKUP(Table2[[#This Row],[Customer ID]],Table2[#All],3,FALSE)</f>
        <v>4.07</v>
      </c>
      <c r="E372" t="str">
        <f>VLOOKUP(Table2[[#This Row],[Customer ID]],Table2[#All],4,FALSE)</f>
        <v>Yes</v>
      </c>
      <c r="F372" t="str">
        <f>VLOOKUP(Table2[[#This Row],[Customer ID]],Table2[#All],5,FALSE)</f>
        <v>No</v>
      </c>
      <c r="G372" t="str">
        <f>VLOOKUP(Table2[[#This Row],[Customer ID]],Table2[#All],6,FALSE)</f>
        <v>No</v>
      </c>
      <c r="H372">
        <f>VLOOKUP(Table2[[#This Row],[Customer ID]],Table2[#All],7,FALSE)</f>
        <v>0</v>
      </c>
      <c r="I372" t="str">
        <f>VLOOKUP(Table2[[#This Row],[Customer ID]],Table2[#All],8,FALSE)</f>
        <v>Yes</v>
      </c>
      <c r="J372" t="str">
        <f>VLOOKUP(Table2[[#This Row],[Customer ID]],Table2[#All],9,FALSE)</f>
        <v>Underweight</v>
      </c>
      <c r="K372" t="str">
        <f>VLOOKUP(Table2[[#This Row],[Customer ID]],Table2[#All],10,FALSE)</f>
        <v>Normal</v>
      </c>
    </row>
    <row r="373" spans="1:11" ht="15.6" x14ac:dyDescent="0.3">
      <c r="A373" s="1" t="s">
        <v>2000</v>
      </c>
      <c r="B373" t="str">
        <f>VLOOKUP('Customer Names'!A373,'Customer Names'!$A$1:$E$2336,4,FALSE)</f>
        <v>Mr.  Taylor</v>
      </c>
      <c r="C373">
        <f>VLOOKUP(Table2[[#This Row],[Customer ID]],Table2[#All],2,FALSE)</f>
        <v>16.3</v>
      </c>
      <c r="D373">
        <f>VLOOKUP(Table2[[#This Row],[Customer ID]],Table2[#All],3,FALSE)</f>
        <v>5.51</v>
      </c>
      <c r="E373" t="str">
        <f>VLOOKUP(Table2[[#This Row],[Customer ID]],Table2[#All],4,FALSE)</f>
        <v>No</v>
      </c>
      <c r="F373" t="str">
        <f>VLOOKUP(Table2[[#This Row],[Customer ID]],Table2[#All],5,FALSE)</f>
        <v>No</v>
      </c>
      <c r="G373" t="str">
        <f>VLOOKUP(Table2[[#This Row],[Customer ID]],Table2[#All],6,FALSE)</f>
        <v>No</v>
      </c>
      <c r="H373">
        <f>VLOOKUP(Table2[[#This Row],[Customer ID]],Table2[#All],7,FALSE)</f>
        <v>1</v>
      </c>
      <c r="I373" t="str">
        <f>VLOOKUP(Table2[[#This Row],[Customer ID]],Table2[#All],8,FALSE)</f>
        <v>Yes</v>
      </c>
      <c r="J373" t="str">
        <f>VLOOKUP(Table2[[#This Row],[Customer ID]],Table2[#All],9,FALSE)</f>
        <v>Underweight</v>
      </c>
      <c r="K373" t="str">
        <f>VLOOKUP(Table2[[#This Row],[Customer ID]],Table2[#All],10,FALSE)</f>
        <v>Normal</v>
      </c>
    </row>
    <row r="374" spans="1:11" ht="15.6" x14ac:dyDescent="0.3">
      <c r="A374" s="1" t="s">
        <v>1999</v>
      </c>
      <c r="B374" t="str">
        <f>VLOOKUP('Customer Names'!A374,'Customer Names'!$A$1:$E$2336,4,FALSE)</f>
        <v>Ms.  Tenielle M</v>
      </c>
      <c r="C374">
        <f>VLOOKUP(Table2[[#This Row],[Customer ID]],Table2[#All],2,FALSE)</f>
        <v>29.81</v>
      </c>
      <c r="D374">
        <f>VLOOKUP(Table2[[#This Row],[Customer ID]],Table2[#All],3,FALSE)</f>
        <v>11.66</v>
      </c>
      <c r="E374" t="str">
        <f>VLOOKUP(Table2[[#This Row],[Customer ID]],Table2[#All],4,FALSE)</f>
        <v>No</v>
      </c>
      <c r="F374" t="str">
        <f>VLOOKUP(Table2[[#This Row],[Customer ID]],Table2[#All],5,FALSE)</f>
        <v>No</v>
      </c>
      <c r="G374" t="str">
        <f>VLOOKUP(Table2[[#This Row],[Customer ID]],Table2[#All],6,FALSE)</f>
        <v>No</v>
      </c>
      <c r="H374">
        <f>VLOOKUP(Table2[[#This Row],[Customer ID]],Table2[#All],7,FALSE)</f>
        <v>0</v>
      </c>
      <c r="I374" t="str">
        <f>VLOOKUP(Table2[[#This Row],[Customer ID]],Table2[#All],8,FALSE)</f>
        <v>Yes</v>
      </c>
      <c r="J374" t="str">
        <f>VLOOKUP(Table2[[#This Row],[Customer ID]],Table2[#All],9,FALSE)</f>
        <v>Overweight</v>
      </c>
      <c r="K374" t="str">
        <f>VLOOKUP(Table2[[#This Row],[Customer ID]],Table2[#All],10,FALSE)</f>
        <v>Diabetes</v>
      </c>
    </row>
    <row r="375" spans="1:11" ht="15.6" x14ac:dyDescent="0.3">
      <c r="A375" s="1" t="s">
        <v>1998</v>
      </c>
      <c r="B375" t="str">
        <f>VLOOKUP('Customer Names'!A375,'Customer Names'!$A$1:$E$2336,4,FALSE)</f>
        <v>Ms.  Andrea</v>
      </c>
      <c r="C375">
        <f>VLOOKUP(Table2[[#This Row],[Customer ID]],Table2[#All],2,FALSE)</f>
        <v>16.329999999999998</v>
      </c>
      <c r="D375">
        <f>VLOOKUP(Table2[[#This Row],[Customer ID]],Table2[#All],3,FALSE)</f>
        <v>7.26</v>
      </c>
      <c r="E375" t="str">
        <f>VLOOKUP(Table2[[#This Row],[Customer ID]],Table2[#All],4,FALSE)</f>
        <v>Yes</v>
      </c>
      <c r="F375" t="str">
        <f>VLOOKUP(Table2[[#This Row],[Customer ID]],Table2[#All],5,FALSE)</f>
        <v>No</v>
      </c>
      <c r="G375" t="str">
        <f>VLOOKUP(Table2[[#This Row],[Customer ID]],Table2[#All],6,FALSE)</f>
        <v>No</v>
      </c>
      <c r="H375">
        <f>VLOOKUP(Table2[[#This Row],[Customer ID]],Table2[#All],7,FALSE)</f>
        <v>0</v>
      </c>
      <c r="I375" t="str">
        <f>VLOOKUP(Table2[[#This Row],[Customer ID]],Table2[#All],8,FALSE)</f>
        <v>Yes</v>
      </c>
      <c r="J375" t="str">
        <f>VLOOKUP(Table2[[#This Row],[Customer ID]],Table2[#All],9,FALSE)</f>
        <v>Underweight</v>
      </c>
      <c r="K375" t="str">
        <f>VLOOKUP(Table2[[#This Row],[Customer ID]],Table2[#All],10,FALSE)</f>
        <v>Diabetes</v>
      </c>
    </row>
    <row r="376" spans="1:11" ht="15.6" x14ac:dyDescent="0.3">
      <c r="A376" s="1" t="s">
        <v>1997</v>
      </c>
      <c r="B376" t="str">
        <f>VLOOKUP('Customer Names'!A376,'Customer Names'!$A$1:$E$2336,4,FALSE)</f>
        <v>Ms.  Nora P</v>
      </c>
      <c r="C376">
        <f>VLOOKUP(Table2[[#This Row],[Customer ID]],Table2[#All],2,FALSE)</f>
        <v>16.37</v>
      </c>
      <c r="D376">
        <f>VLOOKUP(Table2[[#This Row],[Customer ID]],Table2[#All],3,FALSE)</f>
        <v>4.79</v>
      </c>
      <c r="E376" t="str">
        <f>VLOOKUP(Table2[[#This Row],[Customer ID]],Table2[#All],4,FALSE)</f>
        <v>Yes</v>
      </c>
      <c r="F376" t="str">
        <f>VLOOKUP(Table2[[#This Row],[Customer ID]],Table2[#All],5,FALSE)</f>
        <v>No</v>
      </c>
      <c r="G376" t="str">
        <f>VLOOKUP(Table2[[#This Row],[Customer ID]],Table2[#All],6,FALSE)</f>
        <v>No</v>
      </c>
      <c r="H376">
        <f>VLOOKUP(Table2[[#This Row],[Customer ID]],Table2[#All],7,FALSE)</f>
        <v>0</v>
      </c>
      <c r="I376" t="str">
        <f>VLOOKUP(Table2[[#This Row],[Customer ID]],Table2[#All],8,FALSE)</f>
        <v>Yes</v>
      </c>
      <c r="J376" t="str">
        <f>VLOOKUP(Table2[[#This Row],[Customer ID]],Table2[#All],9,FALSE)</f>
        <v>Underweight</v>
      </c>
      <c r="K376" t="str">
        <f>VLOOKUP(Table2[[#This Row],[Customer ID]],Table2[#All],10,FALSE)</f>
        <v>Normal</v>
      </c>
    </row>
    <row r="377" spans="1:11" ht="15.6" x14ac:dyDescent="0.3">
      <c r="A377" s="1" t="s">
        <v>1996</v>
      </c>
      <c r="B377" t="str">
        <f>VLOOKUP('Customer Names'!A377,'Customer Names'!$A$1:$E$2336,4,FALSE)</f>
        <v>Mr.  Zachary</v>
      </c>
      <c r="C377">
        <f>VLOOKUP(Table2[[#This Row],[Customer ID]],Table2[#All],2,FALSE)</f>
        <v>22.42</v>
      </c>
      <c r="D377">
        <f>VLOOKUP(Table2[[#This Row],[Customer ID]],Table2[#All],3,FALSE)</f>
        <v>4.68</v>
      </c>
      <c r="E377" t="str">
        <f>VLOOKUP(Table2[[#This Row],[Customer ID]],Table2[#All],4,FALSE)</f>
        <v>Yes</v>
      </c>
      <c r="F377" t="str">
        <f>VLOOKUP(Table2[[#This Row],[Customer ID]],Table2[#All],5,FALSE)</f>
        <v>No</v>
      </c>
      <c r="G377" t="str">
        <f>VLOOKUP(Table2[[#This Row],[Customer ID]],Table2[#All],6,FALSE)</f>
        <v>No</v>
      </c>
      <c r="H377">
        <f>VLOOKUP(Table2[[#This Row],[Customer ID]],Table2[#All],7,FALSE)</f>
        <v>1</v>
      </c>
      <c r="I377" t="str">
        <f>VLOOKUP(Table2[[#This Row],[Customer ID]],Table2[#All],8,FALSE)</f>
        <v>No</v>
      </c>
      <c r="J377" t="str">
        <f>VLOOKUP(Table2[[#This Row],[Customer ID]],Table2[#All],9,FALSE)</f>
        <v>Normalweight</v>
      </c>
      <c r="K377" t="str">
        <f>VLOOKUP(Table2[[#This Row],[Customer ID]],Table2[#All],10,FALSE)</f>
        <v>Normal</v>
      </c>
    </row>
    <row r="378" spans="1:11" ht="15.6" x14ac:dyDescent="0.3">
      <c r="A378" s="1" t="s">
        <v>1995</v>
      </c>
      <c r="B378" t="str">
        <f>VLOOKUP('Customer Names'!A378,'Customer Names'!$A$1:$E$2336,4,FALSE)</f>
        <v>Mr.  Michael</v>
      </c>
      <c r="C378">
        <f>VLOOKUP(Table2[[#This Row],[Customer ID]],Table2[#All],2,FALSE)</f>
        <v>31.35</v>
      </c>
      <c r="D378">
        <f>VLOOKUP(Table2[[#This Row],[Customer ID]],Table2[#All],3,FALSE)</f>
        <v>4.33</v>
      </c>
      <c r="E378" t="str">
        <f>VLOOKUP(Table2[[#This Row],[Customer ID]],Table2[#All],4,FALSE)</f>
        <v>Yes</v>
      </c>
      <c r="F378" t="str">
        <f>VLOOKUP(Table2[[#This Row],[Customer ID]],Table2[#All],5,FALSE)</f>
        <v>No</v>
      </c>
      <c r="G378" t="str">
        <f>VLOOKUP(Table2[[#This Row],[Customer ID]],Table2[#All],6,FALSE)</f>
        <v>Yes</v>
      </c>
      <c r="H378">
        <f>VLOOKUP(Table2[[#This Row],[Customer ID]],Table2[#All],7,FALSE)</f>
        <v>1</v>
      </c>
      <c r="I378" t="str">
        <f>VLOOKUP(Table2[[#This Row],[Customer ID]],Table2[#All],8,FALSE)</f>
        <v>No</v>
      </c>
      <c r="J378" t="str">
        <f>VLOOKUP(Table2[[#This Row],[Customer ID]],Table2[#All],9,FALSE)</f>
        <v>Obesity</v>
      </c>
      <c r="K378" t="str">
        <f>VLOOKUP(Table2[[#This Row],[Customer ID]],Table2[#All],10,FALSE)</f>
        <v>Normal</v>
      </c>
    </row>
    <row r="379" spans="1:11" ht="15.6" x14ac:dyDescent="0.3">
      <c r="A379" s="1" t="s">
        <v>1994</v>
      </c>
      <c r="B379" t="str">
        <f>VLOOKUP('Customer Names'!A379,'Customer Names'!$A$1:$E$2336,4,FALSE)</f>
        <v>Ms.  Alyssa K.</v>
      </c>
      <c r="C379">
        <f>VLOOKUP(Table2[[#This Row],[Customer ID]],Table2[#All],2,FALSE)</f>
        <v>31.9</v>
      </c>
      <c r="D379">
        <f>VLOOKUP(Table2[[#This Row],[Customer ID]],Table2[#All],3,FALSE)</f>
        <v>11.89</v>
      </c>
      <c r="E379" t="str">
        <f>VLOOKUP(Table2[[#This Row],[Customer ID]],Table2[#All],4,FALSE)</f>
        <v>No</v>
      </c>
      <c r="F379" t="str">
        <f>VLOOKUP(Table2[[#This Row],[Customer ID]],Table2[#All],5,FALSE)</f>
        <v>No</v>
      </c>
      <c r="G379" t="str">
        <f>VLOOKUP(Table2[[#This Row],[Customer ID]],Table2[#All],6,FALSE)</f>
        <v>No</v>
      </c>
      <c r="H379">
        <f>VLOOKUP(Table2[[#This Row],[Customer ID]],Table2[#All],7,FALSE)</f>
        <v>0</v>
      </c>
      <c r="I379" t="str">
        <f>VLOOKUP(Table2[[#This Row],[Customer ID]],Table2[#All],8,FALSE)</f>
        <v>No</v>
      </c>
      <c r="J379" t="str">
        <f>VLOOKUP(Table2[[#This Row],[Customer ID]],Table2[#All],9,FALSE)</f>
        <v>Obesity</v>
      </c>
      <c r="K379" t="str">
        <f>VLOOKUP(Table2[[#This Row],[Customer ID]],Table2[#All],10,FALSE)</f>
        <v>Diabetes</v>
      </c>
    </row>
    <row r="380" spans="1:11" ht="15.6" x14ac:dyDescent="0.3">
      <c r="A380" s="1" t="s">
        <v>1993</v>
      </c>
      <c r="B380" t="str">
        <f>VLOOKUP('Customer Names'!A380,'Customer Names'!$A$1:$E$2336,4,FALSE)</f>
        <v>Ms.  Heather</v>
      </c>
      <c r="C380">
        <f>VLOOKUP(Table2[[#This Row],[Customer ID]],Table2[#All],2,FALSE)</f>
        <v>30.6</v>
      </c>
      <c r="D380">
        <f>VLOOKUP(Table2[[#This Row],[Customer ID]],Table2[#All],3,FALSE)</f>
        <v>5.24</v>
      </c>
      <c r="E380" t="str">
        <f>VLOOKUP(Table2[[#This Row],[Customer ID]],Table2[#All],4,FALSE)</f>
        <v>No</v>
      </c>
      <c r="F380" t="str">
        <f>VLOOKUP(Table2[[#This Row],[Customer ID]],Table2[#All],5,FALSE)</f>
        <v>No</v>
      </c>
      <c r="G380" t="str">
        <f>VLOOKUP(Table2[[#This Row],[Customer ID]],Table2[#All],6,FALSE)</f>
        <v>No</v>
      </c>
      <c r="H380">
        <f>VLOOKUP(Table2[[#This Row],[Customer ID]],Table2[#All],7,FALSE)</f>
        <v>0</v>
      </c>
      <c r="I380" t="str">
        <f>VLOOKUP(Table2[[#This Row],[Customer ID]],Table2[#All],8,FALSE)</f>
        <v>Yes</v>
      </c>
      <c r="J380" t="str">
        <f>VLOOKUP(Table2[[#This Row],[Customer ID]],Table2[#All],9,FALSE)</f>
        <v>Obesity</v>
      </c>
      <c r="K380" t="str">
        <f>VLOOKUP(Table2[[#This Row],[Customer ID]],Table2[#All],10,FALSE)</f>
        <v>Normal</v>
      </c>
    </row>
    <row r="381" spans="1:11" ht="15.6" x14ac:dyDescent="0.3">
      <c r="A381" s="1" t="s">
        <v>1992</v>
      </c>
      <c r="B381" t="str">
        <f>VLOOKUP('Customer Names'!A381,'Customer Names'!$A$1:$E$2336,4,FALSE)</f>
        <v>Mr.  Dante</v>
      </c>
      <c r="C381">
        <f>VLOOKUP(Table2[[#This Row],[Customer ID]],Table2[#All],2,FALSE)</f>
        <v>28.975000000000001</v>
      </c>
      <c r="D381">
        <f>VLOOKUP(Table2[[#This Row],[Customer ID]],Table2[#All],3,FALSE)</f>
        <v>7.63</v>
      </c>
      <c r="E381" t="str">
        <f>VLOOKUP(Table2[[#This Row],[Customer ID]],Table2[#All],4,FALSE)</f>
        <v>No</v>
      </c>
      <c r="F381" t="str">
        <f>VLOOKUP(Table2[[#This Row],[Customer ID]],Table2[#All],5,FALSE)</f>
        <v>No</v>
      </c>
      <c r="G381" t="str">
        <f>VLOOKUP(Table2[[#This Row],[Customer ID]],Table2[#All],6,FALSE)</f>
        <v>No</v>
      </c>
      <c r="H381">
        <f>VLOOKUP(Table2[[#This Row],[Customer ID]],Table2[#All],7,FALSE)</f>
        <v>0</v>
      </c>
      <c r="I381" t="str">
        <f>VLOOKUP(Table2[[#This Row],[Customer ID]],Table2[#All],8,FALSE)</f>
        <v>Yes</v>
      </c>
      <c r="J381" t="str">
        <f>VLOOKUP(Table2[[#This Row],[Customer ID]],Table2[#All],9,FALSE)</f>
        <v>Overweight</v>
      </c>
      <c r="K381" t="str">
        <f>VLOOKUP(Table2[[#This Row],[Customer ID]],Table2[#All],10,FALSE)</f>
        <v>Diabetes</v>
      </c>
    </row>
    <row r="382" spans="1:11" ht="15.6" x14ac:dyDescent="0.3">
      <c r="A382" s="1" t="s">
        <v>1991</v>
      </c>
      <c r="B382" t="str">
        <f>VLOOKUP('Customer Names'!A382,'Customer Names'!$A$1:$E$2336,4,FALSE)</f>
        <v>Ms.  Sara E.</v>
      </c>
      <c r="C382">
        <f>VLOOKUP(Table2[[#This Row],[Customer ID]],Table2[#All],2,FALSE)</f>
        <v>24.86</v>
      </c>
      <c r="D382">
        <f>VLOOKUP(Table2[[#This Row],[Customer ID]],Table2[#All],3,FALSE)</f>
        <v>8.92</v>
      </c>
      <c r="E382" t="str">
        <f>VLOOKUP(Table2[[#This Row],[Customer ID]],Table2[#All],4,FALSE)</f>
        <v>Yes</v>
      </c>
      <c r="F382" t="str">
        <f>VLOOKUP(Table2[[#This Row],[Customer ID]],Table2[#All],5,FALSE)</f>
        <v>No</v>
      </c>
      <c r="G382" t="str">
        <f>VLOOKUP(Table2[[#This Row],[Customer ID]],Table2[#All],6,FALSE)</f>
        <v>No</v>
      </c>
      <c r="H382">
        <f>VLOOKUP(Table2[[#This Row],[Customer ID]],Table2[#All],7,FALSE)</f>
        <v>2</v>
      </c>
      <c r="I382" t="str">
        <f>VLOOKUP(Table2[[#This Row],[Customer ID]],Table2[#All],8,FALSE)</f>
        <v>No</v>
      </c>
      <c r="J382" t="str">
        <f>VLOOKUP(Table2[[#This Row],[Customer ID]],Table2[#All],9,FALSE)</f>
        <v>Normalweight</v>
      </c>
      <c r="K382" t="str">
        <f>VLOOKUP(Table2[[#This Row],[Customer ID]],Table2[#All],10,FALSE)</f>
        <v>Diabetes</v>
      </c>
    </row>
    <row r="383" spans="1:11" ht="15.6" x14ac:dyDescent="0.3">
      <c r="A383" s="1" t="s">
        <v>1990</v>
      </c>
      <c r="B383" t="str">
        <f>VLOOKUP('Customer Names'!A383,'Customer Names'!$A$1:$E$2336,4,FALSE)</f>
        <v>Mr.  Scott</v>
      </c>
      <c r="C383">
        <f>VLOOKUP(Table2[[#This Row],[Customer ID]],Table2[#All],2,FALSE)</f>
        <v>19.54</v>
      </c>
      <c r="D383">
        <f>VLOOKUP(Table2[[#This Row],[Customer ID]],Table2[#All],3,FALSE)</f>
        <v>5.37</v>
      </c>
      <c r="E383" t="str">
        <f>VLOOKUP(Table2[[#This Row],[Customer ID]],Table2[#All],4,FALSE)</f>
        <v>No</v>
      </c>
      <c r="F383" t="str">
        <f>VLOOKUP(Table2[[#This Row],[Customer ID]],Table2[#All],5,FALSE)</f>
        <v>No</v>
      </c>
      <c r="G383" t="str">
        <f>VLOOKUP(Table2[[#This Row],[Customer ID]],Table2[#All],6,FALSE)</f>
        <v>No</v>
      </c>
      <c r="H383">
        <f>VLOOKUP(Table2[[#This Row],[Customer ID]],Table2[#All],7,FALSE)</f>
        <v>0</v>
      </c>
      <c r="I383" t="str">
        <f>VLOOKUP(Table2[[#This Row],[Customer ID]],Table2[#All],8,FALSE)</f>
        <v>Yes</v>
      </c>
      <c r="J383" t="str">
        <f>VLOOKUP(Table2[[#This Row],[Customer ID]],Table2[#All],9,FALSE)</f>
        <v>Normalweight</v>
      </c>
      <c r="K383" t="str">
        <f>VLOOKUP(Table2[[#This Row],[Customer ID]],Table2[#All],10,FALSE)</f>
        <v>Normal</v>
      </c>
    </row>
    <row r="384" spans="1:11" ht="15.6" x14ac:dyDescent="0.3">
      <c r="A384" s="1" t="s">
        <v>1989</v>
      </c>
      <c r="B384" t="str">
        <f>VLOOKUP('Customer Names'!A384,'Customer Names'!$A$1:$E$2336,4,FALSE)</f>
        <v>Mr.  Sean</v>
      </c>
      <c r="C384">
        <f>VLOOKUP(Table2[[#This Row],[Customer ID]],Table2[#All],2,FALSE)</f>
        <v>26.74</v>
      </c>
      <c r="D384">
        <f>VLOOKUP(Table2[[#This Row],[Customer ID]],Table2[#All],3,FALSE)</f>
        <v>4.3099999999999996</v>
      </c>
      <c r="E384" t="str">
        <f>VLOOKUP(Table2[[#This Row],[Customer ID]],Table2[#All],4,FALSE)</f>
        <v>No</v>
      </c>
      <c r="F384" t="str">
        <f>VLOOKUP(Table2[[#This Row],[Customer ID]],Table2[#All],5,FALSE)</f>
        <v>No</v>
      </c>
      <c r="G384" t="str">
        <f>VLOOKUP(Table2[[#This Row],[Customer ID]],Table2[#All],6,FALSE)</f>
        <v>No</v>
      </c>
      <c r="H384">
        <f>VLOOKUP(Table2[[#This Row],[Customer ID]],Table2[#All],7,FALSE)</f>
        <v>0</v>
      </c>
      <c r="I384" t="str">
        <f>VLOOKUP(Table2[[#This Row],[Customer ID]],Table2[#All],8,FALSE)</f>
        <v>Yes</v>
      </c>
      <c r="J384" t="str">
        <f>VLOOKUP(Table2[[#This Row],[Customer ID]],Table2[#All],9,FALSE)</f>
        <v>Overweight</v>
      </c>
      <c r="K384" t="str">
        <f>VLOOKUP(Table2[[#This Row],[Customer ID]],Table2[#All],10,FALSE)</f>
        <v>Normal</v>
      </c>
    </row>
    <row r="385" spans="1:11" ht="15.6" x14ac:dyDescent="0.3">
      <c r="A385" s="1" t="s">
        <v>1988</v>
      </c>
      <c r="B385" t="str">
        <f>VLOOKUP('Customer Names'!A385,'Customer Names'!$A$1:$E$2336,4,FALSE)</f>
        <v>Ms.  Danielle</v>
      </c>
      <c r="C385">
        <f>VLOOKUP(Table2[[#This Row],[Customer ID]],Table2[#All],2,FALSE)</f>
        <v>22.99</v>
      </c>
      <c r="D385">
        <f>VLOOKUP(Table2[[#This Row],[Customer ID]],Table2[#All],3,FALSE)</f>
        <v>10.46</v>
      </c>
      <c r="E385" t="str">
        <f>VLOOKUP(Table2[[#This Row],[Customer ID]],Table2[#All],4,FALSE)</f>
        <v>No</v>
      </c>
      <c r="F385" t="str">
        <f>VLOOKUP(Table2[[#This Row],[Customer ID]],Table2[#All],5,FALSE)</f>
        <v>No</v>
      </c>
      <c r="G385" t="str">
        <f>VLOOKUP(Table2[[#This Row],[Customer ID]],Table2[#All],6,FALSE)</f>
        <v>No</v>
      </c>
      <c r="H385">
        <f>VLOOKUP(Table2[[#This Row],[Customer ID]],Table2[#All],7,FALSE)</f>
        <v>3</v>
      </c>
      <c r="I385" t="str">
        <f>VLOOKUP(Table2[[#This Row],[Customer ID]],Table2[#All],8,FALSE)</f>
        <v>Yes</v>
      </c>
      <c r="J385" t="str">
        <f>VLOOKUP(Table2[[#This Row],[Customer ID]],Table2[#All],9,FALSE)</f>
        <v>Normalweight</v>
      </c>
      <c r="K385" t="str">
        <f>VLOOKUP(Table2[[#This Row],[Customer ID]],Table2[#All],10,FALSE)</f>
        <v>Diabetes</v>
      </c>
    </row>
    <row r="386" spans="1:11" ht="15.6" x14ac:dyDescent="0.3">
      <c r="A386" s="1" t="s">
        <v>1987</v>
      </c>
      <c r="B386" t="str">
        <f>VLOOKUP('Customer Names'!A386,'Customer Names'!$A$1:$E$2336,4,FALSE)</f>
        <v>Mr.  Andrew D.</v>
      </c>
      <c r="C386">
        <f>VLOOKUP(Table2[[#This Row],[Customer ID]],Table2[#All],2,FALSE)</f>
        <v>31.46</v>
      </c>
      <c r="D386">
        <f>VLOOKUP(Table2[[#This Row],[Customer ID]],Table2[#All],3,FALSE)</f>
        <v>7.39</v>
      </c>
      <c r="E386" t="str">
        <f>VLOOKUP(Table2[[#This Row],[Customer ID]],Table2[#All],4,FALSE)</f>
        <v>No</v>
      </c>
      <c r="F386" t="str">
        <f>VLOOKUP(Table2[[#This Row],[Customer ID]],Table2[#All],5,FALSE)</f>
        <v>No</v>
      </c>
      <c r="G386" t="str">
        <f>VLOOKUP(Table2[[#This Row],[Customer ID]],Table2[#All],6,FALSE)</f>
        <v>No</v>
      </c>
      <c r="H386">
        <f>VLOOKUP(Table2[[#This Row],[Customer ID]],Table2[#All],7,FALSE)</f>
        <v>0</v>
      </c>
      <c r="I386" t="str">
        <f>VLOOKUP(Table2[[#This Row],[Customer ID]],Table2[#All],8,FALSE)</f>
        <v>No</v>
      </c>
      <c r="J386" t="str">
        <f>VLOOKUP(Table2[[#This Row],[Customer ID]],Table2[#All],9,FALSE)</f>
        <v>Obesity</v>
      </c>
      <c r="K386" t="str">
        <f>VLOOKUP(Table2[[#This Row],[Customer ID]],Table2[#All],10,FALSE)</f>
        <v>Diabetes</v>
      </c>
    </row>
    <row r="387" spans="1:11" ht="15.6" x14ac:dyDescent="0.3">
      <c r="A387" s="1" t="s">
        <v>1986</v>
      </c>
      <c r="B387" t="str">
        <f>VLOOKUP('Customer Names'!A387,'Customer Names'!$A$1:$E$2336,4,FALSE)</f>
        <v>Mr.  Joel D</v>
      </c>
      <c r="C387">
        <f>VLOOKUP(Table2[[#This Row],[Customer ID]],Table2[#All],2,FALSE)</f>
        <v>30.86</v>
      </c>
      <c r="D387">
        <f>VLOOKUP(Table2[[#This Row],[Customer ID]],Table2[#All],3,FALSE)</f>
        <v>6.18</v>
      </c>
      <c r="E387" t="str">
        <f>VLOOKUP(Table2[[#This Row],[Customer ID]],Table2[#All],4,FALSE)</f>
        <v>No</v>
      </c>
      <c r="F387" t="str">
        <f>VLOOKUP(Table2[[#This Row],[Customer ID]],Table2[#All],5,FALSE)</f>
        <v>yes</v>
      </c>
      <c r="G387" t="str">
        <f>VLOOKUP(Table2[[#This Row],[Customer ID]],Table2[#All],6,FALSE)</f>
        <v>No</v>
      </c>
      <c r="H387">
        <f>VLOOKUP(Table2[[#This Row],[Customer ID]],Table2[#All],7,FALSE)</f>
        <v>2</v>
      </c>
      <c r="I387" t="str">
        <f>VLOOKUP(Table2[[#This Row],[Customer ID]],Table2[#All],8,FALSE)</f>
        <v>Yes</v>
      </c>
      <c r="J387" t="str">
        <f>VLOOKUP(Table2[[#This Row],[Customer ID]],Table2[#All],9,FALSE)</f>
        <v>Obesity</v>
      </c>
      <c r="K387" t="str">
        <f>VLOOKUP(Table2[[#This Row],[Customer ID]],Table2[#All],10,FALSE)</f>
        <v>Prediabetes</v>
      </c>
    </row>
    <row r="388" spans="1:11" ht="15.6" x14ac:dyDescent="0.3">
      <c r="A388" s="1" t="s">
        <v>1985</v>
      </c>
      <c r="B388" t="str">
        <f>VLOOKUP('Customer Names'!A388,'Customer Names'!$A$1:$E$2336,4,FALSE)</f>
        <v>Ms.  Michelle</v>
      </c>
      <c r="C388">
        <f>VLOOKUP(Table2[[#This Row],[Customer ID]],Table2[#All],2,FALSE)</f>
        <v>31.96</v>
      </c>
      <c r="D388">
        <f>VLOOKUP(Table2[[#This Row],[Customer ID]],Table2[#All],3,FALSE)</f>
        <v>8.86</v>
      </c>
      <c r="E388" t="str">
        <f>VLOOKUP(Table2[[#This Row],[Customer ID]],Table2[#All],4,FALSE)</f>
        <v>No</v>
      </c>
      <c r="F388" t="str">
        <f>VLOOKUP(Table2[[#This Row],[Customer ID]],Table2[#All],5,FALSE)</f>
        <v>No</v>
      </c>
      <c r="G388" t="str">
        <f>VLOOKUP(Table2[[#This Row],[Customer ID]],Table2[#All],6,FALSE)</f>
        <v>No</v>
      </c>
      <c r="H388">
        <f>VLOOKUP(Table2[[#This Row],[Customer ID]],Table2[#All],7,FALSE)</f>
        <v>0</v>
      </c>
      <c r="I388" t="str">
        <f>VLOOKUP(Table2[[#This Row],[Customer ID]],Table2[#All],8,FALSE)</f>
        <v>Yes</v>
      </c>
      <c r="J388" t="str">
        <f>VLOOKUP(Table2[[#This Row],[Customer ID]],Table2[#All],9,FALSE)</f>
        <v>Obesity</v>
      </c>
      <c r="K388" t="str">
        <f>VLOOKUP(Table2[[#This Row],[Customer ID]],Table2[#All],10,FALSE)</f>
        <v>Diabetes</v>
      </c>
    </row>
    <row r="389" spans="1:11" ht="15.6" x14ac:dyDescent="0.3">
      <c r="A389" s="1" t="s">
        <v>1984</v>
      </c>
      <c r="B389" t="str">
        <f>VLOOKUP('Customer Names'!A389,'Customer Names'!$A$1:$E$2336,4,FALSE)</f>
        <v>Mr.  Michael J.</v>
      </c>
      <c r="C389">
        <f>VLOOKUP(Table2[[#This Row],[Customer ID]],Table2[#All],2,FALSE)</f>
        <v>23.76</v>
      </c>
      <c r="D389">
        <f>VLOOKUP(Table2[[#This Row],[Customer ID]],Table2[#All],3,FALSE)</f>
        <v>10.96</v>
      </c>
      <c r="E389" t="str">
        <f>VLOOKUP(Table2[[#This Row],[Customer ID]],Table2[#All],4,FALSE)</f>
        <v>No</v>
      </c>
      <c r="F389" t="str">
        <f>VLOOKUP(Table2[[#This Row],[Customer ID]],Table2[#All],5,FALSE)</f>
        <v>No</v>
      </c>
      <c r="G389" t="str">
        <f>VLOOKUP(Table2[[#This Row],[Customer ID]],Table2[#All],6,FALSE)</f>
        <v>No</v>
      </c>
      <c r="H389">
        <f>VLOOKUP(Table2[[#This Row],[Customer ID]],Table2[#All],7,FALSE)</f>
        <v>3</v>
      </c>
      <c r="I389" t="str">
        <f>VLOOKUP(Table2[[#This Row],[Customer ID]],Table2[#All],8,FALSE)</f>
        <v>Yes</v>
      </c>
      <c r="J389" t="str">
        <f>VLOOKUP(Table2[[#This Row],[Customer ID]],Table2[#All],9,FALSE)</f>
        <v>Normalweight</v>
      </c>
      <c r="K389" t="str">
        <f>VLOOKUP(Table2[[#This Row],[Customer ID]],Table2[#All],10,FALSE)</f>
        <v>Diabetes</v>
      </c>
    </row>
    <row r="390" spans="1:11" ht="15.6" x14ac:dyDescent="0.3">
      <c r="A390" s="1" t="s">
        <v>1983</v>
      </c>
      <c r="B390" t="str">
        <f>VLOOKUP('Customer Names'!A390,'Customer Names'!$A$1:$E$2336,4,FALSE)</f>
        <v>Ms.  Nikki</v>
      </c>
      <c r="C390">
        <f>VLOOKUP(Table2[[#This Row],[Customer ID]],Table2[#All],2,FALSE)</f>
        <v>19.38</v>
      </c>
      <c r="D390">
        <f>VLOOKUP(Table2[[#This Row],[Customer ID]],Table2[#All],3,FALSE)</f>
        <v>6.28</v>
      </c>
      <c r="E390" t="str">
        <f>VLOOKUP(Table2[[#This Row],[Customer ID]],Table2[#All],4,FALSE)</f>
        <v>No</v>
      </c>
      <c r="F390" t="str">
        <f>VLOOKUP(Table2[[#This Row],[Customer ID]],Table2[#All],5,FALSE)</f>
        <v>No</v>
      </c>
      <c r="G390" t="str">
        <f>VLOOKUP(Table2[[#This Row],[Customer ID]],Table2[#All],6,FALSE)</f>
        <v>No</v>
      </c>
      <c r="H390">
        <f>VLOOKUP(Table2[[#This Row],[Customer ID]],Table2[#All],7,FALSE)</f>
        <v>0</v>
      </c>
      <c r="I390" t="str">
        <f>VLOOKUP(Table2[[#This Row],[Customer ID]],Table2[#All],8,FALSE)</f>
        <v>Yes</v>
      </c>
      <c r="J390" t="str">
        <f>VLOOKUP(Table2[[#This Row],[Customer ID]],Table2[#All],9,FALSE)</f>
        <v>Normalweight</v>
      </c>
      <c r="K390" t="str">
        <f>VLOOKUP(Table2[[#This Row],[Customer ID]],Table2[#All],10,FALSE)</f>
        <v>Prediabetes</v>
      </c>
    </row>
    <row r="391" spans="1:11" ht="15.6" x14ac:dyDescent="0.3">
      <c r="A391" s="1" t="s">
        <v>1982</v>
      </c>
      <c r="B391" t="str">
        <f>VLOOKUP('Customer Names'!A391,'Customer Names'!$A$1:$E$2336,4,FALSE)</f>
        <v>Ms.  Summer B.</v>
      </c>
      <c r="C391">
        <f>VLOOKUP(Table2[[#This Row],[Customer ID]],Table2[#All],2,FALSE)</f>
        <v>16.21</v>
      </c>
      <c r="D391">
        <f>VLOOKUP(Table2[[#This Row],[Customer ID]],Table2[#All],3,FALSE)</f>
        <v>6.29</v>
      </c>
      <c r="E391" t="str">
        <f>VLOOKUP(Table2[[#This Row],[Customer ID]],Table2[#All],4,FALSE)</f>
        <v>Yes</v>
      </c>
      <c r="F391" t="str">
        <f>VLOOKUP(Table2[[#This Row],[Customer ID]],Table2[#All],5,FALSE)</f>
        <v>No</v>
      </c>
      <c r="G391" t="str">
        <f>VLOOKUP(Table2[[#This Row],[Customer ID]],Table2[#All],6,FALSE)</f>
        <v>No</v>
      </c>
      <c r="H391">
        <f>VLOOKUP(Table2[[#This Row],[Customer ID]],Table2[#All],7,FALSE)</f>
        <v>1</v>
      </c>
      <c r="I391" t="str">
        <f>VLOOKUP(Table2[[#This Row],[Customer ID]],Table2[#All],8,FALSE)</f>
        <v>Yes</v>
      </c>
      <c r="J391" t="str">
        <f>VLOOKUP(Table2[[#This Row],[Customer ID]],Table2[#All],9,FALSE)</f>
        <v>Underweight</v>
      </c>
      <c r="K391" t="str">
        <f>VLOOKUP(Table2[[#This Row],[Customer ID]],Table2[#All],10,FALSE)</f>
        <v>Prediabetes</v>
      </c>
    </row>
    <row r="392" spans="1:11" ht="15.6" x14ac:dyDescent="0.3">
      <c r="A392" s="1" t="s">
        <v>1981</v>
      </c>
      <c r="B392" t="str">
        <f>VLOOKUP('Customer Names'!A392,'Customer Names'!$A$1:$E$2336,4,FALSE)</f>
        <v>Mr.  Edward</v>
      </c>
      <c r="C392">
        <f>VLOOKUP(Table2[[#This Row],[Customer ID]],Table2[#All],2,FALSE)</f>
        <v>32.54</v>
      </c>
      <c r="D392">
        <f>VLOOKUP(Table2[[#This Row],[Customer ID]],Table2[#All],3,FALSE)</f>
        <v>4.0199999999999996</v>
      </c>
      <c r="E392" t="str">
        <f>VLOOKUP(Table2[[#This Row],[Customer ID]],Table2[#All],4,FALSE)</f>
        <v>No</v>
      </c>
      <c r="F392" t="str">
        <f>VLOOKUP(Table2[[#This Row],[Customer ID]],Table2[#All],5,FALSE)</f>
        <v>yes</v>
      </c>
      <c r="G392" t="str">
        <f>VLOOKUP(Table2[[#This Row],[Customer ID]],Table2[#All],6,FALSE)</f>
        <v>No</v>
      </c>
      <c r="H392">
        <f>VLOOKUP(Table2[[#This Row],[Customer ID]],Table2[#All],7,FALSE)</f>
        <v>1</v>
      </c>
      <c r="I392" t="str">
        <f>VLOOKUP(Table2[[#This Row],[Customer ID]],Table2[#All],8,FALSE)</f>
        <v>Yes</v>
      </c>
      <c r="J392" t="str">
        <f>VLOOKUP(Table2[[#This Row],[Customer ID]],Table2[#All],9,FALSE)</f>
        <v>Obesity</v>
      </c>
      <c r="K392" t="str">
        <f>VLOOKUP(Table2[[#This Row],[Customer ID]],Table2[#All],10,FALSE)</f>
        <v>Normal</v>
      </c>
    </row>
    <row r="393" spans="1:11" ht="15.6" x14ac:dyDescent="0.3">
      <c r="A393" s="1" t="s">
        <v>1980</v>
      </c>
      <c r="B393" t="str">
        <f>VLOOKUP('Customer Names'!A393,'Customer Names'!$A$1:$E$2336,4,FALSE)</f>
        <v>Mr.  Ryan</v>
      </c>
      <c r="C393">
        <f>VLOOKUP(Table2[[#This Row],[Customer ID]],Table2[#All],2,FALSE)</f>
        <v>36.765000000000001</v>
      </c>
      <c r="D393">
        <f>VLOOKUP(Table2[[#This Row],[Customer ID]],Table2[#All],3,FALSE)</f>
        <v>11.95</v>
      </c>
      <c r="E393" t="str">
        <f>VLOOKUP(Table2[[#This Row],[Customer ID]],Table2[#All],4,FALSE)</f>
        <v>Yes</v>
      </c>
      <c r="F393" t="str">
        <f>VLOOKUP(Table2[[#This Row],[Customer ID]],Table2[#All],5,FALSE)</f>
        <v>No</v>
      </c>
      <c r="G393" t="str">
        <f>VLOOKUP(Table2[[#This Row],[Customer ID]],Table2[#All],6,FALSE)</f>
        <v>No</v>
      </c>
      <c r="H393">
        <f>VLOOKUP(Table2[[#This Row],[Customer ID]],Table2[#All],7,FALSE)</f>
        <v>2</v>
      </c>
      <c r="I393" t="str">
        <f>VLOOKUP(Table2[[#This Row],[Customer ID]],Table2[#All],8,FALSE)</f>
        <v>No</v>
      </c>
      <c r="J393" t="str">
        <f>VLOOKUP(Table2[[#This Row],[Customer ID]],Table2[#All],9,FALSE)</f>
        <v>Obesity</v>
      </c>
      <c r="K393" t="str">
        <f>VLOOKUP(Table2[[#This Row],[Customer ID]],Table2[#All],10,FALSE)</f>
        <v>Diabetes</v>
      </c>
    </row>
    <row r="394" spans="1:11" ht="15.6" x14ac:dyDescent="0.3">
      <c r="A394" s="1" t="s">
        <v>1979</v>
      </c>
      <c r="B394" t="str">
        <f>VLOOKUP('Customer Names'!A394,'Customer Names'!$A$1:$E$2336,4,FALSE)</f>
        <v>Ms.  Kacee</v>
      </c>
      <c r="C394">
        <f>VLOOKUP(Table2[[#This Row],[Customer ID]],Table2[#All],2,FALSE)</f>
        <v>35.909999999999997</v>
      </c>
      <c r="D394">
        <f>VLOOKUP(Table2[[#This Row],[Customer ID]],Table2[#All],3,FALSE)</f>
        <v>8.7100000000000009</v>
      </c>
      <c r="E394" t="str">
        <f>VLOOKUP(Table2[[#This Row],[Customer ID]],Table2[#All],4,FALSE)</f>
        <v>No</v>
      </c>
      <c r="F394" t="str">
        <f>VLOOKUP(Table2[[#This Row],[Customer ID]],Table2[#All],5,FALSE)</f>
        <v>No</v>
      </c>
      <c r="G394" t="str">
        <f>VLOOKUP(Table2[[#This Row],[Customer ID]],Table2[#All],6,FALSE)</f>
        <v>No</v>
      </c>
      <c r="H394">
        <f>VLOOKUP(Table2[[#This Row],[Customer ID]],Table2[#All],7,FALSE)</f>
        <v>0</v>
      </c>
      <c r="I394" t="str">
        <f>VLOOKUP(Table2[[#This Row],[Customer ID]],Table2[#All],8,FALSE)</f>
        <v>No</v>
      </c>
      <c r="J394" t="str">
        <f>VLOOKUP(Table2[[#This Row],[Customer ID]],Table2[#All],9,FALSE)</f>
        <v>Obesity</v>
      </c>
      <c r="K394" t="str">
        <f>VLOOKUP(Table2[[#This Row],[Customer ID]],Table2[#All],10,FALSE)</f>
        <v>Diabetes</v>
      </c>
    </row>
    <row r="395" spans="1:11" ht="15.6" x14ac:dyDescent="0.3">
      <c r="A395" s="1" t="s">
        <v>1978</v>
      </c>
      <c r="B395" t="str">
        <f>VLOOKUP('Customer Names'!A395,'Customer Names'!$A$1:$E$2336,4,FALSE)</f>
        <v>Mr.  Dave</v>
      </c>
      <c r="C395">
        <f>VLOOKUP(Table2[[#This Row],[Customer ID]],Table2[#All],2,FALSE)</f>
        <v>32.06</v>
      </c>
      <c r="D395">
        <f>VLOOKUP(Table2[[#This Row],[Customer ID]],Table2[#All],3,FALSE)</f>
        <v>4.67</v>
      </c>
      <c r="E395" t="str">
        <f>VLOOKUP(Table2[[#This Row],[Customer ID]],Table2[#All],4,FALSE)</f>
        <v>No</v>
      </c>
      <c r="F395" t="str">
        <f>VLOOKUP(Table2[[#This Row],[Customer ID]],Table2[#All],5,FALSE)</f>
        <v>yes</v>
      </c>
      <c r="G395" t="str">
        <f>VLOOKUP(Table2[[#This Row],[Customer ID]],Table2[#All],6,FALSE)</f>
        <v>No</v>
      </c>
      <c r="H395">
        <f>VLOOKUP(Table2[[#This Row],[Customer ID]],Table2[#All],7,FALSE)</f>
        <v>1</v>
      </c>
      <c r="I395" t="str">
        <f>VLOOKUP(Table2[[#This Row],[Customer ID]],Table2[#All],8,FALSE)</f>
        <v>Yes</v>
      </c>
      <c r="J395" t="str">
        <f>VLOOKUP(Table2[[#This Row],[Customer ID]],Table2[#All],9,FALSE)</f>
        <v>Obesity</v>
      </c>
      <c r="K395" t="str">
        <f>VLOOKUP(Table2[[#This Row],[Customer ID]],Table2[#All],10,FALSE)</f>
        <v>Normal</v>
      </c>
    </row>
    <row r="396" spans="1:11" ht="15.6" x14ac:dyDescent="0.3">
      <c r="A396" s="1" t="s">
        <v>1977</v>
      </c>
      <c r="B396" t="str">
        <f>VLOOKUP('Customer Names'!A396,'Customer Names'!$A$1:$E$2336,4,FALSE)</f>
        <v>Ms.  Maryanna</v>
      </c>
      <c r="C396">
        <f>VLOOKUP(Table2[[#This Row],[Customer ID]],Table2[#All],2,FALSE)</f>
        <v>24.1</v>
      </c>
      <c r="D396">
        <f>VLOOKUP(Table2[[#This Row],[Customer ID]],Table2[#All],3,FALSE)</f>
        <v>11.14</v>
      </c>
      <c r="E396" t="str">
        <f>VLOOKUP(Table2[[#This Row],[Customer ID]],Table2[#All],4,FALSE)</f>
        <v>Yes</v>
      </c>
      <c r="F396" t="str">
        <f>VLOOKUP(Table2[[#This Row],[Customer ID]],Table2[#All],5,FALSE)</f>
        <v>No</v>
      </c>
      <c r="G396" t="str">
        <f>VLOOKUP(Table2[[#This Row],[Customer ID]],Table2[#All],6,FALSE)</f>
        <v>No</v>
      </c>
      <c r="H396">
        <f>VLOOKUP(Table2[[#This Row],[Customer ID]],Table2[#All],7,FALSE)</f>
        <v>1</v>
      </c>
      <c r="I396" t="str">
        <f>VLOOKUP(Table2[[#This Row],[Customer ID]],Table2[#All],8,FALSE)</f>
        <v>No</v>
      </c>
      <c r="J396" t="str">
        <f>VLOOKUP(Table2[[#This Row],[Customer ID]],Table2[#All],9,FALSE)</f>
        <v>Normalweight</v>
      </c>
      <c r="K396" t="str">
        <f>VLOOKUP(Table2[[#This Row],[Customer ID]],Table2[#All],10,FALSE)</f>
        <v>Diabetes</v>
      </c>
    </row>
    <row r="397" spans="1:11" ht="15.6" x14ac:dyDescent="0.3">
      <c r="A397" s="1" t="s">
        <v>1976</v>
      </c>
      <c r="B397" t="str">
        <f>VLOOKUP('Customer Names'!A397,'Customer Names'!$A$1:$E$2336,4,FALSE)</f>
        <v>Ms.  Jessica H.</v>
      </c>
      <c r="C397">
        <f>VLOOKUP(Table2[[#This Row],[Customer ID]],Table2[#All],2,FALSE)</f>
        <v>27.1</v>
      </c>
      <c r="D397">
        <f>VLOOKUP(Table2[[#This Row],[Customer ID]],Table2[#All],3,FALSE)</f>
        <v>9.0500000000000007</v>
      </c>
      <c r="E397" t="str">
        <f>VLOOKUP(Table2[[#This Row],[Customer ID]],Table2[#All],4,FALSE)</f>
        <v>No</v>
      </c>
      <c r="F397" t="str">
        <f>VLOOKUP(Table2[[#This Row],[Customer ID]],Table2[#All],5,FALSE)</f>
        <v>No</v>
      </c>
      <c r="G397" t="str">
        <f>VLOOKUP(Table2[[#This Row],[Customer ID]],Table2[#All],6,FALSE)</f>
        <v>No</v>
      </c>
      <c r="H397">
        <f>VLOOKUP(Table2[[#This Row],[Customer ID]],Table2[#All],7,FALSE)</f>
        <v>2</v>
      </c>
      <c r="I397" t="str">
        <f>VLOOKUP(Table2[[#This Row],[Customer ID]],Table2[#All],8,FALSE)</f>
        <v>No</v>
      </c>
      <c r="J397" t="str">
        <f>VLOOKUP(Table2[[#This Row],[Customer ID]],Table2[#All],9,FALSE)</f>
        <v>Overweight</v>
      </c>
      <c r="K397" t="str">
        <f>VLOOKUP(Table2[[#This Row],[Customer ID]],Table2[#All],10,FALSE)</f>
        <v>Diabetes</v>
      </c>
    </row>
    <row r="398" spans="1:11" ht="15.6" x14ac:dyDescent="0.3">
      <c r="A398" s="1" t="s">
        <v>1975</v>
      </c>
      <c r="B398" t="str">
        <f>VLOOKUP('Customer Names'!A398,'Customer Names'!$A$1:$E$2336,4,FALSE)</f>
        <v>Ms.  Deanna</v>
      </c>
      <c r="C398">
        <f>VLOOKUP(Table2[[#This Row],[Customer ID]],Table2[#All],2,FALSE)</f>
        <v>24.42</v>
      </c>
      <c r="D398">
        <f>VLOOKUP(Table2[[#This Row],[Customer ID]],Table2[#All],3,FALSE)</f>
        <v>11.31</v>
      </c>
      <c r="E398" t="str">
        <f>VLOOKUP(Table2[[#This Row],[Customer ID]],Table2[#All],4,FALSE)</f>
        <v>No</v>
      </c>
      <c r="F398" t="str">
        <f>VLOOKUP(Table2[[#This Row],[Customer ID]],Table2[#All],5,FALSE)</f>
        <v>No</v>
      </c>
      <c r="G398" t="str">
        <f>VLOOKUP(Table2[[#This Row],[Customer ID]],Table2[#All],6,FALSE)</f>
        <v>No</v>
      </c>
      <c r="H398">
        <f>VLOOKUP(Table2[[#This Row],[Customer ID]],Table2[#All],7,FALSE)</f>
        <v>0</v>
      </c>
      <c r="I398" t="str">
        <f>VLOOKUP(Table2[[#This Row],[Customer ID]],Table2[#All],8,FALSE)</f>
        <v>Yes</v>
      </c>
      <c r="J398" t="str">
        <f>VLOOKUP(Table2[[#This Row],[Customer ID]],Table2[#All],9,FALSE)</f>
        <v>Normalweight</v>
      </c>
      <c r="K398" t="str">
        <f>VLOOKUP(Table2[[#This Row],[Customer ID]],Table2[#All],10,FALSE)</f>
        <v>Diabetes</v>
      </c>
    </row>
    <row r="399" spans="1:11" ht="15.6" x14ac:dyDescent="0.3">
      <c r="A399" s="1" t="s">
        <v>1974</v>
      </c>
      <c r="B399" t="str">
        <f>VLOOKUP('Customer Names'!A399,'Customer Names'!$A$1:$E$2336,4,FALSE)</f>
        <v>Mr.  Peter</v>
      </c>
      <c r="C399">
        <f>VLOOKUP(Table2[[#This Row],[Customer ID]],Table2[#All],2,FALSE)</f>
        <v>26.695</v>
      </c>
      <c r="D399">
        <f>VLOOKUP(Table2[[#This Row],[Customer ID]],Table2[#All],3,FALSE)</f>
        <v>4.68</v>
      </c>
      <c r="E399" t="str">
        <f>VLOOKUP(Table2[[#This Row],[Customer ID]],Table2[#All],4,FALSE)</f>
        <v>Yes</v>
      </c>
      <c r="F399" t="str">
        <f>VLOOKUP(Table2[[#This Row],[Customer ID]],Table2[#All],5,FALSE)</f>
        <v>No</v>
      </c>
      <c r="G399" t="str">
        <f>VLOOKUP(Table2[[#This Row],[Customer ID]],Table2[#All],6,FALSE)</f>
        <v>No</v>
      </c>
      <c r="H399">
        <f>VLOOKUP(Table2[[#This Row],[Customer ID]],Table2[#All],7,FALSE)</f>
        <v>2</v>
      </c>
      <c r="I399" t="str">
        <f>VLOOKUP(Table2[[#This Row],[Customer ID]],Table2[#All],8,FALSE)</f>
        <v>Yes</v>
      </c>
      <c r="J399" t="str">
        <f>VLOOKUP(Table2[[#This Row],[Customer ID]],Table2[#All],9,FALSE)</f>
        <v>Overweight</v>
      </c>
      <c r="K399" t="str">
        <f>VLOOKUP(Table2[[#This Row],[Customer ID]],Table2[#All],10,FALSE)</f>
        <v>Normal</v>
      </c>
    </row>
    <row r="400" spans="1:11" ht="15.6" x14ac:dyDescent="0.3">
      <c r="A400" s="1" t="s">
        <v>1973</v>
      </c>
      <c r="B400" t="str">
        <f>VLOOKUP('Customer Names'!A400,'Customer Names'!$A$1:$E$2336,4,FALSE)</f>
        <v>Ms.  Rebecca</v>
      </c>
      <c r="C400">
        <f>VLOOKUP(Table2[[#This Row],[Customer ID]],Table2[#All],2,FALSE)</f>
        <v>27.79</v>
      </c>
      <c r="D400">
        <f>VLOOKUP(Table2[[#This Row],[Customer ID]],Table2[#All],3,FALSE)</f>
        <v>6.05</v>
      </c>
      <c r="E400" t="str">
        <f>VLOOKUP(Table2[[#This Row],[Customer ID]],Table2[#All],4,FALSE)</f>
        <v>Yes</v>
      </c>
      <c r="F400" t="str">
        <f>VLOOKUP(Table2[[#This Row],[Customer ID]],Table2[#All],5,FALSE)</f>
        <v>yes</v>
      </c>
      <c r="G400" t="str">
        <f>VLOOKUP(Table2[[#This Row],[Customer ID]],Table2[#All],6,FALSE)</f>
        <v>No</v>
      </c>
      <c r="H400">
        <f>VLOOKUP(Table2[[#This Row],[Customer ID]],Table2[#All],7,FALSE)</f>
        <v>1</v>
      </c>
      <c r="I400" t="str">
        <f>VLOOKUP(Table2[[#This Row],[Customer ID]],Table2[#All],8,FALSE)</f>
        <v>Yes</v>
      </c>
      <c r="J400" t="str">
        <f>VLOOKUP(Table2[[#This Row],[Customer ID]],Table2[#All],9,FALSE)</f>
        <v>Overweight</v>
      </c>
      <c r="K400" t="str">
        <f>VLOOKUP(Table2[[#This Row],[Customer ID]],Table2[#All],10,FALSE)</f>
        <v>Prediabetes</v>
      </c>
    </row>
    <row r="401" spans="1:11" ht="15.6" x14ac:dyDescent="0.3">
      <c r="A401" s="1" t="s">
        <v>1972</v>
      </c>
      <c r="B401" t="str">
        <f>VLOOKUP('Customer Names'!A401,'Customer Names'!$A$1:$E$2336,4,FALSE)</f>
        <v>Ms.  Elizabeth M.</v>
      </c>
      <c r="C401">
        <f>VLOOKUP(Table2[[#This Row],[Customer ID]],Table2[#All],2,FALSE)</f>
        <v>32.68</v>
      </c>
      <c r="D401">
        <f>VLOOKUP(Table2[[#This Row],[Customer ID]],Table2[#All],3,FALSE)</f>
        <v>4.68</v>
      </c>
      <c r="E401" t="str">
        <f>VLOOKUP(Table2[[#This Row],[Customer ID]],Table2[#All],4,FALSE)</f>
        <v>Yes</v>
      </c>
      <c r="F401" t="str">
        <f>VLOOKUP(Table2[[#This Row],[Customer ID]],Table2[#All],5,FALSE)</f>
        <v>No</v>
      </c>
      <c r="G401" t="str">
        <f>VLOOKUP(Table2[[#This Row],[Customer ID]],Table2[#All],6,FALSE)</f>
        <v>No</v>
      </c>
      <c r="H401">
        <f>VLOOKUP(Table2[[#This Row],[Customer ID]],Table2[#All],7,FALSE)</f>
        <v>0</v>
      </c>
      <c r="I401" t="str">
        <f>VLOOKUP(Table2[[#This Row],[Customer ID]],Table2[#All],8,FALSE)</f>
        <v>No</v>
      </c>
      <c r="J401" t="str">
        <f>VLOOKUP(Table2[[#This Row],[Customer ID]],Table2[#All],9,FALSE)</f>
        <v>Obesity</v>
      </c>
      <c r="K401" t="str">
        <f>VLOOKUP(Table2[[#This Row],[Customer ID]],Table2[#All],10,FALSE)</f>
        <v>Normal</v>
      </c>
    </row>
    <row r="402" spans="1:11" ht="15.6" x14ac:dyDescent="0.3">
      <c r="A402" s="1" t="s">
        <v>1971</v>
      </c>
      <c r="B402" t="str">
        <f>VLOOKUP('Customer Names'!A402,'Customer Names'!$A$1:$E$2336,4,FALSE)</f>
        <v>Mr.  Gregory</v>
      </c>
      <c r="C402">
        <f>VLOOKUP(Table2[[#This Row],[Customer ID]],Table2[#All],2,FALSE)</f>
        <v>26.4</v>
      </c>
      <c r="D402">
        <f>VLOOKUP(Table2[[#This Row],[Customer ID]],Table2[#All],3,FALSE)</f>
        <v>9.5</v>
      </c>
      <c r="E402" t="str">
        <f>VLOOKUP(Table2[[#This Row],[Customer ID]],Table2[#All],4,FALSE)</f>
        <v>Yes</v>
      </c>
      <c r="F402" t="str">
        <f>VLOOKUP(Table2[[#This Row],[Customer ID]],Table2[#All],5,FALSE)</f>
        <v>No</v>
      </c>
      <c r="G402" t="str">
        <f>VLOOKUP(Table2[[#This Row],[Customer ID]],Table2[#All],6,FALSE)</f>
        <v>No</v>
      </c>
      <c r="H402">
        <f>VLOOKUP(Table2[[#This Row],[Customer ID]],Table2[#All],7,FALSE)</f>
        <v>2</v>
      </c>
      <c r="I402" t="str">
        <f>VLOOKUP(Table2[[#This Row],[Customer ID]],Table2[#All],8,FALSE)</f>
        <v>No</v>
      </c>
      <c r="J402" t="str">
        <f>VLOOKUP(Table2[[#This Row],[Customer ID]],Table2[#All],9,FALSE)</f>
        <v>Overweight</v>
      </c>
      <c r="K402" t="str">
        <f>VLOOKUP(Table2[[#This Row],[Customer ID]],Table2[#All],10,FALSE)</f>
        <v>Diabetes</v>
      </c>
    </row>
    <row r="403" spans="1:11" ht="15.6" x14ac:dyDescent="0.3">
      <c r="A403" s="1" t="s">
        <v>1970</v>
      </c>
      <c r="B403" t="str">
        <f>VLOOKUP('Customer Names'!A403,'Customer Names'!$A$1:$E$2336,4,FALSE)</f>
        <v>Ms.  Sarah E.</v>
      </c>
      <c r="C403">
        <f>VLOOKUP(Table2[[#This Row],[Customer ID]],Table2[#All],2,FALSE)</f>
        <v>23.655000000000001</v>
      </c>
      <c r="D403">
        <f>VLOOKUP(Table2[[#This Row],[Customer ID]],Table2[#All],3,FALSE)</f>
        <v>10.84</v>
      </c>
      <c r="E403" t="str">
        <f>VLOOKUP(Table2[[#This Row],[Customer ID]],Table2[#All],4,FALSE)</f>
        <v>Yes</v>
      </c>
      <c r="F403" t="str">
        <f>VLOOKUP(Table2[[#This Row],[Customer ID]],Table2[#All],5,FALSE)</f>
        <v>No</v>
      </c>
      <c r="G403" t="str">
        <f>VLOOKUP(Table2[[#This Row],[Customer ID]],Table2[#All],6,FALSE)</f>
        <v>Yes</v>
      </c>
      <c r="H403">
        <f>VLOOKUP(Table2[[#This Row],[Customer ID]],Table2[#All],7,FALSE)</f>
        <v>1</v>
      </c>
      <c r="I403" t="str">
        <f>VLOOKUP(Table2[[#This Row],[Customer ID]],Table2[#All],8,FALSE)</f>
        <v>Yes</v>
      </c>
      <c r="J403" t="str">
        <f>VLOOKUP(Table2[[#This Row],[Customer ID]],Table2[#All],9,FALSE)</f>
        <v>Normalweight</v>
      </c>
      <c r="K403" t="str">
        <f>VLOOKUP(Table2[[#This Row],[Customer ID]],Table2[#All],10,FALSE)</f>
        <v>Diabetes</v>
      </c>
    </row>
    <row r="404" spans="1:11" ht="15.6" x14ac:dyDescent="0.3">
      <c r="A404" s="1" t="s">
        <v>1969</v>
      </c>
      <c r="B404" t="str">
        <f>VLOOKUP('Customer Names'!A404,'Customer Names'!$A$1:$E$2336,4,FALSE)</f>
        <v>Ms.  Anne Elise</v>
      </c>
      <c r="C404">
        <f>VLOOKUP(Table2[[#This Row],[Customer ID]],Table2[#All],2,FALSE)</f>
        <v>27.36</v>
      </c>
      <c r="D404">
        <f>VLOOKUP(Table2[[#This Row],[Customer ID]],Table2[#All],3,FALSE)</f>
        <v>5.88</v>
      </c>
      <c r="E404" t="str">
        <f>VLOOKUP(Table2[[#This Row],[Customer ID]],Table2[#All],4,FALSE)</f>
        <v>No</v>
      </c>
      <c r="F404" t="str">
        <f>VLOOKUP(Table2[[#This Row],[Customer ID]],Table2[#All],5,FALSE)</f>
        <v>No</v>
      </c>
      <c r="G404" t="str">
        <f>VLOOKUP(Table2[[#This Row],[Customer ID]],Table2[#All],6,FALSE)</f>
        <v>No</v>
      </c>
      <c r="H404">
        <f>VLOOKUP(Table2[[#This Row],[Customer ID]],Table2[#All],7,FALSE)</f>
        <v>2</v>
      </c>
      <c r="I404" t="str">
        <f>VLOOKUP(Table2[[#This Row],[Customer ID]],Table2[#All],8,FALSE)</f>
        <v>No</v>
      </c>
      <c r="J404" t="str">
        <f>VLOOKUP(Table2[[#This Row],[Customer ID]],Table2[#All],9,FALSE)</f>
        <v>Overweight</v>
      </c>
      <c r="K404" t="str">
        <f>VLOOKUP(Table2[[#This Row],[Customer ID]],Table2[#All],10,FALSE)</f>
        <v>Prediabetes</v>
      </c>
    </row>
    <row r="405" spans="1:11" ht="15.6" x14ac:dyDescent="0.3">
      <c r="A405" s="1" t="s">
        <v>1968</v>
      </c>
      <c r="B405" t="str">
        <f>VLOOKUP('Customer Names'!A405,'Customer Names'!$A$1:$E$2336,4,FALSE)</f>
        <v>Mr.  Christopher R</v>
      </c>
      <c r="C405">
        <f>VLOOKUP(Table2[[#This Row],[Customer ID]],Table2[#All],2,FALSE)</f>
        <v>27.82</v>
      </c>
      <c r="D405">
        <f>VLOOKUP(Table2[[#This Row],[Customer ID]],Table2[#All],3,FALSE)</f>
        <v>5.24</v>
      </c>
      <c r="E405" t="str">
        <f>VLOOKUP(Table2[[#This Row],[Customer ID]],Table2[#All],4,FALSE)</f>
        <v>Yes</v>
      </c>
      <c r="F405" t="str">
        <f>VLOOKUP(Table2[[#This Row],[Customer ID]],Table2[#All],5,FALSE)</f>
        <v>No</v>
      </c>
      <c r="G405" t="str">
        <f>VLOOKUP(Table2[[#This Row],[Customer ID]],Table2[#All],6,FALSE)</f>
        <v>No</v>
      </c>
      <c r="H405">
        <f>VLOOKUP(Table2[[#This Row],[Customer ID]],Table2[#All],7,FALSE)</f>
        <v>0</v>
      </c>
      <c r="I405" t="str">
        <f>VLOOKUP(Table2[[#This Row],[Customer ID]],Table2[#All],8,FALSE)</f>
        <v>Yes</v>
      </c>
      <c r="J405" t="str">
        <f>VLOOKUP(Table2[[#This Row],[Customer ID]],Table2[#All],9,FALSE)</f>
        <v>Overweight</v>
      </c>
      <c r="K405" t="str">
        <f>VLOOKUP(Table2[[#This Row],[Customer ID]],Table2[#All],10,FALSE)</f>
        <v>Normal</v>
      </c>
    </row>
    <row r="406" spans="1:11" ht="15.6" x14ac:dyDescent="0.3">
      <c r="A406" s="1" t="s">
        <v>1967</v>
      </c>
      <c r="B406" t="str">
        <f>VLOOKUP('Customer Names'!A406,'Customer Names'!$A$1:$E$2336,4,FALSE)</f>
        <v>Mr.  Elliot</v>
      </c>
      <c r="C406">
        <f>VLOOKUP(Table2[[#This Row],[Customer ID]],Table2[#All],2,FALSE)</f>
        <v>25.46</v>
      </c>
      <c r="D406">
        <f>VLOOKUP(Table2[[#This Row],[Customer ID]],Table2[#All],3,FALSE)</f>
        <v>11.75</v>
      </c>
      <c r="E406" t="str">
        <f>VLOOKUP(Table2[[#This Row],[Customer ID]],Table2[#All],4,FALSE)</f>
        <v>No</v>
      </c>
      <c r="F406" t="str">
        <f>VLOOKUP(Table2[[#This Row],[Customer ID]],Table2[#All],5,FALSE)</f>
        <v>No</v>
      </c>
      <c r="G406" t="str">
        <f>VLOOKUP(Table2[[#This Row],[Customer ID]],Table2[#All],6,FALSE)</f>
        <v>No</v>
      </c>
      <c r="H406">
        <f>VLOOKUP(Table2[[#This Row],[Customer ID]],Table2[#All],7,FALSE)</f>
        <v>0</v>
      </c>
      <c r="I406" t="str">
        <f>VLOOKUP(Table2[[#This Row],[Customer ID]],Table2[#All],8,FALSE)</f>
        <v>No</v>
      </c>
      <c r="J406" t="str">
        <f>VLOOKUP(Table2[[#This Row],[Customer ID]],Table2[#All],9,FALSE)</f>
        <v>Overweight</v>
      </c>
      <c r="K406" t="str">
        <f>VLOOKUP(Table2[[#This Row],[Customer ID]],Table2[#All],10,FALSE)</f>
        <v>Diabetes</v>
      </c>
    </row>
    <row r="407" spans="1:11" ht="15.6" x14ac:dyDescent="0.3">
      <c r="A407" s="1" t="s">
        <v>1966</v>
      </c>
      <c r="B407" t="str">
        <f>VLOOKUP('Customer Names'!A407,'Customer Names'!$A$1:$E$2336,4,FALSE)</f>
        <v>Mr.  Christopher D.</v>
      </c>
      <c r="C407">
        <f>VLOOKUP(Table2[[#This Row],[Customer ID]],Table2[#All],2,FALSE)</f>
        <v>25.1</v>
      </c>
      <c r="D407">
        <f>VLOOKUP(Table2[[#This Row],[Customer ID]],Table2[#All],3,FALSE)</f>
        <v>6.97</v>
      </c>
      <c r="E407" t="str">
        <f>VLOOKUP(Table2[[#This Row],[Customer ID]],Table2[#All],4,FALSE)</f>
        <v>No</v>
      </c>
      <c r="F407" t="str">
        <f>VLOOKUP(Table2[[#This Row],[Customer ID]],Table2[#All],5,FALSE)</f>
        <v>No</v>
      </c>
      <c r="G407" t="str">
        <f>VLOOKUP(Table2[[#This Row],[Customer ID]],Table2[#All],6,FALSE)</f>
        <v>No</v>
      </c>
      <c r="H407">
        <f>VLOOKUP(Table2[[#This Row],[Customer ID]],Table2[#All],7,FALSE)</f>
        <v>0</v>
      </c>
      <c r="I407" t="str">
        <f>VLOOKUP(Table2[[#This Row],[Customer ID]],Table2[#All],8,FALSE)</f>
        <v>Yes</v>
      </c>
      <c r="J407" t="str">
        <f>VLOOKUP(Table2[[#This Row],[Customer ID]],Table2[#All],9,FALSE)</f>
        <v>Overweight</v>
      </c>
      <c r="K407" t="str">
        <f>VLOOKUP(Table2[[#This Row],[Customer ID]],Table2[#All],10,FALSE)</f>
        <v>Diabetes</v>
      </c>
    </row>
    <row r="408" spans="1:11" ht="15.6" x14ac:dyDescent="0.3">
      <c r="A408" s="1" t="s">
        <v>1965</v>
      </c>
      <c r="B408" t="str">
        <f>VLOOKUP('Customer Names'!A408,'Customer Names'!$A$1:$E$2336,4,FALSE)</f>
        <v>Mr.  Corey</v>
      </c>
      <c r="C408">
        <f>VLOOKUP(Table2[[#This Row],[Customer ID]],Table2[#All],2,FALSE)</f>
        <v>32.11</v>
      </c>
      <c r="D408">
        <f>VLOOKUP(Table2[[#This Row],[Customer ID]],Table2[#All],3,FALSE)</f>
        <v>4.76</v>
      </c>
      <c r="E408" t="str">
        <f>VLOOKUP(Table2[[#This Row],[Customer ID]],Table2[#All],4,FALSE)</f>
        <v>No</v>
      </c>
      <c r="F408" t="str">
        <f>VLOOKUP(Table2[[#This Row],[Customer ID]],Table2[#All],5,FALSE)</f>
        <v>No</v>
      </c>
      <c r="G408" t="str">
        <f>VLOOKUP(Table2[[#This Row],[Customer ID]],Table2[#All],6,FALSE)</f>
        <v>No</v>
      </c>
      <c r="H408">
        <f>VLOOKUP(Table2[[#This Row],[Customer ID]],Table2[#All],7,FALSE)</f>
        <v>2</v>
      </c>
      <c r="I408" t="str">
        <f>VLOOKUP(Table2[[#This Row],[Customer ID]],Table2[#All],8,FALSE)</f>
        <v>No</v>
      </c>
      <c r="J408" t="str">
        <f>VLOOKUP(Table2[[#This Row],[Customer ID]],Table2[#All],9,FALSE)</f>
        <v>Obesity</v>
      </c>
      <c r="K408" t="str">
        <f>VLOOKUP(Table2[[#This Row],[Customer ID]],Table2[#All],10,FALSE)</f>
        <v>Normal</v>
      </c>
    </row>
    <row r="409" spans="1:11" ht="15.6" x14ac:dyDescent="0.3">
      <c r="A409" s="1" t="s">
        <v>1964</v>
      </c>
      <c r="B409" t="str">
        <f>VLOOKUP('Customer Names'!A409,'Customer Names'!$A$1:$E$2336,4,FALSE)</f>
        <v>Mr.  Patrick D.</v>
      </c>
      <c r="C409">
        <f>VLOOKUP(Table2[[#This Row],[Customer ID]],Table2[#All],2,FALSE)</f>
        <v>29.8</v>
      </c>
      <c r="D409">
        <f>VLOOKUP(Table2[[#This Row],[Customer ID]],Table2[#All],3,FALSE)</f>
        <v>8.24</v>
      </c>
      <c r="E409" t="str">
        <f>VLOOKUP(Table2[[#This Row],[Customer ID]],Table2[#All],4,FALSE)</f>
        <v>Yes</v>
      </c>
      <c r="F409" t="str">
        <f>VLOOKUP(Table2[[#This Row],[Customer ID]],Table2[#All],5,FALSE)</f>
        <v>No</v>
      </c>
      <c r="G409" t="str">
        <f>VLOOKUP(Table2[[#This Row],[Customer ID]],Table2[#All],6,FALSE)</f>
        <v>No</v>
      </c>
      <c r="H409">
        <f>VLOOKUP(Table2[[#This Row],[Customer ID]],Table2[#All],7,FALSE)</f>
        <v>1</v>
      </c>
      <c r="I409" t="str">
        <f>VLOOKUP(Table2[[#This Row],[Customer ID]],Table2[#All],8,FALSE)</f>
        <v>Yes</v>
      </c>
      <c r="J409" t="str">
        <f>VLOOKUP(Table2[[#This Row],[Customer ID]],Table2[#All],9,FALSE)</f>
        <v>Overweight</v>
      </c>
      <c r="K409" t="str">
        <f>VLOOKUP(Table2[[#This Row],[Customer ID]],Table2[#All],10,FALSE)</f>
        <v>Diabetes</v>
      </c>
    </row>
    <row r="410" spans="1:11" ht="15.6" x14ac:dyDescent="0.3">
      <c r="A410" s="1" t="s">
        <v>1963</v>
      </c>
      <c r="B410" t="str">
        <f>VLOOKUP('Customer Names'!A410,'Customer Names'!$A$1:$E$2336,4,FALSE)</f>
        <v>Mr.  Anthony D.</v>
      </c>
      <c r="C410">
        <f>VLOOKUP(Table2[[#This Row],[Customer ID]],Table2[#All],2,FALSE)</f>
        <v>24.01</v>
      </c>
      <c r="D410">
        <f>VLOOKUP(Table2[[#This Row],[Customer ID]],Table2[#All],3,FALSE)</f>
        <v>4.76</v>
      </c>
      <c r="E410" t="str">
        <f>VLOOKUP(Table2[[#This Row],[Customer ID]],Table2[#All],4,FALSE)</f>
        <v>No</v>
      </c>
      <c r="F410" t="str">
        <f>VLOOKUP(Table2[[#This Row],[Customer ID]],Table2[#All],5,FALSE)</f>
        <v>No</v>
      </c>
      <c r="G410" t="str">
        <f>VLOOKUP(Table2[[#This Row],[Customer ID]],Table2[#All],6,FALSE)</f>
        <v>No</v>
      </c>
      <c r="H410">
        <f>VLOOKUP(Table2[[#This Row],[Customer ID]],Table2[#All],7,FALSE)</f>
        <v>1</v>
      </c>
      <c r="I410" t="str">
        <f>VLOOKUP(Table2[[#This Row],[Customer ID]],Table2[#All],8,FALSE)</f>
        <v>Yes</v>
      </c>
      <c r="J410" t="str">
        <f>VLOOKUP(Table2[[#This Row],[Customer ID]],Table2[#All],9,FALSE)</f>
        <v>Normalweight</v>
      </c>
      <c r="K410" t="str">
        <f>VLOOKUP(Table2[[#This Row],[Customer ID]],Table2[#All],10,FALSE)</f>
        <v>Normal</v>
      </c>
    </row>
    <row r="411" spans="1:11" ht="15.6" x14ac:dyDescent="0.3">
      <c r="A411" s="1" t="s">
        <v>1962</v>
      </c>
      <c r="B411" t="str">
        <f>VLOOKUP('Customer Names'!A411,'Customer Names'!$A$1:$E$2336,4,FALSE)</f>
        <v>Ms.  Melissa</v>
      </c>
      <c r="C411">
        <f>VLOOKUP(Table2[[#This Row],[Customer ID]],Table2[#All],2,FALSE)</f>
        <v>23.21</v>
      </c>
      <c r="D411">
        <f>VLOOKUP(Table2[[#This Row],[Customer ID]],Table2[#All],3,FALSE)</f>
        <v>6.03</v>
      </c>
      <c r="E411" t="str">
        <f>VLOOKUP(Table2[[#This Row],[Customer ID]],Table2[#All],4,FALSE)</f>
        <v>No</v>
      </c>
      <c r="F411" t="str">
        <f>VLOOKUP(Table2[[#This Row],[Customer ID]],Table2[#All],5,FALSE)</f>
        <v>No</v>
      </c>
      <c r="G411" t="str">
        <f>VLOOKUP(Table2[[#This Row],[Customer ID]],Table2[#All],6,FALSE)</f>
        <v>No</v>
      </c>
      <c r="H411">
        <f>VLOOKUP(Table2[[#This Row],[Customer ID]],Table2[#All],7,FALSE)</f>
        <v>1</v>
      </c>
      <c r="I411" t="str">
        <f>VLOOKUP(Table2[[#This Row],[Customer ID]],Table2[#All],8,FALSE)</f>
        <v>No</v>
      </c>
      <c r="J411" t="str">
        <f>VLOOKUP(Table2[[#This Row],[Customer ID]],Table2[#All],9,FALSE)</f>
        <v>Normalweight</v>
      </c>
      <c r="K411" t="str">
        <f>VLOOKUP(Table2[[#This Row],[Customer ID]],Table2[#All],10,FALSE)</f>
        <v>Prediabetes</v>
      </c>
    </row>
    <row r="412" spans="1:11" ht="15.6" x14ac:dyDescent="0.3">
      <c r="A412" s="1" t="s">
        <v>1961</v>
      </c>
      <c r="B412" t="str">
        <f>VLOOKUP('Customer Names'!A412,'Customer Names'!$A$1:$E$2336,4,FALSE)</f>
        <v>Ms.  Raven</v>
      </c>
      <c r="C412">
        <f>VLOOKUP(Table2[[#This Row],[Customer ID]],Table2[#All],2,FALSE)</f>
        <v>21.2</v>
      </c>
      <c r="D412">
        <f>VLOOKUP(Table2[[#This Row],[Customer ID]],Table2[#All],3,FALSE)</f>
        <v>4.07</v>
      </c>
      <c r="E412" t="str">
        <f>VLOOKUP(Table2[[#This Row],[Customer ID]],Table2[#All],4,FALSE)</f>
        <v>Yes</v>
      </c>
      <c r="F412" t="str">
        <f>VLOOKUP(Table2[[#This Row],[Customer ID]],Table2[#All],5,FALSE)</f>
        <v>No</v>
      </c>
      <c r="G412" t="str">
        <f>VLOOKUP(Table2[[#This Row],[Customer ID]],Table2[#All],6,FALSE)</f>
        <v>No</v>
      </c>
      <c r="H412">
        <f>VLOOKUP(Table2[[#This Row],[Customer ID]],Table2[#All],7,FALSE)</f>
        <v>1</v>
      </c>
      <c r="I412" t="str">
        <f>VLOOKUP(Table2[[#This Row],[Customer ID]],Table2[#All],8,FALSE)</f>
        <v>Yes</v>
      </c>
      <c r="J412" t="str">
        <f>VLOOKUP(Table2[[#This Row],[Customer ID]],Table2[#All],9,FALSE)</f>
        <v>Normalweight</v>
      </c>
      <c r="K412" t="str">
        <f>VLOOKUP(Table2[[#This Row],[Customer ID]],Table2[#All],10,FALSE)</f>
        <v>Normal</v>
      </c>
    </row>
    <row r="413" spans="1:11" ht="15.6" x14ac:dyDescent="0.3">
      <c r="A413" s="1" t="s">
        <v>1960</v>
      </c>
      <c r="B413" t="str">
        <f>VLOOKUP('Customer Names'!A413,'Customer Names'!$A$1:$E$2336,4,FALSE)</f>
        <v>Mr.  Christopher</v>
      </c>
      <c r="C413">
        <f>VLOOKUP(Table2[[#This Row],[Customer ID]],Table2[#All],2,FALSE)</f>
        <v>28.215</v>
      </c>
      <c r="D413">
        <f>VLOOKUP(Table2[[#This Row],[Customer ID]],Table2[#All],3,FALSE)</f>
        <v>8.26</v>
      </c>
      <c r="E413" t="str">
        <f>VLOOKUP(Table2[[#This Row],[Customer ID]],Table2[#All],4,FALSE)</f>
        <v>Yes</v>
      </c>
      <c r="F413" t="str">
        <f>VLOOKUP(Table2[[#This Row],[Customer ID]],Table2[#All],5,FALSE)</f>
        <v>No</v>
      </c>
      <c r="G413" t="str">
        <f>VLOOKUP(Table2[[#This Row],[Customer ID]],Table2[#All],6,FALSE)</f>
        <v>No</v>
      </c>
      <c r="H413">
        <f>VLOOKUP(Table2[[#This Row],[Customer ID]],Table2[#All],7,FALSE)</f>
        <v>1</v>
      </c>
      <c r="I413" t="str">
        <f>VLOOKUP(Table2[[#This Row],[Customer ID]],Table2[#All],8,FALSE)</f>
        <v>Yes</v>
      </c>
      <c r="J413" t="str">
        <f>VLOOKUP(Table2[[#This Row],[Customer ID]],Table2[#All],9,FALSE)</f>
        <v>Overweight</v>
      </c>
      <c r="K413" t="str">
        <f>VLOOKUP(Table2[[#This Row],[Customer ID]],Table2[#All],10,FALSE)</f>
        <v>Diabetes</v>
      </c>
    </row>
    <row r="414" spans="1:11" ht="15.6" x14ac:dyDescent="0.3">
      <c r="A414" s="1" t="s">
        <v>1959</v>
      </c>
      <c r="B414" t="str">
        <f>VLOOKUP('Customer Names'!A414,'Customer Names'!$A$1:$E$2336,4,FALSE)</f>
        <v>Ms.  Kendra A</v>
      </c>
      <c r="C414">
        <f>VLOOKUP(Table2[[#This Row],[Customer ID]],Table2[#All],2,FALSE)</f>
        <v>38.094999999999999</v>
      </c>
      <c r="D414">
        <f>VLOOKUP(Table2[[#This Row],[Customer ID]],Table2[#All],3,FALSE)</f>
        <v>4.76</v>
      </c>
      <c r="E414" t="str">
        <f>VLOOKUP(Table2[[#This Row],[Customer ID]],Table2[#All],4,FALSE)</f>
        <v>No</v>
      </c>
      <c r="F414" t="str">
        <f>VLOOKUP(Table2[[#This Row],[Customer ID]],Table2[#All],5,FALSE)</f>
        <v>No</v>
      </c>
      <c r="G414" t="str">
        <f>VLOOKUP(Table2[[#This Row],[Customer ID]],Table2[#All],6,FALSE)</f>
        <v>No</v>
      </c>
      <c r="H414">
        <f>VLOOKUP(Table2[[#This Row],[Customer ID]],Table2[#All],7,FALSE)</f>
        <v>1</v>
      </c>
      <c r="I414" t="str">
        <f>VLOOKUP(Table2[[#This Row],[Customer ID]],Table2[#All],8,FALSE)</f>
        <v>No</v>
      </c>
      <c r="J414" t="str">
        <f>VLOOKUP(Table2[[#This Row],[Customer ID]],Table2[#All],9,FALSE)</f>
        <v>Obesity</v>
      </c>
      <c r="K414" t="str">
        <f>VLOOKUP(Table2[[#This Row],[Customer ID]],Table2[#All],10,FALSE)</f>
        <v>Normal</v>
      </c>
    </row>
    <row r="415" spans="1:11" ht="15.6" x14ac:dyDescent="0.3">
      <c r="A415" s="1" t="s">
        <v>1958</v>
      </c>
      <c r="B415" t="str">
        <f>VLOOKUP('Customer Names'!A415,'Customer Names'!$A$1:$E$2336,4,FALSE)</f>
        <v>Ms.  Jordan</v>
      </c>
      <c r="C415">
        <f>VLOOKUP(Table2[[#This Row],[Customer ID]],Table2[#All],2,FALSE)</f>
        <v>22.61</v>
      </c>
      <c r="D415">
        <f>VLOOKUP(Table2[[#This Row],[Customer ID]],Table2[#All],3,FALSE)</f>
        <v>6.13</v>
      </c>
      <c r="E415" t="str">
        <f>VLOOKUP(Table2[[#This Row],[Customer ID]],Table2[#All],4,FALSE)</f>
        <v>Yes</v>
      </c>
      <c r="F415" t="str">
        <f>VLOOKUP(Table2[[#This Row],[Customer ID]],Table2[#All],5,FALSE)</f>
        <v>No</v>
      </c>
      <c r="G415" t="str">
        <f>VLOOKUP(Table2[[#This Row],[Customer ID]],Table2[#All],6,FALSE)</f>
        <v>Yes</v>
      </c>
      <c r="H415">
        <f>VLOOKUP(Table2[[#This Row],[Customer ID]],Table2[#All],7,FALSE)</f>
        <v>1</v>
      </c>
      <c r="I415" t="str">
        <f>VLOOKUP(Table2[[#This Row],[Customer ID]],Table2[#All],8,FALSE)</f>
        <v>Yes</v>
      </c>
      <c r="J415" t="str">
        <f>VLOOKUP(Table2[[#This Row],[Customer ID]],Table2[#All],9,FALSE)</f>
        <v>Normalweight</v>
      </c>
      <c r="K415" t="str">
        <f>VLOOKUP(Table2[[#This Row],[Customer ID]],Table2[#All],10,FALSE)</f>
        <v>Prediabetes</v>
      </c>
    </row>
    <row r="416" spans="1:11" ht="15.6" x14ac:dyDescent="0.3">
      <c r="A416" s="1" t="s">
        <v>1957</v>
      </c>
      <c r="B416" t="str">
        <f>VLOOKUP('Customer Names'!A416,'Customer Names'!$A$1:$E$2336,4,FALSE)</f>
        <v>Mr.  Nils</v>
      </c>
      <c r="C416">
        <f>VLOOKUP(Table2[[#This Row],[Customer ID]],Table2[#All],2,FALSE)</f>
        <v>24.32</v>
      </c>
      <c r="D416">
        <f>VLOOKUP(Table2[[#This Row],[Customer ID]],Table2[#All],3,FALSE)</f>
        <v>10.47</v>
      </c>
      <c r="E416" t="str">
        <f>VLOOKUP(Table2[[#This Row],[Customer ID]],Table2[#All],4,FALSE)</f>
        <v>Yes</v>
      </c>
      <c r="F416" t="str">
        <f>VLOOKUP(Table2[[#This Row],[Customer ID]],Table2[#All],5,FALSE)</f>
        <v>No</v>
      </c>
      <c r="G416" t="str">
        <f>VLOOKUP(Table2[[#This Row],[Customer ID]],Table2[#All],6,FALSE)</f>
        <v>No</v>
      </c>
      <c r="H416">
        <f>VLOOKUP(Table2[[#This Row],[Customer ID]],Table2[#All],7,FALSE)</f>
        <v>2</v>
      </c>
      <c r="I416" t="str">
        <f>VLOOKUP(Table2[[#This Row],[Customer ID]],Table2[#All],8,FALSE)</f>
        <v>Yes</v>
      </c>
      <c r="J416" t="str">
        <f>VLOOKUP(Table2[[#This Row],[Customer ID]],Table2[#All],9,FALSE)</f>
        <v>Normalweight</v>
      </c>
      <c r="K416" t="str">
        <f>VLOOKUP(Table2[[#This Row],[Customer ID]],Table2[#All],10,FALSE)</f>
        <v>Diabetes</v>
      </c>
    </row>
    <row r="417" spans="1:11" ht="15.6" x14ac:dyDescent="0.3">
      <c r="A417" s="1" t="s">
        <v>1956</v>
      </c>
      <c r="B417" t="str">
        <f>VLOOKUP('Customer Names'!A417,'Customer Names'!$A$1:$E$2336,4,FALSE)</f>
        <v>Mr.  Scott</v>
      </c>
      <c r="C417">
        <f>VLOOKUP(Table2[[#This Row],[Customer ID]],Table2[#All],2,FALSE)</f>
        <v>20.96</v>
      </c>
      <c r="D417">
        <f>VLOOKUP(Table2[[#This Row],[Customer ID]],Table2[#All],3,FALSE)</f>
        <v>4.04</v>
      </c>
      <c r="E417" t="str">
        <f>VLOOKUP(Table2[[#This Row],[Customer ID]],Table2[#All],4,FALSE)</f>
        <v>Yes</v>
      </c>
      <c r="F417" t="str">
        <f>VLOOKUP(Table2[[#This Row],[Customer ID]],Table2[#All],5,FALSE)</f>
        <v>No</v>
      </c>
      <c r="G417" t="str">
        <f>VLOOKUP(Table2[[#This Row],[Customer ID]],Table2[#All],6,FALSE)</f>
        <v>No</v>
      </c>
      <c r="H417">
        <f>VLOOKUP(Table2[[#This Row],[Customer ID]],Table2[#All],7,FALSE)</f>
        <v>1</v>
      </c>
      <c r="I417" t="str">
        <f>VLOOKUP(Table2[[#This Row],[Customer ID]],Table2[#All],8,FALSE)</f>
        <v>Yes</v>
      </c>
      <c r="J417" t="str">
        <f>VLOOKUP(Table2[[#This Row],[Customer ID]],Table2[#All],9,FALSE)</f>
        <v>Normalweight</v>
      </c>
      <c r="K417" t="str">
        <f>VLOOKUP(Table2[[#This Row],[Customer ID]],Table2[#All],10,FALSE)</f>
        <v>Normal</v>
      </c>
    </row>
    <row r="418" spans="1:11" ht="15.6" x14ac:dyDescent="0.3">
      <c r="A418" s="1" t="s">
        <v>1955</v>
      </c>
      <c r="B418" t="str">
        <f>VLOOKUP('Customer Names'!A418,'Customer Names'!$A$1:$E$2336,4,FALSE)</f>
        <v>Ms.  Angela</v>
      </c>
      <c r="C418">
        <f>VLOOKUP(Table2[[#This Row],[Customer ID]],Table2[#All],2,FALSE)</f>
        <v>19.68</v>
      </c>
      <c r="D418">
        <f>VLOOKUP(Table2[[#This Row],[Customer ID]],Table2[#All],3,FALSE)</f>
        <v>5.74</v>
      </c>
      <c r="E418" t="str">
        <f>VLOOKUP(Table2[[#This Row],[Customer ID]],Table2[#All],4,FALSE)</f>
        <v>No</v>
      </c>
      <c r="F418" t="str">
        <f>VLOOKUP(Table2[[#This Row],[Customer ID]],Table2[#All],5,FALSE)</f>
        <v>No</v>
      </c>
      <c r="G418" t="str">
        <f>VLOOKUP(Table2[[#This Row],[Customer ID]],Table2[#All],6,FALSE)</f>
        <v>No</v>
      </c>
      <c r="H418">
        <f>VLOOKUP(Table2[[#This Row],[Customer ID]],Table2[#All],7,FALSE)</f>
        <v>0</v>
      </c>
      <c r="I418" t="str">
        <f>VLOOKUP(Table2[[#This Row],[Customer ID]],Table2[#All],8,FALSE)</f>
        <v>Yes</v>
      </c>
      <c r="J418" t="str">
        <f>VLOOKUP(Table2[[#This Row],[Customer ID]],Table2[#All],9,FALSE)</f>
        <v>Normalweight</v>
      </c>
      <c r="K418" t="str">
        <f>VLOOKUP(Table2[[#This Row],[Customer ID]],Table2[#All],10,FALSE)</f>
        <v>Prediabetes</v>
      </c>
    </row>
    <row r="419" spans="1:11" ht="15.6" x14ac:dyDescent="0.3">
      <c r="A419" s="1" t="s">
        <v>1954</v>
      </c>
      <c r="B419" t="str">
        <f>VLOOKUP('Customer Names'!A419,'Customer Names'!$A$1:$E$2336,4,FALSE)</f>
        <v>Ms.  Allison</v>
      </c>
      <c r="C419">
        <f>VLOOKUP(Table2[[#This Row],[Customer ID]],Table2[#All],2,FALSE)</f>
        <v>18.100000000000001</v>
      </c>
      <c r="D419">
        <f>VLOOKUP(Table2[[#This Row],[Customer ID]],Table2[#All],3,FALSE)</f>
        <v>6.33</v>
      </c>
      <c r="E419" t="str">
        <f>VLOOKUP(Table2[[#This Row],[Customer ID]],Table2[#All],4,FALSE)</f>
        <v>No</v>
      </c>
      <c r="F419" t="str">
        <f>VLOOKUP(Table2[[#This Row],[Customer ID]],Table2[#All],5,FALSE)</f>
        <v>No</v>
      </c>
      <c r="G419" t="str">
        <f>VLOOKUP(Table2[[#This Row],[Customer ID]],Table2[#All],6,FALSE)</f>
        <v>No</v>
      </c>
      <c r="H419">
        <f>VLOOKUP(Table2[[#This Row],[Customer ID]],Table2[#All],7,FALSE)</f>
        <v>1</v>
      </c>
      <c r="I419" t="str">
        <f>VLOOKUP(Table2[[#This Row],[Customer ID]],Table2[#All],8,FALSE)</f>
        <v>Yes</v>
      </c>
      <c r="J419" t="str">
        <f>VLOOKUP(Table2[[#This Row],[Customer ID]],Table2[#All],9,FALSE)</f>
        <v>Underweight</v>
      </c>
      <c r="K419" t="str">
        <f>VLOOKUP(Table2[[#This Row],[Customer ID]],Table2[#All],10,FALSE)</f>
        <v>Prediabetes</v>
      </c>
    </row>
    <row r="420" spans="1:11" ht="15.6" x14ac:dyDescent="0.3">
      <c r="A420" s="1" t="s">
        <v>1953</v>
      </c>
      <c r="B420" t="str">
        <f>VLOOKUP('Customer Names'!A420,'Customer Names'!$A$1:$E$2336,4,FALSE)</f>
        <v>Ms.  Caitlin O.</v>
      </c>
      <c r="C420">
        <f>VLOOKUP(Table2[[#This Row],[Customer ID]],Table2[#All],2,FALSE)</f>
        <v>29.64</v>
      </c>
      <c r="D420">
        <f>VLOOKUP(Table2[[#This Row],[Customer ID]],Table2[#All],3,FALSE)</f>
        <v>4.28</v>
      </c>
      <c r="E420" t="str">
        <f>VLOOKUP(Table2[[#This Row],[Customer ID]],Table2[#All],4,FALSE)</f>
        <v>Yes</v>
      </c>
      <c r="F420" t="str">
        <f>VLOOKUP(Table2[[#This Row],[Customer ID]],Table2[#All],5,FALSE)</f>
        <v>No</v>
      </c>
      <c r="G420" t="str">
        <f>VLOOKUP(Table2[[#This Row],[Customer ID]],Table2[#All],6,FALSE)</f>
        <v>No</v>
      </c>
      <c r="H420">
        <f>VLOOKUP(Table2[[#This Row],[Customer ID]],Table2[#All],7,FALSE)</f>
        <v>0</v>
      </c>
      <c r="I420" t="str">
        <f>VLOOKUP(Table2[[#This Row],[Customer ID]],Table2[#All],8,FALSE)</f>
        <v>No</v>
      </c>
      <c r="J420" t="str">
        <f>VLOOKUP(Table2[[#This Row],[Customer ID]],Table2[#All],9,FALSE)</f>
        <v>Overweight</v>
      </c>
      <c r="K420" t="str">
        <f>VLOOKUP(Table2[[#This Row],[Customer ID]],Table2[#All],10,FALSE)</f>
        <v>Normal</v>
      </c>
    </row>
    <row r="421" spans="1:11" ht="15.6" x14ac:dyDescent="0.3">
      <c r="A421" s="1" t="s">
        <v>1952</v>
      </c>
      <c r="B421" t="str">
        <f>VLOOKUP('Customer Names'!A421,'Customer Names'!$A$1:$E$2336,4,FALSE)</f>
        <v>Ms.  Tracy M</v>
      </c>
      <c r="C421">
        <f>VLOOKUP(Table2[[#This Row],[Customer ID]],Table2[#All],2,FALSE)</f>
        <v>25.3</v>
      </c>
      <c r="D421">
        <f>VLOOKUP(Table2[[#This Row],[Customer ID]],Table2[#All],3,FALSE)</f>
        <v>9.4700000000000006</v>
      </c>
      <c r="E421" t="str">
        <f>VLOOKUP(Table2[[#This Row],[Customer ID]],Table2[#All],4,FALSE)</f>
        <v>Yes</v>
      </c>
      <c r="F421" t="str">
        <f>VLOOKUP(Table2[[#This Row],[Customer ID]],Table2[#All],5,FALSE)</f>
        <v>No</v>
      </c>
      <c r="G421" t="str">
        <f>VLOOKUP(Table2[[#This Row],[Customer ID]],Table2[#All],6,FALSE)</f>
        <v>No</v>
      </c>
      <c r="H421">
        <f>VLOOKUP(Table2[[#This Row],[Customer ID]],Table2[#All],7,FALSE)</f>
        <v>2</v>
      </c>
      <c r="I421" t="str">
        <f>VLOOKUP(Table2[[#This Row],[Customer ID]],Table2[#All],8,FALSE)</f>
        <v>Yes</v>
      </c>
      <c r="J421" t="str">
        <f>VLOOKUP(Table2[[#This Row],[Customer ID]],Table2[#All],9,FALSE)</f>
        <v>Overweight</v>
      </c>
      <c r="K421" t="str">
        <f>VLOOKUP(Table2[[#This Row],[Customer ID]],Table2[#All],10,FALSE)</f>
        <v>Diabetes</v>
      </c>
    </row>
    <row r="422" spans="1:11" ht="15.6" x14ac:dyDescent="0.3">
      <c r="A422" s="1" t="s">
        <v>1951</v>
      </c>
      <c r="B422" t="str">
        <f>VLOOKUP('Customer Names'!A422,'Customer Names'!$A$1:$E$2336,4,FALSE)</f>
        <v>Mr.  Dustin M.</v>
      </c>
      <c r="C422">
        <f>VLOOKUP(Table2[[#This Row],[Customer ID]],Table2[#All],2,FALSE)</f>
        <v>27.6</v>
      </c>
      <c r="D422">
        <f>VLOOKUP(Table2[[#This Row],[Customer ID]],Table2[#All],3,FALSE)</f>
        <v>4.8499999999999996</v>
      </c>
      <c r="E422" t="str">
        <f>VLOOKUP(Table2[[#This Row],[Customer ID]],Table2[#All],4,FALSE)</f>
        <v>Yes</v>
      </c>
      <c r="F422" t="str">
        <f>VLOOKUP(Table2[[#This Row],[Customer ID]],Table2[#All],5,FALSE)</f>
        <v>No</v>
      </c>
      <c r="G422" t="str">
        <f>VLOOKUP(Table2[[#This Row],[Customer ID]],Table2[#All],6,FALSE)</f>
        <v>No</v>
      </c>
      <c r="H422">
        <f>VLOOKUP(Table2[[#This Row],[Customer ID]],Table2[#All],7,FALSE)</f>
        <v>0</v>
      </c>
      <c r="I422" t="str">
        <f>VLOOKUP(Table2[[#This Row],[Customer ID]],Table2[#All],8,FALSE)</f>
        <v>No</v>
      </c>
      <c r="J422" t="str">
        <f>VLOOKUP(Table2[[#This Row],[Customer ID]],Table2[#All],9,FALSE)</f>
        <v>Overweight</v>
      </c>
      <c r="K422" t="str">
        <f>VLOOKUP(Table2[[#This Row],[Customer ID]],Table2[#All],10,FALSE)</f>
        <v>Normal</v>
      </c>
    </row>
    <row r="423" spans="1:11" ht="15.6" x14ac:dyDescent="0.3">
      <c r="A423" s="1" t="s">
        <v>1950</v>
      </c>
      <c r="B423" t="str">
        <f>VLOOKUP('Customer Names'!A423,'Customer Names'!$A$1:$E$2336,4,FALSE)</f>
        <v>Ms.  Jenny</v>
      </c>
      <c r="C423">
        <f>VLOOKUP(Table2[[#This Row],[Customer ID]],Table2[#All],2,FALSE)</f>
        <v>27.645</v>
      </c>
      <c r="D423">
        <f>VLOOKUP(Table2[[#This Row],[Customer ID]],Table2[#All],3,FALSE)</f>
        <v>11.03</v>
      </c>
      <c r="E423" t="str">
        <f>VLOOKUP(Table2[[#This Row],[Customer ID]],Table2[#All],4,FALSE)</f>
        <v>Yes</v>
      </c>
      <c r="F423" t="str">
        <f>VLOOKUP(Table2[[#This Row],[Customer ID]],Table2[#All],5,FALSE)</f>
        <v>No</v>
      </c>
      <c r="G423" t="str">
        <f>VLOOKUP(Table2[[#This Row],[Customer ID]],Table2[#All],6,FALSE)</f>
        <v>No</v>
      </c>
      <c r="H423">
        <f>VLOOKUP(Table2[[#This Row],[Customer ID]],Table2[#All],7,FALSE)</f>
        <v>1</v>
      </c>
      <c r="I423" t="str">
        <f>VLOOKUP(Table2[[#This Row],[Customer ID]],Table2[#All],8,FALSE)</f>
        <v>Yes</v>
      </c>
      <c r="J423" t="str">
        <f>VLOOKUP(Table2[[#This Row],[Customer ID]],Table2[#All],9,FALSE)</f>
        <v>Overweight</v>
      </c>
      <c r="K423" t="str">
        <f>VLOOKUP(Table2[[#This Row],[Customer ID]],Table2[#All],10,FALSE)</f>
        <v>Diabetes</v>
      </c>
    </row>
    <row r="424" spans="1:11" ht="15.6" x14ac:dyDescent="0.3">
      <c r="A424" s="1" t="s">
        <v>1949</v>
      </c>
      <c r="B424" t="str">
        <f>VLOOKUP('Customer Names'!A424,'Customer Names'!$A$1:$E$2336,4,FALSE)</f>
        <v>Ms.  Emily</v>
      </c>
      <c r="C424">
        <f>VLOOKUP(Table2[[#This Row],[Customer ID]],Table2[#All],2,FALSE)</f>
        <v>27.6</v>
      </c>
      <c r="D424">
        <f>VLOOKUP(Table2[[#This Row],[Customer ID]],Table2[#All],3,FALSE)</f>
        <v>5.22</v>
      </c>
      <c r="E424" t="str">
        <f>VLOOKUP(Table2[[#This Row],[Customer ID]],Table2[#All],4,FALSE)</f>
        <v>No</v>
      </c>
      <c r="F424" t="str">
        <f>VLOOKUP(Table2[[#This Row],[Customer ID]],Table2[#All],5,FALSE)</f>
        <v>No</v>
      </c>
      <c r="G424" t="str">
        <f>VLOOKUP(Table2[[#This Row],[Customer ID]],Table2[#All],6,FALSE)</f>
        <v>No</v>
      </c>
      <c r="H424">
        <f>VLOOKUP(Table2[[#This Row],[Customer ID]],Table2[#All],7,FALSE)</f>
        <v>2</v>
      </c>
      <c r="I424" t="str">
        <f>VLOOKUP(Table2[[#This Row],[Customer ID]],Table2[#All],8,FALSE)</f>
        <v>Yes</v>
      </c>
      <c r="J424" t="str">
        <f>VLOOKUP(Table2[[#This Row],[Customer ID]],Table2[#All],9,FALSE)</f>
        <v>Overweight</v>
      </c>
      <c r="K424" t="str">
        <f>VLOOKUP(Table2[[#This Row],[Customer ID]],Table2[#All],10,FALSE)</f>
        <v>Normal</v>
      </c>
    </row>
    <row r="425" spans="1:11" ht="15.6" x14ac:dyDescent="0.3">
      <c r="A425" s="1" t="s">
        <v>1948</v>
      </c>
      <c r="B425" t="str">
        <f>VLOOKUP('Customer Names'!A425,'Customer Names'!$A$1:$E$2336,4,FALSE)</f>
        <v>Ms.  Fabienne</v>
      </c>
      <c r="C425">
        <f>VLOOKUP(Table2[[#This Row],[Customer ID]],Table2[#All],2,FALSE)</f>
        <v>25.08</v>
      </c>
      <c r="D425">
        <f>VLOOKUP(Table2[[#This Row],[Customer ID]],Table2[#All],3,FALSE)</f>
        <v>9.52</v>
      </c>
      <c r="E425" t="str">
        <f>VLOOKUP(Table2[[#This Row],[Customer ID]],Table2[#All],4,FALSE)</f>
        <v>Yes</v>
      </c>
      <c r="F425" t="str">
        <f>VLOOKUP(Table2[[#This Row],[Customer ID]],Table2[#All],5,FALSE)</f>
        <v>No</v>
      </c>
      <c r="G425" t="str">
        <f>VLOOKUP(Table2[[#This Row],[Customer ID]],Table2[#All],6,FALSE)</f>
        <v>No</v>
      </c>
      <c r="H425">
        <f>VLOOKUP(Table2[[#This Row],[Customer ID]],Table2[#All],7,FALSE)</f>
        <v>2</v>
      </c>
      <c r="I425" t="str">
        <f>VLOOKUP(Table2[[#This Row],[Customer ID]],Table2[#All],8,FALSE)</f>
        <v>No</v>
      </c>
      <c r="J425" t="str">
        <f>VLOOKUP(Table2[[#This Row],[Customer ID]],Table2[#All],9,FALSE)</f>
        <v>Overweight</v>
      </c>
      <c r="K425" t="str">
        <f>VLOOKUP(Table2[[#This Row],[Customer ID]],Table2[#All],10,FALSE)</f>
        <v>Diabetes</v>
      </c>
    </row>
    <row r="426" spans="1:11" ht="15.6" x14ac:dyDescent="0.3">
      <c r="A426" s="1" t="s">
        <v>1947</v>
      </c>
      <c r="B426" t="str">
        <f>VLOOKUP('Customer Names'!A426,'Customer Names'!$A$1:$E$2336,4,FALSE)</f>
        <v>Mr.  Jordan</v>
      </c>
      <c r="C426">
        <f>VLOOKUP(Table2[[#This Row],[Customer ID]],Table2[#All],2,FALSE)</f>
        <v>30.02</v>
      </c>
      <c r="D426">
        <f>VLOOKUP(Table2[[#This Row],[Customer ID]],Table2[#All],3,FALSE)</f>
        <v>11.09</v>
      </c>
      <c r="E426" t="str">
        <f>VLOOKUP(Table2[[#This Row],[Customer ID]],Table2[#All],4,FALSE)</f>
        <v>No</v>
      </c>
      <c r="F426" t="str">
        <f>VLOOKUP(Table2[[#This Row],[Customer ID]],Table2[#All],5,FALSE)</f>
        <v>No</v>
      </c>
      <c r="G426" t="str">
        <f>VLOOKUP(Table2[[#This Row],[Customer ID]],Table2[#All],6,FALSE)</f>
        <v>No</v>
      </c>
      <c r="H426">
        <f>VLOOKUP(Table2[[#This Row],[Customer ID]],Table2[#All],7,FALSE)</f>
        <v>0</v>
      </c>
      <c r="I426" t="str">
        <f>VLOOKUP(Table2[[#This Row],[Customer ID]],Table2[#All],8,FALSE)</f>
        <v>No</v>
      </c>
      <c r="J426" t="str">
        <f>VLOOKUP(Table2[[#This Row],[Customer ID]],Table2[#All],9,FALSE)</f>
        <v>Obesity</v>
      </c>
      <c r="K426" t="str">
        <f>VLOOKUP(Table2[[#This Row],[Customer ID]],Table2[#All],10,FALSE)</f>
        <v>Diabetes</v>
      </c>
    </row>
    <row r="427" spans="1:11" ht="15.6" x14ac:dyDescent="0.3">
      <c r="A427" s="1" t="s">
        <v>1946</v>
      </c>
      <c r="B427" t="str">
        <f>VLOOKUP('Customer Names'!A427,'Customer Names'!$A$1:$E$2336,4,FALSE)</f>
        <v>Mr.  Matt</v>
      </c>
      <c r="C427">
        <f>VLOOKUP(Table2[[#This Row],[Customer ID]],Table2[#All],2,FALSE)</f>
        <v>27.36</v>
      </c>
      <c r="D427">
        <f>VLOOKUP(Table2[[#This Row],[Customer ID]],Table2[#All],3,FALSE)</f>
        <v>9.4499999999999993</v>
      </c>
      <c r="E427" t="str">
        <f>VLOOKUP(Table2[[#This Row],[Customer ID]],Table2[#All],4,FALSE)</f>
        <v>Yes</v>
      </c>
      <c r="F427" t="str">
        <f>VLOOKUP(Table2[[#This Row],[Customer ID]],Table2[#All],5,FALSE)</f>
        <v>No</v>
      </c>
      <c r="G427" t="str">
        <f>VLOOKUP(Table2[[#This Row],[Customer ID]],Table2[#All],6,FALSE)</f>
        <v>No</v>
      </c>
      <c r="H427">
        <f>VLOOKUP(Table2[[#This Row],[Customer ID]],Table2[#All],7,FALSE)</f>
        <v>2</v>
      </c>
      <c r="I427" t="str">
        <f>VLOOKUP(Table2[[#This Row],[Customer ID]],Table2[#All],8,FALSE)</f>
        <v>Yes</v>
      </c>
      <c r="J427" t="str">
        <f>VLOOKUP(Table2[[#This Row],[Customer ID]],Table2[#All],9,FALSE)</f>
        <v>Overweight</v>
      </c>
      <c r="K427" t="str">
        <f>VLOOKUP(Table2[[#This Row],[Customer ID]],Table2[#All],10,FALSE)</f>
        <v>Diabetes</v>
      </c>
    </row>
    <row r="428" spans="1:11" ht="15.6" x14ac:dyDescent="0.3">
      <c r="A428" s="1" t="s">
        <v>1945</v>
      </c>
      <c r="B428" t="str">
        <f>VLOOKUP('Customer Names'!A428,'Customer Names'!$A$1:$E$2336,4,FALSE)</f>
        <v>Ms.  Taryn L</v>
      </c>
      <c r="C428">
        <f>VLOOKUP(Table2[[#This Row],[Customer ID]],Table2[#All],2,FALSE)</f>
        <v>22.2</v>
      </c>
      <c r="D428">
        <f>VLOOKUP(Table2[[#This Row],[Customer ID]],Table2[#All],3,FALSE)</f>
        <v>5.51</v>
      </c>
      <c r="E428" t="str">
        <f>VLOOKUP(Table2[[#This Row],[Customer ID]],Table2[#All],4,FALSE)</f>
        <v>No</v>
      </c>
      <c r="F428" t="str">
        <f>VLOOKUP(Table2[[#This Row],[Customer ID]],Table2[#All],5,FALSE)</f>
        <v>No</v>
      </c>
      <c r="G428" t="str">
        <f>VLOOKUP(Table2[[#This Row],[Customer ID]],Table2[#All],6,FALSE)</f>
        <v>No</v>
      </c>
      <c r="H428">
        <f>VLOOKUP(Table2[[#This Row],[Customer ID]],Table2[#All],7,FALSE)</f>
        <v>0</v>
      </c>
      <c r="I428" t="str">
        <f>VLOOKUP(Table2[[#This Row],[Customer ID]],Table2[#All],8,FALSE)</f>
        <v>Yes</v>
      </c>
      <c r="J428" t="str">
        <f>VLOOKUP(Table2[[#This Row],[Customer ID]],Table2[#All],9,FALSE)</f>
        <v>Normalweight</v>
      </c>
      <c r="K428" t="str">
        <f>VLOOKUP(Table2[[#This Row],[Customer ID]],Table2[#All],10,FALSE)</f>
        <v>Normal</v>
      </c>
    </row>
    <row r="429" spans="1:11" ht="15.6" x14ac:dyDescent="0.3">
      <c r="A429" s="1" t="s">
        <v>1944</v>
      </c>
      <c r="B429" t="str">
        <f>VLOOKUP('Customer Names'!A429,'Customer Names'!$A$1:$E$2336,4,FALSE)</f>
        <v>Ms.  Temima</v>
      </c>
      <c r="C429">
        <f>VLOOKUP(Table2[[#This Row],[Customer ID]],Table2[#All],2,FALSE)</f>
        <v>25.71</v>
      </c>
      <c r="D429">
        <f>VLOOKUP(Table2[[#This Row],[Customer ID]],Table2[#All],3,FALSE)</f>
        <v>4.18</v>
      </c>
      <c r="E429" t="str">
        <f>VLOOKUP(Table2[[#This Row],[Customer ID]],Table2[#All],4,FALSE)</f>
        <v>No</v>
      </c>
      <c r="F429" t="str">
        <f>VLOOKUP(Table2[[#This Row],[Customer ID]],Table2[#All],5,FALSE)</f>
        <v>yes</v>
      </c>
      <c r="G429" t="str">
        <f>VLOOKUP(Table2[[#This Row],[Customer ID]],Table2[#All],6,FALSE)</f>
        <v>No</v>
      </c>
      <c r="H429">
        <f>VLOOKUP(Table2[[#This Row],[Customer ID]],Table2[#All],7,FALSE)</f>
        <v>1</v>
      </c>
      <c r="I429" t="str">
        <f>VLOOKUP(Table2[[#This Row],[Customer ID]],Table2[#All],8,FALSE)</f>
        <v>Yes</v>
      </c>
      <c r="J429" t="str">
        <f>VLOOKUP(Table2[[#This Row],[Customer ID]],Table2[#All],9,FALSE)</f>
        <v>Overweight</v>
      </c>
      <c r="K429" t="str">
        <f>VLOOKUP(Table2[[#This Row],[Customer ID]],Table2[#All],10,FALSE)</f>
        <v>Normal</v>
      </c>
    </row>
    <row r="430" spans="1:11" ht="15.6" x14ac:dyDescent="0.3">
      <c r="A430" s="1" t="s">
        <v>1943</v>
      </c>
      <c r="B430" t="str">
        <f>VLOOKUP('Customer Names'!A430,'Customer Names'!$A$1:$E$2336,4,FALSE)</f>
        <v>Ms.  Jennifer</v>
      </c>
      <c r="C430">
        <f>VLOOKUP(Table2[[#This Row],[Customer ID]],Table2[#All],2,FALSE)</f>
        <v>41.91</v>
      </c>
      <c r="D430">
        <f>VLOOKUP(Table2[[#This Row],[Customer ID]],Table2[#All],3,FALSE)</f>
        <v>5.98</v>
      </c>
      <c r="E430" t="str">
        <f>VLOOKUP(Table2[[#This Row],[Customer ID]],Table2[#All],4,FALSE)</f>
        <v>Yes</v>
      </c>
      <c r="F430" t="str">
        <f>VLOOKUP(Table2[[#This Row],[Customer ID]],Table2[#All],5,FALSE)</f>
        <v>No</v>
      </c>
      <c r="G430" t="str">
        <f>VLOOKUP(Table2[[#This Row],[Customer ID]],Table2[#All],6,FALSE)</f>
        <v>No</v>
      </c>
      <c r="H430">
        <f>VLOOKUP(Table2[[#This Row],[Customer ID]],Table2[#All],7,FALSE)</f>
        <v>1</v>
      </c>
      <c r="I430" t="str">
        <f>VLOOKUP(Table2[[#This Row],[Customer ID]],Table2[#All],8,FALSE)</f>
        <v>No</v>
      </c>
      <c r="J430" t="str">
        <f>VLOOKUP(Table2[[#This Row],[Customer ID]],Table2[#All],9,FALSE)</f>
        <v>Obesity</v>
      </c>
      <c r="K430" t="str">
        <f>VLOOKUP(Table2[[#This Row],[Customer ID]],Table2[#All],10,FALSE)</f>
        <v>Prediabetes</v>
      </c>
    </row>
    <row r="431" spans="1:11" ht="15.6" x14ac:dyDescent="0.3">
      <c r="A431" s="1" t="s">
        <v>1942</v>
      </c>
      <c r="B431" t="str">
        <f>VLOOKUP('Customer Names'!A431,'Customer Names'!$A$1:$E$2336,4,FALSE)</f>
        <v>Ms.  Serena M.</v>
      </c>
      <c r="C431">
        <f>VLOOKUP(Table2[[#This Row],[Customer ID]],Table2[#All],2,FALSE)</f>
        <v>25.85</v>
      </c>
      <c r="D431">
        <f>VLOOKUP(Table2[[#This Row],[Customer ID]],Table2[#All],3,FALSE)</f>
        <v>10.16</v>
      </c>
      <c r="E431" t="str">
        <f>VLOOKUP(Table2[[#This Row],[Customer ID]],Table2[#All],4,FALSE)</f>
        <v>No</v>
      </c>
      <c r="F431" t="str">
        <f>VLOOKUP(Table2[[#This Row],[Customer ID]],Table2[#All],5,FALSE)</f>
        <v>No</v>
      </c>
      <c r="G431" t="str">
        <f>VLOOKUP(Table2[[#This Row],[Customer ID]],Table2[#All],6,FALSE)</f>
        <v>No</v>
      </c>
      <c r="H431">
        <f>VLOOKUP(Table2[[#This Row],[Customer ID]],Table2[#All],7,FALSE)</f>
        <v>0</v>
      </c>
      <c r="I431" t="str">
        <f>VLOOKUP(Table2[[#This Row],[Customer ID]],Table2[#All],8,FALSE)</f>
        <v>Yes</v>
      </c>
      <c r="J431" t="str">
        <f>VLOOKUP(Table2[[#This Row],[Customer ID]],Table2[#All],9,FALSE)</f>
        <v>Overweight</v>
      </c>
      <c r="K431" t="str">
        <f>VLOOKUP(Table2[[#This Row],[Customer ID]],Table2[#All],10,FALSE)</f>
        <v>Diabetes</v>
      </c>
    </row>
    <row r="432" spans="1:11" ht="15.6" x14ac:dyDescent="0.3">
      <c r="A432" s="1" t="s">
        <v>1941</v>
      </c>
      <c r="B432" t="str">
        <f>VLOOKUP('Customer Names'!A432,'Customer Names'!$A$1:$E$2336,4,FALSE)</f>
        <v>Ms.  Victoria M.</v>
      </c>
      <c r="C432">
        <f>VLOOKUP(Table2[[#This Row],[Customer ID]],Table2[#All],2,FALSE)</f>
        <v>23.844999999999999</v>
      </c>
      <c r="D432">
        <f>VLOOKUP(Table2[[#This Row],[Customer ID]],Table2[#All],3,FALSE)</f>
        <v>11.71</v>
      </c>
      <c r="E432" t="str">
        <f>VLOOKUP(Table2[[#This Row],[Customer ID]],Table2[#All],4,FALSE)</f>
        <v>No</v>
      </c>
      <c r="F432" t="str">
        <f>VLOOKUP(Table2[[#This Row],[Customer ID]],Table2[#All],5,FALSE)</f>
        <v>No</v>
      </c>
      <c r="G432" t="str">
        <f>VLOOKUP(Table2[[#This Row],[Customer ID]],Table2[#All],6,FALSE)</f>
        <v>No</v>
      </c>
      <c r="H432">
        <f>VLOOKUP(Table2[[#This Row],[Customer ID]],Table2[#All],7,FALSE)</f>
        <v>2</v>
      </c>
      <c r="I432" t="str">
        <f>VLOOKUP(Table2[[#This Row],[Customer ID]],Table2[#All],8,FALSE)</f>
        <v>Yes</v>
      </c>
      <c r="J432" t="str">
        <f>VLOOKUP(Table2[[#This Row],[Customer ID]],Table2[#All],9,FALSE)</f>
        <v>Normalweight</v>
      </c>
      <c r="K432" t="str">
        <f>VLOOKUP(Table2[[#This Row],[Customer ID]],Table2[#All],10,FALSE)</f>
        <v>Diabetes</v>
      </c>
    </row>
    <row r="433" spans="1:11" ht="15.6" x14ac:dyDescent="0.3">
      <c r="A433" s="1" t="s">
        <v>1940</v>
      </c>
      <c r="B433" t="str">
        <f>VLOOKUP('Customer Names'!A433,'Customer Names'!$A$1:$E$2336,4,FALSE)</f>
        <v>Ms.  Phoebe</v>
      </c>
      <c r="C433">
        <f>VLOOKUP(Table2[[#This Row],[Customer ID]],Table2[#All],2,FALSE)</f>
        <v>30.59</v>
      </c>
      <c r="D433">
        <f>VLOOKUP(Table2[[#This Row],[Customer ID]],Table2[#All],3,FALSE)</f>
        <v>5.23</v>
      </c>
      <c r="E433" t="str">
        <f>VLOOKUP(Table2[[#This Row],[Customer ID]],Table2[#All],4,FALSE)</f>
        <v>No</v>
      </c>
      <c r="F433" t="str">
        <f>VLOOKUP(Table2[[#This Row],[Customer ID]],Table2[#All],5,FALSE)</f>
        <v>No</v>
      </c>
      <c r="G433" t="str">
        <f>VLOOKUP(Table2[[#This Row],[Customer ID]],Table2[#All],6,FALSE)</f>
        <v>Yes</v>
      </c>
      <c r="H433">
        <f>VLOOKUP(Table2[[#This Row],[Customer ID]],Table2[#All],7,FALSE)</f>
        <v>1</v>
      </c>
      <c r="I433" t="str">
        <f>VLOOKUP(Table2[[#This Row],[Customer ID]],Table2[#All],8,FALSE)</f>
        <v>No</v>
      </c>
      <c r="J433" t="str">
        <f>VLOOKUP(Table2[[#This Row],[Customer ID]],Table2[#All],9,FALSE)</f>
        <v>Obesity</v>
      </c>
      <c r="K433" t="str">
        <f>VLOOKUP(Table2[[#This Row],[Customer ID]],Table2[#All],10,FALSE)</f>
        <v>Normal</v>
      </c>
    </row>
    <row r="434" spans="1:11" ht="15.6" x14ac:dyDescent="0.3">
      <c r="A434" s="1" t="s">
        <v>1939</v>
      </c>
      <c r="B434" t="str">
        <f>VLOOKUP('Customer Names'!A434,'Customer Names'!$A$1:$E$2336,4,FALSE)</f>
        <v>Mr.  Corey</v>
      </c>
      <c r="C434">
        <f>VLOOKUP(Table2[[#This Row],[Customer ID]],Table2[#All],2,FALSE)</f>
        <v>24.795000000000002</v>
      </c>
      <c r="D434">
        <f>VLOOKUP(Table2[[#This Row],[Customer ID]],Table2[#All],3,FALSE)</f>
        <v>6.85</v>
      </c>
      <c r="E434" t="str">
        <f>VLOOKUP(Table2[[#This Row],[Customer ID]],Table2[#All],4,FALSE)</f>
        <v>No</v>
      </c>
      <c r="F434" t="str">
        <f>VLOOKUP(Table2[[#This Row],[Customer ID]],Table2[#All],5,FALSE)</f>
        <v>No</v>
      </c>
      <c r="G434" t="str">
        <f>VLOOKUP(Table2[[#This Row],[Customer ID]],Table2[#All],6,FALSE)</f>
        <v>No</v>
      </c>
      <c r="H434">
        <f>VLOOKUP(Table2[[#This Row],[Customer ID]],Table2[#All],7,FALSE)</f>
        <v>0</v>
      </c>
      <c r="I434" t="str">
        <f>VLOOKUP(Table2[[#This Row],[Customer ID]],Table2[#All],8,FALSE)</f>
        <v>Yes</v>
      </c>
      <c r="J434" t="str">
        <f>VLOOKUP(Table2[[#This Row],[Customer ID]],Table2[#All],9,FALSE)</f>
        <v>Normalweight</v>
      </c>
      <c r="K434" t="str">
        <f>VLOOKUP(Table2[[#This Row],[Customer ID]],Table2[#All],10,FALSE)</f>
        <v>Diabetes</v>
      </c>
    </row>
    <row r="435" spans="1:11" ht="15.6" x14ac:dyDescent="0.3">
      <c r="A435" s="1" t="s">
        <v>1938</v>
      </c>
      <c r="B435" t="str">
        <f>VLOOKUP('Customer Names'!A435,'Customer Names'!$A$1:$E$2336,4,FALSE)</f>
        <v>Ms.  Rebecca</v>
      </c>
      <c r="C435">
        <f>VLOOKUP(Table2[[#This Row],[Customer ID]],Table2[#All],2,FALSE)</f>
        <v>24.13</v>
      </c>
      <c r="D435">
        <f>VLOOKUP(Table2[[#This Row],[Customer ID]],Table2[#All],3,FALSE)</f>
        <v>7.05</v>
      </c>
      <c r="E435" t="str">
        <f>VLOOKUP(Table2[[#This Row],[Customer ID]],Table2[#All],4,FALSE)</f>
        <v>Yes</v>
      </c>
      <c r="F435" t="str">
        <f>VLOOKUP(Table2[[#This Row],[Customer ID]],Table2[#All],5,FALSE)</f>
        <v>No</v>
      </c>
      <c r="G435" t="str">
        <f>VLOOKUP(Table2[[#This Row],[Customer ID]],Table2[#All],6,FALSE)</f>
        <v>No</v>
      </c>
      <c r="H435">
        <f>VLOOKUP(Table2[[#This Row],[Customer ID]],Table2[#All],7,FALSE)</f>
        <v>2</v>
      </c>
      <c r="I435" t="str">
        <f>VLOOKUP(Table2[[#This Row],[Customer ID]],Table2[#All],8,FALSE)</f>
        <v>Yes</v>
      </c>
      <c r="J435" t="str">
        <f>VLOOKUP(Table2[[#This Row],[Customer ID]],Table2[#All],9,FALSE)</f>
        <v>Normalweight</v>
      </c>
      <c r="K435" t="str">
        <f>VLOOKUP(Table2[[#This Row],[Customer ID]],Table2[#All],10,FALSE)</f>
        <v>Diabetes</v>
      </c>
    </row>
    <row r="436" spans="1:11" ht="15.6" x14ac:dyDescent="0.3">
      <c r="A436" s="1" t="s">
        <v>1937</v>
      </c>
      <c r="B436" t="str">
        <f>VLOOKUP('Customer Names'!A436,'Customer Names'!$A$1:$E$2336,4,FALSE)</f>
        <v>Mr.  Nicholas D</v>
      </c>
      <c r="C436">
        <f>VLOOKUP(Table2[[#This Row],[Customer ID]],Table2[#All],2,FALSE)</f>
        <v>25.84</v>
      </c>
      <c r="D436">
        <f>VLOOKUP(Table2[[#This Row],[Customer ID]],Table2[#All],3,FALSE)</f>
        <v>11.64</v>
      </c>
      <c r="E436" t="str">
        <f>VLOOKUP(Table2[[#This Row],[Customer ID]],Table2[#All],4,FALSE)</f>
        <v>No</v>
      </c>
      <c r="F436" t="str">
        <f>VLOOKUP(Table2[[#This Row],[Customer ID]],Table2[#All],5,FALSE)</f>
        <v>No</v>
      </c>
      <c r="G436" t="str">
        <f>VLOOKUP(Table2[[#This Row],[Customer ID]],Table2[#All],6,FALSE)</f>
        <v>No</v>
      </c>
      <c r="H436">
        <f>VLOOKUP(Table2[[#This Row],[Customer ID]],Table2[#All],7,FALSE)</f>
        <v>2</v>
      </c>
      <c r="I436" t="str">
        <f>VLOOKUP(Table2[[#This Row],[Customer ID]],Table2[#All],8,FALSE)</f>
        <v>Yes</v>
      </c>
      <c r="J436" t="str">
        <f>VLOOKUP(Table2[[#This Row],[Customer ID]],Table2[#All],9,FALSE)</f>
        <v>Overweight</v>
      </c>
      <c r="K436" t="str">
        <f>VLOOKUP(Table2[[#This Row],[Customer ID]],Table2[#All],10,FALSE)</f>
        <v>Diabetes</v>
      </c>
    </row>
    <row r="437" spans="1:11" ht="15.6" x14ac:dyDescent="0.3">
      <c r="A437" s="1" t="s">
        <v>1936</v>
      </c>
      <c r="B437" t="str">
        <f>VLOOKUP('Customer Names'!A437,'Customer Names'!$A$1:$E$2336,4,FALSE)</f>
        <v>Mr.  Christian</v>
      </c>
      <c r="C437">
        <f>VLOOKUP(Table2[[#This Row],[Customer ID]],Table2[#All],2,FALSE)</f>
        <v>28</v>
      </c>
      <c r="D437">
        <f>VLOOKUP(Table2[[#This Row],[Customer ID]],Table2[#All],3,FALSE)</f>
        <v>10.52</v>
      </c>
      <c r="E437" t="str">
        <f>VLOOKUP(Table2[[#This Row],[Customer ID]],Table2[#All],4,FALSE)</f>
        <v>No</v>
      </c>
      <c r="F437" t="str">
        <f>VLOOKUP(Table2[[#This Row],[Customer ID]],Table2[#All],5,FALSE)</f>
        <v>No</v>
      </c>
      <c r="G437" t="str">
        <f>VLOOKUP(Table2[[#This Row],[Customer ID]],Table2[#All],6,FALSE)</f>
        <v>No</v>
      </c>
      <c r="H437">
        <f>VLOOKUP(Table2[[#This Row],[Customer ID]],Table2[#All],7,FALSE)</f>
        <v>0</v>
      </c>
      <c r="I437" t="str">
        <f>VLOOKUP(Table2[[#This Row],[Customer ID]],Table2[#All],8,FALSE)</f>
        <v>Yes</v>
      </c>
      <c r="J437" t="str">
        <f>VLOOKUP(Table2[[#This Row],[Customer ID]],Table2[#All],9,FALSE)</f>
        <v>Overweight</v>
      </c>
      <c r="K437" t="str">
        <f>VLOOKUP(Table2[[#This Row],[Customer ID]],Table2[#All],10,FALSE)</f>
        <v>Diabetes</v>
      </c>
    </row>
    <row r="438" spans="1:11" ht="15.6" x14ac:dyDescent="0.3">
      <c r="A438" s="1" t="s">
        <v>1935</v>
      </c>
      <c r="B438" t="str">
        <f>VLOOKUP('Customer Names'!A438,'Customer Names'!$A$1:$E$2336,4,FALSE)</f>
        <v>Mr.  Jonathon S.</v>
      </c>
      <c r="C438">
        <f>VLOOKUP(Table2[[#This Row],[Customer ID]],Table2[#All],2,FALSE)</f>
        <v>34.1</v>
      </c>
      <c r="D438">
        <f>VLOOKUP(Table2[[#This Row],[Customer ID]],Table2[#All],3,FALSE)</f>
        <v>4.01</v>
      </c>
      <c r="E438" t="str">
        <f>VLOOKUP(Table2[[#This Row],[Customer ID]],Table2[#All],4,FALSE)</f>
        <v>Yes</v>
      </c>
      <c r="F438" t="str">
        <f>VLOOKUP(Table2[[#This Row],[Customer ID]],Table2[#All],5,FALSE)</f>
        <v>No</v>
      </c>
      <c r="G438" t="str">
        <f>VLOOKUP(Table2[[#This Row],[Customer ID]],Table2[#All],6,FALSE)</f>
        <v>Yes</v>
      </c>
      <c r="H438">
        <f>VLOOKUP(Table2[[#This Row],[Customer ID]],Table2[#All],7,FALSE)</f>
        <v>1</v>
      </c>
      <c r="I438" t="str">
        <f>VLOOKUP(Table2[[#This Row],[Customer ID]],Table2[#All],8,FALSE)</f>
        <v>No</v>
      </c>
      <c r="J438" t="str">
        <f>VLOOKUP(Table2[[#This Row],[Customer ID]],Table2[#All],9,FALSE)</f>
        <v>Obesity</v>
      </c>
      <c r="K438" t="str">
        <f>VLOOKUP(Table2[[#This Row],[Customer ID]],Table2[#All],10,FALSE)</f>
        <v>Normal</v>
      </c>
    </row>
    <row r="439" spans="1:11" ht="15.6" x14ac:dyDescent="0.3">
      <c r="A439" s="1" t="s">
        <v>1934</v>
      </c>
      <c r="B439" t="str">
        <f>VLOOKUP('Customer Names'!A439,'Customer Names'!$A$1:$E$2336,4,FALSE)</f>
        <v>Ms.  Caroline</v>
      </c>
      <c r="C439">
        <f>VLOOKUP(Table2[[#This Row],[Customer ID]],Table2[#All],2,FALSE)</f>
        <v>26.125</v>
      </c>
      <c r="D439">
        <f>VLOOKUP(Table2[[#This Row],[Customer ID]],Table2[#All],3,FALSE)</f>
        <v>8.56</v>
      </c>
      <c r="E439" t="str">
        <f>VLOOKUP(Table2[[#This Row],[Customer ID]],Table2[#All],4,FALSE)</f>
        <v>Yes</v>
      </c>
      <c r="F439" t="str">
        <f>VLOOKUP(Table2[[#This Row],[Customer ID]],Table2[#All],5,FALSE)</f>
        <v>No</v>
      </c>
      <c r="G439" t="str">
        <f>VLOOKUP(Table2[[#This Row],[Customer ID]],Table2[#All],6,FALSE)</f>
        <v>No</v>
      </c>
      <c r="H439">
        <f>VLOOKUP(Table2[[#This Row],[Customer ID]],Table2[#All],7,FALSE)</f>
        <v>1</v>
      </c>
      <c r="I439" t="str">
        <f>VLOOKUP(Table2[[#This Row],[Customer ID]],Table2[#All],8,FALSE)</f>
        <v>Yes</v>
      </c>
      <c r="J439" t="str">
        <f>VLOOKUP(Table2[[#This Row],[Customer ID]],Table2[#All],9,FALSE)</f>
        <v>Overweight</v>
      </c>
      <c r="K439" t="str">
        <f>VLOOKUP(Table2[[#This Row],[Customer ID]],Table2[#All],10,FALSE)</f>
        <v>Diabetes</v>
      </c>
    </row>
    <row r="440" spans="1:11" ht="15.6" x14ac:dyDescent="0.3">
      <c r="A440" s="1" t="s">
        <v>1933</v>
      </c>
      <c r="B440" t="str">
        <f>VLOOKUP('Customer Names'!A440,'Customer Names'!$A$1:$E$2336,4,FALSE)</f>
        <v>Mr.  Joshua D.</v>
      </c>
      <c r="C440">
        <f>VLOOKUP(Table2[[#This Row],[Customer ID]],Table2[#All],2,FALSE)</f>
        <v>25.6</v>
      </c>
      <c r="D440">
        <f>VLOOKUP(Table2[[#This Row],[Customer ID]],Table2[#All],3,FALSE)</f>
        <v>10.5</v>
      </c>
      <c r="E440" t="str">
        <f>VLOOKUP(Table2[[#This Row],[Customer ID]],Table2[#All],4,FALSE)</f>
        <v>No</v>
      </c>
      <c r="F440" t="str">
        <f>VLOOKUP(Table2[[#This Row],[Customer ID]],Table2[#All],5,FALSE)</f>
        <v>No</v>
      </c>
      <c r="G440" t="str">
        <f>VLOOKUP(Table2[[#This Row],[Customer ID]],Table2[#All],6,FALSE)</f>
        <v>No</v>
      </c>
      <c r="H440">
        <f>VLOOKUP(Table2[[#This Row],[Customer ID]],Table2[#All],7,FALSE)</f>
        <v>2</v>
      </c>
      <c r="I440" t="str">
        <f>VLOOKUP(Table2[[#This Row],[Customer ID]],Table2[#All],8,FALSE)</f>
        <v>Yes</v>
      </c>
      <c r="J440" t="str">
        <f>VLOOKUP(Table2[[#This Row],[Customer ID]],Table2[#All],9,FALSE)</f>
        <v>Overweight</v>
      </c>
      <c r="K440" t="str">
        <f>VLOOKUP(Table2[[#This Row],[Customer ID]],Table2[#All],10,FALSE)</f>
        <v>Diabetes</v>
      </c>
    </row>
    <row r="441" spans="1:11" ht="15.6" x14ac:dyDescent="0.3">
      <c r="A441" s="1" t="s">
        <v>1932</v>
      </c>
      <c r="B441" t="str">
        <f>VLOOKUP('Customer Names'!A441,'Customer Names'!$A$1:$E$2336,4,FALSE)</f>
        <v>Ms.  Nichole</v>
      </c>
      <c r="C441">
        <f>VLOOKUP(Table2[[#This Row],[Customer ID]],Table2[#All],2,FALSE)</f>
        <v>24.32</v>
      </c>
      <c r="D441">
        <f>VLOOKUP(Table2[[#This Row],[Customer ID]],Table2[#All],3,FALSE)</f>
        <v>6.39</v>
      </c>
      <c r="E441" t="str">
        <f>VLOOKUP(Table2[[#This Row],[Customer ID]],Table2[#All],4,FALSE)</f>
        <v>No</v>
      </c>
      <c r="F441" t="str">
        <f>VLOOKUP(Table2[[#This Row],[Customer ID]],Table2[#All],5,FALSE)</f>
        <v>No</v>
      </c>
      <c r="G441" t="str">
        <f>VLOOKUP(Table2[[#This Row],[Customer ID]],Table2[#All],6,FALSE)</f>
        <v>No</v>
      </c>
      <c r="H441">
        <f>VLOOKUP(Table2[[#This Row],[Customer ID]],Table2[#All],7,FALSE)</f>
        <v>0</v>
      </c>
      <c r="I441" t="str">
        <f>VLOOKUP(Table2[[#This Row],[Customer ID]],Table2[#All],8,FALSE)</f>
        <v>No</v>
      </c>
      <c r="J441" t="str">
        <f>VLOOKUP(Table2[[#This Row],[Customer ID]],Table2[#All],9,FALSE)</f>
        <v>Normalweight</v>
      </c>
      <c r="K441" t="str">
        <f>VLOOKUP(Table2[[#This Row],[Customer ID]],Table2[#All],10,FALSE)</f>
        <v>Prediabetes</v>
      </c>
    </row>
    <row r="442" spans="1:11" ht="15.6" x14ac:dyDescent="0.3">
      <c r="A442" s="1" t="s">
        <v>1931</v>
      </c>
      <c r="B442" t="str">
        <f>VLOOKUP('Customer Names'!A442,'Customer Names'!$A$1:$E$2336,4,FALSE)</f>
        <v>Ms.  Denise M</v>
      </c>
      <c r="C442">
        <f>VLOOKUP(Table2[[#This Row],[Customer ID]],Table2[#All],2,FALSE)</f>
        <v>22.88</v>
      </c>
      <c r="D442">
        <f>VLOOKUP(Table2[[#This Row],[Customer ID]],Table2[#All],3,FALSE)</f>
        <v>5.71</v>
      </c>
      <c r="E442" t="str">
        <f>VLOOKUP(Table2[[#This Row],[Customer ID]],Table2[#All],4,FALSE)</f>
        <v>Yes</v>
      </c>
      <c r="F442" t="str">
        <f>VLOOKUP(Table2[[#This Row],[Customer ID]],Table2[#All],5,FALSE)</f>
        <v>No</v>
      </c>
      <c r="G442" t="str">
        <f>VLOOKUP(Table2[[#This Row],[Customer ID]],Table2[#All],6,FALSE)</f>
        <v>Yes</v>
      </c>
      <c r="H442">
        <f>VLOOKUP(Table2[[#This Row],[Customer ID]],Table2[#All],7,FALSE)</f>
        <v>1</v>
      </c>
      <c r="I442" t="str">
        <f>VLOOKUP(Table2[[#This Row],[Customer ID]],Table2[#All],8,FALSE)</f>
        <v>Yes</v>
      </c>
      <c r="J442" t="str">
        <f>VLOOKUP(Table2[[#This Row],[Customer ID]],Table2[#All],9,FALSE)</f>
        <v>Normalweight</v>
      </c>
      <c r="K442" t="str">
        <f>VLOOKUP(Table2[[#This Row],[Customer ID]],Table2[#All],10,FALSE)</f>
        <v>Prediabetes</v>
      </c>
    </row>
    <row r="443" spans="1:11" ht="15.6" x14ac:dyDescent="0.3">
      <c r="A443" s="1" t="s">
        <v>1930</v>
      </c>
      <c r="B443" t="str">
        <f>VLOOKUP('Customer Names'!A443,'Customer Names'!$A$1:$E$2336,4,FALSE)</f>
        <v>Mr.  Peter R.</v>
      </c>
      <c r="C443">
        <f>VLOOKUP(Table2[[#This Row],[Customer ID]],Table2[#All],2,FALSE)</f>
        <v>24.984999999999999</v>
      </c>
      <c r="D443">
        <f>VLOOKUP(Table2[[#This Row],[Customer ID]],Table2[#All],3,FALSE)</f>
        <v>4.43</v>
      </c>
      <c r="E443" t="str">
        <f>VLOOKUP(Table2[[#This Row],[Customer ID]],Table2[#All],4,FALSE)</f>
        <v>Yes</v>
      </c>
      <c r="F443" t="str">
        <f>VLOOKUP(Table2[[#This Row],[Customer ID]],Table2[#All],5,FALSE)</f>
        <v>No</v>
      </c>
      <c r="G443" t="str">
        <f>VLOOKUP(Table2[[#This Row],[Customer ID]],Table2[#All],6,FALSE)</f>
        <v>Yes</v>
      </c>
      <c r="H443">
        <f>VLOOKUP(Table2[[#This Row],[Customer ID]],Table2[#All],7,FALSE)</f>
        <v>1</v>
      </c>
      <c r="I443" t="str">
        <f>VLOOKUP(Table2[[#This Row],[Customer ID]],Table2[#All],8,FALSE)</f>
        <v>No</v>
      </c>
      <c r="J443" t="str">
        <f>VLOOKUP(Table2[[#This Row],[Customer ID]],Table2[#All],9,FALSE)</f>
        <v>Normalweight</v>
      </c>
      <c r="K443" t="str">
        <f>VLOOKUP(Table2[[#This Row],[Customer ID]],Table2[#All],10,FALSE)</f>
        <v>Normal</v>
      </c>
    </row>
    <row r="444" spans="1:11" ht="15.6" x14ac:dyDescent="0.3">
      <c r="A444" s="1" t="s">
        <v>1929</v>
      </c>
      <c r="B444" t="str">
        <f>VLOOKUP('Customer Names'!A444,'Customer Names'!$A$1:$E$2336,4,FALSE)</f>
        <v>Mr.  Johnson K</v>
      </c>
      <c r="C444">
        <f>VLOOKUP(Table2[[#This Row],[Customer ID]],Table2[#All],2,FALSE)</f>
        <v>33.1</v>
      </c>
      <c r="D444">
        <f>VLOOKUP(Table2[[#This Row],[Customer ID]],Table2[#All],3,FALSE)</f>
        <v>5.52</v>
      </c>
      <c r="E444" t="str">
        <f>VLOOKUP(Table2[[#This Row],[Customer ID]],Table2[#All],4,FALSE)</f>
        <v>No</v>
      </c>
      <c r="F444" t="str">
        <f>VLOOKUP(Table2[[#This Row],[Customer ID]],Table2[#All],5,FALSE)</f>
        <v>No</v>
      </c>
      <c r="G444" t="str">
        <f>VLOOKUP(Table2[[#This Row],[Customer ID]],Table2[#All],6,FALSE)</f>
        <v>Yes</v>
      </c>
      <c r="H444">
        <f>VLOOKUP(Table2[[#This Row],[Customer ID]],Table2[#All],7,FALSE)</f>
        <v>1</v>
      </c>
      <c r="I444" t="str">
        <f>VLOOKUP(Table2[[#This Row],[Customer ID]],Table2[#All],8,FALSE)</f>
        <v>No</v>
      </c>
      <c r="J444" t="str">
        <f>VLOOKUP(Table2[[#This Row],[Customer ID]],Table2[#All],9,FALSE)</f>
        <v>Obesity</v>
      </c>
      <c r="K444" t="str">
        <f>VLOOKUP(Table2[[#This Row],[Customer ID]],Table2[#All],10,FALSE)</f>
        <v>Normal</v>
      </c>
    </row>
    <row r="445" spans="1:11" ht="15.6" x14ac:dyDescent="0.3">
      <c r="A445" s="1" t="s">
        <v>1928</v>
      </c>
      <c r="B445" t="str">
        <f>VLOOKUP('Customer Names'!A445,'Customer Names'!$A$1:$E$2336,4,FALSE)</f>
        <v>Ms.  Katherine</v>
      </c>
      <c r="C445">
        <f>VLOOKUP(Table2[[#This Row],[Customer ID]],Table2[#All],2,FALSE)</f>
        <v>27.83</v>
      </c>
      <c r="D445">
        <f>VLOOKUP(Table2[[#This Row],[Customer ID]],Table2[#All],3,FALSE)</f>
        <v>9.1999999999999993</v>
      </c>
      <c r="E445" t="str">
        <f>VLOOKUP(Table2[[#This Row],[Customer ID]],Table2[#All],4,FALSE)</f>
        <v>Yes</v>
      </c>
      <c r="F445" t="str">
        <f>VLOOKUP(Table2[[#This Row],[Customer ID]],Table2[#All],5,FALSE)</f>
        <v>No</v>
      </c>
      <c r="G445" t="str">
        <f>VLOOKUP(Table2[[#This Row],[Customer ID]],Table2[#All],6,FALSE)</f>
        <v>No</v>
      </c>
      <c r="H445">
        <f>VLOOKUP(Table2[[#This Row],[Customer ID]],Table2[#All],7,FALSE)</f>
        <v>1</v>
      </c>
      <c r="I445" t="str">
        <f>VLOOKUP(Table2[[#This Row],[Customer ID]],Table2[#All],8,FALSE)</f>
        <v>Yes</v>
      </c>
      <c r="J445" t="str">
        <f>VLOOKUP(Table2[[#This Row],[Customer ID]],Table2[#All],9,FALSE)</f>
        <v>Overweight</v>
      </c>
      <c r="K445" t="str">
        <f>VLOOKUP(Table2[[#This Row],[Customer ID]],Table2[#All],10,FALSE)</f>
        <v>Diabetes</v>
      </c>
    </row>
    <row r="446" spans="1:11" ht="15.6" x14ac:dyDescent="0.3">
      <c r="A446" s="1" t="s">
        <v>1927</v>
      </c>
      <c r="B446" t="str">
        <f>VLOOKUP('Customer Names'!A446,'Customer Names'!$A$1:$E$2336,4,FALSE)</f>
        <v>Ms.  Lynda</v>
      </c>
      <c r="C446">
        <f>VLOOKUP(Table2[[#This Row],[Customer ID]],Table2[#All],2,FALSE)</f>
        <v>30.875</v>
      </c>
      <c r="D446">
        <f>VLOOKUP(Table2[[#This Row],[Customer ID]],Table2[#All],3,FALSE)</f>
        <v>10.97</v>
      </c>
      <c r="E446" t="str">
        <f>VLOOKUP(Table2[[#This Row],[Customer ID]],Table2[#All],4,FALSE)</f>
        <v>Yes</v>
      </c>
      <c r="F446" t="str">
        <f>VLOOKUP(Table2[[#This Row],[Customer ID]],Table2[#All],5,FALSE)</f>
        <v>No</v>
      </c>
      <c r="G446" t="str">
        <f>VLOOKUP(Table2[[#This Row],[Customer ID]],Table2[#All],6,FALSE)</f>
        <v>No</v>
      </c>
      <c r="H446">
        <f>VLOOKUP(Table2[[#This Row],[Customer ID]],Table2[#All],7,FALSE)</f>
        <v>2</v>
      </c>
      <c r="I446" t="str">
        <f>VLOOKUP(Table2[[#This Row],[Customer ID]],Table2[#All],8,FALSE)</f>
        <v>No</v>
      </c>
      <c r="J446" t="str">
        <f>VLOOKUP(Table2[[#This Row],[Customer ID]],Table2[#All],9,FALSE)</f>
        <v>Obesity</v>
      </c>
      <c r="K446" t="str">
        <f>VLOOKUP(Table2[[#This Row],[Customer ID]],Table2[#All],10,FALSE)</f>
        <v>Diabetes</v>
      </c>
    </row>
    <row r="447" spans="1:11" ht="15.6" x14ac:dyDescent="0.3">
      <c r="A447" s="1" t="s">
        <v>1926</v>
      </c>
      <c r="B447" t="str">
        <f>VLOOKUP('Customer Names'!A447,'Customer Names'!$A$1:$E$2336,4,FALSE)</f>
        <v>Mr.  Anthony</v>
      </c>
      <c r="C447">
        <f>VLOOKUP(Table2[[#This Row],[Customer ID]],Table2[#All],2,FALSE)</f>
        <v>27.265000000000001</v>
      </c>
      <c r="D447">
        <f>VLOOKUP(Table2[[#This Row],[Customer ID]],Table2[#All],3,FALSE)</f>
        <v>4.25</v>
      </c>
      <c r="E447" t="str">
        <f>VLOOKUP(Table2[[#This Row],[Customer ID]],Table2[#All],4,FALSE)</f>
        <v>No</v>
      </c>
      <c r="F447" t="str">
        <f>VLOOKUP(Table2[[#This Row],[Customer ID]],Table2[#All],5,FALSE)</f>
        <v>No</v>
      </c>
      <c r="G447" t="str">
        <f>VLOOKUP(Table2[[#This Row],[Customer ID]],Table2[#All],6,FALSE)</f>
        <v>Yes</v>
      </c>
      <c r="H447">
        <f>VLOOKUP(Table2[[#This Row],[Customer ID]],Table2[#All],7,FALSE)</f>
        <v>1</v>
      </c>
      <c r="I447" t="str">
        <f>VLOOKUP(Table2[[#This Row],[Customer ID]],Table2[#All],8,FALSE)</f>
        <v>No</v>
      </c>
      <c r="J447" t="str">
        <f>VLOOKUP(Table2[[#This Row],[Customer ID]],Table2[#All],9,FALSE)</f>
        <v>Overweight</v>
      </c>
      <c r="K447" t="str">
        <f>VLOOKUP(Table2[[#This Row],[Customer ID]],Table2[#All],10,FALSE)</f>
        <v>Normal</v>
      </c>
    </row>
    <row r="448" spans="1:11" ht="15.6" x14ac:dyDescent="0.3">
      <c r="A448" s="1" t="s">
        <v>1925</v>
      </c>
      <c r="B448" t="str">
        <f>VLOOKUP('Customer Names'!A448,'Customer Names'!$A$1:$E$2336,4,FALSE)</f>
        <v>Ms.  Linnea C.</v>
      </c>
      <c r="C448">
        <f>VLOOKUP(Table2[[#This Row],[Customer ID]],Table2[#All],2,FALSE)</f>
        <v>26.7</v>
      </c>
      <c r="D448">
        <f>VLOOKUP(Table2[[#This Row],[Customer ID]],Table2[#All],3,FALSE)</f>
        <v>5.23</v>
      </c>
      <c r="E448" t="str">
        <f>VLOOKUP(Table2[[#This Row],[Customer ID]],Table2[#All],4,FALSE)</f>
        <v>No</v>
      </c>
      <c r="F448" t="str">
        <f>VLOOKUP(Table2[[#This Row],[Customer ID]],Table2[#All],5,FALSE)</f>
        <v>No</v>
      </c>
      <c r="G448" t="str">
        <f>VLOOKUP(Table2[[#This Row],[Customer ID]],Table2[#All],6,FALSE)</f>
        <v>Yes</v>
      </c>
      <c r="H448">
        <f>VLOOKUP(Table2[[#This Row],[Customer ID]],Table2[#All],7,FALSE)</f>
        <v>1</v>
      </c>
      <c r="I448" t="str">
        <f>VLOOKUP(Table2[[#This Row],[Customer ID]],Table2[#All],8,FALSE)</f>
        <v>Yes</v>
      </c>
      <c r="J448" t="str">
        <f>VLOOKUP(Table2[[#This Row],[Customer ID]],Table2[#All],9,FALSE)</f>
        <v>Overweight</v>
      </c>
      <c r="K448" t="str">
        <f>VLOOKUP(Table2[[#This Row],[Customer ID]],Table2[#All],10,FALSE)</f>
        <v>Normal</v>
      </c>
    </row>
    <row r="449" spans="1:11" ht="15.6" x14ac:dyDescent="0.3">
      <c r="A449" s="1" t="s">
        <v>1924</v>
      </c>
      <c r="B449" t="str">
        <f>VLOOKUP('Customer Names'!A449,'Customer Names'!$A$1:$E$2336,4,FALSE)</f>
        <v>Mr.  Massimiliano A.</v>
      </c>
      <c r="C449">
        <f>VLOOKUP(Table2[[#This Row],[Customer ID]],Table2[#All],2,FALSE)</f>
        <v>29.925000000000001</v>
      </c>
      <c r="D449">
        <f>VLOOKUP(Table2[[#This Row],[Customer ID]],Table2[#All],3,FALSE)</f>
        <v>5.96</v>
      </c>
      <c r="E449" t="str">
        <f>VLOOKUP(Table2[[#This Row],[Customer ID]],Table2[#All],4,FALSE)</f>
        <v>Yes</v>
      </c>
      <c r="F449" t="str">
        <f>VLOOKUP(Table2[[#This Row],[Customer ID]],Table2[#All],5,FALSE)</f>
        <v>No</v>
      </c>
      <c r="G449" t="str">
        <f>VLOOKUP(Table2[[#This Row],[Customer ID]],Table2[#All],6,FALSE)</f>
        <v>Yes</v>
      </c>
      <c r="H449">
        <f>VLOOKUP(Table2[[#This Row],[Customer ID]],Table2[#All],7,FALSE)</f>
        <v>1</v>
      </c>
      <c r="I449" t="str">
        <f>VLOOKUP(Table2[[#This Row],[Customer ID]],Table2[#All],8,FALSE)</f>
        <v>Yes</v>
      </c>
      <c r="J449" t="str">
        <f>VLOOKUP(Table2[[#This Row],[Customer ID]],Table2[#All],9,FALSE)</f>
        <v>Overweight</v>
      </c>
      <c r="K449" t="str">
        <f>VLOOKUP(Table2[[#This Row],[Customer ID]],Table2[#All],10,FALSE)</f>
        <v>Prediabetes</v>
      </c>
    </row>
    <row r="450" spans="1:11" ht="15.6" x14ac:dyDescent="0.3">
      <c r="A450" s="1" t="s">
        <v>1923</v>
      </c>
      <c r="B450" t="str">
        <f>VLOOKUP('Customer Names'!A450,'Customer Names'!$A$1:$E$2336,4,FALSE)</f>
        <v>Mr.  James M.</v>
      </c>
      <c r="C450">
        <f>VLOOKUP(Table2[[#This Row],[Customer ID]],Table2[#All],2,FALSE)</f>
        <v>19.95</v>
      </c>
      <c r="D450">
        <f>VLOOKUP(Table2[[#This Row],[Customer ID]],Table2[#All],3,FALSE)</f>
        <v>4.29</v>
      </c>
      <c r="E450" t="str">
        <f>VLOOKUP(Table2[[#This Row],[Customer ID]],Table2[#All],4,FALSE)</f>
        <v>Yes</v>
      </c>
      <c r="F450" t="str">
        <f>VLOOKUP(Table2[[#This Row],[Customer ID]],Table2[#All],5,FALSE)</f>
        <v>No</v>
      </c>
      <c r="G450" t="str">
        <f>VLOOKUP(Table2[[#This Row],[Customer ID]],Table2[#All],6,FALSE)</f>
        <v>No</v>
      </c>
      <c r="H450">
        <f>VLOOKUP(Table2[[#This Row],[Customer ID]],Table2[#All],7,FALSE)</f>
        <v>2</v>
      </c>
      <c r="I450" t="str">
        <f>VLOOKUP(Table2[[#This Row],[Customer ID]],Table2[#All],8,FALSE)</f>
        <v>Yes</v>
      </c>
      <c r="J450" t="str">
        <f>VLOOKUP(Table2[[#This Row],[Customer ID]],Table2[#All],9,FALSE)</f>
        <v>Normalweight</v>
      </c>
      <c r="K450" t="str">
        <f>VLOOKUP(Table2[[#This Row],[Customer ID]],Table2[#All],10,FALSE)</f>
        <v>Normal</v>
      </c>
    </row>
    <row r="451" spans="1:11" ht="15.6" x14ac:dyDescent="0.3">
      <c r="A451" s="1" t="s">
        <v>1922</v>
      </c>
      <c r="B451" t="str">
        <f>VLOOKUP('Customer Names'!A451,'Customer Names'!$A$1:$E$2336,4,FALSE)</f>
        <v>Ms.  Lauren</v>
      </c>
      <c r="C451">
        <f>VLOOKUP(Table2[[#This Row],[Customer ID]],Table2[#All],2,FALSE)</f>
        <v>24.225000000000001</v>
      </c>
      <c r="D451">
        <f>VLOOKUP(Table2[[#This Row],[Customer ID]],Table2[#All],3,FALSE)</f>
        <v>4.09</v>
      </c>
      <c r="E451" t="str">
        <f>VLOOKUP(Table2[[#This Row],[Customer ID]],Table2[#All],4,FALSE)</f>
        <v>No</v>
      </c>
      <c r="F451" t="str">
        <f>VLOOKUP(Table2[[#This Row],[Customer ID]],Table2[#All],5,FALSE)</f>
        <v>No</v>
      </c>
      <c r="G451" t="str">
        <f>VLOOKUP(Table2[[#This Row],[Customer ID]],Table2[#All],6,FALSE)</f>
        <v>No</v>
      </c>
      <c r="H451">
        <f>VLOOKUP(Table2[[#This Row],[Customer ID]],Table2[#All],7,FALSE)</f>
        <v>0</v>
      </c>
      <c r="I451" t="str">
        <f>VLOOKUP(Table2[[#This Row],[Customer ID]],Table2[#All],8,FALSE)</f>
        <v>No</v>
      </c>
      <c r="J451" t="str">
        <f>VLOOKUP(Table2[[#This Row],[Customer ID]],Table2[#All],9,FALSE)</f>
        <v>Normalweight</v>
      </c>
      <c r="K451" t="str">
        <f>VLOOKUP(Table2[[#This Row],[Customer ID]],Table2[#All],10,FALSE)</f>
        <v>Normal</v>
      </c>
    </row>
    <row r="452" spans="1:11" ht="15.6" x14ac:dyDescent="0.3">
      <c r="A452" s="1" t="s">
        <v>1921</v>
      </c>
      <c r="B452" t="str">
        <f>VLOOKUP('Customer Names'!A452,'Customer Names'!$A$1:$E$2336,4,FALSE)</f>
        <v>Ms.  Michele V.</v>
      </c>
      <c r="C452">
        <f>VLOOKUP(Table2[[#This Row],[Customer ID]],Table2[#All],2,FALSE)</f>
        <v>28.12</v>
      </c>
      <c r="D452">
        <f>VLOOKUP(Table2[[#This Row],[Customer ID]],Table2[#All],3,FALSE)</f>
        <v>4.88</v>
      </c>
      <c r="E452" t="str">
        <f>VLOOKUP(Table2[[#This Row],[Customer ID]],Table2[#All],4,FALSE)</f>
        <v>No</v>
      </c>
      <c r="F452" t="str">
        <f>VLOOKUP(Table2[[#This Row],[Customer ID]],Table2[#All],5,FALSE)</f>
        <v>No</v>
      </c>
      <c r="G452" t="str">
        <f>VLOOKUP(Table2[[#This Row],[Customer ID]],Table2[#All],6,FALSE)</f>
        <v>No</v>
      </c>
      <c r="H452">
        <f>VLOOKUP(Table2[[#This Row],[Customer ID]],Table2[#All],7,FALSE)</f>
        <v>0</v>
      </c>
      <c r="I452" t="str">
        <f>VLOOKUP(Table2[[#This Row],[Customer ID]],Table2[#All],8,FALSE)</f>
        <v>Yes</v>
      </c>
      <c r="J452" t="str">
        <f>VLOOKUP(Table2[[#This Row],[Customer ID]],Table2[#All],9,FALSE)</f>
        <v>Overweight</v>
      </c>
      <c r="K452" t="str">
        <f>VLOOKUP(Table2[[#This Row],[Customer ID]],Table2[#All],10,FALSE)</f>
        <v>Normal</v>
      </c>
    </row>
    <row r="453" spans="1:11" ht="15.6" x14ac:dyDescent="0.3">
      <c r="A453" s="1" t="s">
        <v>1920</v>
      </c>
      <c r="B453" t="str">
        <f>VLOOKUP('Customer Names'!A453,'Customer Names'!$A$1:$E$2336,4,FALSE)</f>
        <v>Mr.  Xiao</v>
      </c>
      <c r="C453">
        <f>VLOOKUP(Table2[[#This Row],[Customer ID]],Table2[#All],2,FALSE)</f>
        <v>23.21</v>
      </c>
      <c r="D453">
        <f>VLOOKUP(Table2[[#This Row],[Customer ID]],Table2[#All],3,FALSE)</f>
        <v>6.76</v>
      </c>
      <c r="E453" t="str">
        <f>VLOOKUP(Table2[[#This Row],[Customer ID]],Table2[#All],4,FALSE)</f>
        <v>No</v>
      </c>
      <c r="F453" t="str">
        <f>VLOOKUP(Table2[[#This Row],[Customer ID]],Table2[#All],5,FALSE)</f>
        <v>No</v>
      </c>
      <c r="G453" t="str">
        <f>VLOOKUP(Table2[[#This Row],[Customer ID]],Table2[#All],6,FALSE)</f>
        <v>No</v>
      </c>
      <c r="H453">
        <f>VLOOKUP(Table2[[#This Row],[Customer ID]],Table2[#All],7,FALSE)</f>
        <v>0</v>
      </c>
      <c r="I453" t="str">
        <f>VLOOKUP(Table2[[#This Row],[Customer ID]],Table2[#All],8,FALSE)</f>
        <v>Yes</v>
      </c>
      <c r="J453" t="str">
        <f>VLOOKUP(Table2[[#This Row],[Customer ID]],Table2[#All],9,FALSE)</f>
        <v>Normalweight</v>
      </c>
      <c r="K453" t="str">
        <f>VLOOKUP(Table2[[#This Row],[Customer ID]],Table2[#All],10,FALSE)</f>
        <v>Diabetes</v>
      </c>
    </row>
    <row r="454" spans="1:11" ht="15.6" x14ac:dyDescent="0.3">
      <c r="A454" s="1" t="s">
        <v>1919</v>
      </c>
      <c r="B454" t="str">
        <f>VLOOKUP('Customer Names'!A454,'Customer Names'!$A$1:$E$2336,4,FALSE)</f>
        <v>Ms.  Harper L</v>
      </c>
      <c r="C454">
        <f>VLOOKUP(Table2[[#This Row],[Customer ID]],Table2[#All],2,FALSE)</f>
        <v>23.98</v>
      </c>
      <c r="D454">
        <f>VLOOKUP(Table2[[#This Row],[Customer ID]],Table2[#All],3,FALSE)</f>
        <v>10.67</v>
      </c>
      <c r="E454" t="str">
        <f>VLOOKUP(Table2[[#This Row],[Customer ID]],Table2[#All],4,FALSE)</f>
        <v>No</v>
      </c>
      <c r="F454" t="str">
        <f>VLOOKUP(Table2[[#This Row],[Customer ID]],Table2[#All],5,FALSE)</f>
        <v>No</v>
      </c>
      <c r="G454" t="str">
        <f>VLOOKUP(Table2[[#This Row],[Customer ID]],Table2[#All],6,FALSE)</f>
        <v>No</v>
      </c>
      <c r="H454">
        <f>VLOOKUP(Table2[[#This Row],[Customer ID]],Table2[#All],7,FALSE)</f>
        <v>0</v>
      </c>
      <c r="I454" t="str">
        <f>VLOOKUP(Table2[[#This Row],[Customer ID]],Table2[#All],8,FALSE)</f>
        <v>No</v>
      </c>
      <c r="J454" t="str">
        <f>VLOOKUP(Table2[[#This Row],[Customer ID]],Table2[#All],9,FALSE)</f>
        <v>Normalweight</v>
      </c>
      <c r="K454" t="str">
        <f>VLOOKUP(Table2[[#This Row],[Customer ID]],Table2[#All],10,FALSE)</f>
        <v>Diabetes</v>
      </c>
    </row>
    <row r="455" spans="1:11" ht="15.6" x14ac:dyDescent="0.3">
      <c r="A455" s="1" t="s">
        <v>1918</v>
      </c>
      <c r="B455" t="str">
        <f>VLOOKUP('Customer Names'!A455,'Customer Names'!$A$1:$E$2336,4,FALSE)</f>
        <v>Mr.  Nick</v>
      </c>
      <c r="C455">
        <f>VLOOKUP(Table2[[#This Row],[Customer ID]],Table2[#All],2,FALSE)</f>
        <v>30</v>
      </c>
      <c r="D455">
        <f>VLOOKUP(Table2[[#This Row],[Customer ID]],Table2[#All],3,FALSE)</f>
        <v>6.21</v>
      </c>
      <c r="E455" t="str">
        <f>VLOOKUP(Table2[[#This Row],[Customer ID]],Table2[#All],4,FALSE)</f>
        <v>No</v>
      </c>
      <c r="F455" t="str">
        <f>VLOOKUP(Table2[[#This Row],[Customer ID]],Table2[#All],5,FALSE)</f>
        <v>No</v>
      </c>
      <c r="G455" t="str">
        <f>VLOOKUP(Table2[[#This Row],[Customer ID]],Table2[#All],6,FALSE)</f>
        <v>No</v>
      </c>
      <c r="H455">
        <f>VLOOKUP(Table2[[#This Row],[Customer ID]],Table2[#All],7,FALSE)</f>
        <v>0</v>
      </c>
      <c r="I455" t="str">
        <f>VLOOKUP(Table2[[#This Row],[Customer ID]],Table2[#All],8,FALSE)</f>
        <v>Yes</v>
      </c>
      <c r="J455" t="str">
        <f>VLOOKUP(Table2[[#This Row],[Customer ID]],Table2[#All],9,FALSE)</f>
        <v>Obesity</v>
      </c>
      <c r="K455" t="str">
        <f>VLOOKUP(Table2[[#This Row],[Customer ID]],Table2[#All],10,FALSE)</f>
        <v>Prediabetes</v>
      </c>
    </row>
    <row r="456" spans="1:11" ht="15.6" x14ac:dyDescent="0.3">
      <c r="A456" s="1" t="s">
        <v>1917</v>
      </c>
      <c r="B456" t="str">
        <f>VLOOKUP('Customer Names'!A456,'Customer Names'!$A$1:$E$2336,4,FALSE)</f>
        <v>Mr.  Scott</v>
      </c>
      <c r="C456">
        <f>VLOOKUP(Table2[[#This Row],[Customer ID]],Table2[#All],2,FALSE)</f>
        <v>17.350000000000001</v>
      </c>
      <c r="D456">
        <f>VLOOKUP(Table2[[#This Row],[Customer ID]],Table2[#All],3,FALSE)</f>
        <v>5.03</v>
      </c>
      <c r="E456" t="str">
        <f>VLOOKUP(Table2[[#This Row],[Customer ID]],Table2[#All],4,FALSE)</f>
        <v>Yes</v>
      </c>
      <c r="F456" t="str">
        <f>VLOOKUP(Table2[[#This Row],[Customer ID]],Table2[#All],5,FALSE)</f>
        <v>No</v>
      </c>
      <c r="G456" t="str">
        <f>VLOOKUP(Table2[[#This Row],[Customer ID]],Table2[#All],6,FALSE)</f>
        <v>No</v>
      </c>
      <c r="H456">
        <f>VLOOKUP(Table2[[#This Row],[Customer ID]],Table2[#All],7,FALSE)</f>
        <v>0</v>
      </c>
      <c r="I456" t="str">
        <f>VLOOKUP(Table2[[#This Row],[Customer ID]],Table2[#All],8,FALSE)</f>
        <v>Yes</v>
      </c>
      <c r="J456" t="str">
        <f>VLOOKUP(Table2[[#This Row],[Customer ID]],Table2[#All],9,FALSE)</f>
        <v>Underweight</v>
      </c>
      <c r="K456" t="str">
        <f>VLOOKUP(Table2[[#This Row],[Customer ID]],Table2[#All],10,FALSE)</f>
        <v>Normal</v>
      </c>
    </row>
    <row r="457" spans="1:11" ht="15.6" x14ac:dyDescent="0.3">
      <c r="A457" s="1" t="s">
        <v>1916</v>
      </c>
      <c r="B457" t="str">
        <f>VLOOKUP('Customer Names'!A457,'Customer Names'!$A$1:$E$2336,4,FALSE)</f>
        <v>Mr.  Wilson</v>
      </c>
      <c r="C457">
        <f>VLOOKUP(Table2[[#This Row],[Customer ID]],Table2[#All],2,FALSE)</f>
        <v>22.704999999999998</v>
      </c>
      <c r="D457">
        <f>VLOOKUP(Table2[[#This Row],[Customer ID]],Table2[#All],3,FALSE)</f>
        <v>5.27</v>
      </c>
      <c r="E457" t="str">
        <f>VLOOKUP(Table2[[#This Row],[Customer ID]],Table2[#All],4,FALSE)</f>
        <v>No</v>
      </c>
      <c r="F457" t="str">
        <f>VLOOKUP(Table2[[#This Row],[Customer ID]],Table2[#All],5,FALSE)</f>
        <v>No</v>
      </c>
      <c r="G457" t="str">
        <f>VLOOKUP(Table2[[#This Row],[Customer ID]],Table2[#All],6,FALSE)</f>
        <v>No</v>
      </c>
      <c r="H457">
        <f>VLOOKUP(Table2[[#This Row],[Customer ID]],Table2[#All],7,FALSE)</f>
        <v>0</v>
      </c>
      <c r="I457" t="str">
        <f>VLOOKUP(Table2[[#This Row],[Customer ID]],Table2[#All],8,FALSE)</f>
        <v>No</v>
      </c>
      <c r="J457" t="str">
        <f>VLOOKUP(Table2[[#This Row],[Customer ID]],Table2[#All],9,FALSE)</f>
        <v>Normalweight</v>
      </c>
      <c r="K457" t="str">
        <f>VLOOKUP(Table2[[#This Row],[Customer ID]],Table2[#All],10,FALSE)</f>
        <v>Normal</v>
      </c>
    </row>
    <row r="458" spans="1:11" ht="15.6" x14ac:dyDescent="0.3">
      <c r="A458" s="1" t="s">
        <v>1915</v>
      </c>
      <c r="B458" t="str">
        <f>VLOOKUP('Customer Names'!A458,'Customer Names'!$A$1:$E$2336,4,FALSE)</f>
        <v>Mr.  Lee</v>
      </c>
      <c r="C458">
        <f>VLOOKUP(Table2[[#This Row],[Customer ID]],Table2[#All],2,FALSE)</f>
        <v>25.41</v>
      </c>
      <c r="D458">
        <f>VLOOKUP(Table2[[#This Row],[Customer ID]],Table2[#All],3,FALSE)</f>
        <v>10.53</v>
      </c>
      <c r="E458" t="str">
        <f>VLOOKUP(Table2[[#This Row],[Customer ID]],Table2[#All],4,FALSE)</f>
        <v>Yes</v>
      </c>
      <c r="F458" t="str">
        <f>VLOOKUP(Table2[[#This Row],[Customer ID]],Table2[#All],5,FALSE)</f>
        <v>No</v>
      </c>
      <c r="G458" t="str">
        <f>VLOOKUP(Table2[[#This Row],[Customer ID]],Table2[#All],6,FALSE)</f>
        <v>No</v>
      </c>
      <c r="H458">
        <f>VLOOKUP(Table2[[#This Row],[Customer ID]],Table2[#All],7,FALSE)</f>
        <v>1</v>
      </c>
      <c r="I458" t="str">
        <f>VLOOKUP(Table2[[#This Row],[Customer ID]],Table2[#All],8,FALSE)</f>
        <v>Yes</v>
      </c>
      <c r="J458" t="str">
        <f>VLOOKUP(Table2[[#This Row],[Customer ID]],Table2[#All],9,FALSE)</f>
        <v>Overweight</v>
      </c>
      <c r="K458" t="str">
        <f>VLOOKUP(Table2[[#This Row],[Customer ID]],Table2[#All],10,FALSE)</f>
        <v>Diabetes</v>
      </c>
    </row>
    <row r="459" spans="1:11" ht="15.6" x14ac:dyDescent="0.3">
      <c r="A459" s="1" t="s">
        <v>1914</v>
      </c>
      <c r="B459" t="str">
        <f>VLOOKUP('Customer Names'!A459,'Customer Names'!$A$1:$E$2336,4,FALSE)</f>
        <v>Mr.  Shizhong</v>
      </c>
      <c r="C459">
        <f>VLOOKUP(Table2[[#This Row],[Customer ID]],Table2[#All],2,FALSE)</f>
        <v>18.23</v>
      </c>
      <c r="D459">
        <f>VLOOKUP(Table2[[#This Row],[Customer ID]],Table2[#All],3,FALSE)</f>
        <v>5.78</v>
      </c>
      <c r="E459" t="str">
        <f>VLOOKUP(Table2[[#This Row],[Customer ID]],Table2[#All],4,FALSE)</f>
        <v>No</v>
      </c>
      <c r="F459" t="str">
        <f>VLOOKUP(Table2[[#This Row],[Customer ID]],Table2[#All],5,FALSE)</f>
        <v>No</v>
      </c>
      <c r="G459" t="str">
        <f>VLOOKUP(Table2[[#This Row],[Customer ID]],Table2[#All],6,FALSE)</f>
        <v>Yes</v>
      </c>
      <c r="H459">
        <f>VLOOKUP(Table2[[#This Row],[Customer ID]],Table2[#All],7,FALSE)</f>
        <v>1</v>
      </c>
      <c r="I459" t="str">
        <f>VLOOKUP(Table2[[#This Row],[Customer ID]],Table2[#All],8,FALSE)</f>
        <v>Yes</v>
      </c>
      <c r="J459" t="str">
        <f>VLOOKUP(Table2[[#This Row],[Customer ID]],Table2[#All],9,FALSE)</f>
        <v>Underweight</v>
      </c>
      <c r="K459" t="str">
        <f>VLOOKUP(Table2[[#This Row],[Customer ID]],Table2[#All],10,FALSE)</f>
        <v>Prediabetes</v>
      </c>
    </row>
    <row r="460" spans="1:11" ht="15.6" x14ac:dyDescent="0.3">
      <c r="A460" s="1" t="s">
        <v>1913</v>
      </c>
      <c r="B460" t="str">
        <f>VLOOKUP('Customer Names'!A460,'Customer Names'!$A$1:$E$2336,4,FALSE)</f>
        <v>Ms.  Marie-Claire</v>
      </c>
      <c r="C460">
        <f>VLOOKUP(Table2[[#This Row],[Customer ID]],Table2[#All],2,FALSE)</f>
        <v>24.7</v>
      </c>
      <c r="D460">
        <f>VLOOKUP(Table2[[#This Row],[Customer ID]],Table2[#All],3,FALSE)</f>
        <v>4.3600000000000003</v>
      </c>
      <c r="E460" t="str">
        <f>VLOOKUP(Table2[[#This Row],[Customer ID]],Table2[#All],4,FALSE)</f>
        <v>No</v>
      </c>
      <c r="F460" t="str">
        <f>VLOOKUP(Table2[[#This Row],[Customer ID]],Table2[#All],5,FALSE)</f>
        <v>No</v>
      </c>
      <c r="G460" t="str">
        <f>VLOOKUP(Table2[[#This Row],[Customer ID]],Table2[#All],6,FALSE)</f>
        <v>Yes</v>
      </c>
      <c r="H460">
        <f>VLOOKUP(Table2[[#This Row],[Customer ID]],Table2[#All],7,FALSE)</f>
        <v>1</v>
      </c>
      <c r="I460" t="str">
        <f>VLOOKUP(Table2[[#This Row],[Customer ID]],Table2[#All],8,FALSE)</f>
        <v>Yes</v>
      </c>
      <c r="J460" t="str">
        <f>VLOOKUP(Table2[[#This Row],[Customer ID]],Table2[#All],9,FALSE)</f>
        <v>Normalweight</v>
      </c>
      <c r="K460" t="str">
        <f>VLOOKUP(Table2[[#This Row],[Customer ID]],Table2[#All],10,FALSE)</f>
        <v>Normal</v>
      </c>
    </row>
    <row r="461" spans="1:11" ht="15.6" x14ac:dyDescent="0.3">
      <c r="A461" s="1" t="s">
        <v>1912</v>
      </c>
      <c r="B461" t="str">
        <f>VLOOKUP('Customer Names'!A461,'Customer Names'!$A$1:$E$2336,4,FALSE)</f>
        <v>Mr.  Todd J.</v>
      </c>
      <c r="C461">
        <f>VLOOKUP(Table2[[#This Row],[Customer ID]],Table2[#All],2,FALSE)</f>
        <v>37.4</v>
      </c>
      <c r="D461">
        <f>VLOOKUP(Table2[[#This Row],[Customer ID]],Table2[#All],3,FALSE)</f>
        <v>9.7200000000000006</v>
      </c>
      <c r="E461" t="str">
        <f>VLOOKUP(Table2[[#This Row],[Customer ID]],Table2[#All],4,FALSE)</f>
        <v>Yes</v>
      </c>
      <c r="F461" t="str">
        <f>VLOOKUP(Table2[[#This Row],[Customer ID]],Table2[#All],5,FALSE)</f>
        <v>No</v>
      </c>
      <c r="G461" t="str">
        <f>VLOOKUP(Table2[[#This Row],[Customer ID]],Table2[#All],6,FALSE)</f>
        <v>Yes</v>
      </c>
      <c r="H461">
        <f>VLOOKUP(Table2[[#This Row],[Customer ID]],Table2[#All],7,FALSE)</f>
        <v>1</v>
      </c>
      <c r="I461" t="str">
        <f>VLOOKUP(Table2[[#This Row],[Customer ID]],Table2[#All],8,FALSE)</f>
        <v>No</v>
      </c>
      <c r="J461" t="str">
        <f>VLOOKUP(Table2[[#This Row],[Customer ID]],Table2[#All],9,FALSE)</f>
        <v>Obesity</v>
      </c>
      <c r="K461" t="str">
        <f>VLOOKUP(Table2[[#This Row],[Customer ID]],Table2[#All],10,FALSE)</f>
        <v>Diabetes</v>
      </c>
    </row>
    <row r="462" spans="1:11" ht="15.6" x14ac:dyDescent="0.3">
      <c r="A462" s="1" t="s">
        <v>1911</v>
      </c>
      <c r="B462" t="str">
        <f>VLOOKUP('Customer Names'!A462,'Customer Names'!$A$1:$E$2336,4,FALSE)</f>
        <v>Ms.  Carolyn</v>
      </c>
      <c r="C462">
        <f>VLOOKUP(Table2[[#This Row],[Customer ID]],Table2[#All],2,FALSE)</f>
        <v>26.885000000000002</v>
      </c>
      <c r="D462">
        <f>VLOOKUP(Table2[[#This Row],[Customer ID]],Table2[#All],3,FALSE)</f>
        <v>5.18</v>
      </c>
      <c r="E462" t="str">
        <f>VLOOKUP(Table2[[#This Row],[Customer ID]],Table2[#All],4,FALSE)</f>
        <v>No</v>
      </c>
      <c r="F462" t="str">
        <f>VLOOKUP(Table2[[#This Row],[Customer ID]],Table2[#All],5,FALSE)</f>
        <v>No</v>
      </c>
      <c r="G462" t="str">
        <f>VLOOKUP(Table2[[#This Row],[Customer ID]],Table2[#All],6,FALSE)</f>
        <v>Yes</v>
      </c>
      <c r="H462">
        <f>VLOOKUP(Table2[[#This Row],[Customer ID]],Table2[#All],7,FALSE)</f>
        <v>1</v>
      </c>
      <c r="I462" t="str">
        <f>VLOOKUP(Table2[[#This Row],[Customer ID]],Table2[#All],8,FALSE)</f>
        <v>Yes</v>
      </c>
      <c r="J462" t="str">
        <f>VLOOKUP(Table2[[#This Row],[Customer ID]],Table2[#All],9,FALSE)</f>
        <v>Overweight</v>
      </c>
      <c r="K462" t="str">
        <f>VLOOKUP(Table2[[#This Row],[Customer ID]],Table2[#All],10,FALSE)</f>
        <v>Normal</v>
      </c>
    </row>
    <row r="463" spans="1:11" ht="15.6" x14ac:dyDescent="0.3">
      <c r="A463" s="1" t="s">
        <v>1910</v>
      </c>
      <c r="B463" t="str">
        <f>VLOOKUP('Customer Names'!A463,'Customer Names'!$A$1:$E$2336,4,FALSE)</f>
        <v>Ms.  Lindsey</v>
      </c>
      <c r="C463">
        <f>VLOOKUP(Table2[[#This Row],[Customer ID]],Table2[#All],2,FALSE)</f>
        <v>25.27</v>
      </c>
      <c r="D463">
        <f>VLOOKUP(Table2[[#This Row],[Customer ID]],Table2[#All],3,FALSE)</f>
        <v>5.29</v>
      </c>
      <c r="E463" t="str">
        <f>VLOOKUP(Table2[[#This Row],[Customer ID]],Table2[#All],4,FALSE)</f>
        <v>No</v>
      </c>
      <c r="F463" t="str">
        <f>VLOOKUP(Table2[[#This Row],[Customer ID]],Table2[#All],5,FALSE)</f>
        <v>No</v>
      </c>
      <c r="G463" t="str">
        <f>VLOOKUP(Table2[[#This Row],[Customer ID]],Table2[#All],6,FALSE)</f>
        <v>Yes</v>
      </c>
      <c r="H463">
        <f>VLOOKUP(Table2[[#This Row],[Customer ID]],Table2[#All],7,FALSE)</f>
        <v>1</v>
      </c>
      <c r="I463" t="str">
        <f>VLOOKUP(Table2[[#This Row],[Customer ID]],Table2[#All],8,FALSE)</f>
        <v>Yes</v>
      </c>
      <c r="J463" t="str">
        <f>VLOOKUP(Table2[[#This Row],[Customer ID]],Table2[#All],9,FALSE)</f>
        <v>Overweight</v>
      </c>
      <c r="K463" t="str">
        <f>VLOOKUP(Table2[[#This Row],[Customer ID]],Table2[#All],10,FALSE)</f>
        <v>Normal</v>
      </c>
    </row>
    <row r="464" spans="1:11" ht="15.6" x14ac:dyDescent="0.3">
      <c r="A464" s="1" t="s">
        <v>1909</v>
      </c>
      <c r="B464" t="str">
        <f>VLOOKUP('Customer Names'!A464,'Customer Names'!$A$1:$E$2336,4,FALSE)</f>
        <v>Ms.  Marissa D</v>
      </c>
      <c r="C464">
        <f>VLOOKUP(Table2[[#This Row],[Customer ID]],Table2[#All],2,FALSE)</f>
        <v>23.655000000000001</v>
      </c>
      <c r="D464">
        <f>VLOOKUP(Table2[[#This Row],[Customer ID]],Table2[#All],3,FALSE)</f>
        <v>4.8600000000000003</v>
      </c>
      <c r="E464" t="str">
        <f>VLOOKUP(Table2[[#This Row],[Customer ID]],Table2[#All],4,FALSE)</f>
        <v>Yes</v>
      </c>
      <c r="F464" t="str">
        <f>VLOOKUP(Table2[[#This Row],[Customer ID]],Table2[#All],5,FALSE)</f>
        <v>No</v>
      </c>
      <c r="G464" t="str">
        <f>VLOOKUP(Table2[[#This Row],[Customer ID]],Table2[#All],6,FALSE)</f>
        <v>No</v>
      </c>
      <c r="H464">
        <f>VLOOKUP(Table2[[#This Row],[Customer ID]],Table2[#All],7,FALSE)</f>
        <v>0</v>
      </c>
      <c r="I464" t="str">
        <f>VLOOKUP(Table2[[#This Row],[Customer ID]],Table2[#All],8,FALSE)</f>
        <v>Yes</v>
      </c>
      <c r="J464" t="str">
        <f>VLOOKUP(Table2[[#This Row],[Customer ID]],Table2[#All],9,FALSE)</f>
        <v>Normalweight</v>
      </c>
      <c r="K464" t="str">
        <f>VLOOKUP(Table2[[#This Row],[Customer ID]],Table2[#All],10,FALSE)</f>
        <v>Normal</v>
      </c>
    </row>
    <row r="465" spans="1:11" ht="15.6" x14ac:dyDescent="0.3">
      <c r="A465" s="1" t="s">
        <v>1908</v>
      </c>
      <c r="B465" t="str">
        <f>VLOOKUP('Customer Names'!A465,'Customer Names'!$A$1:$E$2336,4,FALSE)</f>
        <v>Mr.  Jean Luc</v>
      </c>
      <c r="C465">
        <f>VLOOKUP(Table2[[#This Row],[Customer ID]],Table2[#All],2,FALSE)</f>
        <v>55.05</v>
      </c>
      <c r="D465">
        <f>VLOOKUP(Table2[[#This Row],[Customer ID]],Table2[#All],3,FALSE)</f>
        <v>7.66</v>
      </c>
      <c r="E465" t="str">
        <f>VLOOKUP(Table2[[#This Row],[Customer ID]],Table2[#All],4,FALSE)</f>
        <v>No</v>
      </c>
      <c r="F465" t="str">
        <f>VLOOKUP(Table2[[#This Row],[Customer ID]],Table2[#All],5,FALSE)</f>
        <v>No</v>
      </c>
      <c r="G465" t="str">
        <f>VLOOKUP(Table2[[#This Row],[Customer ID]],Table2[#All],6,FALSE)</f>
        <v>No</v>
      </c>
      <c r="H465">
        <f>VLOOKUP(Table2[[#This Row],[Customer ID]],Table2[#All],7,FALSE)</f>
        <v>0</v>
      </c>
      <c r="I465" t="str">
        <f>VLOOKUP(Table2[[#This Row],[Customer ID]],Table2[#All],8,FALSE)</f>
        <v>No</v>
      </c>
      <c r="J465" t="str">
        <f>VLOOKUP(Table2[[#This Row],[Customer ID]],Table2[#All],9,FALSE)</f>
        <v>Obesity</v>
      </c>
      <c r="K465" t="str">
        <f>VLOOKUP(Table2[[#This Row],[Customer ID]],Table2[#All],10,FALSE)</f>
        <v>Diabetes</v>
      </c>
    </row>
    <row r="466" spans="1:11" ht="15.6" x14ac:dyDescent="0.3">
      <c r="A466" s="1" t="s">
        <v>1907</v>
      </c>
      <c r="B466" t="str">
        <f>VLOOKUP('Customer Names'!A466,'Customer Names'!$A$1:$E$2336,4,FALSE)</f>
        <v>Ms.  Danielle</v>
      </c>
      <c r="C466">
        <f>VLOOKUP(Table2[[#This Row],[Customer ID]],Table2[#All],2,FALSE)</f>
        <v>24.89</v>
      </c>
      <c r="D466">
        <f>VLOOKUP(Table2[[#This Row],[Customer ID]],Table2[#All],3,FALSE)</f>
        <v>6.1</v>
      </c>
      <c r="E466" t="str">
        <f>VLOOKUP(Table2[[#This Row],[Customer ID]],Table2[#All],4,FALSE)</f>
        <v>Yes</v>
      </c>
      <c r="F466" t="str">
        <f>VLOOKUP(Table2[[#This Row],[Customer ID]],Table2[#All],5,FALSE)</f>
        <v>No</v>
      </c>
      <c r="G466" t="str">
        <f>VLOOKUP(Table2[[#This Row],[Customer ID]],Table2[#All],6,FALSE)</f>
        <v>Yes</v>
      </c>
      <c r="H466">
        <f>VLOOKUP(Table2[[#This Row],[Customer ID]],Table2[#All],7,FALSE)</f>
        <v>1</v>
      </c>
      <c r="I466" t="str">
        <f>VLOOKUP(Table2[[#This Row],[Customer ID]],Table2[#All],8,FALSE)</f>
        <v>Yes</v>
      </c>
      <c r="J466" t="str">
        <f>VLOOKUP(Table2[[#This Row],[Customer ID]],Table2[#All],9,FALSE)</f>
        <v>Normalweight</v>
      </c>
      <c r="K466" t="str">
        <f>VLOOKUP(Table2[[#This Row],[Customer ID]],Table2[#All],10,FALSE)</f>
        <v>Prediabetes</v>
      </c>
    </row>
    <row r="467" spans="1:11" ht="15.6" x14ac:dyDescent="0.3">
      <c r="A467" s="1" t="s">
        <v>1906</v>
      </c>
      <c r="B467" t="str">
        <f>VLOOKUP('Customer Names'!A467,'Customer Names'!$A$1:$E$2336,4,FALSE)</f>
        <v>Mr.  Jim</v>
      </c>
      <c r="C467">
        <f>VLOOKUP(Table2[[#This Row],[Customer ID]],Table2[#All],2,FALSE)</f>
        <v>18.715</v>
      </c>
      <c r="D467">
        <f>VLOOKUP(Table2[[#This Row],[Customer ID]],Table2[#All],3,FALSE)</f>
        <v>4.4400000000000004</v>
      </c>
      <c r="E467" t="str">
        <f>VLOOKUP(Table2[[#This Row],[Customer ID]],Table2[#All],4,FALSE)</f>
        <v>No</v>
      </c>
      <c r="F467" t="str">
        <f>VLOOKUP(Table2[[#This Row],[Customer ID]],Table2[#All],5,FALSE)</f>
        <v>No</v>
      </c>
      <c r="G467" t="str">
        <f>VLOOKUP(Table2[[#This Row],[Customer ID]],Table2[#All],6,FALSE)</f>
        <v>No</v>
      </c>
      <c r="H467">
        <f>VLOOKUP(Table2[[#This Row],[Customer ID]],Table2[#All],7,FALSE)</f>
        <v>0</v>
      </c>
      <c r="I467" t="str">
        <f>VLOOKUP(Table2[[#This Row],[Customer ID]],Table2[#All],8,FALSE)</f>
        <v>No</v>
      </c>
      <c r="J467" t="str">
        <f>VLOOKUP(Table2[[#This Row],[Customer ID]],Table2[#All],9,FALSE)</f>
        <v>Normalweight</v>
      </c>
      <c r="K467" t="str">
        <f>VLOOKUP(Table2[[#This Row],[Customer ID]],Table2[#All],10,FALSE)</f>
        <v>Normal</v>
      </c>
    </row>
    <row r="468" spans="1:11" ht="15.6" x14ac:dyDescent="0.3">
      <c r="A468" s="1" t="s">
        <v>1905</v>
      </c>
      <c r="B468" t="str">
        <f>VLOOKUP('Customer Names'!A468,'Customer Names'!$A$1:$E$2336,4,FALSE)</f>
        <v>Mr.  Matthew T</v>
      </c>
      <c r="C468">
        <f>VLOOKUP(Table2[[#This Row],[Customer ID]],Table2[#All],2,FALSE)</f>
        <v>28.12</v>
      </c>
      <c r="D468">
        <f>VLOOKUP(Table2[[#This Row],[Customer ID]],Table2[#All],3,FALSE)</f>
        <v>6.15</v>
      </c>
      <c r="E468" t="str">
        <f>VLOOKUP(Table2[[#This Row],[Customer ID]],Table2[#All],4,FALSE)</f>
        <v>No</v>
      </c>
      <c r="F468" t="str">
        <f>VLOOKUP(Table2[[#This Row],[Customer ID]],Table2[#All],5,FALSE)</f>
        <v>No</v>
      </c>
      <c r="G468" t="str">
        <f>VLOOKUP(Table2[[#This Row],[Customer ID]],Table2[#All],6,FALSE)</f>
        <v>No</v>
      </c>
      <c r="H468">
        <f>VLOOKUP(Table2[[#This Row],[Customer ID]],Table2[#All],7,FALSE)</f>
        <v>0</v>
      </c>
      <c r="I468" t="str">
        <f>VLOOKUP(Table2[[#This Row],[Customer ID]],Table2[#All],8,FALSE)</f>
        <v>Yes</v>
      </c>
      <c r="J468" t="str">
        <f>VLOOKUP(Table2[[#This Row],[Customer ID]],Table2[#All],9,FALSE)</f>
        <v>Overweight</v>
      </c>
      <c r="K468" t="str">
        <f>VLOOKUP(Table2[[#This Row],[Customer ID]],Table2[#All],10,FALSE)</f>
        <v>Prediabetes</v>
      </c>
    </row>
    <row r="469" spans="1:11" ht="15.6" x14ac:dyDescent="0.3">
      <c r="A469" s="1" t="s">
        <v>1904</v>
      </c>
      <c r="B469" t="str">
        <f>VLOOKUP('Customer Names'!A469,'Customer Names'!$A$1:$E$2336,4,FALSE)</f>
        <v>Ms.  Rachel L.</v>
      </c>
      <c r="C469">
        <f>VLOOKUP(Table2[[#This Row],[Customer ID]],Table2[#All],2,FALSE)</f>
        <v>26.6</v>
      </c>
      <c r="D469">
        <f>VLOOKUP(Table2[[#This Row],[Customer ID]],Table2[#All],3,FALSE)</f>
        <v>4.53</v>
      </c>
      <c r="E469" t="str">
        <f>VLOOKUP(Table2[[#This Row],[Customer ID]],Table2[#All],4,FALSE)</f>
        <v>No</v>
      </c>
      <c r="F469" t="str">
        <f>VLOOKUP(Table2[[#This Row],[Customer ID]],Table2[#All],5,FALSE)</f>
        <v>No</v>
      </c>
      <c r="G469" t="str">
        <f>VLOOKUP(Table2[[#This Row],[Customer ID]],Table2[#All],6,FALSE)</f>
        <v>No</v>
      </c>
      <c r="H469">
        <f>VLOOKUP(Table2[[#This Row],[Customer ID]],Table2[#All],7,FALSE)</f>
        <v>0</v>
      </c>
      <c r="I469" t="str">
        <f>VLOOKUP(Table2[[#This Row],[Customer ID]],Table2[#All],8,FALSE)</f>
        <v>Yes</v>
      </c>
      <c r="J469" t="str">
        <f>VLOOKUP(Table2[[#This Row],[Customer ID]],Table2[#All],9,FALSE)</f>
        <v>Overweight</v>
      </c>
      <c r="K469" t="str">
        <f>VLOOKUP(Table2[[#This Row],[Customer ID]],Table2[#All],10,FALSE)</f>
        <v>Normal</v>
      </c>
    </row>
    <row r="470" spans="1:11" ht="15.6" x14ac:dyDescent="0.3">
      <c r="A470" s="1" t="s">
        <v>1903</v>
      </c>
      <c r="B470" t="str">
        <f>VLOOKUP('Customer Names'!A470,'Customer Names'!$A$1:$E$2336,4,FALSE)</f>
        <v>Ms.  Corina</v>
      </c>
      <c r="C470">
        <f>VLOOKUP(Table2[[#This Row],[Customer ID]],Table2[#All],2,FALSE)</f>
        <v>30.114999999999998</v>
      </c>
      <c r="D470">
        <f>VLOOKUP(Table2[[#This Row],[Customer ID]],Table2[#All],3,FALSE)</f>
        <v>5.48</v>
      </c>
      <c r="E470" t="str">
        <f>VLOOKUP(Table2[[#This Row],[Customer ID]],Table2[#All],4,FALSE)</f>
        <v>No</v>
      </c>
      <c r="F470" t="str">
        <f>VLOOKUP(Table2[[#This Row],[Customer ID]],Table2[#All],5,FALSE)</f>
        <v>yes</v>
      </c>
      <c r="G470" t="str">
        <f>VLOOKUP(Table2[[#This Row],[Customer ID]],Table2[#All],6,FALSE)</f>
        <v>No</v>
      </c>
      <c r="H470">
        <f>VLOOKUP(Table2[[#This Row],[Customer ID]],Table2[#All],7,FALSE)</f>
        <v>1</v>
      </c>
      <c r="I470" t="str">
        <f>VLOOKUP(Table2[[#This Row],[Customer ID]],Table2[#All],8,FALSE)</f>
        <v>No</v>
      </c>
      <c r="J470" t="str">
        <f>VLOOKUP(Table2[[#This Row],[Customer ID]],Table2[#All],9,FALSE)</f>
        <v>Obesity</v>
      </c>
      <c r="K470" t="str">
        <f>VLOOKUP(Table2[[#This Row],[Customer ID]],Table2[#All],10,FALSE)</f>
        <v>Normal</v>
      </c>
    </row>
    <row r="471" spans="1:11" ht="15.6" x14ac:dyDescent="0.3">
      <c r="A471" s="1" t="s">
        <v>1902</v>
      </c>
      <c r="B471" t="str">
        <f>VLOOKUP('Customer Names'!A471,'Customer Names'!$A$1:$E$2336,4,FALSE)</f>
        <v>Mr.  Guannan</v>
      </c>
      <c r="C471">
        <f>VLOOKUP(Table2[[#This Row],[Customer ID]],Table2[#All],2,FALSE)</f>
        <v>24.605</v>
      </c>
      <c r="D471">
        <f>VLOOKUP(Table2[[#This Row],[Customer ID]],Table2[#All],3,FALSE)</f>
        <v>5.48</v>
      </c>
      <c r="E471" t="str">
        <f>VLOOKUP(Table2[[#This Row],[Customer ID]],Table2[#All],4,FALSE)</f>
        <v>No</v>
      </c>
      <c r="F471" t="str">
        <f>VLOOKUP(Table2[[#This Row],[Customer ID]],Table2[#All],5,FALSE)</f>
        <v>No</v>
      </c>
      <c r="G471" t="str">
        <f>VLOOKUP(Table2[[#This Row],[Customer ID]],Table2[#All],6,FALSE)</f>
        <v>No</v>
      </c>
      <c r="H471">
        <f>VLOOKUP(Table2[[#This Row],[Customer ID]],Table2[#All],7,FALSE)</f>
        <v>0</v>
      </c>
      <c r="I471" t="str">
        <f>VLOOKUP(Table2[[#This Row],[Customer ID]],Table2[#All],8,FALSE)</f>
        <v>Yes</v>
      </c>
      <c r="J471" t="str">
        <f>VLOOKUP(Table2[[#This Row],[Customer ID]],Table2[#All],9,FALSE)</f>
        <v>Normalweight</v>
      </c>
      <c r="K471" t="str">
        <f>VLOOKUP(Table2[[#This Row],[Customer ID]],Table2[#All],10,FALSE)</f>
        <v>Normal</v>
      </c>
    </row>
    <row r="472" spans="1:11" ht="15.6" x14ac:dyDescent="0.3">
      <c r="A472" s="1" t="s">
        <v>1901</v>
      </c>
      <c r="B472" t="str">
        <f>VLOOKUP('Customer Names'!A472,'Customer Names'!$A$1:$E$2336,4,FALSE)</f>
        <v>Mr.  Don</v>
      </c>
      <c r="C472">
        <f>VLOOKUP(Table2[[#This Row],[Customer ID]],Table2[#All],2,FALSE)</f>
        <v>29.6</v>
      </c>
      <c r="D472">
        <f>VLOOKUP(Table2[[#This Row],[Customer ID]],Table2[#All],3,FALSE)</f>
        <v>8.1</v>
      </c>
      <c r="E472" t="str">
        <f>VLOOKUP(Table2[[#This Row],[Customer ID]],Table2[#All],4,FALSE)</f>
        <v>No</v>
      </c>
      <c r="F472" t="str">
        <f>VLOOKUP(Table2[[#This Row],[Customer ID]],Table2[#All],5,FALSE)</f>
        <v>No</v>
      </c>
      <c r="G472" t="str">
        <f>VLOOKUP(Table2[[#This Row],[Customer ID]],Table2[#All],6,FALSE)</f>
        <v>No</v>
      </c>
      <c r="H472">
        <f>VLOOKUP(Table2[[#This Row],[Customer ID]],Table2[#All],7,FALSE)</f>
        <v>0</v>
      </c>
      <c r="I472" t="str">
        <f>VLOOKUP(Table2[[#This Row],[Customer ID]],Table2[#All],8,FALSE)</f>
        <v>No</v>
      </c>
      <c r="J472" t="str">
        <f>VLOOKUP(Table2[[#This Row],[Customer ID]],Table2[#All],9,FALSE)</f>
        <v>Overweight</v>
      </c>
      <c r="K472" t="str">
        <f>VLOOKUP(Table2[[#This Row],[Customer ID]],Table2[#All],10,FALSE)</f>
        <v>Diabetes</v>
      </c>
    </row>
    <row r="473" spans="1:11" ht="15.6" x14ac:dyDescent="0.3">
      <c r="A473" s="1" t="s">
        <v>1900</v>
      </c>
      <c r="B473" t="str">
        <f>VLOOKUP('Customer Names'!A473,'Customer Names'!$A$1:$E$2336,4,FALSE)</f>
        <v>Mr.  Chris</v>
      </c>
      <c r="C473">
        <f>VLOOKUP(Table2[[#This Row],[Customer ID]],Table2[#All],2,FALSE)</f>
        <v>24.42</v>
      </c>
      <c r="D473">
        <f>VLOOKUP(Table2[[#This Row],[Customer ID]],Table2[#All],3,FALSE)</f>
        <v>7.16</v>
      </c>
      <c r="E473" t="str">
        <f>VLOOKUP(Table2[[#This Row],[Customer ID]],Table2[#All],4,FALSE)</f>
        <v>No</v>
      </c>
      <c r="F473" t="str">
        <f>VLOOKUP(Table2[[#This Row],[Customer ID]],Table2[#All],5,FALSE)</f>
        <v>No</v>
      </c>
      <c r="G473" t="str">
        <f>VLOOKUP(Table2[[#This Row],[Customer ID]],Table2[#All],6,FALSE)</f>
        <v>No</v>
      </c>
      <c r="H473">
        <f>VLOOKUP(Table2[[#This Row],[Customer ID]],Table2[#All],7,FALSE)</f>
        <v>0</v>
      </c>
      <c r="I473" t="str">
        <f>VLOOKUP(Table2[[#This Row],[Customer ID]],Table2[#All],8,FALSE)</f>
        <v>Yes</v>
      </c>
      <c r="J473" t="str">
        <f>VLOOKUP(Table2[[#This Row],[Customer ID]],Table2[#All],9,FALSE)</f>
        <v>Normalweight</v>
      </c>
      <c r="K473" t="str">
        <f>VLOOKUP(Table2[[#This Row],[Customer ID]],Table2[#All],10,FALSE)</f>
        <v>Diabetes</v>
      </c>
    </row>
    <row r="474" spans="1:11" ht="15.6" x14ac:dyDescent="0.3">
      <c r="A474" s="1" t="s">
        <v>1899</v>
      </c>
      <c r="B474" t="str">
        <f>VLOOKUP('Customer Names'!A474,'Customer Names'!$A$1:$E$2336,4,FALSE)</f>
        <v>Mr.  Gavin V.</v>
      </c>
      <c r="C474">
        <f>VLOOKUP(Table2[[#This Row],[Customer ID]],Table2[#All],2,FALSE)</f>
        <v>20.9</v>
      </c>
      <c r="D474">
        <f>VLOOKUP(Table2[[#This Row],[Customer ID]],Table2[#All],3,FALSE)</f>
        <v>4.55</v>
      </c>
      <c r="E474" t="str">
        <f>VLOOKUP(Table2[[#This Row],[Customer ID]],Table2[#All],4,FALSE)</f>
        <v>Yes</v>
      </c>
      <c r="F474" t="str">
        <f>VLOOKUP(Table2[[#This Row],[Customer ID]],Table2[#All],5,FALSE)</f>
        <v>No</v>
      </c>
      <c r="G474" t="str">
        <f>VLOOKUP(Table2[[#This Row],[Customer ID]],Table2[#All],6,FALSE)</f>
        <v>Yes</v>
      </c>
      <c r="H474">
        <f>VLOOKUP(Table2[[#This Row],[Customer ID]],Table2[#All],7,FALSE)</f>
        <v>1</v>
      </c>
      <c r="I474" t="str">
        <f>VLOOKUP(Table2[[#This Row],[Customer ID]],Table2[#All],8,FALSE)</f>
        <v>Yes</v>
      </c>
      <c r="J474" t="str">
        <f>VLOOKUP(Table2[[#This Row],[Customer ID]],Table2[#All],9,FALSE)</f>
        <v>Normalweight</v>
      </c>
      <c r="K474" t="str">
        <f>VLOOKUP(Table2[[#This Row],[Customer ID]],Table2[#All],10,FALSE)</f>
        <v>Normal</v>
      </c>
    </row>
    <row r="475" spans="1:11" ht="15.6" x14ac:dyDescent="0.3">
      <c r="A475" s="1" t="s">
        <v>1898</v>
      </c>
      <c r="B475" t="str">
        <f>VLOOKUP('Customer Names'!A475,'Customer Names'!$A$1:$E$2336,4,FALSE)</f>
        <v>Mr.  David</v>
      </c>
      <c r="C475">
        <f>VLOOKUP(Table2[[#This Row],[Customer ID]],Table2[#All],2,FALSE)</f>
        <v>22.895</v>
      </c>
      <c r="D475">
        <f>VLOOKUP(Table2[[#This Row],[Customer ID]],Table2[#All],3,FALSE)</f>
        <v>6.03</v>
      </c>
      <c r="E475" t="str">
        <f>VLOOKUP(Table2[[#This Row],[Customer ID]],Table2[#All],4,FALSE)</f>
        <v>No</v>
      </c>
      <c r="F475" t="str">
        <f>VLOOKUP(Table2[[#This Row],[Customer ID]],Table2[#All],5,FALSE)</f>
        <v>No</v>
      </c>
      <c r="G475" t="str">
        <f>VLOOKUP(Table2[[#This Row],[Customer ID]],Table2[#All],6,FALSE)</f>
        <v>No</v>
      </c>
      <c r="H475">
        <f>VLOOKUP(Table2[[#This Row],[Customer ID]],Table2[#All],7,FALSE)</f>
        <v>0</v>
      </c>
      <c r="I475" t="str">
        <f>VLOOKUP(Table2[[#This Row],[Customer ID]],Table2[#All],8,FALSE)</f>
        <v>Yes</v>
      </c>
      <c r="J475" t="str">
        <f>VLOOKUP(Table2[[#This Row],[Customer ID]],Table2[#All],9,FALSE)</f>
        <v>Normalweight</v>
      </c>
      <c r="K475" t="str">
        <f>VLOOKUP(Table2[[#This Row],[Customer ID]],Table2[#All],10,FALSE)</f>
        <v>Prediabetes</v>
      </c>
    </row>
    <row r="476" spans="1:11" ht="15.6" x14ac:dyDescent="0.3">
      <c r="A476" s="1" t="s">
        <v>1897</v>
      </c>
      <c r="B476" t="str">
        <f>VLOOKUP('Customer Names'!A476,'Customer Names'!$A$1:$E$2336,4,FALSE)</f>
        <v>Mr.  Jatin</v>
      </c>
      <c r="C476">
        <f>VLOOKUP(Table2[[#This Row],[Customer ID]],Table2[#All],2,FALSE)</f>
        <v>28.3</v>
      </c>
      <c r="D476">
        <f>VLOOKUP(Table2[[#This Row],[Customer ID]],Table2[#All],3,FALSE)</f>
        <v>5.47</v>
      </c>
      <c r="E476" t="str">
        <f>VLOOKUP(Table2[[#This Row],[Customer ID]],Table2[#All],4,FALSE)</f>
        <v>Yes</v>
      </c>
      <c r="F476" t="str">
        <f>VLOOKUP(Table2[[#This Row],[Customer ID]],Table2[#All],5,FALSE)</f>
        <v>No</v>
      </c>
      <c r="G476" t="str">
        <f>VLOOKUP(Table2[[#This Row],[Customer ID]],Table2[#All],6,FALSE)</f>
        <v>Yes</v>
      </c>
      <c r="H476">
        <f>VLOOKUP(Table2[[#This Row],[Customer ID]],Table2[#All],7,FALSE)</f>
        <v>1</v>
      </c>
      <c r="I476" t="str">
        <f>VLOOKUP(Table2[[#This Row],[Customer ID]],Table2[#All],8,FALSE)</f>
        <v>Yes</v>
      </c>
      <c r="J476" t="str">
        <f>VLOOKUP(Table2[[#This Row],[Customer ID]],Table2[#All],9,FALSE)</f>
        <v>Overweight</v>
      </c>
      <c r="K476" t="str">
        <f>VLOOKUP(Table2[[#This Row],[Customer ID]],Table2[#All],10,FALSE)</f>
        <v>Normal</v>
      </c>
    </row>
    <row r="477" spans="1:11" ht="15.6" x14ac:dyDescent="0.3">
      <c r="A477" s="1" t="s">
        <v>1895</v>
      </c>
      <c r="B477" t="str">
        <f>VLOOKUP('Customer Names'!A477,'Customer Names'!$A$1:$E$2336,4,FALSE)</f>
        <v>Mr.  J P. II</v>
      </c>
      <c r="C477">
        <f>VLOOKUP(Table2[[#This Row],[Customer ID]],Table2[#All],2,FALSE)</f>
        <v>54.3</v>
      </c>
      <c r="D477">
        <f>VLOOKUP(Table2[[#This Row],[Customer ID]],Table2[#All],3,FALSE)</f>
        <v>4.1500000000000004</v>
      </c>
      <c r="E477" t="str">
        <f>VLOOKUP(Table2[[#This Row],[Customer ID]],Table2[#All],4,FALSE)</f>
        <v>Yes</v>
      </c>
      <c r="F477" t="str">
        <f>VLOOKUP(Table2[[#This Row],[Customer ID]],Table2[#All],5,FALSE)</f>
        <v>No</v>
      </c>
      <c r="G477" t="str">
        <f>VLOOKUP(Table2[[#This Row],[Customer ID]],Table2[#All],6,FALSE)</f>
        <v>No</v>
      </c>
      <c r="H477">
        <f>VLOOKUP(Table2[[#This Row],[Customer ID]],Table2[#All],7,FALSE)</f>
        <v>1</v>
      </c>
      <c r="I477" t="str">
        <f>VLOOKUP(Table2[[#This Row],[Customer ID]],Table2[#All],8,FALSE)</f>
        <v>No</v>
      </c>
      <c r="J477" t="str">
        <f>VLOOKUP(Table2[[#This Row],[Customer ID]],Table2[#All],9,FALSE)</f>
        <v>Obesity</v>
      </c>
      <c r="K477" t="str">
        <f>VLOOKUP(Table2[[#This Row],[Customer ID]],Table2[#All],10,FALSE)</f>
        <v>Normal</v>
      </c>
    </row>
    <row r="478" spans="1:11" ht="15.6" x14ac:dyDescent="0.3">
      <c r="A478" s="1" t="s">
        <v>1894</v>
      </c>
      <c r="B478" t="str">
        <f>VLOOKUP('Customer Names'!A478,'Customer Names'!$A$1:$E$2336,4,FALSE)</f>
        <v>Ms.  Angela M.</v>
      </c>
      <c r="C478">
        <f>VLOOKUP(Table2[[#This Row],[Customer ID]],Table2[#All],2,FALSE)</f>
        <v>33.344999999999999</v>
      </c>
      <c r="D478">
        <f>VLOOKUP(Table2[[#This Row],[Customer ID]],Table2[#All],3,FALSE)</f>
        <v>11.32</v>
      </c>
      <c r="E478" t="str">
        <f>VLOOKUP(Table2[[#This Row],[Customer ID]],Table2[#All],4,FALSE)</f>
        <v>Yes</v>
      </c>
      <c r="F478" t="str">
        <f>VLOOKUP(Table2[[#This Row],[Customer ID]],Table2[#All],5,FALSE)</f>
        <v>No</v>
      </c>
      <c r="G478" t="str">
        <f>VLOOKUP(Table2[[#This Row],[Customer ID]],Table2[#All],6,FALSE)</f>
        <v>No</v>
      </c>
      <c r="H478">
        <f>VLOOKUP(Table2[[#This Row],[Customer ID]],Table2[#All],7,FALSE)</f>
        <v>1</v>
      </c>
      <c r="I478" t="str">
        <f>VLOOKUP(Table2[[#This Row],[Customer ID]],Table2[#All],8,FALSE)</f>
        <v>No</v>
      </c>
      <c r="J478" t="str">
        <f>VLOOKUP(Table2[[#This Row],[Customer ID]],Table2[#All],9,FALSE)</f>
        <v>Obesity</v>
      </c>
      <c r="K478" t="str">
        <f>VLOOKUP(Table2[[#This Row],[Customer ID]],Table2[#All],10,FALSE)</f>
        <v>Diabetes</v>
      </c>
    </row>
    <row r="479" spans="1:11" ht="15.6" x14ac:dyDescent="0.3">
      <c r="A479" s="1" t="s">
        <v>1893</v>
      </c>
      <c r="B479" t="str">
        <f>VLOOKUP('Customer Names'!A479,'Customer Names'!$A$1:$E$2336,4,FALSE)</f>
        <v>Mr.  Blake K.</v>
      </c>
      <c r="C479">
        <f>VLOOKUP(Table2[[#This Row],[Customer ID]],Table2[#All],2,FALSE)</f>
        <v>33</v>
      </c>
      <c r="D479">
        <f>VLOOKUP(Table2[[#This Row],[Customer ID]],Table2[#All],3,FALSE)</f>
        <v>9.51</v>
      </c>
      <c r="E479" t="str">
        <f>VLOOKUP(Table2[[#This Row],[Customer ID]],Table2[#All],4,FALSE)</f>
        <v>Yes</v>
      </c>
      <c r="F479" t="str">
        <f>VLOOKUP(Table2[[#This Row],[Customer ID]],Table2[#All],5,FALSE)</f>
        <v>No</v>
      </c>
      <c r="G479" t="str">
        <f>VLOOKUP(Table2[[#This Row],[Customer ID]],Table2[#All],6,FALSE)</f>
        <v>No</v>
      </c>
      <c r="H479">
        <f>VLOOKUP(Table2[[#This Row],[Customer ID]],Table2[#All],7,FALSE)</f>
        <v>0</v>
      </c>
      <c r="I479" t="str">
        <f>VLOOKUP(Table2[[#This Row],[Customer ID]],Table2[#All],8,FALSE)</f>
        <v>No</v>
      </c>
      <c r="J479" t="str">
        <f>VLOOKUP(Table2[[#This Row],[Customer ID]],Table2[#All],9,FALSE)</f>
        <v>Obesity</v>
      </c>
      <c r="K479" t="str">
        <f>VLOOKUP(Table2[[#This Row],[Customer ID]],Table2[#All],10,FALSE)</f>
        <v>Diabetes</v>
      </c>
    </row>
    <row r="480" spans="1:11" ht="15.6" x14ac:dyDescent="0.3">
      <c r="A480" s="1" t="s">
        <v>1892</v>
      </c>
      <c r="B480" t="str">
        <f>VLOOKUP('Customer Names'!A480,'Customer Names'!$A$1:$E$2336,4,FALSE)</f>
        <v>Mr.  Brian T.</v>
      </c>
      <c r="C480">
        <f>VLOOKUP(Table2[[#This Row],[Customer ID]],Table2[#All],2,FALSE)</f>
        <v>28.024999999999999</v>
      </c>
      <c r="D480">
        <f>VLOOKUP(Table2[[#This Row],[Customer ID]],Table2[#All],3,FALSE)</f>
        <v>7.67</v>
      </c>
      <c r="E480" t="str">
        <f>VLOOKUP(Table2[[#This Row],[Customer ID]],Table2[#All],4,FALSE)</f>
        <v>Yes</v>
      </c>
      <c r="F480" t="str">
        <f>VLOOKUP(Table2[[#This Row],[Customer ID]],Table2[#All],5,FALSE)</f>
        <v>No</v>
      </c>
      <c r="G480" t="str">
        <f>VLOOKUP(Table2[[#This Row],[Customer ID]],Table2[#All],6,FALSE)</f>
        <v>No</v>
      </c>
      <c r="H480">
        <f>VLOOKUP(Table2[[#This Row],[Customer ID]],Table2[#All],7,FALSE)</f>
        <v>1</v>
      </c>
      <c r="I480" t="str">
        <f>VLOOKUP(Table2[[#This Row],[Customer ID]],Table2[#All],8,FALSE)</f>
        <v>Yes</v>
      </c>
      <c r="J480" t="str">
        <f>VLOOKUP(Table2[[#This Row],[Customer ID]],Table2[#All],9,FALSE)</f>
        <v>Overweight</v>
      </c>
      <c r="K480" t="str">
        <f>VLOOKUP(Table2[[#This Row],[Customer ID]],Table2[#All],10,FALSE)</f>
        <v>Diabetes</v>
      </c>
    </row>
    <row r="481" spans="1:11" ht="15.6" x14ac:dyDescent="0.3">
      <c r="A481" s="1" t="s">
        <v>1891</v>
      </c>
      <c r="B481" t="str">
        <f>VLOOKUP('Customer Names'!A481,'Customer Names'!$A$1:$E$2336,4,FALSE)</f>
        <v>Mr.  Damon</v>
      </c>
      <c r="C481">
        <f>VLOOKUP(Table2[[#This Row],[Customer ID]],Table2[#All],2,FALSE)</f>
        <v>28.69</v>
      </c>
      <c r="D481">
        <f>VLOOKUP(Table2[[#This Row],[Customer ID]],Table2[#All],3,FALSE)</f>
        <v>6.23</v>
      </c>
      <c r="E481" t="str">
        <f>VLOOKUP(Table2[[#This Row],[Customer ID]],Table2[#All],4,FALSE)</f>
        <v>No</v>
      </c>
      <c r="F481" t="str">
        <f>VLOOKUP(Table2[[#This Row],[Customer ID]],Table2[#All],5,FALSE)</f>
        <v>No</v>
      </c>
      <c r="G481" t="str">
        <f>VLOOKUP(Table2[[#This Row],[Customer ID]],Table2[#All],6,FALSE)</f>
        <v>No</v>
      </c>
      <c r="H481">
        <f>VLOOKUP(Table2[[#This Row],[Customer ID]],Table2[#All],7,FALSE)</f>
        <v>1</v>
      </c>
      <c r="I481" t="str">
        <f>VLOOKUP(Table2[[#This Row],[Customer ID]],Table2[#All],8,FALSE)</f>
        <v>Yes</v>
      </c>
      <c r="J481" t="str">
        <f>VLOOKUP(Table2[[#This Row],[Customer ID]],Table2[#All],9,FALSE)</f>
        <v>Overweight</v>
      </c>
      <c r="K481" t="str">
        <f>VLOOKUP(Table2[[#This Row],[Customer ID]],Table2[#All],10,FALSE)</f>
        <v>Prediabetes</v>
      </c>
    </row>
    <row r="482" spans="1:11" ht="15.6" x14ac:dyDescent="0.3">
      <c r="A482" s="1" t="s">
        <v>1890</v>
      </c>
      <c r="B482" t="str">
        <f>VLOOKUP('Customer Names'!A482,'Customer Names'!$A$1:$E$2336,4,FALSE)</f>
        <v>Mr.  Jeffrey</v>
      </c>
      <c r="C482">
        <f>VLOOKUP(Table2[[#This Row],[Customer ID]],Table2[#All],2,FALSE)</f>
        <v>40.28</v>
      </c>
      <c r="D482">
        <f>VLOOKUP(Table2[[#This Row],[Customer ID]],Table2[#All],3,FALSE)</f>
        <v>8.9</v>
      </c>
      <c r="E482" t="str">
        <f>VLOOKUP(Table2[[#This Row],[Customer ID]],Table2[#All],4,FALSE)</f>
        <v>No</v>
      </c>
      <c r="F482" t="str">
        <f>VLOOKUP(Table2[[#This Row],[Customer ID]],Table2[#All],5,FALSE)</f>
        <v>No</v>
      </c>
      <c r="G482" t="str">
        <f>VLOOKUP(Table2[[#This Row],[Customer ID]],Table2[#All],6,FALSE)</f>
        <v>No</v>
      </c>
      <c r="H482">
        <f>VLOOKUP(Table2[[#This Row],[Customer ID]],Table2[#All],7,FALSE)</f>
        <v>0</v>
      </c>
      <c r="I482" t="str">
        <f>VLOOKUP(Table2[[#This Row],[Customer ID]],Table2[#All],8,FALSE)</f>
        <v>No</v>
      </c>
      <c r="J482" t="str">
        <f>VLOOKUP(Table2[[#This Row],[Customer ID]],Table2[#All],9,FALSE)</f>
        <v>Obesity</v>
      </c>
      <c r="K482" t="str">
        <f>VLOOKUP(Table2[[#This Row],[Customer ID]],Table2[#All],10,FALSE)</f>
        <v>Diabetes</v>
      </c>
    </row>
    <row r="483" spans="1:11" ht="15.6" x14ac:dyDescent="0.3">
      <c r="A483" s="1" t="s">
        <v>1889</v>
      </c>
      <c r="B483" t="str">
        <f>VLOOKUP('Customer Names'!A483,'Customer Names'!$A$1:$E$2336,4,FALSE)</f>
        <v>Mr.  Malcolm J.</v>
      </c>
      <c r="C483">
        <f>VLOOKUP(Table2[[#This Row],[Customer ID]],Table2[#All],2,FALSE)</f>
        <v>37.299999999999997</v>
      </c>
      <c r="D483">
        <f>VLOOKUP(Table2[[#This Row],[Customer ID]],Table2[#All],3,FALSE)</f>
        <v>7.79</v>
      </c>
      <c r="E483" t="str">
        <f>VLOOKUP(Table2[[#This Row],[Customer ID]],Table2[#All],4,FALSE)</f>
        <v>Yes</v>
      </c>
      <c r="F483" t="str">
        <f>VLOOKUP(Table2[[#This Row],[Customer ID]],Table2[#All],5,FALSE)</f>
        <v>No</v>
      </c>
      <c r="G483" t="str">
        <f>VLOOKUP(Table2[[#This Row],[Customer ID]],Table2[#All],6,FALSE)</f>
        <v>No</v>
      </c>
      <c r="H483">
        <f>VLOOKUP(Table2[[#This Row],[Customer ID]],Table2[#All],7,FALSE)</f>
        <v>0</v>
      </c>
      <c r="I483" t="str">
        <f>VLOOKUP(Table2[[#This Row],[Customer ID]],Table2[#All],8,FALSE)</f>
        <v>No</v>
      </c>
      <c r="J483" t="str">
        <f>VLOOKUP(Table2[[#This Row],[Customer ID]],Table2[#All],9,FALSE)</f>
        <v>Obesity</v>
      </c>
      <c r="K483" t="str">
        <f>VLOOKUP(Table2[[#This Row],[Customer ID]],Table2[#All],10,FALSE)</f>
        <v>Diabetes</v>
      </c>
    </row>
    <row r="484" spans="1:11" ht="15.6" x14ac:dyDescent="0.3">
      <c r="A484" s="1" t="s">
        <v>1888</v>
      </c>
      <c r="B484" t="str">
        <f>VLOOKUP('Customer Names'!A484,'Customer Names'!$A$1:$E$2336,4,FALSE)</f>
        <v>Ms.  Margaret B.</v>
      </c>
      <c r="C484">
        <f>VLOOKUP(Table2[[#This Row],[Customer ID]],Table2[#All],2,FALSE)</f>
        <v>54.47</v>
      </c>
      <c r="D484">
        <f>VLOOKUP(Table2[[#This Row],[Customer ID]],Table2[#All],3,FALSE)</f>
        <v>4.49</v>
      </c>
      <c r="E484" t="str">
        <f>VLOOKUP(Table2[[#This Row],[Customer ID]],Table2[#All],4,FALSE)</f>
        <v>Yes</v>
      </c>
      <c r="F484" t="str">
        <f>VLOOKUP(Table2[[#This Row],[Customer ID]],Table2[#All],5,FALSE)</f>
        <v>No</v>
      </c>
      <c r="G484" t="str">
        <f>VLOOKUP(Table2[[#This Row],[Customer ID]],Table2[#All],6,FALSE)</f>
        <v>No</v>
      </c>
      <c r="H484">
        <f>VLOOKUP(Table2[[#This Row],[Customer ID]],Table2[#All],7,FALSE)</f>
        <v>2</v>
      </c>
      <c r="I484" t="str">
        <f>VLOOKUP(Table2[[#This Row],[Customer ID]],Table2[#All],8,FALSE)</f>
        <v>No</v>
      </c>
      <c r="J484" t="str">
        <f>VLOOKUP(Table2[[#This Row],[Customer ID]],Table2[#All],9,FALSE)</f>
        <v>Obesity</v>
      </c>
      <c r="K484" t="str">
        <f>VLOOKUP(Table2[[#This Row],[Customer ID]],Table2[#All],10,FALSE)</f>
        <v>Normal</v>
      </c>
    </row>
    <row r="485" spans="1:11" ht="15.6" x14ac:dyDescent="0.3">
      <c r="A485" s="1" t="s">
        <v>1887</v>
      </c>
      <c r="B485" t="str">
        <f>VLOOKUP('Customer Names'!A485,'Customer Names'!$A$1:$E$2336,4,FALSE)</f>
        <v>Ms.  Helen</v>
      </c>
      <c r="C485">
        <f>VLOOKUP(Table2[[#This Row],[Customer ID]],Table2[#All],2,FALSE)</f>
        <v>38.06</v>
      </c>
      <c r="D485">
        <f>VLOOKUP(Table2[[#This Row],[Customer ID]],Table2[#All],3,FALSE)</f>
        <v>5.24</v>
      </c>
      <c r="E485" t="str">
        <f>VLOOKUP(Table2[[#This Row],[Customer ID]],Table2[#All],4,FALSE)</f>
        <v>Yes</v>
      </c>
      <c r="F485" t="str">
        <f>VLOOKUP(Table2[[#This Row],[Customer ID]],Table2[#All],5,FALSE)</f>
        <v>No</v>
      </c>
      <c r="G485" t="str">
        <f>VLOOKUP(Table2[[#This Row],[Customer ID]],Table2[#All],6,FALSE)</f>
        <v>Yes</v>
      </c>
      <c r="H485">
        <f>VLOOKUP(Table2[[#This Row],[Customer ID]],Table2[#All],7,FALSE)</f>
        <v>1</v>
      </c>
      <c r="I485" t="str">
        <f>VLOOKUP(Table2[[#This Row],[Customer ID]],Table2[#All],8,FALSE)</f>
        <v>No</v>
      </c>
      <c r="J485" t="str">
        <f>VLOOKUP(Table2[[#This Row],[Customer ID]],Table2[#All],9,FALSE)</f>
        <v>Obesity</v>
      </c>
      <c r="K485" t="str">
        <f>VLOOKUP(Table2[[#This Row],[Customer ID]],Table2[#All],10,FALSE)</f>
        <v>Normal</v>
      </c>
    </row>
    <row r="486" spans="1:11" ht="15.6" x14ac:dyDescent="0.3">
      <c r="A486" s="1" t="s">
        <v>1886</v>
      </c>
      <c r="B486" t="str">
        <f>VLOOKUP('Customer Names'!A486,'Customer Names'!$A$1:$E$2336,4,FALSE)</f>
        <v>Mr.  Matthew</v>
      </c>
      <c r="C486">
        <f>VLOOKUP(Table2[[#This Row],[Customer ID]],Table2[#All],2,FALSE)</f>
        <v>51.47</v>
      </c>
      <c r="D486">
        <f>VLOOKUP(Table2[[#This Row],[Customer ID]],Table2[#All],3,FALSE)</f>
        <v>9.6</v>
      </c>
      <c r="E486" t="str">
        <f>VLOOKUP(Table2[[#This Row],[Customer ID]],Table2[#All],4,FALSE)</f>
        <v>No</v>
      </c>
      <c r="F486" t="str">
        <f>VLOOKUP(Table2[[#This Row],[Customer ID]],Table2[#All],5,FALSE)</f>
        <v>No</v>
      </c>
      <c r="G486" t="str">
        <f>VLOOKUP(Table2[[#This Row],[Customer ID]],Table2[#All],6,FALSE)</f>
        <v>No</v>
      </c>
      <c r="H486">
        <f>VLOOKUP(Table2[[#This Row],[Customer ID]],Table2[#All],7,FALSE)</f>
        <v>0</v>
      </c>
      <c r="I486" t="str">
        <f>VLOOKUP(Table2[[#This Row],[Customer ID]],Table2[#All],8,FALSE)</f>
        <v>No</v>
      </c>
      <c r="J486" t="str">
        <f>VLOOKUP(Table2[[#This Row],[Customer ID]],Table2[#All],9,FALSE)</f>
        <v>Obesity</v>
      </c>
      <c r="K486" t="str">
        <f>VLOOKUP(Table2[[#This Row],[Customer ID]],Table2[#All],10,FALSE)</f>
        <v>Diabetes</v>
      </c>
    </row>
    <row r="487" spans="1:11" ht="15.6" x14ac:dyDescent="0.3">
      <c r="A487" s="1" t="s">
        <v>1885</v>
      </c>
      <c r="B487" t="str">
        <f>VLOOKUP('Customer Names'!A487,'Customer Names'!$A$1:$E$2336,4,FALSE)</f>
        <v>Mr.  Jeff</v>
      </c>
      <c r="C487">
        <f>VLOOKUP(Table2[[#This Row],[Customer ID]],Table2[#All],2,FALSE)</f>
        <v>29.8</v>
      </c>
      <c r="D487">
        <f>VLOOKUP(Table2[[#This Row],[Customer ID]],Table2[#All],3,FALSE)</f>
        <v>5.78</v>
      </c>
      <c r="E487" t="str">
        <f>VLOOKUP(Table2[[#This Row],[Customer ID]],Table2[#All],4,FALSE)</f>
        <v>Yes</v>
      </c>
      <c r="F487" t="str">
        <f>VLOOKUP(Table2[[#This Row],[Customer ID]],Table2[#All],5,FALSE)</f>
        <v>No</v>
      </c>
      <c r="G487" t="str">
        <f>VLOOKUP(Table2[[#This Row],[Customer ID]],Table2[#All],6,FALSE)</f>
        <v>No</v>
      </c>
      <c r="H487">
        <f>VLOOKUP(Table2[[#This Row],[Customer ID]],Table2[#All],7,FALSE)</f>
        <v>0</v>
      </c>
      <c r="I487" t="str">
        <f>VLOOKUP(Table2[[#This Row],[Customer ID]],Table2[#All],8,FALSE)</f>
        <v>No</v>
      </c>
      <c r="J487" t="str">
        <f>VLOOKUP(Table2[[#This Row],[Customer ID]],Table2[#All],9,FALSE)</f>
        <v>Overweight</v>
      </c>
      <c r="K487" t="str">
        <f>VLOOKUP(Table2[[#This Row],[Customer ID]],Table2[#All],10,FALSE)</f>
        <v>Prediabetes</v>
      </c>
    </row>
    <row r="488" spans="1:11" ht="15.6" x14ac:dyDescent="0.3">
      <c r="A488" s="1" t="s">
        <v>1884</v>
      </c>
      <c r="B488" t="str">
        <f>VLOOKUP('Customer Names'!A488,'Customer Names'!$A$1:$E$2336,4,FALSE)</f>
        <v>Mrs.  Tara R</v>
      </c>
      <c r="C488">
        <f>VLOOKUP(Table2[[#This Row],[Customer ID]],Table2[#All],2,FALSE)</f>
        <v>49.77</v>
      </c>
      <c r="D488">
        <f>VLOOKUP(Table2[[#This Row],[Customer ID]],Table2[#All],3,FALSE)</f>
        <v>7.02</v>
      </c>
      <c r="E488" t="str">
        <f>VLOOKUP(Table2[[#This Row],[Customer ID]],Table2[#All],4,FALSE)</f>
        <v>No</v>
      </c>
      <c r="F488" t="str">
        <f>VLOOKUP(Table2[[#This Row],[Customer ID]],Table2[#All],5,FALSE)</f>
        <v>No</v>
      </c>
      <c r="G488" t="str">
        <f>VLOOKUP(Table2[[#This Row],[Customer ID]],Table2[#All],6,FALSE)</f>
        <v>No</v>
      </c>
      <c r="H488">
        <f>VLOOKUP(Table2[[#This Row],[Customer ID]],Table2[#All],7,FALSE)</f>
        <v>0</v>
      </c>
      <c r="I488" t="str">
        <f>VLOOKUP(Table2[[#This Row],[Customer ID]],Table2[#All],8,FALSE)</f>
        <v>No</v>
      </c>
      <c r="J488" t="str">
        <f>VLOOKUP(Table2[[#This Row],[Customer ID]],Table2[#All],9,FALSE)</f>
        <v>Obesity</v>
      </c>
      <c r="K488" t="str">
        <f>VLOOKUP(Table2[[#This Row],[Customer ID]],Table2[#All],10,FALSE)</f>
        <v>Diabetes</v>
      </c>
    </row>
    <row r="489" spans="1:11" ht="15.6" x14ac:dyDescent="0.3">
      <c r="A489" s="1" t="s">
        <v>1883</v>
      </c>
      <c r="B489" t="str">
        <f>VLOOKUP('Customer Names'!A489,'Customer Names'!$A$1:$E$2336,4,FALSE)</f>
        <v>Ms.  Kristin</v>
      </c>
      <c r="C489">
        <f>VLOOKUP(Table2[[#This Row],[Customer ID]],Table2[#All],2,FALSE)</f>
        <v>25.555</v>
      </c>
      <c r="D489">
        <f>VLOOKUP(Table2[[#This Row],[Customer ID]],Table2[#All],3,FALSE)</f>
        <v>4.09</v>
      </c>
      <c r="E489" t="str">
        <f>VLOOKUP(Table2[[#This Row],[Customer ID]],Table2[#All],4,FALSE)</f>
        <v>Yes</v>
      </c>
      <c r="F489" t="str">
        <f>VLOOKUP(Table2[[#This Row],[Customer ID]],Table2[#All],5,FALSE)</f>
        <v>No</v>
      </c>
      <c r="G489" t="str">
        <f>VLOOKUP(Table2[[#This Row],[Customer ID]],Table2[#All],6,FALSE)</f>
        <v>No</v>
      </c>
      <c r="H489">
        <f>VLOOKUP(Table2[[#This Row],[Customer ID]],Table2[#All],7,FALSE)</f>
        <v>0</v>
      </c>
      <c r="I489" t="str">
        <f>VLOOKUP(Table2[[#This Row],[Customer ID]],Table2[#All],8,FALSE)</f>
        <v>Yes</v>
      </c>
      <c r="J489" t="str">
        <f>VLOOKUP(Table2[[#This Row],[Customer ID]],Table2[#All],9,FALSE)</f>
        <v>Overweight</v>
      </c>
      <c r="K489" t="str">
        <f>VLOOKUP(Table2[[#This Row],[Customer ID]],Table2[#All],10,FALSE)</f>
        <v>Normal</v>
      </c>
    </row>
    <row r="490" spans="1:11" ht="15.6" x14ac:dyDescent="0.3">
      <c r="A490" s="1" t="s">
        <v>1882</v>
      </c>
      <c r="B490" t="str">
        <f>VLOOKUP('Customer Names'!A490,'Customer Names'!$A$1:$E$2336,4,FALSE)</f>
        <v>Mr.  Timothy</v>
      </c>
      <c r="C490">
        <f>VLOOKUP(Table2[[#This Row],[Customer ID]],Table2[#All],2,FALSE)</f>
        <v>29.64</v>
      </c>
      <c r="D490">
        <f>VLOOKUP(Table2[[#This Row],[Customer ID]],Table2[#All],3,FALSE)</f>
        <v>4.93</v>
      </c>
      <c r="E490" t="str">
        <f>VLOOKUP(Table2[[#This Row],[Customer ID]],Table2[#All],4,FALSE)</f>
        <v>No</v>
      </c>
      <c r="F490" t="str">
        <f>VLOOKUP(Table2[[#This Row],[Customer ID]],Table2[#All],5,FALSE)</f>
        <v>No</v>
      </c>
      <c r="G490" t="str">
        <f>VLOOKUP(Table2[[#This Row],[Customer ID]],Table2[#All],6,FALSE)</f>
        <v>Yes</v>
      </c>
      <c r="H490">
        <f>VLOOKUP(Table2[[#This Row],[Customer ID]],Table2[#All],7,FALSE)</f>
        <v>1</v>
      </c>
      <c r="I490" t="str">
        <f>VLOOKUP(Table2[[#This Row],[Customer ID]],Table2[#All],8,FALSE)</f>
        <v>No</v>
      </c>
      <c r="J490" t="str">
        <f>VLOOKUP(Table2[[#This Row],[Customer ID]],Table2[#All],9,FALSE)</f>
        <v>Overweight</v>
      </c>
      <c r="K490" t="str">
        <f>VLOOKUP(Table2[[#This Row],[Customer ID]],Table2[#All],10,FALSE)</f>
        <v>Normal</v>
      </c>
    </row>
    <row r="491" spans="1:11" ht="15.6" x14ac:dyDescent="0.3">
      <c r="A491" s="1" t="s">
        <v>1881</v>
      </c>
      <c r="B491" t="str">
        <f>VLOOKUP('Customer Names'!A491,'Customer Names'!$A$1:$E$2336,4,FALSE)</f>
        <v>Mr.  Scott</v>
      </c>
      <c r="C491">
        <f>VLOOKUP(Table2[[#This Row],[Customer ID]],Table2[#All],2,FALSE)</f>
        <v>53.93</v>
      </c>
      <c r="D491">
        <f>VLOOKUP(Table2[[#This Row],[Customer ID]],Table2[#All],3,FALSE)</f>
        <v>5.34</v>
      </c>
      <c r="E491" t="str">
        <f>VLOOKUP(Table2[[#This Row],[Customer ID]],Table2[#All],4,FALSE)</f>
        <v>Yes</v>
      </c>
      <c r="F491" t="str">
        <f>VLOOKUP(Table2[[#This Row],[Customer ID]],Table2[#All],5,FALSE)</f>
        <v>No</v>
      </c>
      <c r="G491" t="str">
        <f>VLOOKUP(Table2[[#This Row],[Customer ID]],Table2[#All],6,FALSE)</f>
        <v>No</v>
      </c>
      <c r="H491">
        <f>VLOOKUP(Table2[[#This Row],[Customer ID]],Table2[#All],7,FALSE)</f>
        <v>2</v>
      </c>
      <c r="I491" t="str">
        <f>VLOOKUP(Table2[[#This Row],[Customer ID]],Table2[#All],8,FALSE)</f>
        <v>No</v>
      </c>
      <c r="J491" t="str">
        <f>VLOOKUP(Table2[[#This Row],[Customer ID]],Table2[#All],9,FALSE)</f>
        <v>Obesity</v>
      </c>
      <c r="K491" t="str">
        <f>VLOOKUP(Table2[[#This Row],[Customer ID]],Table2[#All],10,FALSE)</f>
        <v>Normal</v>
      </c>
    </row>
    <row r="492" spans="1:11" ht="15.6" x14ac:dyDescent="0.3">
      <c r="A492" s="1" t="s">
        <v>1880</v>
      </c>
      <c r="B492" t="str">
        <f>VLOOKUP('Customer Names'!A492,'Customer Names'!$A$1:$E$2336,4,FALSE)</f>
        <v>Ms.  Carly E</v>
      </c>
      <c r="C492">
        <f>VLOOKUP(Table2[[#This Row],[Customer ID]],Table2[#All],2,FALSE)</f>
        <v>28.024999999999999</v>
      </c>
      <c r="D492">
        <f>VLOOKUP(Table2[[#This Row],[Customer ID]],Table2[#All],3,FALSE)</f>
        <v>5.65</v>
      </c>
      <c r="E492" t="str">
        <f>VLOOKUP(Table2[[#This Row],[Customer ID]],Table2[#All],4,FALSE)</f>
        <v>No</v>
      </c>
      <c r="F492" t="str">
        <f>VLOOKUP(Table2[[#This Row],[Customer ID]],Table2[#All],5,FALSE)</f>
        <v>No</v>
      </c>
      <c r="G492" t="str">
        <f>VLOOKUP(Table2[[#This Row],[Customer ID]],Table2[#All],6,FALSE)</f>
        <v>No</v>
      </c>
      <c r="H492">
        <f>VLOOKUP(Table2[[#This Row],[Customer ID]],Table2[#All],7,FALSE)</f>
        <v>1</v>
      </c>
      <c r="I492" t="str">
        <f>VLOOKUP(Table2[[#This Row],[Customer ID]],Table2[#All],8,FALSE)</f>
        <v>Yes</v>
      </c>
      <c r="J492" t="str">
        <f>VLOOKUP(Table2[[#This Row],[Customer ID]],Table2[#All],9,FALSE)</f>
        <v>Overweight</v>
      </c>
      <c r="K492" t="str">
        <f>VLOOKUP(Table2[[#This Row],[Customer ID]],Table2[#All],10,FALSE)</f>
        <v>Normal</v>
      </c>
    </row>
    <row r="493" spans="1:11" ht="15.6" x14ac:dyDescent="0.3">
      <c r="A493" s="1" t="s">
        <v>1879</v>
      </c>
      <c r="B493" t="str">
        <f>VLOOKUP('Customer Names'!A493,'Customer Names'!$A$1:$E$2336,4,FALSE)</f>
        <v>Ms.  Lisa</v>
      </c>
      <c r="C493">
        <f>VLOOKUP(Table2[[#This Row],[Customer ID]],Table2[#All],2,FALSE)</f>
        <v>27.5</v>
      </c>
      <c r="D493">
        <f>VLOOKUP(Table2[[#This Row],[Customer ID]],Table2[#All],3,FALSE)</f>
        <v>4.49</v>
      </c>
      <c r="E493" t="str">
        <f>VLOOKUP(Table2[[#This Row],[Customer ID]],Table2[#All],4,FALSE)</f>
        <v>No</v>
      </c>
      <c r="F493" t="str">
        <f>VLOOKUP(Table2[[#This Row],[Customer ID]],Table2[#All],5,FALSE)</f>
        <v>No</v>
      </c>
      <c r="G493" t="str">
        <f>VLOOKUP(Table2[[#This Row],[Customer ID]],Table2[#All],6,FALSE)</f>
        <v>No</v>
      </c>
      <c r="H493">
        <f>VLOOKUP(Table2[[#This Row],[Customer ID]],Table2[#All],7,FALSE)</f>
        <v>0</v>
      </c>
      <c r="I493" t="str">
        <f>VLOOKUP(Table2[[#This Row],[Customer ID]],Table2[#All],8,FALSE)</f>
        <v>No</v>
      </c>
      <c r="J493" t="str">
        <f>VLOOKUP(Table2[[#This Row],[Customer ID]],Table2[#All],9,FALSE)</f>
        <v>Overweight</v>
      </c>
      <c r="K493" t="str">
        <f>VLOOKUP(Table2[[#This Row],[Customer ID]],Table2[#All],10,FALSE)</f>
        <v>Normal</v>
      </c>
    </row>
    <row r="494" spans="1:11" ht="15.6" x14ac:dyDescent="0.3">
      <c r="A494" s="1" t="s">
        <v>1878</v>
      </c>
      <c r="B494" t="str">
        <f>VLOOKUP('Customer Names'!A494,'Customer Names'!$A$1:$E$2336,4,FALSE)</f>
        <v>Ms.  Stacey</v>
      </c>
      <c r="C494">
        <f>VLOOKUP(Table2[[#This Row],[Customer ID]],Table2[#All],2,FALSE)</f>
        <v>21.8</v>
      </c>
      <c r="D494">
        <f>VLOOKUP(Table2[[#This Row],[Customer ID]],Table2[#All],3,FALSE)</f>
        <v>10.55</v>
      </c>
      <c r="E494" t="str">
        <f>VLOOKUP(Table2[[#This Row],[Customer ID]],Table2[#All],4,FALSE)</f>
        <v>No</v>
      </c>
      <c r="F494" t="str">
        <f>VLOOKUP(Table2[[#This Row],[Customer ID]],Table2[#All],5,FALSE)</f>
        <v>No</v>
      </c>
      <c r="G494" t="str">
        <f>VLOOKUP(Table2[[#This Row],[Customer ID]],Table2[#All],6,FALSE)</f>
        <v>No</v>
      </c>
      <c r="H494">
        <f>VLOOKUP(Table2[[#This Row],[Customer ID]],Table2[#All],7,FALSE)</f>
        <v>0</v>
      </c>
      <c r="I494" t="str">
        <f>VLOOKUP(Table2[[#This Row],[Customer ID]],Table2[#All],8,FALSE)</f>
        <v>Yes</v>
      </c>
      <c r="J494" t="str">
        <f>VLOOKUP(Table2[[#This Row],[Customer ID]],Table2[#All],9,FALSE)</f>
        <v>Normalweight</v>
      </c>
      <c r="K494" t="str">
        <f>VLOOKUP(Table2[[#This Row],[Customer ID]],Table2[#All],10,FALSE)</f>
        <v>Diabetes</v>
      </c>
    </row>
    <row r="495" spans="1:11" ht="15.6" x14ac:dyDescent="0.3">
      <c r="A495" s="1" t="s">
        <v>1877</v>
      </c>
      <c r="B495" t="str">
        <f>VLOOKUP('Customer Names'!A495,'Customer Names'!$A$1:$E$2336,4,FALSE)</f>
        <v>Mr.  Louis</v>
      </c>
      <c r="C495">
        <f>VLOOKUP(Table2[[#This Row],[Customer ID]],Table2[#All],2,FALSE)</f>
        <v>26.41</v>
      </c>
      <c r="D495">
        <f>VLOOKUP(Table2[[#This Row],[Customer ID]],Table2[#All],3,FALSE)</f>
        <v>4.92</v>
      </c>
      <c r="E495" t="str">
        <f>VLOOKUP(Table2[[#This Row],[Customer ID]],Table2[#All],4,FALSE)</f>
        <v>Yes</v>
      </c>
      <c r="F495" t="str">
        <f>VLOOKUP(Table2[[#This Row],[Customer ID]],Table2[#All],5,FALSE)</f>
        <v>No</v>
      </c>
      <c r="G495" t="str">
        <f>VLOOKUP(Table2[[#This Row],[Customer ID]],Table2[#All],6,FALSE)</f>
        <v>Yes</v>
      </c>
      <c r="H495">
        <f>VLOOKUP(Table2[[#This Row],[Customer ID]],Table2[#All],7,FALSE)</f>
        <v>1</v>
      </c>
      <c r="I495" t="str">
        <f>VLOOKUP(Table2[[#This Row],[Customer ID]],Table2[#All],8,FALSE)</f>
        <v>Yes</v>
      </c>
      <c r="J495" t="str">
        <f>VLOOKUP(Table2[[#This Row],[Customer ID]],Table2[#All],9,FALSE)</f>
        <v>Overweight</v>
      </c>
      <c r="K495" t="str">
        <f>VLOOKUP(Table2[[#This Row],[Customer ID]],Table2[#All],10,FALSE)</f>
        <v>Normal</v>
      </c>
    </row>
    <row r="496" spans="1:11" ht="15.6" x14ac:dyDescent="0.3">
      <c r="A496" s="1" t="s">
        <v>1876</v>
      </c>
      <c r="B496" t="str">
        <f>VLOOKUP('Customer Names'!A496,'Customer Names'!$A$1:$E$2336,4,FALSE)</f>
        <v>Mr.  Brian R.</v>
      </c>
      <c r="C496">
        <f>VLOOKUP(Table2[[#This Row],[Customer ID]],Table2[#All],2,FALSE)</f>
        <v>27.835000000000001</v>
      </c>
      <c r="D496">
        <f>VLOOKUP(Table2[[#This Row],[Customer ID]],Table2[#All],3,FALSE)</f>
        <v>5.9</v>
      </c>
      <c r="E496" t="str">
        <f>VLOOKUP(Table2[[#This Row],[Customer ID]],Table2[#All],4,FALSE)</f>
        <v>Yes</v>
      </c>
      <c r="F496" t="str">
        <f>VLOOKUP(Table2[[#This Row],[Customer ID]],Table2[#All],5,FALSE)</f>
        <v>No</v>
      </c>
      <c r="G496" t="str">
        <f>VLOOKUP(Table2[[#This Row],[Customer ID]],Table2[#All],6,FALSE)</f>
        <v>No</v>
      </c>
      <c r="H496">
        <f>VLOOKUP(Table2[[#This Row],[Customer ID]],Table2[#All],7,FALSE)</f>
        <v>1</v>
      </c>
      <c r="I496" t="str">
        <f>VLOOKUP(Table2[[#This Row],[Customer ID]],Table2[#All],8,FALSE)</f>
        <v>Yes</v>
      </c>
      <c r="J496" t="str">
        <f>VLOOKUP(Table2[[#This Row],[Customer ID]],Table2[#All],9,FALSE)</f>
        <v>Overweight</v>
      </c>
      <c r="K496" t="str">
        <f>VLOOKUP(Table2[[#This Row],[Customer ID]],Table2[#All],10,FALSE)</f>
        <v>Prediabetes</v>
      </c>
    </row>
    <row r="497" spans="1:11" ht="15.6" x14ac:dyDescent="0.3">
      <c r="A497" s="1" t="s">
        <v>1875</v>
      </c>
      <c r="B497" t="str">
        <f>VLOOKUP('Customer Names'!A497,'Customer Names'!$A$1:$E$2336,4,FALSE)</f>
        <v>Mrs.  Jessica</v>
      </c>
      <c r="C497">
        <f>VLOOKUP(Table2[[#This Row],[Customer ID]],Table2[#All],2,FALSE)</f>
        <v>51.74</v>
      </c>
      <c r="D497">
        <f>VLOOKUP(Table2[[#This Row],[Customer ID]],Table2[#All],3,FALSE)</f>
        <v>4.9800000000000004</v>
      </c>
      <c r="E497" t="str">
        <f>VLOOKUP(Table2[[#This Row],[Customer ID]],Table2[#All],4,FALSE)</f>
        <v>Yes</v>
      </c>
      <c r="F497" t="str">
        <f>VLOOKUP(Table2[[#This Row],[Customer ID]],Table2[#All],5,FALSE)</f>
        <v>No</v>
      </c>
      <c r="G497" t="str">
        <f>VLOOKUP(Table2[[#This Row],[Customer ID]],Table2[#All],6,FALSE)</f>
        <v>No</v>
      </c>
      <c r="H497">
        <f>VLOOKUP(Table2[[#This Row],[Customer ID]],Table2[#All],7,FALSE)</f>
        <v>2</v>
      </c>
      <c r="I497" t="str">
        <f>VLOOKUP(Table2[[#This Row],[Customer ID]],Table2[#All],8,FALSE)</f>
        <v>No</v>
      </c>
      <c r="J497" t="str">
        <f>VLOOKUP(Table2[[#This Row],[Customer ID]],Table2[#All],9,FALSE)</f>
        <v>Obesity</v>
      </c>
      <c r="K497" t="str">
        <f>VLOOKUP(Table2[[#This Row],[Customer ID]],Table2[#All],10,FALSE)</f>
        <v>Normal</v>
      </c>
    </row>
    <row r="498" spans="1:11" ht="15.6" x14ac:dyDescent="0.3">
      <c r="A498" s="1" t="s">
        <v>1874</v>
      </c>
      <c r="B498" t="str">
        <f>VLOOKUP('Customer Names'!A498,'Customer Names'!$A$1:$E$2336,4,FALSE)</f>
        <v>Ms.  Dawn M.</v>
      </c>
      <c r="C498">
        <f>VLOOKUP(Table2[[#This Row],[Customer ID]],Table2[#All],2,FALSE)</f>
        <v>23.37</v>
      </c>
      <c r="D498">
        <f>VLOOKUP(Table2[[#This Row],[Customer ID]],Table2[#All],3,FALSE)</f>
        <v>5.8</v>
      </c>
      <c r="E498" t="str">
        <f>VLOOKUP(Table2[[#This Row],[Customer ID]],Table2[#All],4,FALSE)</f>
        <v>No</v>
      </c>
      <c r="F498" t="str">
        <f>VLOOKUP(Table2[[#This Row],[Customer ID]],Table2[#All],5,FALSE)</f>
        <v>No</v>
      </c>
      <c r="G498" t="str">
        <f>VLOOKUP(Table2[[#This Row],[Customer ID]],Table2[#All],6,FALSE)</f>
        <v>No</v>
      </c>
      <c r="H498">
        <f>VLOOKUP(Table2[[#This Row],[Customer ID]],Table2[#All],7,FALSE)</f>
        <v>0</v>
      </c>
      <c r="I498" t="str">
        <f>VLOOKUP(Table2[[#This Row],[Customer ID]],Table2[#All],8,FALSE)</f>
        <v>Yes</v>
      </c>
      <c r="J498" t="str">
        <f>VLOOKUP(Table2[[#This Row],[Customer ID]],Table2[#All],9,FALSE)</f>
        <v>Normalweight</v>
      </c>
      <c r="K498" t="str">
        <f>VLOOKUP(Table2[[#This Row],[Customer ID]],Table2[#All],10,FALSE)</f>
        <v>Prediabetes</v>
      </c>
    </row>
    <row r="499" spans="1:11" ht="15.6" x14ac:dyDescent="0.3">
      <c r="A499" s="1" t="s">
        <v>1873</v>
      </c>
      <c r="B499" t="str">
        <f>VLOOKUP('Customer Names'!A499,'Customer Names'!$A$1:$E$2336,4,FALSE)</f>
        <v>Mr.  Chris</v>
      </c>
      <c r="C499">
        <f>VLOOKUP(Table2[[#This Row],[Customer ID]],Table2[#All],2,FALSE)</f>
        <v>29.7</v>
      </c>
      <c r="D499">
        <f>VLOOKUP(Table2[[#This Row],[Customer ID]],Table2[#All],3,FALSE)</f>
        <v>6.21</v>
      </c>
      <c r="E499" t="str">
        <f>VLOOKUP(Table2[[#This Row],[Customer ID]],Table2[#All],4,FALSE)</f>
        <v>Yes</v>
      </c>
      <c r="F499" t="str">
        <f>VLOOKUP(Table2[[#This Row],[Customer ID]],Table2[#All],5,FALSE)</f>
        <v>No</v>
      </c>
      <c r="G499" t="str">
        <f>VLOOKUP(Table2[[#This Row],[Customer ID]],Table2[#All],6,FALSE)</f>
        <v>Yes</v>
      </c>
      <c r="H499">
        <f>VLOOKUP(Table2[[#This Row],[Customer ID]],Table2[#All],7,FALSE)</f>
        <v>1</v>
      </c>
      <c r="I499" t="str">
        <f>VLOOKUP(Table2[[#This Row],[Customer ID]],Table2[#All],8,FALSE)</f>
        <v>Yes</v>
      </c>
      <c r="J499" t="str">
        <f>VLOOKUP(Table2[[#This Row],[Customer ID]],Table2[#All],9,FALSE)</f>
        <v>Overweight</v>
      </c>
      <c r="K499" t="str">
        <f>VLOOKUP(Table2[[#This Row],[Customer ID]],Table2[#All],10,FALSE)</f>
        <v>Prediabetes</v>
      </c>
    </row>
    <row r="500" spans="1:11" ht="15.6" x14ac:dyDescent="0.3">
      <c r="A500" s="1" t="s">
        <v>1872</v>
      </c>
      <c r="B500" t="str">
        <f>VLOOKUP('Customer Names'!A500,'Customer Names'!$A$1:$E$2336,4,FALSE)</f>
        <v>Ms.  Karen</v>
      </c>
      <c r="C500">
        <f>VLOOKUP(Table2[[#This Row],[Customer ID]],Table2[#All],2,FALSE)</f>
        <v>20.045000000000002</v>
      </c>
      <c r="D500">
        <f>VLOOKUP(Table2[[#This Row],[Customer ID]],Table2[#All],3,FALSE)</f>
        <v>6.17</v>
      </c>
      <c r="E500" t="str">
        <f>VLOOKUP(Table2[[#This Row],[Customer ID]],Table2[#All],4,FALSE)</f>
        <v>No</v>
      </c>
      <c r="F500" t="str">
        <f>VLOOKUP(Table2[[#This Row],[Customer ID]],Table2[#All],5,FALSE)</f>
        <v>No</v>
      </c>
      <c r="G500" t="str">
        <f>VLOOKUP(Table2[[#This Row],[Customer ID]],Table2[#All],6,FALSE)</f>
        <v>Yes</v>
      </c>
      <c r="H500">
        <f>VLOOKUP(Table2[[#This Row],[Customer ID]],Table2[#All],7,FALSE)</f>
        <v>1</v>
      </c>
      <c r="I500" t="str">
        <f>VLOOKUP(Table2[[#This Row],[Customer ID]],Table2[#All],8,FALSE)</f>
        <v>Yes</v>
      </c>
      <c r="J500" t="str">
        <f>VLOOKUP(Table2[[#This Row],[Customer ID]],Table2[#All],9,FALSE)</f>
        <v>Normalweight</v>
      </c>
      <c r="K500" t="str">
        <f>VLOOKUP(Table2[[#This Row],[Customer ID]],Table2[#All],10,FALSE)</f>
        <v>Prediabetes</v>
      </c>
    </row>
    <row r="501" spans="1:11" ht="15.6" x14ac:dyDescent="0.3">
      <c r="A501" s="1" t="s">
        <v>1871</v>
      </c>
      <c r="B501" t="str">
        <f>VLOOKUP('Customer Names'!A501,'Customer Names'!$A$1:$E$2336,4,FALSE)</f>
        <v>Ms.  Jessica</v>
      </c>
      <c r="C501">
        <f>VLOOKUP(Table2[[#This Row],[Customer ID]],Table2[#All],2,FALSE)</f>
        <v>27.83</v>
      </c>
      <c r="D501">
        <f>VLOOKUP(Table2[[#This Row],[Customer ID]],Table2[#All],3,FALSE)</f>
        <v>5.36</v>
      </c>
      <c r="E501" t="str">
        <f>VLOOKUP(Table2[[#This Row],[Customer ID]],Table2[#All],4,FALSE)</f>
        <v>No</v>
      </c>
      <c r="F501" t="str">
        <f>VLOOKUP(Table2[[#This Row],[Customer ID]],Table2[#All],5,FALSE)</f>
        <v>No</v>
      </c>
      <c r="G501" t="str">
        <f>VLOOKUP(Table2[[#This Row],[Customer ID]],Table2[#All],6,FALSE)</f>
        <v>No</v>
      </c>
      <c r="H501">
        <f>VLOOKUP(Table2[[#This Row],[Customer ID]],Table2[#All],7,FALSE)</f>
        <v>2</v>
      </c>
      <c r="I501" t="str">
        <f>VLOOKUP(Table2[[#This Row],[Customer ID]],Table2[#All],8,FALSE)</f>
        <v>No</v>
      </c>
      <c r="J501" t="str">
        <f>VLOOKUP(Table2[[#This Row],[Customer ID]],Table2[#All],9,FALSE)</f>
        <v>Overweight</v>
      </c>
      <c r="K501" t="str">
        <f>VLOOKUP(Table2[[#This Row],[Customer ID]],Table2[#All],10,FALSE)</f>
        <v>Normal</v>
      </c>
    </row>
    <row r="502" spans="1:11" ht="15.6" x14ac:dyDescent="0.3">
      <c r="A502" s="1" t="s">
        <v>1870</v>
      </c>
      <c r="B502" t="str">
        <f>VLOOKUP('Customer Names'!A502,'Customer Names'!$A$1:$E$2336,4,FALSE)</f>
        <v>Mr.  Mathieu</v>
      </c>
      <c r="C502">
        <f>VLOOKUP(Table2[[#This Row],[Customer ID]],Table2[#All],2,FALSE)</f>
        <v>28.93</v>
      </c>
      <c r="D502">
        <f>VLOOKUP(Table2[[#This Row],[Customer ID]],Table2[#All],3,FALSE)</f>
        <v>5.2</v>
      </c>
      <c r="E502" t="str">
        <f>VLOOKUP(Table2[[#This Row],[Customer ID]],Table2[#All],4,FALSE)</f>
        <v>No</v>
      </c>
      <c r="F502" t="str">
        <f>VLOOKUP(Table2[[#This Row],[Customer ID]],Table2[#All],5,FALSE)</f>
        <v>No</v>
      </c>
      <c r="G502" t="str">
        <f>VLOOKUP(Table2[[#This Row],[Customer ID]],Table2[#All],6,FALSE)</f>
        <v>No</v>
      </c>
      <c r="H502">
        <f>VLOOKUP(Table2[[#This Row],[Customer ID]],Table2[#All],7,FALSE)</f>
        <v>0</v>
      </c>
      <c r="I502" t="str">
        <f>VLOOKUP(Table2[[#This Row],[Customer ID]],Table2[#All],8,FALSE)</f>
        <v>Yes</v>
      </c>
      <c r="J502" t="str">
        <f>VLOOKUP(Table2[[#This Row],[Customer ID]],Table2[#All],9,FALSE)</f>
        <v>Overweight</v>
      </c>
      <c r="K502" t="str">
        <f>VLOOKUP(Table2[[#This Row],[Customer ID]],Table2[#All],10,FALSE)</f>
        <v>Normal</v>
      </c>
    </row>
    <row r="503" spans="1:11" ht="15.6" x14ac:dyDescent="0.3">
      <c r="A503" s="1" t="s">
        <v>1869</v>
      </c>
      <c r="B503" t="str">
        <f>VLOOKUP('Customer Names'!A503,'Customer Names'!$A$1:$E$2336,4,FALSE)</f>
        <v>Mr.  Kam S.</v>
      </c>
      <c r="C503">
        <f>VLOOKUP(Table2[[#This Row],[Customer ID]],Table2[#All],2,FALSE)</f>
        <v>33.82</v>
      </c>
      <c r="D503">
        <f>VLOOKUP(Table2[[#This Row],[Customer ID]],Table2[#All],3,FALSE)</f>
        <v>5.42</v>
      </c>
      <c r="E503" t="str">
        <f>VLOOKUP(Table2[[#This Row],[Customer ID]],Table2[#All],4,FALSE)</f>
        <v>No</v>
      </c>
      <c r="F503" t="str">
        <f>VLOOKUP(Table2[[#This Row],[Customer ID]],Table2[#All],5,FALSE)</f>
        <v>No</v>
      </c>
      <c r="G503" t="str">
        <f>VLOOKUP(Table2[[#This Row],[Customer ID]],Table2[#All],6,FALSE)</f>
        <v>No</v>
      </c>
      <c r="H503">
        <f>VLOOKUP(Table2[[#This Row],[Customer ID]],Table2[#All],7,FALSE)</f>
        <v>0</v>
      </c>
      <c r="I503" t="str">
        <f>VLOOKUP(Table2[[#This Row],[Customer ID]],Table2[#All],8,FALSE)</f>
        <v>No</v>
      </c>
      <c r="J503" t="str">
        <f>VLOOKUP(Table2[[#This Row],[Customer ID]],Table2[#All],9,FALSE)</f>
        <v>Obesity</v>
      </c>
      <c r="K503" t="str">
        <f>VLOOKUP(Table2[[#This Row],[Customer ID]],Table2[#All],10,FALSE)</f>
        <v>Normal</v>
      </c>
    </row>
    <row r="504" spans="1:11" ht="15.6" x14ac:dyDescent="0.3">
      <c r="A504" s="1" t="s">
        <v>1868</v>
      </c>
      <c r="B504" t="str">
        <f>VLOOKUP('Customer Names'!A504,'Customer Names'!$A$1:$E$2336,4,FALSE)</f>
        <v>Ms.  Valerie A</v>
      </c>
      <c r="C504">
        <f>VLOOKUP(Table2[[#This Row],[Customer ID]],Table2[#All],2,FALSE)</f>
        <v>20.234999999999999</v>
      </c>
      <c r="D504">
        <f>VLOOKUP(Table2[[#This Row],[Customer ID]],Table2[#All],3,FALSE)</f>
        <v>6.84</v>
      </c>
      <c r="E504" t="str">
        <f>VLOOKUP(Table2[[#This Row],[Customer ID]],Table2[#All],4,FALSE)</f>
        <v>No</v>
      </c>
      <c r="F504" t="str">
        <f>VLOOKUP(Table2[[#This Row],[Customer ID]],Table2[#All],5,FALSE)</f>
        <v>No</v>
      </c>
      <c r="G504" t="str">
        <f>VLOOKUP(Table2[[#This Row],[Customer ID]],Table2[#All],6,FALSE)</f>
        <v>No</v>
      </c>
      <c r="H504">
        <f>VLOOKUP(Table2[[#This Row],[Customer ID]],Table2[#All],7,FALSE)</f>
        <v>0</v>
      </c>
      <c r="I504" t="str">
        <f>VLOOKUP(Table2[[#This Row],[Customer ID]],Table2[#All],8,FALSE)</f>
        <v>Yes</v>
      </c>
      <c r="J504" t="str">
        <f>VLOOKUP(Table2[[#This Row],[Customer ID]],Table2[#All],9,FALSE)</f>
        <v>Normalweight</v>
      </c>
      <c r="K504" t="str">
        <f>VLOOKUP(Table2[[#This Row],[Customer ID]],Table2[#All],10,FALSE)</f>
        <v>Diabetes</v>
      </c>
    </row>
    <row r="505" spans="1:11" ht="15.6" x14ac:dyDescent="0.3">
      <c r="A505" s="1" t="s">
        <v>1867</v>
      </c>
      <c r="B505" t="str">
        <f>VLOOKUP('Customer Names'!A505,'Customer Names'!$A$1:$E$2336,4,FALSE)</f>
        <v>Ms.  Freya R</v>
      </c>
      <c r="C505">
        <f>VLOOKUP(Table2[[#This Row],[Customer ID]],Table2[#All],2,FALSE)</f>
        <v>49.2</v>
      </c>
      <c r="D505">
        <f>VLOOKUP(Table2[[#This Row],[Customer ID]],Table2[#All],3,FALSE)</f>
        <v>10.9</v>
      </c>
      <c r="E505" t="str">
        <f>VLOOKUP(Table2[[#This Row],[Customer ID]],Table2[#All],4,FALSE)</f>
        <v>Yes</v>
      </c>
      <c r="F505" t="str">
        <f>VLOOKUP(Table2[[#This Row],[Customer ID]],Table2[#All],5,FALSE)</f>
        <v>No</v>
      </c>
      <c r="G505" t="str">
        <f>VLOOKUP(Table2[[#This Row],[Customer ID]],Table2[#All],6,FALSE)</f>
        <v>Yes</v>
      </c>
      <c r="H505">
        <f>VLOOKUP(Table2[[#This Row],[Customer ID]],Table2[#All],7,FALSE)</f>
        <v>1</v>
      </c>
      <c r="I505" t="str">
        <f>VLOOKUP(Table2[[#This Row],[Customer ID]],Table2[#All],8,FALSE)</f>
        <v>No</v>
      </c>
      <c r="J505" t="str">
        <f>VLOOKUP(Table2[[#This Row],[Customer ID]],Table2[#All],9,FALSE)</f>
        <v>Obesity</v>
      </c>
      <c r="K505" t="str">
        <f>VLOOKUP(Table2[[#This Row],[Customer ID]],Table2[#All],10,FALSE)</f>
        <v>Diabetes</v>
      </c>
    </row>
    <row r="506" spans="1:11" ht="15.6" x14ac:dyDescent="0.3">
      <c r="A506" s="1" t="s">
        <v>1866</v>
      </c>
      <c r="B506" t="str">
        <f>VLOOKUP('Customer Names'!A506,'Customer Names'!$A$1:$E$2336,4,FALSE)</f>
        <v>Ms.  Jennifer</v>
      </c>
      <c r="C506">
        <f>VLOOKUP(Table2[[#This Row],[Customer ID]],Table2[#All],2,FALSE)</f>
        <v>26.4</v>
      </c>
      <c r="D506">
        <f>VLOOKUP(Table2[[#This Row],[Customer ID]],Table2[#All],3,FALSE)</f>
        <v>4.87</v>
      </c>
      <c r="E506" t="str">
        <f>VLOOKUP(Table2[[#This Row],[Customer ID]],Table2[#All],4,FALSE)</f>
        <v>Yes</v>
      </c>
      <c r="F506" t="str">
        <f>VLOOKUP(Table2[[#This Row],[Customer ID]],Table2[#All],5,FALSE)</f>
        <v>No</v>
      </c>
      <c r="G506" t="str">
        <f>VLOOKUP(Table2[[#This Row],[Customer ID]],Table2[#All],6,FALSE)</f>
        <v>No</v>
      </c>
      <c r="H506">
        <f>VLOOKUP(Table2[[#This Row],[Customer ID]],Table2[#All],7,FALSE)</f>
        <v>0</v>
      </c>
      <c r="I506" t="str">
        <f>VLOOKUP(Table2[[#This Row],[Customer ID]],Table2[#All],8,FALSE)</f>
        <v>Yes</v>
      </c>
      <c r="J506" t="str">
        <f>VLOOKUP(Table2[[#This Row],[Customer ID]],Table2[#All],9,FALSE)</f>
        <v>Overweight</v>
      </c>
      <c r="K506" t="str">
        <f>VLOOKUP(Table2[[#This Row],[Customer ID]],Table2[#All],10,FALSE)</f>
        <v>Normal</v>
      </c>
    </row>
    <row r="507" spans="1:11" ht="15.6" x14ac:dyDescent="0.3">
      <c r="A507" s="1" t="s">
        <v>1865</v>
      </c>
      <c r="B507" t="str">
        <f>VLOOKUP('Customer Names'!A507,'Customer Names'!$A$1:$E$2336,4,FALSE)</f>
        <v>Ms.  Kara</v>
      </c>
      <c r="C507">
        <f>VLOOKUP(Table2[[#This Row],[Customer ID]],Table2[#All],2,FALSE)</f>
        <v>28.38</v>
      </c>
      <c r="D507">
        <f>VLOOKUP(Table2[[#This Row],[Customer ID]],Table2[#All],3,FALSE)</f>
        <v>6.07</v>
      </c>
      <c r="E507" t="str">
        <f>VLOOKUP(Table2[[#This Row],[Customer ID]],Table2[#All],4,FALSE)</f>
        <v>No</v>
      </c>
      <c r="F507" t="str">
        <f>VLOOKUP(Table2[[#This Row],[Customer ID]],Table2[#All],5,FALSE)</f>
        <v>No</v>
      </c>
      <c r="G507" t="str">
        <f>VLOOKUP(Table2[[#This Row],[Customer ID]],Table2[#All],6,FALSE)</f>
        <v>No</v>
      </c>
      <c r="H507">
        <f>VLOOKUP(Table2[[#This Row],[Customer ID]],Table2[#All],7,FALSE)</f>
        <v>1</v>
      </c>
      <c r="I507" t="str">
        <f>VLOOKUP(Table2[[#This Row],[Customer ID]],Table2[#All],8,FALSE)</f>
        <v>Yes</v>
      </c>
      <c r="J507" t="str">
        <f>VLOOKUP(Table2[[#This Row],[Customer ID]],Table2[#All],9,FALSE)</f>
        <v>Overweight</v>
      </c>
      <c r="K507" t="str">
        <f>VLOOKUP(Table2[[#This Row],[Customer ID]],Table2[#All],10,FALSE)</f>
        <v>Prediabetes</v>
      </c>
    </row>
    <row r="508" spans="1:11" ht="15.6" x14ac:dyDescent="0.3">
      <c r="A508" s="1" t="s">
        <v>1864</v>
      </c>
      <c r="B508" t="str">
        <f>VLOOKUP('Customer Names'!A508,'Customer Names'!$A$1:$E$2336,4,FALSE)</f>
        <v>Mr.  Bradley A.</v>
      </c>
      <c r="C508">
        <f>VLOOKUP(Table2[[#This Row],[Customer ID]],Table2[#All],2,FALSE)</f>
        <v>24.64</v>
      </c>
      <c r="D508">
        <f>VLOOKUP(Table2[[#This Row],[Customer ID]],Table2[#All],3,FALSE)</f>
        <v>4.33</v>
      </c>
      <c r="E508" t="str">
        <f>VLOOKUP(Table2[[#This Row],[Customer ID]],Table2[#All],4,FALSE)</f>
        <v>No</v>
      </c>
      <c r="F508" t="str">
        <f>VLOOKUP(Table2[[#This Row],[Customer ID]],Table2[#All],5,FALSE)</f>
        <v>No</v>
      </c>
      <c r="G508" t="str">
        <f>VLOOKUP(Table2[[#This Row],[Customer ID]],Table2[#All],6,FALSE)</f>
        <v>No</v>
      </c>
      <c r="H508">
        <f>VLOOKUP(Table2[[#This Row],[Customer ID]],Table2[#All],7,FALSE)</f>
        <v>0</v>
      </c>
      <c r="I508" t="str">
        <f>VLOOKUP(Table2[[#This Row],[Customer ID]],Table2[#All],8,FALSE)</f>
        <v>Yes</v>
      </c>
      <c r="J508" t="str">
        <f>VLOOKUP(Table2[[#This Row],[Customer ID]],Table2[#All],9,FALSE)</f>
        <v>Normalweight</v>
      </c>
      <c r="K508" t="str">
        <f>VLOOKUP(Table2[[#This Row],[Customer ID]],Table2[#All],10,FALSE)</f>
        <v>Normal</v>
      </c>
    </row>
    <row r="509" spans="1:11" ht="15.6" x14ac:dyDescent="0.3">
      <c r="A509" s="1" t="s">
        <v>1863</v>
      </c>
      <c r="B509" t="str">
        <f>VLOOKUP('Customer Names'!A509,'Customer Names'!$A$1:$E$2336,4,FALSE)</f>
        <v>Mr.  Brendan</v>
      </c>
      <c r="C509">
        <f>VLOOKUP(Table2[[#This Row],[Customer ID]],Table2[#All],2,FALSE)</f>
        <v>39.71</v>
      </c>
      <c r="D509">
        <f>VLOOKUP(Table2[[#This Row],[Customer ID]],Table2[#All],3,FALSE)</f>
        <v>5.83</v>
      </c>
      <c r="E509" t="str">
        <f>VLOOKUP(Table2[[#This Row],[Customer ID]],Table2[#All],4,FALSE)</f>
        <v>No</v>
      </c>
      <c r="F509" t="str">
        <f>VLOOKUP(Table2[[#This Row],[Customer ID]],Table2[#All],5,FALSE)</f>
        <v>No</v>
      </c>
      <c r="G509" t="str">
        <f>VLOOKUP(Table2[[#This Row],[Customer ID]],Table2[#All],6,FALSE)</f>
        <v>No</v>
      </c>
      <c r="H509">
        <f>VLOOKUP(Table2[[#This Row],[Customer ID]],Table2[#All],7,FALSE)</f>
        <v>1</v>
      </c>
      <c r="I509" t="str">
        <f>VLOOKUP(Table2[[#This Row],[Customer ID]],Table2[#All],8,FALSE)</f>
        <v>No</v>
      </c>
      <c r="J509" t="str">
        <f>VLOOKUP(Table2[[#This Row],[Customer ID]],Table2[#All],9,FALSE)</f>
        <v>Obesity</v>
      </c>
      <c r="K509" t="str">
        <f>VLOOKUP(Table2[[#This Row],[Customer ID]],Table2[#All],10,FALSE)</f>
        <v>Prediabetes</v>
      </c>
    </row>
    <row r="510" spans="1:11" ht="15.6" x14ac:dyDescent="0.3">
      <c r="A510" s="1" t="s">
        <v>1862</v>
      </c>
      <c r="B510" t="str">
        <f>VLOOKUP('Customer Names'!A510,'Customer Names'!$A$1:$E$2336,4,FALSE)</f>
        <v>Ms.  Amber R</v>
      </c>
      <c r="C510">
        <f>VLOOKUP(Table2[[#This Row],[Customer ID]],Table2[#All],2,FALSE)</f>
        <v>22.22</v>
      </c>
      <c r="D510">
        <f>VLOOKUP(Table2[[#This Row],[Customer ID]],Table2[#All],3,FALSE)</f>
        <v>5.5</v>
      </c>
      <c r="E510" t="str">
        <f>VLOOKUP(Table2[[#This Row],[Customer ID]],Table2[#All],4,FALSE)</f>
        <v>No</v>
      </c>
      <c r="F510" t="str">
        <f>VLOOKUP(Table2[[#This Row],[Customer ID]],Table2[#All],5,FALSE)</f>
        <v>No</v>
      </c>
      <c r="G510" t="str">
        <f>VLOOKUP(Table2[[#This Row],[Customer ID]],Table2[#All],6,FALSE)</f>
        <v>No</v>
      </c>
      <c r="H510">
        <f>VLOOKUP(Table2[[#This Row],[Customer ID]],Table2[#All],7,FALSE)</f>
        <v>0</v>
      </c>
      <c r="I510" t="str">
        <f>VLOOKUP(Table2[[#This Row],[Customer ID]],Table2[#All],8,FALSE)</f>
        <v>Yes</v>
      </c>
      <c r="J510" t="str">
        <f>VLOOKUP(Table2[[#This Row],[Customer ID]],Table2[#All],9,FALSE)</f>
        <v>Normalweight</v>
      </c>
      <c r="K510" t="str">
        <f>VLOOKUP(Table2[[#This Row],[Customer ID]],Table2[#All],10,FALSE)</f>
        <v>Normal</v>
      </c>
    </row>
    <row r="511" spans="1:11" ht="15.6" x14ac:dyDescent="0.3">
      <c r="A511" s="1" t="s">
        <v>1861</v>
      </c>
      <c r="B511" t="str">
        <f>VLOOKUP('Customer Names'!A511,'Customer Names'!$A$1:$E$2336,4,FALSE)</f>
        <v>Mr.  Sean K</v>
      </c>
      <c r="C511">
        <f>VLOOKUP(Table2[[#This Row],[Customer ID]],Table2[#All],2,FALSE)</f>
        <v>33.344999999999999</v>
      </c>
      <c r="D511">
        <f>VLOOKUP(Table2[[#This Row],[Customer ID]],Table2[#All],3,FALSE)</f>
        <v>4.79</v>
      </c>
      <c r="E511" t="str">
        <f>VLOOKUP(Table2[[#This Row],[Customer ID]],Table2[#All],4,FALSE)</f>
        <v>No</v>
      </c>
      <c r="F511" t="str">
        <f>VLOOKUP(Table2[[#This Row],[Customer ID]],Table2[#All],5,FALSE)</f>
        <v>No</v>
      </c>
      <c r="G511" t="str">
        <f>VLOOKUP(Table2[[#This Row],[Customer ID]],Table2[#All],6,FALSE)</f>
        <v>Yes</v>
      </c>
      <c r="H511">
        <f>VLOOKUP(Table2[[#This Row],[Customer ID]],Table2[#All],7,FALSE)</f>
        <v>1</v>
      </c>
      <c r="I511" t="str">
        <f>VLOOKUP(Table2[[#This Row],[Customer ID]],Table2[#All],8,FALSE)</f>
        <v>No</v>
      </c>
      <c r="J511" t="str">
        <f>VLOOKUP(Table2[[#This Row],[Customer ID]],Table2[#All],9,FALSE)</f>
        <v>Obesity</v>
      </c>
      <c r="K511" t="str">
        <f>VLOOKUP(Table2[[#This Row],[Customer ID]],Table2[#All],10,FALSE)</f>
        <v>Normal</v>
      </c>
    </row>
    <row r="512" spans="1:11" ht="15.6" x14ac:dyDescent="0.3">
      <c r="A512" s="1" t="s">
        <v>1860</v>
      </c>
      <c r="B512" t="str">
        <f>VLOOKUP('Customer Names'!A512,'Customer Names'!$A$1:$E$2336,4,FALSE)</f>
        <v>Mr.  Rick</v>
      </c>
      <c r="C512">
        <f>VLOOKUP(Table2[[#This Row],[Customer ID]],Table2[#All],2,FALSE)</f>
        <v>24.42</v>
      </c>
      <c r="D512">
        <f>VLOOKUP(Table2[[#This Row],[Customer ID]],Table2[#All],3,FALSE)</f>
        <v>5.81</v>
      </c>
      <c r="E512" t="str">
        <f>VLOOKUP(Table2[[#This Row],[Customer ID]],Table2[#All],4,FALSE)</f>
        <v>No</v>
      </c>
      <c r="F512" t="str">
        <f>VLOOKUP(Table2[[#This Row],[Customer ID]],Table2[#All],5,FALSE)</f>
        <v>No</v>
      </c>
      <c r="G512" t="str">
        <f>VLOOKUP(Table2[[#This Row],[Customer ID]],Table2[#All],6,FALSE)</f>
        <v>No</v>
      </c>
      <c r="H512">
        <f>VLOOKUP(Table2[[#This Row],[Customer ID]],Table2[#All],7,FALSE)</f>
        <v>1</v>
      </c>
      <c r="I512" t="str">
        <f>VLOOKUP(Table2[[#This Row],[Customer ID]],Table2[#All],8,FALSE)</f>
        <v>Yes</v>
      </c>
      <c r="J512" t="str">
        <f>VLOOKUP(Table2[[#This Row],[Customer ID]],Table2[#All],9,FALSE)</f>
        <v>Normalweight</v>
      </c>
      <c r="K512" t="str">
        <f>VLOOKUP(Table2[[#This Row],[Customer ID]],Table2[#All],10,FALSE)</f>
        <v>Prediabetes</v>
      </c>
    </row>
    <row r="513" spans="1:11" ht="15.6" x14ac:dyDescent="0.3">
      <c r="A513" s="1" t="s">
        <v>1859</v>
      </c>
      <c r="B513" t="str">
        <f>VLOOKUP('Customer Names'!A513,'Customer Names'!$A$1:$E$2336,4,FALSE)</f>
        <v>Mr.  Matthew</v>
      </c>
      <c r="C513">
        <f>VLOOKUP(Table2[[#This Row],[Customer ID]],Table2[#All],2,FALSE)</f>
        <v>29.81</v>
      </c>
      <c r="D513">
        <f>VLOOKUP(Table2[[#This Row],[Customer ID]],Table2[#All],3,FALSE)</f>
        <v>5.58</v>
      </c>
      <c r="E513" t="str">
        <f>VLOOKUP(Table2[[#This Row],[Customer ID]],Table2[#All],4,FALSE)</f>
        <v>No</v>
      </c>
      <c r="F513" t="str">
        <f>VLOOKUP(Table2[[#This Row],[Customer ID]],Table2[#All],5,FALSE)</f>
        <v>No</v>
      </c>
      <c r="G513" t="str">
        <f>VLOOKUP(Table2[[#This Row],[Customer ID]],Table2[#All],6,FALSE)</f>
        <v>No</v>
      </c>
      <c r="H513">
        <f>VLOOKUP(Table2[[#This Row],[Customer ID]],Table2[#All],7,FALSE)</f>
        <v>0</v>
      </c>
      <c r="I513" t="str">
        <f>VLOOKUP(Table2[[#This Row],[Customer ID]],Table2[#All],8,FALSE)</f>
        <v>Yes</v>
      </c>
      <c r="J513" t="str">
        <f>VLOOKUP(Table2[[#This Row],[Customer ID]],Table2[#All],9,FALSE)</f>
        <v>Overweight</v>
      </c>
      <c r="K513" t="str">
        <f>VLOOKUP(Table2[[#This Row],[Customer ID]],Table2[#All],10,FALSE)</f>
        <v>Normal</v>
      </c>
    </row>
    <row r="514" spans="1:11" ht="15.6" x14ac:dyDescent="0.3">
      <c r="A514" s="1" t="s">
        <v>1858</v>
      </c>
      <c r="B514" t="str">
        <f>VLOOKUP('Customer Names'!A514,'Customer Names'!$A$1:$E$2336,4,FALSE)</f>
        <v>Mr.  Brady</v>
      </c>
      <c r="C514">
        <f>VLOOKUP(Table2[[#This Row],[Customer ID]],Table2[#All],2,FALSE)</f>
        <v>51.18</v>
      </c>
      <c r="D514">
        <f>VLOOKUP(Table2[[#This Row],[Customer ID]],Table2[#All],3,FALSE)</f>
        <v>4.4000000000000004</v>
      </c>
      <c r="E514" t="str">
        <f>VLOOKUP(Table2[[#This Row],[Customer ID]],Table2[#All],4,FALSE)</f>
        <v>Yes</v>
      </c>
      <c r="F514" t="str">
        <f>VLOOKUP(Table2[[#This Row],[Customer ID]],Table2[#All],5,FALSE)</f>
        <v>No</v>
      </c>
      <c r="G514" t="str">
        <f>VLOOKUP(Table2[[#This Row],[Customer ID]],Table2[#All],6,FALSE)</f>
        <v>No</v>
      </c>
      <c r="H514">
        <f>VLOOKUP(Table2[[#This Row],[Customer ID]],Table2[#All],7,FALSE)</f>
        <v>2</v>
      </c>
      <c r="I514" t="str">
        <f>VLOOKUP(Table2[[#This Row],[Customer ID]],Table2[#All],8,FALSE)</f>
        <v>No</v>
      </c>
      <c r="J514" t="str">
        <f>VLOOKUP(Table2[[#This Row],[Customer ID]],Table2[#All],9,FALSE)</f>
        <v>Obesity</v>
      </c>
      <c r="K514" t="str">
        <f>VLOOKUP(Table2[[#This Row],[Customer ID]],Table2[#All],10,FALSE)</f>
        <v>Normal</v>
      </c>
    </row>
    <row r="515" spans="1:11" ht="15.6" x14ac:dyDescent="0.3">
      <c r="A515" s="1" t="s">
        <v>1857</v>
      </c>
      <c r="B515" t="str">
        <f>VLOOKUP('Customer Names'!A515,'Customer Names'!$A$1:$E$2336,4,FALSE)</f>
        <v>Ms.  Kameko</v>
      </c>
      <c r="C515">
        <f>VLOOKUP(Table2[[#This Row],[Customer ID]],Table2[#All],2,FALSE)</f>
        <v>51.37</v>
      </c>
      <c r="D515">
        <f>VLOOKUP(Table2[[#This Row],[Customer ID]],Table2[#All],3,FALSE)</f>
        <v>8.18</v>
      </c>
      <c r="E515" t="str">
        <f>VLOOKUP(Table2[[#This Row],[Customer ID]],Table2[#All],4,FALSE)</f>
        <v>Yes</v>
      </c>
      <c r="F515" t="str">
        <f>VLOOKUP(Table2[[#This Row],[Customer ID]],Table2[#All],5,FALSE)</f>
        <v>No</v>
      </c>
      <c r="G515" t="str">
        <f>VLOOKUP(Table2[[#This Row],[Customer ID]],Table2[#All],6,FALSE)</f>
        <v>No</v>
      </c>
      <c r="H515">
        <f>VLOOKUP(Table2[[#This Row],[Customer ID]],Table2[#All],7,FALSE)</f>
        <v>0</v>
      </c>
      <c r="I515" t="str">
        <f>VLOOKUP(Table2[[#This Row],[Customer ID]],Table2[#All],8,FALSE)</f>
        <v>No</v>
      </c>
      <c r="J515" t="str">
        <f>VLOOKUP(Table2[[#This Row],[Customer ID]],Table2[#All],9,FALSE)</f>
        <v>Obesity</v>
      </c>
      <c r="K515" t="str">
        <f>VLOOKUP(Table2[[#This Row],[Customer ID]],Table2[#All],10,FALSE)</f>
        <v>Diabetes</v>
      </c>
    </row>
    <row r="516" spans="1:11" ht="15.6" x14ac:dyDescent="0.3">
      <c r="A516" s="1" t="s">
        <v>1856</v>
      </c>
      <c r="B516" t="str">
        <f>VLOOKUP('Customer Names'!A516,'Customer Names'!$A$1:$E$2336,4,FALSE)</f>
        <v>Mr.  Jeremy A</v>
      </c>
      <c r="C516">
        <f>VLOOKUP(Table2[[#This Row],[Customer ID]],Table2[#All],2,FALSE)</f>
        <v>36.19</v>
      </c>
      <c r="D516">
        <f>VLOOKUP(Table2[[#This Row],[Customer ID]],Table2[#All],3,FALSE)</f>
        <v>5.52</v>
      </c>
      <c r="E516" t="str">
        <f>VLOOKUP(Table2[[#This Row],[Customer ID]],Table2[#All],4,FALSE)</f>
        <v>Yes</v>
      </c>
      <c r="F516" t="str">
        <f>VLOOKUP(Table2[[#This Row],[Customer ID]],Table2[#All],5,FALSE)</f>
        <v>No</v>
      </c>
      <c r="G516" t="str">
        <f>VLOOKUP(Table2[[#This Row],[Customer ID]],Table2[#All],6,FALSE)</f>
        <v>No</v>
      </c>
      <c r="H516">
        <f>VLOOKUP(Table2[[#This Row],[Customer ID]],Table2[#All],7,FALSE)</f>
        <v>0</v>
      </c>
      <c r="I516" t="str">
        <f>VLOOKUP(Table2[[#This Row],[Customer ID]],Table2[#All],8,FALSE)</f>
        <v>No</v>
      </c>
      <c r="J516" t="str">
        <f>VLOOKUP(Table2[[#This Row],[Customer ID]],Table2[#All],9,FALSE)</f>
        <v>Obesity</v>
      </c>
      <c r="K516" t="str">
        <f>VLOOKUP(Table2[[#This Row],[Customer ID]],Table2[#All],10,FALSE)</f>
        <v>Normal</v>
      </c>
    </row>
    <row r="517" spans="1:11" ht="15.6" x14ac:dyDescent="0.3">
      <c r="A517" s="1" t="s">
        <v>1855</v>
      </c>
      <c r="B517" t="str">
        <f>VLOOKUP('Customer Names'!A517,'Customer Names'!$A$1:$E$2336,4,FALSE)</f>
        <v>Mr.  Daniel</v>
      </c>
      <c r="C517">
        <f>VLOOKUP(Table2[[#This Row],[Customer ID]],Table2[#All],2,FALSE)</f>
        <v>25.9</v>
      </c>
      <c r="D517">
        <f>VLOOKUP(Table2[[#This Row],[Customer ID]],Table2[#All],3,FALSE)</f>
        <v>4.84</v>
      </c>
      <c r="E517" t="str">
        <f>VLOOKUP(Table2[[#This Row],[Customer ID]],Table2[#All],4,FALSE)</f>
        <v>No</v>
      </c>
      <c r="F517" t="str">
        <f>VLOOKUP(Table2[[#This Row],[Customer ID]],Table2[#All],5,FALSE)</f>
        <v>No</v>
      </c>
      <c r="G517" t="str">
        <f>VLOOKUP(Table2[[#This Row],[Customer ID]],Table2[#All],6,FALSE)</f>
        <v>No</v>
      </c>
      <c r="H517">
        <f>VLOOKUP(Table2[[#This Row],[Customer ID]],Table2[#All],7,FALSE)</f>
        <v>0</v>
      </c>
      <c r="I517" t="str">
        <f>VLOOKUP(Table2[[#This Row],[Customer ID]],Table2[#All],8,FALSE)</f>
        <v>Yes</v>
      </c>
      <c r="J517" t="str">
        <f>VLOOKUP(Table2[[#This Row],[Customer ID]],Table2[#All],9,FALSE)</f>
        <v>Overweight</v>
      </c>
      <c r="K517" t="str">
        <f>VLOOKUP(Table2[[#This Row],[Customer ID]],Table2[#All],10,FALSE)</f>
        <v>Normal</v>
      </c>
    </row>
    <row r="518" spans="1:11" ht="15.6" x14ac:dyDescent="0.3">
      <c r="A518" s="1" t="s">
        <v>1854</v>
      </c>
      <c r="B518" t="str">
        <f>VLOOKUP('Customer Names'!A518,'Customer Names'!$A$1:$E$2336,4,FALSE)</f>
        <v>Ms.  Amanda</v>
      </c>
      <c r="C518">
        <f>VLOOKUP(Table2[[#This Row],[Customer ID]],Table2[#All],2,FALSE)</f>
        <v>35.72</v>
      </c>
      <c r="D518">
        <f>VLOOKUP(Table2[[#This Row],[Customer ID]],Table2[#All],3,FALSE)</f>
        <v>4.08</v>
      </c>
      <c r="E518" t="str">
        <f>VLOOKUP(Table2[[#This Row],[Customer ID]],Table2[#All],4,FALSE)</f>
        <v>No</v>
      </c>
      <c r="F518" t="str">
        <f>VLOOKUP(Table2[[#This Row],[Customer ID]],Table2[#All],5,FALSE)</f>
        <v>No</v>
      </c>
      <c r="G518" t="str">
        <f>VLOOKUP(Table2[[#This Row],[Customer ID]],Table2[#All],6,FALSE)</f>
        <v>Yes</v>
      </c>
      <c r="H518">
        <f>VLOOKUP(Table2[[#This Row],[Customer ID]],Table2[#All],7,FALSE)</f>
        <v>1</v>
      </c>
      <c r="I518" t="str">
        <f>VLOOKUP(Table2[[#This Row],[Customer ID]],Table2[#All],8,FALSE)</f>
        <v>No</v>
      </c>
      <c r="J518" t="str">
        <f>VLOOKUP(Table2[[#This Row],[Customer ID]],Table2[#All],9,FALSE)</f>
        <v>Obesity</v>
      </c>
      <c r="K518" t="str">
        <f>VLOOKUP(Table2[[#This Row],[Customer ID]],Table2[#All],10,FALSE)</f>
        <v>Normal</v>
      </c>
    </row>
    <row r="519" spans="1:11" ht="15.6" x14ac:dyDescent="0.3">
      <c r="A519" s="1" t="s">
        <v>1853</v>
      </c>
      <c r="B519" t="str">
        <f>VLOOKUP('Customer Names'!A519,'Customer Names'!$A$1:$E$2336,4,FALSE)</f>
        <v>Ms.  Karen</v>
      </c>
      <c r="C519">
        <f>VLOOKUP(Table2[[#This Row],[Customer ID]],Table2[#All],2,FALSE)</f>
        <v>27.94</v>
      </c>
      <c r="D519">
        <f>VLOOKUP(Table2[[#This Row],[Customer ID]],Table2[#All],3,FALSE)</f>
        <v>4.4800000000000004</v>
      </c>
      <c r="E519" t="str">
        <f>VLOOKUP(Table2[[#This Row],[Customer ID]],Table2[#All],4,FALSE)</f>
        <v>No</v>
      </c>
      <c r="F519" t="str">
        <f>VLOOKUP(Table2[[#This Row],[Customer ID]],Table2[#All],5,FALSE)</f>
        <v>No</v>
      </c>
      <c r="G519" t="str">
        <f>VLOOKUP(Table2[[#This Row],[Customer ID]],Table2[#All],6,FALSE)</f>
        <v>Yes</v>
      </c>
      <c r="H519">
        <f>VLOOKUP(Table2[[#This Row],[Customer ID]],Table2[#All],7,FALSE)</f>
        <v>1</v>
      </c>
      <c r="I519" t="str">
        <f>VLOOKUP(Table2[[#This Row],[Customer ID]],Table2[#All],8,FALSE)</f>
        <v>Yes</v>
      </c>
      <c r="J519" t="str">
        <f>VLOOKUP(Table2[[#This Row],[Customer ID]],Table2[#All],9,FALSE)</f>
        <v>Overweight</v>
      </c>
      <c r="K519" t="str">
        <f>VLOOKUP(Table2[[#This Row],[Customer ID]],Table2[#All],10,FALSE)</f>
        <v>Normal</v>
      </c>
    </row>
    <row r="520" spans="1:11" ht="15.6" x14ac:dyDescent="0.3">
      <c r="A520" s="1" t="s">
        <v>1852</v>
      </c>
      <c r="B520" t="str">
        <f>VLOOKUP('Customer Names'!A520,'Customer Names'!$A$1:$E$2336,4,FALSE)</f>
        <v>Mr.  Gregory</v>
      </c>
      <c r="C520">
        <f>VLOOKUP(Table2[[#This Row],[Customer ID]],Table2[#All],2,FALSE)</f>
        <v>27.1</v>
      </c>
      <c r="D520">
        <f>VLOOKUP(Table2[[#This Row],[Customer ID]],Table2[#All],3,FALSE)</f>
        <v>5.73</v>
      </c>
      <c r="E520" t="str">
        <f>VLOOKUP(Table2[[#This Row],[Customer ID]],Table2[#All],4,FALSE)</f>
        <v>No</v>
      </c>
      <c r="F520" t="str">
        <f>VLOOKUP(Table2[[#This Row],[Customer ID]],Table2[#All],5,FALSE)</f>
        <v>No</v>
      </c>
      <c r="G520" t="str">
        <f>VLOOKUP(Table2[[#This Row],[Customer ID]],Table2[#All],6,FALSE)</f>
        <v>No</v>
      </c>
      <c r="H520">
        <f>VLOOKUP(Table2[[#This Row],[Customer ID]],Table2[#All],7,FALSE)</f>
        <v>0</v>
      </c>
      <c r="I520" t="str">
        <f>VLOOKUP(Table2[[#This Row],[Customer ID]],Table2[#All],8,FALSE)</f>
        <v>Yes</v>
      </c>
      <c r="J520" t="str">
        <f>VLOOKUP(Table2[[#This Row],[Customer ID]],Table2[#All],9,FALSE)</f>
        <v>Overweight</v>
      </c>
      <c r="K520" t="str">
        <f>VLOOKUP(Table2[[#This Row],[Customer ID]],Table2[#All],10,FALSE)</f>
        <v>Prediabetes</v>
      </c>
    </row>
    <row r="521" spans="1:11" ht="15.6" x14ac:dyDescent="0.3">
      <c r="A521" s="1" t="s">
        <v>1851</v>
      </c>
      <c r="B521" t="str">
        <f>VLOOKUP('Customer Names'!A521,'Customer Names'!$A$1:$E$2336,4,FALSE)</f>
        <v>Ms.  Sabine</v>
      </c>
      <c r="C521">
        <f>VLOOKUP(Table2[[#This Row],[Customer ID]],Table2[#All],2,FALSE)</f>
        <v>18.3</v>
      </c>
      <c r="D521">
        <f>VLOOKUP(Table2[[#This Row],[Customer ID]],Table2[#All],3,FALSE)</f>
        <v>5.46</v>
      </c>
      <c r="E521" t="str">
        <f>VLOOKUP(Table2[[#This Row],[Customer ID]],Table2[#All],4,FALSE)</f>
        <v>Yes</v>
      </c>
      <c r="F521" t="str">
        <f>VLOOKUP(Table2[[#This Row],[Customer ID]],Table2[#All],5,FALSE)</f>
        <v>No</v>
      </c>
      <c r="G521" t="str">
        <f>VLOOKUP(Table2[[#This Row],[Customer ID]],Table2[#All],6,FALSE)</f>
        <v>Yes</v>
      </c>
      <c r="H521">
        <f>VLOOKUP(Table2[[#This Row],[Customer ID]],Table2[#All],7,FALSE)</f>
        <v>1</v>
      </c>
      <c r="I521" t="str">
        <f>VLOOKUP(Table2[[#This Row],[Customer ID]],Table2[#All],8,FALSE)</f>
        <v>Yes</v>
      </c>
      <c r="J521" t="str">
        <f>VLOOKUP(Table2[[#This Row],[Customer ID]],Table2[#All],9,FALSE)</f>
        <v>Underweight</v>
      </c>
      <c r="K521" t="str">
        <f>VLOOKUP(Table2[[#This Row],[Customer ID]],Table2[#All],10,FALSE)</f>
        <v>Normal</v>
      </c>
    </row>
    <row r="522" spans="1:11" ht="15.6" x14ac:dyDescent="0.3">
      <c r="A522" s="1" t="s">
        <v>1850</v>
      </c>
      <c r="B522" t="str">
        <f>VLOOKUP('Customer Names'!A522,'Customer Names'!$A$1:$E$2336,4,FALSE)</f>
        <v>Mr.  Joseph</v>
      </c>
      <c r="C522">
        <f>VLOOKUP(Table2[[#This Row],[Customer ID]],Table2[#All],2,FALSE)</f>
        <v>25.3</v>
      </c>
      <c r="D522">
        <f>VLOOKUP(Table2[[#This Row],[Customer ID]],Table2[#All],3,FALSE)</f>
        <v>5.0199999999999996</v>
      </c>
      <c r="E522" t="str">
        <f>VLOOKUP(Table2[[#This Row],[Customer ID]],Table2[#All],4,FALSE)</f>
        <v>Yes</v>
      </c>
      <c r="F522" t="str">
        <f>VLOOKUP(Table2[[#This Row],[Customer ID]],Table2[#All],5,FALSE)</f>
        <v>No</v>
      </c>
      <c r="G522" t="str">
        <f>VLOOKUP(Table2[[#This Row],[Customer ID]],Table2[#All],6,FALSE)</f>
        <v>No</v>
      </c>
      <c r="H522">
        <f>VLOOKUP(Table2[[#This Row],[Customer ID]],Table2[#All],7,FALSE)</f>
        <v>1</v>
      </c>
      <c r="I522" t="str">
        <f>VLOOKUP(Table2[[#This Row],[Customer ID]],Table2[#All],8,FALSE)</f>
        <v>Yes</v>
      </c>
      <c r="J522" t="str">
        <f>VLOOKUP(Table2[[#This Row],[Customer ID]],Table2[#All],9,FALSE)</f>
        <v>Overweight</v>
      </c>
      <c r="K522" t="str">
        <f>VLOOKUP(Table2[[#This Row],[Customer ID]],Table2[#All],10,FALSE)</f>
        <v>Normal</v>
      </c>
    </row>
    <row r="523" spans="1:11" ht="15.6" x14ac:dyDescent="0.3">
      <c r="A523" s="1" t="s">
        <v>1849</v>
      </c>
      <c r="B523" t="str">
        <f>VLOOKUP('Customer Names'!A523,'Customer Names'!$A$1:$E$2336,4,FALSE)</f>
        <v>Mr.  Adam</v>
      </c>
      <c r="C523">
        <f>VLOOKUP(Table2[[#This Row],[Customer ID]],Table2[#All],2,FALSE)</f>
        <v>38.83</v>
      </c>
      <c r="D523">
        <f>VLOOKUP(Table2[[#This Row],[Customer ID]],Table2[#All],3,FALSE)</f>
        <v>6.36</v>
      </c>
      <c r="E523" t="str">
        <f>VLOOKUP(Table2[[#This Row],[Customer ID]],Table2[#All],4,FALSE)</f>
        <v>No</v>
      </c>
      <c r="F523" t="str">
        <f>VLOOKUP(Table2[[#This Row],[Customer ID]],Table2[#All],5,FALSE)</f>
        <v>No</v>
      </c>
      <c r="G523" t="str">
        <f>VLOOKUP(Table2[[#This Row],[Customer ID]],Table2[#All],6,FALSE)</f>
        <v>No</v>
      </c>
      <c r="H523">
        <f>VLOOKUP(Table2[[#This Row],[Customer ID]],Table2[#All],7,FALSE)</f>
        <v>1</v>
      </c>
      <c r="I523" t="str">
        <f>VLOOKUP(Table2[[#This Row],[Customer ID]],Table2[#All],8,FALSE)</f>
        <v>No</v>
      </c>
      <c r="J523" t="str">
        <f>VLOOKUP(Table2[[#This Row],[Customer ID]],Table2[#All],9,FALSE)</f>
        <v>Obesity</v>
      </c>
      <c r="K523" t="str">
        <f>VLOOKUP(Table2[[#This Row],[Customer ID]],Table2[#All],10,FALSE)</f>
        <v>Prediabetes</v>
      </c>
    </row>
    <row r="524" spans="1:11" ht="15.6" x14ac:dyDescent="0.3">
      <c r="A524" s="1" t="s">
        <v>1848</v>
      </c>
      <c r="B524" t="str">
        <f>VLOOKUP('Customer Names'!A524,'Customer Names'!$A$1:$E$2336,4,FALSE)</f>
        <v>Ms.  Karolyn A</v>
      </c>
      <c r="C524">
        <f>VLOOKUP(Table2[[#This Row],[Customer ID]],Table2[#All],2,FALSE)</f>
        <v>27.6</v>
      </c>
      <c r="D524">
        <f>VLOOKUP(Table2[[#This Row],[Customer ID]],Table2[#All],3,FALSE)</f>
        <v>5.36</v>
      </c>
      <c r="E524" t="str">
        <f>VLOOKUP(Table2[[#This Row],[Customer ID]],Table2[#All],4,FALSE)</f>
        <v>No</v>
      </c>
      <c r="F524" t="str">
        <f>VLOOKUP(Table2[[#This Row],[Customer ID]],Table2[#All],5,FALSE)</f>
        <v>No</v>
      </c>
      <c r="G524" t="str">
        <f>VLOOKUP(Table2[[#This Row],[Customer ID]],Table2[#All],6,FALSE)</f>
        <v>No</v>
      </c>
      <c r="H524">
        <f>VLOOKUP(Table2[[#This Row],[Customer ID]],Table2[#All],7,FALSE)</f>
        <v>1</v>
      </c>
      <c r="I524" t="str">
        <f>VLOOKUP(Table2[[#This Row],[Customer ID]],Table2[#All],8,FALSE)</f>
        <v>No</v>
      </c>
      <c r="J524" t="str">
        <f>VLOOKUP(Table2[[#This Row],[Customer ID]],Table2[#All],9,FALSE)</f>
        <v>Overweight</v>
      </c>
      <c r="K524" t="str">
        <f>VLOOKUP(Table2[[#This Row],[Customer ID]],Table2[#All],10,FALSE)</f>
        <v>Normal</v>
      </c>
    </row>
    <row r="525" spans="1:11" ht="15.6" x14ac:dyDescent="0.3">
      <c r="A525" s="1" t="s">
        <v>1847</v>
      </c>
      <c r="B525" t="str">
        <f>VLOOKUP('Customer Names'!A525,'Customer Names'!$A$1:$E$2336,4,FALSE)</f>
        <v>Mrs.  Anita L.</v>
      </c>
      <c r="C525">
        <f>VLOOKUP(Table2[[#This Row],[Customer ID]],Table2[#All],2,FALSE)</f>
        <v>46.4</v>
      </c>
      <c r="D525">
        <f>VLOOKUP(Table2[[#This Row],[Customer ID]],Table2[#All],3,FALSE)</f>
        <v>8.3699999999999992</v>
      </c>
      <c r="E525" t="str">
        <f>VLOOKUP(Table2[[#This Row],[Customer ID]],Table2[#All],4,FALSE)</f>
        <v>Yes</v>
      </c>
      <c r="F525" t="str">
        <f>VLOOKUP(Table2[[#This Row],[Customer ID]],Table2[#All],5,FALSE)</f>
        <v>No</v>
      </c>
      <c r="G525" t="str">
        <f>VLOOKUP(Table2[[#This Row],[Customer ID]],Table2[#All],6,FALSE)</f>
        <v>Yes</v>
      </c>
      <c r="H525">
        <f>VLOOKUP(Table2[[#This Row],[Customer ID]],Table2[#All],7,FALSE)</f>
        <v>1</v>
      </c>
      <c r="I525" t="str">
        <f>VLOOKUP(Table2[[#This Row],[Customer ID]],Table2[#All],8,FALSE)</f>
        <v>No</v>
      </c>
      <c r="J525" t="str">
        <f>VLOOKUP(Table2[[#This Row],[Customer ID]],Table2[#All],9,FALSE)</f>
        <v>Obesity</v>
      </c>
      <c r="K525" t="str">
        <f>VLOOKUP(Table2[[#This Row],[Customer ID]],Table2[#All],10,FALSE)</f>
        <v>Diabetes</v>
      </c>
    </row>
    <row r="526" spans="1:11" ht="15.6" x14ac:dyDescent="0.3">
      <c r="A526" s="1" t="s">
        <v>1846</v>
      </c>
      <c r="B526" t="str">
        <f>VLOOKUP('Customer Names'!A526,'Customer Names'!$A$1:$E$2336,4,FALSE)</f>
        <v>Ms.  Laura E.</v>
      </c>
      <c r="C526">
        <f>VLOOKUP(Table2[[#This Row],[Customer ID]],Table2[#All],2,FALSE)</f>
        <v>51.92</v>
      </c>
      <c r="D526">
        <f>VLOOKUP(Table2[[#This Row],[Customer ID]],Table2[#All],3,FALSE)</f>
        <v>5.18</v>
      </c>
      <c r="E526" t="str">
        <f>VLOOKUP(Table2[[#This Row],[Customer ID]],Table2[#All],4,FALSE)</f>
        <v>Yes</v>
      </c>
      <c r="F526" t="str">
        <f>VLOOKUP(Table2[[#This Row],[Customer ID]],Table2[#All],5,FALSE)</f>
        <v>No</v>
      </c>
      <c r="G526" t="str">
        <f>VLOOKUP(Table2[[#This Row],[Customer ID]],Table2[#All],6,FALSE)</f>
        <v>Yes</v>
      </c>
      <c r="H526">
        <f>VLOOKUP(Table2[[#This Row],[Customer ID]],Table2[#All],7,FALSE)</f>
        <v>1</v>
      </c>
      <c r="I526" t="str">
        <f>VLOOKUP(Table2[[#This Row],[Customer ID]],Table2[#All],8,FALSE)</f>
        <v>No</v>
      </c>
      <c r="J526" t="str">
        <f>VLOOKUP(Table2[[#This Row],[Customer ID]],Table2[#All],9,FALSE)</f>
        <v>Obesity</v>
      </c>
      <c r="K526" t="str">
        <f>VLOOKUP(Table2[[#This Row],[Customer ID]],Table2[#All],10,FALSE)</f>
        <v>Normal</v>
      </c>
    </row>
    <row r="527" spans="1:11" ht="15.6" x14ac:dyDescent="0.3">
      <c r="A527" s="1" t="s">
        <v>1845</v>
      </c>
      <c r="B527" t="str">
        <f>VLOOKUP('Customer Names'!A527,'Customer Names'!$A$1:$E$2336,4,FALSE)</f>
        <v>Ms.  Sarah</v>
      </c>
      <c r="C527">
        <f>VLOOKUP(Table2[[#This Row],[Customer ID]],Table2[#All],2,FALSE)</f>
        <v>32.395000000000003</v>
      </c>
      <c r="D527">
        <f>VLOOKUP(Table2[[#This Row],[Customer ID]],Table2[#All],3,FALSE)</f>
        <v>5.68</v>
      </c>
      <c r="E527" t="str">
        <f>VLOOKUP(Table2[[#This Row],[Customer ID]],Table2[#All],4,FALSE)</f>
        <v>Yes</v>
      </c>
      <c r="F527" t="str">
        <f>VLOOKUP(Table2[[#This Row],[Customer ID]],Table2[#All],5,FALSE)</f>
        <v>No</v>
      </c>
      <c r="G527" t="str">
        <f>VLOOKUP(Table2[[#This Row],[Customer ID]],Table2[#All],6,FALSE)</f>
        <v>No</v>
      </c>
      <c r="H527">
        <f>VLOOKUP(Table2[[#This Row],[Customer ID]],Table2[#All],7,FALSE)</f>
        <v>1</v>
      </c>
      <c r="I527" t="str">
        <f>VLOOKUP(Table2[[#This Row],[Customer ID]],Table2[#All],8,FALSE)</f>
        <v>No</v>
      </c>
      <c r="J527" t="str">
        <f>VLOOKUP(Table2[[#This Row],[Customer ID]],Table2[#All],9,FALSE)</f>
        <v>Obesity</v>
      </c>
      <c r="K527" t="str">
        <f>VLOOKUP(Table2[[#This Row],[Customer ID]],Table2[#All],10,FALSE)</f>
        <v>Normal</v>
      </c>
    </row>
    <row r="528" spans="1:11" ht="15.6" x14ac:dyDescent="0.3">
      <c r="A528" s="1" t="s">
        <v>1844</v>
      </c>
      <c r="B528" t="str">
        <f>VLOOKUP('Customer Names'!A528,'Customer Names'!$A$1:$E$2336,4,FALSE)</f>
        <v>Mrs.  Ashley E</v>
      </c>
      <c r="C528">
        <f>VLOOKUP(Table2[[#This Row],[Customer ID]],Table2[#All],2,FALSE)</f>
        <v>46.19</v>
      </c>
      <c r="D528">
        <f>VLOOKUP(Table2[[#This Row],[Customer ID]],Table2[#All],3,FALSE)</f>
        <v>7.31</v>
      </c>
      <c r="E528" t="str">
        <f>VLOOKUP(Table2[[#This Row],[Customer ID]],Table2[#All],4,FALSE)</f>
        <v>Yes</v>
      </c>
      <c r="F528" t="str">
        <f>VLOOKUP(Table2[[#This Row],[Customer ID]],Table2[#All],5,FALSE)</f>
        <v>No</v>
      </c>
      <c r="G528" t="str">
        <f>VLOOKUP(Table2[[#This Row],[Customer ID]],Table2[#All],6,FALSE)</f>
        <v>Yes</v>
      </c>
      <c r="H528">
        <f>VLOOKUP(Table2[[#This Row],[Customer ID]],Table2[#All],7,FALSE)</f>
        <v>1</v>
      </c>
      <c r="I528" t="str">
        <f>VLOOKUP(Table2[[#This Row],[Customer ID]],Table2[#All],8,FALSE)</f>
        <v>No</v>
      </c>
      <c r="J528" t="str">
        <f>VLOOKUP(Table2[[#This Row],[Customer ID]],Table2[#All],9,FALSE)</f>
        <v>Obesity</v>
      </c>
      <c r="K528" t="str">
        <f>VLOOKUP(Table2[[#This Row],[Customer ID]],Table2[#All],10,FALSE)</f>
        <v>Diabetes</v>
      </c>
    </row>
    <row r="529" spans="1:11" ht="15.6" x14ac:dyDescent="0.3">
      <c r="A529" s="1" t="s">
        <v>1843</v>
      </c>
      <c r="B529" t="str">
        <f>VLOOKUP('Customer Names'!A529,'Customer Names'!$A$1:$E$2336,4,FALSE)</f>
        <v>Ms.  Lindsey</v>
      </c>
      <c r="C529">
        <f>VLOOKUP(Table2[[#This Row],[Customer ID]],Table2[#All],2,FALSE)</f>
        <v>27.93</v>
      </c>
      <c r="D529">
        <f>VLOOKUP(Table2[[#This Row],[Customer ID]],Table2[#All],3,FALSE)</f>
        <v>4.67</v>
      </c>
      <c r="E529" t="str">
        <f>VLOOKUP(Table2[[#This Row],[Customer ID]],Table2[#All],4,FALSE)</f>
        <v>No</v>
      </c>
      <c r="F529" t="str">
        <f>VLOOKUP(Table2[[#This Row],[Customer ID]],Table2[#All],5,FALSE)</f>
        <v>No</v>
      </c>
      <c r="G529" t="str">
        <f>VLOOKUP(Table2[[#This Row],[Customer ID]],Table2[#All],6,FALSE)</f>
        <v>Yes</v>
      </c>
      <c r="H529">
        <f>VLOOKUP(Table2[[#This Row],[Customer ID]],Table2[#All],7,FALSE)</f>
        <v>1</v>
      </c>
      <c r="I529" t="str">
        <f>VLOOKUP(Table2[[#This Row],[Customer ID]],Table2[#All],8,FALSE)</f>
        <v>No</v>
      </c>
      <c r="J529" t="str">
        <f>VLOOKUP(Table2[[#This Row],[Customer ID]],Table2[#All],9,FALSE)</f>
        <v>Overweight</v>
      </c>
      <c r="K529" t="str">
        <f>VLOOKUP(Table2[[#This Row],[Customer ID]],Table2[#All],10,FALSE)</f>
        <v>Normal</v>
      </c>
    </row>
    <row r="530" spans="1:11" ht="15.6" x14ac:dyDescent="0.3">
      <c r="A530" s="1" t="s">
        <v>1842</v>
      </c>
      <c r="B530" t="str">
        <f>VLOOKUP('Customer Names'!A530,'Customer Names'!$A$1:$E$2336,4,FALSE)</f>
        <v>Mr.  Alan</v>
      </c>
      <c r="C530">
        <f>VLOOKUP(Table2[[#This Row],[Customer ID]],Table2[#All],2,FALSE)</f>
        <v>45.62</v>
      </c>
      <c r="D530">
        <f>VLOOKUP(Table2[[#This Row],[Customer ID]],Table2[#All],3,FALSE)</f>
        <v>6.87</v>
      </c>
      <c r="E530" t="str">
        <f>VLOOKUP(Table2[[#This Row],[Customer ID]],Table2[#All],4,FALSE)</f>
        <v>No</v>
      </c>
      <c r="F530" t="str">
        <f>VLOOKUP(Table2[[#This Row],[Customer ID]],Table2[#All],5,FALSE)</f>
        <v>No</v>
      </c>
      <c r="G530" t="str">
        <f>VLOOKUP(Table2[[#This Row],[Customer ID]],Table2[#All],6,FALSE)</f>
        <v>No</v>
      </c>
      <c r="H530">
        <f>VLOOKUP(Table2[[#This Row],[Customer ID]],Table2[#All],7,FALSE)</f>
        <v>0</v>
      </c>
      <c r="I530" t="str">
        <f>VLOOKUP(Table2[[#This Row],[Customer ID]],Table2[#All],8,FALSE)</f>
        <v>No</v>
      </c>
      <c r="J530" t="str">
        <f>VLOOKUP(Table2[[#This Row],[Customer ID]],Table2[#All],9,FALSE)</f>
        <v>Obesity</v>
      </c>
      <c r="K530" t="str">
        <f>VLOOKUP(Table2[[#This Row],[Customer ID]],Table2[#All],10,FALSE)</f>
        <v>Diabetes</v>
      </c>
    </row>
    <row r="531" spans="1:11" ht="15.6" x14ac:dyDescent="0.3">
      <c r="A531" s="1" t="s">
        <v>1841</v>
      </c>
      <c r="B531" t="str">
        <f>VLOOKUP('Customer Names'!A531,'Customer Names'!$A$1:$E$2336,4,FALSE)</f>
        <v>Mr.  Dan R.</v>
      </c>
      <c r="C531">
        <f>VLOOKUP(Table2[[#This Row],[Customer ID]],Table2[#All],2,FALSE)</f>
        <v>35.31</v>
      </c>
      <c r="D531">
        <f>VLOOKUP(Table2[[#This Row],[Customer ID]],Table2[#All],3,FALSE)</f>
        <v>5.87</v>
      </c>
      <c r="E531" t="str">
        <f>VLOOKUP(Table2[[#This Row],[Customer ID]],Table2[#All],4,FALSE)</f>
        <v>No</v>
      </c>
      <c r="F531" t="str">
        <f>VLOOKUP(Table2[[#This Row],[Customer ID]],Table2[#All],5,FALSE)</f>
        <v>No</v>
      </c>
      <c r="G531" t="str">
        <f>VLOOKUP(Table2[[#This Row],[Customer ID]],Table2[#All],6,FALSE)</f>
        <v>Yes</v>
      </c>
      <c r="H531">
        <f>VLOOKUP(Table2[[#This Row],[Customer ID]],Table2[#All],7,FALSE)</f>
        <v>1</v>
      </c>
      <c r="I531" t="str">
        <f>VLOOKUP(Table2[[#This Row],[Customer ID]],Table2[#All],8,FALSE)</f>
        <v>No</v>
      </c>
      <c r="J531" t="str">
        <f>VLOOKUP(Table2[[#This Row],[Customer ID]],Table2[#All],9,FALSE)</f>
        <v>Obesity</v>
      </c>
      <c r="K531" t="str">
        <f>VLOOKUP(Table2[[#This Row],[Customer ID]],Table2[#All],10,FALSE)</f>
        <v>Prediabetes</v>
      </c>
    </row>
    <row r="532" spans="1:11" ht="15.6" x14ac:dyDescent="0.3">
      <c r="A532" s="1" t="s">
        <v>1840</v>
      </c>
      <c r="B532" t="str">
        <f>VLOOKUP('Customer Names'!A532,'Customer Names'!$A$1:$E$2336,4,FALSE)</f>
        <v>Ms.  Katie</v>
      </c>
      <c r="C532">
        <f>VLOOKUP(Table2[[#This Row],[Customer ID]],Table2[#All],2,FALSE)</f>
        <v>30.4</v>
      </c>
      <c r="D532">
        <f>VLOOKUP(Table2[[#This Row],[Customer ID]],Table2[#All],3,FALSE)</f>
        <v>4.07</v>
      </c>
      <c r="E532" t="str">
        <f>VLOOKUP(Table2[[#This Row],[Customer ID]],Table2[#All],4,FALSE)</f>
        <v>Yes</v>
      </c>
      <c r="F532" t="str">
        <f>VLOOKUP(Table2[[#This Row],[Customer ID]],Table2[#All],5,FALSE)</f>
        <v>No</v>
      </c>
      <c r="G532" t="str">
        <f>VLOOKUP(Table2[[#This Row],[Customer ID]],Table2[#All],6,FALSE)</f>
        <v>No</v>
      </c>
      <c r="H532">
        <f>VLOOKUP(Table2[[#This Row],[Customer ID]],Table2[#All],7,FALSE)</f>
        <v>1</v>
      </c>
      <c r="I532" t="str">
        <f>VLOOKUP(Table2[[#This Row],[Customer ID]],Table2[#All],8,FALSE)</f>
        <v>No</v>
      </c>
      <c r="J532" t="str">
        <f>VLOOKUP(Table2[[#This Row],[Customer ID]],Table2[#All],9,FALSE)</f>
        <v>Obesity</v>
      </c>
      <c r="K532" t="str">
        <f>VLOOKUP(Table2[[#This Row],[Customer ID]],Table2[#All],10,FALSE)</f>
        <v>Normal</v>
      </c>
    </row>
    <row r="533" spans="1:11" ht="15.6" x14ac:dyDescent="0.3">
      <c r="A533" s="1" t="s">
        <v>1839</v>
      </c>
      <c r="B533" t="str">
        <f>VLOOKUP('Customer Names'!A533,'Customer Names'!$A$1:$E$2336,4,FALSE)</f>
        <v>Mr.  Eric</v>
      </c>
      <c r="C533">
        <f>VLOOKUP(Table2[[#This Row],[Customer ID]],Table2[#All],2,FALSE)</f>
        <v>20.13</v>
      </c>
      <c r="D533">
        <f>VLOOKUP(Table2[[#This Row],[Customer ID]],Table2[#All],3,FALSE)</f>
        <v>6.47</v>
      </c>
      <c r="E533" t="str">
        <f>VLOOKUP(Table2[[#This Row],[Customer ID]],Table2[#All],4,FALSE)</f>
        <v>No</v>
      </c>
      <c r="F533" t="str">
        <f>VLOOKUP(Table2[[#This Row],[Customer ID]],Table2[#All],5,FALSE)</f>
        <v>No</v>
      </c>
      <c r="G533" t="str">
        <f>VLOOKUP(Table2[[#This Row],[Customer ID]],Table2[#All],6,FALSE)</f>
        <v>Yes</v>
      </c>
      <c r="H533">
        <f>VLOOKUP(Table2[[#This Row],[Customer ID]],Table2[#All],7,FALSE)</f>
        <v>1</v>
      </c>
      <c r="I533" t="str">
        <f>VLOOKUP(Table2[[#This Row],[Customer ID]],Table2[#All],8,FALSE)</f>
        <v>Yes</v>
      </c>
      <c r="J533" t="str">
        <f>VLOOKUP(Table2[[#This Row],[Customer ID]],Table2[#All],9,FALSE)</f>
        <v>Normalweight</v>
      </c>
      <c r="K533" t="str">
        <f>VLOOKUP(Table2[[#This Row],[Customer ID]],Table2[#All],10,FALSE)</f>
        <v>Prediabetes</v>
      </c>
    </row>
    <row r="534" spans="1:11" ht="15.6" x14ac:dyDescent="0.3">
      <c r="A534" s="1" t="s">
        <v>1838</v>
      </c>
      <c r="B534" t="str">
        <f>VLOOKUP('Customer Names'!A534,'Customer Names'!$A$1:$E$2336,4,FALSE)</f>
        <v>Ms.  Cathryn</v>
      </c>
      <c r="C534">
        <f>VLOOKUP(Table2[[#This Row],[Customer ID]],Table2[#All],2,FALSE)</f>
        <v>23.655000000000001</v>
      </c>
      <c r="D534">
        <f>VLOOKUP(Table2[[#This Row],[Customer ID]],Table2[#All],3,FALSE)</f>
        <v>5.14</v>
      </c>
      <c r="E534" t="str">
        <f>VLOOKUP(Table2[[#This Row],[Customer ID]],Table2[#All],4,FALSE)</f>
        <v>No</v>
      </c>
      <c r="F534" t="str">
        <f>VLOOKUP(Table2[[#This Row],[Customer ID]],Table2[#All],5,FALSE)</f>
        <v>No</v>
      </c>
      <c r="G534" t="str">
        <f>VLOOKUP(Table2[[#This Row],[Customer ID]],Table2[#All],6,FALSE)</f>
        <v>No</v>
      </c>
      <c r="H534">
        <f>VLOOKUP(Table2[[#This Row],[Customer ID]],Table2[#All],7,FALSE)</f>
        <v>1</v>
      </c>
      <c r="I534" t="str">
        <f>VLOOKUP(Table2[[#This Row],[Customer ID]],Table2[#All],8,FALSE)</f>
        <v>Yes</v>
      </c>
      <c r="J534" t="str">
        <f>VLOOKUP(Table2[[#This Row],[Customer ID]],Table2[#All],9,FALSE)</f>
        <v>Normalweight</v>
      </c>
      <c r="K534" t="str">
        <f>VLOOKUP(Table2[[#This Row],[Customer ID]],Table2[#All],10,FALSE)</f>
        <v>Normal</v>
      </c>
    </row>
    <row r="535" spans="1:11" ht="15.6" x14ac:dyDescent="0.3">
      <c r="A535" s="1" t="s">
        <v>1837</v>
      </c>
      <c r="B535" t="str">
        <f>VLOOKUP('Customer Names'!A535,'Customer Names'!$A$1:$E$2336,4,FALSE)</f>
        <v>Mr.  Brendan</v>
      </c>
      <c r="C535">
        <f>VLOOKUP(Table2[[#This Row],[Customer ID]],Table2[#All],2,FALSE)</f>
        <v>49.05</v>
      </c>
      <c r="D535">
        <f>VLOOKUP(Table2[[#This Row],[Customer ID]],Table2[#All],3,FALSE)</f>
        <v>9.77</v>
      </c>
      <c r="E535" t="str">
        <f>VLOOKUP(Table2[[#This Row],[Customer ID]],Table2[#All],4,FALSE)</f>
        <v>Yes</v>
      </c>
      <c r="F535" t="str">
        <f>VLOOKUP(Table2[[#This Row],[Customer ID]],Table2[#All],5,FALSE)</f>
        <v>No</v>
      </c>
      <c r="G535" t="str">
        <f>VLOOKUP(Table2[[#This Row],[Customer ID]],Table2[#All],6,FALSE)</f>
        <v>No</v>
      </c>
      <c r="H535">
        <f>VLOOKUP(Table2[[#This Row],[Customer ID]],Table2[#All],7,FALSE)</f>
        <v>0</v>
      </c>
      <c r="I535" t="str">
        <f>VLOOKUP(Table2[[#This Row],[Customer ID]],Table2[#All],8,FALSE)</f>
        <v>No</v>
      </c>
      <c r="J535" t="str">
        <f>VLOOKUP(Table2[[#This Row],[Customer ID]],Table2[#All],9,FALSE)</f>
        <v>Obesity</v>
      </c>
      <c r="K535" t="str">
        <f>VLOOKUP(Table2[[#This Row],[Customer ID]],Table2[#All],10,FALSE)</f>
        <v>Diabetes</v>
      </c>
    </row>
    <row r="536" spans="1:11" ht="15.6" x14ac:dyDescent="0.3">
      <c r="A536" s="1" t="s">
        <v>1836</v>
      </c>
      <c r="B536" t="str">
        <f>VLOOKUP('Customer Names'!A536,'Customer Names'!$A$1:$E$2336,4,FALSE)</f>
        <v>Ms.  Shauna</v>
      </c>
      <c r="C536">
        <f>VLOOKUP(Table2[[#This Row],[Customer ID]],Table2[#All],2,FALSE)</f>
        <v>51.94</v>
      </c>
      <c r="D536">
        <f>VLOOKUP(Table2[[#This Row],[Customer ID]],Table2[#All],3,FALSE)</f>
        <v>8.8000000000000007</v>
      </c>
      <c r="E536" t="str">
        <f>VLOOKUP(Table2[[#This Row],[Customer ID]],Table2[#All],4,FALSE)</f>
        <v>Yes</v>
      </c>
      <c r="F536" t="str">
        <f>VLOOKUP(Table2[[#This Row],[Customer ID]],Table2[#All],5,FALSE)</f>
        <v>No</v>
      </c>
      <c r="G536" t="str">
        <f>VLOOKUP(Table2[[#This Row],[Customer ID]],Table2[#All],6,FALSE)</f>
        <v>No</v>
      </c>
      <c r="H536">
        <f>VLOOKUP(Table2[[#This Row],[Customer ID]],Table2[#All],7,FALSE)</f>
        <v>2</v>
      </c>
      <c r="I536" t="str">
        <f>VLOOKUP(Table2[[#This Row],[Customer ID]],Table2[#All],8,FALSE)</f>
        <v>No</v>
      </c>
      <c r="J536" t="str">
        <f>VLOOKUP(Table2[[#This Row],[Customer ID]],Table2[#All],9,FALSE)</f>
        <v>Obesity</v>
      </c>
      <c r="K536" t="str">
        <f>VLOOKUP(Table2[[#This Row],[Customer ID]],Table2[#All],10,FALSE)</f>
        <v>Diabetes</v>
      </c>
    </row>
    <row r="537" spans="1:11" ht="15.6" x14ac:dyDescent="0.3">
      <c r="A537" s="1" t="s">
        <v>1835</v>
      </c>
      <c r="B537" t="str">
        <f>VLOOKUP('Customer Names'!A537,'Customer Names'!$A$1:$E$2336,4,FALSE)</f>
        <v>Mr.  Terence</v>
      </c>
      <c r="C537">
        <f>VLOOKUP(Table2[[#This Row],[Customer ID]],Table2[#All],2,FALSE)</f>
        <v>29.83</v>
      </c>
      <c r="D537">
        <f>VLOOKUP(Table2[[#This Row],[Customer ID]],Table2[#All],3,FALSE)</f>
        <v>5.84</v>
      </c>
      <c r="E537" t="str">
        <f>VLOOKUP(Table2[[#This Row],[Customer ID]],Table2[#All],4,FALSE)</f>
        <v>No</v>
      </c>
      <c r="F537" t="str">
        <f>VLOOKUP(Table2[[#This Row],[Customer ID]],Table2[#All],5,FALSE)</f>
        <v>No</v>
      </c>
      <c r="G537" t="str">
        <f>VLOOKUP(Table2[[#This Row],[Customer ID]],Table2[#All],6,FALSE)</f>
        <v>No</v>
      </c>
      <c r="H537">
        <f>VLOOKUP(Table2[[#This Row],[Customer ID]],Table2[#All],7,FALSE)</f>
        <v>1</v>
      </c>
      <c r="I537" t="str">
        <f>VLOOKUP(Table2[[#This Row],[Customer ID]],Table2[#All],8,FALSE)</f>
        <v>Yes</v>
      </c>
      <c r="J537" t="str">
        <f>VLOOKUP(Table2[[#This Row],[Customer ID]],Table2[#All],9,FALSE)</f>
        <v>Overweight</v>
      </c>
      <c r="K537" t="str">
        <f>VLOOKUP(Table2[[#This Row],[Customer ID]],Table2[#All],10,FALSE)</f>
        <v>Prediabetes</v>
      </c>
    </row>
    <row r="538" spans="1:11" ht="15.6" x14ac:dyDescent="0.3">
      <c r="A538" s="1" t="s">
        <v>1834</v>
      </c>
      <c r="B538" t="str">
        <f>VLOOKUP('Customer Names'!A538,'Customer Names'!$A$1:$E$2336,4,FALSE)</f>
        <v>Ms.  Marisol</v>
      </c>
      <c r="C538">
        <f>VLOOKUP(Table2[[#This Row],[Customer ID]],Table2[#All],2,FALSE)</f>
        <v>22.6</v>
      </c>
      <c r="D538">
        <f>VLOOKUP(Table2[[#This Row],[Customer ID]],Table2[#All],3,FALSE)</f>
        <v>10.43</v>
      </c>
      <c r="E538" t="str">
        <f>VLOOKUP(Table2[[#This Row],[Customer ID]],Table2[#All],4,FALSE)</f>
        <v>Yes</v>
      </c>
      <c r="F538" t="str">
        <f>VLOOKUP(Table2[[#This Row],[Customer ID]],Table2[#All],5,FALSE)</f>
        <v>No</v>
      </c>
      <c r="G538" t="str">
        <f>VLOOKUP(Table2[[#This Row],[Customer ID]],Table2[#All],6,FALSE)</f>
        <v>No</v>
      </c>
      <c r="H538">
        <f>VLOOKUP(Table2[[#This Row],[Customer ID]],Table2[#All],7,FALSE)</f>
        <v>1</v>
      </c>
      <c r="I538" t="str">
        <f>VLOOKUP(Table2[[#This Row],[Customer ID]],Table2[#All],8,FALSE)</f>
        <v>Yes</v>
      </c>
      <c r="J538" t="str">
        <f>VLOOKUP(Table2[[#This Row],[Customer ID]],Table2[#All],9,FALSE)</f>
        <v>Normalweight</v>
      </c>
      <c r="K538" t="str">
        <f>VLOOKUP(Table2[[#This Row],[Customer ID]],Table2[#All],10,FALSE)</f>
        <v>Diabetes</v>
      </c>
    </row>
    <row r="539" spans="1:11" ht="15.6" x14ac:dyDescent="0.3">
      <c r="A539" s="1" t="s">
        <v>1833</v>
      </c>
      <c r="B539" t="str">
        <f>VLOOKUP('Customer Names'!A539,'Customer Names'!$A$1:$E$2336,4,FALSE)</f>
        <v>Ms.  Lindsay</v>
      </c>
      <c r="C539">
        <f>VLOOKUP(Table2[[#This Row],[Customer ID]],Table2[#All],2,FALSE)</f>
        <v>46.69</v>
      </c>
      <c r="D539">
        <f>VLOOKUP(Table2[[#This Row],[Customer ID]],Table2[#All],3,FALSE)</f>
        <v>4.25</v>
      </c>
      <c r="E539" t="str">
        <f>VLOOKUP(Table2[[#This Row],[Customer ID]],Table2[#All],4,FALSE)</f>
        <v>Yes</v>
      </c>
      <c r="F539" t="str">
        <f>VLOOKUP(Table2[[#This Row],[Customer ID]],Table2[#All],5,FALSE)</f>
        <v>No</v>
      </c>
      <c r="G539" t="str">
        <f>VLOOKUP(Table2[[#This Row],[Customer ID]],Table2[#All],6,FALSE)</f>
        <v>No</v>
      </c>
      <c r="H539">
        <f>VLOOKUP(Table2[[#This Row],[Customer ID]],Table2[#All],7,FALSE)</f>
        <v>1</v>
      </c>
      <c r="I539" t="str">
        <f>VLOOKUP(Table2[[#This Row],[Customer ID]],Table2[#All],8,FALSE)</f>
        <v>No</v>
      </c>
      <c r="J539" t="str">
        <f>VLOOKUP(Table2[[#This Row],[Customer ID]],Table2[#All],9,FALSE)</f>
        <v>Obesity</v>
      </c>
      <c r="K539" t="str">
        <f>VLOOKUP(Table2[[#This Row],[Customer ID]],Table2[#All],10,FALSE)</f>
        <v>Normal</v>
      </c>
    </row>
    <row r="540" spans="1:11" ht="15.6" x14ac:dyDescent="0.3">
      <c r="A540" s="1" t="s">
        <v>1832</v>
      </c>
      <c r="B540" t="str">
        <f>VLOOKUP('Customer Names'!A540,'Customer Names'!$A$1:$E$2336,4,FALSE)</f>
        <v>Ms.  Katie</v>
      </c>
      <c r="C540">
        <f>VLOOKUP(Table2[[#This Row],[Customer ID]],Table2[#All],2,FALSE)</f>
        <v>28.49</v>
      </c>
      <c r="D540">
        <f>VLOOKUP(Table2[[#This Row],[Customer ID]],Table2[#All],3,FALSE)</f>
        <v>4.8899999999999997</v>
      </c>
      <c r="E540" t="str">
        <f>VLOOKUP(Table2[[#This Row],[Customer ID]],Table2[#All],4,FALSE)</f>
        <v>No</v>
      </c>
      <c r="F540" t="str">
        <f>VLOOKUP(Table2[[#This Row],[Customer ID]],Table2[#All],5,FALSE)</f>
        <v>No</v>
      </c>
      <c r="G540" t="str">
        <f>VLOOKUP(Table2[[#This Row],[Customer ID]],Table2[#All],6,FALSE)</f>
        <v>No</v>
      </c>
      <c r="H540">
        <f>VLOOKUP(Table2[[#This Row],[Customer ID]],Table2[#All],7,FALSE)</f>
        <v>0</v>
      </c>
      <c r="I540" t="str">
        <f>VLOOKUP(Table2[[#This Row],[Customer ID]],Table2[#All],8,FALSE)</f>
        <v>Yes</v>
      </c>
      <c r="J540" t="str">
        <f>VLOOKUP(Table2[[#This Row],[Customer ID]],Table2[#All],9,FALSE)</f>
        <v>Overweight</v>
      </c>
      <c r="K540" t="str">
        <f>VLOOKUP(Table2[[#This Row],[Customer ID]],Table2[#All],10,FALSE)</f>
        <v>Normal</v>
      </c>
    </row>
    <row r="541" spans="1:11" ht="15.6" x14ac:dyDescent="0.3">
      <c r="A541" s="1" t="s">
        <v>1831</v>
      </c>
      <c r="B541" t="str">
        <f>VLOOKUP('Customer Names'!A541,'Customer Names'!$A$1:$E$2336,4,FALSE)</f>
        <v>Mr.  Daniel</v>
      </c>
      <c r="C541">
        <f>VLOOKUP(Table2[[#This Row],[Customer ID]],Table2[#All],2,FALSE)</f>
        <v>28.5</v>
      </c>
      <c r="D541">
        <f>VLOOKUP(Table2[[#This Row],[Customer ID]],Table2[#All],3,FALSE)</f>
        <v>5.55</v>
      </c>
      <c r="E541" t="str">
        <f>VLOOKUP(Table2[[#This Row],[Customer ID]],Table2[#All],4,FALSE)</f>
        <v>Yes</v>
      </c>
      <c r="F541" t="str">
        <f>VLOOKUP(Table2[[#This Row],[Customer ID]],Table2[#All],5,FALSE)</f>
        <v>No</v>
      </c>
      <c r="G541" t="str">
        <f>VLOOKUP(Table2[[#This Row],[Customer ID]],Table2[#All],6,FALSE)</f>
        <v>No</v>
      </c>
      <c r="H541">
        <f>VLOOKUP(Table2[[#This Row],[Customer ID]],Table2[#All],7,FALSE)</f>
        <v>1</v>
      </c>
      <c r="I541" t="str">
        <f>VLOOKUP(Table2[[#This Row],[Customer ID]],Table2[#All],8,FALSE)</f>
        <v>Yes</v>
      </c>
      <c r="J541" t="str">
        <f>VLOOKUP(Table2[[#This Row],[Customer ID]],Table2[#All],9,FALSE)</f>
        <v>Overweight</v>
      </c>
      <c r="K541" t="str">
        <f>VLOOKUP(Table2[[#This Row],[Customer ID]],Table2[#All],10,FALSE)</f>
        <v>Normal</v>
      </c>
    </row>
    <row r="542" spans="1:11" ht="15.6" x14ac:dyDescent="0.3">
      <c r="A542" s="1" t="s">
        <v>1830</v>
      </c>
      <c r="B542" t="str">
        <f>VLOOKUP('Customer Names'!A542,'Customer Names'!$A$1:$E$2336,4,FALSE)</f>
        <v>Mr.  Brett W</v>
      </c>
      <c r="C542">
        <f>VLOOKUP(Table2[[#This Row],[Customer ID]],Table2[#All],2,FALSE)</f>
        <v>24.4</v>
      </c>
      <c r="D542">
        <f>VLOOKUP(Table2[[#This Row],[Customer ID]],Table2[#All],3,FALSE)</f>
        <v>4.5199999999999996</v>
      </c>
      <c r="E542" t="str">
        <f>VLOOKUP(Table2[[#This Row],[Customer ID]],Table2[#All],4,FALSE)</f>
        <v>No</v>
      </c>
      <c r="F542" t="str">
        <f>VLOOKUP(Table2[[#This Row],[Customer ID]],Table2[#All],5,FALSE)</f>
        <v>No</v>
      </c>
      <c r="G542" t="str">
        <f>VLOOKUP(Table2[[#This Row],[Customer ID]],Table2[#All],6,FALSE)</f>
        <v>No</v>
      </c>
      <c r="H542">
        <f>VLOOKUP(Table2[[#This Row],[Customer ID]],Table2[#All],7,FALSE)</f>
        <v>1</v>
      </c>
      <c r="I542" t="str">
        <f>VLOOKUP(Table2[[#This Row],[Customer ID]],Table2[#All],8,FALSE)</f>
        <v>Yes</v>
      </c>
      <c r="J542" t="str">
        <f>VLOOKUP(Table2[[#This Row],[Customer ID]],Table2[#All],9,FALSE)</f>
        <v>Normalweight</v>
      </c>
      <c r="K542" t="str">
        <f>VLOOKUP(Table2[[#This Row],[Customer ID]],Table2[#All],10,FALSE)</f>
        <v>Normal</v>
      </c>
    </row>
    <row r="543" spans="1:11" ht="15.6" x14ac:dyDescent="0.3">
      <c r="A543" s="1" t="s">
        <v>1829</v>
      </c>
      <c r="B543" t="str">
        <f>VLOOKUP('Customer Names'!A543,'Customer Names'!$A$1:$E$2336,4,FALSE)</f>
        <v>Mr.  Dylan J</v>
      </c>
      <c r="C543">
        <f>VLOOKUP(Table2[[#This Row],[Customer ID]],Table2[#All],2,FALSE)</f>
        <v>29.15</v>
      </c>
      <c r="D543">
        <f>VLOOKUP(Table2[[#This Row],[Customer ID]],Table2[#All],3,FALSE)</f>
        <v>4.45</v>
      </c>
      <c r="E543" t="str">
        <f>VLOOKUP(Table2[[#This Row],[Customer ID]],Table2[#All],4,FALSE)</f>
        <v>Yes</v>
      </c>
      <c r="F543" t="str">
        <f>VLOOKUP(Table2[[#This Row],[Customer ID]],Table2[#All],5,FALSE)</f>
        <v>No</v>
      </c>
      <c r="G543" t="str">
        <f>VLOOKUP(Table2[[#This Row],[Customer ID]],Table2[#All],6,FALSE)</f>
        <v>No</v>
      </c>
      <c r="H543">
        <f>VLOOKUP(Table2[[#This Row],[Customer ID]],Table2[#All],7,FALSE)</f>
        <v>1</v>
      </c>
      <c r="I543" t="str">
        <f>VLOOKUP(Table2[[#This Row],[Customer ID]],Table2[#All],8,FALSE)</f>
        <v>Yes</v>
      </c>
      <c r="J543" t="str">
        <f>VLOOKUP(Table2[[#This Row],[Customer ID]],Table2[#All],9,FALSE)</f>
        <v>Overweight</v>
      </c>
      <c r="K543" t="str">
        <f>VLOOKUP(Table2[[#This Row],[Customer ID]],Table2[#All],10,FALSE)</f>
        <v>Normal</v>
      </c>
    </row>
    <row r="544" spans="1:11" ht="15.6" x14ac:dyDescent="0.3">
      <c r="A544" s="1" t="s">
        <v>1828</v>
      </c>
      <c r="B544" t="str">
        <f>VLOOKUP('Customer Names'!A544,'Customer Names'!$A$1:$E$2336,4,FALSE)</f>
        <v>Ms.  Elizabeth</v>
      </c>
      <c r="C544">
        <f>VLOOKUP(Table2[[#This Row],[Customer ID]],Table2[#All],2,FALSE)</f>
        <v>27.28</v>
      </c>
      <c r="D544">
        <f>VLOOKUP(Table2[[#This Row],[Customer ID]],Table2[#All],3,FALSE)</f>
        <v>4.72</v>
      </c>
      <c r="E544" t="str">
        <f>VLOOKUP(Table2[[#This Row],[Customer ID]],Table2[#All],4,FALSE)</f>
        <v>No</v>
      </c>
      <c r="F544" t="str">
        <f>VLOOKUP(Table2[[#This Row],[Customer ID]],Table2[#All],5,FALSE)</f>
        <v>yes</v>
      </c>
      <c r="G544" t="str">
        <f>VLOOKUP(Table2[[#This Row],[Customer ID]],Table2[#All],6,FALSE)</f>
        <v>No</v>
      </c>
      <c r="H544">
        <f>VLOOKUP(Table2[[#This Row],[Customer ID]],Table2[#All],7,FALSE)</f>
        <v>1</v>
      </c>
      <c r="I544" t="str">
        <f>VLOOKUP(Table2[[#This Row],[Customer ID]],Table2[#All],8,FALSE)</f>
        <v>Yes</v>
      </c>
      <c r="J544" t="str">
        <f>VLOOKUP(Table2[[#This Row],[Customer ID]],Table2[#All],9,FALSE)</f>
        <v>Overweight</v>
      </c>
      <c r="K544" t="str">
        <f>VLOOKUP(Table2[[#This Row],[Customer ID]],Table2[#All],10,FALSE)</f>
        <v>Normal</v>
      </c>
    </row>
    <row r="545" spans="1:11" ht="15.6" x14ac:dyDescent="0.3">
      <c r="A545" s="1" t="s">
        <v>1827</v>
      </c>
      <c r="B545" t="str">
        <f>VLOOKUP('Customer Names'!A545,'Customer Names'!$A$1:$E$2336,4,FALSE)</f>
        <v>Ms.  Brooke M.</v>
      </c>
      <c r="C545">
        <f>VLOOKUP(Table2[[#This Row],[Customer ID]],Table2[#All],2,FALSE)</f>
        <v>32.229999999999997</v>
      </c>
      <c r="D545">
        <f>VLOOKUP(Table2[[#This Row],[Customer ID]],Table2[#All],3,FALSE)</f>
        <v>4.6500000000000004</v>
      </c>
      <c r="E545" t="str">
        <f>VLOOKUP(Table2[[#This Row],[Customer ID]],Table2[#All],4,FALSE)</f>
        <v>Yes</v>
      </c>
      <c r="F545" t="str">
        <f>VLOOKUP(Table2[[#This Row],[Customer ID]],Table2[#All],5,FALSE)</f>
        <v>No</v>
      </c>
      <c r="G545" t="str">
        <f>VLOOKUP(Table2[[#This Row],[Customer ID]],Table2[#All],6,FALSE)</f>
        <v>Yes</v>
      </c>
      <c r="H545">
        <f>VLOOKUP(Table2[[#This Row],[Customer ID]],Table2[#All],7,FALSE)</f>
        <v>1</v>
      </c>
      <c r="I545" t="str">
        <f>VLOOKUP(Table2[[#This Row],[Customer ID]],Table2[#All],8,FALSE)</f>
        <v>No</v>
      </c>
      <c r="J545" t="str">
        <f>VLOOKUP(Table2[[#This Row],[Customer ID]],Table2[#All],9,FALSE)</f>
        <v>Obesity</v>
      </c>
      <c r="K545" t="str">
        <f>VLOOKUP(Table2[[#This Row],[Customer ID]],Table2[#All],10,FALSE)</f>
        <v>Normal</v>
      </c>
    </row>
    <row r="546" spans="1:11" ht="15.6" x14ac:dyDescent="0.3">
      <c r="A546" s="1" t="s">
        <v>1826</v>
      </c>
      <c r="B546" t="str">
        <f>VLOOKUP('Customer Names'!A546,'Customer Names'!$A$1:$E$2336,4,FALSE)</f>
        <v>Mrs.  Teiko</v>
      </c>
      <c r="C546">
        <f>VLOOKUP(Table2[[#This Row],[Customer ID]],Table2[#All],2,FALSE)</f>
        <v>44.2</v>
      </c>
      <c r="D546">
        <f>VLOOKUP(Table2[[#This Row],[Customer ID]],Table2[#All],3,FALSE)</f>
        <v>11.34</v>
      </c>
      <c r="E546" t="str">
        <f>VLOOKUP(Table2[[#This Row],[Customer ID]],Table2[#All],4,FALSE)</f>
        <v>Yes</v>
      </c>
      <c r="F546" t="str">
        <f>VLOOKUP(Table2[[#This Row],[Customer ID]],Table2[#All],5,FALSE)</f>
        <v>No</v>
      </c>
      <c r="G546" t="str">
        <f>VLOOKUP(Table2[[#This Row],[Customer ID]],Table2[#All],6,FALSE)</f>
        <v>Yes</v>
      </c>
      <c r="H546">
        <f>VLOOKUP(Table2[[#This Row],[Customer ID]],Table2[#All],7,FALSE)</f>
        <v>1</v>
      </c>
      <c r="I546" t="str">
        <f>VLOOKUP(Table2[[#This Row],[Customer ID]],Table2[#All],8,FALSE)</f>
        <v>No</v>
      </c>
      <c r="J546" t="str">
        <f>VLOOKUP(Table2[[#This Row],[Customer ID]],Table2[#All],9,FALSE)</f>
        <v>Obesity</v>
      </c>
      <c r="K546" t="str">
        <f>VLOOKUP(Table2[[#This Row],[Customer ID]],Table2[#All],10,FALSE)</f>
        <v>Diabetes</v>
      </c>
    </row>
    <row r="547" spans="1:11" ht="15.6" x14ac:dyDescent="0.3">
      <c r="A547" s="1" t="s">
        <v>1825</v>
      </c>
      <c r="B547" t="str">
        <f>VLOOKUP('Customer Names'!A547,'Customer Names'!$A$1:$E$2336,4,FALSE)</f>
        <v>Mr.  Zachary</v>
      </c>
      <c r="C547">
        <f>VLOOKUP(Table2[[#This Row],[Customer ID]],Table2[#All],2,FALSE)</f>
        <v>29.734999999999999</v>
      </c>
      <c r="D547">
        <f>VLOOKUP(Table2[[#This Row],[Customer ID]],Table2[#All],3,FALSE)</f>
        <v>4.53</v>
      </c>
      <c r="E547" t="str">
        <f>VLOOKUP(Table2[[#This Row],[Customer ID]],Table2[#All],4,FALSE)</f>
        <v>No</v>
      </c>
      <c r="F547" t="str">
        <f>VLOOKUP(Table2[[#This Row],[Customer ID]],Table2[#All],5,FALSE)</f>
        <v>No</v>
      </c>
      <c r="G547" t="str">
        <f>VLOOKUP(Table2[[#This Row],[Customer ID]],Table2[#All],6,FALSE)</f>
        <v>Yes</v>
      </c>
      <c r="H547">
        <f>VLOOKUP(Table2[[#This Row],[Customer ID]],Table2[#All],7,FALSE)</f>
        <v>1</v>
      </c>
      <c r="I547" t="str">
        <f>VLOOKUP(Table2[[#This Row],[Customer ID]],Table2[#All],8,FALSE)</f>
        <v>No</v>
      </c>
      <c r="J547" t="str">
        <f>VLOOKUP(Table2[[#This Row],[Customer ID]],Table2[#All],9,FALSE)</f>
        <v>Overweight</v>
      </c>
      <c r="K547" t="str">
        <f>VLOOKUP(Table2[[#This Row],[Customer ID]],Table2[#All],10,FALSE)</f>
        <v>Normal</v>
      </c>
    </row>
    <row r="548" spans="1:11" ht="15.6" x14ac:dyDescent="0.3">
      <c r="A548" s="1" t="s">
        <v>1824</v>
      </c>
      <c r="B548" t="str">
        <f>VLOOKUP('Customer Names'!A548,'Customer Names'!$A$1:$E$2336,4,FALSE)</f>
        <v>Ms.  Johannah</v>
      </c>
      <c r="C548">
        <f>VLOOKUP(Table2[[#This Row],[Customer ID]],Table2[#All],2,FALSE)</f>
        <v>28.31</v>
      </c>
      <c r="D548">
        <f>VLOOKUP(Table2[[#This Row],[Customer ID]],Table2[#All],3,FALSE)</f>
        <v>6.35</v>
      </c>
      <c r="E548" t="str">
        <f>VLOOKUP(Table2[[#This Row],[Customer ID]],Table2[#All],4,FALSE)</f>
        <v>No</v>
      </c>
      <c r="F548" t="str">
        <f>VLOOKUP(Table2[[#This Row],[Customer ID]],Table2[#All],5,FALSE)</f>
        <v>No</v>
      </c>
      <c r="G548" t="str">
        <f>VLOOKUP(Table2[[#This Row],[Customer ID]],Table2[#All],6,FALSE)</f>
        <v>No</v>
      </c>
      <c r="H548">
        <f>VLOOKUP(Table2[[#This Row],[Customer ID]],Table2[#All],7,FALSE)</f>
        <v>0</v>
      </c>
      <c r="I548" t="str">
        <f>VLOOKUP(Table2[[#This Row],[Customer ID]],Table2[#All],8,FALSE)</f>
        <v>Yes</v>
      </c>
      <c r="J548" t="str">
        <f>VLOOKUP(Table2[[#This Row],[Customer ID]],Table2[#All],9,FALSE)</f>
        <v>Overweight</v>
      </c>
      <c r="K548" t="str">
        <f>VLOOKUP(Table2[[#This Row],[Customer ID]],Table2[#All],10,FALSE)</f>
        <v>Prediabetes</v>
      </c>
    </row>
    <row r="549" spans="1:11" ht="15.6" x14ac:dyDescent="0.3">
      <c r="A549" s="1" t="s">
        <v>1823</v>
      </c>
      <c r="B549" t="str">
        <f>VLOOKUP('Customer Names'!A549,'Customer Names'!$A$1:$E$2336,4,FALSE)</f>
        <v>Mr.  Ryan A</v>
      </c>
      <c r="C549">
        <f>VLOOKUP(Table2[[#This Row],[Customer ID]],Table2[#All],2,FALSE)</f>
        <v>46.62</v>
      </c>
      <c r="D549">
        <f>VLOOKUP(Table2[[#This Row],[Customer ID]],Table2[#All],3,FALSE)</f>
        <v>8.51</v>
      </c>
      <c r="E549" t="str">
        <f>VLOOKUP(Table2[[#This Row],[Customer ID]],Table2[#All],4,FALSE)</f>
        <v>No</v>
      </c>
      <c r="F549" t="str">
        <f>VLOOKUP(Table2[[#This Row],[Customer ID]],Table2[#All],5,FALSE)</f>
        <v>No</v>
      </c>
      <c r="G549" t="str">
        <f>VLOOKUP(Table2[[#This Row],[Customer ID]],Table2[#All],6,FALSE)</f>
        <v>No</v>
      </c>
      <c r="H549">
        <f>VLOOKUP(Table2[[#This Row],[Customer ID]],Table2[#All],7,FALSE)</f>
        <v>0</v>
      </c>
      <c r="I549" t="str">
        <f>VLOOKUP(Table2[[#This Row],[Customer ID]],Table2[#All],8,FALSE)</f>
        <v>No</v>
      </c>
      <c r="J549" t="str">
        <f>VLOOKUP(Table2[[#This Row],[Customer ID]],Table2[#All],9,FALSE)</f>
        <v>Obesity</v>
      </c>
      <c r="K549" t="str">
        <f>VLOOKUP(Table2[[#This Row],[Customer ID]],Table2[#All],10,FALSE)</f>
        <v>Diabetes</v>
      </c>
    </row>
    <row r="550" spans="1:11" ht="15.6" x14ac:dyDescent="0.3">
      <c r="A550" s="1" t="s">
        <v>1822</v>
      </c>
      <c r="B550" t="str">
        <f>VLOOKUP('Customer Names'!A550,'Customer Names'!$A$1:$E$2336,4,FALSE)</f>
        <v>Mr.  Andres Sr.</v>
      </c>
      <c r="C550">
        <f>VLOOKUP(Table2[[#This Row],[Customer ID]],Table2[#All],2,FALSE)</f>
        <v>51.75</v>
      </c>
      <c r="D550">
        <f>VLOOKUP(Table2[[#This Row],[Customer ID]],Table2[#All],3,FALSE)</f>
        <v>8.59</v>
      </c>
      <c r="E550" t="str">
        <f>VLOOKUP(Table2[[#This Row],[Customer ID]],Table2[#All],4,FALSE)</f>
        <v>Yes</v>
      </c>
      <c r="F550" t="str">
        <f>VLOOKUP(Table2[[#This Row],[Customer ID]],Table2[#All],5,FALSE)</f>
        <v>No</v>
      </c>
      <c r="G550" t="str">
        <f>VLOOKUP(Table2[[#This Row],[Customer ID]],Table2[#All],6,FALSE)</f>
        <v>No</v>
      </c>
      <c r="H550">
        <f>VLOOKUP(Table2[[#This Row],[Customer ID]],Table2[#All],7,FALSE)</f>
        <v>1</v>
      </c>
      <c r="I550" t="str">
        <f>VLOOKUP(Table2[[#This Row],[Customer ID]],Table2[#All],8,FALSE)</f>
        <v>No</v>
      </c>
      <c r="J550" t="str">
        <f>VLOOKUP(Table2[[#This Row],[Customer ID]],Table2[#All],9,FALSE)</f>
        <v>Obesity</v>
      </c>
      <c r="K550" t="str">
        <f>VLOOKUP(Table2[[#This Row],[Customer ID]],Table2[#All],10,FALSE)</f>
        <v>Diabetes</v>
      </c>
    </row>
    <row r="551" spans="1:11" ht="15.6" x14ac:dyDescent="0.3">
      <c r="A551" s="1" t="s">
        <v>1821</v>
      </c>
      <c r="B551" t="str">
        <f>VLOOKUP('Customer Names'!A551,'Customer Names'!$A$1:$E$2336,4,FALSE)</f>
        <v>Mr.  Bryan</v>
      </c>
      <c r="C551">
        <f>VLOOKUP(Table2[[#This Row],[Customer ID]],Table2[#All],2,FALSE)</f>
        <v>25.7</v>
      </c>
      <c r="D551">
        <f>VLOOKUP(Table2[[#This Row],[Customer ID]],Table2[#All],3,FALSE)</f>
        <v>4.13</v>
      </c>
      <c r="E551" t="str">
        <f>VLOOKUP(Table2[[#This Row],[Customer ID]],Table2[#All],4,FALSE)</f>
        <v>Yes</v>
      </c>
      <c r="F551" t="str">
        <f>VLOOKUP(Table2[[#This Row],[Customer ID]],Table2[#All],5,FALSE)</f>
        <v>No</v>
      </c>
      <c r="G551" t="str">
        <f>VLOOKUP(Table2[[#This Row],[Customer ID]],Table2[#All],6,FALSE)</f>
        <v>No</v>
      </c>
      <c r="H551">
        <f>VLOOKUP(Table2[[#This Row],[Customer ID]],Table2[#All],7,FALSE)</f>
        <v>0</v>
      </c>
      <c r="I551" t="str">
        <f>VLOOKUP(Table2[[#This Row],[Customer ID]],Table2[#All],8,FALSE)</f>
        <v>Yes</v>
      </c>
      <c r="J551" t="str">
        <f>VLOOKUP(Table2[[#This Row],[Customer ID]],Table2[#All],9,FALSE)</f>
        <v>Overweight</v>
      </c>
      <c r="K551" t="str">
        <f>VLOOKUP(Table2[[#This Row],[Customer ID]],Table2[#All],10,FALSE)</f>
        <v>Normal</v>
      </c>
    </row>
    <row r="552" spans="1:11" ht="15.6" x14ac:dyDescent="0.3">
      <c r="A552" s="1" t="s">
        <v>1820</v>
      </c>
      <c r="B552" t="str">
        <f>VLOOKUP('Customer Names'!A552,'Customer Names'!$A$1:$E$2336,4,FALSE)</f>
        <v>Ms.  Lizette</v>
      </c>
      <c r="C552">
        <f>VLOOKUP(Table2[[#This Row],[Customer ID]],Table2[#All],2,FALSE)</f>
        <v>31.79</v>
      </c>
      <c r="D552">
        <f>VLOOKUP(Table2[[#This Row],[Customer ID]],Table2[#All],3,FALSE)</f>
        <v>4.55</v>
      </c>
      <c r="E552" t="str">
        <f>VLOOKUP(Table2[[#This Row],[Customer ID]],Table2[#All],4,FALSE)</f>
        <v>No</v>
      </c>
      <c r="F552" t="str">
        <f>VLOOKUP(Table2[[#This Row],[Customer ID]],Table2[#All],5,FALSE)</f>
        <v>No</v>
      </c>
      <c r="G552" t="str">
        <f>VLOOKUP(Table2[[#This Row],[Customer ID]],Table2[#All],6,FALSE)</f>
        <v>No</v>
      </c>
      <c r="H552">
        <f>VLOOKUP(Table2[[#This Row],[Customer ID]],Table2[#All],7,FALSE)</f>
        <v>0</v>
      </c>
      <c r="I552" t="str">
        <f>VLOOKUP(Table2[[#This Row],[Customer ID]],Table2[#All],8,FALSE)</f>
        <v>No</v>
      </c>
      <c r="J552" t="str">
        <f>VLOOKUP(Table2[[#This Row],[Customer ID]],Table2[#All],9,FALSE)</f>
        <v>Obesity</v>
      </c>
      <c r="K552" t="str">
        <f>VLOOKUP(Table2[[#This Row],[Customer ID]],Table2[#All],10,FALSE)</f>
        <v>Normal</v>
      </c>
    </row>
    <row r="553" spans="1:11" ht="15.6" x14ac:dyDescent="0.3">
      <c r="A553" s="1" t="s">
        <v>1819</v>
      </c>
      <c r="B553" t="str">
        <f>VLOOKUP('Customer Names'!A553,'Customer Names'!$A$1:$E$2336,4,FALSE)</f>
        <v>Mr.  Don</v>
      </c>
      <c r="C553">
        <f>VLOOKUP(Table2[[#This Row],[Customer ID]],Table2[#All],2,FALSE)</f>
        <v>24.795000000000002</v>
      </c>
      <c r="D553">
        <f>VLOOKUP(Table2[[#This Row],[Customer ID]],Table2[#All],3,FALSE)</f>
        <v>4.5199999999999996</v>
      </c>
      <c r="E553" t="str">
        <f>VLOOKUP(Table2[[#This Row],[Customer ID]],Table2[#All],4,FALSE)</f>
        <v>No</v>
      </c>
      <c r="F553" t="str">
        <f>VLOOKUP(Table2[[#This Row],[Customer ID]],Table2[#All],5,FALSE)</f>
        <v>No</v>
      </c>
      <c r="G553" t="str">
        <f>VLOOKUP(Table2[[#This Row],[Customer ID]],Table2[#All],6,FALSE)</f>
        <v>No</v>
      </c>
      <c r="H553">
        <f>VLOOKUP(Table2[[#This Row],[Customer ID]],Table2[#All],7,FALSE)</f>
        <v>0</v>
      </c>
      <c r="I553" t="str">
        <f>VLOOKUP(Table2[[#This Row],[Customer ID]],Table2[#All],8,FALSE)</f>
        <v>Yes</v>
      </c>
      <c r="J553" t="str">
        <f>VLOOKUP(Table2[[#This Row],[Customer ID]],Table2[#All],9,FALSE)</f>
        <v>Normalweight</v>
      </c>
      <c r="K553" t="str">
        <f>VLOOKUP(Table2[[#This Row],[Customer ID]],Table2[#All],10,FALSE)</f>
        <v>Normal</v>
      </c>
    </row>
    <row r="554" spans="1:11" ht="15.6" x14ac:dyDescent="0.3">
      <c r="A554" s="1" t="s">
        <v>1818</v>
      </c>
      <c r="B554" t="str">
        <f>VLOOKUP('Customer Names'!A554,'Customer Names'!$A$1:$E$2336,4,FALSE)</f>
        <v>Mr.  Jeb</v>
      </c>
      <c r="C554">
        <f>VLOOKUP(Table2[[#This Row],[Customer ID]],Table2[#All],2,FALSE)</f>
        <v>53.98</v>
      </c>
      <c r="D554">
        <f>VLOOKUP(Table2[[#This Row],[Customer ID]],Table2[#All],3,FALSE)</f>
        <v>5.07</v>
      </c>
      <c r="E554" t="str">
        <f>VLOOKUP(Table2[[#This Row],[Customer ID]],Table2[#All],4,FALSE)</f>
        <v>No</v>
      </c>
      <c r="F554" t="str">
        <f>VLOOKUP(Table2[[#This Row],[Customer ID]],Table2[#All],5,FALSE)</f>
        <v>No</v>
      </c>
      <c r="G554" t="str">
        <f>VLOOKUP(Table2[[#This Row],[Customer ID]],Table2[#All],6,FALSE)</f>
        <v>Yes</v>
      </c>
      <c r="H554">
        <f>VLOOKUP(Table2[[#This Row],[Customer ID]],Table2[#All],7,FALSE)</f>
        <v>1</v>
      </c>
      <c r="I554" t="str">
        <f>VLOOKUP(Table2[[#This Row],[Customer ID]],Table2[#All],8,FALSE)</f>
        <v>No</v>
      </c>
      <c r="J554" t="str">
        <f>VLOOKUP(Table2[[#This Row],[Customer ID]],Table2[#All],9,FALSE)</f>
        <v>Obesity</v>
      </c>
      <c r="K554" t="str">
        <f>VLOOKUP(Table2[[#This Row],[Customer ID]],Table2[#All],10,FALSE)</f>
        <v>Normal</v>
      </c>
    </row>
    <row r="555" spans="1:11" ht="15.6" x14ac:dyDescent="0.3">
      <c r="A555" s="1" t="s">
        <v>1817</v>
      </c>
      <c r="B555" t="str">
        <f>VLOOKUP('Customer Names'!A555,'Customer Names'!$A$1:$E$2336,4,FALSE)</f>
        <v>Ms.  Amy R.</v>
      </c>
      <c r="C555">
        <f>VLOOKUP(Table2[[#This Row],[Customer ID]],Table2[#All],2,FALSE)</f>
        <v>41.325000000000003</v>
      </c>
      <c r="D555">
        <f>VLOOKUP(Table2[[#This Row],[Customer ID]],Table2[#All],3,FALSE)</f>
        <v>4.04</v>
      </c>
      <c r="E555" t="str">
        <f>VLOOKUP(Table2[[#This Row],[Customer ID]],Table2[#All],4,FALSE)</f>
        <v>Yes</v>
      </c>
      <c r="F555" t="str">
        <f>VLOOKUP(Table2[[#This Row],[Customer ID]],Table2[#All],5,FALSE)</f>
        <v>No</v>
      </c>
      <c r="G555" t="str">
        <f>VLOOKUP(Table2[[#This Row],[Customer ID]],Table2[#All],6,FALSE)</f>
        <v>Yes</v>
      </c>
      <c r="H555">
        <f>VLOOKUP(Table2[[#This Row],[Customer ID]],Table2[#All],7,FALSE)</f>
        <v>1</v>
      </c>
      <c r="I555" t="str">
        <f>VLOOKUP(Table2[[#This Row],[Customer ID]],Table2[#All],8,FALSE)</f>
        <v>No</v>
      </c>
      <c r="J555" t="str">
        <f>VLOOKUP(Table2[[#This Row],[Customer ID]],Table2[#All],9,FALSE)</f>
        <v>Obesity</v>
      </c>
      <c r="K555" t="str">
        <f>VLOOKUP(Table2[[#This Row],[Customer ID]],Table2[#All],10,FALSE)</f>
        <v>Normal</v>
      </c>
    </row>
    <row r="556" spans="1:11" ht="15.6" x14ac:dyDescent="0.3">
      <c r="A556" s="1" t="s">
        <v>1816</v>
      </c>
      <c r="B556" t="str">
        <f>VLOOKUP('Customer Names'!A556,'Customer Names'!$A$1:$E$2336,4,FALSE)</f>
        <v>Mr.  Brian</v>
      </c>
      <c r="C556">
        <f>VLOOKUP(Table2[[#This Row],[Customer ID]],Table2[#All],2,FALSE)</f>
        <v>51.65</v>
      </c>
      <c r="D556">
        <f>VLOOKUP(Table2[[#This Row],[Customer ID]],Table2[#All],3,FALSE)</f>
        <v>5.3</v>
      </c>
      <c r="E556" t="str">
        <f>VLOOKUP(Table2[[#This Row],[Customer ID]],Table2[#All],4,FALSE)</f>
        <v>Yes</v>
      </c>
      <c r="F556" t="str">
        <f>VLOOKUP(Table2[[#This Row],[Customer ID]],Table2[#All],5,FALSE)</f>
        <v>No</v>
      </c>
      <c r="G556" t="str">
        <f>VLOOKUP(Table2[[#This Row],[Customer ID]],Table2[#All],6,FALSE)</f>
        <v>No</v>
      </c>
      <c r="H556">
        <f>VLOOKUP(Table2[[#This Row],[Customer ID]],Table2[#All],7,FALSE)</f>
        <v>0</v>
      </c>
      <c r="I556" t="str">
        <f>VLOOKUP(Table2[[#This Row],[Customer ID]],Table2[#All],8,FALSE)</f>
        <v>No</v>
      </c>
      <c r="J556" t="str">
        <f>VLOOKUP(Table2[[#This Row],[Customer ID]],Table2[#All],9,FALSE)</f>
        <v>Obesity</v>
      </c>
      <c r="K556" t="str">
        <f>VLOOKUP(Table2[[#This Row],[Customer ID]],Table2[#All],10,FALSE)</f>
        <v>Normal</v>
      </c>
    </row>
    <row r="557" spans="1:11" ht="15.6" x14ac:dyDescent="0.3">
      <c r="A557" s="1" t="s">
        <v>1815</v>
      </c>
      <c r="B557" t="str">
        <f>VLOOKUP('Customer Names'!A557,'Customer Names'!$A$1:$E$2336,4,FALSE)</f>
        <v>Mr.  Mike G</v>
      </c>
      <c r="C557">
        <f>VLOOKUP(Table2[[#This Row],[Customer ID]],Table2[#All],2,FALSE)</f>
        <v>44.52</v>
      </c>
      <c r="D557">
        <f>VLOOKUP(Table2[[#This Row],[Customer ID]],Table2[#All],3,FALSE)</f>
        <v>8.64</v>
      </c>
      <c r="E557" t="str">
        <f>VLOOKUP(Table2[[#This Row],[Customer ID]],Table2[#All],4,FALSE)</f>
        <v>Yes</v>
      </c>
      <c r="F557" t="str">
        <f>VLOOKUP(Table2[[#This Row],[Customer ID]],Table2[#All],5,FALSE)</f>
        <v>No</v>
      </c>
      <c r="G557" t="str">
        <f>VLOOKUP(Table2[[#This Row],[Customer ID]],Table2[#All],6,FALSE)</f>
        <v>Yes</v>
      </c>
      <c r="H557">
        <f>VLOOKUP(Table2[[#This Row],[Customer ID]],Table2[#All],7,FALSE)</f>
        <v>1</v>
      </c>
      <c r="I557" t="str">
        <f>VLOOKUP(Table2[[#This Row],[Customer ID]],Table2[#All],8,FALSE)</f>
        <v>No</v>
      </c>
      <c r="J557" t="str">
        <f>VLOOKUP(Table2[[#This Row],[Customer ID]],Table2[#All],9,FALSE)</f>
        <v>Obesity</v>
      </c>
      <c r="K557" t="str">
        <f>VLOOKUP(Table2[[#This Row],[Customer ID]],Table2[#All],10,FALSE)</f>
        <v>Diabetes</v>
      </c>
    </row>
    <row r="558" spans="1:11" ht="15.6" x14ac:dyDescent="0.3">
      <c r="A558" s="1" t="s">
        <v>1814</v>
      </c>
      <c r="B558" t="str">
        <f>VLOOKUP('Customer Names'!A558,'Customer Names'!$A$1:$E$2336,4,FALSE)</f>
        <v>Ms.  Simonezitrone Sr.</v>
      </c>
      <c r="C558">
        <f>VLOOKUP(Table2[[#This Row],[Customer ID]],Table2[#All],2,FALSE)</f>
        <v>53.29</v>
      </c>
      <c r="D558">
        <f>VLOOKUP(Table2[[#This Row],[Customer ID]],Table2[#All],3,FALSE)</f>
        <v>4.03</v>
      </c>
      <c r="E558" t="str">
        <f>VLOOKUP(Table2[[#This Row],[Customer ID]],Table2[#All],4,FALSE)</f>
        <v>No</v>
      </c>
      <c r="F558" t="str">
        <f>VLOOKUP(Table2[[#This Row],[Customer ID]],Table2[#All],5,FALSE)</f>
        <v>No</v>
      </c>
      <c r="G558" t="str">
        <f>VLOOKUP(Table2[[#This Row],[Customer ID]],Table2[#All],6,FALSE)</f>
        <v>Yes</v>
      </c>
      <c r="H558">
        <f>VLOOKUP(Table2[[#This Row],[Customer ID]],Table2[#All],7,FALSE)</f>
        <v>1</v>
      </c>
      <c r="I558" t="str">
        <f>VLOOKUP(Table2[[#This Row],[Customer ID]],Table2[#All],8,FALSE)</f>
        <v>No</v>
      </c>
      <c r="J558" t="str">
        <f>VLOOKUP(Table2[[#This Row],[Customer ID]],Table2[#All],9,FALSE)</f>
        <v>Obesity</v>
      </c>
      <c r="K558" t="str">
        <f>VLOOKUP(Table2[[#This Row],[Customer ID]],Table2[#All],10,FALSE)</f>
        <v>Normal</v>
      </c>
    </row>
    <row r="559" spans="1:11" ht="15.6" x14ac:dyDescent="0.3">
      <c r="A559" s="1" t="s">
        <v>1813</v>
      </c>
      <c r="B559" t="str">
        <f>VLOOKUP('Customer Names'!A559,'Customer Names'!$A$1:$E$2336,4,FALSE)</f>
        <v>Mr.  Nicholas</v>
      </c>
      <c r="C559">
        <f>VLOOKUP(Table2[[#This Row],[Customer ID]],Table2[#All],2,FALSE)</f>
        <v>46.63</v>
      </c>
      <c r="D559">
        <f>VLOOKUP(Table2[[#This Row],[Customer ID]],Table2[#All],3,FALSE)</f>
        <v>4.26</v>
      </c>
      <c r="E559" t="str">
        <f>VLOOKUP(Table2[[#This Row],[Customer ID]],Table2[#All],4,FALSE)</f>
        <v>Yes</v>
      </c>
      <c r="F559" t="str">
        <f>VLOOKUP(Table2[[#This Row],[Customer ID]],Table2[#All],5,FALSE)</f>
        <v>No</v>
      </c>
      <c r="G559" t="str">
        <f>VLOOKUP(Table2[[#This Row],[Customer ID]],Table2[#All],6,FALSE)</f>
        <v>No</v>
      </c>
      <c r="H559">
        <f>VLOOKUP(Table2[[#This Row],[Customer ID]],Table2[#All],7,FALSE)</f>
        <v>2</v>
      </c>
      <c r="I559" t="str">
        <f>VLOOKUP(Table2[[#This Row],[Customer ID]],Table2[#All],8,FALSE)</f>
        <v>No</v>
      </c>
      <c r="J559" t="str">
        <f>VLOOKUP(Table2[[#This Row],[Customer ID]],Table2[#All],9,FALSE)</f>
        <v>Obesity</v>
      </c>
      <c r="K559" t="str">
        <f>VLOOKUP(Table2[[#This Row],[Customer ID]],Table2[#All],10,FALSE)</f>
        <v>Normal</v>
      </c>
    </row>
    <row r="560" spans="1:11" ht="15.6" x14ac:dyDescent="0.3">
      <c r="A560" s="1" t="s">
        <v>1812</v>
      </c>
      <c r="B560" t="str">
        <f>VLOOKUP('Customer Names'!A560,'Customer Names'!$A$1:$E$2336,4,FALSE)</f>
        <v>Ms.  Angela M</v>
      </c>
      <c r="C560">
        <f>VLOOKUP(Table2[[#This Row],[Customer ID]],Table2[#All],2,FALSE)</f>
        <v>28.88</v>
      </c>
      <c r="D560">
        <f>VLOOKUP(Table2[[#This Row],[Customer ID]],Table2[#All],3,FALSE)</f>
        <v>5.35</v>
      </c>
      <c r="E560" t="str">
        <f>VLOOKUP(Table2[[#This Row],[Customer ID]],Table2[#All],4,FALSE)</f>
        <v>No</v>
      </c>
      <c r="F560" t="str">
        <f>VLOOKUP(Table2[[#This Row],[Customer ID]],Table2[#All],5,FALSE)</f>
        <v>No</v>
      </c>
      <c r="G560" t="str">
        <f>VLOOKUP(Table2[[#This Row],[Customer ID]],Table2[#All],6,FALSE)</f>
        <v>Yes</v>
      </c>
      <c r="H560">
        <f>VLOOKUP(Table2[[#This Row],[Customer ID]],Table2[#All],7,FALSE)</f>
        <v>1</v>
      </c>
      <c r="I560" t="str">
        <f>VLOOKUP(Table2[[#This Row],[Customer ID]],Table2[#All],8,FALSE)</f>
        <v>Yes</v>
      </c>
      <c r="J560" t="str">
        <f>VLOOKUP(Table2[[#This Row],[Customer ID]],Table2[#All],9,FALSE)</f>
        <v>Overweight</v>
      </c>
      <c r="K560" t="str">
        <f>VLOOKUP(Table2[[#This Row],[Customer ID]],Table2[#All],10,FALSE)</f>
        <v>Normal</v>
      </c>
    </row>
    <row r="561" spans="1:11" ht="15.6" x14ac:dyDescent="0.3">
      <c r="A561" s="1" t="s">
        <v>1811</v>
      </c>
      <c r="B561" t="str">
        <f>VLOOKUP('Customer Names'!A561,'Customer Names'!$A$1:$E$2336,4,FALSE)</f>
        <v>Mr.  Oz</v>
      </c>
      <c r="C561">
        <f>VLOOKUP(Table2[[#This Row],[Customer ID]],Table2[#All],2,FALSE)</f>
        <v>23.98</v>
      </c>
      <c r="D561">
        <f>VLOOKUP(Table2[[#This Row],[Customer ID]],Table2[#All],3,FALSE)</f>
        <v>4.9000000000000004</v>
      </c>
      <c r="E561" t="str">
        <f>VLOOKUP(Table2[[#This Row],[Customer ID]],Table2[#All],4,FALSE)</f>
        <v>No</v>
      </c>
      <c r="F561" t="str">
        <f>VLOOKUP(Table2[[#This Row],[Customer ID]],Table2[#All],5,FALSE)</f>
        <v>No</v>
      </c>
      <c r="G561" t="str">
        <f>VLOOKUP(Table2[[#This Row],[Customer ID]],Table2[#All],6,FALSE)</f>
        <v>No</v>
      </c>
      <c r="H561">
        <f>VLOOKUP(Table2[[#This Row],[Customer ID]],Table2[#All],7,FALSE)</f>
        <v>0</v>
      </c>
      <c r="I561" t="str">
        <f>VLOOKUP(Table2[[#This Row],[Customer ID]],Table2[#All],8,FALSE)</f>
        <v>No</v>
      </c>
      <c r="J561" t="str">
        <f>VLOOKUP(Table2[[#This Row],[Customer ID]],Table2[#All],9,FALSE)</f>
        <v>Normalweight</v>
      </c>
      <c r="K561" t="str">
        <f>VLOOKUP(Table2[[#This Row],[Customer ID]],Table2[#All],10,FALSE)</f>
        <v>Normal</v>
      </c>
    </row>
    <row r="562" spans="1:11" ht="15.6" x14ac:dyDescent="0.3">
      <c r="A562" s="1" t="s">
        <v>1810</v>
      </c>
      <c r="B562" t="str">
        <f>VLOOKUP('Customer Names'!A562,'Customer Names'!$A$1:$E$2336,4,FALSE)</f>
        <v>Ms.  Erin M.</v>
      </c>
      <c r="C562">
        <f>VLOOKUP(Table2[[#This Row],[Customer ID]],Table2[#All],2,FALSE)</f>
        <v>23.65</v>
      </c>
      <c r="D562">
        <f>VLOOKUP(Table2[[#This Row],[Customer ID]],Table2[#All],3,FALSE)</f>
        <v>4.5</v>
      </c>
      <c r="E562" t="str">
        <f>VLOOKUP(Table2[[#This Row],[Customer ID]],Table2[#All],4,FALSE)</f>
        <v>No</v>
      </c>
      <c r="F562" t="str">
        <f>VLOOKUP(Table2[[#This Row],[Customer ID]],Table2[#All],5,FALSE)</f>
        <v>No</v>
      </c>
      <c r="G562" t="str">
        <f>VLOOKUP(Table2[[#This Row],[Customer ID]],Table2[#All],6,FALSE)</f>
        <v>No</v>
      </c>
      <c r="H562">
        <f>VLOOKUP(Table2[[#This Row],[Customer ID]],Table2[#All],7,FALSE)</f>
        <v>0</v>
      </c>
      <c r="I562" t="str">
        <f>VLOOKUP(Table2[[#This Row],[Customer ID]],Table2[#All],8,FALSE)</f>
        <v>No</v>
      </c>
      <c r="J562" t="str">
        <f>VLOOKUP(Table2[[#This Row],[Customer ID]],Table2[#All],9,FALSE)</f>
        <v>Normalweight</v>
      </c>
      <c r="K562" t="str">
        <f>VLOOKUP(Table2[[#This Row],[Customer ID]],Table2[#All],10,FALSE)</f>
        <v>Normal</v>
      </c>
    </row>
    <row r="563" spans="1:11" ht="15.6" x14ac:dyDescent="0.3">
      <c r="A563" s="1" t="s">
        <v>1809</v>
      </c>
      <c r="B563" t="str">
        <f>VLOOKUP('Customer Names'!A563,'Customer Names'!$A$1:$E$2336,4,FALSE)</f>
        <v>Mr.  Bobby E.</v>
      </c>
      <c r="C563">
        <f>VLOOKUP(Table2[[#This Row],[Customer ID]],Table2[#All],2,FALSE)</f>
        <v>49.09</v>
      </c>
      <c r="D563">
        <f>VLOOKUP(Table2[[#This Row],[Customer ID]],Table2[#All],3,FALSE)</f>
        <v>8.3800000000000008</v>
      </c>
      <c r="E563" t="str">
        <f>VLOOKUP(Table2[[#This Row],[Customer ID]],Table2[#All],4,FALSE)</f>
        <v>Yes</v>
      </c>
      <c r="F563" t="str">
        <f>VLOOKUP(Table2[[#This Row],[Customer ID]],Table2[#All],5,FALSE)</f>
        <v>No</v>
      </c>
      <c r="G563" t="str">
        <f>VLOOKUP(Table2[[#This Row],[Customer ID]],Table2[#All],6,FALSE)</f>
        <v>No</v>
      </c>
      <c r="H563">
        <f>VLOOKUP(Table2[[#This Row],[Customer ID]],Table2[#All],7,FALSE)</f>
        <v>2</v>
      </c>
      <c r="I563" t="str">
        <f>VLOOKUP(Table2[[#This Row],[Customer ID]],Table2[#All],8,FALSE)</f>
        <v>No</v>
      </c>
      <c r="J563" t="str">
        <f>VLOOKUP(Table2[[#This Row],[Customer ID]],Table2[#All],9,FALSE)</f>
        <v>Obesity</v>
      </c>
      <c r="K563" t="str">
        <f>VLOOKUP(Table2[[#This Row],[Customer ID]],Table2[#All],10,FALSE)</f>
        <v>Diabetes</v>
      </c>
    </row>
    <row r="564" spans="1:11" ht="15.6" x14ac:dyDescent="0.3">
      <c r="A564" s="1" t="s">
        <v>1808</v>
      </c>
      <c r="B564" t="str">
        <f>VLOOKUP('Customer Names'!A564,'Customer Names'!$A$1:$E$2336,4,FALSE)</f>
        <v>Mr.  Daniel P.</v>
      </c>
      <c r="C564">
        <f>VLOOKUP(Table2[[#This Row],[Customer ID]],Table2[#All],2,FALSE)</f>
        <v>28.024999999999999</v>
      </c>
      <c r="D564">
        <f>VLOOKUP(Table2[[#This Row],[Customer ID]],Table2[#All],3,FALSE)</f>
        <v>7.03</v>
      </c>
      <c r="E564" t="str">
        <f>VLOOKUP(Table2[[#This Row],[Customer ID]],Table2[#All],4,FALSE)</f>
        <v>No</v>
      </c>
      <c r="F564" t="str">
        <f>VLOOKUP(Table2[[#This Row],[Customer ID]],Table2[#All],5,FALSE)</f>
        <v>No</v>
      </c>
      <c r="G564" t="str">
        <f>VLOOKUP(Table2[[#This Row],[Customer ID]],Table2[#All],6,FALSE)</f>
        <v>No</v>
      </c>
      <c r="H564">
        <f>VLOOKUP(Table2[[#This Row],[Customer ID]],Table2[#All],7,FALSE)</f>
        <v>0</v>
      </c>
      <c r="I564" t="str">
        <f>VLOOKUP(Table2[[#This Row],[Customer ID]],Table2[#All],8,FALSE)</f>
        <v>Yes</v>
      </c>
      <c r="J564" t="str">
        <f>VLOOKUP(Table2[[#This Row],[Customer ID]],Table2[#All],9,FALSE)</f>
        <v>Overweight</v>
      </c>
      <c r="K564" t="str">
        <f>VLOOKUP(Table2[[#This Row],[Customer ID]],Table2[#All],10,FALSE)</f>
        <v>Diabetes</v>
      </c>
    </row>
    <row r="565" spans="1:11" ht="15.6" x14ac:dyDescent="0.3">
      <c r="A565" s="1" t="s">
        <v>1807</v>
      </c>
      <c r="B565" t="str">
        <f>VLOOKUP('Customer Names'!A565,'Customer Names'!$A$1:$E$2336,4,FALSE)</f>
        <v>Ms.  Marie E.</v>
      </c>
      <c r="C565">
        <f>VLOOKUP(Table2[[#This Row],[Customer ID]],Table2[#All],2,FALSE)</f>
        <v>43.32</v>
      </c>
      <c r="D565">
        <f>VLOOKUP(Table2[[#This Row],[Customer ID]],Table2[#All],3,FALSE)</f>
        <v>8.75</v>
      </c>
      <c r="E565" t="str">
        <f>VLOOKUP(Table2[[#This Row],[Customer ID]],Table2[#All],4,FALSE)</f>
        <v>Yes</v>
      </c>
      <c r="F565" t="str">
        <f>VLOOKUP(Table2[[#This Row],[Customer ID]],Table2[#All],5,FALSE)</f>
        <v>No</v>
      </c>
      <c r="G565" t="str">
        <f>VLOOKUP(Table2[[#This Row],[Customer ID]],Table2[#All],6,FALSE)</f>
        <v>Yes</v>
      </c>
      <c r="H565">
        <f>VLOOKUP(Table2[[#This Row],[Customer ID]],Table2[#All],7,FALSE)</f>
        <v>1</v>
      </c>
      <c r="I565" t="str">
        <f>VLOOKUP(Table2[[#This Row],[Customer ID]],Table2[#All],8,FALSE)</f>
        <v>No</v>
      </c>
      <c r="J565" t="str">
        <f>VLOOKUP(Table2[[#This Row],[Customer ID]],Table2[#All],9,FALSE)</f>
        <v>Obesity</v>
      </c>
      <c r="K565" t="str">
        <f>VLOOKUP(Table2[[#This Row],[Customer ID]],Table2[#All],10,FALSE)</f>
        <v>Diabetes</v>
      </c>
    </row>
    <row r="566" spans="1:11" ht="15.6" x14ac:dyDescent="0.3">
      <c r="A566" s="1" t="s">
        <v>1806</v>
      </c>
      <c r="B566" t="str">
        <f>VLOOKUP('Customer Names'!A566,'Customer Names'!$A$1:$E$2336,4,FALSE)</f>
        <v>Mrs.  Katie</v>
      </c>
      <c r="C566">
        <f>VLOOKUP(Table2[[#This Row],[Customer ID]],Table2[#All],2,FALSE)</f>
        <v>45.92</v>
      </c>
      <c r="D566">
        <f>VLOOKUP(Table2[[#This Row],[Customer ID]],Table2[#All],3,FALSE)</f>
        <v>9.51</v>
      </c>
      <c r="E566" t="str">
        <f>VLOOKUP(Table2[[#This Row],[Customer ID]],Table2[#All],4,FALSE)</f>
        <v>No</v>
      </c>
      <c r="F566" t="str">
        <f>VLOOKUP(Table2[[#This Row],[Customer ID]],Table2[#All],5,FALSE)</f>
        <v>No</v>
      </c>
      <c r="G566" t="str">
        <f>VLOOKUP(Table2[[#This Row],[Customer ID]],Table2[#All],6,FALSE)</f>
        <v>No</v>
      </c>
      <c r="H566">
        <f>VLOOKUP(Table2[[#This Row],[Customer ID]],Table2[#All],7,FALSE)</f>
        <v>0</v>
      </c>
      <c r="I566" t="str">
        <f>VLOOKUP(Table2[[#This Row],[Customer ID]],Table2[#All],8,FALSE)</f>
        <v>No</v>
      </c>
      <c r="J566" t="str">
        <f>VLOOKUP(Table2[[#This Row],[Customer ID]],Table2[#All],9,FALSE)</f>
        <v>Obesity</v>
      </c>
      <c r="K566" t="str">
        <f>VLOOKUP(Table2[[#This Row],[Customer ID]],Table2[#All],10,FALSE)</f>
        <v>Diabetes</v>
      </c>
    </row>
    <row r="567" spans="1:11" ht="15.6" x14ac:dyDescent="0.3">
      <c r="A567" s="1" t="s">
        <v>1805</v>
      </c>
      <c r="B567" t="str">
        <f>VLOOKUP('Customer Names'!A567,'Customer Names'!$A$1:$E$2336,4,FALSE)</f>
        <v>Mr.  Eric D</v>
      </c>
      <c r="C567">
        <f>VLOOKUP(Table2[[#This Row],[Customer ID]],Table2[#All],2,FALSE)</f>
        <v>44.03</v>
      </c>
      <c r="D567">
        <f>VLOOKUP(Table2[[#This Row],[Customer ID]],Table2[#All],3,FALSE)</f>
        <v>9.36</v>
      </c>
      <c r="E567" t="str">
        <f>VLOOKUP(Table2[[#This Row],[Customer ID]],Table2[#All],4,FALSE)</f>
        <v>No</v>
      </c>
      <c r="F567" t="str">
        <f>VLOOKUP(Table2[[#This Row],[Customer ID]],Table2[#All],5,FALSE)</f>
        <v>No</v>
      </c>
      <c r="G567" t="str">
        <f>VLOOKUP(Table2[[#This Row],[Customer ID]],Table2[#All],6,FALSE)</f>
        <v>No</v>
      </c>
      <c r="H567">
        <f>VLOOKUP(Table2[[#This Row],[Customer ID]],Table2[#All],7,FALSE)</f>
        <v>0</v>
      </c>
      <c r="I567" t="str">
        <f>VLOOKUP(Table2[[#This Row],[Customer ID]],Table2[#All],8,FALSE)</f>
        <v>No</v>
      </c>
      <c r="J567" t="str">
        <f>VLOOKUP(Table2[[#This Row],[Customer ID]],Table2[#All],9,FALSE)</f>
        <v>Obesity</v>
      </c>
      <c r="K567" t="str">
        <f>VLOOKUP(Table2[[#This Row],[Customer ID]],Table2[#All],10,FALSE)</f>
        <v>Diabetes</v>
      </c>
    </row>
    <row r="568" spans="1:11" ht="15.6" x14ac:dyDescent="0.3">
      <c r="A568" s="1" t="s">
        <v>1804</v>
      </c>
      <c r="B568" t="str">
        <f>VLOOKUP('Customer Names'!A568,'Customer Names'!$A$1:$E$2336,4,FALSE)</f>
        <v>Ms.  Tara</v>
      </c>
      <c r="C568">
        <f>VLOOKUP(Table2[[#This Row],[Customer ID]],Table2[#All],2,FALSE)</f>
        <v>24.6</v>
      </c>
      <c r="D568">
        <f>VLOOKUP(Table2[[#This Row],[Customer ID]],Table2[#All],3,FALSE)</f>
        <v>4.8099999999999996</v>
      </c>
      <c r="E568" t="str">
        <f>VLOOKUP(Table2[[#This Row],[Customer ID]],Table2[#All],4,FALSE)</f>
        <v>No</v>
      </c>
      <c r="F568" t="str">
        <f>VLOOKUP(Table2[[#This Row],[Customer ID]],Table2[#All],5,FALSE)</f>
        <v>No</v>
      </c>
      <c r="G568" t="str">
        <f>VLOOKUP(Table2[[#This Row],[Customer ID]],Table2[#All],6,FALSE)</f>
        <v>No</v>
      </c>
      <c r="H568">
        <f>VLOOKUP(Table2[[#This Row],[Customer ID]],Table2[#All],7,FALSE)</f>
        <v>0</v>
      </c>
      <c r="I568" t="str">
        <f>VLOOKUP(Table2[[#This Row],[Customer ID]],Table2[#All],8,FALSE)</f>
        <v>Yes</v>
      </c>
      <c r="J568" t="str">
        <f>VLOOKUP(Table2[[#This Row],[Customer ID]],Table2[#All],9,FALSE)</f>
        <v>Normalweight</v>
      </c>
      <c r="K568" t="str">
        <f>VLOOKUP(Table2[[#This Row],[Customer ID]],Table2[#All],10,FALSE)</f>
        <v>Normal</v>
      </c>
    </row>
    <row r="569" spans="1:11" ht="15.6" x14ac:dyDescent="0.3">
      <c r="A569" s="1" t="s">
        <v>1803</v>
      </c>
      <c r="B569" t="str">
        <f>VLOOKUP('Customer Names'!A569,'Customer Names'!$A$1:$E$2336,4,FALSE)</f>
        <v>Ms.  Haley L</v>
      </c>
      <c r="C569">
        <f>VLOOKUP(Table2[[#This Row],[Customer ID]],Table2[#All],2,FALSE)</f>
        <v>49.15</v>
      </c>
      <c r="D569">
        <f>VLOOKUP(Table2[[#This Row],[Customer ID]],Table2[#All],3,FALSE)</f>
        <v>8.08</v>
      </c>
      <c r="E569" t="str">
        <f>VLOOKUP(Table2[[#This Row],[Customer ID]],Table2[#All],4,FALSE)</f>
        <v>No</v>
      </c>
      <c r="F569" t="str">
        <f>VLOOKUP(Table2[[#This Row],[Customer ID]],Table2[#All],5,FALSE)</f>
        <v>No</v>
      </c>
      <c r="G569" t="str">
        <f>VLOOKUP(Table2[[#This Row],[Customer ID]],Table2[#All],6,FALSE)</f>
        <v>No</v>
      </c>
      <c r="H569">
        <f>VLOOKUP(Table2[[#This Row],[Customer ID]],Table2[#All],7,FALSE)</f>
        <v>0</v>
      </c>
      <c r="I569" t="str">
        <f>VLOOKUP(Table2[[#This Row],[Customer ID]],Table2[#All],8,FALSE)</f>
        <v>No</v>
      </c>
      <c r="J569" t="str">
        <f>VLOOKUP(Table2[[#This Row],[Customer ID]],Table2[#All],9,FALSE)</f>
        <v>Obesity</v>
      </c>
      <c r="K569" t="str">
        <f>VLOOKUP(Table2[[#This Row],[Customer ID]],Table2[#All],10,FALSE)</f>
        <v>Diabetes</v>
      </c>
    </row>
    <row r="570" spans="1:11" ht="15.6" x14ac:dyDescent="0.3">
      <c r="A570" s="1" t="s">
        <v>1802</v>
      </c>
      <c r="B570" t="str">
        <f>VLOOKUP('Customer Names'!A570,'Customer Names'!$A$1:$E$2336,4,FALSE)</f>
        <v>Ms.  Kayla B.</v>
      </c>
      <c r="C570">
        <f>VLOOKUP(Table2[[#This Row],[Customer ID]],Table2[#All],2,FALSE)</f>
        <v>28.31</v>
      </c>
      <c r="D570">
        <f>VLOOKUP(Table2[[#This Row],[Customer ID]],Table2[#All],3,FALSE)</f>
        <v>6.29</v>
      </c>
      <c r="E570" t="str">
        <f>VLOOKUP(Table2[[#This Row],[Customer ID]],Table2[#All],4,FALSE)</f>
        <v>No</v>
      </c>
      <c r="F570" t="str">
        <f>VLOOKUP(Table2[[#This Row],[Customer ID]],Table2[#All],5,FALSE)</f>
        <v>No</v>
      </c>
      <c r="G570" t="str">
        <f>VLOOKUP(Table2[[#This Row],[Customer ID]],Table2[#All],6,FALSE)</f>
        <v>Yes</v>
      </c>
      <c r="H570">
        <f>VLOOKUP(Table2[[#This Row],[Customer ID]],Table2[#All],7,FALSE)</f>
        <v>1</v>
      </c>
      <c r="I570" t="str">
        <f>VLOOKUP(Table2[[#This Row],[Customer ID]],Table2[#All],8,FALSE)</f>
        <v>Yes</v>
      </c>
      <c r="J570" t="str">
        <f>VLOOKUP(Table2[[#This Row],[Customer ID]],Table2[#All],9,FALSE)</f>
        <v>Overweight</v>
      </c>
      <c r="K570" t="str">
        <f>VLOOKUP(Table2[[#This Row],[Customer ID]],Table2[#All],10,FALSE)</f>
        <v>Prediabetes</v>
      </c>
    </row>
    <row r="571" spans="1:11" ht="15.6" x14ac:dyDescent="0.3">
      <c r="A571" s="1" t="s">
        <v>1801</v>
      </c>
      <c r="B571" t="str">
        <f>VLOOKUP('Customer Names'!A571,'Customer Names'!$A$1:$E$2336,4,FALSE)</f>
        <v>Mr.  Mark D.</v>
      </c>
      <c r="C571">
        <f>VLOOKUP(Table2[[#This Row],[Customer ID]],Table2[#All],2,FALSE)</f>
        <v>22.99</v>
      </c>
      <c r="D571">
        <f>VLOOKUP(Table2[[#This Row],[Customer ID]],Table2[#All],3,FALSE)</f>
        <v>6.29</v>
      </c>
      <c r="E571" t="str">
        <f>VLOOKUP(Table2[[#This Row],[Customer ID]],Table2[#All],4,FALSE)</f>
        <v>No</v>
      </c>
      <c r="F571" t="str">
        <f>VLOOKUP(Table2[[#This Row],[Customer ID]],Table2[#All],5,FALSE)</f>
        <v>No</v>
      </c>
      <c r="G571" t="str">
        <f>VLOOKUP(Table2[[#This Row],[Customer ID]],Table2[#All],6,FALSE)</f>
        <v>No</v>
      </c>
      <c r="H571">
        <f>VLOOKUP(Table2[[#This Row],[Customer ID]],Table2[#All],7,FALSE)</f>
        <v>1</v>
      </c>
      <c r="I571" t="str">
        <f>VLOOKUP(Table2[[#This Row],[Customer ID]],Table2[#All],8,FALSE)</f>
        <v>Yes</v>
      </c>
      <c r="J571" t="str">
        <f>VLOOKUP(Table2[[#This Row],[Customer ID]],Table2[#All],9,FALSE)</f>
        <v>Normalweight</v>
      </c>
      <c r="K571" t="str">
        <f>VLOOKUP(Table2[[#This Row],[Customer ID]],Table2[#All],10,FALSE)</f>
        <v>Prediabetes</v>
      </c>
    </row>
    <row r="572" spans="1:11" ht="15.6" x14ac:dyDescent="0.3">
      <c r="A572" s="1" t="s">
        <v>1800</v>
      </c>
      <c r="B572" t="str">
        <f>VLOOKUP('Customer Names'!A572,'Customer Names'!$A$1:$E$2336,4,FALSE)</f>
        <v>Mr.  Patrick J.</v>
      </c>
      <c r="C572">
        <f>VLOOKUP(Table2[[#This Row],[Customer ID]],Table2[#All],2,FALSE)</f>
        <v>29.07</v>
      </c>
      <c r="D572">
        <f>VLOOKUP(Table2[[#This Row],[Customer ID]],Table2[#All],3,FALSE)</f>
        <v>5.12</v>
      </c>
      <c r="E572" t="str">
        <f>VLOOKUP(Table2[[#This Row],[Customer ID]],Table2[#All],4,FALSE)</f>
        <v>No</v>
      </c>
      <c r="F572" t="str">
        <f>VLOOKUP(Table2[[#This Row],[Customer ID]],Table2[#All],5,FALSE)</f>
        <v>No</v>
      </c>
      <c r="G572" t="str">
        <f>VLOOKUP(Table2[[#This Row],[Customer ID]],Table2[#All],6,FALSE)</f>
        <v>Yes</v>
      </c>
      <c r="H572">
        <f>VLOOKUP(Table2[[#This Row],[Customer ID]],Table2[#All],7,FALSE)</f>
        <v>1</v>
      </c>
      <c r="I572" t="str">
        <f>VLOOKUP(Table2[[#This Row],[Customer ID]],Table2[#All],8,FALSE)</f>
        <v>Yes</v>
      </c>
      <c r="J572" t="str">
        <f>VLOOKUP(Table2[[#This Row],[Customer ID]],Table2[#All],9,FALSE)</f>
        <v>Overweight</v>
      </c>
      <c r="K572" t="str">
        <f>VLOOKUP(Table2[[#This Row],[Customer ID]],Table2[#All],10,FALSE)</f>
        <v>Normal</v>
      </c>
    </row>
    <row r="573" spans="1:11" ht="15.6" x14ac:dyDescent="0.3">
      <c r="A573" s="1" t="s">
        <v>1799</v>
      </c>
      <c r="B573" t="str">
        <f>VLOOKUP('Customer Names'!A573,'Customer Names'!$A$1:$E$2336,4,FALSE)</f>
        <v>Mr.  Alejandro</v>
      </c>
      <c r="C573">
        <f>VLOOKUP(Table2[[#This Row],[Customer ID]],Table2[#All],2,FALSE)</f>
        <v>42.02</v>
      </c>
      <c r="D573">
        <f>VLOOKUP(Table2[[#This Row],[Customer ID]],Table2[#All],3,FALSE)</f>
        <v>9.9499999999999993</v>
      </c>
      <c r="E573" t="str">
        <f>VLOOKUP(Table2[[#This Row],[Customer ID]],Table2[#All],4,FALSE)</f>
        <v>Yes</v>
      </c>
      <c r="F573" t="str">
        <f>VLOOKUP(Table2[[#This Row],[Customer ID]],Table2[#All],5,FALSE)</f>
        <v>No</v>
      </c>
      <c r="G573" t="str">
        <f>VLOOKUP(Table2[[#This Row],[Customer ID]],Table2[#All],6,FALSE)</f>
        <v>Yes</v>
      </c>
      <c r="H573">
        <f>VLOOKUP(Table2[[#This Row],[Customer ID]],Table2[#All],7,FALSE)</f>
        <v>1</v>
      </c>
      <c r="I573" t="str">
        <f>VLOOKUP(Table2[[#This Row],[Customer ID]],Table2[#All],8,FALSE)</f>
        <v>No</v>
      </c>
      <c r="J573" t="str">
        <f>VLOOKUP(Table2[[#This Row],[Customer ID]],Table2[#All],9,FALSE)</f>
        <v>Obesity</v>
      </c>
      <c r="K573" t="str">
        <f>VLOOKUP(Table2[[#This Row],[Customer ID]],Table2[#All],10,FALSE)</f>
        <v>Diabetes</v>
      </c>
    </row>
    <row r="574" spans="1:11" ht="15.6" x14ac:dyDescent="0.3">
      <c r="A574" s="1" t="s">
        <v>1798</v>
      </c>
      <c r="B574" t="str">
        <f>VLOOKUP('Customer Names'!A574,'Customer Names'!$A$1:$E$2336,4,FALSE)</f>
        <v>Mrs.  Beth A</v>
      </c>
      <c r="C574">
        <f>VLOOKUP(Table2[[#This Row],[Customer ID]],Table2[#All],2,FALSE)</f>
        <v>49.07</v>
      </c>
      <c r="D574">
        <f>VLOOKUP(Table2[[#This Row],[Customer ID]],Table2[#All],3,FALSE)</f>
        <v>9.08</v>
      </c>
      <c r="E574" t="str">
        <f>VLOOKUP(Table2[[#This Row],[Customer ID]],Table2[#All],4,FALSE)</f>
        <v>Yes</v>
      </c>
      <c r="F574" t="str">
        <f>VLOOKUP(Table2[[#This Row],[Customer ID]],Table2[#All],5,FALSE)</f>
        <v>No</v>
      </c>
      <c r="G574" t="str">
        <f>VLOOKUP(Table2[[#This Row],[Customer ID]],Table2[#All],6,FALSE)</f>
        <v>No</v>
      </c>
      <c r="H574">
        <f>VLOOKUP(Table2[[#This Row],[Customer ID]],Table2[#All],7,FALSE)</f>
        <v>1</v>
      </c>
      <c r="I574" t="str">
        <f>VLOOKUP(Table2[[#This Row],[Customer ID]],Table2[#All],8,FALSE)</f>
        <v>No</v>
      </c>
      <c r="J574" t="str">
        <f>VLOOKUP(Table2[[#This Row],[Customer ID]],Table2[#All],9,FALSE)</f>
        <v>Obesity</v>
      </c>
      <c r="K574" t="str">
        <f>VLOOKUP(Table2[[#This Row],[Customer ID]],Table2[#All],10,FALSE)</f>
        <v>Diabetes</v>
      </c>
    </row>
    <row r="575" spans="1:11" ht="15.6" x14ac:dyDescent="0.3">
      <c r="A575" s="1" t="s">
        <v>1797</v>
      </c>
      <c r="B575" t="str">
        <f>VLOOKUP('Customer Names'!A575,'Customer Names'!$A$1:$E$2336,4,FALSE)</f>
        <v>Mr.  Jason R</v>
      </c>
      <c r="C575">
        <f>VLOOKUP(Table2[[#This Row],[Customer ID]],Table2[#All],2,FALSE)</f>
        <v>19.8</v>
      </c>
      <c r="D575">
        <f>VLOOKUP(Table2[[#This Row],[Customer ID]],Table2[#All],3,FALSE)</f>
        <v>4.82</v>
      </c>
      <c r="E575" t="str">
        <f>VLOOKUP(Table2[[#This Row],[Customer ID]],Table2[#All],4,FALSE)</f>
        <v>No</v>
      </c>
      <c r="F575" t="str">
        <f>VLOOKUP(Table2[[#This Row],[Customer ID]],Table2[#All],5,FALSE)</f>
        <v>No</v>
      </c>
      <c r="G575" t="str">
        <f>VLOOKUP(Table2[[#This Row],[Customer ID]],Table2[#All],6,FALSE)</f>
        <v>No</v>
      </c>
      <c r="H575">
        <f>VLOOKUP(Table2[[#This Row],[Customer ID]],Table2[#All],7,FALSE)</f>
        <v>0</v>
      </c>
      <c r="I575" t="str">
        <f>VLOOKUP(Table2[[#This Row],[Customer ID]],Table2[#All],8,FALSE)</f>
        <v>Yes</v>
      </c>
      <c r="J575" t="str">
        <f>VLOOKUP(Table2[[#This Row],[Customer ID]],Table2[#All],9,FALSE)</f>
        <v>Normalweight</v>
      </c>
      <c r="K575" t="str">
        <f>VLOOKUP(Table2[[#This Row],[Customer ID]],Table2[#All],10,FALSE)</f>
        <v>Normal</v>
      </c>
    </row>
    <row r="576" spans="1:11" ht="15.6" x14ac:dyDescent="0.3">
      <c r="A576" s="1" t="s">
        <v>1796</v>
      </c>
      <c r="B576" t="str">
        <f>VLOOKUP('Customer Names'!A576,'Customer Names'!$A$1:$E$2336,4,FALSE)</f>
        <v>Mr.  Yoshinori</v>
      </c>
      <c r="C576">
        <f>VLOOKUP(Table2[[#This Row],[Customer ID]],Table2[#All],2,FALSE)</f>
        <v>27.36</v>
      </c>
      <c r="D576">
        <f>VLOOKUP(Table2[[#This Row],[Customer ID]],Table2[#All],3,FALSE)</f>
        <v>4.6500000000000004</v>
      </c>
      <c r="E576" t="str">
        <f>VLOOKUP(Table2[[#This Row],[Customer ID]],Table2[#All],4,FALSE)</f>
        <v>No</v>
      </c>
      <c r="F576" t="str">
        <f>VLOOKUP(Table2[[#This Row],[Customer ID]],Table2[#All],5,FALSE)</f>
        <v>yes</v>
      </c>
      <c r="G576" t="str">
        <f>VLOOKUP(Table2[[#This Row],[Customer ID]],Table2[#All],6,FALSE)</f>
        <v>No</v>
      </c>
      <c r="H576">
        <f>VLOOKUP(Table2[[#This Row],[Customer ID]],Table2[#All],7,FALSE)</f>
        <v>1</v>
      </c>
      <c r="I576" t="str">
        <f>VLOOKUP(Table2[[#This Row],[Customer ID]],Table2[#All],8,FALSE)</f>
        <v>Yes</v>
      </c>
      <c r="J576" t="str">
        <f>VLOOKUP(Table2[[#This Row],[Customer ID]],Table2[#All],9,FALSE)</f>
        <v>Overweight</v>
      </c>
      <c r="K576" t="str">
        <f>VLOOKUP(Table2[[#This Row],[Customer ID]],Table2[#All],10,FALSE)</f>
        <v>Normal</v>
      </c>
    </row>
    <row r="577" spans="1:11" ht="15.6" x14ac:dyDescent="0.3">
      <c r="A577" s="1" t="s">
        <v>1795</v>
      </c>
      <c r="B577" t="str">
        <f>VLOOKUP('Customer Names'!A577,'Customer Names'!$A$1:$E$2336,4,FALSE)</f>
        <v>Ms.  Adrienne G.</v>
      </c>
      <c r="C577">
        <f>VLOOKUP(Table2[[#This Row],[Customer ID]],Table2[#All],2,FALSE)</f>
        <v>42.95</v>
      </c>
      <c r="D577">
        <f>VLOOKUP(Table2[[#This Row],[Customer ID]],Table2[#All],3,FALSE)</f>
        <v>5.16</v>
      </c>
      <c r="E577" t="str">
        <f>VLOOKUP(Table2[[#This Row],[Customer ID]],Table2[#All],4,FALSE)</f>
        <v>Yes</v>
      </c>
      <c r="F577" t="str">
        <f>VLOOKUP(Table2[[#This Row],[Customer ID]],Table2[#All],5,FALSE)</f>
        <v>No</v>
      </c>
      <c r="G577" t="str">
        <f>VLOOKUP(Table2[[#This Row],[Customer ID]],Table2[#All],6,FALSE)</f>
        <v>No</v>
      </c>
      <c r="H577">
        <f>VLOOKUP(Table2[[#This Row],[Customer ID]],Table2[#All],7,FALSE)</f>
        <v>1</v>
      </c>
      <c r="I577" t="str">
        <f>VLOOKUP(Table2[[#This Row],[Customer ID]],Table2[#All],8,FALSE)</f>
        <v>No</v>
      </c>
      <c r="J577" t="str">
        <f>VLOOKUP(Table2[[#This Row],[Customer ID]],Table2[#All],9,FALSE)</f>
        <v>Obesity</v>
      </c>
      <c r="K577" t="str">
        <f>VLOOKUP(Table2[[#This Row],[Customer ID]],Table2[#All],10,FALSE)</f>
        <v>Normal</v>
      </c>
    </row>
    <row r="578" spans="1:11" ht="15.6" x14ac:dyDescent="0.3">
      <c r="A578" s="1" t="s">
        <v>1794</v>
      </c>
      <c r="B578" t="str">
        <f>VLOOKUP('Customer Names'!A578,'Customer Names'!$A$1:$E$2336,4,FALSE)</f>
        <v>Mrs.  Meredith</v>
      </c>
      <c r="C578">
        <f>VLOOKUP(Table2[[#This Row],[Customer ID]],Table2[#All],2,FALSE)</f>
        <v>42.66</v>
      </c>
      <c r="D578">
        <f>VLOOKUP(Table2[[#This Row],[Customer ID]],Table2[#All],3,FALSE)</f>
        <v>10.44</v>
      </c>
      <c r="E578" t="str">
        <f>VLOOKUP(Table2[[#This Row],[Customer ID]],Table2[#All],4,FALSE)</f>
        <v>No</v>
      </c>
      <c r="F578" t="str">
        <f>VLOOKUP(Table2[[#This Row],[Customer ID]],Table2[#All],5,FALSE)</f>
        <v>No</v>
      </c>
      <c r="G578" t="str">
        <f>VLOOKUP(Table2[[#This Row],[Customer ID]],Table2[#All],6,FALSE)</f>
        <v>No</v>
      </c>
      <c r="H578">
        <f>VLOOKUP(Table2[[#This Row],[Customer ID]],Table2[#All],7,FALSE)</f>
        <v>0</v>
      </c>
      <c r="I578" t="str">
        <f>VLOOKUP(Table2[[#This Row],[Customer ID]],Table2[#All],8,FALSE)</f>
        <v>No</v>
      </c>
      <c r="J578" t="str">
        <f>VLOOKUP(Table2[[#This Row],[Customer ID]],Table2[#All],9,FALSE)</f>
        <v>Obesity</v>
      </c>
      <c r="K578" t="str">
        <f>VLOOKUP(Table2[[#This Row],[Customer ID]],Table2[#All],10,FALSE)</f>
        <v>Diabetes</v>
      </c>
    </row>
    <row r="579" spans="1:11" ht="15.6" x14ac:dyDescent="0.3">
      <c r="A579" s="1" t="s">
        <v>1793</v>
      </c>
      <c r="B579" t="str">
        <f>VLOOKUP('Customer Names'!A579,'Customer Names'!$A$1:$E$2336,4,FALSE)</f>
        <v>Mr.  Junyong</v>
      </c>
      <c r="C579">
        <f>VLOOKUP(Table2[[#This Row],[Customer ID]],Table2[#All],2,FALSE)</f>
        <v>33.630000000000003</v>
      </c>
      <c r="D579">
        <f>VLOOKUP(Table2[[#This Row],[Customer ID]],Table2[#All],3,FALSE)</f>
        <v>5.69</v>
      </c>
      <c r="E579" t="str">
        <f>VLOOKUP(Table2[[#This Row],[Customer ID]],Table2[#All],4,FALSE)</f>
        <v>No</v>
      </c>
      <c r="F579" t="str">
        <f>VLOOKUP(Table2[[#This Row],[Customer ID]],Table2[#All],5,FALSE)</f>
        <v>No</v>
      </c>
      <c r="G579" t="str">
        <f>VLOOKUP(Table2[[#This Row],[Customer ID]],Table2[#All],6,FALSE)</f>
        <v>No</v>
      </c>
      <c r="H579">
        <f>VLOOKUP(Table2[[#This Row],[Customer ID]],Table2[#All],7,FALSE)</f>
        <v>1</v>
      </c>
      <c r="I579" t="str">
        <f>VLOOKUP(Table2[[#This Row],[Customer ID]],Table2[#All],8,FALSE)</f>
        <v>No</v>
      </c>
      <c r="J579" t="str">
        <f>VLOOKUP(Table2[[#This Row],[Customer ID]],Table2[#All],9,FALSE)</f>
        <v>Obesity</v>
      </c>
      <c r="K579" t="str">
        <f>VLOOKUP(Table2[[#This Row],[Customer ID]],Table2[#All],10,FALSE)</f>
        <v>Normal</v>
      </c>
    </row>
    <row r="580" spans="1:11" ht="15.6" x14ac:dyDescent="0.3">
      <c r="A580" s="1" t="s">
        <v>1792</v>
      </c>
      <c r="B580" t="str">
        <f>VLOOKUP('Customer Names'!A580,'Customer Names'!$A$1:$E$2336,4,FALSE)</f>
        <v>Ms.  Kristen A.</v>
      </c>
      <c r="C580">
        <f>VLOOKUP(Table2[[#This Row],[Customer ID]],Table2[#All],2,FALSE)</f>
        <v>26.84</v>
      </c>
      <c r="D580">
        <f>VLOOKUP(Table2[[#This Row],[Customer ID]],Table2[#All],3,FALSE)</f>
        <v>6.5</v>
      </c>
      <c r="E580" t="str">
        <f>VLOOKUP(Table2[[#This Row],[Customer ID]],Table2[#All],4,FALSE)</f>
        <v>No</v>
      </c>
      <c r="F580" t="str">
        <f>VLOOKUP(Table2[[#This Row],[Customer ID]],Table2[#All],5,FALSE)</f>
        <v>No</v>
      </c>
      <c r="G580" t="str">
        <f>VLOOKUP(Table2[[#This Row],[Customer ID]],Table2[#All],6,FALSE)</f>
        <v>No</v>
      </c>
      <c r="H580">
        <f>VLOOKUP(Table2[[#This Row],[Customer ID]],Table2[#All],7,FALSE)</f>
        <v>0</v>
      </c>
      <c r="I580" t="str">
        <f>VLOOKUP(Table2[[#This Row],[Customer ID]],Table2[#All],8,FALSE)</f>
        <v>Yes</v>
      </c>
      <c r="J580" t="str">
        <f>VLOOKUP(Table2[[#This Row],[Customer ID]],Table2[#All],9,FALSE)</f>
        <v>Overweight</v>
      </c>
      <c r="K580" t="str">
        <f>VLOOKUP(Table2[[#This Row],[Customer ID]],Table2[#All],10,FALSE)</f>
        <v>Diabetes</v>
      </c>
    </row>
    <row r="581" spans="1:11" ht="15.6" x14ac:dyDescent="0.3">
      <c r="A581" s="1" t="s">
        <v>1791</v>
      </c>
      <c r="B581" t="str">
        <f>VLOOKUP('Customer Names'!A581,'Customer Names'!$A$1:$E$2336,4,FALSE)</f>
        <v>Ms.  Maria I.</v>
      </c>
      <c r="C581">
        <f>VLOOKUP(Table2[[#This Row],[Customer ID]],Table2[#All],2,FALSE)</f>
        <v>28.3</v>
      </c>
      <c r="D581">
        <f>VLOOKUP(Table2[[#This Row],[Customer ID]],Table2[#All],3,FALSE)</f>
        <v>5.73</v>
      </c>
      <c r="E581" t="str">
        <f>VLOOKUP(Table2[[#This Row],[Customer ID]],Table2[#All],4,FALSE)</f>
        <v>No</v>
      </c>
      <c r="F581" t="str">
        <f>VLOOKUP(Table2[[#This Row],[Customer ID]],Table2[#All],5,FALSE)</f>
        <v>No</v>
      </c>
      <c r="G581" t="str">
        <f>VLOOKUP(Table2[[#This Row],[Customer ID]],Table2[#All],6,FALSE)</f>
        <v>Yes</v>
      </c>
      <c r="H581">
        <f>VLOOKUP(Table2[[#This Row],[Customer ID]],Table2[#All],7,FALSE)</f>
        <v>1</v>
      </c>
      <c r="I581" t="str">
        <f>VLOOKUP(Table2[[#This Row],[Customer ID]],Table2[#All],8,FALSE)</f>
        <v>Yes</v>
      </c>
      <c r="J581" t="str">
        <f>VLOOKUP(Table2[[#This Row],[Customer ID]],Table2[#All],9,FALSE)</f>
        <v>Overweight</v>
      </c>
      <c r="K581" t="str">
        <f>VLOOKUP(Table2[[#This Row],[Customer ID]],Table2[#All],10,FALSE)</f>
        <v>Prediabetes</v>
      </c>
    </row>
    <row r="582" spans="1:11" ht="15.6" x14ac:dyDescent="0.3">
      <c r="A582" s="1" t="s">
        <v>1790</v>
      </c>
      <c r="B582" t="str">
        <f>VLOOKUP('Customer Names'!A582,'Customer Names'!$A$1:$E$2336,4,FALSE)</f>
        <v>Mr.  Jonathan</v>
      </c>
      <c r="C582">
        <f>VLOOKUP(Table2[[#This Row],[Customer ID]],Table2[#All],2,FALSE)</f>
        <v>27.06</v>
      </c>
      <c r="D582">
        <f>VLOOKUP(Table2[[#This Row],[Customer ID]],Table2[#All],3,FALSE)</f>
        <v>5.74</v>
      </c>
      <c r="E582" t="str">
        <f>VLOOKUP(Table2[[#This Row],[Customer ID]],Table2[#All],4,FALSE)</f>
        <v>Yes</v>
      </c>
      <c r="F582" t="str">
        <f>VLOOKUP(Table2[[#This Row],[Customer ID]],Table2[#All],5,FALSE)</f>
        <v>No</v>
      </c>
      <c r="G582" t="str">
        <f>VLOOKUP(Table2[[#This Row],[Customer ID]],Table2[#All],6,FALSE)</f>
        <v>No</v>
      </c>
      <c r="H582">
        <f>VLOOKUP(Table2[[#This Row],[Customer ID]],Table2[#All],7,FALSE)</f>
        <v>0</v>
      </c>
      <c r="I582" t="str">
        <f>VLOOKUP(Table2[[#This Row],[Customer ID]],Table2[#All],8,FALSE)</f>
        <v>Yes</v>
      </c>
      <c r="J582" t="str">
        <f>VLOOKUP(Table2[[#This Row],[Customer ID]],Table2[#All],9,FALSE)</f>
        <v>Overweight</v>
      </c>
      <c r="K582" t="str">
        <f>VLOOKUP(Table2[[#This Row],[Customer ID]],Table2[#All],10,FALSE)</f>
        <v>Prediabetes</v>
      </c>
    </row>
    <row r="583" spans="1:11" ht="15.6" x14ac:dyDescent="0.3">
      <c r="A583" s="1" t="s">
        <v>1789</v>
      </c>
      <c r="B583" t="str">
        <f>VLOOKUP('Customer Names'!A583,'Customer Names'!$A$1:$E$2336,4,FALSE)</f>
        <v>Mr.  Phil</v>
      </c>
      <c r="C583">
        <f>VLOOKUP(Table2[[#This Row],[Customer ID]],Table2[#All],2,FALSE)</f>
        <v>47.13</v>
      </c>
      <c r="D583">
        <f>VLOOKUP(Table2[[#This Row],[Customer ID]],Table2[#All],3,FALSE)</f>
        <v>8.6999999999999993</v>
      </c>
      <c r="E583" t="str">
        <f>VLOOKUP(Table2[[#This Row],[Customer ID]],Table2[#All],4,FALSE)</f>
        <v>No</v>
      </c>
      <c r="F583" t="str">
        <f>VLOOKUP(Table2[[#This Row],[Customer ID]],Table2[#All],5,FALSE)</f>
        <v>No</v>
      </c>
      <c r="G583" t="str">
        <f>VLOOKUP(Table2[[#This Row],[Customer ID]],Table2[#All],6,FALSE)</f>
        <v>No</v>
      </c>
      <c r="H583">
        <f>VLOOKUP(Table2[[#This Row],[Customer ID]],Table2[#All],7,FALSE)</f>
        <v>0</v>
      </c>
      <c r="I583" t="str">
        <f>VLOOKUP(Table2[[#This Row],[Customer ID]],Table2[#All],8,FALSE)</f>
        <v>No</v>
      </c>
      <c r="J583" t="str">
        <f>VLOOKUP(Table2[[#This Row],[Customer ID]],Table2[#All],9,FALSE)</f>
        <v>Obesity</v>
      </c>
      <c r="K583" t="str">
        <f>VLOOKUP(Table2[[#This Row],[Customer ID]],Table2[#All],10,FALSE)</f>
        <v>Diabetes</v>
      </c>
    </row>
    <row r="584" spans="1:11" ht="15.6" x14ac:dyDescent="0.3">
      <c r="A584" s="1" t="s">
        <v>1788</v>
      </c>
      <c r="B584" t="str">
        <f>VLOOKUP('Customer Names'!A584,'Customer Names'!$A$1:$E$2336,4,FALSE)</f>
        <v>Ms.  Benjamina C</v>
      </c>
      <c r="C584">
        <f>VLOOKUP(Table2[[#This Row],[Customer ID]],Table2[#All],2,FALSE)</f>
        <v>51.72</v>
      </c>
      <c r="D584">
        <f>VLOOKUP(Table2[[#This Row],[Customer ID]],Table2[#All],3,FALSE)</f>
        <v>5.09</v>
      </c>
      <c r="E584" t="str">
        <f>VLOOKUP(Table2[[#This Row],[Customer ID]],Table2[#All],4,FALSE)</f>
        <v>No</v>
      </c>
      <c r="F584" t="str">
        <f>VLOOKUP(Table2[[#This Row],[Customer ID]],Table2[#All],5,FALSE)</f>
        <v>No</v>
      </c>
      <c r="G584" t="str">
        <f>VLOOKUP(Table2[[#This Row],[Customer ID]],Table2[#All],6,FALSE)</f>
        <v>No</v>
      </c>
      <c r="H584">
        <f>VLOOKUP(Table2[[#This Row],[Customer ID]],Table2[#All],7,FALSE)</f>
        <v>0</v>
      </c>
      <c r="I584" t="str">
        <f>VLOOKUP(Table2[[#This Row],[Customer ID]],Table2[#All],8,FALSE)</f>
        <v>No</v>
      </c>
      <c r="J584" t="str">
        <f>VLOOKUP(Table2[[#This Row],[Customer ID]],Table2[#All],9,FALSE)</f>
        <v>Obesity</v>
      </c>
      <c r="K584" t="str">
        <f>VLOOKUP(Table2[[#This Row],[Customer ID]],Table2[#All],10,FALSE)</f>
        <v>Normal</v>
      </c>
    </row>
    <row r="585" spans="1:11" ht="15.6" x14ac:dyDescent="0.3">
      <c r="A585" s="1" t="s">
        <v>1787</v>
      </c>
      <c r="B585" t="str">
        <f>VLOOKUP('Customer Names'!A585,'Customer Names'!$A$1:$E$2336,4,FALSE)</f>
        <v>Mr.  Christopher</v>
      </c>
      <c r="C585">
        <f>VLOOKUP(Table2[[#This Row],[Customer ID]],Table2[#All],2,FALSE)</f>
        <v>48.59</v>
      </c>
      <c r="D585">
        <f>VLOOKUP(Table2[[#This Row],[Customer ID]],Table2[#All],3,FALSE)</f>
        <v>5.57</v>
      </c>
      <c r="E585" t="str">
        <f>VLOOKUP(Table2[[#This Row],[Customer ID]],Table2[#All],4,FALSE)</f>
        <v>No</v>
      </c>
      <c r="F585" t="str">
        <f>VLOOKUP(Table2[[#This Row],[Customer ID]],Table2[#All],5,FALSE)</f>
        <v>No</v>
      </c>
      <c r="G585" t="str">
        <f>VLOOKUP(Table2[[#This Row],[Customer ID]],Table2[#All],6,FALSE)</f>
        <v>No</v>
      </c>
      <c r="H585">
        <f>VLOOKUP(Table2[[#This Row],[Customer ID]],Table2[#All],7,FALSE)</f>
        <v>0</v>
      </c>
      <c r="I585" t="str">
        <f>VLOOKUP(Table2[[#This Row],[Customer ID]],Table2[#All],8,FALSE)</f>
        <v>No</v>
      </c>
      <c r="J585" t="str">
        <f>VLOOKUP(Table2[[#This Row],[Customer ID]],Table2[#All],9,FALSE)</f>
        <v>Obesity</v>
      </c>
      <c r="K585" t="str">
        <f>VLOOKUP(Table2[[#This Row],[Customer ID]],Table2[#All],10,FALSE)</f>
        <v>Normal</v>
      </c>
    </row>
    <row r="586" spans="1:11" ht="15.6" x14ac:dyDescent="0.3">
      <c r="A586" s="1" t="s">
        <v>1786</v>
      </c>
      <c r="B586" t="str">
        <f>VLOOKUP('Customer Names'!A586,'Customer Names'!$A$1:$E$2336,4,FALSE)</f>
        <v>Ms.  Alison B</v>
      </c>
      <c r="C586">
        <f>VLOOKUP(Table2[[#This Row],[Customer ID]],Table2[#All],2,FALSE)</f>
        <v>45.18</v>
      </c>
      <c r="D586">
        <f>VLOOKUP(Table2[[#This Row],[Customer ID]],Table2[#All],3,FALSE)</f>
        <v>10.87</v>
      </c>
      <c r="E586" t="str">
        <f>VLOOKUP(Table2[[#This Row],[Customer ID]],Table2[#All],4,FALSE)</f>
        <v>No</v>
      </c>
      <c r="F586" t="str">
        <f>VLOOKUP(Table2[[#This Row],[Customer ID]],Table2[#All],5,FALSE)</f>
        <v>No</v>
      </c>
      <c r="G586" t="str">
        <f>VLOOKUP(Table2[[#This Row],[Customer ID]],Table2[#All],6,FALSE)</f>
        <v>No</v>
      </c>
      <c r="H586">
        <f>VLOOKUP(Table2[[#This Row],[Customer ID]],Table2[#All],7,FALSE)</f>
        <v>0</v>
      </c>
      <c r="I586" t="str">
        <f>VLOOKUP(Table2[[#This Row],[Customer ID]],Table2[#All],8,FALSE)</f>
        <v>No</v>
      </c>
      <c r="J586" t="str">
        <f>VLOOKUP(Table2[[#This Row],[Customer ID]],Table2[#All],9,FALSE)</f>
        <v>Obesity</v>
      </c>
      <c r="K586" t="str">
        <f>VLOOKUP(Table2[[#This Row],[Customer ID]],Table2[#All],10,FALSE)</f>
        <v>Diabetes</v>
      </c>
    </row>
    <row r="587" spans="1:11" ht="15.6" x14ac:dyDescent="0.3">
      <c r="A587" s="1" t="s">
        <v>1785</v>
      </c>
      <c r="B587" t="str">
        <f>VLOOKUP('Customer Names'!A587,'Customer Names'!$A$1:$E$2336,4,FALSE)</f>
        <v>Ms.  Caroline</v>
      </c>
      <c r="C587">
        <f>VLOOKUP(Table2[[#This Row],[Customer ID]],Table2[#All],2,FALSE)</f>
        <v>27.9</v>
      </c>
      <c r="D587">
        <f>VLOOKUP(Table2[[#This Row],[Customer ID]],Table2[#All],3,FALSE)</f>
        <v>6.02</v>
      </c>
      <c r="E587" t="str">
        <f>VLOOKUP(Table2[[#This Row],[Customer ID]],Table2[#All],4,FALSE)</f>
        <v>No</v>
      </c>
      <c r="F587" t="str">
        <f>VLOOKUP(Table2[[#This Row],[Customer ID]],Table2[#All],5,FALSE)</f>
        <v>No</v>
      </c>
      <c r="G587" t="str">
        <f>VLOOKUP(Table2[[#This Row],[Customer ID]],Table2[#All],6,FALSE)</f>
        <v>Yes</v>
      </c>
      <c r="H587">
        <f>VLOOKUP(Table2[[#This Row],[Customer ID]],Table2[#All],7,FALSE)</f>
        <v>1</v>
      </c>
      <c r="I587" t="str">
        <f>VLOOKUP(Table2[[#This Row],[Customer ID]],Table2[#All],8,FALSE)</f>
        <v>Yes</v>
      </c>
      <c r="J587" t="str">
        <f>VLOOKUP(Table2[[#This Row],[Customer ID]],Table2[#All],9,FALSE)</f>
        <v>Overweight</v>
      </c>
      <c r="K587" t="str">
        <f>VLOOKUP(Table2[[#This Row],[Customer ID]],Table2[#All],10,FALSE)</f>
        <v>Prediabetes</v>
      </c>
    </row>
    <row r="588" spans="1:11" ht="15.6" x14ac:dyDescent="0.3">
      <c r="A588" s="1" t="s">
        <v>1784</v>
      </c>
      <c r="B588" t="str">
        <f>VLOOKUP('Customer Names'!A588,'Customer Names'!$A$1:$E$2336,4,FALSE)</f>
        <v>Ms.  Alexis N</v>
      </c>
      <c r="C588">
        <f>VLOOKUP(Table2[[#This Row],[Customer ID]],Table2[#All],2,FALSE)</f>
        <v>51.33</v>
      </c>
      <c r="D588">
        <f>VLOOKUP(Table2[[#This Row],[Customer ID]],Table2[#All],3,FALSE)</f>
        <v>7</v>
      </c>
      <c r="E588" t="str">
        <f>VLOOKUP(Table2[[#This Row],[Customer ID]],Table2[#All],4,FALSE)</f>
        <v>No</v>
      </c>
      <c r="F588" t="str">
        <f>VLOOKUP(Table2[[#This Row],[Customer ID]],Table2[#All],5,FALSE)</f>
        <v>No</v>
      </c>
      <c r="G588" t="str">
        <f>VLOOKUP(Table2[[#This Row],[Customer ID]],Table2[#All],6,FALSE)</f>
        <v>No</v>
      </c>
      <c r="H588">
        <f>VLOOKUP(Table2[[#This Row],[Customer ID]],Table2[#All],7,FALSE)</f>
        <v>0</v>
      </c>
      <c r="I588" t="str">
        <f>VLOOKUP(Table2[[#This Row],[Customer ID]],Table2[#All],8,FALSE)</f>
        <v>No</v>
      </c>
      <c r="J588" t="str">
        <f>VLOOKUP(Table2[[#This Row],[Customer ID]],Table2[#All],9,FALSE)</f>
        <v>Obesity</v>
      </c>
      <c r="K588" t="str">
        <f>VLOOKUP(Table2[[#This Row],[Customer ID]],Table2[#All],10,FALSE)</f>
        <v>Diabetes</v>
      </c>
    </row>
    <row r="589" spans="1:11" ht="15.6" x14ac:dyDescent="0.3">
      <c r="A589" s="1" t="s">
        <v>1783</v>
      </c>
      <c r="B589" t="str">
        <f>VLOOKUP('Customer Names'!A589,'Customer Names'!$A$1:$E$2336,4,FALSE)</f>
        <v>Ms.  Shanda L</v>
      </c>
      <c r="C589">
        <f>VLOOKUP(Table2[[#This Row],[Customer ID]],Table2[#All],2,FALSE)</f>
        <v>30.59</v>
      </c>
      <c r="D589">
        <f>VLOOKUP(Table2[[#This Row],[Customer ID]],Table2[#All],3,FALSE)</f>
        <v>5.56</v>
      </c>
      <c r="E589" t="str">
        <f>VLOOKUP(Table2[[#This Row],[Customer ID]],Table2[#All],4,FALSE)</f>
        <v>Yes</v>
      </c>
      <c r="F589" t="str">
        <f>VLOOKUP(Table2[[#This Row],[Customer ID]],Table2[#All],5,FALSE)</f>
        <v>No</v>
      </c>
      <c r="G589" t="str">
        <f>VLOOKUP(Table2[[#This Row],[Customer ID]],Table2[#All],6,FALSE)</f>
        <v>No</v>
      </c>
      <c r="H589">
        <f>VLOOKUP(Table2[[#This Row],[Customer ID]],Table2[#All],7,FALSE)</f>
        <v>1</v>
      </c>
      <c r="I589" t="str">
        <f>VLOOKUP(Table2[[#This Row],[Customer ID]],Table2[#All],8,FALSE)</f>
        <v>No</v>
      </c>
      <c r="J589" t="str">
        <f>VLOOKUP(Table2[[#This Row],[Customer ID]],Table2[#All],9,FALSE)</f>
        <v>Obesity</v>
      </c>
      <c r="K589" t="str">
        <f>VLOOKUP(Table2[[#This Row],[Customer ID]],Table2[#All],10,FALSE)</f>
        <v>Normal</v>
      </c>
    </row>
    <row r="590" spans="1:11" ht="15.6" x14ac:dyDescent="0.3">
      <c r="A590" s="1" t="s">
        <v>1782</v>
      </c>
      <c r="B590" t="str">
        <f>VLOOKUP('Customer Names'!A590,'Customer Names'!$A$1:$E$2336,4,FALSE)</f>
        <v>Mrs.  Lacey</v>
      </c>
      <c r="C590">
        <f>VLOOKUP(Table2[[#This Row],[Customer ID]],Table2[#All],2,FALSE)</f>
        <v>39.229999999999997</v>
      </c>
      <c r="D590">
        <f>VLOOKUP(Table2[[#This Row],[Customer ID]],Table2[#All],3,FALSE)</f>
        <v>8.4499999999999993</v>
      </c>
      <c r="E590" t="str">
        <f>VLOOKUP(Table2[[#This Row],[Customer ID]],Table2[#All],4,FALSE)</f>
        <v>No</v>
      </c>
      <c r="F590" t="str">
        <f>VLOOKUP(Table2[[#This Row],[Customer ID]],Table2[#All],5,FALSE)</f>
        <v>No</v>
      </c>
      <c r="G590" t="str">
        <f>VLOOKUP(Table2[[#This Row],[Customer ID]],Table2[#All],6,FALSE)</f>
        <v>No</v>
      </c>
      <c r="H590">
        <f>VLOOKUP(Table2[[#This Row],[Customer ID]],Table2[#All],7,FALSE)</f>
        <v>0</v>
      </c>
      <c r="I590" t="str">
        <f>VLOOKUP(Table2[[#This Row],[Customer ID]],Table2[#All],8,FALSE)</f>
        <v>No</v>
      </c>
      <c r="J590" t="str">
        <f>VLOOKUP(Table2[[#This Row],[Customer ID]],Table2[#All],9,FALSE)</f>
        <v>Obesity</v>
      </c>
      <c r="K590" t="str">
        <f>VLOOKUP(Table2[[#This Row],[Customer ID]],Table2[#All],10,FALSE)</f>
        <v>Diabetes</v>
      </c>
    </row>
    <row r="591" spans="1:11" ht="15.6" x14ac:dyDescent="0.3">
      <c r="A591" s="1" t="s">
        <v>1781</v>
      </c>
      <c r="B591" t="str">
        <f>VLOOKUP('Customer Names'!A591,'Customer Names'!$A$1:$E$2336,4,FALSE)</f>
        <v>Ms.  Laurette</v>
      </c>
      <c r="C591">
        <f>VLOOKUP(Table2[[#This Row],[Customer ID]],Table2[#All],2,FALSE)</f>
        <v>19.094999999999999</v>
      </c>
      <c r="D591">
        <f>VLOOKUP(Table2[[#This Row],[Customer ID]],Table2[#All],3,FALSE)</f>
        <v>6.19</v>
      </c>
      <c r="E591" t="str">
        <f>VLOOKUP(Table2[[#This Row],[Customer ID]],Table2[#All],4,FALSE)</f>
        <v>No</v>
      </c>
      <c r="F591" t="str">
        <f>VLOOKUP(Table2[[#This Row],[Customer ID]],Table2[#All],5,FALSE)</f>
        <v>No</v>
      </c>
      <c r="G591" t="str">
        <f>VLOOKUP(Table2[[#This Row],[Customer ID]],Table2[#All],6,FALSE)</f>
        <v>No</v>
      </c>
      <c r="H591">
        <f>VLOOKUP(Table2[[#This Row],[Customer ID]],Table2[#All],7,FALSE)</f>
        <v>0</v>
      </c>
      <c r="I591" t="str">
        <f>VLOOKUP(Table2[[#This Row],[Customer ID]],Table2[#All],8,FALSE)</f>
        <v>Yes</v>
      </c>
      <c r="J591" t="str">
        <f>VLOOKUP(Table2[[#This Row],[Customer ID]],Table2[#All],9,FALSE)</f>
        <v>Normalweight</v>
      </c>
      <c r="K591" t="str">
        <f>VLOOKUP(Table2[[#This Row],[Customer ID]],Table2[#All],10,FALSE)</f>
        <v>Prediabetes</v>
      </c>
    </row>
    <row r="592" spans="1:11" ht="15.6" x14ac:dyDescent="0.3">
      <c r="A592" s="1" t="s">
        <v>1780</v>
      </c>
      <c r="B592" t="str">
        <f>VLOOKUP('Customer Names'!A592,'Customer Names'!$A$1:$E$2336,4,FALSE)</f>
        <v>Mr.  Jason</v>
      </c>
      <c r="C592">
        <f>VLOOKUP(Table2[[#This Row],[Customer ID]],Table2[#All],2,FALSE)</f>
        <v>49.72</v>
      </c>
      <c r="D592">
        <f>VLOOKUP(Table2[[#This Row],[Customer ID]],Table2[#All],3,FALSE)</f>
        <v>7.71</v>
      </c>
      <c r="E592" t="str">
        <f>VLOOKUP(Table2[[#This Row],[Customer ID]],Table2[#All],4,FALSE)</f>
        <v>No</v>
      </c>
      <c r="F592" t="str">
        <f>VLOOKUP(Table2[[#This Row],[Customer ID]],Table2[#All],5,FALSE)</f>
        <v>No</v>
      </c>
      <c r="G592" t="str">
        <f>VLOOKUP(Table2[[#This Row],[Customer ID]],Table2[#All],6,FALSE)</f>
        <v>No</v>
      </c>
      <c r="H592">
        <f>VLOOKUP(Table2[[#This Row],[Customer ID]],Table2[#All],7,FALSE)</f>
        <v>0</v>
      </c>
      <c r="I592" t="str">
        <f>VLOOKUP(Table2[[#This Row],[Customer ID]],Table2[#All],8,FALSE)</f>
        <v>No</v>
      </c>
      <c r="J592" t="str">
        <f>VLOOKUP(Table2[[#This Row],[Customer ID]],Table2[#All],9,FALSE)</f>
        <v>Obesity</v>
      </c>
      <c r="K592" t="str">
        <f>VLOOKUP(Table2[[#This Row],[Customer ID]],Table2[#All],10,FALSE)</f>
        <v>Diabetes</v>
      </c>
    </row>
    <row r="593" spans="1:11" ht="15.6" x14ac:dyDescent="0.3">
      <c r="A593" s="1" t="s">
        <v>1779</v>
      </c>
      <c r="B593" t="str">
        <f>VLOOKUP('Customer Names'!A593,'Customer Names'!$A$1:$E$2336,4,FALSE)</f>
        <v>Ms.  Mary</v>
      </c>
      <c r="C593">
        <f>VLOOKUP(Table2[[#This Row],[Customer ID]],Table2[#All],2,FALSE)</f>
        <v>21.754999999999999</v>
      </c>
      <c r="D593">
        <f>VLOOKUP(Table2[[#This Row],[Customer ID]],Table2[#All],3,FALSE)</f>
        <v>4.63</v>
      </c>
      <c r="E593" t="str">
        <f>VLOOKUP(Table2[[#This Row],[Customer ID]],Table2[#All],4,FALSE)</f>
        <v>No</v>
      </c>
      <c r="F593" t="str">
        <f>VLOOKUP(Table2[[#This Row],[Customer ID]],Table2[#All],5,FALSE)</f>
        <v>No</v>
      </c>
      <c r="G593" t="str">
        <f>VLOOKUP(Table2[[#This Row],[Customer ID]],Table2[#All],6,FALSE)</f>
        <v>Yes</v>
      </c>
      <c r="H593">
        <f>VLOOKUP(Table2[[#This Row],[Customer ID]],Table2[#All],7,FALSE)</f>
        <v>1</v>
      </c>
      <c r="I593" t="str">
        <f>VLOOKUP(Table2[[#This Row],[Customer ID]],Table2[#All],8,FALSE)</f>
        <v>Yes</v>
      </c>
      <c r="J593" t="str">
        <f>VLOOKUP(Table2[[#This Row],[Customer ID]],Table2[#All],9,FALSE)</f>
        <v>Normalweight</v>
      </c>
      <c r="K593" t="str">
        <f>VLOOKUP(Table2[[#This Row],[Customer ID]],Table2[#All],10,FALSE)</f>
        <v>Normal</v>
      </c>
    </row>
    <row r="594" spans="1:11" ht="15.6" x14ac:dyDescent="0.3">
      <c r="A594" s="1" t="s">
        <v>1778</v>
      </c>
      <c r="B594" t="str">
        <f>VLOOKUP('Customer Names'!A594,'Customer Names'!$A$1:$E$2336,4,FALSE)</f>
        <v>Ms.  Kati A</v>
      </c>
      <c r="C594">
        <f>VLOOKUP(Table2[[#This Row],[Customer ID]],Table2[#All],2,FALSE)</f>
        <v>48.39</v>
      </c>
      <c r="D594">
        <f>VLOOKUP(Table2[[#This Row],[Customer ID]],Table2[#All],3,FALSE)</f>
        <v>4.6100000000000003</v>
      </c>
      <c r="E594" t="str">
        <f>VLOOKUP(Table2[[#This Row],[Customer ID]],Table2[#All],4,FALSE)</f>
        <v>No</v>
      </c>
      <c r="F594" t="str">
        <f>VLOOKUP(Table2[[#This Row],[Customer ID]],Table2[#All],5,FALSE)</f>
        <v>No</v>
      </c>
      <c r="G594" t="str">
        <f>VLOOKUP(Table2[[#This Row],[Customer ID]],Table2[#All],6,FALSE)</f>
        <v>No</v>
      </c>
      <c r="H594">
        <f>VLOOKUP(Table2[[#This Row],[Customer ID]],Table2[#All],7,FALSE)</f>
        <v>0</v>
      </c>
      <c r="I594" t="str">
        <f>VLOOKUP(Table2[[#This Row],[Customer ID]],Table2[#All],8,FALSE)</f>
        <v>No</v>
      </c>
      <c r="J594" t="str">
        <f>VLOOKUP(Table2[[#This Row],[Customer ID]],Table2[#All],9,FALSE)</f>
        <v>Obesity</v>
      </c>
      <c r="K594" t="str">
        <f>VLOOKUP(Table2[[#This Row],[Customer ID]],Table2[#All],10,FALSE)</f>
        <v>Normal</v>
      </c>
    </row>
    <row r="595" spans="1:11" ht="15.6" x14ac:dyDescent="0.3">
      <c r="A595" s="1" t="s">
        <v>1777</v>
      </c>
      <c r="B595" t="str">
        <f>VLOOKUP('Customer Names'!A595,'Customer Names'!$A$1:$E$2336,4,FALSE)</f>
        <v>Mrs.  Kelly J</v>
      </c>
      <c r="C595">
        <f>VLOOKUP(Table2[[#This Row],[Customer ID]],Table2[#All],2,FALSE)</f>
        <v>47.15</v>
      </c>
      <c r="D595">
        <f>VLOOKUP(Table2[[#This Row],[Customer ID]],Table2[#All],3,FALSE)</f>
        <v>9.5299999999999994</v>
      </c>
      <c r="E595" t="str">
        <f>VLOOKUP(Table2[[#This Row],[Customer ID]],Table2[#All],4,FALSE)</f>
        <v>Yes</v>
      </c>
      <c r="F595" t="str">
        <f>VLOOKUP(Table2[[#This Row],[Customer ID]],Table2[#All],5,FALSE)</f>
        <v>No</v>
      </c>
      <c r="G595" t="str">
        <f>VLOOKUP(Table2[[#This Row],[Customer ID]],Table2[#All],6,FALSE)</f>
        <v>No</v>
      </c>
      <c r="H595">
        <f>VLOOKUP(Table2[[#This Row],[Customer ID]],Table2[#All],7,FALSE)</f>
        <v>1</v>
      </c>
      <c r="I595" t="str">
        <f>VLOOKUP(Table2[[#This Row],[Customer ID]],Table2[#All],8,FALSE)</f>
        <v>No</v>
      </c>
      <c r="J595" t="str">
        <f>VLOOKUP(Table2[[#This Row],[Customer ID]],Table2[#All],9,FALSE)</f>
        <v>Obesity</v>
      </c>
      <c r="K595" t="str">
        <f>VLOOKUP(Table2[[#This Row],[Customer ID]],Table2[#All],10,FALSE)</f>
        <v>Diabetes</v>
      </c>
    </row>
    <row r="596" spans="1:11" ht="15.6" x14ac:dyDescent="0.3">
      <c r="A596" s="1" t="s">
        <v>1776</v>
      </c>
      <c r="B596" t="str">
        <f>VLOOKUP('Customer Names'!A596,'Customer Names'!$A$1:$E$2336,4,FALSE)</f>
        <v>Ms.  Greer D</v>
      </c>
      <c r="C596">
        <f>VLOOKUP(Table2[[#This Row],[Customer ID]],Table2[#All],2,FALSE)</f>
        <v>47.59</v>
      </c>
      <c r="D596">
        <f>VLOOKUP(Table2[[#This Row],[Customer ID]],Table2[#All],3,FALSE)</f>
        <v>11.43</v>
      </c>
      <c r="E596" t="str">
        <f>VLOOKUP(Table2[[#This Row],[Customer ID]],Table2[#All],4,FALSE)</f>
        <v>Yes</v>
      </c>
      <c r="F596" t="str">
        <f>VLOOKUP(Table2[[#This Row],[Customer ID]],Table2[#All],5,FALSE)</f>
        <v>No</v>
      </c>
      <c r="G596" t="str">
        <f>VLOOKUP(Table2[[#This Row],[Customer ID]],Table2[#All],6,FALSE)</f>
        <v>No</v>
      </c>
      <c r="H596">
        <f>VLOOKUP(Table2[[#This Row],[Customer ID]],Table2[#All],7,FALSE)</f>
        <v>2</v>
      </c>
      <c r="I596" t="str">
        <f>VLOOKUP(Table2[[#This Row],[Customer ID]],Table2[#All],8,FALSE)</f>
        <v>No</v>
      </c>
      <c r="J596" t="str">
        <f>VLOOKUP(Table2[[#This Row],[Customer ID]],Table2[#All],9,FALSE)</f>
        <v>Obesity</v>
      </c>
      <c r="K596" t="str">
        <f>VLOOKUP(Table2[[#This Row],[Customer ID]],Table2[#All],10,FALSE)</f>
        <v>Diabetes</v>
      </c>
    </row>
    <row r="597" spans="1:11" ht="15.6" x14ac:dyDescent="0.3">
      <c r="A597" s="1" t="s">
        <v>1775</v>
      </c>
      <c r="B597" t="str">
        <f>VLOOKUP('Customer Names'!A597,'Customer Names'!$A$1:$E$2336,4,FALSE)</f>
        <v>Mr.  Brent</v>
      </c>
      <c r="C597">
        <f>VLOOKUP(Table2[[#This Row],[Customer ID]],Table2[#All],2,FALSE)</f>
        <v>39.81</v>
      </c>
      <c r="D597">
        <f>VLOOKUP(Table2[[#This Row],[Customer ID]],Table2[#All],3,FALSE)</f>
        <v>7.65</v>
      </c>
      <c r="E597" t="str">
        <f>VLOOKUP(Table2[[#This Row],[Customer ID]],Table2[#All],4,FALSE)</f>
        <v>Yes</v>
      </c>
      <c r="F597" t="str">
        <f>VLOOKUP(Table2[[#This Row],[Customer ID]],Table2[#All],5,FALSE)</f>
        <v>No</v>
      </c>
      <c r="G597" t="str">
        <f>VLOOKUP(Table2[[#This Row],[Customer ID]],Table2[#All],6,FALSE)</f>
        <v>Yes</v>
      </c>
      <c r="H597">
        <f>VLOOKUP(Table2[[#This Row],[Customer ID]],Table2[#All],7,FALSE)</f>
        <v>1</v>
      </c>
      <c r="I597" t="str">
        <f>VLOOKUP(Table2[[#This Row],[Customer ID]],Table2[#All],8,FALSE)</f>
        <v>No</v>
      </c>
      <c r="J597" t="str">
        <f>VLOOKUP(Table2[[#This Row],[Customer ID]],Table2[#All],9,FALSE)</f>
        <v>Obesity</v>
      </c>
      <c r="K597" t="str">
        <f>VLOOKUP(Table2[[#This Row],[Customer ID]],Table2[#All],10,FALSE)</f>
        <v>Diabetes</v>
      </c>
    </row>
    <row r="598" spans="1:11" ht="15.6" x14ac:dyDescent="0.3">
      <c r="A598" s="1" t="s">
        <v>1774</v>
      </c>
      <c r="B598" t="str">
        <f>VLOOKUP('Customer Names'!A598,'Customer Names'!$A$1:$E$2336,4,FALSE)</f>
        <v>Mr.  Eugene M</v>
      </c>
      <c r="C598">
        <f>VLOOKUP(Table2[[#This Row],[Customer ID]],Table2[#All],2,FALSE)</f>
        <v>31.02</v>
      </c>
      <c r="D598">
        <f>VLOOKUP(Table2[[#This Row],[Customer ID]],Table2[#All],3,FALSE)</f>
        <v>5.87</v>
      </c>
      <c r="E598" t="str">
        <f>VLOOKUP(Table2[[#This Row],[Customer ID]],Table2[#All],4,FALSE)</f>
        <v>Yes</v>
      </c>
      <c r="F598" t="str">
        <f>VLOOKUP(Table2[[#This Row],[Customer ID]],Table2[#All],5,FALSE)</f>
        <v>No</v>
      </c>
      <c r="G598" t="str">
        <f>VLOOKUP(Table2[[#This Row],[Customer ID]],Table2[#All],6,FALSE)</f>
        <v>No</v>
      </c>
      <c r="H598">
        <f>VLOOKUP(Table2[[#This Row],[Customer ID]],Table2[#All],7,FALSE)</f>
        <v>0</v>
      </c>
      <c r="I598" t="str">
        <f>VLOOKUP(Table2[[#This Row],[Customer ID]],Table2[#All],8,FALSE)</f>
        <v>No</v>
      </c>
      <c r="J598" t="str">
        <f>VLOOKUP(Table2[[#This Row],[Customer ID]],Table2[#All],9,FALSE)</f>
        <v>Obesity</v>
      </c>
      <c r="K598" t="str">
        <f>VLOOKUP(Table2[[#This Row],[Customer ID]],Table2[#All],10,FALSE)</f>
        <v>Prediabetes</v>
      </c>
    </row>
    <row r="599" spans="1:11" ht="15.6" x14ac:dyDescent="0.3">
      <c r="A599" s="1" t="s">
        <v>1773</v>
      </c>
      <c r="B599" t="str">
        <f>VLOOKUP('Customer Names'!A599,'Customer Names'!$A$1:$E$2336,4,FALSE)</f>
        <v>Ms.  Erin D</v>
      </c>
      <c r="C599">
        <f>VLOOKUP(Table2[[#This Row],[Customer ID]],Table2[#All],2,FALSE)</f>
        <v>24.75</v>
      </c>
      <c r="D599">
        <f>VLOOKUP(Table2[[#This Row],[Customer ID]],Table2[#All],3,FALSE)</f>
        <v>4.3600000000000003</v>
      </c>
      <c r="E599" t="str">
        <f>VLOOKUP(Table2[[#This Row],[Customer ID]],Table2[#All],4,FALSE)</f>
        <v>Yes</v>
      </c>
      <c r="F599" t="str">
        <f>VLOOKUP(Table2[[#This Row],[Customer ID]],Table2[#All],5,FALSE)</f>
        <v>No</v>
      </c>
      <c r="G599" t="str">
        <f>VLOOKUP(Table2[[#This Row],[Customer ID]],Table2[#All],6,FALSE)</f>
        <v>No</v>
      </c>
      <c r="H599">
        <f>VLOOKUP(Table2[[#This Row],[Customer ID]],Table2[#All],7,FALSE)</f>
        <v>1</v>
      </c>
      <c r="I599" t="str">
        <f>VLOOKUP(Table2[[#This Row],[Customer ID]],Table2[#All],8,FALSE)</f>
        <v>Yes</v>
      </c>
      <c r="J599" t="str">
        <f>VLOOKUP(Table2[[#This Row],[Customer ID]],Table2[#All],9,FALSE)</f>
        <v>Normalweight</v>
      </c>
      <c r="K599" t="str">
        <f>VLOOKUP(Table2[[#This Row],[Customer ID]],Table2[#All],10,FALSE)</f>
        <v>Normal</v>
      </c>
    </row>
    <row r="600" spans="1:11" ht="15.6" x14ac:dyDescent="0.3">
      <c r="A600" s="1" t="s">
        <v>1772</v>
      </c>
      <c r="B600" t="str">
        <f>VLOOKUP('Customer Names'!A600,'Customer Names'!$A$1:$E$2336,4,FALSE)</f>
        <v>Ms.  Kamilla</v>
      </c>
      <c r="C600">
        <f>VLOOKUP(Table2[[#This Row],[Customer ID]],Table2[#All],2,FALSE)</f>
        <v>30.114999999999998</v>
      </c>
      <c r="D600">
        <f>VLOOKUP(Table2[[#This Row],[Customer ID]],Table2[#All],3,FALSE)</f>
        <v>10.119999999999999</v>
      </c>
      <c r="E600" t="str">
        <f>VLOOKUP(Table2[[#This Row],[Customer ID]],Table2[#All],4,FALSE)</f>
        <v>No</v>
      </c>
      <c r="F600" t="str">
        <f>VLOOKUP(Table2[[#This Row],[Customer ID]],Table2[#All],5,FALSE)</f>
        <v>No</v>
      </c>
      <c r="G600" t="str">
        <f>VLOOKUP(Table2[[#This Row],[Customer ID]],Table2[#All],6,FALSE)</f>
        <v>No</v>
      </c>
      <c r="H600">
        <f>VLOOKUP(Table2[[#This Row],[Customer ID]],Table2[#All],7,FALSE)</f>
        <v>3</v>
      </c>
      <c r="I600" t="str">
        <f>VLOOKUP(Table2[[#This Row],[Customer ID]],Table2[#All],8,FALSE)</f>
        <v>No</v>
      </c>
      <c r="J600" t="str">
        <f>VLOOKUP(Table2[[#This Row],[Customer ID]],Table2[#All],9,FALSE)</f>
        <v>Obesity</v>
      </c>
      <c r="K600" t="str">
        <f>VLOOKUP(Table2[[#This Row],[Customer ID]],Table2[#All],10,FALSE)</f>
        <v>Diabetes</v>
      </c>
    </row>
    <row r="601" spans="1:11" ht="15.6" x14ac:dyDescent="0.3">
      <c r="A601" s="1" t="s">
        <v>1771</v>
      </c>
      <c r="B601" t="str">
        <f>VLOOKUP('Customer Names'!A601,'Customer Names'!$A$1:$E$2336,4,FALSE)</f>
        <v>Mr.  Wayne I.</v>
      </c>
      <c r="C601">
        <f>VLOOKUP(Table2[[#This Row],[Customer ID]],Table2[#All],2,FALSE)</f>
        <v>26.03</v>
      </c>
      <c r="D601">
        <f>VLOOKUP(Table2[[#This Row],[Customer ID]],Table2[#All],3,FALSE)</f>
        <v>4.01</v>
      </c>
      <c r="E601" t="str">
        <f>VLOOKUP(Table2[[#This Row],[Customer ID]],Table2[#All],4,FALSE)</f>
        <v>No</v>
      </c>
      <c r="F601" t="str">
        <f>VLOOKUP(Table2[[#This Row],[Customer ID]],Table2[#All],5,FALSE)</f>
        <v>No</v>
      </c>
      <c r="G601" t="str">
        <f>VLOOKUP(Table2[[#This Row],[Customer ID]],Table2[#All],6,FALSE)</f>
        <v>Yes</v>
      </c>
      <c r="H601">
        <f>VLOOKUP(Table2[[#This Row],[Customer ID]],Table2[#All],7,FALSE)</f>
        <v>1</v>
      </c>
      <c r="I601" t="str">
        <f>VLOOKUP(Table2[[#This Row],[Customer ID]],Table2[#All],8,FALSE)</f>
        <v>Yes</v>
      </c>
      <c r="J601" t="str">
        <f>VLOOKUP(Table2[[#This Row],[Customer ID]],Table2[#All],9,FALSE)</f>
        <v>Overweight</v>
      </c>
      <c r="K601" t="str">
        <f>VLOOKUP(Table2[[#This Row],[Customer ID]],Table2[#All],10,FALSE)</f>
        <v>Normal</v>
      </c>
    </row>
    <row r="602" spans="1:11" ht="15.6" x14ac:dyDescent="0.3">
      <c r="A602" s="1" t="s">
        <v>1770</v>
      </c>
      <c r="B602" t="str">
        <f>VLOOKUP('Customer Names'!A602,'Customer Names'!$A$1:$E$2336,4,FALSE)</f>
        <v>Ms.  Tracy L</v>
      </c>
      <c r="C602">
        <f>VLOOKUP(Table2[[#This Row],[Customer ID]],Table2[#All],2,FALSE)</f>
        <v>20.045000000000002</v>
      </c>
      <c r="D602">
        <f>VLOOKUP(Table2[[#This Row],[Customer ID]],Table2[#All],3,FALSE)</f>
        <v>4.7699999999999996</v>
      </c>
      <c r="E602" t="str">
        <f>VLOOKUP(Table2[[#This Row],[Customer ID]],Table2[#All],4,FALSE)</f>
        <v>Yes</v>
      </c>
      <c r="F602" t="str">
        <f>VLOOKUP(Table2[[#This Row],[Customer ID]],Table2[#All],5,FALSE)</f>
        <v>No</v>
      </c>
      <c r="G602" t="str">
        <f>VLOOKUP(Table2[[#This Row],[Customer ID]],Table2[#All],6,FALSE)</f>
        <v>No</v>
      </c>
      <c r="H602">
        <f>VLOOKUP(Table2[[#This Row],[Customer ID]],Table2[#All],7,FALSE)</f>
        <v>1</v>
      </c>
      <c r="I602" t="str">
        <f>VLOOKUP(Table2[[#This Row],[Customer ID]],Table2[#All],8,FALSE)</f>
        <v>Yes</v>
      </c>
      <c r="J602" t="str">
        <f>VLOOKUP(Table2[[#This Row],[Customer ID]],Table2[#All],9,FALSE)</f>
        <v>Normalweight</v>
      </c>
      <c r="K602" t="str">
        <f>VLOOKUP(Table2[[#This Row],[Customer ID]],Table2[#All],10,FALSE)</f>
        <v>Normal</v>
      </c>
    </row>
    <row r="603" spans="1:11" ht="15.6" x14ac:dyDescent="0.3">
      <c r="A603" s="1" t="s">
        <v>1769</v>
      </c>
      <c r="B603" t="str">
        <f>VLOOKUP('Customer Names'!A603,'Customer Names'!$A$1:$E$2336,4,FALSE)</f>
        <v>Mrs.  Heather</v>
      </c>
      <c r="C603">
        <f>VLOOKUP(Table2[[#This Row],[Customer ID]],Table2[#All],2,FALSE)</f>
        <v>40.24</v>
      </c>
      <c r="D603">
        <f>VLOOKUP(Table2[[#This Row],[Customer ID]],Table2[#All],3,FALSE)</f>
        <v>6.83</v>
      </c>
      <c r="E603" t="str">
        <f>VLOOKUP(Table2[[#This Row],[Customer ID]],Table2[#All],4,FALSE)</f>
        <v>No</v>
      </c>
      <c r="F603" t="str">
        <f>VLOOKUP(Table2[[#This Row],[Customer ID]],Table2[#All],5,FALSE)</f>
        <v>No</v>
      </c>
      <c r="G603" t="str">
        <f>VLOOKUP(Table2[[#This Row],[Customer ID]],Table2[#All],6,FALSE)</f>
        <v>No</v>
      </c>
      <c r="H603">
        <f>VLOOKUP(Table2[[#This Row],[Customer ID]],Table2[#All],7,FALSE)</f>
        <v>0</v>
      </c>
      <c r="I603" t="str">
        <f>VLOOKUP(Table2[[#This Row],[Customer ID]],Table2[#All],8,FALSE)</f>
        <v>No</v>
      </c>
      <c r="J603" t="str">
        <f>VLOOKUP(Table2[[#This Row],[Customer ID]],Table2[#All],9,FALSE)</f>
        <v>Obesity</v>
      </c>
      <c r="K603" t="str">
        <f>VLOOKUP(Table2[[#This Row],[Customer ID]],Table2[#All],10,FALSE)</f>
        <v>Diabetes</v>
      </c>
    </row>
    <row r="604" spans="1:11" ht="15.6" x14ac:dyDescent="0.3">
      <c r="A604" s="1" t="s">
        <v>1768</v>
      </c>
      <c r="B604" t="str">
        <f>VLOOKUP('Customer Names'!A604,'Customer Names'!$A$1:$E$2336,4,FALSE)</f>
        <v>Mrs.  Megan C</v>
      </c>
      <c r="C604">
        <f>VLOOKUP(Table2[[#This Row],[Customer ID]],Table2[#All],2,FALSE)</f>
        <v>43.15</v>
      </c>
      <c r="D604">
        <f>VLOOKUP(Table2[[#This Row],[Customer ID]],Table2[#All],3,FALSE)</f>
        <v>6.14</v>
      </c>
      <c r="E604" t="str">
        <f>VLOOKUP(Table2[[#This Row],[Customer ID]],Table2[#All],4,FALSE)</f>
        <v>Yes</v>
      </c>
      <c r="F604" t="str">
        <f>VLOOKUP(Table2[[#This Row],[Customer ID]],Table2[#All],5,FALSE)</f>
        <v>No</v>
      </c>
      <c r="G604" t="str">
        <f>VLOOKUP(Table2[[#This Row],[Customer ID]],Table2[#All],6,FALSE)</f>
        <v>Yes</v>
      </c>
      <c r="H604">
        <f>VLOOKUP(Table2[[#This Row],[Customer ID]],Table2[#All],7,FALSE)</f>
        <v>1</v>
      </c>
      <c r="I604" t="str">
        <f>VLOOKUP(Table2[[#This Row],[Customer ID]],Table2[#All],8,FALSE)</f>
        <v>No</v>
      </c>
      <c r="J604" t="str">
        <f>VLOOKUP(Table2[[#This Row],[Customer ID]],Table2[#All],9,FALSE)</f>
        <v>Obesity</v>
      </c>
      <c r="K604" t="str">
        <f>VLOOKUP(Table2[[#This Row],[Customer ID]],Table2[#All],10,FALSE)</f>
        <v>Prediabetes</v>
      </c>
    </row>
    <row r="605" spans="1:11" ht="15.6" x14ac:dyDescent="0.3">
      <c r="A605" s="1" t="s">
        <v>1767</v>
      </c>
      <c r="B605" t="str">
        <f>VLOOKUP('Customer Names'!A605,'Customer Names'!$A$1:$E$2336,4,FALSE)</f>
        <v>Mr.  Jonathan</v>
      </c>
      <c r="C605">
        <f>VLOOKUP(Table2[[#This Row],[Customer ID]],Table2[#All],2,FALSE)</f>
        <v>27.7</v>
      </c>
      <c r="D605">
        <f>VLOOKUP(Table2[[#This Row],[Customer ID]],Table2[#All],3,FALSE)</f>
        <v>5.6</v>
      </c>
      <c r="E605" t="str">
        <f>VLOOKUP(Table2[[#This Row],[Customer ID]],Table2[#All],4,FALSE)</f>
        <v>No</v>
      </c>
      <c r="F605" t="str">
        <f>VLOOKUP(Table2[[#This Row],[Customer ID]],Table2[#All],5,FALSE)</f>
        <v>No</v>
      </c>
      <c r="G605" t="str">
        <f>VLOOKUP(Table2[[#This Row],[Customer ID]],Table2[#All],6,FALSE)</f>
        <v>Yes</v>
      </c>
      <c r="H605">
        <f>VLOOKUP(Table2[[#This Row],[Customer ID]],Table2[#All],7,FALSE)</f>
        <v>1</v>
      </c>
      <c r="I605" t="str">
        <f>VLOOKUP(Table2[[#This Row],[Customer ID]],Table2[#All],8,FALSE)</f>
        <v>Yes</v>
      </c>
      <c r="J605" t="str">
        <f>VLOOKUP(Table2[[#This Row],[Customer ID]],Table2[#All],9,FALSE)</f>
        <v>Overweight</v>
      </c>
      <c r="K605" t="str">
        <f>VLOOKUP(Table2[[#This Row],[Customer ID]],Table2[#All],10,FALSE)</f>
        <v>Normal</v>
      </c>
    </row>
    <row r="606" spans="1:11" ht="15.6" x14ac:dyDescent="0.3">
      <c r="A606" s="1" t="s">
        <v>1766</v>
      </c>
      <c r="B606" t="str">
        <f>VLOOKUP('Customer Names'!A606,'Customer Names'!$A$1:$E$2336,4,FALSE)</f>
        <v>Mr.  Greg D.</v>
      </c>
      <c r="C606">
        <f>VLOOKUP(Table2[[#This Row],[Customer ID]],Table2[#All],2,FALSE)</f>
        <v>45.68</v>
      </c>
      <c r="D606">
        <f>VLOOKUP(Table2[[#This Row],[Customer ID]],Table2[#All],3,FALSE)</f>
        <v>4.8</v>
      </c>
      <c r="E606" t="str">
        <f>VLOOKUP(Table2[[#This Row],[Customer ID]],Table2[#All],4,FALSE)</f>
        <v>No</v>
      </c>
      <c r="F606" t="str">
        <f>VLOOKUP(Table2[[#This Row],[Customer ID]],Table2[#All],5,FALSE)</f>
        <v>No</v>
      </c>
      <c r="G606" t="str">
        <f>VLOOKUP(Table2[[#This Row],[Customer ID]],Table2[#All],6,FALSE)</f>
        <v>No</v>
      </c>
      <c r="H606">
        <f>VLOOKUP(Table2[[#This Row],[Customer ID]],Table2[#All],7,FALSE)</f>
        <v>2</v>
      </c>
      <c r="I606" t="str">
        <f>VLOOKUP(Table2[[#This Row],[Customer ID]],Table2[#All],8,FALSE)</f>
        <v>No</v>
      </c>
      <c r="J606" t="str">
        <f>VLOOKUP(Table2[[#This Row],[Customer ID]],Table2[#All],9,FALSE)</f>
        <v>Obesity</v>
      </c>
      <c r="K606" t="str">
        <f>VLOOKUP(Table2[[#This Row],[Customer ID]],Table2[#All],10,FALSE)</f>
        <v>Normal</v>
      </c>
    </row>
    <row r="607" spans="1:11" ht="15.6" x14ac:dyDescent="0.3">
      <c r="A607" s="1" t="s">
        <v>1765</v>
      </c>
      <c r="B607" t="str">
        <f>VLOOKUP('Customer Names'!A607,'Customer Names'!$A$1:$E$2336,4,FALSE)</f>
        <v>Mr.  Steven L.</v>
      </c>
      <c r="C607">
        <f>VLOOKUP(Table2[[#This Row],[Customer ID]],Table2[#All],2,FALSE)</f>
        <v>27.3</v>
      </c>
      <c r="D607">
        <f>VLOOKUP(Table2[[#This Row],[Customer ID]],Table2[#All],3,FALSE)</f>
        <v>11.89</v>
      </c>
      <c r="E607" t="str">
        <f>VLOOKUP(Table2[[#This Row],[Customer ID]],Table2[#All],4,FALSE)</f>
        <v>No</v>
      </c>
      <c r="F607" t="str">
        <f>VLOOKUP(Table2[[#This Row],[Customer ID]],Table2[#All],5,FALSE)</f>
        <v>No</v>
      </c>
      <c r="G607" t="str">
        <f>VLOOKUP(Table2[[#This Row],[Customer ID]],Table2[#All],6,FALSE)</f>
        <v>No</v>
      </c>
      <c r="H607">
        <f>VLOOKUP(Table2[[#This Row],[Customer ID]],Table2[#All],7,FALSE)</f>
        <v>0</v>
      </c>
      <c r="I607" t="str">
        <f>VLOOKUP(Table2[[#This Row],[Customer ID]],Table2[#All],8,FALSE)</f>
        <v>Yes</v>
      </c>
      <c r="J607" t="str">
        <f>VLOOKUP(Table2[[#This Row],[Customer ID]],Table2[#All],9,FALSE)</f>
        <v>Overweight</v>
      </c>
      <c r="K607" t="str">
        <f>VLOOKUP(Table2[[#This Row],[Customer ID]],Table2[#All],10,FALSE)</f>
        <v>Diabetes</v>
      </c>
    </row>
    <row r="608" spans="1:11" ht="15.6" x14ac:dyDescent="0.3">
      <c r="A608" s="1" t="s">
        <v>1764</v>
      </c>
      <c r="B608" t="str">
        <f>VLOOKUP('Customer Names'!A608,'Customer Names'!$A$1:$E$2336,4,FALSE)</f>
        <v>Mr.  Gianfilippo</v>
      </c>
      <c r="C608">
        <f>VLOOKUP(Table2[[#This Row],[Customer ID]],Table2[#All],2,FALSE)</f>
        <v>54.45</v>
      </c>
      <c r="D608">
        <f>VLOOKUP(Table2[[#This Row],[Customer ID]],Table2[#All],3,FALSE)</f>
        <v>4.7300000000000004</v>
      </c>
      <c r="E608" t="str">
        <f>VLOOKUP(Table2[[#This Row],[Customer ID]],Table2[#All],4,FALSE)</f>
        <v>Yes</v>
      </c>
      <c r="F608" t="str">
        <f>VLOOKUP(Table2[[#This Row],[Customer ID]],Table2[#All],5,FALSE)</f>
        <v>No</v>
      </c>
      <c r="G608" t="str">
        <f>VLOOKUP(Table2[[#This Row],[Customer ID]],Table2[#All],6,FALSE)</f>
        <v>No</v>
      </c>
      <c r="H608">
        <f>VLOOKUP(Table2[[#This Row],[Customer ID]],Table2[#All],7,FALSE)</f>
        <v>1</v>
      </c>
      <c r="I608" t="str">
        <f>VLOOKUP(Table2[[#This Row],[Customer ID]],Table2[#All],8,FALSE)</f>
        <v>No</v>
      </c>
      <c r="J608" t="str">
        <f>VLOOKUP(Table2[[#This Row],[Customer ID]],Table2[#All],9,FALSE)</f>
        <v>Obesity</v>
      </c>
      <c r="K608" t="str">
        <f>VLOOKUP(Table2[[#This Row],[Customer ID]],Table2[#All],10,FALSE)</f>
        <v>Normal</v>
      </c>
    </row>
    <row r="609" spans="1:11" ht="15.6" x14ac:dyDescent="0.3">
      <c r="A609" s="1" t="s">
        <v>1763</v>
      </c>
      <c r="B609" t="str">
        <f>VLOOKUP('Customer Names'!A609,'Customer Names'!$A$1:$E$2336,4,FALSE)</f>
        <v>Mr.  Hector</v>
      </c>
      <c r="C609">
        <f>VLOOKUP(Table2[[#This Row],[Customer ID]],Table2[#All],2,FALSE)</f>
        <v>54.43</v>
      </c>
      <c r="D609">
        <f>VLOOKUP(Table2[[#This Row],[Customer ID]],Table2[#All],3,FALSE)</f>
        <v>4.6100000000000003</v>
      </c>
      <c r="E609" t="str">
        <f>VLOOKUP(Table2[[#This Row],[Customer ID]],Table2[#All],4,FALSE)</f>
        <v>Yes</v>
      </c>
      <c r="F609" t="str">
        <f>VLOOKUP(Table2[[#This Row],[Customer ID]],Table2[#All],5,FALSE)</f>
        <v>No</v>
      </c>
      <c r="G609" t="str">
        <f>VLOOKUP(Table2[[#This Row],[Customer ID]],Table2[#All],6,FALSE)</f>
        <v>No</v>
      </c>
      <c r="H609">
        <f>VLOOKUP(Table2[[#This Row],[Customer ID]],Table2[#All],7,FALSE)</f>
        <v>1</v>
      </c>
      <c r="I609" t="str">
        <f>VLOOKUP(Table2[[#This Row],[Customer ID]],Table2[#All],8,FALSE)</f>
        <v>No</v>
      </c>
      <c r="J609" t="str">
        <f>VLOOKUP(Table2[[#This Row],[Customer ID]],Table2[#All],9,FALSE)</f>
        <v>Obesity</v>
      </c>
      <c r="K609" t="str">
        <f>VLOOKUP(Table2[[#This Row],[Customer ID]],Table2[#All],10,FALSE)</f>
        <v>Normal</v>
      </c>
    </row>
    <row r="610" spans="1:11" ht="15.6" x14ac:dyDescent="0.3">
      <c r="A610" s="1" t="s">
        <v>1762</v>
      </c>
      <c r="B610" t="str">
        <f>VLOOKUP('Customer Names'!A610,'Customer Names'!$A$1:$E$2336,4,FALSE)</f>
        <v>Mr.  Mark W.</v>
      </c>
      <c r="C610">
        <f>VLOOKUP(Table2[[#This Row],[Customer ID]],Table2[#All],2,FALSE)</f>
        <v>48.01</v>
      </c>
      <c r="D610">
        <f>VLOOKUP(Table2[[#This Row],[Customer ID]],Table2[#All],3,FALSE)</f>
        <v>7.3</v>
      </c>
      <c r="E610" t="str">
        <f>VLOOKUP(Table2[[#This Row],[Customer ID]],Table2[#All],4,FALSE)</f>
        <v>No</v>
      </c>
      <c r="F610" t="str">
        <f>VLOOKUP(Table2[[#This Row],[Customer ID]],Table2[#All],5,FALSE)</f>
        <v>No</v>
      </c>
      <c r="G610" t="str">
        <f>VLOOKUP(Table2[[#This Row],[Customer ID]],Table2[#All],6,FALSE)</f>
        <v>No</v>
      </c>
      <c r="H610">
        <f>VLOOKUP(Table2[[#This Row],[Customer ID]],Table2[#All],7,FALSE)</f>
        <v>0</v>
      </c>
      <c r="I610" t="str">
        <f>VLOOKUP(Table2[[#This Row],[Customer ID]],Table2[#All],8,FALSE)</f>
        <v>No</v>
      </c>
      <c r="J610" t="str">
        <f>VLOOKUP(Table2[[#This Row],[Customer ID]],Table2[#All],9,FALSE)</f>
        <v>Obesity</v>
      </c>
      <c r="K610" t="str">
        <f>VLOOKUP(Table2[[#This Row],[Customer ID]],Table2[#All],10,FALSE)</f>
        <v>Diabetes</v>
      </c>
    </row>
    <row r="611" spans="1:11" ht="15.6" x14ac:dyDescent="0.3">
      <c r="A611" s="1" t="s">
        <v>1761</v>
      </c>
      <c r="B611" t="str">
        <f>VLOOKUP('Customer Names'!A611,'Customer Names'!$A$1:$E$2336,4,FALSE)</f>
        <v>Mrs.  Aubri</v>
      </c>
      <c r="C611">
        <f>VLOOKUP(Table2[[#This Row],[Customer ID]],Table2[#All],2,FALSE)</f>
        <v>48.32</v>
      </c>
      <c r="D611">
        <f>VLOOKUP(Table2[[#This Row],[Customer ID]],Table2[#All],3,FALSE)</f>
        <v>5.88</v>
      </c>
      <c r="E611" t="str">
        <f>VLOOKUP(Table2[[#This Row],[Customer ID]],Table2[#All],4,FALSE)</f>
        <v>No</v>
      </c>
      <c r="F611" t="str">
        <f>VLOOKUP(Table2[[#This Row],[Customer ID]],Table2[#All],5,FALSE)</f>
        <v>No</v>
      </c>
      <c r="G611" t="str">
        <f>VLOOKUP(Table2[[#This Row],[Customer ID]],Table2[#All],6,FALSE)</f>
        <v>No</v>
      </c>
      <c r="H611">
        <f>VLOOKUP(Table2[[#This Row],[Customer ID]],Table2[#All],7,FALSE)</f>
        <v>0</v>
      </c>
      <c r="I611" t="str">
        <f>VLOOKUP(Table2[[#This Row],[Customer ID]],Table2[#All],8,FALSE)</f>
        <v>No</v>
      </c>
      <c r="J611" t="str">
        <f>VLOOKUP(Table2[[#This Row],[Customer ID]],Table2[#All],9,FALSE)</f>
        <v>Obesity</v>
      </c>
      <c r="K611" t="str">
        <f>VLOOKUP(Table2[[#This Row],[Customer ID]],Table2[#All],10,FALSE)</f>
        <v>Prediabetes</v>
      </c>
    </row>
    <row r="612" spans="1:11" ht="15.6" x14ac:dyDescent="0.3">
      <c r="A612" s="1" t="s">
        <v>1760</v>
      </c>
      <c r="B612" t="str">
        <f>VLOOKUP('Customer Names'!A612,'Customer Names'!$A$1:$E$2336,4,FALSE)</f>
        <v>Mr.  Justin</v>
      </c>
      <c r="C612">
        <f>VLOOKUP(Table2[[#This Row],[Customer ID]],Table2[#All],2,FALSE)</f>
        <v>22.895</v>
      </c>
      <c r="D612">
        <f>VLOOKUP(Table2[[#This Row],[Customer ID]],Table2[#All],3,FALSE)</f>
        <v>4.0599999999999996</v>
      </c>
      <c r="E612" t="str">
        <f>VLOOKUP(Table2[[#This Row],[Customer ID]],Table2[#All],4,FALSE)</f>
        <v>No</v>
      </c>
      <c r="F612" t="str">
        <f>VLOOKUP(Table2[[#This Row],[Customer ID]],Table2[#All],5,FALSE)</f>
        <v>No</v>
      </c>
      <c r="G612" t="str">
        <f>VLOOKUP(Table2[[#This Row],[Customer ID]],Table2[#All],6,FALSE)</f>
        <v>Yes</v>
      </c>
      <c r="H612">
        <f>VLOOKUP(Table2[[#This Row],[Customer ID]],Table2[#All],7,FALSE)</f>
        <v>1</v>
      </c>
      <c r="I612" t="str">
        <f>VLOOKUP(Table2[[#This Row],[Customer ID]],Table2[#All],8,FALSE)</f>
        <v>Yes</v>
      </c>
      <c r="J612" t="str">
        <f>VLOOKUP(Table2[[#This Row],[Customer ID]],Table2[#All],9,FALSE)</f>
        <v>Normalweight</v>
      </c>
      <c r="K612" t="str">
        <f>VLOOKUP(Table2[[#This Row],[Customer ID]],Table2[#All],10,FALSE)</f>
        <v>Normal</v>
      </c>
    </row>
    <row r="613" spans="1:11" ht="15.6" x14ac:dyDescent="0.3">
      <c r="A613" s="1" t="s">
        <v>1759</v>
      </c>
      <c r="B613" t="str">
        <f>VLOOKUP('Customer Names'!A613,'Customer Names'!$A$1:$E$2336,4,FALSE)</f>
        <v>Ms.  Megan A.</v>
      </c>
      <c r="C613">
        <f>VLOOKUP(Table2[[#This Row],[Customer ID]],Table2[#All],2,FALSE)</f>
        <v>54.85</v>
      </c>
      <c r="D613">
        <f>VLOOKUP(Table2[[#This Row],[Customer ID]],Table2[#All],3,FALSE)</f>
        <v>4.9000000000000004</v>
      </c>
      <c r="E613" t="str">
        <f>VLOOKUP(Table2[[#This Row],[Customer ID]],Table2[#All],4,FALSE)</f>
        <v>No</v>
      </c>
      <c r="F613" t="str">
        <f>VLOOKUP(Table2[[#This Row],[Customer ID]],Table2[#All],5,FALSE)</f>
        <v>No</v>
      </c>
      <c r="G613" t="str">
        <f>VLOOKUP(Table2[[#This Row],[Customer ID]],Table2[#All],6,FALSE)</f>
        <v>No</v>
      </c>
      <c r="H613">
        <f>VLOOKUP(Table2[[#This Row],[Customer ID]],Table2[#All],7,FALSE)</f>
        <v>1</v>
      </c>
      <c r="I613" t="str">
        <f>VLOOKUP(Table2[[#This Row],[Customer ID]],Table2[#All],8,FALSE)</f>
        <v>No</v>
      </c>
      <c r="J613" t="str">
        <f>VLOOKUP(Table2[[#This Row],[Customer ID]],Table2[#All],9,FALSE)</f>
        <v>Obesity</v>
      </c>
      <c r="K613" t="str">
        <f>VLOOKUP(Table2[[#This Row],[Customer ID]],Table2[#All],10,FALSE)</f>
        <v>Normal</v>
      </c>
    </row>
    <row r="614" spans="1:11" ht="15.6" x14ac:dyDescent="0.3">
      <c r="A614" s="1" t="s">
        <v>1758</v>
      </c>
      <c r="B614" t="str">
        <f>VLOOKUP('Customer Names'!A614,'Customer Names'!$A$1:$E$2336,4,FALSE)</f>
        <v>Ms.  Erika M.</v>
      </c>
      <c r="C614">
        <f>VLOOKUP(Table2[[#This Row],[Customer ID]],Table2[#All],2,FALSE)</f>
        <v>21.85</v>
      </c>
      <c r="D614">
        <f>VLOOKUP(Table2[[#This Row],[Customer ID]],Table2[#All],3,FALSE)</f>
        <v>5.52</v>
      </c>
      <c r="E614" t="str">
        <f>VLOOKUP(Table2[[#This Row],[Customer ID]],Table2[#All],4,FALSE)</f>
        <v>No</v>
      </c>
      <c r="F614" t="str">
        <f>VLOOKUP(Table2[[#This Row],[Customer ID]],Table2[#All],5,FALSE)</f>
        <v>No</v>
      </c>
      <c r="G614" t="str">
        <f>VLOOKUP(Table2[[#This Row],[Customer ID]],Table2[#All],6,FALSE)</f>
        <v>Yes</v>
      </c>
      <c r="H614">
        <f>VLOOKUP(Table2[[#This Row],[Customer ID]],Table2[#All],7,FALSE)</f>
        <v>1</v>
      </c>
      <c r="I614" t="str">
        <f>VLOOKUP(Table2[[#This Row],[Customer ID]],Table2[#All],8,FALSE)</f>
        <v>Yes</v>
      </c>
      <c r="J614" t="str">
        <f>VLOOKUP(Table2[[#This Row],[Customer ID]],Table2[#All],9,FALSE)</f>
        <v>Normalweight</v>
      </c>
      <c r="K614" t="str">
        <f>VLOOKUP(Table2[[#This Row],[Customer ID]],Table2[#All],10,FALSE)</f>
        <v>Normal</v>
      </c>
    </row>
    <row r="615" spans="1:11" ht="15.6" x14ac:dyDescent="0.3">
      <c r="A615" s="1" t="s">
        <v>1757</v>
      </c>
      <c r="B615" t="str">
        <f>VLOOKUP('Customer Names'!A615,'Customer Names'!$A$1:$E$2336,4,FALSE)</f>
        <v>Mr.  Daniel G.</v>
      </c>
      <c r="C615">
        <f>VLOOKUP(Table2[[#This Row],[Customer ID]],Table2[#All],2,FALSE)</f>
        <v>51.86</v>
      </c>
      <c r="D615">
        <f>VLOOKUP(Table2[[#This Row],[Customer ID]],Table2[#All],3,FALSE)</f>
        <v>5.2</v>
      </c>
      <c r="E615" t="str">
        <f>VLOOKUP(Table2[[#This Row],[Customer ID]],Table2[#All],4,FALSE)</f>
        <v>Yes</v>
      </c>
      <c r="F615" t="str">
        <f>VLOOKUP(Table2[[#This Row],[Customer ID]],Table2[#All],5,FALSE)</f>
        <v>No</v>
      </c>
      <c r="G615" t="str">
        <f>VLOOKUP(Table2[[#This Row],[Customer ID]],Table2[#All],6,FALSE)</f>
        <v>No</v>
      </c>
      <c r="H615">
        <f>VLOOKUP(Table2[[#This Row],[Customer ID]],Table2[#All],7,FALSE)</f>
        <v>0</v>
      </c>
      <c r="I615" t="str">
        <f>VLOOKUP(Table2[[#This Row],[Customer ID]],Table2[#All],8,FALSE)</f>
        <v>No</v>
      </c>
      <c r="J615" t="str">
        <f>VLOOKUP(Table2[[#This Row],[Customer ID]],Table2[#All],9,FALSE)</f>
        <v>Obesity</v>
      </c>
      <c r="K615" t="str">
        <f>VLOOKUP(Table2[[#This Row],[Customer ID]],Table2[#All],10,FALSE)</f>
        <v>Normal</v>
      </c>
    </row>
    <row r="616" spans="1:11" ht="15.6" x14ac:dyDescent="0.3">
      <c r="A616" s="1" t="s">
        <v>1756</v>
      </c>
      <c r="B616" t="str">
        <f>VLOOKUP('Customer Names'!A616,'Customer Names'!$A$1:$E$2336,4,FALSE)</f>
        <v>Ms.  Devin C.</v>
      </c>
      <c r="C616">
        <f>VLOOKUP(Table2[[#This Row],[Customer ID]],Table2[#All],2,FALSE)</f>
        <v>39.049999999999997</v>
      </c>
      <c r="D616">
        <f>VLOOKUP(Table2[[#This Row],[Customer ID]],Table2[#All],3,FALSE)</f>
        <v>7.59</v>
      </c>
      <c r="E616" t="str">
        <f>VLOOKUP(Table2[[#This Row],[Customer ID]],Table2[#All],4,FALSE)</f>
        <v>No</v>
      </c>
      <c r="F616" t="str">
        <f>VLOOKUP(Table2[[#This Row],[Customer ID]],Table2[#All],5,FALSE)</f>
        <v>No</v>
      </c>
      <c r="G616" t="str">
        <f>VLOOKUP(Table2[[#This Row],[Customer ID]],Table2[#All],6,FALSE)</f>
        <v>No</v>
      </c>
      <c r="H616">
        <f>VLOOKUP(Table2[[#This Row],[Customer ID]],Table2[#All],7,FALSE)</f>
        <v>3</v>
      </c>
      <c r="I616" t="str">
        <f>VLOOKUP(Table2[[#This Row],[Customer ID]],Table2[#All],8,FALSE)</f>
        <v>No</v>
      </c>
      <c r="J616" t="str">
        <f>VLOOKUP(Table2[[#This Row],[Customer ID]],Table2[#All],9,FALSE)</f>
        <v>Obesity</v>
      </c>
      <c r="K616" t="str">
        <f>VLOOKUP(Table2[[#This Row],[Customer ID]],Table2[#All],10,FALSE)</f>
        <v>Diabetes</v>
      </c>
    </row>
    <row r="617" spans="1:11" ht="15.6" x14ac:dyDescent="0.3">
      <c r="A617" s="1" t="s">
        <v>1755</v>
      </c>
      <c r="B617" t="str">
        <f>VLOOKUP('Customer Names'!A617,'Customer Names'!$A$1:$E$2336,4,FALSE)</f>
        <v>Ms.  Louise A</v>
      </c>
      <c r="C617">
        <f>VLOOKUP(Table2[[#This Row],[Customer ID]],Table2[#All],2,FALSE)</f>
        <v>31.824999999999999</v>
      </c>
      <c r="D617">
        <f>VLOOKUP(Table2[[#This Row],[Customer ID]],Table2[#All],3,FALSE)</f>
        <v>8.2799999999999994</v>
      </c>
      <c r="E617" t="str">
        <f>VLOOKUP(Table2[[#This Row],[Customer ID]],Table2[#All],4,FALSE)</f>
        <v>No</v>
      </c>
      <c r="F617" t="str">
        <f>VLOOKUP(Table2[[#This Row],[Customer ID]],Table2[#All],5,FALSE)</f>
        <v>No</v>
      </c>
      <c r="G617" t="str">
        <f>VLOOKUP(Table2[[#This Row],[Customer ID]],Table2[#All],6,FALSE)</f>
        <v>No</v>
      </c>
      <c r="H617">
        <f>VLOOKUP(Table2[[#This Row],[Customer ID]],Table2[#All],7,FALSE)</f>
        <v>3</v>
      </c>
      <c r="I617" t="str">
        <f>VLOOKUP(Table2[[#This Row],[Customer ID]],Table2[#All],8,FALSE)</f>
        <v>No</v>
      </c>
      <c r="J617" t="str">
        <f>VLOOKUP(Table2[[#This Row],[Customer ID]],Table2[#All],9,FALSE)</f>
        <v>Obesity</v>
      </c>
      <c r="K617" t="str">
        <f>VLOOKUP(Table2[[#This Row],[Customer ID]],Table2[#All],10,FALSE)</f>
        <v>Diabetes</v>
      </c>
    </row>
    <row r="618" spans="1:11" ht="15.6" x14ac:dyDescent="0.3">
      <c r="A618" s="1" t="s">
        <v>1754</v>
      </c>
      <c r="B618" t="str">
        <f>VLOOKUP('Customer Names'!A618,'Customer Names'!$A$1:$E$2336,4,FALSE)</f>
        <v>Mrs.  Sarah</v>
      </c>
      <c r="C618">
        <f>VLOOKUP(Table2[[#This Row],[Customer ID]],Table2[#All],2,FALSE)</f>
        <v>46.43</v>
      </c>
      <c r="D618">
        <f>VLOOKUP(Table2[[#This Row],[Customer ID]],Table2[#All],3,FALSE)</f>
        <v>6.72</v>
      </c>
      <c r="E618" t="str">
        <f>VLOOKUP(Table2[[#This Row],[Customer ID]],Table2[#All],4,FALSE)</f>
        <v>No</v>
      </c>
      <c r="F618" t="str">
        <f>VLOOKUP(Table2[[#This Row],[Customer ID]],Table2[#All],5,FALSE)</f>
        <v>No</v>
      </c>
      <c r="G618" t="str">
        <f>VLOOKUP(Table2[[#This Row],[Customer ID]],Table2[#All],6,FALSE)</f>
        <v>No</v>
      </c>
      <c r="H618">
        <f>VLOOKUP(Table2[[#This Row],[Customer ID]],Table2[#All],7,FALSE)</f>
        <v>0</v>
      </c>
      <c r="I618" t="str">
        <f>VLOOKUP(Table2[[#This Row],[Customer ID]],Table2[#All],8,FALSE)</f>
        <v>No</v>
      </c>
      <c r="J618" t="str">
        <f>VLOOKUP(Table2[[#This Row],[Customer ID]],Table2[#All],9,FALSE)</f>
        <v>Obesity</v>
      </c>
      <c r="K618" t="str">
        <f>VLOOKUP(Table2[[#This Row],[Customer ID]],Table2[#All],10,FALSE)</f>
        <v>Diabetes</v>
      </c>
    </row>
    <row r="619" spans="1:11" ht="15.6" x14ac:dyDescent="0.3">
      <c r="A619" s="1" t="s">
        <v>1753</v>
      </c>
      <c r="B619" t="str">
        <f>VLOOKUP('Customer Names'!A619,'Customer Names'!$A$1:$E$2336,4,FALSE)</f>
        <v>Ms.  Amy</v>
      </c>
      <c r="C619">
        <f>VLOOKUP(Table2[[#This Row],[Customer ID]],Table2[#All],2,FALSE)</f>
        <v>53.63</v>
      </c>
      <c r="D619">
        <f>VLOOKUP(Table2[[#This Row],[Customer ID]],Table2[#All],3,FALSE)</f>
        <v>5.47</v>
      </c>
      <c r="E619" t="str">
        <f>VLOOKUP(Table2[[#This Row],[Customer ID]],Table2[#All],4,FALSE)</f>
        <v>Yes</v>
      </c>
      <c r="F619" t="str">
        <f>VLOOKUP(Table2[[#This Row],[Customer ID]],Table2[#All],5,FALSE)</f>
        <v>No</v>
      </c>
      <c r="G619" t="str">
        <f>VLOOKUP(Table2[[#This Row],[Customer ID]],Table2[#All],6,FALSE)</f>
        <v>No</v>
      </c>
      <c r="H619">
        <f>VLOOKUP(Table2[[#This Row],[Customer ID]],Table2[#All],7,FALSE)</f>
        <v>1</v>
      </c>
      <c r="I619" t="str">
        <f>VLOOKUP(Table2[[#This Row],[Customer ID]],Table2[#All],8,FALSE)</f>
        <v>No</v>
      </c>
      <c r="J619" t="str">
        <f>VLOOKUP(Table2[[#This Row],[Customer ID]],Table2[#All],9,FALSE)</f>
        <v>Obesity</v>
      </c>
      <c r="K619" t="str">
        <f>VLOOKUP(Table2[[#This Row],[Customer ID]],Table2[#All],10,FALSE)</f>
        <v>Normal</v>
      </c>
    </row>
    <row r="620" spans="1:11" ht="15.6" x14ac:dyDescent="0.3">
      <c r="A620" s="1" t="s">
        <v>1752</v>
      </c>
      <c r="B620" t="str">
        <f>VLOOKUP('Customer Names'!A620,'Customer Names'!$A$1:$E$2336,4,FALSE)</f>
        <v>Ms.  Brittany L.</v>
      </c>
      <c r="C620">
        <f>VLOOKUP(Table2[[#This Row],[Customer ID]],Table2[#All],2,FALSE)</f>
        <v>48.7</v>
      </c>
      <c r="D620">
        <f>VLOOKUP(Table2[[#This Row],[Customer ID]],Table2[#All],3,FALSE)</f>
        <v>4.71</v>
      </c>
      <c r="E620" t="str">
        <f>VLOOKUP(Table2[[#This Row],[Customer ID]],Table2[#All],4,FALSE)</f>
        <v>No</v>
      </c>
      <c r="F620" t="str">
        <f>VLOOKUP(Table2[[#This Row],[Customer ID]],Table2[#All],5,FALSE)</f>
        <v>No</v>
      </c>
      <c r="G620" t="str">
        <f>VLOOKUP(Table2[[#This Row],[Customer ID]],Table2[#All],6,FALSE)</f>
        <v>No</v>
      </c>
      <c r="H620">
        <f>VLOOKUP(Table2[[#This Row],[Customer ID]],Table2[#All],7,FALSE)</f>
        <v>0</v>
      </c>
      <c r="I620" t="str">
        <f>VLOOKUP(Table2[[#This Row],[Customer ID]],Table2[#All],8,FALSE)</f>
        <v>No</v>
      </c>
      <c r="J620" t="str">
        <f>VLOOKUP(Table2[[#This Row],[Customer ID]],Table2[#All],9,FALSE)</f>
        <v>Obesity</v>
      </c>
      <c r="K620" t="str">
        <f>VLOOKUP(Table2[[#This Row],[Customer ID]],Table2[#All],10,FALSE)</f>
        <v>Normal</v>
      </c>
    </row>
    <row r="621" spans="1:11" ht="15.6" x14ac:dyDescent="0.3">
      <c r="A621" s="1" t="s">
        <v>1751</v>
      </c>
      <c r="B621" t="str">
        <f>VLOOKUP('Customer Names'!A621,'Customer Names'!$A$1:$E$2336,4,FALSE)</f>
        <v>Ms.  Jessica L</v>
      </c>
      <c r="C621">
        <f>VLOOKUP(Table2[[#This Row],[Customer ID]],Table2[#All],2,FALSE)</f>
        <v>48.81</v>
      </c>
      <c r="D621">
        <f>VLOOKUP(Table2[[#This Row],[Customer ID]],Table2[#All],3,FALSE)</f>
        <v>5.49</v>
      </c>
      <c r="E621" t="str">
        <f>VLOOKUP(Table2[[#This Row],[Customer ID]],Table2[#All],4,FALSE)</f>
        <v>No</v>
      </c>
      <c r="F621" t="str">
        <f>VLOOKUP(Table2[[#This Row],[Customer ID]],Table2[#All],5,FALSE)</f>
        <v>No</v>
      </c>
      <c r="G621" t="str">
        <f>VLOOKUP(Table2[[#This Row],[Customer ID]],Table2[#All],6,FALSE)</f>
        <v>No</v>
      </c>
      <c r="H621">
        <f>VLOOKUP(Table2[[#This Row],[Customer ID]],Table2[#All],7,FALSE)</f>
        <v>0</v>
      </c>
      <c r="I621" t="str">
        <f>VLOOKUP(Table2[[#This Row],[Customer ID]],Table2[#All],8,FALSE)</f>
        <v>No</v>
      </c>
      <c r="J621" t="str">
        <f>VLOOKUP(Table2[[#This Row],[Customer ID]],Table2[#All],9,FALSE)</f>
        <v>Obesity</v>
      </c>
      <c r="K621" t="str">
        <f>VLOOKUP(Table2[[#This Row],[Customer ID]],Table2[#All],10,FALSE)</f>
        <v>Normal</v>
      </c>
    </row>
    <row r="622" spans="1:11" ht="15.6" x14ac:dyDescent="0.3">
      <c r="A622" s="1" t="s">
        <v>1750</v>
      </c>
      <c r="B622" t="str">
        <f>VLOOKUP('Customer Names'!A622,'Customer Names'!$A$1:$E$2336,4,FALSE)</f>
        <v>Mrs.  Kristina K</v>
      </c>
      <c r="C622">
        <f>VLOOKUP(Table2[[#This Row],[Customer ID]],Table2[#All],2,FALSE)</f>
        <v>47.53</v>
      </c>
      <c r="D622">
        <f>VLOOKUP(Table2[[#This Row],[Customer ID]],Table2[#All],3,FALSE)</f>
        <v>4.72</v>
      </c>
      <c r="E622" t="str">
        <f>VLOOKUP(Table2[[#This Row],[Customer ID]],Table2[#All],4,FALSE)</f>
        <v>No</v>
      </c>
      <c r="F622" t="str">
        <f>VLOOKUP(Table2[[#This Row],[Customer ID]],Table2[#All],5,FALSE)</f>
        <v>No</v>
      </c>
      <c r="G622" t="str">
        <f>VLOOKUP(Table2[[#This Row],[Customer ID]],Table2[#All],6,FALSE)</f>
        <v>No</v>
      </c>
      <c r="H622">
        <f>VLOOKUP(Table2[[#This Row],[Customer ID]],Table2[#All],7,FALSE)</f>
        <v>0</v>
      </c>
      <c r="I622" t="str">
        <f>VLOOKUP(Table2[[#This Row],[Customer ID]],Table2[#All],8,FALSE)</f>
        <v>No</v>
      </c>
      <c r="J622" t="str">
        <f>VLOOKUP(Table2[[#This Row],[Customer ID]],Table2[#All],9,FALSE)</f>
        <v>Obesity</v>
      </c>
      <c r="K622" t="str">
        <f>VLOOKUP(Table2[[#This Row],[Customer ID]],Table2[#All],10,FALSE)</f>
        <v>Normal</v>
      </c>
    </row>
    <row r="623" spans="1:11" ht="15.6" x14ac:dyDescent="0.3">
      <c r="A623" s="1" t="s">
        <v>1749</v>
      </c>
      <c r="B623" t="str">
        <f>VLOOKUP('Customer Names'!A623,'Customer Names'!$A$1:$E$2336,4,FALSE)</f>
        <v>Mr.  Brad</v>
      </c>
      <c r="C623">
        <f>VLOOKUP(Table2[[#This Row],[Customer ID]],Table2[#All],2,FALSE)</f>
        <v>36.85</v>
      </c>
      <c r="D623">
        <f>VLOOKUP(Table2[[#This Row],[Customer ID]],Table2[#All],3,FALSE)</f>
        <v>6.7</v>
      </c>
      <c r="E623" t="str">
        <f>VLOOKUP(Table2[[#This Row],[Customer ID]],Table2[#All],4,FALSE)</f>
        <v>No</v>
      </c>
      <c r="F623" t="str">
        <f>VLOOKUP(Table2[[#This Row],[Customer ID]],Table2[#All],5,FALSE)</f>
        <v>No</v>
      </c>
      <c r="G623" t="str">
        <f>VLOOKUP(Table2[[#This Row],[Customer ID]],Table2[#All],6,FALSE)</f>
        <v>No</v>
      </c>
      <c r="H623">
        <f>VLOOKUP(Table2[[#This Row],[Customer ID]],Table2[#All],7,FALSE)</f>
        <v>0</v>
      </c>
      <c r="I623" t="str">
        <f>VLOOKUP(Table2[[#This Row],[Customer ID]],Table2[#All],8,FALSE)</f>
        <v>No</v>
      </c>
      <c r="J623" t="str">
        <f>VLOOKUP(Table2[[#This Row],[Customer ID]],Table2[#All],9,FALSE)</f>
        <v>Obesity</v>
      </c>
      <c r="K623" t="str">
        <f>VLOOKUP(Table2[[#This Row],[Customer ID]],Table2[#All],10,FALSE)</f>
        <v>Diabetes</v>
      </c>
    </row>
    <row r="624" spans="1:11" ht="15.6" x14ac:dyDescent="0.3">
      <c r="A624" s="1" t="s">
        <v>1748</v>
      </c>
      <c r="B624" t="str">
        <f>VLOOKUP('Customer Names'!A624,'Customer Names'!$A$1:$E$2336,4,FALSE)</f>
        <v>Ms.  Margaret O</v>
      </c>
      <c r="C624">
        <f>VLOOKUP(Table2[[#This Row],[Customer ID]],Table2[#All],2,FALSE)</f>
        <v>29.3</v>
      </c>
      <c r="D624">
        <f>VLOOKUP(Table2[[#This Row],[Customer ID]],Table2[#All],3,FALSE)</f>
        <v>5.5</v>
      </c>
      <c r="E624" t="str">
        <f>VLOOKUP(Table2[[#This Row],[Customer ID]],Table2[#All],4,FALSE)</f>
        <v>No</v>
      </c>
      <c r="F624" t="str">
        <f>VLOOKUP(Table2[[#This Row],[Customer ID]],Table2[#All],5,FALSE)</f>
        <v>No</v>
      </c>
      <c r="G624" t="str">
        <f>VLOOKUP(Table2[[#This Row],[Customer ID]],Table2[#All],6,FALSE)</f>
        <v>No</v>
      </c>
      <c r="H624">
        <f>VLOOKUP(Table2[[#This Row],[Customer ID]],Table2[#All],7,FALSE)</f>
        <v>0</v>
      </c>
      <c r="I624" t="str">
        <f>VLOOKUP(Table2[[#This Row],[Customer ID]],Table2[#All],8,FALSE)</f>
        <v>No</v>
      </c>
      <c r="J624" t="str">
        <f>VLOOKUP(Table2[[#This Row],[Customer ID]],Table2[#All],9,FALSE)</f>
        <v>Overweight</v>
      </c>
      <c r="K624" t="str">
        <f>VLOOKUP(Table2[[#This Row],[Customer ID]],Table2[#All],10,FALSE)</f>
        <v>Normal</v>
      </c>
    </row>
    <row r="625" spans="1:11" ht="15.6" x14ac:dyDescent="0.3">
      <c r="A625" s="1" t="s">
        <v>1747</v>
      </c>
      <c r="B625" t="str">
        <f>VLOOKUP('Customer Names'!A625,'Customer Names'!$A$1:$E$2336,4,FALSE)</f>
        <v>Mr.  Craig R.</v>
      </c>
      <c r="C625">
        <f>VLOOKUP(Table2[[#This Row],[Customer ID]],Table2[#All],2,FALSE)</f>
        <v>19.3</v>
      </c>
      <c r="D625">
        <f>VLOOKUP(Table2[[#This Row],[Customer ID]],Table2[#All],3,FALSE)</f>
        <v>4.46</v>
      </c>
      <c r="E625" t="str">
        <f>VLOOKUP(Table2[[#This Row],[Customer ID]],Table2[#All],4,FALSE)</f>
        <v>No</v>
      </c>
      <c r="F625" t="str">
        <f>VLOOKUP(Table2[[#This Row],[Customer ID]],Table2[#All],5,FALSE)</f>
        <v>No</v>
      </c>
      <c r="G625" t="str">
        <f>VLOOKUP(Table2[[#This Row],[Customer ID]],Table2[#All],6,FALSE)</f>
        <v>No</v>
      </c>
      <c r="H625">
        <f>VLOOKUP(Table2[[#This Row],[Customer ID]],Table2[#All],7,FALSE)</f>
        <v>1</v>
      </c>
      <c r="I625" t="str">
        <f>VLOOKUP(Table2[[#This Row],[Customer ID]],Table2[#All],8,FALSE)</f>
        <v>Yes</v>
      </c>
      <c r="J625" t="str">
        <f>VLOOKUP(Table2[[#This Row],[Customer ID]],Table2[#All],9,FALSE)</f>
        <v>Normalweight</v>
      </c>
      <c r="K625" t="str">
        <f>VLOOKUP(Table2[[#This Row],[Customer ID]],Table2[#All],10,FALSE)</f>
        <v>Normal</v>
      </c>
    </row>
    <row r="626" spans="1:11" ht="15.6" x14ac:dyDescent="0.3">
      <c r="A626" s="1" t="s">
        <v>1746</v>
      </c>
      <c r="B626" t="str">
        <f>VLOOKUP('Customer Names'!A626,'Customer Names'!$A$1:$E$2336,4,FALSE)</f>
        <v>Mr.  Simo</v>
      </c>
      <c r="C626">
        <f>VLOOKUP(Table2[[#This Row],[Customer ID]],Table2[#All],2,FALSE)</f>
        <v>24.13</v>
      </c>
      <c r="D626">
        <f>VLOOKUP(Table2[[#This Row],[Customer ID]],Table2[#All],3,FALSE)</f>
        <v>5.29</v>
      </c>
      <c r="E626" t="str">
        <f>VLOOKUP(Table2[[#This Row],[Customer ID]],Table2[#All],4,FALSE)</f>
        <v>Yes</v>
      </c>
      <c r="F626" t="str">
        <f>VLOOKUP(Table2[[#This Row],[Customer ID]],Table2[#All],5,FALSE)</f>
        <v>No</v>
      </c>
      <c r="G626" t="str">
        <f>VLOOKUP(Table2[[#This Row],[Customer ID]],Table2[#All],6,FALSE)</f>
        <v>Yes</v>
      </c>
      <c r="H626">
        <f>VLOOKUP(Table2[[#This Row],[Customer ID]],Table2[#All],7,FALSE)</f>
        <v>1</v>
      </c>
      <c r="I626" t="str">
        <f>VLOOKUP(Table2[[#This Row],[Customer ID]],Table2[#All],8,FALSE)</f>
        <v>Yes</v>
      </c>
      <c r="J626" t="str">
        <f>VLOOKUP(Table2[[#This Row],[Customer ID]],Table2[#All],9,FALSE)</f>
        <v>Normalweight</v>
      </c>
      <c r="K626" t="str">
        <f>VLOOKUP(Table2[[#This Row],[Customer ID]],Table2[#All],10,FALSE)</f>
        <v>Normal</v>
      </c>
    </row>
    <row r="627" spans="1:11" ht="15.6" x14ac:dyDescent="0.3">
      <c r="A627" s="1" t="s">
        <v>1745</v>
      </c>
      <c r="B627" t="str">
        <f>VLOOKUP('Customer Names'!A627,'Customer Names'!$A$1:$E$2336,4,FALSE)</f>
        <v>Mr.  Christopher J</v>
      </c>
      <c r="C627">
        <f>VLOOKUP(Table2[[#This Row],[Customer ID]],Table2[#All],2,FALSE)</f>
        <v>46.7</v>
      </c>
      <c r="D627">
        <f>VLOOKUP(Table2[[#This Row],[Customer ID]],Table2[#All],3,FALSE)</f>
        <v>10.99</v>
      </c>
      <c r="E627" t="str">
        <f>VLOOKUP(Table2[[#This Row],[Customer ID]],Table2[#All],4,FALSE)</f>
        <v>No</v>
      </c>
      <c r="F627" t="str">
        <f>VLOOKUP(Table2[[#This Row],[Customer ID]],Table2[#All],5,FALSE)</f>
        <v>No</v>
      </c>
      <c r="G627" t="str">
        <f>VLOOKUP(Table2[[#This Row],[Customer ID]],Table2[#All],6,FALSE)</f>
        <v>No</v>
      </c>
      <c r="H627">
        <f>VLOOKUP(Table2[[#This Row],[Customer ID]],Table2[#All],7,FALSE)</f>
        <v>0</v>
      </c>
      <c r="I627" t="str">
        <f>VLOOKUP(Table2[[#This Row],[Customer ID]],Table2[#All],8,FALSE)</f>
        <v>No</v>
      </c>
      <c r="J627" t="str">
        <f>VLOOKUP(Table2[[#This Row],[Customer ID]],Table2[#All],9,FALSE)</f>
        <v>Obesity</v>
      </c>
      <c r="K627" t="str">
        <f>VLOOKUP(Table2[[#This Row],[Customer ID]],Table2[#All],10,FALSE)</f>
        <v>Diabetes</v>
      </c>
    </row>
    <row r="628" spans="1:11" ht="15.6" x14ac:dyDescent="0.3">
      <c r="A628" s="1" t="s">
        <v>1744</v>
      </c>
      <c r="B628" t="str">
        <f>VLOOKUP('Customer Names'!A628,'Customer Names'!$A$1:$E$2336,4,FALSE)</f>
        <v>Mr.  Mario Sr.</v>
      </c>
      <c r="C628">
        <f>VLOOKUP(Table2[[#This Row],[Customer ID]],Table2[#All],2,FALSE)</f>
        <v>45.27</v>
      </c>
      <c r="D628">
        <f>VLOOKUP(Table2[[#This Row],[Customer ID]],Table2[#All],3,FALSE)</f>
        <v>5.2</v>
      </c>
      <c r="E628" t="str">
        <f>VLOOKUP(Table2[[#This Row],[Customer ID]],Table2[#All],4,FALSE)</f>
        <v>Yes</v>
      </c>
      <c r="F628" t="str">
        <f>VLOOKUP(Table2[[#This Row],[Customer ID]],Table2[#All],5,FALSE)</f>
        <v>No</v>
      </c>
      <c r="G628" t="str">
        <f>VLOOKUP(Table2[[#This Row],[Customer ID]],Table2[#All],6,FALSE)</f>
        <v>No</v>
      </c>
      <c r="H628">
        <f>VLOOKUP(Table2[[#This Row],[Customer ID]],Table2[#All],7,FALSE)</f>
        <v>0</v>
      </c>
      <c r="I628" t="str">
        <f>VLOOKUP(Table2[[#This Row],[Customer ID]],Table2[#All],8,FALSE)</f>
        <v>No</v>
      </c>
      <c r="J628" t="str">
        <f>VLOOKUP(Table2[[#This Row],[Customer ID]],Table2[#All],9,FALSE)</f>
        <v>Obesity</v>
      </c>
      <c r="K628" t="str">
        <f>VLOOKUP(Table2[[#This Row],[Customer ID]],Table2[#All],10,FALSE)</f>
        <v>Normal</v>
      </c>
    </row>
    <row r="629" spans="1:11" ht="15.6" x14ac:dyDescent="0.3">
      <c r="A629" s="1" t="s">
        <v>1743</v>
      </c>
      <c r="B629" t="str">
        <f>VLOOKUP('Customer Names'!A629,'Customer Names'!$A$1:$E$2336,4,FALSE)</f>
        <v>Mrs.  Meghann R.</v>
      </c>
      <c r="C629">
        <f>VLOOKUP(Table2[[#This Row],[Customer ID]],Table2[#All],2,FALSE)</f>
        <v>44.29</v>
      </c>
      <c r="D629">
        <f>VLOOKUP(Table2[[#This Row],[Customer ID]],Table2[#All],3,FALSE)</f>
        <v>9.66</v>
      </c>
      <c r="E629" t="str">
        <f>VLOOKUP(Table2[[#This Row],[Customer ID]],Table2[#All],4,FALSE)</f>
        <v>No</v>
      </c>
      <c r="F629" t="str">
        <f>VLOOKUP(Table2[[#This Row],[Customer ID]],Table2[#All],5,FALSE)</f>
        <v>No</v>
      </c>
      <c r="G629" t="str">
        <f>VLOOKUP(Table2[[#This Row],[Customer ID]],Table2[#All],6,FALSE)</f>
        <v>No</v>
      </c>
      <c r="H629">
        <f>VLOOKUP(Table2[[#This Row],[Customer ID]],Table2[#All],7,FALSE)</f>
        <v>2</v>
      </c>
      <c r="I629" t="str">
        <f>VLOOKUP(Table2[[#This Row],[Customer ID]],Table2[#All],8,FALSE)</f>
        <v>No</v>
      </c>
      <c r="J629" t="str">
        <f>VLOOKUP(Table2[[#This Row],[Customer ID]],Table2[#All],9,FALSE)</f>
        <v>Obesity</v>
      </c>
      <c r="K629" t="str">
        <f>VLOOKUP(Table2[[#This Row],[Customer ID]],Table2[#All],10,FALSE)</f>
        <v>Diabetes</v>
      </c>
    </row>
    <row r="630" spans="1:11" ht="15.6" x14ac:dyDescent="0.3">
      <c r="A630" s="1" t="s">
        <v>1742</v>
      </c>
      <c r="B630" t="str">
        <f>VLOOKUP('Customer Names'!A630,'Customer Names'!$A$1:$E$2336,4,FALSE)</f>
        <v>Mr.  Scott M</v>
      </c>
      <c r="C630">
        <f>VLOOKUP(Table2[[#This Row],[Customer ID]],Table2[#All],2,FALSE)</f>
        <v>54.59</v>
      </c>
      <c r="D630">
        <f>VLOOKUP(Table2[[#This Row],[Customer ID]],Table2[#All],3,FALSE)</f>
        <v>4.22</v>
      </c>
      <c r="E630" t="str">
        <f>VLOOKUP(Table2[[#This Row],[Customer ID]],Table2[#All],4,FALSE)</f>
        <v>Yes</v>
      </c>
      <c r="F630" t="str">
        <f>VLOOKUP(Table2[[#This Row],[Customer ID]],Table2[#All],5,FALSE)</f>
        <v>No</v>
      </c>
      <c r="G630" t="str">
        <f>VLOOKUP(Table2[[#This Row],[Customer ID]],Table2[#All],6,FALSE)</f>
        <v>No</v>
      </c>
      <c r="H630">
        <f>VLOOKUP(Table2[[#This Row],[Customer ID]],Table2[#All],7,FALSE)</f>
        <v>1</v>
      </c>
      <c r="I630" t="str">
        <f>VLOOKUP(Table2[[#This Row],[Customer ID]],Table2[#All],8,FALSE)</f>
        <v>No</v>
      </c>
      <c r="J630" t="str">
        <f>VLOOKUP(Table2[[#This Row],[Customer ID]],Table2[#All],9,FALSE)</f>
        <v>Obesity</v>
      </c>
      <c r="K630" t="str">
        <f>VLOOKUP(Table2[[#This Row],[Customer ID]],Table2[#All],10,FALSE)</f>
        <v>Normal</v>
      </c>
    </row>
    <row r="631" spans="1:11" ht="15.6" x14ac:dyDescent="0.3">
      <c r="A631" s="1" t="s">
        <v>1741</v>
      </c>
      <c r="B631" t="str">
        <f>VLOOKUP('Customer Names'!A631,'Customer Names'!$A$1:$E$2336,4,FALSE)</f>
        <v>Ms.  Caitlin E.</v>
      </c>
      <c r="C631">
        <f>VLOOKUP(Table2[[#This Row],[Customer ID]],Table2[#All],2,FALSE)</f>
        <v>32.965000000000003</v>
      </c>
      <c r="D631">
        <f>VLOOKUP(Table2[[#This Row],[Customer ID]],Table2[#All],3,FALSE)</f>
        <v>11.78</v>
      </c>
      <c r="E631" t="str">
        <f>VLOOKUP(Table2[[#This Row],[Customer ID]],Table2[#All],4,FALSE)</f>
        <v>No</v>
      </c>
      <c r="F631" t="str">
        <f>VLOOKUP(Table2[[#This Row],[Customer ID]],Table2[#All],5,FALSE)</f>
        <v>No</v>
      </c>
      <c r="G631" t="str">
        <f>VLOOKUP(Table2[[#This Row],[Customer ID]],Table2[#All],6,FALSE)</f>
        <v>No</v>
      </c>
      <c r="H631">
        <f>VLOOKUP(Table2[[#This Row],[Customer ID]],Table2[#All],7,FALSE)</f>
        <v>0</v>
      </c>
      <c r="I631" t="str">
        <f>VLOOKUP(Table2[[#This Row],[Customer ID]],Table2[#All],8,FALSE)</f>
        <v>No</v>
      </c>
      <c r="J631" t="str">
        <f>VLOOKUP(Table2[[#This Row],[Customer ID]],Table2[#All],9,FALSE)</f>
        <v>Obesity</v>
      </c>
      <c r="K631" t="str">
        <f>VLOOKUP(Table2[[#This Row],[Customer ID]],Table2[#All],10,FALSE)</f>
        <v>Diabetes</v>
      </c>
    </row>
    <row r="632" spans="1:11" ht="15.6" x14ac:dyDescent="0.3">
      <c r="A632" s="1" t="s">
        <v>1740</v>
      </c>
      <c r="B632" t="str">
        <f>VLOOKUP('Customer Names'!A632,'Customer Names'!$A$1:$E$2336,4,FALSE)</f>
        <v>Mrs.  Samantha A.</v>
      </c>
      <c r="C632">
        <f>VLOOKUP(Table2[[#This Row],[Customer ID]],Table2[#All],2,FALSE)</f>
        <v>38.049999999999997</v>
      </c>
      <c r="D632">
        <f>VLOOKUP(Table2[[#This Row],[Customer ID]],Table2[#All],3,FALSE)</f>
        <v>9.6199999999999992</v>
      </c>
      <c r="E632" t="str">
        <f>VLOOKUP(Table2[[#This Row],[Customer ID]],Table2[#All],4,FALSE)</f>
        <v>No</v>
      </c>
      <c r="F632" t="str">
        <f>VLOOKUP(Table2[[#This Row],[Customer ID]],Table2[#All],5,FALSE)</f>
        <v>No</v>
      </c>
      <c r="G632" t="str">
        <f>VLOOKUP(Table2[[#This Row],[Customer ID]],Table2[#All],6,FALSE)</f>
        <v>No</v>
      </c>
      <c r="H632">
        <f>VLOOKUP(Table2[[#This Row],[Customer ID]],Table2[#All],7,FALSE)</f>
        <v>0</v>
      </c>
      <c r="I632" t="str">
        <f>VLOOKUP(Table2[[#This Row],[Customer ID]],Table2[#All],8,FALSE)</f>
        <v>No</v>
      </c>
      <c r="J632" t="str">
        <f>VLOOKUP(Table2[[#This Row],[Customer ID]],Table2[#All],9,FALSE)</f>
        <v>Obesity</v>
      </c>
      <c r="K632" t="str">
        <f>VLOOKUP(Table2[[#This Row],[Customer ID]],Table2[#All],10,FALSE)</f>
        <v>Diabetes</v>
      </c>
    </row>
    <row r="633" spans="1:11" ht="15.6" x14ac:dyDescent="0.3">
      <c r="A633" s="1" t="s">
        <v>1739</v>
      </c>
      <c r="B633" t="str">
        <f>VLOOKUP('Customer Names'!A633,'Customer Names'!$A$1:$E$2336,4,FALSE)</f>
        <v>Mr.  Erik</v>
      </c>
      <c r="C633">
        <f>VLOOKUP(Table2[[#This Row],[Customer ID]],Table2[#All],2,FALSE)</f>
        <v>46.14</v>
      </c>
      <c r="D633">
        <f>VLOOKUP(Table2[[#This Row],[Customer ID]],Table2[#All],3,FALSE)</f>
        <v>10.78</v>
      </c>
      <c r="E633" t="str">
        <f>VLOOKUP(Table2[[#This Row],[Customer ID]],Table2[#All],4,FALSE)</f>
        <v>No</v>
      </c>
      <c r="F633" t="str">
        <f>VLOOKUP(Table2[[#This Row],[Customer ID]],Table2[#All],5,FALSE)</f>
        <v>No</v>
      </c>
      <c r="G633" t="str">
        <f>VLOOKUP(Table2[[#This Row],[Customer ID]],Table2[#All],6,FALSE)</f>
        <v>No</v>
      </c>
      <c r="H633">
        <f>VLOOKUP(Table2[[#This Row],[Customer ID]],Table2[#All],7,FALSE)</f>
        <v>0</v>
      </c>
      <c r="I633" t="str">
        <f>VLOOKUP(Table2[[#This Row],[Customer ID]],Table2[#All],8,FALSE)</f>
        <v>No</v>
      </c>
      <c r="J633" t="str">
        <f>VLOOKUP(Table2[[#This Row],[Customer ID]],Table2[#All],9,FALSE)</f>
        <v>Obesity</v>
      </c>
      <c r="K633" t="str">
        <f>VLOOKUP(Table2[[#This Row],[Customer ID]],Table2[#All],10,FALSE)</f>
        <v>Diabetes</v>
      </c>
    </row>
    <row r="634" spans="1:11" ht="15.6" x14ac:dyDescent="0.3">
      <c r="A634" s="1" t="s">
        <v>1738</v>
      </c>
      <c r="B634" t="str">
        <f>VLOOKUP('Customer Names'!A634,'Customer Names'!$A$1:$E$2336,4,FALSE)</f>
        <v>Mr.  Christopher</v>
      </c>
      <c r="C634">
        <f>VLOOKUP(Table2[[#This Row],[Customer ID]],Table2[#All],2,FALSE)</f>
        <v>41.325000000000003</v>
      </c>
      <c r="D634">
        <f>VLOOKUP(Table2[[#This Row],[Customer ID]],Table2[#All],3,FALSE)</f>
        <v>5.1100000000000003</v>
      </c>
      <c r="E634" t="str">
        <f>VLOOKUP(Table2[[#This Row],[Customer ID]],Table2[#All],4,FALSE)</f>
        <v>Yes</v>
      </c>
      <c r="F634" t="str">
        <f>VLOOKUP(Table2[[#This Row],[Customer ID]],Table2[#All],5,FALSE)</f>
        <v>No</v>
      </c>
      <c r="G634" t="str">
        <f>VLOOKUP(Table2[[#This Row],[Customer ID]],Table2[#All],6,FALSE)</f>
        <v>No</v>
      </c>
      <c r="H634">
        <f>VLOOKUP(Table2[[#This Row],[Customer ID]],Table2[#All],7,FALSE)</f>
        <v>2</v>
      </c>
      <c r="I634" t="str">
        <f>VLOOKUP(Table2[[#This Row],[Customer ID]],Table2[#All],8,FALSE)</f>
        <v>No</v>
      </c>
      <c r="J634" t="str">
        <f>VLOOKUP(Table2[[#This Row],[Customer ID]],Table2[#All],9,FALSE)</f>
        <v>Obesity</v>
      </c>
      <c r="K634" t="str">
        <f>VLOOKUP(Table2[[#This Row],[Customer ID]],Table2[#All],10,FALSE)</f>
        <v>Normal</v>
      </c>
    </row>
    <row r="635" spans="1:11" ht="15.6" x14ac:dyDescent="0.3">
      <c r="A635" s="1" t="s">
        <v>1737</v>
      </c>
      <c r="B635" t="str">
        <f>VLOOKUP('Customer Names'!A635,'Customer Names'!$A$1:$E$2336,4,FALSE)</f>
        <v>Mrs.  Maya</v>
      </c>
      <c r="C635">
        <f>VLOOKUP(Table2[[#This Row],[Customer ID]],Table2[#All],2,FALSE)</f>
        <v>44.64</v>
      </c>
      <c r="D635">
        <f>VLOOKUP(Table2[[#This Row],[Customer ID]],Table2[#All],3,FALSE)</f>
        <v>7.18</v>
      </c>
      <c r="E635" t="str">
        <f>VLOOKUP(Table2[[#This Row],[Customer ID]],Table2[#All],4,FALSE)</f>
        <v>No</v>
      </c>
      <c r="F635" t="str">
        <f>VLOOKUP(Table2[[#This Row],[Customer ID]],Table2[#All],5,FALSE)</f>
        <v>No</v>
      </c>
      <c r="G635" t="str">
        <f>VLOOKUP(Table2[[#This Row],[Customer ID]],Table2[#All],6,FALSE)</f>
        <v>No</v>
      </c>
      <c r="H635">
        <f>VLOOKUP(Table2[[#This Row],[Customer ID]],Table2[#All],7,FALSE)</f>
        <v>0</v>
      </c>
      <c r="I635" t="str">
        <f>VLOOKUP(Table2[[#This Row],[Customer ID]],Table2[#All],8,FALSE)</f>
        <v>No</v>
      </c>
      <c r="J635" t="str">
        <f>VLOOKUP(Table2[[#This Row],[Customer ID]],Table2[#All],9,FALSE)</f>
        <v>Obesity</v>
      </c>
      <c r="K635" t="str">
        <f>VLOOKUP(Table2[[#This Row],[Customer ID]],Table2[#All],10,FALSE)</f>
        <v>Diabetes</v>
      </c>
    </row>
    <row r="636" spans="1:11" ht="15.6" x14ac:dyDescent="0.3">
      <c r="A636" s="1" t="s">
        <v>1736</v>
      </c>
      <c r="B636" t="str">
        <f>VLOOKUP('Customer Names'!A636,'Customer Names'!$A$1:$E$2336,4,FALSE)</f>
        <v>Mr.  Zachary T</v>
      </c>
      <c r="C636">
        <f>VLOOKUP(Table2[[#This Row],[Customer ID]],Table2[#All],2,FALSE)</f>
        <v>25.175000000000001</v>
      </c>
      <c r="D636">
        <f>VLOOKUP(Table2[[#This Row],[Customer ID]],Table2[#All],3,FALSE)</f>
        <v>4.96</v>
      </c>
      <c r="E636" t="str">
        <f>VLOOKUP(Table2[[#This Row],[Customer ID]],Table2[#All],4,FALSE)</f>
        <v>No</v>
      </c>
      <c r="F636" t="str">
        <f>VLOOKUP(Table2[[#This Row],[Customer ID]],Table2[#All],5,FALSE)</f>
        <v>yes</v>
      </c>
      <c r="G636" t="str">
        <f>VLOOKUP(Table2[[#This Row],[Customer ID]],Table2[#All],6,FALSE)</f>
        <v>No</v>
      </c>
      <c r="H636">
        <f>VLOOKUP(Table2[[#This Row],[Customer ID]],Table2[#All],7,FALSE)</f>
        <v>1</v>
      </c>
      <c r="I636" t="str">
        <f>VLOOKUP(Table2[[#This Row],[Customer ID]],Table2[#All],8,FALSE)</f>
        <v>No</v>
      </c>
      <c r="J636" t="str">
        <f>VLOOKUP(Table2[[#This Row],[Customer ID]],Table2[#All],9,FALSE)</f>
        <v>Overweight</v>
      </c>
      <c r="K636" t="str">
        <f>VLOOKUP(Table2[[#This Row],[Customer ID]],Table2[#All],10,FALSE)</f>
        <v>Normal</v>
      </c>
    </row>
    <row r="637" spans="1:11" ht="15.6" x14ac:dyDescent="0.3">
      <c r="A637" s="1" t="s">
        <v>1735</v>
      </c>
      <c r="B637" t="str">
        <f>VLOOKUP('Customer Names'!A637,'Customer Names'!$A$1:$E$2336,4,FALSE)</f>
        <v>Mrs.  Hilda</v>
      </c>
      <c r="C637">
        <f>VLOOKUP(Table2[[#This Row],[Customer ID]],Table2[#All],2,FALSE)</f>
        <v>43.11</v>
      </c>
      <c r="D637">
        <f>VLOOKUP(Table2[[#This Row],[Customer ID]],Table2[#All],3,FALSE)</f>
        <v>4.67</v>
      </c>
      <c r="E637" t="str">
        <f>VLOOKUP(Table2[[#This Row],[Customer ID]],Table2[#All],4,FALSE)</f>
        <v>Yes</v>
      </c>
      <c r="F637" t="str">
        <f>VLOOKUP(Table2[[#This Row],[Customer ID]],Table2[#All],5,FALSE)</f>
        <v>No</v>
      </c>
      <c r="G637" t="str">
        <f>VLOOKUP(Table2[[#This Row],[Customer ID]],Table2[#All],6,FALSE)</f>
        <v>No</v>
      </c>
      <c r="H637">
        <f>VLOOKUP(Table2[[#This Row],[Customer ID]],Table2[#All],7,FALSE)</f>
        <v>0</v>
      </c>
      <c r="I637" t="str">
        <f>VLOOKUP(Table2[[#This Row],[Customer ID]],Table2[#All],8,FALSE)</f>
        <v>No</v>
      </c>
      <c r="J637" t="str">
        <f>VLOOKUP(Table2[[#This Row],[Customer ID]],Table2[#All],9,FALSE)</f>
        <v>Obesity</v>
      </c>
      <c r="K637" t="str">
        <f>VLOOKUP(Table2[[#This Row],[Customer ID]],Table2[#All],10,FALSE)</f>
        <v>Normal</v>
      </c>
    </row>
    <row r="638" spans="1:11" ht="15.6" x14ac:dyDescent="0.3">
      <c r="A638" s="1" t="s">
        <v>1734</v>
      </c>
      <c r="B638" t="str">
        <f>VLOOKUP('Customer Names'!A638,'Customer Names'!$A$1:$E$2336,4,FALSE)</f>
        <v>Ms.  Stephanie</v>
      </c>
      <c r="C638">
        <f>VLOOKUP(Table2[[#This Row],[Customer ID]],Table2[#All],2,FALSE)</f>
        <v>53.32</v>
      </c>
      <c r="D638">
        <f>VLOOKUP(Table2[[#This Row],[Customer ID]],Table2[#All],3,FALSE)</f>
        <v>5.0599999999999996</v>
      </c>
      <c r="E638" t="str">
        <f>VLOOKUP(Table2[[#This Row],[Customer ID]],Table2[#All],4,FALSE)</f>
        <v>No</v>
      </c>
      <c r="F638" t="str">
        <f>VLOOKUP(Table2[[#This Row],[Customer ID]],Table2[#All],5,FALSE)</f>
        <v>No</v>
      </c>
      <c r="G638" t="str">
        <f>VLOOKUP(Table2[[#This Row],[Customer ID]],Table2[#All],6,FALSE)</f>
        <v>No</v>
      </c>
      <c r="H638">
        <f>VLOOKUP(Table2[[#This Row],[Customer ID]],Table2[#All],7,FALSE)</f>
        <v>0</v>
      </c>
      <c r="I638" t="str">
        <f>VLOOKUP(Table2[[#This Row],[Customer ID]],Table2[#All],8,FALSE)</f>
        <v>No</v>
      </c>
      <c r="J638" t="str">
        <f>VLOOKUP(Table2[[#This Row],[Customer ID]],Table2[#All],9,FALSE)</f>
        <v>Obesity</v>
      </c>
      <c r="K638" t="str">
        <f>VLOOKUP(Table2[[#This Row],[Customer ID]],Table2[#All],10,FALSE)</f>
        <v>Normal</v>
      </c>
    </row>
    <row r="639" spans="1:11" ht="15.6" x14ac:dyDescent="0.3">
      <c r="A639" s="1" t="s">
        <v>1733</v>
      </c>
      <c r="B639" t="str">
        <f>VLOOKUP('Customer Names'!A639,'Customer Names'!$A$1:$E$2336,4,FALSE)</f>
        <v>Mr.  Doug</v>
      </c>
      <c r="C639">
        <f>VLOOKUP(Table2[[#This Row],[Customer ID]],Table2[#All],2,FALSE)</f>
        <v>38.04</v>
      </c>
      <c r="D639">
        <f>VLOOKUP(Table2[[#This Row],[Customer ID]],Table2[#All],3,FALSE)</f>
        <v>5.0199999999999996</v>
      </c>
      <c r="E639" t="str">
        <f>VLOOKUP(Table2[[#This Row],[Customer ID]],Table2[#All],4,FALSE)</f>
        <v>Yes</v>
      </c>
      <c r="F639" t="str">
        <f>VLOOKUP(Table2[[#This Row],[Customer ID]],Table2[#All],5,FALSE)</f>
        <v>No</v>
      </c>
      <c r="G639" t="str">
        <f>VLOOKUP(Table2[[#This Row],[Customer ID]],Table2[#All],6,FALSE)</f>
        <v>No</v>
      </c>
      <c r="H639">
        <f>VLOOKUP(Table2[[#This Row],[Customer ID]],Table2[#All],7,FALSE)</f>
        <v>1</v>
      </c>
      <c r="I639" t="str">
        <f>VLOOKUP(Table2[[#This Row],[Customer ID]],Table2[#All],8,FALSE)</f>
        <v>No</v>
      </c>
      <c r="J639" t="str">
        <f>VLOOKUP(Table2[[#This Row],[Customer ID]],Table2[#All],9,FALSE)</f>
        <v>Obesity</v>
      </c>
      <c r="K639" t="str">
        <f>VLOOKUP(Table2[[#This Row],[Customer ID]],Table2[#All],10,FALSE)</f>
        <v>Normal</v>
      </c>
    </row>
    <row r="640" spans="1:11" ht="15.6" x14ac:dyDescent="0.3">
      <c r="A640" s="1" t="s">
        <v>1732</v>
      </c>
      <c r="B640" t="str">
        <f>VLOOKUP('Customer Names'!A640,'Customer Names'!$A$1:$E$2336,4,FALSE)</f>
        <v>Ms.  Bethany N.</v>
      </c>
      <c r="C640">
        <f>VLOOKUP(Table2[[#This Row],[Customer ID]],Table2[#All],2,FALSE)</f>
        <v>37.9</v>
      </c>
      <c r="D640">
        <f>VLOOKUP(Table2[[#This Row],[Customer ID]],Table2[#All],3,FALSE)</f>
        <v>7.76</v>
      </c>
      <c r="E640" t="str">
        <f>VLOOKUP(Table2[[#This Row],[Customer ID]],Table2[#All],4,FALSE)</f>
        <v>No</v>
      </c>
      <c r="F640" t="str">
        <f>VLOOKUP(Table2[[#This Row],[Customer ID]],Table2[#All],5,FALSE)</f>
        <v>No</v>
      </c>
      <c r="G640" t="str">
        <f>VLOOKUP(Table2[[#This Row],[Customer ID]],Table2[#All],6,FALSE)</f>
        <v>No</v>
      </c>
      <c r="H640">
        <f>VLOOKUP(Table2[[#This Row],[Customer ID]],Table2[#All],7,FALSE)</f>
        <v>0</v>
      </c>
      <c r="I640" t="str">
        <f>VLOOKUP(Table2[[#This Row],[Customer ID]],Table2[#All],8,FALSE)</f>
        <v>No</v>
      </c>
      <c r="J640" t="str">
        <f>VLOOKUP(Table2[[#This Row],[Customer ID]],Table2[#All],9,FALSE)</f>
        <v>Obesity</v>
      </c>
      <c r="K640" t="str">
        <f>VLOOKUP(Table2[[#This Row],[Customer ID]],Table2[#All],10,FALSE)</f>
        <v>Diabetes</v>
      </c>
    </row>
    <row r="641" spans="1:11" ht="15.6" x14ac:dyDescent="0.3">
      <c r="A641" s="1" t="s">
        <v>1731</v>
      </c>
      <c r="B641" t="str">
        <f>VLOOKUP('Customer Names'!A641,'Customer Names'!$A$1:$E$2336,4,FALSE)</f>
        <v>Mrs.  Sandra H</v>
      </c>
      <c r="C641">
        <f>VLOOKUP(Table2[[#This Row],[Customer ID]],Table2[#All],2,FALSE)</f>
        <v>39.6</v>
      </c>
      <c r="D641">
        <f>VLOOKUP(Table2[[#This Row],[Customer ID]],Table2[#All],3,FALSE)</f>
        <v>9.32</v>
      </c>
      <c r="E641" t="str">
        <f>VLOOKUP(Table2[[#This Row],[Customer ID]],Table2[#All],4,FALSE)</f>
        <v>No</v>
      </c>
      <c r="F641" t="str">
        <f>VLOOKUP(Table2[[#This Row],[Customer ID]],Table2[#All],5,FALSE)</f>
        <v>No</v>
      </c>
      <c r="G641" t="str">
        <f>VLOOKUP(Table2[[#This Row],[Customer ID]],Table2[#All],6,FALSE)</f>
        <v>No</v>
      </c>
      <c r="H641">
        <f>VLOOKUP(Table2[[#This Row],[Customer ID]],Table2[#All],7,FALSE)</f>
        <v>0</v>
      </c>
      <c r="I641" t="str">
        <f>VLOOKUP(Table2[[#This Row],[Customer ID]],Table2[#All],8,FALSE)</f>
        <v>No</v>
      </c>
      <c r="J641" t="str">
        <f>VLOOKUP(Table2[[#This Row],[Customer ID]],Table2[#All],9,FALSE)</f>
        <v>Obesity</v>
      </c>
      <c r="K641" t="str">
        <f>VLOOKUP(Table2[[#This Row],[Customer ID]],Table2[#All],10,FALSE)</f>
        <v>Diabetes</v>
      </c>
    </row>
    <row r="642" spans="1:11" ht="15.6" x14ac:dyDescent="0.3">
      <c r="A642" s="1" t="s">
        <v>1730</v>
      </c>
      <c r="B642" t="str">
        <f>VLOOKUP('Customer Names'!A642,'Customer Names'!$A$1:$E$2336,4,FALSE)</f>
        <v>Mr.  Takuo</v>
      </c>
      <c r="C642">
        <f>VLOOKUP(Table2[[#This Row],[Customer ID]],Table2[#All],2,FALSE)</f>
        <v>50.92</v>
      </c>
      <c r="D642">
        <f>VLOOKUP(Table2[[#This Row],[Customer ID]],Table2[#All],3,FALSE)</f>
        <v>5.31</v>
      </c>
      <c r="E642" t="str">
        <f>VLOOKUP(Table2[[#This Row],[Customer ID]],Table2[#All],4,FALSE)</f>
        <v>Yes</v>
      </c>
      <c r="F642" t="str">
        <f>VLOOKUP(Table2[[#This Row],[Customer ID]],Table2[#All],5,FALSE)</f>
        <v>No</v>
      </c>
      <c r="G642" t="str">
        <f>VLOOKUP(Table2[[#This Row],[Customer ID]],Table2[#All],6,FALSE)</f>
        <v>No</v>
      </c>
      <c r="H642">
        <f>VLOOKUP(Table2[[#This Row],[Customer ID]],Table2[#All],7,FALSE)</f>
        <v>1</v>
      </c>
      <c r="I642" t="str">
        <f>VLOOKUP(Table2[[#This Row],[Customer ID]],Table2[#All],8,FALSE)</f>
        <v>No</v>
      </c>
      <c r="J642" t="str">
        <f>VLOOKUP(Table2[[#This Row],[Customer ID]],Table2[#All],9,FALSE)</f>
        <v>Obesity</v>
      </c>
      <c r="K642" t="str">
        <f>VLOOKUP(Table2[[#This Row],[Customer ID]],Table2[#All],10,FALSE)</f>
        <v>Normal</v>
      </c>
    </row>
    <row r="643" spans="1:11" ht="15.6" x14ac:dyDescent="0.3">
      <c r="A643" s="1" t="s">
        <v>1729</v>
      </c>
      <c r="B643" t="str">
        <f>VLOOKUP('Customer Names'!A643,'Customer Names'!$A$1:$E$2336,4,FALSE)</f>
        <v>Ms.  Kelly A.</v>
      </c>
      <c r="C643">
        <f>VLOOKUP(Table2[[#This Row],[Customer ID]],Table2[#All],2,FALSE)</f>
        <v>21.85</v>
      </c>
      <c r="D643">
        <f>VLOOKUP(Table2[[#This Row],[Customer ID]],Table2[#All],3,FALSE)</f>
        <v>5.56</v>
      </c>
      <c r="E643" t="str">
        <f>VLOOKUP(Table2[[#This Row],[Customer ID]],Table2[#All],4,FALSE)</f>
        <v>Yes</v>
      </c>
      <c r="F643" t="str">
        <f>VLOOKUP(Table2[[#This Row],[Customer ID]],Table2[#All],5,FALSE)</f>
        <v>No</v>
      </c>
      <c r="G643" t="str">
        <f>VLOOKUP(Table2[[#This Row],[Customer ID]],Table2[#All],6,FALSE)</f>
        <v>No</v>
      </c>
      <c r="H643">
        <f>VLOOKUP(Table2[[#This Row],[Customer ID]],Table2[#All],7,FALSE)</f>
        <v>0</v>
      </c>
      <c r="I643" t="str">
        <f>VLOOKUP(Table2[[#This Row],[Customer ID]],Table2[#All],8,FALSE)</f>
        <v>Yes</v>
      </c>
      <c r="J643" t="str">
        <f>VLOOKUP(Table2[[#This Row],[Customer ID]],Table2[#All],9,FALSE)</f>
        <v>Normalweight</v>
      </c>
      <c r="K643" t="str">
        <f>VLOOKUP(Table2[[#This Row],[Customer ID]],Table2[#All],10,FALSE)</f>
        <v>Normal</v>
      </c>
    </row>
    <row r="644" spans="1:11" ht="15.6" x14ac:dyDescent="0.3">
      <c r="A644" s="1" t="s">
        <v>1728</v>
      </c>
      <c r="B644" t="str">
        <f>VLOOKUP('Customer Names'!A644,'Customer Names'!$A$1:$E$2336,4,FALSE)</f>
        <v>Mr.  Scott</v>
      </c>
      <c r="C644">
        <f>VLOOKUP(Table2[[#This Row],[Customer ID]],Table2[#All],2,FALSE)</f>
        <v>36.08</v>
      </c>
      <c r="D644">
        <f>VLOOKUP(Table2[[#This Row],[Customer ID]],Table2[#All],3,FALSE)</f>
        <v>7.11</v>
      </c>
      <c r="E644" t="str">
        <f>VLOOKUP(Table2[[#This Row],[Customer ID]],Table2[#All],4,FALSE)</f>
        <v>Yes</v>
      </c>
      <c r="F644" t="str">
        <f>VLOOKUP(Table2[[#This Row],[Customer ID]],Table2[#All],5,FALSE)</f>
        <v>No</v>
      </c>
      <c r="G644" t="str">
        <f>VLOOKUP(Table2[[#This Row],[Customer ID]],Table2[#All],6,FALSE)</f>
        <v>Yes</v>
      </c>
      <c r="H644">
        <f>VLOOKUP(Table2[[#This Row],[Customer ID]],Table2[#All],7,FALSE)</f>
        <v>1</v>
      </c>
      <c r="I644" t="str">
        <f>VLOOKUP(Table2[[#This Row],[Customer ID]],Table2[#All],8,FALSE)</f>
        <v>No</v>
      </c>
      <c r="J644" t="str">
        <f>VLOOKUP(Table2[[#This Row],[Customer ID]],Table2[#All],9,FALSE)</f>
        <v>Obesity</v>
      </c>
      <c r="K644" t="str">
        <f>VLOOKUP(Table2[[#This Row],[Customer ID]],Table2[#All],10,FALSE)</f>
        <v>Diabetes</v>
      </c>
    </row>
    <row r="645" spans="1:11" ht="15.6" x14ac:dyDescent="0.3">
      <c r="A645" s="1" t="s">
        <v>1727</v>
      </c>
      <c r="B645" t="str">
        <f>VLOOKUP('Customer Names'!A645,'Customer Names'!$A$1:$E$2336,4,FALSE)</f>
        <v>Mr.  Benoit</v>
      </c>
      <c r="C645">
        <f>VLOOKUP(Table2[[#This Row],[Customer ID]],Table2[#All],2,FALSE)</f>
        <v>40.44</v>
      </c>
      <c r="D645">
        <f>VLOOKUP(Table2[[#This Row],[Customer ID]],Table2[#All],3,FALSE)</f>
        <v>5.13</v>
      </c>
      <c r="E645" t="str">
        <f>VLOOKUP(Table2[[#This Row],[Customer ID]],Table2[#All],4,FALSE)</f>
        <v>Yes</v>
      </c>
      <c r="F645" t="str">
        <f>VLOOKUP(Table2[[#This Row],[Customer ID]],Table2[#All],5,FALSE)</f>
        <v>No</v>
      </c>
      <c r="G645" t="str">
        <f>VLOOKUP(Table2[[#This Row],[Customer ID]],Table2[#All],6,FALSE)</f>
        <v>Yes</v>
      </c>
      <c r="H645">
        <f>VLOOKUP(Table2[[#This Row],[Customer ID]],Table2[#All],7,FALSE)</f>
        <v>1</v>
      </c>
      <c r="I645" t="str">
        <f>VLOOKUP(Table2[[#This Row],[Customer ID]],Table2[#All],8,FALSE)</f>
        <v>No</v>
      </c>
      <c r="J645" t="str">
        <f>VLOOKUP(Table2[[#This Row],[Customer ID]],Table2[#All],9,FALSE)</f>
        <v>Obesity</v>
      </c>
      <c r="K645" t="str">
        <f>VLOOKUP(Table2[[#This Row],[Customer ID]],Table2[#All],10,FALSE)</f>
        <v>Normal</v>
      </c>
    </row>
    <row r="646" spans="1:11" ht="15.6" x14ac:dyDescent="0.3">
      <c r="A646" s="1" t="s">
        <v>1726</v>
      </c>
      <c r="B646" t="str">
        <f>VLOOKUP('Customer Names'!A646,'Customer Names'!$A$1:$E$2336,4,FALSE)</f>
        <v>Ms.  Elizabeth M.</v>
      </c>
      <c r="C646">
        <f>VLOOKUP(Table2[[#This Row],[Customer ID]],Table2[#All],2,FALSE)</f>
        <v>38.094999999999999</v>
      </c>
      <c r="D646">
        <f>VLOOKUP(Table2[[#This Row],[Customer ID]],Table2[#All],3,FALSE)</f>
        <v>10.199999999999999</v>
      </c>
      <c r="E646" t="str">
        <f>VLOOKUP(Table2[[#This Row],[Customer ID]],Table2[#All],4,FALSE)</f>
        <v>No</v>
      </c>
      <c r="F646" t="str">
        <f>VLOOKUP(Table2[[#This Row],[Customer ID]],Table2[#All],5,FALSE)</f>
        <v>No</v>
      </c>
      <c r="G646" t="str">
        <f>VLOOKUP(Table2[[#This Row],[Customer ID]],Table2[#All],6,FALSE)</f>
        <v>No</v>
      </c>
      <c r="H646">
        <f>VLOOKUP(Table2[[#This Row],[Customer ID]],Table2[#All],7,FALSE)</f>
        <v>0</v>
      </c>
      <c r="I646" t="str">
        <f>VLOOKUP(Table2[[#This Row],[Customer ID]],Table2[#All],8,FALSE)</f>
        <v>No</v>
      </c>
      <c r="J646" t="str">
        <f>VLOOKUP(Table2[[#This Row],[Customer ID]],Table2[#All],9,FALSE)</f>
        <v>Obesity</v>
      </c>
      <c r="K646" t="str">
        <f>VLOOKUP(Table2[[#This Row],[Customer ID]],Table2[#All],10,FALSE)</f>
        <v>Diabetes</v>
      </c>
    </row>
    <row r="647" spans="1:11" ht="15.6" x14ac:dyDescent="0.3">
      <c r="A647" s="1" t="s">
        <v>1725</v>
      </c>
      <c r="B647" t="str">
        <f>VLOOKUP('Customer Names'!A647,'Customer Names'!$A$1:$E$2336,4,FALSE)</f>
        <v>Ms.  Jessica A.</v>
      </c>
      <c r="C647">
        <f>VLOOKUP(Table2[[#This Row],[Customer ID]],Table2[#All],2,FALSE)</f>
        <v>44.95</v>
      </c>
      <c r="D647">
        <f>VLOOKUP(Table2[[#This Row],[Customer ID]],Table2[#All],3,FALSE)</f>
        <v>10.4</v>
      </c>
      <c r="E647" t="str">
        <f>VLOOKUP(Table2[[#This Row],[Customer ID]],Table2[#All],4,FALSE)</f>
        <v>No</v>
      </c>
      <c r="F647" t="str">
        <f>VLOOKUP(Table2[[#This Row],[Customer ID]],Table2[#All],5,FALSE)</f>
        <v>No</v>
      </c>
      <c r="G647" t="str">
        <f>VLOOKUP(Table2[[#This Row],[Customer ID]],Table2[#All],6,FALSE)</f>
        <v>No</v>
      </c>
      <c r="H647">
        <f>VLOOKUP(Table2[[#This Row],[Customer ID]],Table2[#All],7,FALSE)</f>
        <v>0</v>
      </c>
      <c r="I647" t="str">
        <f>VLOOKUP(Table2[[#This Row],[Customer ID]],Table2[#All],8,FALSE)</f>
        <v>No</v>
      </c>
      <c r="J647" t="str">
        <f>VLOOKUP(Table2[[#This Row],[Customer ID]],Table2[#All],9,FALSE)</f>
        <v>Obesity</v>
      </c>
      <c r="K647" t="str">
        <f>VLOOKUP(Table2[[#This Row],[Customer ID]],Table2[#All],10,FALSE)</f>
        <v>Diabetes</v>
      </c>
    </row>
    <row r="648" spans="1:11" ht="15.6" x14ac:dyDescent="0.3">
      <c r="A648" s="1" t="s">
        <v>1724</v>
      </c>
      <c r="B648" t="str">
        <f>VLOOKUP('Customer Names'!A648,'Customer Names'!$A$1:$E$2336,4,FALSE)</f>
        <v>Ms.  Monica K</v>
      </c>
      <c r="C648">
        <f>VLOOKUP(Table2[[#This Row],[Customer ID]],Table2[#All],2,FALSE)</f>
        <v>35.54</v>
      </c>
      <c r="D648">
        <f>VLOOKUP(Table2[[#This Row],[Customer ID]],Table2[#All],3,FALSE)</f>
        <v>10.67</v>
      </c>
      <c r="E648" t="str">
        <f>VLOOKUP(Table2[[#This Row],[Customer ID]],Table2[#All],4,FALSE)</f>
        <v>No</v>
      </c>
      <c r="F648" t="str">
        <f>VLOOKUP(Table2[[#This Row],[Customer ID]],Table2[#All],5,FALSE)</f>
        <v>No</v>
      </c>
      <c r="G648" t="str">
        <f>VLOOKUP(Table2[[#This Row],[Customer ID]],Table2[#All],6,FALSE)</f>
        <v>No</v>
      </c>
      <c r="H648">
        <f>VLOOKUP(Table2[[#This Row],[Customer ID]],Table2[#All],7,FALSE)</f>
        <v>0</v>
      </c>
      <c r="I648" t="str">
        <f>VLOOKUP(Table2[[#This Row],[Customer ID]],Table2[#All],8,FALSE)</f>
        <v>No</v>
      </c>
      <c r="J648" t="str">
        <f>VLOOKUP(Table2[[#This Row],[Customer ID]],Table2[#All],9,FALSE)</f>
        <v>Obesity</v>
      </c>
      <c r="K648" t="str">
        <f>VLOOKUP(Table2[[#This Row],[Customer ID]],Table2[#All],10,FALSE)</f>
        <v>Diabetes</v>
      </c>
    </row>
    <row r="649" spans="1:11" ht="15.6" x14ac:dyDescent="0.3">
      <c r="A649" s="1" t="s">
        <v>1723</v>
      </c>
      <c r="B649" t="str">
        <f>VLOOKUP('Customer Names'!A649,'Customer Names'!$A$1:$E$2336,4,FALSE)</f>
        <v>Mr.  Kevin L</v>
      </c>
      <c r="C649">
        <f>VLOOKUP(Table2[[#This Row],[Customer ID]],Table2[#All],2,FALSE)</f>
        <v>39.799999999999997</v>
      </c>
      <c r="D649">
        <f>VLOOKUP(Table2[[#This Row],[Customer ID]],Table2[#All],3,FALSE)</f>
        <v>4.6500000000000004</v>
      </c>
      <c r="E649" t="str">
        <f>VLOOKUP(Table2[[#This Row],[Customer ID]],Table2[#All],4,FALSE)</f>
        <v>Yes</v>
      </c>
      <c r="F649" t="str">
        <f>VLOOKUP(Table2[[#This Row],[Customer ID]],Table2[#All],5,FALSE)</f>
        <v>No</v>
      </c>
      <c r="G649" t="str">
        <f>VLOOKUP(Table2[[#This Row],[Customer ID]],Table2[#All],6,FALSE)</f>
        <v>No</v>
      </c>
      <c r="H649">
        <f>VLOOKUP(Table2[[#This Row],[Customer ID]],Table2[#All],7,FALSE)</f>
        <v>2</v>
      </c>
      <c r="I649" t="str">
        <f>VLOOKUP(Table2[[#This Row],[Customer ID]],Table2[#All],8,FALSE)</f>
        <v>No</v>
      </c>
      <c r="J649" t="str">
        <f>VLOOKUP(Table2[[#This Row],[Customer ID]],Table2[#All],9,FALSE)</f>
        <v>Obesity</v>
      </c>
      <c r="K649" t="str">
        <f>VLOOKUP(Table2[[#This Row],[Customer ID]],Table2[#All],10,FALSE)</f>
        <v>Normal</v>
      </c>
    </row>
    <row r="650" spans="1:11" ht="15.6" x14ac:dyDescent="0.3">
      <c r="A650" s="1" t="s">
        <v>1722</v>
      </c>
      <c r="B650" t="str">
        <f>VLOOKUP('Customer Names'!A650,'Customer Names'!$A$1:$E$2336,4,FALSE)</f>
        <v>Mr.  Gregory</v>
      </c>
      <c r="C650">
        <f>VLOOKUP(Table2[[#This Row],[Customer ID]],Table2[#All],2,FALSE)</f>
        <v>33.659999999999997</v>
      </c>
      <c r="D650">
        <f>VLOOKUP(Table2[[#This Row],[Customer ID]],Table2[#All],3,FALSE)</f>
        <v>5.65</v>
      </c>
      <c r="E650" t="str">
        <f>VLOOKUP(Table2[[#This Row],[Customer ID]],Table2[#All],4,FALSE)</f>
        <v>Yes</v>
      </c>
      <c r="F650" t="str">
        <f>VLOOKUP(Table2[[#This Row],[Customer ID]],Table2[#All],5,FALSE)</f>
        <v>No</v>
      </c>
      <c r="G650" t="str">
        <f>VLOOKUP(Table2[[#This Row],[Customer ID]],Table2[#All],6,FALSE)</f>
        <v>No</v>
      </c>
      <c r="H650">
        <f>VLOOKUP(Table2[[#This Row],[Customer ID]],Table2[#All],7,FALSE)</f>
        <v>2</v>
      </c>
      <c r="I650" t="str">
        <f>VLOOKUP(Table2[[#This Row],[Customer ID]],Table2[#All],8,FALSE)</f>
        <v>No</v>
      </c>
      <c r="J650" t="str">
        <f>VLOOKUP(Table2[[#This Row],[Customer ID]],Table2[#All],9,FALSE)</f>
        <v>Obesity</v>
      </c>
      <c r="K650" t="str">
        <f>VLOOKUP(Table2[[#This Row],[Customer ID]],Table2[#All],10,FALSE)</f>
        <v>Normal</v>
      </c>
    </row>
    <row r="651" spans="1:11" ht="15.6" x14ac:dyDescent="0.3">
      <c r="A651" s="1" t="s">
        <v>1721</v>
      </c>
      <c r="B651" t="str">
        <f>VLOOKUP('Customer Names'!A651,'Customer Names'!$A$1:$E$2336,4,FALSE)</f>
        <v>Ms.  Della</v>
      </c>
      <c r="C651">
        <f>VLOOKUP(Table2[[#This Row],[Customer ID]],Table2[#All],2,FALSE)</f>
        <v>35.5</v>
      </c>
      <c r="D651">
        <f>VLOOKUP(Table2[[#This Row],[Customer ID]],Table2[#All],3,FALSE)</f>
        <v>11.97</v>
      </c>
      <c r="E651" t="str">
        <f>VLOOKUP(Table2[[#This Row],[Customer ID]],Table2[#All],4,FALSE)</f>
        <v>No</v>
      </c>
      <c r="F651" t="str">
        <f>VLOOKUP(Table2[[#This Row],[Customer ID]],Table2[#All],5,FALSE)</f>
        <v>No</v>
      </c>
      <c r="G651" t="str">
        <f>VLOOKUP(Table2[[#This Row],[Customer ID]],Table2[#All],6,FALSE)</f>
        <v>No</v>
      </c>
      <c r="H651">
        <f>VLOOKUP(Table2[[#This Row],[Customer ID]],Table2[#All],7,FALSE)</f>
        <v>0</v>
      </c>
      <c r="I651" t="str">
        <f>VLOOKUP(Table2[[#This Row],[Customer ID]],Table2[#All],8,FALSE)</f>
        <v>No</v>
      </c>
      <c r="J651" t="str">
        <f>VLOOKUP(Table2[[#This Row],[Customer ID]],Table2[#All],9,FALSE)</f>
        <v>Obesity</v>
      </c>
      <c r="K651" t="str">
        <f>VLOOKUP(Table2[[#This Row],[Customer ID]],Table2[#All],10,FALSE)</f>
        <v>Diabetes</v>
      </c>
    </row>
    <row r="652" spans="1:11" ht="15.6" x14ac:dyDescent="0.3">
      <c r="A652" s="1" t="s">
        <v>1720</v>
      </c>
      <c r="B652" t="str">
        <f>VLOOKUP('Customer Names'!A652,'Customer Names'!$A$1:$E$2336,4,FALSE)</f>
        <v>Mr.  David</v>
      </c>
      <c r="C652">
        <f>VLOOKUP(Table2[[#This Row],[Customer ID]],Table2[#All],2,FALSE)</f>
        <v>41.63</v>
      </c>
      <c r="D652">
        <f>VLOOKUP(Table2[[#This Row],[Customer ID]],Table2[#All],3,FALSE)</f>
        <v>6.71</v>
      </c>
      <c r="E652" t="str">
        <f>VLOOKUP(Table2[[#This Row],[Customer ID]],Table2[#All],4,FALSE)</f>
        <v>No</v>
      </c>
      <c r="F652" t="str">
        <f>VLOOKUP(Table2[[#This Row],[Customer ID]],Table2[#All],5,FALSE)</f>
        <v>No</v>
      </c>
      <c r="G652" t="str">
        <f>VLOOKUP(Table2[[#This Row],[Customer ID]],Table2[#All],6,FALSE)</f>
        <v>No</v>
      </c>
      <c r="H652">
        <f>VLOOKUP(Table2[[#This Row],[Customer ID]],Table2[#All],7,FALSE)</f>
        <v>0</v>
      </c>
      <c r="I652" t="str">
        <f>VLOOKUP(Table2[[#This Row],[Customer ID]],Table2[#All],8,FALSE)</f>
        <v>No</v>
      </c>
      <c r="J652" t="str">
        <f>VLOOKUP(Table2[[#This Row],[Customer ID]],Table2[#All],9,FALSE)</f>
        <v>Obesity</v>
      </c>
      <c r="K652" t="str">
        <f>VLOOKUP(Table2[[#This Row],[Customer ID]],Table2[#All],10,FALSE)</f>
        <v>Diabetes</v>
      </c>
    </row>
    <row r="653" spans="1:11" ht="15.6" x14ac:dyDescent="0.3">
      <c r="A653" s="1" t="s">
        <v>1719</v>
      </c>
      <c r="B653" t="str">
        <f>VLOOKUP('Customer Names'!A653,'Customer Names'!$A$1:$E$2336,4,FALSE)</f>
        <v>Ms.  Victoria</v>
      </c>
      <c r="C653">
        <f>VLOOKUP(Table2[[#This Row],[Customer ID]],Table2[#All],2,FALSE)</f>
        <v>46.49</v>
      </c>
      <c r="D653">
        <f>VLOOKUP(Table2[[#This Row],[Customer ID]],Table2[#All],3,FALSE)</f>
        <v>11.92</v>
      </c>
      <c r="E653" t="str">
        <f>VLOOKUP(Table2[[#This Row],[Customer ID]],Table2[#All],4,FALSE)</f>
        <v>No</v>
      </c>
      <c r="F653" t="str">
        <f>VLOOKUP(Table2[[#This Row],[Customer ID]],Table2[#All],5,FALSE)</f>
        <v>No</v>
      </c>
      <c r="G653" t="str">
        <f>VLOOKUP(Table2[[#This Row],[Customer ID]],Table2[#All],6,FALSE)</f>
        <v>No</v>
      </c>
      <c r="H653">
        <f>VLOOKUP(Table2[[#This Row],[Customer ID]],Table2[#All],7,FALSE)</f>
        <v>0</v>
      </c>
      <c r="I653" t="str">
        <f>VLOOKUP(Table2[[#This Row],[Customer ID]],Table2[#All],8,FALSE)</f>
        <v>No</v>
      </c>
      <c r="J653" t="str">
        <f>VLOOKUP(Table2[[#This Row],[Customer ID]],Table2[#All],9,FALSE)</f>
        <v>Obesity</v>
      </c>
      <c r="K653" t="str">
        <f>VLOOKUP(Table2[[#This Row],[Customer ID]],Table2[#All],10,FALSE)</f>
        <v>Diabetes</v>
      </c>
    </row>
    <row r="654" spans="1:11" ht="15.6" x14ac:dyDescent="0.3">
      <c r="A654" s="1" t="s">
        <v>1718</v>
      </c>
      <c r="B654" t="str">
        <f>VLOOKUP('Customer Names'!A654,'Customer Names'!$A$1:$E$2336,4,FALSE)</f>
        <v>Mr.  Tasos</v>
      </c>
      <c r="C654">
        <f>VLOOKUP(Table2[[#This Row],[Customer ID]],Table2[#All],2,FALSE)</f>
        <v>43.29</v>
      </c>
      <c r="D654">
        <f>VLOOKUP(Table2[[#This Row],[Customer ID]],Table2[#All],3,FALSE)</f>
        <v>5.35</v>
      </c>
      <c r="E654" t="str">
        <f>VLOOKUP(Table2[[#This Row],[Customer ID]],Table2[#All],4,FALSE)</f>
        <v>No</v>
      </c>
      <c r="F654" t="str">
        <f>VLOOKUP(Table2[[#This Row],[Customer ID]],Table2[#All],5,FALSE)</f>
        <v>No</v>
      </c>
      <c r="G654" t="str">
        <f>VLOOKUP(Table2[[#This Row],[Customer ID]],Table2[#All],6,FALSE)</f>
        <v>No</v>
      </c>
      <c r="H654">
        <f>VLOOKUP(Table2[[#This Row],[Customer ID]],Table2[#All],7,FALSE)</f>
        <v>2</v>
      </c>
      <c r="I654" t="str">
        <f>VLOOKUP(Table2[[#This Row],[Customer ID]],Table2[#All],8,FALSE)</f>
        <v>No</v>
      </c>
      <c r="J654" t="str">
        <f>VLOOKUP(Table2[[#This Row],[Customer ID]],Table2[#All],9,FALSE)</f>
        <v>Obesity</v>
      </c>
      <c r="K654" t="str">
        <f>VLOOKUP(Table2[[#This Row],[Customer ID]],Table2[#All],10,FALSE)</f>
        <v>Normal</v>
      </c>
    </row>
    <row r="655" spans="1:11" ht="15.6" x14ac:dyDescent="0.3">
      <c r="A655" s="1" t="s">
        <v>1717</v>
      </c>
      <c r="B655" t="str">
        <f>VLOOKUP('Customer Names'!A655,'Customer Names'!$A$1:$E$2336,4,FALSE)</f>
        <v>Mr.  Thomas</v>
      </c>
      <c r="C655">
        <f>VLOOKUP(Table2[[#This Row],[Customer ID]],Table2[#All],2,FALSE)</f>
        <v>43.08</v>
      </c>
      <c r="D655">
        <f>VLOOKUP(Table2[[#This Row],[Customer ID]],Table2[#All],3,FALSE)</f>
        <v>8.9600000000000009</v>
      </c>
      <c r="E655" t="str">
        <f>VLOOKUP(Table2[[#This Row],[Customer ID]],Table2[#All],4,FALSE)</f>
        <v>Yes</v>
      </c>
      <c r="F655" t="str">
        <f>VLOOKUP(Table2[[#This Row],[Customer ID]],Table2[#All],5,FALSE)</f>
        <v>No</v>
      </c>
      <c r="G655" t="str">
        <f>VLOOKUP(Table2[[#This Row],[Customer ID]],Table2[#All],6,FALSE)</f>
        <v>No</v>
      </c>
      <c r="H655">
        <f>VLOOKUP(Table2[[#This Row],[Customer ID]],Table2[#All],7,FALSE)</f>
        <v>1</v>
      </c>
      <c r="I655" t="str">
        <f>VLOOKUP(Table2[[#This Row],[Customer ID]],Table2[#All],8,FALSE)</f>
        <v>No</v>
      </c>
      <c r="J655" t="str">
        <f>VLOOKUP(Table2[[#This Row],[Customer ID]],Table2[#All],9,FALSE)</f>
        <v>Obesity</v>
      </c>
      <c r="K655" t="str">
        <f>VLOOKUP(Table2[[#This Row],[Customer ID]],Table2[#All],10,FALSE)</f>
        <v>Diabetes</v>
      </c>
    </row>
    <row r="656" spans="1:11" ht="15.6" x14ac:dyDescent="0.3">
      <c r="A656" s="1" t="s">
        <v>1716</v>
      </c>
      <c r="B656" t="str">
        <f>VLOOKUP('Customer Names'!A656,'Customer Names'!$A$1:$E$2336,4,FALSE)</f>
        <v>Mr.  Lukasz</v>
      </c>
      <c r="C656">
        <f>VLOOKUP(Table2[[#This Row],[Customer ID]],Table2[#All],2,FALSE)</f>
        <v>39.07</v>
      </c>
      <c r="D656">
        <f>VLOOKUP(Table2[[#This Row],[Customer ID]],Table2[#All],3,FALSE)</f>
        <v>11.93</v>
      </c>
      <c r="E656" t="str">
        <f>VLOOKUP(Table2[[#This Row],[Customer ID]],Table2[#All],4,FALSE)</f>
        <v>No</v>
      </c>
      <c r="F656" t="str">
        <f>VLOOKUP(Table2[[#This Row],[Customer ID]],Table2[#All],5,FALSE)</f>
        <v>No</v>
      </c>
      <c r="G656" t="str">
        <f>VLOOKUP(Table2[[#This Row],[Customer ID]],Table2[#All],6,FALSE)</f>
        <v>No</v>
      </c>
      <c r="H656">
        <f>VLOOKUP(Table2[[#This Row],[Customer ID]],Table2[#All],7,FALSE)</f>
        <v>0</v>
      </c>
      <c r="I656" t="str">
        <f>VLOOKUP(Table2[[#This Row],[Customer ID]],Table2[#All],8,FALSE)</f>
        <v>No</v>
      </c>
      <c r="J656" t="str">
        <f>VLOOKUP(Table2[[#This Row],[Customer ID]],Table2[#All],9,FALSE)</f>
        <v>Obesity</v>
      </c>
      <c r="K656" t="str">
        <f>VLOOKUP(Table2[[#This Row],[Customer ID]],Table2[#All],10,FALSE)</f>
        <v>Diabetes</v>
      </c>
    </row>
    <row r="657" spans="1:11" ht="15.6" x14ac:dyDescent="0.3">
      <c r="A657" s="1" t="s">
        <v>1715</v>
      </c>
      <c r="B657" t="str">
        <f>VLOOKUP('Customer Names'!A657,'Customer Names'!$A$1:$E$2336,4,FALSE)</f>
        <v>Mr.  Matthew A.</v>
      </c>
      <c r="C657">
        <f>VLOOKUP(Table2[[#This Row],[Customer ID]],Table2[#All],2,FALSE)</f>
        <v>41.3</v>
      </c>
      <c r="D657">
        <f>VLOOKUP(Table2[[#This Row],[Customer ID]],Table2[#All],3,FALSE)</f>
        <v>9.59</v>
      </c>
      <c r="E657" t="str">
        <f>VLOOKUP(Table2[[#This Row],[Customer ID]],Table2[#All],4,FALSE)</f>
        <v>No</v>
      </c>
      <c r="F657" t="str">
        <f>VLOOKUP(Table2[[#This Row],[Customer ID]],Table2[#All],5,FALSE)</f>
        <v>No</v>
      </c>
      <c r="G657" t="str">
        <f>VLOOKUP(Table2[[#This Row],[Customer ID]],Table2[#All],6,FALSE)</f>
        <v>No</v>
      </c>
      <c r="H657">
        <f>VLOOKUP(Table2[[#This Row],[Customer ID]],Table2[#All],7,FALSE)</f>
        <v>0</v>
      </c>
      <c r="I657" t="str">
        <f>VLOOKUP(Table2[[#This Row],[Customer ID]],Table2[#All],8,FALSE)</f>
        <v>No</v>
      </c>
      <c r="J657" t="str">
        <f>VLOOKUP(Table2[[#This Row],[Customer ID]],Table2[#All],9,FALSE)</f>
        <v>Obesity</v>
      </c>
      <c r="K657" t="str">
        <f>VLOOKUP(Table2[[#This Row],[Customer ID]],Table2[#All],10,FALSE)</f>
        <v>Diabetes</v>
      </c>
    </row>
    <row r="658" spans="1:11" ht="15.6" x14ac:dyDescent="0.3">
      <c r="A658" s="1" t="s">
        <v>1714</v>
      </c>
      <c r="B658" t="str">
        <f>VLOOKUP('Customer Names'!A658,'Customer Names'!$A$1:$E$2336,4,FALSE)</f>
        <v>Ms.  Meta</v>
      </c>
      <c r="C658">
        <f>VLOOKUP(Table2[[#This Row],[Customer ID]],Table2[#All],2,FALSE)</f>
        <v>42.95</v>
      </c>
      <c r="D658">
        <f>VLOOKUP(Table2[[#This Row],[Customer ID]],Table2[#All],3,FALSE)</f>
        <v>11.88</v>
      </c>
      <c r="E658" t="str">
        <f>VLOOKUP(Table2[[#This Row],[Customer ID]],Table2[#All],4,FALSE)</f>
        <v>Yes</v>
      </c>
      <c r="F658" t="str">
        <f>VLOOKUP(Table2[[#This Row],[Customer ID]],Table2[#All],5,FALSE)</f>
        <v>No</v>
      </c>
      <c r="G658" t="str">
        <f>VLOOKUP(Table2[[#This Row],[Customer ID]],Table2[#All],6,FALSE)</f>
        <v>No</v>
      </c>
      <c r="H658">
        <f>VLOOKUP(Table2[[#This Row],[Customer ID]],Table2[#All],7,FALSE)</f>
        <v>2</v>
      </c>
      <c r="I658" t="str">
        <f>VLOOKUP(Table2[[#This Row],[Customer ID]],Table2[#All],8,FALSE)</f>
        <v>No</v>
      </c>
      <c r="J658" t="str">
        <f>VLOOKUP(Table2[[#This Row],[Customer ID]],Table2[#All],9,FALSE)</f>
        <v>Obesity</v>
      </c>
      <c r="K658" t="str">
        <f>VLOOKUP(Table2[[#This Row],[Customer ID]],Table2[#All],10,FALSE)</f>
        <v>Diabetes</v>
      </c>
    </row>
    <row r="659" spans="1:11" ht="15.6" x14ac:dyDescent="0.3">
      <c r="A659" s="1" t="s">
        <v>1713</v>
      </c>
      <c r="B659" t="str">
        <f>VLOOKUP('Customer Names'!A659,'Customer Names'!$A$1:$E$2336,4,FALSE)</f>
        <v>Ms.  Rachel E</v>
      </c>
      <c r="C659">
        <f>VLOOKUP(Table2[[#This Row],[Customer ID]],Table2[#All],2,FALSE)</f>
        <v>46.96</v>
      </c>
      <c r="D659">
        <f>VLOOKUP(Table2[[#This Row],[Customer ID]],Table2[#All],3,FALSE)</f>
        <v>4.6399999999999997</v>
      </c>
      <c r="E659" t="str">
        <f>VLOOKUP(Table2[[#This Row],[Customer ID]],Table2[#All],4,FALSE)</f>
        <v>No</v>
      </c>
      <c r="F659" t="str">
        <f>VLOOKUP(Table2[[#This Row],[Customer ID]],Table2[#All],5,FALSE)</f>
        <v>No</v>
      </c>
      <c r="G659" t="str">
        <f>VLOOKUP(Table2[[#This Row],[Customer ID]],Table2[#All],6,FALSE)</f>
        <v>Yes</v>
      </c>
      <c r="H659">
        <f>VLOOKUP(Table2[[#This Row],[Customer ID]],Table2[#All],7,FALSE)</f>
        <v>1</v>
      </c>
      <c r="I659" t="str">
        <f>VLOOKUP(Table2[[#This Row],[Customer ID]],Table2[#All],8,FALSE)</f>
        <v>No</v>
      </c>
      <c r="J659" t="str">
        <f>VLOOKUP(Table2[[#This Row],[Customer ID]],Table2[#All],9,FALSE)</f>
        <v>Obesity</v>
      </c>
      <c r="K659" t="str">
        <f>VLOOKUP(Table2[[#This Row],[Customer ID]],Table2[#All],10,FALSE)</f>
        <v>Normal</v>
      </c>
    </row>
    <row r="660" spans="1:11" ht="15.6" x14ac:dyDescent="0.3">
      <c r="A660" s="1" t="s">
        <v>1712</v>
      </c>
      <c r="B660" t="str">
        <f>VLOOKUP('Customer Names'!A660,'Customer Names'!$A$1:$E$2336,4,FALSE)</f>
        <v>Ms.  Angelica</v>
      </c>
      <c r="C660">
        <f>VLOOKUP(Table2[[#This Row],[Customer ID]],Table2[#All],2,FALSE)</f>
        <v>30.495000000000001</v>
      </c>
      <c r="D660">
        <f>VLOOKUP(Table2[[#This Row],[Customer ID]],Table2[#All],3,FALSE)</f>
        <v>9.5299999999999994</v>
      </c>
      <c r="E660" t="str">
        <f>VLOOKUP(Table2[[#This Row],[Customer ID]],Table2[#All],4,FALSE)</f>
        <v>No</v>
      </c>
      <c r="F660" t="str">
        <f>VLOOKUP(Table2[[#This Row],[Customer ID]],Table2[#All],5,FALSE)</f>
        <v>No</v>
      </c>
      <c r="G660" t="str">
        <f>VLOOKUP(Table2[[#This Row],[Customer ID]],Table2[#All],6,FALSE)</f>
        <v>No</v>
      </c>
      <c r="H660">
        <f>VLOOKUP(Table2[[#This Row],[Customer ID]],Table2[#All],7,FALSE)</f>
        <v>0</v>
      </c>
      <c r="I660" t="str">
        <f>VLOOKUP(Table2[[#This Row],[Customer ID]],Table2[#All],8,FALSE)</f>
        <v>No</v>
      </c>
      <c r="J660" t="str">
        <f>VLOOKUP(Table2[[#This Row],[Customer ID]],Table2[#All],9,FALSE)</f>
        <v>Obesity</v>
      </c>
      <c r="K660" t="str">
        <f>VLOOKUP(Table2[[#This Row],[Customer ID]],Table2[#All],10,FALSE)</f>
        <v>Diabetes</v>
      </c>
    </row>
    <row r="661" spans="1:11" ht="15.6" x14ac:dyDescent="0.3">
      <c r="A661" s="1" t="s">
        <v>1711</v>
      </c>
      <c r="B661" t="str">
        <f>VLOOKUP('Customer Names'!A661,'Customer Names'!$A$1:$E$2336,4,FALSE)</f>
        <v>Ms.  Kathleen</v>
      </c>
      <c r="C661">
        <f>VLOOKUP(Table2[[#This Row],[Customer ID]],Table2[#All],2,FALSE)</f>
        <v>17.954999999999998</v>
      </c>
      <c r="D661">
        <f>VLOOKUP(Table2[[#This Row],[Customer ID]],Table2[#All],3,FALSE)</f>
        <v>5.29</v>
      </c>
      <c r="E661" t="str">
        <f>VLOOKUP(Table2[[#This Row],[Customer ID]],Table2[#All],4,FALSE)</f>
        <v>Yes</v>
      </c>
      <c r="F661" t="str">
        <f>VLOOKUP(Table2[[#This Row],[Customer ID]],Table2[#All],5,FALSE)</f>
        <v>No</v>
      </c>
      <c r="G661" t="str">
        <f>VLOOKUP(Table2[[#This Row],[Customer ID]],Table2[#All],6,FALSE)</f>
        <v>No</v>
      </c>
      <c r="H661">
        <f>VLOOKUP(Table2[[#This Row],[Customer ID]],Table2[#All],7,FALSE)</f>
        <v>1</v>
      </c>
      <c r="I661" t="str">
        <f>VLOOKUP(Table2[[#This Row],[Customer ID]],Table2[#All],8,FALSE)</f>
        <v>Yes</v>
      </c>
      <c r="J661" t="str">
        <f>VLOOKUP(Table2[[#This Row],[Customer ID]],Table2[#All],9,FALSE)</f>
        <v>Underweight</v>
      </c>
      <c r="K661" t="str">
        <f>VLOOKUP(Table2[[#This Row],[Customer ID]],Table2[#All],10,FALSE)</f>
        <v>Normal</v>
      </c>
    </row>
    <row r="662" spans="1:11" ht="15.6" x14ac:dyDescent="0.3">
      <c r="A662" s="1" t="s">
        <v>1710</v>
      </c>
      <c r="B662" t="str">
        <f>VLOOKUP('Customer Names'!A662,'Customer Names'!$A$1:$E$2336,4,FALSE)</f>
        <v>Mr.  Gabriel D.</v>
      </c>
      <c r="C662">
        <f>VLOOKUP(Table2[[#This Row],[Customer ID]],Table2[#All],2,FALSE)</f>
        <v>25.6</v>
      </c>
      <c r="D662">
        <f>VLOOKUP(Table2[[#This Row],[Customer ID]],Table2[#All],3,FALSE)</f>
        <v>10.95</v>
      </c>
      <c r="E662" t="str">
        <f>VLOOKUP(Table2[[#This Row],[Customer ID]],Table2[#All],4,FALSE)</f>
        <v>No</v>
      </c>
      <c r="F662" t="str">
        <f>VLOOKUP(Table2[[#This Row],[Customer ID]],Table2[#All],5,FALSE)</f>
        <v>No</v>
      </c>
      <c r="G662" t="str">
        <f>VLOOKUP(Table2[[#This Row],[Customer ID]],Table2[#All],6,FALSE)</f>
        <v>No</v>
      </c>
      <c r="H662">
        <f>VLOOKUP(Table2[[#This Row],[Customer ID]],Table2[#All],7,FALSE)</f>
        <v>3</v>
      </c>
      <c r="I662" t="str">
        <f>VLOOKUP(Table2[[#This Row],[Customer ID]],Table2[#All],8,FALSE)</f>
        <v>No</v>
      </c>
      <c r="J662" t="str">
        <f>VLOOKUP(Table2[[#This Row],[Customer ID]],Table2[#All],9,FALSE)</f>
        <v>Overweight</v>
      </c>
      <c r="K662" t="str">
        <f>VLOOKUP(Table2[[#This Row],[Customer ID]],Table2[#All],10,FALSE)</f>
        <v>Diabetes</v>
      </c>
    </row>
    <row r="663" spans="1:11" ht="15.6" x14ac:dyDescent="0.3">
      <c r="A663" s="1" t="s">
        <v>1709</v>
      </c>
      <c r="B663" t="str">
        <f>VLOOKUP('Customer Names'!A663,'Customer Names'!$A$1:$E$2336,4,FALSE)</f>
        <v>Mr.  Jeff T</v>
      </c>
      <c r="C663">
        <f>VLOOKUP(Table2[[#This Row],[Customer ID]],Table2[#All],2,FALSE)</f>
        <v>34.21</v>
      </c>
      <c r="D663">
        <f>VLOOKUP(Table2[[#This Row],[Customer ID]],Table2[#All],3,FALSE)</f>
        <v>9.17</v>
      </c>
      <c r="E663" t="str">
        <f>VLOOKUP(Table2[[#This Row],[Customer ID]],Table2[#All],4,FALSE)</f>
        <v>No</v>
      </c>
      <c r="F663" t="str">
        <f>VLOOKUP(Table2[[#This Row],[Customer ID]],Table2[#All],5,FALSE)</f>
        <v>No</v>
      </c>
      <c r="G663" t="str">
        <f>VLOOKUP(Table2[[#This Row],[Customer ID]],Table2[#All],6,FALSE)</f>
        <v>No</v>
      </c>
      <c r="H663">
        <f>VLOOKUP(Table2[[#This Row],[Customer ID]],Table2[#All],7,FALSE)</f>
        <v>0</v>
      </c>
      <c r="I663" t="str">
        <f>VLOOKUP(Table2[[#This Row],[Customer ID]],Table2[#All],8,FALSE)</f>
        <v>No</v>
      </c>
      <c r="J663" t="str">
        <f>VLOOKUP(Table2[[#This Row],[Customer ID]],Table2[#All],9,FALSE)</f>
        <v>Obesity</v>
      </c>
      <c r="K663" t="str">
        <f>VLOOKUP(Table2[[#This Row],[Customer ID]],Table2[#All],10,FALSE)</f>
        <v>Diabetes</v>
      </c>
    </row>
    <row r="664" spans="1:11" ht="15.6" x14ac:dyDescent="0.3">
      <c r="A664" s="1" t="s">
        <v>1708</v>
      </c>
      <c r="B664" t="str">
        <f>VLOOKUP('Customer Names'!A664,'Customer Names'!$A$1:$E$2336,4,FALSE)</f>
        <v>Mr.  Neil D</v>
      </c>
      <c r="C664">
        <f>VLOOKUP(Table2[[#This Row],[Customer ID]],Table2[#All],2,FALSE)</f>
        <v>39.74</v>
      </c>
      <c r="D664">
        <f>VLOOKUP(Table2[[#This Row],[Customer ID]],Table2[#All],3,FALSE)</f>
        <v>7.39</v>
      </c>
      <c r="E664" t="str">
        <f>VLOOKUP(Table2[[#This Row],[Customer ID]],Table2[#All],4,FALSE)</f>
        <v>No</v>
      </c>
      <c r="F664" t="str">
        <f>VLOOKUP(Table2[[#This Row],[Customer ID]],Table2[#All],5,FALSE)</f>
        <v>No</v>
      </c>
      <c r="G664" t="str">
        <f>VLOOKUP(Table2[[#This Row],[Customer ID]],Table2[#All],6,FALSE)</f>
        <v>No</v>
      </c>
      <c r="H664">
        <f>VLOOKUP(Table2[[#This Row],[Customer ID]],Table2[#All],7,FALSE)</f>
        <v>0</v>
      </c>
      <c r="I664" t="str">
        <f>VLOOKUP(Table2[[#This Row],[Customer ID]],Table2[#All],8,FALSE)</f>
        <v>No</v>
      </c>
      <c r="J664" t="str">
        <f>VLOOKUP(Table2[[#This Row],[Customer ID]],Table2[#All],9,FALSE)</f>
        <v>Obesity</v>
      </c>
      <c r="K664" t="str">
        <f>VLOOKUP(Table2[[#This Row],[Customer ID]],Table2[#All],10,FALSE)</f>
        <v>Diabetes</v>
      </c>
    </row>
    <row r="665" spans="1:11" ht="15.6" x14ac:dyDescent="0.3">
      <c r="A665" s="1" t="s">
        <v>1707</v>
      </c>
      <c r="B665" t="str">
        <f>VLOOKUP('Customer Names'!A665,'Customer Names'!$A$1:$E$2336,4,FALSE)</f>
        <v>Ms.  Katherine L.</v>
      </c>
      <c r="C665">
        <f>VLOOKUP(Table2[[#This Row],[Customer ID]],Table2[#All],2,FALSE)</f>
        <v>49.53</v>
      </c>
      <c r="D665">
        <f>VLOOKUP(Table2[[#This Row],[Customer ID]],Table2[#All],3,FALSE)</f>
        <v>9.1300000000000008</v>
      </c>
      <c r="E665" t="str">
        <f>VLOOKUP(Table2[[#This Row],[Customer ID]],Table2[#All],4,FALSE)</f>
        <v>Yes</v>
      </c>
      <c r="F665" t="str">
        <f>VLOOKUP(Table2[[#This Row],[Customer ID]],Table2[#All],5,FALSE)</f>
        <v>No</v>
      </c>
      <c r="G665" t="str">
        <f>VLOOKUP(Table2[[#This Row],[Customer ID]],Table2[#All],6,FALSE)</f>
        <v>No</v>
      </c>
      <c r="H665">
        <f>VLOOKUP(Table2[[#This Row],[Customer ID]],Table2[#All],7,FALSE)</f>
        <v>0</v>
      </c>
      <c r="I665" t="str">
        <f>VLOOKUP(Table2[[#This Row],[Customer ID]],Table2[#All],8,FALSE)</f>
        <v>No</v>
      </c>
      <c r="J665" t="str">
        <f>VLOOKUP(Table2[[#This Row],[Customer ID]],Table2[#All],9,FALSE)</f>
        <v>Obesity</v>
      </c>
      <c r="K665" t="str">
        <f>VLOOKUP(Table2[[#This Row],[Customer ID]],Table2[#All],10,FALSE)</f>
        <v>Diabetes</v>
      </c>
    </row>
    <row r="666" spans="1:11" ht="15.6" x14ac:dyDescent="0.3">
      <c r="A666" s="1" t="s">
        <v>1706</v>
      </c>
      <c r="B666" t="str">
        <f>VLOOKUP('Customer Names'!A666,'Customer Names'!$A$1:$E$2336,4,FALSE)</f>
        <v>Ms.  Ariel E</v>
      </c>
      <c r="C666">
        <f>VLOOKUP(Table2[[#This Row],[Customer ID]],Table2[#All],2,FALSE)</f>
        <v>39.33</v>
      </c>
      <c r="D666">
        <f>VLOOKUP(Table2[[#This Row],[Customer ID]],Table2[#All],3,FALSE)</f>
        <v>10.4</v>
      </c>
      <c r="E666" t="str">
        <f>VLOOKUP(Table2[[#This Row],[Customer ID]],Table2[#All],4,FALSE)</f>
        <v>No</v>
      </c>
      <c r="F666" t="str">
        <f>VLOOKUP(Table2[[#This Row],[Customer ID]],Table2[#All],5,FALSE)</f>
        <v>No</v>
      </c>
      <c r="G666" t="str">
        <f>VLOOKUP(Table2[[#This Row],[Customer ID]],Table2[#All],6,FALSE)</f>
        <v>No</v>
      </c>
      <c r="H666">
        <f>VLOOKUP(Table2[[#This Row],[Customer ID]],Table2[#All],7,FALSE)</f>
        <v>3</v>
      </c>
      <c r="I666" t="str">
        <f>VLOOKUP(Table2[[#This Row],[Customer ID]],Table2[#All],8,FALSE)</f>
        <v>No</v>
      </c>
      <c r="J666" t="str">
        <f>VLOOKUP(Table2[[#This Row],[Customer ID]],Table2[#All],9,FALSE)</f>
        <v>Obesity</v>
      </c>
      <c r="K666" t="str">
        <f>VLOOKUP(Table2[[#This Row],[Customer ID]],Table2[#All],10,FALSE)</f>
        <v>Diabetes</v>
      </c>
    </row>
    <row r="667" spans="1:11" ht="15.6" x14ac:dyDescent="0.3">
      <c r="A667" s="1" t="s">
        <v>1705</v>
      </c>
      <c r="B667" t="str">
        <f>VLOOKUP('Customer Names'!A667,'Customer Names'!$A$1:$E$2336,4,FALSE)</f>
        <v>Mr.  Christopher P</v>
      </c>
      <c r="C667">
        <f>VLOOKUP(Table2[[#This Row],[Customer ID]],Table2[#All],2,FALSE)</f>
        <v>39.979999999999997</v>
      </c>
      <c r="D667">
        <f>VLOOKUP(Table2[[#This Row],[Customer ID]],Table2[#All],3,FALSE)</f>
        <v>9.4600000000000009</v>
      </c>
      <c r="E667" t="str">
        <f>VLOOKUP(Table2[[#This Row],[Customer ID]],Table2[#All],4,FALSE)</f>
        <v>Yes</v>
      </c>
      <c r="F667" t="str">
        <f>VLOOKUP(Table2[[#This Row],[Customer ID]],Table2[#All],5,FALSE)</f>
        <v>No</v>
      </c>
      <c r="G667" t="str">
        <f>VLOOKUP(Table2[[#This Row],[Customer ID]],Table2[#All],6,FALSE)</f>
        <v>No</v>
      </c>
      <c r="H667">
        <f>VLOOKUP(Table2[[#This Row],[Customer ID]],Table2[#All],7,FALSE)</f>
        <v>2</v>
      </c>
      <c r="I667" t="str">
        <f>VLOOKUP(Table2[[#This Row],[Customer ID]],Table2[#All],8,FALSE)</f>
        <v>No</v>
      </c>
      <c r="J667" t="str">
        <f>VLOOKUP(Table2[[#This Row],[Customer ID]],Table2[#All],9,FALSE)</f>
        <v>Obesity</v>
      </c>
      <c r="K667" t="str">
        <f>VLOOKUP(Table2[[#This Row],[Customer ID]],Table2[#All],10,FALSE)</f>
        <v>Diabetes</v>
      </c>
    </row>
    <row r="668" spans="1:11" ht="15.6" x14ac:dyDescent="0.3">
      <c r="A668" s="1" t="s">
        <v>1704</v>
      </c>
      <c r="B668" t="str">
        <f>VLOOKUP('Customer Names'!A668,'Customer Names'!$A$1:$E$2336,4,FALSE)</f>
        <v>Mrs.  Erin M.</v>
      </c>
      <c r="C668">
        <f>VLOOKUP(Table2[[#This Row],[Customer ID]],Table2[#All],2,FALSE)</f>
        <v>46.51</v>
      </c>
      <c r="D668">
        <f>VLOOKUP(Table2[[#This Row],[Customer ID]],Table2[#All],3,FALSE)</f>
        <v>8.69</v>
      </c>
      <c r="E668" t="str">
        <f>VLOOKUP(Table2[[#This Row],[Customer ID]],Table2[#All],4,FALSE)</f>
        <v>Yes</v>
      </c>
      <c r="F668" t="str">
        <f>VLOOKUP(Table2[[#This Row],[Customer ID]],Table2[#All],5,FALSE)</f>
        <v>No</v>
      </c>
      <c r="G668" t="str">
        <f>VLOOKUP(Table2[[#This Row],[Customer ID]],Table2[#All],6,FALSE)</f>
        <v>No</v>
      </c>
      <c r="H668">
        <f>VLOOKUP(Table2[[#This Row],[Customer ID]],Table2[#All],7,FALSE)</f>
        <v>0</v>
      </c>
      <c r="I668" t="str">
        <f>VLOOKUP(Table2[[#This Row],[Customer ID]],Table2[#All],8,FALSE)</f>
        <v>No</v>
      </c>
      <c r="J668" t="str">
        <f>VLOOKUP(Table2[[#This Row],[Customer ID]],Table2[#All],9,FALSE)</f>
        <v>Obesity</v>
      </c>
      <c r="K668" t="str">
        <f>VLOOKUP(Table2[[#This Row],[Customer ID]],Table2[#All],10,FALSE)</f>
        <v>Diabetes</v>
      </c>
    </row>
    <row r="669" spans="1:11" ht="15.6" x14ac:dyDescent="0.3">
      <c r="A669" s="1" t="s">
        <v>1703</v>
      </c>
      <c r="B669" t="str">
        <f>VLOOKUP('Customer Names'!A669,'Customer Names'!$A$1:$E$2336,4,FALSE)</f>
        <v>Mrs.  Molly K.</v>
      </c>
      <c r="C669">
        <f>VLOOKUP(Table2[[#This Row],[Customer ID]],Table2[#All],2,FALSE)</f>
        <v>43.58</v>
      </c>
      <c r="D669">
        <f>VLOOKUP(Table2[[#This Row],[Customer ID]],Table2[#All],3,FALSE)</f>
        <v>4.2300000000000004</v>
      </c>
      <c r="E669" t="str">
        <f>VLOOKUP(Table2[[#This Row],[Customer ID]],Table2[#All],4,FALSE)</f>
        <v>No</v>
      </c>
      <c r="F669" t="str">
        <f>VLOOKUP(Table2[[#This Row],[Customer ID]],Table2[#All],5,FALSE)</f>
        <v>No</v>
      </c>
      <c r="G669" t="str">
        <f>VLOOKUP(Table2[[#This Row],[Customer ID]],Table2[#All],6,FALSE)</f>
        <v>Yes</v>
      </c>
      <c r="H669">
        <f>VLOOKUP(Table2[[#This Row],[Customer ID]],Table2[#All],7,FALSE)</f>
        <v>1</v>
      </c>
      <c r="I669" t="str">
        <f>VLOOKUP(Table2[[#This Row],[Customer ID]],Table2[#All],8,FALSE)</f>
        <v>No</v>
      </c>
      <c r="J669" t="str">
        <f>VLOOKUP(Table2[[#This Row],[Customer ID]],Table2[#All],9,FALSE)</f>
        <v>Obesity</v>
      </c>
      <c r="K669" t="str">
        <f>VLOOKUP(Table2[[#This Row],[Customer ID]],Table2[#All],10,FALSE)</f>
        <v>Normal</v>
      </c>
    </row>
    <row r="670" spans="1:11" ht="15.6" x14ac:dyDescent="0.3">
      <c r="A670" s="1" t="s">
        <v>1702</v>
      </c>
      <c r="B670" t="str">
        <f>VLOOKUP('Customer Names'!A670,'Customer Names'!$A$1:$E$2336,4,FALSE)</f>
        <v>Mr.  Ryan J.</v>
      </c>
      <c r="C670">
        <f>VLOOKUP(Table2[[#This Row],[Customer ID]],Table2[#All],2,FALSE)</f>
        <v>42.28</v>
      </c>
      <c r="D670">
        <f>VLOOKUP(Table2[[#This Row],[Customer ID]],Table2[#All],3,FALSE)</f>
        <v>9.16</v>
      </c>
      <c r="E670" t="str">
        <f>VLOOKUP(Table2[[#This Row],[Customer ID]],Table2[#All],4,FALSE)</f>
        <v>Yes</v>
      </c>
      <c r="F670" t="str">
        <f>VLOOKUP(Table2[[#This Row],[Customer ID]],Table2[#All],5,FALSE)</f>
        <v>No</v>
      </c>
      <c r="G670" t="str">
        <f>VLOOKUP(Table2[[#This Row],[Customer ID]],Table2[#All],6,FALSE)</f>
        <v>No</v>
      </c>
      <c r="H670">
        <f>VLOOKUP(Table2[[#This Row],[Customer ID]],Table2[#All],7,FALSE)</f>
        <v>1</v>
      </c>
      <c r="I670" t="str">
        <f>VLOOKUP(Table2[[#This Row],[Customer ID]],Table2[#All],8,FALSE)</f>
        <v>No</v>
      </c>
      <c r="J670" t="str">
        <f>VLOOKUP(Table2[[#This Row],[Customer ID]],Table2[#All],9,FALSE)</f>
        <v>Obesity</v>
      </c>
      <c r="K670" t="str">
        <f>VLOOKUP(Table2[[#This Row],[Customer ID]],Table2[#All],10,FALSE)</f>
        <v>Diabetes</v>
      </c>
    </row>
    <row r="671" spans="1:11" ht="15.6" x14ac:dyDescent="0.3">
      <c r="A671" s="1" t="s">
        <v>1701</v>
      </c>
      <c r="B671" t="str">
        <f>VLOOKUP('Customer Names'!A671,'Customer Names'!$A$1:$E$2336,4,FALSE)</f>
        <v>Mrs.  Jennifer</v>
      </c>
      <c r="C671">
        <f>VLOOKUP(Table2[[#This Row],[Customer ID]],Table2[#All],2,FALSE)</f>
        <v>35.520000000000003</v>
      </c>
      <c r="D671">
        <f>VLOOKUP(Table2[[#This Row],[Customer ID]],Table2[#All],3,FALSE)</f>
        <v>8.26</v>
      </c>
      <c r="E671" t="str">
        <f>VLOOKUP(Table2[[#This Row],[Customer ID]],Table2[#All],4,FALSE)</f>
        <v>No</v>
      </c>
      <c r="F671" t="str">
        <f>VLOOKUP(Table2[[#This Row],[Customer ID]],Table2[#All],5,FALSE)</f>
        <v>No</v>
      </c>
      <c r="G671" t="str">
        <f>VLOOKUP(Table2[[#This Row],[Customer ID]],Table2[#All],6,FALSE)</f>
        <v>No</v>
      </c>
      <c r="H671">
        <f>VLOOKUP(Table2[[#This Row],[Customer ID]],Table2[#All],7,FALSE)</f>
        <v>0</v>
      </c>
      <c r="I671" t="str">
        <f>VLOOKUP(Table2[[#This Row],[Customer ID]],Table2[#All],8,FALSE)</f>
        <v>No</v>
      </c>
      <c r="J671" t="str">
        <f>VLOOKUP(Table2[[#This Row],[Customer ID]],Table2[#All],9,FALSE)</f>
        <v>Obesity</v>
      </c>
      <c r="K671" t="str">
        <f>VLOOKUP(Table2[[#This Row],[Customer ID]],Table2[#All],10,FALSE)</f>
        <v>Diabetes</v>
      </c>
    </row>
    <row r="672" spans="1:11" ht="15.6" x14ac:dyDescent="0.3">
      <c r="A672" s="1" t="s">
        <v>1700</v>
      </c>
      <c r="B672" t="str">
        <f>VLOOKUP('Customer Names'!A672,'Customer Names'!$A$1:$E$2336,4,FALSE)</f>
        <v>Mr.  Daniel M</v>
      </c>
      <c r="C672">
        <f>VLOOKUP(Table2[[#This Row],[Customer ID]],Table2[#All],2,FALSE)</f>
        <v>33.6</v>
      </c>
      <c r="D672">
        <f>VLOOKUP(Table2[[#This Row],[Customer ID]],Table2[#All],3,FALSE)</f>
        <v>11.25</v>
      </c>
      <c r="E672" t="str">
        <f>VLOOKUP(Table2[[#This Row],[Customer ID]],Table2[#All],4,FALSE)</f>
        <v>No</v>
      </c>
      <c r="F672" t="str">
        <f>VLOOKUP(Table2[[#This Row],[Customer ID]],Table2[#All],5,FALSE)</f>
        <v>No</v>
      </c>
      <c r="G672" t="str">
        <f>VLOOKUP(Table2[[#This Row],[Customer ID]],Table2[#All],6,FALSE)</f>
        <v>No</v>
      </c>
      <c r="H672">
        <f>VLOOKUP(Table2[[#This Row],[Customer ID]],Table2[#All],7,FALSE)</f>
        <v>0</v>
      </c>
      <c r="I672" t="str">
        <f>VLOOKUP(Table2[[#This Row],[Customer ID]],Table2[#All],8,FALSE)</f>
        <v>No</v>
      </c>
      <c r="J672" t="str">
        <f>VLOOKUP(Table2[[#This Row],[Customer ID]],Table2[#All],9,FALSE)</f>
        <v>Obesity</v>
      </c>
      <c r="K672" t="str">
        <f>VLOOKUP(Table2[[#This Row],[Customer ID]],Table2[#All],10,FALSE)</f>
        <v>Diabetes</v>
      </c>
    </row>
    <row r="673" spans="1:11" ht="15.6" x14ac:dyDescent="0.3">
      <c r="A673" s="1" t="s">
        <v>1699</v>
      </c>
      <c r="B673" t="str">
        <f>VLOOKUP('Customer Names'!A673,'Customer Names'!$A$1:$E$2336,4,FALSE)</f>
        <v>Ms.  Hiruni</v>
      </c>
      <c r="C673">
        <f>VLOOKUP(Table2[[#This Row],[Customer ID]],Table2[#All],2,FALSE)</f>
        <v>22.42</v>
      </c>
      <c r="D673">
        <f>VLOOKUP(Table2[[#This Row],[Customer ID]],Table2[#All],3,FALSE)</f>
        <v>6.74</v>
      </c>
      <c r="E673" t="str">
        <f>VLOOKUP(Table2[[#This Row],[Customer ID]],Table2[#All],4,FALSE)</f>
        <v>No</v>
      </c>
      <c r="F673" t="str">
        <f>VLOOKUP(Table2[[#This Row],[Customer ID]],Table2[#All],5,FALSE)</f>
        <v>No</v>
      </c>
      <c r="G673" t="str">
        <f>VLOOKUP(Table2[[#This Row],[Customer ID]],Table2[#All],6,FALSE)</f>
        <v>No</v>
      </c>
      <c r="H673">
        <f>VLOOKUP(Table2[[#This Row],[Customer ID]],Table2[#All],7,FALSE)</f>
        <v>0</v>
      </c>
      <c r="I673" t="str">
        <f>VLOOKUP(Table2[[#This Row],[Customer ID]],Table2[#All],8,FALSE)</f>
        <v>Yes</v>
      </c>
      <c r="J673" t="str">
        <f>VLOOKUP(Table2[[#This Row],[Customer ID]],Table2[#All],9,FALSE)</f>
        <v>Normalweight</v>
      </c>
      <c r="K673" t="str">
        <f>VLOOKUP(Table2[[#This Row],[Customer ID]],Table2[#All],10,FALSE)</f>
        <v>Diabetes</v>
      </c>
    </row>
    <row r="674" spans="1:11" ht="15.6" x14ac:dyDescent="0.3">
      <c r="A674" s="1" t="s">
        <v>1698</v>
      </c>
      <c r="B674" t="str">
        <f>VLOOKUP('Customer Names'!A674,'Customer Names'!$A$1:$E$2336,4,FALSE)</f>
        <v>Ms.  Reina H.</v>
      </c>
      <c r="C674">
        <f>VLOOKUP(Table2[[#This Row],[Customer ID]],Table2[#All],2,FALSE)</f>
        <v>46.86</v>
      </c>
      <c r="D674">
        <f>VLOOKUP(Table2[[#This Row],[Customer ID]],Table2[#All],3,FALSE)</f>
        <v>4.87</v>
      </c>
      <c r="E674" t="str">
        <f>VLOOKUP(Table2[[#This Row],[Customer ID]],Table2[#All],4,FALSE)</f>
        <v>No</v>
      </c>
      <c r="F674" t="str">
        <f>VLOOKUP(Table2[[#This Row],[Customer ID]],Table2[#All],5,FALSE)</f>
        <v>No</v>
      </c>
      <c r="G674" t="str">
        <f>VLOOKUP(Table2[[#This Row],[Customer ID]],Table2[#All],6,FALSE)</f>
        <v>No</v>
      </c>
      <c r="H674">
        <f>VLOOKUP(Table2[[#This Row],[Customer ID]],Table2[#All],7,FALSE)</f>
        <v>0</v>
      </c>
      <c r="I674" t="str">
        <f>VLOOKUP(Table2[[#This Row],[Customer ID]],Table2[#All],8,FALSE)</f>
        <v>No</v>
      </c>
      <c r="J674" t="str">
        <f>VLOOKUP(Table2[[#This Row],[Customer ID]],Table2[#All],9,FALSE)</f>
        <v>Obesity</v>
      </c>
      <c r="K674" t="str">
        <f>VLOOKUP(Table2[[#This Row],[Customer ID]],Table2[#All],10,FALSE)</f>
        <v>Normal</v>
      </c>
    </row>
    <row r="675" spans="1:11" ht="15.6" x14ac:dyDescent="0.3">
      <c r="A675" s="1" t="s">
        <v>1697</v>
      </c>
      <c r="B675" t="str">
        <f>VLOOKUP('Customer Names'!A675,'Customer Names'!$A$1:$E$2336,4,FALSE)</f>
        <v>Ms.  Kristi</v>
      </c>
      <c r="C675">
        <f>VLOOKUP(Table2[[#This Row],[Customer ID]],Table2[#All],2,FALSE)</f>
        <v>32.965000000000003</v>
      </c>
      <c r="D675">
        <f>VLOOKUP(Table2[[#This Row],[Customer ID]],Table2[#All],3,FALSE)</f>
        <v>6.68</v>
      </c>
      <c r="E675" t="str">
        <f>VLOOKUP(Table2[[#This Row],[Customer ID]],Table2[#All],4,FALSE)</f>
        <v>No</v>
      </c>
      <c r="F675" t="str">
        <f>VLOOKUP(Table2[[#This Row],[Customer ID]],Table2[#All],5,FALSE)</f>
        <v>No</v>
      </c>
      <c r="G675" t="str">
        <f>VLOOKUP(Table2[[#This Row],[Customer ID]],Table2[#All],6,FALSE)</f>
        <v>No</v>
      </c>
      <c r="H675">
        <f>VLOOKUP(Table2[[#This Row],[Customer ID]],Table2[#All],7,FALSE)</f>
        <v>3</v>
      </c>
      <c r="I675" t="str">
        <f>VLOOKUP(Table2[[#This Row],[Customer ID]],Table2[#All],8,FALSE)</f>
        <v>No</v>
      </c>
      <c r="J675" t="str">
        <f>VLOOKUP(Table2[[#This Row],[Customer ID]],Table2[#All],9,FALSE)</f>
        <v>Obesity</v>
      </c>
      <c r="K675" t="str">
        <f>VLOOKUP(Table2[[#This Row],[Customer ID]],Table2[#All],10,FALSE)</f>
        <v>Diabetes</v>
      </c>
    </row>
    <row r="676" spans="1:11" ht="15.6" x14ac:dyDescent="0.3">
      <c r="A676" s="1" t="s">
        <v>1696</v>
      </c>
      <c r="B676" t="str">
        <f>VLOOKUP('Customer Names'!A676,'Customer Names'!$A$1:$E$2336,4,FALSE)</f>
        <v>Ms.  Meredith L.</v>
      </c>
      <c r="C676">
        <f>VLOOKUP(Table2[[#This Row],[Customer ID]],Table2[#All],2,FALSE)</f>
        <v>39.340000000000003</v>
      </c>
      <c r="D676">
        <f>VLOOKUP(Table2[[#This Row],[Customer ID]],Table2[#All],3,FALSE)</f>
        <v>5.0199999999999996</v>
      </c>
      <c r="E676" t="str">
        <f>VLOOKUP(Table2[[#This Row],[Customer ID]],Table2[#All],4,FALSE)</f>
        <v>Yes</v>
      </c>
      <c r="F676" t="str">
        <f>VLOOKUP(Table2[[#This Row],[Customer ID]],Table2[#All],5,FALSE)</f>
        <v>No</v>
      </c>
      <c r="G676" t="str">
        <f>VLOOKUP(Table2[[#This Row],[Customer ID]],Table2[#All],6,FALSE)</f>
        <v>Yes</v>
      </c>
      <c r="H676">
        <f>VLOOKUP(Table2[[#This Row],[Customer ID]],Table2[#All],7,FALSE)</f>
        <v>1</v>
      </c>
      <c r="I676" t="str">
        <f>VLOOKUP(Table2[[#This Row],[Customer ID]],Table2[#All],8,FALSE)</f>
        <v>No</v>
      </c>
      <c r="J676" t="str">
        <f>VLOOKUP(Table2[[#This Row],[Customer ID]],Table2[#All],9,FALSE)</f>
        <v>Obesity</v>
      </c>
      <c r="K676" t="str">
        <f>VLOOKUP(Table2[[#This Row],[Customer ID]],Table2[#All],10,FALSE)</f>
        <v>Normal</v>
      </c>
    </row>
    <row r="677" spans="1:11" ht="15.6" x14ac:dyDescent="0.3">
      <c r="A677" s="1" t="s">
        <v>1695</v>
      </c>
      <c r="B677" t="str">
        <f>VLOOKUP('Customer Names'!A677,'Customer Names'!$A$1:$E$2336,4,FALSE)</f>
        <v>Ms.  Jocelyn</v>
      </c>
      <c r="C677">
        <f>VLOOKUP(Table2[[#This Row],[Customer ID]],Table2[#All],2,FALSE)</f>
        <v>47</v>
      </c>
      <c r="D677">
        <f>VLOOKUP(Table2[[#This Row],[Customer ID]],Table2[#All],3,FALSE)</f>
        <v>10.64</v>
      </c>
      <c r="E677" t="str">
        <f>VLOOKUP(Table2[[#This Row],[Customer ID]],Table2[#All],4,FALSE)</f>
        <v>Yes</v>
      </c>
      <c r="F677" t="str">
        <f>VLOOKUP(Table2[[#This Row],[Customer ID]],Table2[#All],5,FALSE)</f>
        <v>No</v>
      </c>
      <c r="G677" t="str">
        <f>VLOOKUP(Table2[[#This Row],[Customer ID]],Table2[#All],6,FALSE)</f>
        <v>No</v>
      </c>
      <c r="H677">
        <f>VLOOKUP(Table2[[#This Row],[Customer ID]],Table2[#All],7,FALSE)</f>
        <v>0</v>
      </c>
      <c r="I677" t="str">
        <f>VLOOKUP(Table2[[#This Row],[Customer ID]],Table2[#All],8,FALSE)</f>
        <v>No</v>
      </c>
      <c r="J677" t="str">
        <f>VLOOKUP(Table2[[#This Row],[Customer ID]],Table2[#All],9,FALSE)</f>
        <v>Obesity</v>
      </c>
      <c r="K677" t="str">
        <f>VLOOKUP(Table2[[#This Row],[Customer ID]],Table2[#All],10,FALSE)</f>
        <v>Diabetes</v>
      </c>
    </row>
    <row r="678" spans="1:11" ht="15.6" x14ac:dyDescent="0.3">
      <c r="A678" s="1" t="s">
        <v>1694</v>
      </c>
      <c r="B678" t="str">
        <f>VLOOKUP('Customer Names'!A678,'Customer Names'!$A$1:$E$2336,4,FALSE)</f>
        <v>Mrs.  Daphne</v>
      </c>
      <c r="C678">
        <f>VLOOKUP(Table2[[#This Row],[Customer ID]],Table2[#All],2,FALSE)</f>
        <v>36.71</v>
      </c>
      <c r="D678">
        <f>VLOOKUP(Table2[[#This Row],[Customer ID]],Table2[#All],3,FALSE)</f>
        <v>8.74</v>
      </c>
      <c r="E678" t="str">
        <f>VLOOKUP(Table2[[#This Row],[Customer ID]],Table2[#All],4,FALSE)</f>
        <v>Yes</v>
      </c>
      <c r="F678" t="str">
        <f>VLOOKUP(Table2[[#This Row],[Customer ID]],Table2[#All],5,FALSE)</f>
        <v>No</v>
      </c>
      <c r="G678" t="str">
        <f>VLOOKUP(Table2[[#This Row],[Customer ID]],Table2[#All],6,FALSE)</f>
        <v>No</v>
      </c>
      <c r="H678">
        <f>VLOOKUP(Table2[[#This Row],[Customer ID]],Table2[#All],7,FALSE)</f>
        <v>0</v>
      </c>
      <c r="I678" t="str">
        <f>VLOOKUP(Table2[[#This Row],[Customer ID]],Table2[#All],8,FALSE)</f>
        <v>No</v>
      </c>
      <c r="J678" t="str">
        <f>VLOOKUP(Table2[[#This Row],[Customer ID]],Table2[#All],9,FALSE)</f>
        <v>Obesity</v>
      </c>
      <c r="K678" t="str">
        <f>VLOOKUP(Table2[[#This Row],[Customer ID]],Table2[#All],10,FALSE)</f>
        <v>Diabetes</v>
      </c>
    </row>
    <row r="679" spans="1:11" ht="15.6" x14ac:dyDescent="0.3">
      <c r="A679" s="1" t="s">
        <v>1693</v>
      </c>
      <c r="B679" t="str">
        <f>VLOOKUP('Customer Names'!A679,'Customer Names'!$A$1:$E$2336,4,FALSE)</f>
        <v>Ms.  Margaret E</v>
      </c>
      <c r="C679">
        <f>VLOOKUP(Table2[[#This Row],[Customer ID]],Table2[#All],2,FALSE)</f>
        <v>53.48</v>
      </c>
      <c r="D679">
        <f>VLOOKUP(Table2[[#This Row],[Customer ID]],Table2[#All],3,FALSE)</f>
        <v>5.64</v>
      </c>
      <c r="E679" t="str">
        <f>VLOOKUP(Table2[[#This Row],[Customer ID]],Table2[#All],4,FALSE)</f>
        <v>No</v>
      </c>
      <c r="F679" t="str">
        <f>VLOOKUP(Table2[[#This Row],[Customer ID]],Table2[#All],5,FALSE)</f>
        <v>No</v>
      </c>
      <c r="G679" t="str">
        <f>VLOOKUP(Table2[[#This Row],[Customer ID]],Table2[#All],6,FALSE)</f>
        <v>No</v>
      </c>
      <c r="H679">
        <f>VLOOKUP(Table2[[#This Row],[Customer ID]],Table2[#All],7,FALSE)</f>
        <v>0</v>
      </c>
      <c r="I679" t="str">
        <f>VLOOKUP(Table2[[#This Row],[Customer ID]],Table2[#All],8,FALSE)</f>
        <v>No</v>
      </c>
      <c r="J679" t="str">
        <f>VLOOKUP(Table2[[#This Row],[Customer ID]],Table2[#All],9,FALSE)</f>
        <v>Obesity</v>
      </c>
      <c r="K679" t="str">
        <f>VLOOKUP(Table2[[#This Row],[Customer ID]],Table2[#All],10,FALSE)</f>
        <v>Normal</v>
      </c>
    </row>
    <row r="680" spans="1:11" ht="15.6" x14ac:dyDescent="0.3">
      <c r="A680" s="1" t="s">
        <v>1692</v>
      </c>
      <c r="B680" t="str">
        <f>VLOOKUP('Customer Names'!A680,'Customer Names'!$A$1:$E$2336,4,FALSE)</f>
        <v>Mr.  Mario J.</v>
      </c>
      <c r="C680">
        <f>VLOOKUP(Table2[[#This Row],[Customer ID]],Table2[#All],2,FALSE)</f>
        <v>35.5</v>
      </c>
      <c r="D680">
        <f>VLOOKUP(Table2[[#This Row],[Customer ID]],Table2[#All],3,FALSE)</f>
        <v>10.37</v>
      </c>
      <c r="E680" t="str">
        <f>VLOOKUP(Table2[[#This Row],[Customer ID]],Table2[#All],4,FALSE)</f>
        <v>No</v>
      </c>
      <c r="F680" t="str">
        <f>VLOOKUP(Table2[[#This Row],[Customer ID]],Table2[#All],5,FALSE)</f>
        <v>No</v>
      </c>
      <c r="G680" t="str">
        <f>VLOOKUP(Table2[[#This Row],[Customer ID]],Table2[#All],6,FALSE)</f>
        <v>No</v>
      </c>
      <c r="H680">
        <f>VLOOKUP(Table2[[#This Row],[Customer ID]],Table2[#All],7,FALSE)</f>
        <v>0</v>
      </c>
      <c r="I680" t="str">
        <f>VLOOKUP(Table2[[#This Row],[Customer ID]],Table2[#All],8,FALSE)</f>
        <v>No</v>
      </c>
      <c r="J680" t="str">
        <f>VLOOKUP(Table2[[#This Row],[Customer ID]],Table2[#All],9,FALSE)</f>
        <v>Obesity</v>
      </c>
      <c r="K680" t="str">
        <f>VLOOKUP(Table2[[#This Row],[Customer ID]],Table2[#All],10,FALSE)</f>
        <v>Diabetes</v>
      </c>
    </row>
    <row r="681" spans="1:11" ht="15.6" x14ac:dyDescent="0.3">
      <c r="A681" s="1" t="s">
        <v>1691</v>
      </c>
      <c r="B681" t="str">
        <f>VLOOKUP('Customer Names'!A681,'Customer Names'!$A$1:$E$2336,4,FALSE)</f>
        <v>Mr.  Peter</v>
      </c>
      <c r="C681">
        <f>VLOOKUP(Table2[[#This Row],[Customer ID]],Table2[#All],2,FALSE)</f>
        <v>36.979999999999997</v>
      </c>
      <c r="D681">
        <f>VLOOKUP(Table2[[#This Row],[Customer ID]],Table2[#All],3,FALSE)</f>
        <v>9.56</v>
      </c>
      <c r="E681" t="str">
        <f>VLOOKUP(Table2[[#This Row],[Customer ID]],Table2[#All],4,FALSE)</f>
        <v>Yes</v>
      </c>
      <c r="F681" t="str">
        <f>VLOOKUP(Table2[[#This Row],[Customer ID]],Table2[#All],5,FALSE)</f>
        <v>No</v>
      </c>
      <c r="G681" t="str">
        <f>VLOOKUP(Table2[[#This Row],[Customer ID]],Table2[#All],6,FALSE)</f>
        <v>No</v>
      </c>
      <c r="H681">
        <f>VLOOKUP(Table2[[#This Row],[Customer ID]],Table2[#All],7,FALSE)</f>
        <v>0</v>
      </c>
      <c r="I681" t="str">
        <f>VLOOKUP(Table2[[#This Row],[Customer ID]],Table2[#All],8,FALSE)</f>
        <v>No</v>
      </c>
      <c r="J681" t="str">
        <f>VLOOKUP(Table2[[#This Row],[Customer ID]],Table2[#All],9,FALSE)</f>
        <v>Obesity</v>
      </c>
      <c r="K681" t="str">
        <f>VLOOKUP(Table2[[#This Row],[Customer ID]],Table2[#All],10,FALSE)</f>
        <v>Diabetes</v>
      </c>
    </row>
    <row r="682" spans="1:11" ht="15.6" x14ac:dyDescent="0.3">
      <c r="A682" s="1" t="s">
        <v>1690</v>
      </c>
      <c r="B682" t="str">
        <f>VLOOKUP('Customer Names'!A682,'Customer Names'!$A$1:$E$2336,4,FALSE)</f>
        <v>Ms.  Carolina</v>
      </c>
      <c r="C682">
        <f>VLOOKUP(Table2[[#This Row],[Customer ID]],Table2[#All],2,FALSE)</f>
        <v>32.395000000000003</v>
      </c>
      <c r="D682">
        <f>VLOOKUP(Table2[[#This Row],[Customer ID]],Table2[#All],3,FALSE)</f>
        <v>8.23</v>
      </c>
      <c r="E682" t="str">
        <f>VLOOKUP(Table2[[#This Row],[Customer ID]],Table2[#All],4,FALSE)</f>
        <v>Yes</v>
      </c>
      <c r="F682" t="str">
        <f>VLOOKUP(Table2[[#This Row],[Customer ID]],Table2[#All],5,FALSE)</f>
        <v>No</v>
      </c>
      <c r="G682" t="str">
        <f>VLOOKUP(Table2[[#This Row],[Customer ID]],Table2[#All],6,FALSE)</f>
        <v>Yes</v>
      </c>
      <c r="H682">
        <f>VLOOKUP(Table2[[#This Row],[Customer ID]],Table2[#All],7,FALSE)</f>
        <v>1</v>
      </c>
      <c r="I682" t="str">
        <f>VLOOKUP(Table2[[#This Row],[Customer ID]],Table2[#All],8,FALSE)</f>
        <v>No</v>
      </c>
      <c r="J682" t="str">
        <f>VLOOKUP(Table2[[#This Row],[Customer ID]],Table2[#All],9,FALSE)</f>
        <v>Obesity</v>
      </c>
      <c r="K682" t="str">
        <f>VLOOKUP(Table2[[#This Row],[Customer ID]],Table2[#All],10,FALSE)</f>
        <v>Diabetes</v>
      </c>
    </row>
    <row r="683" spans="1:11" ht="15.6" x14ac:dyDescent="0.3">
      <c r="A683" s="1" t="s">
        <v>1689</v>
      </c>
      <c r="B683" t="str">
        <f>VLOOKUP('Customer Names'!A683,'Customer Names'!$A$1:$E$2336,4,FALSE)</f>
        <v>Mrs.  Jenny K.</v>
      </c>
      <c r="C683">
        <f>VLOOKUP(Table2[[#This Row],[Customer ID]],Table2[#All],2,FALSE)</f>
        <v>32.729999999999997</v>
      </c>
      <c r="D683">
        <f>VLOOKUP(Table2[[#This Row],[Customer ID]],Table2[#All],3,FALSE)</f>
        <v>7.03</v>
      </c>
      <c r="E683" t="str">
        <f>VLOOKUP(Table2[[#This Row],[Customer ID]],Table2[#All],4,FALSE)</f>
        <v>No</v>
      </c>
      <c r="F683" t="str">
        <f>VLOOKUP(Table2[[#This Row],[Customer ID]],Table2[#All],5,FALSE)</f>
        <v>No</v>
      </c>
      <c r="G683" t="str">
        <f>VLOOKUP(Table2[[#This Row],[Customer ID]],Table2[#All],6,FALSE)</f>
        <v>No</v>
      </c>
      <c r="H683">
        <f>VLOOKUP(Table2[[#This Row],[Customer ID]],Table2[#All],7,FALSE)</f>
        <v>0</v>
      </c>
      <c r="I683" t="str">
        <f>VLOOKUP(Table2[[#This Row],[Customer ID]],Table2[#All],8,FALSE)</f>
        <v>No</v>
      </c>
      <c r="J683" t="str">
        <f>VLOOKUP(Table2[[#This Row],[Customer ID]],Table2[#All],9,FALSE)</f>
        <v>Obesity</v>
      </c>
      <c r="K683" t="str">
        <f>VLOOKUP(Table2[[#This Row],[Customer ID]],Table2[#All],10,FALSE)</f>
        <v>Diabetes</v>
      </c>
    </row>
    <row r="684" spans="1:11" ht="15.6" x14ac:dyDescent="0.3">
      <c r="A684" s="1" t="s">
        <v>1688</v>
      </c>
      <c r="B684" t="str">
        <f>VLOOKUP('Customer Names'!A684,'Customer Names'!$A$1:$E$2336,4,FALSE)</f>
        <v>Ms.  Jessica</v>
      </c>
      <c r="C684">
        <f>VLOOKUP(Table2[[#This Row],[Customer ID]],Table2[#All],2,FALSE)</f>
        <v>20.52</v>
      </c>
      <c r="D684">
        <f>VLOOKUP(Table2[[#This Row],[Customer ID]],Table2[#All],3,FALSE)</f>
        <v>5.45</v>
      </c>
      <c r="E684" t="str">
        <f>VLOOKUP(Table2[[#This Row],[Customer ID]],Table2[#All],4,FALSE)</f>
        <v>No</v>
      </c>
      <c r="F684" t="str">
        <f>VLOOKUP(Table2[[#This Row],[Customer ID]],Table2[#All],5,FALSE)</f>
        <v>No</v>
      </c>
      <c r="G684" t="str">
        <f>VLOOKUP(Table2[[#This Row],[Customer ID]],Table2[#All],6,FALSE)</f>
        <v>No</v>
      </c>
      <c r="H684">
        <f>VLOOKUP(Table2[[#This Row],[Customer ID]],Table2[#All],7,FALSE)</f>
        <v>1</v>
      </c>
      <c r="I684" t="str">
        <f>VLOOKUP(Table2[[#This Row],[Customer ID]],Table2[#All],8,FALSE)</f>
        <v>Yes</v>
      </c>
      <c r="J684" t="str">
        <f>VLOOKUP(Table2[[#This Row],[Customer ID]],Table2[#All],9,FALSE)</f>
        <v>Normalweight</v>
      </c>
      <c r="K684" t="str">
        <f>VLOOKUP(Table2[[#This Row],[Customer ID]],Table2[#All],10,FALSE)</f>
        <v>Normal</v>
      </c>
    </row>
    <row r="685" spans="1:11" ht="15.6" x14ac:dyDescent="0.3">
      <c r="A685" s="1" t="s">
        <v>1687</v>
      </c>
      <c r="B685" t="str">
        <f>VLOOKUP('Customer Names'!A685,'Customer Names'!$A$1:$E$2336,4,FALSE)</f>
        <v>Ms.  Kimberly D</v>
      </c>
      <c r="C685">
        <f>VLOOKUP(Table2[[#This Row],[Customer ID]],Table2[#All],2,FALSE)</f>
        <v>51.72</v>
      </c>
      <c r="D685">
        <f>VLOOKUP(Table2[[#This Row],[Customer ID]],Table2[#All],3,FALSE)</f>
        <v>5.76</v>
      </c>
      <c r="E685" t="str">
        <f>VLOOKUP(Table2[[#This Row],[Customer ID]],Table2[#All],4,FALSE)</f>
        <v>No</v>
      </c>
      <c r="F685" t="str">
        <f>VLOOKUP(Table2[[#This Row],[Customer ID]],Table2[#All],5,FALSE)</f>
        <v>No</v>
      </c>
      <c r="G685" t="str">
        <f>VLOOKUP(Table2[[#This Row],[Customer ID]],Table2[#All],6,FALSE)</f>
        <v>No</v>
      </c>
      <c r="H685">
        <f>VLOOKUP(Table2[[#This Row],[Customer ID]],Table2[#All],7,FALSE)</f>
        <v>0</v>
      </c>
      <c r="I685" t="str">
        <f>VLOOKUP(Table2[[#This Row],[Customer ID]],Table2[#All],8,FALSE)</f>
        <v>No</v>
      </c>
      <c r="J685" t="str">
        <f>VLOOKUP(Table2[[#This Row],[Customer ID]],Table2[#All],9,FALSE)</f>
        <v>Obesity</v>
      </c>
      <c r="K685" t="str">
        <f>VLOOKUP(Table2[[#This Row],[Customer ID]],Table2[#All],10,FALSE)</f>
        <v>Prediabetes</v>
      </c>
    </row>
    <row r="686" spans="1:11" ht="15.6" x14ac:dyDescent="0.3">
      <c r="A686" s="1" t="s">
        <v>1686</v>
      </c>
      <c r="B686" t="str">
        <f>VLOOKUP('Customer Names'!A686,'Customer Names'!$A$1:$E$2336,4,FALSE)</f>
        <v>Mr.  Marc-Olivier</v>
      </c>
      <c r="C686">
        <f>VLOOKUP(Table2[[#This Row],[Customer ID]],Table2[#All],2,FALSE)</f>
        <v>50.2</v>
      </c>
      <c r="D686">
        <f>VLOOKUP(Table2[[#This Row],[Customer ID]],Table2[#All],3,FALSE)</f>
        <v>5.4</v>
      </c>
      <c r="E686" t="str">
        <f>VLOOKUP(Table2[[#This Row],[Customer ID]],Table2[#All],4,FALSE)</f>
        <v>No</v>
      </c>
      <c r="F686" t="str">
        <f>VLOOKUP(Table2[[#This Row],[Customer ID]],Table2[#All],5,FALSE)</f>
        <v>No</v>
      </c>
      <c r="G686" t="str">
        <f>VLOOKUP(Table2[[#This Row],[Customer ID]],Table2[#All],6,FALSE)</f>
        <v>No</v>
      </c>
      <c r="H686">
        <f>VLOOKUP(Table2[[#This Row],[Customer ID]],Table2[#All],7,FALSE)</f>
        <v>0</v>
      </c>
      <c r="I686" t="str">
        <f>VLOOKUP(Table2[[#This Row],[Customer ID]],Table2[#All],8,FALSE)</f>
        <v>No</v>
      </c>
      <c r="J686" t="str">
        <f>VLOOKUP(Table2[[#This Row],[Customer ID]],Table2[#All],9,FALSE)</f>
        <v>Obesity</v>
      </c>
      <c r="K686" t="str">
        <f>VLOOKUP(Table2[[#This Row],[Customer ID]],Table2[#All],10,FALSE)</f>
        <v>Normal</v>
      </c>
    </row>
    <row r="687" spans="1:11" ht="15.6" x14ac:dyDescent="0.3">
      <c r="A687" s="1" t="s">
        <v>1685</v>
      </c>
      <c r="B687" t="str">
        <f>VLOOKUP('Customer Names'!A687,'Customer Names'!$A$1:$E$2336,4,FALSE)</f>
        <v>Mr.  Russell J</v>
      </c>
      <c r="C687">
        <f>VLOOKUP(Table2[[#This Row],[Customer ID]],Table2[#All],2,FALSE)</f>
        <v>25.52</v>
      </c>
      <c r="D687">
        <f>VLOOKUP(Table2[[#This Row],[Customer ID]],Table2[#All],3,FALSE)</f>
        <v>6.35</v>
      </c>
      <c r="E687" t="str">
        <f>VLOOKUP(Table2[[#This Row],[Customer ID]],Table2[#All],4,FALSE)</f>
        <v>No</v>
      </c>
      <c r="F687" t="str">
        <f>VLOOKUP(Table2[[#This Row],[Customer ID]],Table2[#All],5,FALSE)</f>
        <v>No</v>
      </c>
      <c r="G687" t="str">
        <f>VLOOKUP(Table2[[#This Row],[Customer ID]],Table2[#All],6,FALSE)</f>
        <v>Yes</v>
      </c>
      <c r="H687">
        <f>VLOOKUP(Table2[[#This Row],[Customer ID]],Table2[#All],7,FALSE)</f>
        <v>1</v>
      </c>
      <c r="I687" t="str">
        <f>VLOOKUP(Table2[[#This Row],[Customer ID]],Table2[#All],8,FALSE)</f>
        <v>No</v>
      </c>
      <c r="J687" t="str">
        <f>VLOOKUP(Table2[[#This Row],[Customer ID]],Table2[#All],9,FALSE)</f>
        <v>Overweight</v>
      </c>
      <c r="K687" t="str">
        <f>VLOOKUP(Table2[[#This Row],[Customer ID]],Table2[#All],10,FALSE)</f>
        <v>Prediabetes</v>
      </c>
    </row>
    <row r="688" spans="1:11" ht="15.6" x14ac:dyDescent="0.3">
      <c r="A688" s="1" t="s">
        <v>1684</v>
      </c>
      <c r="B688" t="str">
        <f>VLOOKUP('Customer Names'!A688,'Customer Names'!$A$1:$E$2336,4,FALSE)</f>
        <v>Ms.  Karine</v>
      </c>
      <c r="C688">
        <f>VLOOKUP(Table2[[#This Row],[Customer ID]],Table2[#All],2,FALSE)</f>
        <v>35.200000000000003</v>
      </c>
      <c r="D688">
        <f>VLOOKUP(Table2[[#This Row],[Customer ID]],Table2[#All],3,FALSE)</f>
        <v>6.26</v>
      </c>
      <c r="E688" t="str">
        <f>VLOOKUP(Table2[[#This Row],[Customer ID]],Table2[#All],4,FALSE)</f>
        <v>Yes</v>
      </c>
      <c r="F688" t="str">
        <f>VLOOKUP(Table2[[#This Row],[Customer ID]],Table2[#All],5,FALSE)</f>
        <v>No</v>
      </c>
      <c r="G688" t="str">
        <f>VLOOKUP(Table2[[#This Row],[Customer ID]],Table2[#All],6,FALSE)</f>
        <v>No</v>
      </c>
      <c r="H688">
        <f>VLOOKUP(Table2[[#This Row],[Customer ID]],Table2[#All],7,FALSE)</f>
        <v>2</v>
      </c>
      <c r="I688" t="str">
        <f>VLOOKUP(Table2[[#This Row],[Customer ID]],Table2[#All],8,FALSE)</f>
        <v>No</v>
      </c>
      <c r="J688" t="str">
        <f>VLOOKUP(Table2[[#This Row],[Customer ID]],Table2[#All],9,FALSE)</f>
        <v>Obesity</v>
      </c>
      <c r="K688" t="str">
        <f>VLOOKUP(Table2[[#This Row],[Customer ID]],Table2[#All],10,FALSE)</f>
        <v>Prediabetes</v>
      </c>
    </row>
    <row r="689" spans="1:11" ht="15.6" x14ac:dyDescent="0.3">
      <c r="A689" s="1" t="s">
        <v>1683</v>
      </c>
      <c r="B689" t="str">
        <f>VLOOKUP('Customer Names'!A689,'Customer Names'!$A$1:$E$2336,4,FALSE)</f>
        <v>Ms.  Cheryl</v>
      </c>
      <c r="C689">
        <f>VLOOKUP(Table2[[#This Row],[Customer ID]],Table2[#All],2,FALSE)</f>
        <v>41.26</v>
      </c>
      <c r="D689">
        <f>VLOOKUP(Table2[[#This Row],[Customer ID]],Table2[#All],3,FALSE)</f>
        <v>5.97</v>
      </c>
      <c r="E689" t="str">
        <f>VLOOKUP(Table2[[#This Row],[Customer ID]],Table2[#All],4,FALSE)</f>
        <v>Yes</v>
      </c>
      <c r="F689" t="str">
        <f>VLOOKUP(Table2[[#This Row],[Customer ID]],Table2[#All],5,FALSE)</f>
        <v>No</v>
      </c>
      <c r="G689" t="str">
        <f>VLOOKUP(Table2[[#This Row],[Customer ID]],Table2[#All],6,FALSE)</f>
        <v>No</v>
      </c>
      <c r="H689">
        <f>VLOOKUP(Table2[[#This Row],[Customer ID]],Table2[#All],7,FALSE)</f>
        <v>0</v>
      </c>
      <c r="I689" t="str">
        <f>VLOOKUP(Table2[[#This Row],[Customer ID]],Table2[#All],8,FALSE)</f>
        <v>No</v>
      </c>
      <c r="J689" t="str">
        <f>VLOOKUP(Table2[[#This Row],[Customer ID]],Table2[#All],9,FALSE)</f>
        <v>Obesity</v>
      </c>
      <c r="K689" t="str">
        <f>VLOOKUP(Table2[[#This Row],[Customer ID]],Table2[#All],10,FALSE)</f>
        <v>Prediabetes</v>
      </c>
    </row>
    <row r="690" spans="1:11" ht="15.6" x14ac:dyDescent="0.3">
      <c r="A690" s="1" t="s">
        <v>1682</v>
      </c>
      <c r="B690" t="str">
        <f>VLOOKUP('Customer Names'!A690,'Customer Names'!$A$1:$E$2336,4,FALSE)</f>
        <v>Ms.  Allison M.</v>
      </c>
      <c r="C690">
        <f>VLOOKUP(Table2[[#This Row],[Customer ID]],Table2[#All],2,FALSE)</f>
        <v>17.195</v>
      </c>
      <c r="D690">
        <f>VLOOKUP(Table2[[#This Row],[Customer ID]],Table2[#All],3,FALSE)</f>
        <v>5.29</v>
      </c>
      <c r="E690" t="str">
        <f>VLOOKUP(Table2[[#This Row],[Customer ID]],Table2[#All],4,FALSE)</f>
        <v>Yes</v>
      </c>
      <c r="F690" t="str">
        <f>VLOOKUP(Table2[[#This Row],[Customer ID]],Table2[#All],5,FALSE)</f>
        <v>No</v>
      </c>
      <c r="G690" t="str">
        <f>VLOOKUP(Table2[[#This Row],[Customer ID]],Table2[#All],6,FALSE)</f>
        <v>No</v>
      </c>
      <c r="H690">
        <f>VLOOKUP(Table2[[#This Row],[Customer ID]],Table2[#All],7,FALSE)</f>
        <v>0</v>
      </c>
      <c r="I690" t="str">
        <f>VLOOKUP(Table2[[#This Row],[Customer ID]],Table2[#All],8,FALSE)</f>
        <v>Yes</v>
      </c>
      <c r="J690" t="str">
        <f>VLOOKUP(Table2[[#This Row],[Customer ID]],Table2[#All],9,FALSE)</f>
        <v>Underweight</v>
      </c>
      <c r="K690" t="str">
        <f>VLOOKUP(Table2[[#This Row],[Customer ID]],Table2[#All],10,FALSE)</f>
        <v>Normal</v>
      </c>
    </row>
    <row r="691" spans="1:11" ht="15.6" x14ac:dyDescent="0.3">
      <c r="A691" s="1" t="s">
        <v>1681</v>
      </c>
      <c r="B691" t="str">
        <f>VLOOKUP('Customer Names'!A691,'Customer Names'!$A$1:$E$2336,4,FALSE)</f>
        <v>Ms.  Adriana</v>
      </c>
      <c r="C691">
        <f>VLOOKUP(Table2[[#This Row],[Customer ID]],Table2[#All],2,FALSE)</f>
        <v>23.085000000000001</v>
      </c>
      <c r="D691">
        <f>VLOOKUP(Table2[[#This Row],[Customer ID]],Table2[#All],3,FALSE)</f>
        <v>4.2699999999999996</v>
      </c>
      <c r="E691" t="str">
        <f>VLOOKUP(Table2[[#This Row],[Customer ID]],Table2[#All],4,FALSE)</f>
        <v>Yes</v>
      </c>
      <c r="F691" t="str">
        <f>VLOOKUP(Table2[[#This Row],[Customer ID]],Table2[#All],5,FALSE)</f>
        <v>No</v>
      </c>
      <c r="G691" t="str">
        <f>VLOOKUP(Table2[[#This Row],[Customer ID]],Table2[#All],6,FALSE)</f>
        <v>No</v>
      </c>
      <c r="H691">
        <f>VLOOKUP(Table2[[#This Row],[Customer ID]],Table2[#All],7,FALSE)</f>
        <v>2</v>
      </c>
      <c r="I691" t="str">
        <f>VLOOKUP(Table2[[#This Row],[Customer ID]],Table2[#All],8,FALSE)</f>
        <v>No</v>
      </c>
      <c r="J691" t="str">
        <f>VLOOKUP(Table2[[#This Row],[Customer ID]],Table2[#All],9,FALSE)</f>
        <v>Normalweight</v>
      </c>
      <c r="K691" t="str">
        <f>VLOOKUP(Table2[[#This Row],[Customer ID]],Table2[#All],10,FALSE)</f>
        <v>Normal</v>
      </c>
    </row>
    <row r="692" spans="1:11" ht="15.6" x14ac:dyDescent="0.3">
      <c r="A692" s="1" t="s">
        <v>1680</v>
      </c>
      <c r="B692" t="str">
        <f>VLOOKUP('Customer Names'!A692,'Customer Names'!$A$1:$E$2336,4,FALSE)</f>
        <v>Ms.  Miranda J</v>
      </c>
      <c r="C692">
        <f>VLOOKUP(Table2[[#This Row],[Customer ID]],Table2[#All],2,FALSE)</f>
        <v>21.66</v>
      </c>
      <c r="D692">
        <f>VLOOKUP(Table2[[#This Row],[Customer ID]],Table2[#All],3,FALSE)</f>
        <v>5.2</v>
      </c>
      <c r="E692" t="str">
        <f>VLOOKUP(Table2[[#This Row],[Customer ID]],Table2[#All],4,FALSE)</f>
        <v>Yes</v>
      </c>
      <c r="F692" t="str">
        <f>VLOOKUP(Table2[[#This Row],[Customer ID]],Table2[#All],5,FALSE)</f>
        <v>No</v>
      </c>
      <c r="G692" t="str">
        <f>VLOOKUP(Table2[[#This Row],[Customer ID]],Table2[#All],6,FALSE)</f>
        <v>No</v>
      </c>
      <c r="H692">
        <f>VLOOKUP(Table2[[#This Row],[Customer ID]],Table2[#All],7,FALSE)</f>
        <v>2</v>
      </c>
      <c r="I692" t="str">
        <f>VLOOKUP(Table2[[#This Row],[Customer ID]],Table2[#All],8,FALSE)</f>
        <v>No</v>
      </c>
      <c r="J692" t="str">
        <f>VLOOKUP(Table2[[#This Row],[Customer ID]],Table2[#All],9,FALSE)</f>
        <v>Normalweight</v>
      </c>
      <c r="K692" t="str">
        <f>VLOOKUP(Table2[[#This Row],[Customer ID]],Table2[#All],10,FALSE)</f>
        <v>Normal</v>
      </c>
    </row>
    <row r="693" spans="1:11" ht="15.6" x14ac:dyDescent="0.3">
      <c r="A693" s="1" t="s">
        <v>1679</v>
      </c>
      <c r="B693" t="str">
        <f>VLOOKUP('Customer Names'!A693,'Customer Names'!$A$1:$E$2336,4,FALSE)</f>
        <v>Mr.  Roberto</v>
      </c>
      <c r="C693">
        <f>VLOOKUP(Table2[[#This Row],[Customer ID]],Table2[#All],2,FALSE)</f>
        <v>36.47</v>
      </c>
      <c r="D693">
        <f>VLOOKUP(Table2[[#This Row],[Customer ID]],Table2[#All],3,FALSE)</f>
        <v>8.23</v>
      </c>
      <c r="E693" t="str">
        <f>VLOOKUP(Table2[[#This Row],[Customer ID]],Table2[#All],4,FALSE)</f>
        <v>Yes</v>
      </c>
      <c r="F693" t="str">
        <f>VLOOKUP(Table2[[#This Row],[Customer ID]],Table2[#All],5,FALSE)</f>
        <v>No</v>
      </c>
      <c r="G693" t="str">
        <f>VLOOKUP(Table2[[#This Row],[Customer ID]],Table2[#All],6,FALSE)</f>
        <v>No</v>
      </c>
      <c r="H693">
        <f>VLOOKUP(Table2[[#This Row],[Customer ID]],Table2[#All],7,FALSE)</f>
        <v>0</v>
      </c>
      <c r="I693" t="str">
        <f>VLOOKUP(Table2[[#This Row],[Customer ID]],Table2[#All],8,FALSE)</f>
        <v>No</v>
      </c>
      <c r="J693" t="str">
        <f>VLOOKUP(Table2[[#This Row],[Customer ID]],Table2[#All],9,FALSE)</f>
        <v>Obesity</v>
      </c>
      <c r="K693" t="str">
        <f>VLOOKUP(Table2[[#This Row],[Customer ID]],Table2[#All],10,FALSE)</f>
        <v>Diabetes</v>
      </c>
    </row>
    <row r="694" spans="1:11" ht="15.6" x14ac:dyDescent="0.3">
      <c r="A694" s="1" t="s">
        <v>1678</v>
      </c>
      <c r="B694" t="str">
        <f>VLOOKUP('Customer Names'!A694,'Customer Names'!$A$1:$E$2336,4,FALSE)</f>
        <v>Mrs.  Rebecca B.</v>
      </c>
      <c r="C694">
        <f>VLOOKUP(Table2[[#This Row],[Customer ID]],Table2[#All],2,FALSE)</f>
        <v>36.08</v>
      </c>
      <c r="D694">
        <f>VLOOKUP(Table2[[#This Row],[Customer ID]],Table2[#All],3,FALSE)</f>
        <v>10.33</v>
      </c>
      <c r="E694" t="str">
        <f>VLOOKUP(Table2[[#This Row],[Customer ID]],Table2[#All],4,FALSE)</f>
        <v>Yes</v>
      </c>
      <c r="F694" t="str">
        <f>VLOOKUP(Table2[[#This Row],[Customer ID]],Table2[#All],5,FALSE)</f>
        <v>No</v>
      </c>
      <c r="G694" t="str">
        <f>VLOOKUP(Table2[[#This Row],[Customer ID]],Table2[#All],6,FALSE)</f>
        <v>No</v>
      </c>
      <c r="H694">
        <f>VLOOKUP(Table2[[#This Row],[Customer ID]],Table2[#All],7,FALSE)</f>
        <v>0</v>
      </c>
      <c r="I694" t="str">
        <f>VLOOKUP(Table2[[#This Row],[Customer ID]],Table2[#All],8,FALSE)</f>
        <v>No</v>
      </c>
      <c r="J694" t="str">
        <f>VLOOKUP(Table2[[#This Row],[Customer ID]],Table2[#All],9,FALSE)</f>
        <v>Obesity</v>
      </c>
      <c r="K694" t="str">
        <f>VLOOKUP(Table2[[#This Row],[Customer ID]],Table2[#All],10,FALSE)</f>
        <v>Diabetes</v>
      </c>
    </row>
    <row r="695" spans="1:11" ht="15.6" x14ac:dyDescent="0.3">
      <c r="A695" s="1" t="s">
        <v>1677</v>
      </c>
      <c r="B695" t="str">
        <f>VLOOKUP('Customer Names'!A695,'Customer Names'!$A$1:$E$2336,4,FALSE)</f>
        <v>Ms.  Tiffany</v>
      </c>
      <c r="C695">
        <f>VLOOKUP(Table2[[#This Row],[Customer ID]],Table2[#All],2,FALSE)</f>
        <v>23.18</v>
      </c>
      <c r="D695">
        <f>VLOOKUP(Table2[[#This Row],[Customer ID]],Table2[#All],3,FALSE)</f>
        <v>6.13</v>
      </c>
      <c r="E695" t="str">
        <f>VLOOKUP(Table2[[#This Row],[Customer ID]],Table2[#All],4,FALSE)</f>
        <v>No</v>
      </c>
      <c r="F695" t="str">
        <f>VLOOKUP(Table2[[#This Row],[Customer ID]],Table2[#All],5,FALSE)</f>
        <v>No</v>
      </c>
      <c r="G695" t="str">
        <f>VLOOKUP(Table2[[#This Row],[Customer ID]],Table2[#All],6,FALSE)</f>
        <v>No</v>
      </c>
      <c r="H695">
        <f>VLOOKUP(Table2[[#This Row],[Customer ID]],Table2[#All],7,FALSE)</f>
        <v>0</v>
      </c>
      <c r="I695" t="str">
        <f>VLOOKUP(Table2[[#This Row],[Customer ID]],Table2[#All],8,FALSE)</f>
        <v>No</v>
      </c>
      <c r="J695" t="str">
        <f>VLOOKUP(Table2[[#This Row],[Customer ID]],Table2[#All],9,FALSE)</f>
        <v>Normalweight</v>
      </c>
      <c r="K695" t="str">
        <f>VLOOKUP(Table2[[#This Row],[Customer ID]],Table2[#All],10,FALSE)</f>
        <v>Prediabetes</v>
      </c>
    </row>
    <row r="696" spans="1:11" ht="15.6" x14ac:dyDescent="0.3">
      <c r="A696" s="1" t="s">
        <v>1676</v>
      </c>
      <c r="B696" t="str">
        <f>VLOOKUP('Customer Names'!A696,'Customer Names'!$A$1:$E$2336,4,FALSE)</f>
        <v>Mr.  Alexander</v>
      </c>
      <c r="C696">
        <f>VLOOKUP(Table2[[#This Row],[Customer ID]],Table2[#All],2,FALSE)</f>
        <v>39.159999999999997</v>
      </c>
      <c r="D696">
        <f>VLOOKUP(Table2[[#This Row],[Customer ID]],Table2[#All],3,FALSE)</f>
        <v>8.08</v>
      </c>
      <c r="E696" t="str">
        <f>VLOOKUP(Table2[[#This Row],[Customer ID]],Table2[#All],4,FALSE)</f>
        <v>No</v>
      </c>
      <c r="F696" t="str">
        <f>VLOOKUP(Table2[[#This Row],[Customer ID]],Table2[#All],5,FALSE)</f>
        <v>No</v>
      </c>
      <c r="G696" t="str">
        <f>VLOOKUP(Table2[[#This Row],[Customer ID]],Table2[#All],6,FALSE)</f>
        <v>No</v>
      </c>
      <c r="H696">
        <f>VLOOKUP(Table2[[#This Row],[Customer ID]],Table2[#All],7,FALSE)</f>
        <v>3</v>
      </c>
      <c r="I696" t="str">
        <f>VLOOKUP(Table2[[#This Row],[Customer ID]],Table2[#All],8,FALSE)</f>
        <v>No</v>
      </c>
      <c r="J696" t="str">
        <f>VLOOKUP(Table2[[#This Row],[Customer ID]],Table2[#All],9,FALSE)</f>
        <v>Obesity</v>
      </c>
      <c r="K696" t="str">
        <f>VLOOKUP(Table2[[#This Row],[Customer ID]],Table2[#All],10,FALSE)</f>
        <v>Diabetes</v>
      </c>
    </row>
    <row r="697" spans="1:11" ht="15.6" x14ac:dyDescent="0.3">
      <c r="A697" s="1" t="s">
        <v>1675</v>
      </c>
      <c r="B697" t="str">
        <f>VLOOKUP('Customer Names'!A697,'Customer Names'!$A$1:$E$2336,4,FALSE)</f>
        <v>Mr.  Rich M</v>
      </c>
      <c r="C697">
        <f>VLOOKUP(Table2[[#This Row],[Customer ID]],Table2[#All],2,FALSE)</f>
        <v>38.19</v>
      </c>
      <c r="D697">
        <f>VLOOKUP(Table2[[#This Row],[Customer ID]],Table2[#All],3,FALSE)</f>
        <v>10.49</v>
      </c>
      <c r="E697" t="str">
        <f>VLOOKUP(Table2[[#This Row],[Customer ID]],Table2[#All],4,FALSE)</f>
        <v>No</v>
      </c>
      <c r="F697" t="str">
        <f>VLOOKUP(Table2[[#This Row],[Customer ID]],Table2[#All],5,FALSE)</f>
        <v>No</v>
      </c>
      <c r="G697" t="str">
        <f>VLOOKUP(Table2[[#This Row],[Customer ID]],Table2[#All],6,FALSE)</f>
        <v>No</v>
      </c>
      <c r="H697">
        <f>VLOOKUP(Table2[[#This Row],[Customer ID]],Table2[#All],7,FALSE)</f>
        <v>3</v>
      </c>
      <c r="I697" t="str">
        <f>VLOOKUP(Table2[[#This Row],[Customer ID]],Table2[#All],8,FALSE)</f>
        <v>No</v>
      </c>
      <c r="J697" t="str">
        <f>VLOOKUP(Table2[[#This Row],[Customer ID]],Table2[#All],9,FALSE)</f>
        <v>Obesity</v>
      </c>
      <c r="K697" t="str">
        <f>VLOOKUP(Table2[[#This Row],[Customer ID]],Table2[#All],10,FALSE)</f>
        <v>Diabetes</v>
      </c>
    </row>
    <row r="698" spans="1:11" ht="15.6" x14ac:dyDescent="0.3">
      <c r="A698" s="1" t="s">
        <v>1674</v>
      </c>
      <c r="B698" t="str">
        <f>VLOOKUP('Customer Names'!A698,'Customer Names'!$A$1:$E$2336,4,FALSE)</f>
        <v>Mr.  Aaron C</v>
      </c>
      <c r="C698">
        <f>VLOOKUP(Table2[[#This Row],[Customer ID]],Table2[#All],2,FALSE)</f>
        <v>26.41</v>
      </c>
      <c r="D698">
        <f>VLOOKUP(Table2[[#This Row],[Customer ID]],Table2[#All],3,FALSE)</f>
        <v>8.11</v>
      </c>
      <c r="E698" t="str">
        <f>VLOOKUP(Table2[[#This Row],[Customer ID]],Table2[#All],4,FALSE)</f>
        <v>No</v>
      </c>
      <c r="F698" t="str">
        <f>VLOOKUP(Table2[[#This Row],[Customer ID]],Table2[#All],5,FALSE)</f>
        <v>No</v>
      </c>
      <c r="G698" t="str">
        <f>VLOOKUP(Table2[[#This Row],[Customer ID]],Table2[#All],6,FALSE)</f>
        <v>No</v>
      </c>
      <c r="H698">
        <f>VLOOKUP(Table2[[#This Row],[Customer ID]],Table2[#All],7,FALSE)</f>
        <v>3</v>
      </c>
      <c r="I698" t="str">
        <f>VLOOKUP(Table2[[#This Row],[Customer ID]],Table2[#All],8,FALSE)</f>
        <v>No</v>
      </c>
      <c r="J698" t="str">
        <f>VLOOKUP(Table2[[#This Row],[Customer ID]],Table2[#All],9,FALSE)</f>
        <v>Overweight</v>
      </c>
      <c r="K698" t="str">
        <f>VLOOKUP(Table2[[#This Row],[Customer ID]],Table2[#All],10,FALSE)</f>
        <v>Diabetes</v>
      </c>
    </row>
    <row r="699" spans="1:11" ht="15.6" x14ac:dyDescent="0.3">
      <c r="A699" s="1" t="s">
        <v>1673</v>
      </c>
      <c r="B699" t="str">
        <f>VLOOKUP('Customer Names'!A699,'Customer Names'!$A$1:$E$2336,4,FALSE)</f>
        <v>Ms.  Kate</v>
      </c>
      <c r="C699">
        <f>VLOOKUP(Table2[[#This Row],[Customer ID]],Table2[#All],2,FALSE)</f>
        <v>28.785</v>
      </c>
      <c r="D699">
        <f>VLOOKUP(Table2[[#This Row],[Customer ID]],Table2[#All],3,FALSE)</f>
        <v>6.6</v>
      </c>
      <c r="E699" t="str">
        <f>VLOOKUP(Table2[[#This Row],[Customer ID]],Table2[#All],4,FALSE)</f>
        <v>No</v>
      </c>
      <c r="F699" t="str">
        <f>VLOOKUP(Table2[[#This Row],[Customer ID]],Table2[#All],5,FALSE)</f>
        <v>No</v>
      </c>
      <c r="G699" t="str">
        <f>VLOOKUP(Table2[[#This Row],[Customer ID]],Table2[#All],6,FALSE)</f>
        <v>No</v>
      </c>
      <c r="H699">
        <f>VLOOKUP(Table2[[#This Row],[Customer ID]],Table2[#All],7,FALSE)</f>
        <v>0</v>
      </c>
      <c r="I699" t="str">
        <f>VLOOKUP(Table2[[#This Row],[Customer ID]],Table2[#All],8,FALSE)</f>
        <v>No</v>
      </c>
      <c r="J699" t="str">
        <f>VLOOKUP(Table2[[#This Row],[Customer ID]],Table2[#All],9,FALSE)</f>
        <v>Overweight</v>
      </c>
      <c r="K699" t="str">
        <f>VLOOKUP(Table2[[#This Row],[Customer ID]],Table2[#All],10,FALSE)</f>
        <v>Diabetes</v>
      </c>
    </row>
    <row r="700" spans="1:11" ht="15.6" x14ac:dyDescent="0.3">
      <c r="A700" s="1" t="s">
        <v>1672</v>
      </c>
      <c r="B700" t="str">
        <f>VLOOKUP('Customer Names'!A700,'Customer Names'!$A$1:$E$2336,4,FALSE)</f>
        <v>Ms.  Maria M</v>
      </c>
      <c r="C700">
        <f>VLOOKUP(Table2[[#This Row],[Customer ID]],Table2[#All],2,FALSE)</f>
        <v>26.695</v>
      </c>
      <c r="D700">
        <f>VLOOKUP(Table2[[#This Row],[Customer ID]],Table2[#All],3,FALSE)</f>
        <v>10.14</v>
      </c>
      <c r="E700" t="str">
        <f>VLOOKUP(Table2[[#This Row],[Customer ID]],Table2[#All],4,FALSE)</f>
        <v>Yes</v>
      </c>
      <c r="F700" t="str">
        <f>VLOOKUP(Table2[[#This Row],[Customer ID]],Table2[#All],5,FALSE)</f>
        <v>No</v>
      </c>
      <c r="G700" t="str">
        <f>VLOOKUP(Table2[[#This Row],[Customer ID]],Table2[#All],6,FALSE)</f>
        <v>Yes</v>
      </c>
      <c r="H700">
        <f>VLOOKUP(Table2[[#This Row],[Customer ID]],Table2[#All],7,FALSE)</f>
        <v>1</v>
      </c>
      <c r="I700" t="str">
        <f>VLOOKUP(Table2[[#This Row],[Customer ID]],Table2[#All],8,FALSE)</f>
        <v>No</v>
      </c>
      <c r="J700" t="str">
        <f>VLOOKUP(Table2[[#This Row],[Customer ID]],Table2[#All],9,FALSE)</f>
        <v>Overweight</v>
      </c>
      <c r="K700" t="str">
        <f>VLOOKUP(Table2[[#This Row],[Customer ID]],Table2[#All],10,FALSE)</f>
        <v>Diabetes</v>
      </c>
    </row>
    <row r="701" spans="1:11" ht="15.6" x14ac:dyDescent="0.3">
      <c r="A701" s="1" t="s">
        <v>1671</v>
      </c>
      <c r="B701" t="str">
        <f>VLOOKUP('Customer Names'!A701,'Customer Names'!$A$1:$E$2336,4,FALSE)</f>
        <v>Mr.  Daven W</v>
      </c>
      <c r="C701">
        <f>VLOOKUP(Table2[[#This Row],[Customer ID]],Table2[#All],2,FALSE)</f>
        <v>32.799999999999997</v>
      </c>
      <c r="D701">
        <f>VLOOKUP(Table2[[#This Row],[Customer ID]],Table2[#All],3,FALSE)</f>
        <v>6.06</v>
      </c>
      <c r="E701" t="str">
        <f>VLOOKUP(Table2[[#This Row],[Customer ID]],Table2[#All],4,FALSE)</f>
        <v>Yes</v>
      </c>
      <c r="F701" t="str">
        <f>VLOOKUP(Table2[[#This Row],[Customer ID]],Table2[#All],5,FALSE)</f>
        <v>No</v>
      </c>
      <c r="G701" t="str">
        <f>VLOOKUP(Table2[[#This Row],[Customer ID]],Table2[#All],6,FALSE)</f>
        <v>No</v>
      </c>
      <c r="H701">
        <f>VLOOKUP(Table2[[#This Row],[Customer ID]],Table2[#All],7,FALSE)</f>
        <v>1</v>
      </c>
      <c r="I701" t="str">
        <f>VLOOKUP(Table2[[#This Row],[Customer ID]],Table2[#All],8,FALSE)</f>
        <v>No</v>
      </c>
      <c r="J701" t="str">
        <f>VLOOKUP(Table2[[#This Row],[Customer ID]],Table2[#All],9,FALSE)</f>
        <v>Obesity</v>
      </c>
      <c r="K701" t="str">
        <f>VLOOKUP(Table2[[#This Row],[Customer ID]],Table2[#All],10,FALSE)</f>
        <v>Prediabetes</v>
      </c>
    </row>
    <row r="702" spans="1:11" ht="15.6" x14ac:dyDescent="0.3">
      <c r="A702" s="1" t="s">
        <v>1670</v>
      </c>
      <c r="B702" t="str">
        <f>VLOOKUP('Customer Names'!A702,'Customer Names'!$A$1:$E$2336,4,FALSE)</f>
        <v>Mrs.  Brianne</v>
      </c>
      <c r="C702">
        <f>VLOOKUP(Table2[[#This Row],[Customer ID]],Table2[#All],2,FALSE)</f>
        <v>35.869999999999997</v>
      </c>
      <c r="D702">
        <f>VLOOKUP(Table2[[#This Row],[Customer ID]],Table2[#All],3,FALSE)</f>
        <v>9.91</v>
      </c>
      <c r="E702" t="str">
        <f>VLOOKUP(Table2[[#This Row],[Customer ID]],Table2[#All],4,FALSE)</f>
        <v>Yes</v>
      </c>
      <c r="F702" t="str">
        <f>VLOOKUP(Table2[[#This Row],[Customer ID]],Table2[#All],5,FALSE)</f>
        <v>No</v>
      </c>
      <c r="G702" t="str">
        <f>VLOOKUP(Table2[[#This Row],[Customer ID]],Table2[#All],6,FALSE)</f>
        <v>No</v>
      </c>
      <c r="H702">
        <f>VLOOKUP(Table2[[#This Row],[Customer ID]],Table2[#All],7,FALSE)</f>
        <v>0</v>
      </c>
      <c r="I702" t="str">
        <f>VLOOKUP(Table2[[#This Row],[Customer ID]],Table2[#All],8,FALSE)</f>
        <v>No</v>
      </c>
      <c r="J702" t="str">
        <f>VLOOKUP(Table2[[#This Row],[Customer ID]],Table2[#All],9,FALSE)</f>
        <v>Obesity</v>
      </c>
      <c r="K702" t="str">
        <f>VLOOKUP(Table2[[#This Row],[Customer ID]],Table2[#All],10,FALSE)</f>
        <v>Diabetes</v>
      </c>
    </row>
    <row r="703" spans="1:11" ht="15.6" x14ac:dyDescent="0.3">
      <c r="A703" s="1" t="s">
        <v>1669</v>
      </c>
      <c r="B703" t="str">
        <f>VLOOKUP('Customer Names'!A703,'Customer Names'!$A$1:$E$2336,4,FALSE)</f>
        <v>Mr.  Hiroki</v>
      </c>
      <c r="C703">
        <f>VLOOKUP(Table2[[#This Row],[Customer ID]],Table2[#All],2,FALSE)</f>
        <v>21.66</v>
      </c>
      <c r="D703">
        <f>VLOOKUP(Table2[[#This Row],[Customer ID]],Table2[#All],3,FALSE)</f>
        <v>4.1399999999999997</v>
      </c>
      <c r="E703" t="str">
        <f>VLOOKUP(Table2[[#This Row],[Customer ID]],Table2[#All],4,FALSE)</f>
        <v>Yes</v>
      </c>
      <c r="F703" t="str">
        <f>VLOOKUP(Table2[[#This Row],[Customer ID]],Table2[#All],5,FALSE)</f>
        <v>No</v>
      </c>
      <c r="G703" t="str">
        <f>VLOOKUP(Table2[[#This Row],[Customer ID]],Table2[#All],6,FALSE)</f>
        <v>No</v>
      </c>
      <c r="H703">
        <f>VLOOKUP(Table2[[#This Row],[Customer ID]],Table2[#All],7,FALSE)</f>
        <v>2</v>
      </c>
      <c r="I703" t="str">
        <f>VLOOKUP(Table2[[#This Row],[Customer ID]],Table2[#All],8,FALSE)</f>
        <v>No</v>
      </c>
      <c r="J703" t="str">
        <f>VLOOKUP(Table2[[#This Row],[Customer ID]],Table2[#All],9,FALSE)</f>
        <v>Normalweight</v>
      </c>
      <c r="K703" t="str">
        <f>VLOOKUP(Table2[[#This Row],[Customer ID]],Table2[#All],10,FALSE)</f>
        <v>Normal</v>
      </c>
    </row>
    <row r="704" spans="1:11" ht="15.6" x14ac:dyDescent="0.3">
      <c r="A704" s="1" t="s">
        <v>1668</v>
      </c>
      <c r="B704" t="str">
        <f>VLOOKUP('Customer Names'!A704,'Customer Names'!$A$1:$E$2336,4,FALSE)</f>
        <v>Mr.  Anders</v>
      </c>
      <c r="C704">
        <f>VLOOKUP(Table2[[#This Row],[Customer ID]],Table2[#All],2,FALSE)</f>
        <v>37.72</v>
      </c>
      <c r="D704">
        <f>VLOOKUP(Table2[[#This Row],[Customer ID]],Table2[#All],3,FALSE)</f>
        <v>4.38</v>
      </c>
      <c r="E704" t="str">
        <f>VLOOKUP(Table2[[#This Row],[Customer ID]],Table2[#All],4,FALSE)</f>
        <v>Yes</v>
      </c>
      <c r="F704" t="str">
        <f>VLOOKUP(Table2[[#This Row],[Customer ID]],Table2[#All],5,FALSE)</f>
        <v>No</v>
      </c>
      <c r="G704" t="str">
        <f>VLOOKUP(Table2[[#This Row],[Customer ID]],Table2[#All],6,FALSE)</f>
        <v>Yes</v>
      </c>
      <c r="H704">
        <f>VLOOKUP(Table2[[#This Row],[Customer ID]],Table2[#All],7,FALSE)</f>
        <v>1</v>
      </c>
      <c r="I704" t="str">
        <f>VLOOKUP(Table2[[#This Row],[Customer ID]],Table2[#All],8,FALSE)</f>
        <v>No</v>
      </c>
      <c r="J704" t="str">
        <f>VLOOKUP(Table2[[#This Row],[Customer ID]],Table2[#All],9,FALSE)</f>
        <v>Obesity</v>
      </c>
      <c r="K704" t="str">
        <f>VLOOKUP(Table2[[#This Row],[Customer ID]],Table2[#All],10,FALSE)</f>
        <v>Normal</v>
      </c>
    </row>
    <row r="705" spans="1:11" ht="15.6" x14ac:dyDescent="0.3">
      <c r="A705" s="1" t="s">
        <v>1667</v>
      </c>
      <c r="B705" t="str">
        <f>VLOOKUP('Customer Names'!A705,'Customer Names'!$A$1:$E$2336,4,FALSE)</f>
        <v>Ms.  Danielle</v>
      </c>
      <c r="C705">
        <f>VLOOKUP(Table2[[#This Row],[Customer ID]],Table2[#All],2,FALSE)</f>
        <v>39.700000000000003</v>
      </c>
      <c r="D705">
        <f>VLOOKUP(Table2[[#This Row],[Customer ID]],Table2[#All],3,FALSE)</f>
        <v>9.83</v>
      </c>
      <c r="E705" t="str">
        <f>VLOOKUP(Table2[[#This Row],[Customer ID]],Table2[#All],4,FALSE)</f>
        <v>No</v>
      </c>
      <c r="F705" t="str">
        <f>VLOOKUP(Table2[[#This Row],[Customer ID]],Table2[#All],5,FALSE)</f>
        <v>No</v>
      </c>
      <c r="G705" t="str">
        <f>VLOOKUP(Table2[[#This Row],[Customer ID]],Table2[#All],6,FALSE)</f>
        <v>No</v>
      </c>
      <c r="H705">
        <f>VLOOKUP(Table2[[#This Row],[Customer ID]],Table2[#All],7,FALSE)</f>
        <v>3</v>
      </c>
      <c r="I705" t="str">
        <f>VLOOKUP(Table2[[#This Row],[Customer ID]],Table2[#All],8,FALSE)</f>
        <v>No</v>
      </c>
      <c r="J705" t="str">
        <f>VLOOKUP(Table2[[#This Row],[Customer ID]],Table2[#All],9,FALSE)</f>
        <v>Obesity</v>
      </c>
      <c r="K705" t="str">
        <f>VLOOKUP(Table2[[#This Row],[Customer ID]],Table2[#All],10,FALSE)</f>
        <v>Diabetes</v>
      </c>
    </row>
    <row r="706" spans="1:11" ht="15.6" x14ac:dyDescent="0.3">
      <c r="A706" s="1" t="s">
        <v>1666</v>
      </c>
      <c r="B706" t="str">
        <f>VLOOKUP('Customer Names'!A706,'Customer Names'!$A$1:$E$2336,4,FALSE)</f>
        <v>Ms.  Candace N</v>
      </c>
      <c r="C706">
        <f>VLOOKUP(Table2[[#This Row],[Customer ID]],Table2[#All],2,FALSE)</f>
        <v>35.97</v>
      </c>
      <c r="D706">
        <f>VLOOKUP(Table2[[#This Row],[Customer ID]],Table2[#All],3,FALSE)</f>
        <v>11.08</v>
      </c>
      <c r="E706" t="str">
        <f>VLOOKUP(Table2[[#This Row],[Customer ID]],Table2[#All],4,FALSE)</f>
        <v>No</v>
      </c>
      <c r="F706" t="str">
        <f>VLOOKUP(Table2[[#This Row],[Customer ID]],Table2[#All],5,FALSE)</f>
        <v>No</v>
      </c>
      <c r="G706" t="str">
        <f>VLOOKUP(Table2[[#This Row],[Customer ID]],Table2[#All],6,FALSE)</f>
        <v>No</v>
      </c>
      <c r="H706">
        <f>VLOOKUP(Table2[[#This Row],[Customer ID]],Table2[#All],7,FALSE)</f>
        <v>3</v>
      </c>
      <c r="I706" t="str">
        <f>VLOOKUP(Table2[[#This Row],[Customer ID]],Table2[#All],8,FALSE)</f>
        <v>No</v>
      </c>
      <c r="J706" t="str">
        <f>VLOOKUP(Table2[[#This Row],[Customer ID]],Table2[#All],9,FALSE)</f>
        <v>Obesity</v>
      </c>
      <c r="K706" t="str">
        <f>VLOOKUP(Table2[[#This Row],[Customer ID]],Table2[#All],10,FALSE)</f>
        <v>Diabetes</v>
      </c>
    </row>
    <row r="707" spans="1:11" ht="15.6" x14ac:dyDescent="0.3">
      <c r="A707" s="1" t="s">
        <v>1665</v>
      </c>
      <c r="B707" t="str">
        <f>VLOOKUP('Customer Names'!A707,'Customer Names'!$A$1:$E$2336,4,FALSE)</f>
        <v>Mr.  Bruno F.</v>
      </c>
      <c r="C707">
        <f>VLOOKUP(Table2[[#This Row],[Customer ID]],Table2[#All],2,FALSE)</f>
        <v>37.85</v>
      </c>
      <c r="D707">
        <f>VLOOKUP(Table2[[#This Row],[Customer ID]],Table2[#All],3,FALSE)</f>
        <v>11.01</v>
      </c>
      <c r="E707" t="str">
        <f>VLOOKUP(Table2[[#This Row],[Customer ID]],Table2[#All],4,FALSE)</f>
        <v>No</v>
      </c>
      <c r="F707" t="str">
        <f>VLOOKUP(Table2[[#This Row],[Customer ID]],Table2[#All],5,FALSE)</f>
        <v>No</v>
      </c>
      <c r="G707" t="str">
        <f>VLOOKUP(Table2[[#This Row],[Customer ID]],Table2[#All],6,FALSE)</f>
        <v>No</v>
      </c>
      <c r="H707">
        <f>VLOOKUP(Table2[[#This Row],[Customer ID]],Table2[#All],7,FALSE)</f>
        <v>0</v>
      </c>
      <c r="I707" t="str">
        <f>VLOOKUP(Table2[[#This Row],[Customer ID]],Table2[#All],8,FALSE)</f>
        <v>No</v>
      </c>
      <c r="J707" t="str">
        <f>VLOOKUP(Table2[[#This Row],[Customer ID]],Table2[#All],9,FALSE)</f>
        <v>Obesity</v>
      </c>
      <c r="K707" t="str">
        <f>VLOOKUP(Table2[[#This Row],[Customer ID]],Table2[#All],10,FALSE)</f>
        <v>Diabetes</v>
      </c>
    </row>
    <row r="708" spans="1:11" ht="15.6" x14ac:dyDescent="0.3">
      <c r="A708" s="1" t="s">
        <v>1664</v>
      </c>
      <c r="B708" t="str">
        <f>VLOOKUP('Customer Names'!A708,'Customer Names'!$A$1:$E$2336,4,FALSE)</f>
        <v>Ms.  Emily</v>
      </c>
      <c r="C708">
        <f>VLOOKUP(Table2[[#This Row],[Customer ID]],Table2[#All],2,FALSE)</f>
        <v>21.66</v>
      </c>
      <c r="D708">
        <f>VLOOKUP(Table2[[#This Row],[Customer ID]],Table2[#All],3,FALSE)</f>
        <v>4.37</v>
      </c>
      <c r="E708" t="str">
        <f>VLOOKUP(Table2[[#This Row],[Customer ID]],Table2[#All],4,FALSE)</f>
        <v>No</v>
      </c>
      <c r="F708" t="str">
        <f>VLOOKUP(Table2[[#This Row],[Customer ID]],Table2[#All],5,FALSE)</f>
        <v>yes</v>
      </c>
      <c r="G708" t="str">
        <f>VLOOKUP(Table2[[#This Row],[Customer ID]],Table2[#All],6,FALSE)</f>
        <v>No</v>
      </c>
      <c r="H708">
        <f>VLOOKUP(Table2[[#This Row],[Customer ID]],Table2[#All],7,FALSE)</f>
        <v>1</v>
      </c>
      <c r="I708" t="str">
        <f>VLOOKUP(Table2[[#This Row],[Customer ID]],Table2[#All],8,FALSE)</f>
        <v>Yes</v>
      </c>
      <c r="J708" t="str">
        <f>VLOOKUP(Table2[[#This Row],[Customer ID]],Table2[#All],9,FALSE)</f>
        <v>Normalweight</v>
      </c>
      <c r="K708" t="str">
        <f>VLOOKUP(Table2[[#This Row],[Customer ID]],Table2[#All],10,FALSE)</f>
        <v>Normal</v>
      </c>
    </row>
    <row r="709" spans="1:11" ht="15.6" x14ac:dyDescent="0.3">
      <c r="A709" s="1" t="s">
        <v>1663</v>
      </c>
      <c r="B709" t="str">
        <f>VLOOKUP('Customer Names'!A709,'Customer Names'!$A$1:$E$2336,4,FALSE)</f>
        <v>Mrs.  Katie</v>
      </c>
      <c r="C709">
        <f>VLOOKUP(Table2[[#This Row],[Customer ID]],Table2[#All],2,FALSE)</f>
        <v>39.369999999999997</v>
      </c>
      <c r="D709">
        <f>VLOOKUP(Table2[[#This Row],[Customer ID]],Table2[#All],3,FALSE)</f>
        <v>5.91</v>
      </c>
      <c r="E709" t="str">
        <f>VLOOKUP(Table2[[#This Row],[Customer ID]],Table2[#All],4,FALSE)</f>
        <v>No</v>
      </c>
      <c r="F709" t="str">
        <f>VLOOKUP(Table2[[#This Row],[Customer ID]],Table2[#All],5,FALSE)</f>
        <v>No</v>
      </c>
      <c r="G709" t="str">
        <f>VLOOKUP(Table2[[#This Row],[Customer ID]],Table2[#All],6,FALSE)</f>
        <v>No</v>
      </c>
      <c r="H709">
        <f>VLOOKUP(Table2[[#This Row],[Customer ID]],Table2[#All],7,FALSE)</f>
        <v>2</v>
      </c>
      <c r="I709" t="str">
        <f>VLOOKUP(Table2[[#This Row],[Customer ID]],Table2[#All],8,FALSE)</f>
        <v>No</v>
      </c>
      <c r="J709" t="str">
        <f>VLOOKUP(Table2[[#This Row],[Customer ID]],Table2[#All],9,FALSE)</f>
        <v>Obesity</v>
      </c>
      <c r="K709" t="str">
        <f>VLOOKUP(Table2[[#This Row],[Customer ID]],Table2[#All],10,FALSE)</f>
        <v>Prediabetes</v>
      </c>
    </row>
    <row r="710" spans="1:11" ht="15.6" x14ac:dyDescent="0.3">
      <c r="A710" s="1" t="s">
        <v>1662</v>
      </c>
      <c r="B710" t="str">
        <f>VLOOKUP('Customer Names'!A710,'Customer Names'!$A$1:$E$2336,4,FALSE)</f>
        <v>Mrs.  Sally</v>
      </c>
      <c r="C710">
        <f>VLOOKUP(Table2[[#This Row],[Customer ID]],Table2[#All],2,FALSE)</f>
        <v>40.880000000000003</v>
      </c>
      <c r="D710">
        <f>VLOOKUP(Table2[[#This Row],[Customer ID]],Table2[#All],3,FALSE)</f>
        <v>7.65</v>
      </c>
      <c r="E710" t="str">
        <f>VLOOKUP(Table2[[#This Row],[Customer ID]],Table2[#All],4,FALSE)</f>
        <v>No</v>
      </c>
      <c r="F710" t="str">
        <f>VLOOKUP(Table2[[#This Row],[Customer ID]],Table2[#All],5,FALSE)</f>
        <v>No</v>
      </c>
      <c r="G710" t="str">
        <f>VLOOKUP(Table2[[#This Row],[Customer ID]],Table2[#All],6,FALSE)</f>
        <v>No</v>
      </c>
      <c r="H710">
        <f>VLOOKUP(Table2[[#This Row],[Customer ID]],Table2[#All],7,FALSE)</f>
        <v>0</v>
      </c>
      <c r="I710" t="str">
        <f>VLOOKUP(Table2[[#This Row],[Customer ID]],Table2[#All],8,FALSE)</f>
        <v>No</v>
      </c>
      <c r="J710" t="str">
        <f>VLOOKUP(Table2[[#This Row],[Customer ID]],Table2[#All],9,FALSE)</f>
        <v>Obesity</v>
      </c>
      <c r="K710" t="str">
        <f>VLOOKUP(Table2[[#This Row],[Customer ID]],Table2[#All],10,FALSE)</f>
        <v>Diabetes</v>
      </c>
    </row>
    <row r="711" spans="1:11" ht="15.6" x14ac:dyDescent="0.3">
      <c r="A711" s="1" t="s">
        <v>1661</v>
      </c>
      <c r="B711" t="str">
        <f>VLOOKUP('Customer Names'!A711,'Customer Names'!$A$1:$E$2336,4,FALSE)</f>
        <v>Ms.  Meaghan J</v>
      </c>
      <c r="C711">
        <f>VLOOKUP(Table2[[#This Row],[Customer ID]],Table2[#All],2,FALSE)</f>
        <v>26.22</v>
      </c>
      <c r="D711">
        <f>VLOOKUP(Table2[[#This Row],[Customer ID]],Table2[#All],3,FALSE)</f>
        <v>5.37</v>
      </c>
      <c r="E711" t="str">
        <f>VLOOKUP(Table2[[#This Row],[Customer ID]],Table2[#All],4,FALSE)</f>
        <v>Yes</v>
      </c>
      <c r="F711" t="str">
        <f>VLOOKUP(Table2[[#This Row],[Customer ID]],Table2[#All],5,FALSE)</f>
        <v>No</v>
      </c>
      <c r="G711" t="str">
        <f>VLOOKUP(Table2[[#This Row],[Customer ID]],Table2[#All],6,FALSE)</f>
        <v>No</v>
      </c>
      <c r="H711">
        <f>VLOOKUP(Table2[[#This Row],[Customer ID]],Table2[#All],7,FALSE)</f>
        <v>2</v>
      </c>
      <c r="I711" t="str">
        <f>VLOOKUP(Table2[[#This Row],[Customer ID]],Table2[#All],8,FALSE)</f>
        <v>No</v>
      </c>
      <c r="J711" t="str">
        <f>VLOOKUP(Table2[[#This Row],[Customer ID]],Table2[#All],9,FALSE)</f>
        <v>Overweight</v>
      </c>
      <c r="K711" t="str">
        <f>VLOOKUP(Table2[[#This Row],[Customer ID]],Table2[#All],10,FALSE)</f>
        <v>Normal</v>
      </c>
    </row>
    <row r="712" spans="1:11" ht="15.6" x14ac:dyDescent="0.3">
      <c r="A712" s="1" t="s">
        <v>1660</v>
      </c>
      <c r="B712" t="str">
        <f>VLOOKUP('Customer Names'!A712,'Customer Names'!$A$1:$E$2336,4,FALSE)</f>
        <v>Ms.  Rina</v>
      </c>
      <c r="C712">
        <f>VLOOKUP(Table2[[#This Row],[Customer ID]],Table2[#All],2,FALSE)</f>
        <v>25.08</v>
      </c>
      <c r="D712">
        <f>VLOOKUP(Table2[[#This Row],[Customer ID]],Table2[#All],3,FALSE)</f>
        <v>5.75</v>
      </c>
      <c r="E712" t="str">
        <f>VLOOKUP(Table2[[#This Row],[Customer ID]],Table2[#All],4,FALSE)</f>
        <v>Yes</v>
      </c>
      <c r="F712" t="str">
        <f>VLOOKUP(Table2[[#This Row],[Customer ID]],Table2[#All],5,FALSE)</f>
        <v>No</v>
      </c>
      <c r="G712" t="str">
        <f>VLOOKUP(Table2[[#This Row],[Customer ID]],Table2[#All],6,FALSE)</f>
        <v>No</v>
      </c>
      <c r="H712">
        <f>VLOOKUP(Table2[[#This Row],[Customer ID]],Table2[#All],7,FALSE)</f>
        <v>2</v>
      </c>
      <c r="I712" t="str">
        <f>VLOOKUP(Table2[[#This Row],[Customer ID]],Table2[#All],8,FALSE)</f>
        <v>No</v>
      </c>
      <c r="J712" t="str">
        <f>VLOOKUP(Table2[[#This Row],[Customer ID]],Table2[#All],9,FALSE)</f>
        <v>Overweight</v>
      </c>
      <c r="K712" t="str">
        <f>VLOOKUP(Table2[[#This Row],[Customer ID]],Table2[#All],10,FALSE)</f>
        <v>Prediabetes</v>
      </c>
    </row>
    <row r="713" spans="1:11" ht="15.6" x14ac:dyDescent="0.3">
      <c r="A713" s="1" t="s">
        <v>1659</v>
      </c>
      <c r="B713" t="str">
        <f>VLOOKUP('Customer Names'!A713,'Customer Names'!$A$1:$E$2336,4,FALSE)</f>
        <v>Ms.  Kristin P.</v>
      </c>
      <c r="C713">
        <f>VLOOKUP(Table2[[#This Row],[Customer ID]],Table2[#All],2,FALSE)</f>
        <v>39.1</v>
      </c>
      <c r="D713">
        <f>VLOOKUP(Table2[[#This Row],[Customer ID]],Table2[#All],3,FALSE)</f>
        <v>6.79</v>
      </c>
      <c r="E713" t="str">
        <f>VLOOKUP(Table2[[#This Row],[Customer ID]],Table2[#All],4,FALSE)</f>
        <v>Yes</v>
      </c>
      <c r="F713" t="str">
        <f>VLOOKUP(Table2[[#This Row],[Customer ID]],Table2[#All],5,FALSE)</f>
        <v>No</v>
      </c>
      <c r="G713" t="str">
        <f>VLOOKUP(Table2[[#This Row],[Customer ID]],Table2[#All],6,FALSE)</f>
        <v>No</v>
      </c>
      <c r="H713">
        <f>VLOOKUP(Table2[[#This Row],[Customer ID]],Table2[#All],7,FALSE)</f>
        <v>2</v>
      </c>
      <c r="I713" t="str">
        <f>VLOOKUP(Table2[[#This Row],[Customer ID]],Table2[#All],8,FALSE)</f>
        <v>No</v>
      </c>
      <c r="J713" t="str">
        <f>VLOOKUP(Table2[[#This Row],[Customer ID]],Table2[#All],9,FALSE)</f>
        <v>Obesity</v>
      </c>
      <c r="K713" t="str">
        <f>VLOOKUP(Table2[[#This Row],[Customer ID]],Table2[#All],10,FALSE)</f>
        <v>Diabetes</v>
      </c>
    </row>
    <row r="714" spans="1:11" ht="15.6" x14ac:dyDescent="0.3">
      <c r="A714" s="1" t="s">
        <v>1658</v>
      </c>
      <c r="B714" t="str">
        <f>VLOOKUP('Customer Names'!A714,'Customer Names'!$A$1:$E$2336,4,FALSE)</f>
        <v>Mr.  Albert</v>
      </c>
      <c r="C714">
        <f>VLOOKUP(Table2[[#This Row],[Customer ID]],Table2[#All],2,FALSE)</f>
        <v>37.905000000000001</v>
      </c>
      <c r="D714">
        <f>VLOOKUP(Table2[[#This Row],[Customer ID]],Table2[#All],3,FALSE)</f>
        <v>7.03</v>
      </c>
      <c r="E714" t="str">
        <f>VLOOKUP(Table2[[#This Row],[Customer ID]],Table2[#All],4,FALSE)</f>
        <v>No</v>
      </c>
      <c r="F714" t="str">
        <f>VLOOKUP(Table2[[#This Row],[Customer ID]],Table2[#All],5,FALSE)</f>
        <v>No</v>
      </c>
      <c r="G714" t="str">
        <f>VLOOKUP(Table2[[#This Row],[Customer ID]],Table2[#All],6,FALSE)</f>
        <v>No</v>
      </c>
      <c r="H714">
        <f>VLOOKUP(Table2[[#This Row],[Customer ID]],Table2[#All],7,FALSE)</f>
        <v>3</v>
      </c>
      <c r="I714" t="str">
        <f>VLOOKUP(Table2[[#This Row],[Customer ID]],Table2[#All],8,FALSE)</f>
        <v>No</v>
      </c>
      <c r="J714" t="str">
        <f>VLOOKUP(Table2[[#This Row],[Customer ID]],Table2[#All],9,FALSE)</f>
        <v>Obesity</v>
      </c>
      <c r="K714" t="str">
        <f>VLOOKUP(Table2[[#This Row],[Customer ID]],Table2[#All],10,FALSE)</f>
        <v>Diabetes</v>
      </c>
    </row>
    <row r="715" spans="1:11" ht="15.6" x14ac:dyDescent="0.3">
      <c r="A715" s="1" t="s">
        <v>1657</v>
      </c>
      <c r="B715" t="str">
        <f>VLOOKUP('Customer Names'!A715,'Customer Names'!$A$1:$E$2336,4,FALSE)</f>
        <v>Mrs.  Ashley</v>
      </c>
      <c r="C715">
        <f>VLOOKUP(Table2[[#This Row],[Customer ID]],Table2[#All],2,FALSE)</f>
        <v>43.35</v>
      </c>
      <c r="D715">
        <f>VLOOKUP(Table2[[#This Row],[Customer ID]],Table2[#All],3,FALSE)</f>
        <v>5.41</v>
      </c>
      <c r="E715" t="str">
        <f>VLOOKUP(Table2[[#This Row],[Customer ID]],Table2[#All],4,FALSE)</f>
        <v>Yes</v>
      </c>
      <c r="F715" t="str">
        <f>VLOOKUP(Table2[[#This Row],[Customer ID]],Table2[#All],5,FALSE)</f>
        <v>No</v>
      </c>
      <c r="G715" t="str">
        <f>VLOOKUP(Table2[[#This Row],[Customer ID]],Table2[#All],6,FALSE)</f>
        <v>Yes</v>
      </c>
      <c r="H715">
        <f>VLOOKUP(Table2[[#This Row],[Customer ID]],Table2[#All],7,FALSE)</f>
        <v>1</v>
      </c>
      <c r="I715" t="str">
        <f>VLOOKUP(Table2[[#This Row],[Customer ID]],Table2[#All],8,FALSE)</f>
        <v>No</v>
      </c>
      <c r="J715" t="str">
        <f>VLOOKUP(Table2[[#This Row],[Customer ID]],Table2[#All],9,FALSE)</f>
        <v>Obesity</v>
      </c>
      <c r="K715" t="str">
        <f>VLOOKUP(Table2[[#This Row],[Customer ID]],Table2[#All],10,FALSE)</f>
        <v>Normal</v>
      </c>
    </row>
    <row r="716" spans="1:11" ht="15.6" x14ac:dyDescent="0.3">
      <c r="A716" s="1" t="s">
        <v>1656</v>
      </c>
      <c r="B716" t="str">
        <f>VLOOKUP('Customer Names'!A716,'Customer Names'!$A$1:$E$2336,4,FALSE)</f>
        <v>Mrs.  Shannon L</v>
      </c>
      <c r="C716">
        <f>VLOOKUP(Table2[[#This Row],[Customer ID]],Table2[#All],2,FALSE)</f>
        <v>36.15</v>
      </c>
      <c r="D716">
        <f>VLOOKUP(Table2[[#This Row],[Customer ID]],Table2[#All],3,FALSE)</f>
        <v>8.0500000000000007</v>
      </c>
      <c r="E716" t="str">
        <f>VLOOKUP(Table2[[#This Row],[Customer ID]],Table2[#All],4,FALSE)</f>
        <v>No</v>
      </c>
      <c r="F716" t="str">
        <f>VLOOKUP(Table2[[#This Row],[Customer ID]],Table2[#All],5,FALSE)</f>
        <v>No</v>
      </c>
      <c r="G716" t="str">
        <f>VLOOKUP(Table2[[#This Row],[Customer ID]],Table2[#All],6,FALSE)</f>
        <v>No</v>
      </c>
      <c r="H716">
        <f>VLOOKUP(Table2[[#This Row],[Customer ID]],Table2[#All],7,FALSE)</f>
        <v>0</v>
      </c>
      <c r="I716" t="str">
        <f>VLOOKUP(Table2[[#This Row],[Customer ID]],Table2[#All],8,FALSE)</f>
        <v>No</v>
      </c>
      <c r="J716" t="str">
        <f>VLOOKUP(Table2[[#This Row],[Customer ID]],Table2[#All],9,FALSE)</f>
        <v>Obesity</v>
      </c>
      <c r="K716" t="str">
        <f>VLOOKUP(Table2[[#This Row],[Customer ID]],Table2[#All],10,FALSE)</f>
        <v>Diabetes</v>
      </c>
    </row>
    <row r="717" spans="1:11" ht="15.6" x14ac:dyDescent="0.3">
      <c r="A717" s="1" t="s">
        <v>1655</v>
      </c>
      <c r="B717" t="str">
        <f>VLOOKUP('Customer Names'!A717,'Customer Names'!$A$1:$E$2336,4,FALSE)</f>
        <v>Ms.  Amy B</v>
      </c>
      <c r="C717">
        <f>VLOOKUP(Table2[[#This Row],[Customer ID]],Table2[#All],2,FALSE)</f>
        <v>44.98</v>
      </c>
      <c r="D717">
        <f>VLOOKUP(Table2[[#This Row],[Customer ID]],Table2[#All],3,FALSE)</f>
        <v>5.94</v>
      </c>
      <c r="E717" t="str">
        <f>VLOOKUP(Table2[[#This Row],[Customer ID]],Table2[#All],4,FALSE)</f>
        <v>No</v>
      </c>
      <c r="F717" t="str">
        <f>VLOOKUP(Table2[[#This Row],[Customer ID]],Table2[#All],5,FALSE)</f>
        <v>No</v>
      </c>
      <c r="G717" t="str">
        <f>VLOOKUP(Table2[[#This Row],[Customer ID]],Table2[#All],6,FALSE)</f>
        <v>No</v>
      </c>
      <c r="H717">
        <f>VLOOKUP(Table2[[#This Row],[Customer ID]],Table2[#All],7,FALSE)</f>
        <v>1</v>
      </c>
      <c r="I717" t="str">
        <f>VLOOKUP(Table2[[#This Row],[Customer ID]],Table2[#All],8,FALSE)</f>
        <v>No</v>
      </c>
      <c r="J717" t="str">
        <f>VLOOKUP(Table2[[#This Row],[Customer ID]],Table2[#All],9,FALSE)</f>
        <v>Obesity</v>
      </c>
      <c r="K717" t="str">
        <f>VLOOKUP(Table2[[#This Row],[Customer ID]],Table2[#All],10,FALSE)</f>
        <v>Prediabetes</v>
      </c>
    </row>
    <row r="718" spans="1:11" ht="15.6" x14ac:dyDescent="0.3">
      <c r="A718" s="1" t="s">
        <v>1654</v>
      </c>
      <c r="B718" t="str">
        <f>VLOOKUP('Customer Names'!A718,'Customer Names'!$A$1:$E$2336,4,FALSE)</f>
        <v>Ms.  A Danielle</v>
      </c>
      <c r="C718">
        <f>VLOOKUP(Table2[[#This Row],[Customer ID]],Table2[#All],2,FALSE)</f>
        <v>38.28</v>
      </c>
      <c r="D718">
        <f>VLOOKUP(Table2[[#This Row],[Customer ID]],Table2[#All],3,FALSE)</f>
        <v>5.51</v>
      </c>
      <c r="E718" t="str">
        <f>VLOOKUP(Table2[[#This Row],[Customer ID]],Table2[#All],4,FALSE)</f>
        <v>No</v>
      </c>
      <c r="F718" t="str">
        <f>VLOOKUP(Table2[[#This Row],[Customer ID]],Table2[#All],5,FALSE)</f>
        <v>yes</v>
      </c>
      <c r="G718" t="str">
        <f>VLOOKUP(Table2[[#This Row],[Customer ID]],Table2[#All],6,FALSE)</f>
        <v>No</v>
      </c>
      <c r="H718">
        <f>VLOOKUP(Table2[[#This Row],[Customer ID]],Table2[#All],7,FALSE)</f>
        <v>1</v>
      </c>
      <c r="I718" t="str">
        <f>VLOOKUP(Table2[[#This Row],[Customer ID]],Table2[#All],8,FALSE)</f>
        <v>No</v>
      </c>
      <c r="J718" t="str">
        <f>VLOOKUP(Table2[[#This Row],[Customer ID]],Table2[#All],9,FALSE)</f>
        <v>Obesity</v>
      </c>
      <c r="K718" t="str">
        <f>VLOOKUP(Table2[[#This Row],[Customer ID]],Table2[#All],10,FALSE)</f>
        <v>Normal</v>
      </c>
    </row>
    <row r="719" spans="1:11" ht="15.6" x14ac:dyDescent="0.3">
      <c r="A719" s="1" t="s">
        <v>1653</v>
      </c>
      <c r="B719" t="str">
        <f>VLOOKUP('Customer Names'!A719,'Customer Names'!$A$1:$E$2336,4,FALSE)</f>
        <v>Mr.  Conrad F</v>
      </c>
      <c r="C719">
        <f>VLOOKUP(Table2[[#This Row],[Customer ID]],Table2[#All],2,FALSE)</f>
        <v>32.299999999999997</v>
      </c>
      <c r="D719">
        <f>VLOOKUP(Table2[[#This Row],[Customer ID]],Table2[#All],3,FALSE)</f>
        <v>6.55</v>
      </c>
      <c r="E719" t="str">
        <f>VLOOKUP(Table2[[#This Row],[Customer ID]],Table2[#All],4,FALSE)</f>
        <v>Yes</v>
      </c>
      <c r="F719" t="str">
        <f>VLOOKUP(Table2[[#This Row],[Customer ID]],Table2[#All],5,FALSE)</f>
        <v>No</v>
      </c>
      <c r="G719" t="str">
        <f>VLOOKUP(Table2[[#This Row],[Customer ID]],Table2[#All],6,FALSE)</f>
        <v>No</v>
      </c>
      <c r="H719">
        <f>VLOOKUP(Table2[[#This Row],[Customer ID]],Table2[#All],7,FALSE)</f>
        <v>2</v>
      </c>
      <c r="I719" t="str">
        <f>VLOOKUP(Table2[[#This Row],[Customer ID]],Table2[#All],8,FALSE)</f>
        <v>No</v>
      </c>
      <c r="J719" t="str">
        <f>VLOOKUP(Table2[[#This Row],[Customer ID]],Table2[#All],9,FALSE)</f>
        <v>Obesity</v>
      </c>
      <c r="K719" t="str">
        <f>VLOOKUP(Table2[[#This Row],[Customer ID]],Table2[#All],10,FALSE)</f>
        <v>Diabetes</v>
      </c>
    </row>
    <row r="720" spans="1:11" ht="15.6" x14ac:dyDescent="0.3">
      <c r="A720" s="1" t="s">
        <v>1652</v>
      </c>
      <c r="B720" t="str">
        <f>VLOOKUP('Customer Names'!A720,'Customer Names'!$A$1:$E$2336,4,FALSE)</f>
        <v>Mr.  Josh</v>
      </c>
      <c r="C720">
        <f>VLOOKUP(Table2[[#This Row],[Customer ID]],Table2[#All],2,FALSE)</f>
        <v>39.51</v>
      </c>
      <c r="D720">
        <f>VLOOKUP(Table2[[#This Row],[Customer ID]],Table2[#All],3,FALSE)</f>
        <v>5.79</v>
      </c>
      <c r="E720" t="str">
        <f>VLOOKUP(Table2[[#This Row],[Customer ID]],Table2[#All],4,FALSE)</f>
        <v>Yes</v>
      </c>
      <c r="F720" t="str">
        <f>VLOOKUP(Table2[[#This Row],[Customer ID]],Table2[#All],5,FALSE)</f>
        <v>No</v>
      </c>
      <c r="G720" t="str">
        <f>VLOOKUP(Table2[[#This Row],[Customer ID]],Table2[#All],6,FALSE)</f>
        <v>No</v>
      </c>
      <c r="H720">
        <f>VLOOKUP(Table2[[#This Row],[Customer ID]],Table2[#All],7,FALSE)</f>
        <v>0</v>
      </c>
      <c r="I720" t="str">
        <f>VLOOKUP(Table2[[#This Row],[Customer ID]],Table2[#All],8,FALSE)</f>
        <v>No</v>
      </c>
      <c r="J720" t="str">
        <f>VLOOKUP(Table2[[#This Row],[Customer ID]],Table2[#All],9,FALSE)</f>
        <v>Obesity</v>
      </c>
      <c r="K720" t="str">
        <f>VLOOKUP(Table2[[#This Row],[Customer ID]],Table2[#All],10,FALSE)</f>
        <v>Prediabetes</v>
      </c>
    </row>
    <row r="721" spans="1:11" ht="15.6" x14ac:dyDescent="0.3">
      <c r="A721" s="1" t="s">
        <v>1651</v>
      </c>
      <c r="B721" t="str">
        <f>VLOOKUP('Customer Names'!A721,'Customer Names'!$A$1:$E$2336,4,FALSE)</f>
        <v>Mr.  Maxime</v>
      </c>
      <c r="C721">
        <f>VLOOKUP(Table2[[#This Row],[Customer ID]],Table2[#All],2,FALSE)</f>
        <v>50.46</v>
      </c>
      <c r="D721">
        <f>VLOOKUP(Table2[[#This Row],[Customer ID]],Table2[#All],3,FALSE)</f>
        <v>4.5599999999999996</v>
      </c>
      <c r="E721" t="str">
        <f>VLOOKUP(Table2[[#This Row],[Customer ID]],Table2[#All],4,FALSE)</f>
        <v>No</v>
      </c>
      <c r="F721" t="str">
        <f>VLOOKUP(Table2[[#This Row],[Customer ID]],Table2[#All],5,FALSE)</f>
        <v>No</v>
      </c>
      <c r="G721" t="str">
        <f>VLOOKUP(Table2[[#This Row],[Customer ID]],Table2[#All],6,FALSE)</f>
        <v>No</v>
      </c>
      <c r="H721">
        <f>VLOOKUP(Table2[[#This Row],[Customer ID]],Table2[#All],7,FALSE)</f>
        <v>0</v>
      </c>
      <c r="I721" t="str">
        <f>VLOOKUP(Table2[[#This Row],[Customer ID]],Table2[#All],8,FALSE)</f>
        <v>No</v>
      </c>
      <c r="J721" t="str">
        <f>VLOOKUP(Table2[[#This Row],[Customer ID]],Table2[#All],9,FALSE)</f>
        <v>Obesity</v>
      </c>
      <c r="K721" t="str">
        <f>VLOOKUP(Table2[[#This Row],[Customer ID]],Table2[#All],10,FALSE)</f>
        <v>Normal</v>
      </c>
    </row>
    <row r="722" spans="1:11" ht="15.6" x14ac:dyDescent="0.3">
      <c r="A722" s="1" t="s">
        <v>1650</v>
      </c>
      <c r="B722" t="str">
        <f>VLOOKUP('Customer Names'!A722,'Customer Names'!$A$1:$E$2336,4,FALSE)</f>
        <v>Ms.  Natalie</v>
      </c>
      <c r="C722">
        <f>VLOOKUP(Table2[[#This Row],[Customer ID]],Table2[#All],2,FALSE)</f>
        <v>31.73</v>
      </c>
      <c r="D722">
        <f>VLOOKUP(Table2[[#This Row],[Customer ID]],Table2[#All],3,FALSE)</f>
        <v>7</v>
      </c>
      <c r="E722" t="str">
        <f>VLOOKUP(Table2[[#This Row],[Customer ID]],Table2[#All],4,FALSE)</f>
        <v>No</v>
      </c>
      <c r="F722" t="str">
        <f>VLOOKUP(Table2[[#This Row],[Customer ID]],Table2[#All],5,FALSE)</f>
        <v>No</v>
      </c>
      <c r="G722" t="str">
        <f>VLOOKUP(Table2[[#This Row],[Customer ID]],Table2[#All],6,FALSE)</f>
        <v>No</v>
      </c>
      <c r="H722">
        <f>VLOOKUP(Table2[[#This Row],[Customer ID]],Table2[#All],7,FALSE)</f>
        <v>0</v>
      </c>
      <c r="I722" t="str">
        <f>VLOOKUP(Table2[[#This Row],[Customer ID]],Table2[#All],8,FALSE)</f>
        <v>No</v>
      </c>
      <c r="J722" t="str">
        <f>VLOOKUP(Table2[[#This Row],[Customer ID]],Table2[#All],9,FALSE)</f>
        <v>Obesity</v>
      </c>
      <c r="K722" t="str">
        <f>VLOOKUP(Table2[[#This Row],[Customer ID]],Table2[#All],10,FALSE)</f>
        <v>Diabetes</v>
      </c>
    </row>
    <row r="723" spans="1:11" ht="15.6" x14ac:dyDescent="0.3">
      <c r="A723" s="1" t="s">
        <v>1649</v>
      </c>
      <c r="B723" t="str">
        <f>VLOOKUP('Customer Names'!A723,'Customer Names'!$A$1:$E$2336,4,FALSE)</f>
        <v>Ms.  Melissa</v>
      </c>
      <c r="C723">
        <f>VLOOKUP(Table2[[#This Row],[Customer ID]],Table2[#All],2,FALSE)</f>
        <v>32.1</v>
      </c>
      <c r="D723">
        <f>VLOOKUP(Table2[[#This Row],[Customer ID]],Table2[#All],3,FALSE)</f>
        <v>6.57</v>
      </c>
      <c r="E723" t="str">
        <f>VLOOKUP(Table2[[#This Row],[Customer ID]],Table2[#All],4,FALSE)</f>
        <v>Yes</v>
      </c>
      <c r="F723" t="str">
        <f>VLOOKUP(Table2[[#This Row],[Customer ID]],Table2[#All],5,FALSE)</f>
        <v>No</v>
      </c>
      <c r="G723" t="str">
        <f>VLOOKUP(Table2[[#This Row],[Customer ID]],Table2[#All],6,FALSE)</f>
        <v>Yes</v>
      </c>
      <c r="H723">
        <f>VLOOKUP(Table2[[#This Row],[Customer ID]],Table2[#All],7,FALSE)</f>
        <v>1</v>
      </c>
      <c r="I723" t="str">
        <f>VLOOKUP(Table2[[#This Row],[Customer ID]],Table2[#All],8,FALSE)</f>
        <v>No</v>
      </c>
      <c r="J723" t="str">
        <f>VLOOKUP(Table2[[#This Row],[Customer ID]],Table2[#All],9,FALSE)</f>
        <v>Obesity</v>
      </c>
      <c r="K723" t="str">
        <f>VLOOKUP(Table2[[#This Row],[Customer ID]],Table2[#All],10,FALSE)</f>
        <v>Diabetes</v>
      </c>
    </row>
    <row r="724" spans="1:11" ht="15.6" x14ac:dyDescent="0.3">
      <c r="A724" s="1" t="s">
        <v>1648</v>
      </c>
      <c r="B724" t="str">
        <f>VLOOKUP('Customer Names'!A724,'Customer Names'!$A$1:$E$2336,4,FALSE)</f>
        <v>Ms.  Laura P.</v>
      </c>
      <c r="C724">
        <f>VLOOKUP(Table2[[#This Row],[Customer ID]],Table2[#All],2,FALSE)</f>
        <v>27.83</v>
      </c>
      <c r="D724">
        <f>VLOOKUP(Table2[[#This Row],[Customer ID]],Table2[#All],3,FALSE)</f>
        <v>11.61</v>
      </c>
      <c r="E724" t="str">
        <f>VLOOKUP(Table2[[#This Row],[Customer ID]],Table2[#All],4,FALSE)</f>
        <v>Yes</v>
      </c>
      <c r="F724" t="str">
        <f>VLOOKUP(Table2[[#This Row],[Customer ID]],Table2[#All],5,FALSE)</f>
        <v>No</v>
      </c>
      <c r="G724" t="str">
        <f>VLOOKUP(Table2[[#This Row],[Customer ID]],Table2[#All],6,FALSE)</f>
        <v>Yes</v>
      </c>
      <c r="H724">
        <f>VLOOKUP(Table2[[#This Row],[Customer ID]],Table2[#All],7,FALSE)</f>
        <v>1</v>
      </c>
      <c r="I724" t="str">
        <f>VLOOKUP(Table2[[#This Row],[Customer ID]],Table2[#All],8,FALSE)</f>
        <v>No</v>
      </c>
      <c r="J724" t="str">
        <f>VLOOKUP(Table2[[#This Row],[Customer ID]],Table2[#All],9,FALSE)</f>
        <v>Overweight</v>
      </c>
      <c r="K724" t="str">
        <f>VLOOKUP(Table2[[#This Row],[Customer ID]],Table2[#All],10,FALSE)</f>
        <v>Diabetes</v>
      </c>
    </row>
    <row r="725" spans="1:11" ht="15.6" x14ac:dyDescent="0.3">
      <c r="A725" s="1" t="s">
        <v>1647</v>
      </c>
      <c r="B725" t="str">
        <f>VLOOKUP('Customer Names'!A725,'Customer Names'!$A$1:$E$2336,4,FALSE)</f>
        <v>Mrs.  Lisa</v>
      </c>
      <c r="C725">
        <f>VLOOKUP(Table2[[#This Row],[Customer ID]],Table2[#All],2,FALSE)</f>
        <v>27.72</v>
      </c>
      <c r="D725">
        <f>VLOOKUP(Table2[[#This Row],[Customer ID]],Table2[#All],3,FALSE)</f>
        <v>8.16</v>
      </c>
      <c r="E725" t="str">
        <f>VLOOKUP(Table2[[#This Row],[Customer ID]],Table2[#All],4,FALSE)</f>
        <v>Yes</v>
      </c>
      <c r="F725" t="str">
        <f>VLOOKUP(Table2[[#This Row],[Customer ID]],Table2[#All],5,FALSE)</f>
        <v>No</v>
      </c>
      <c r="G725" t="str">
        <f>VLOOKUP(Table2[[#This Row],[Customer ID]],Table2[#All],6,FALSE)</f>
        <v>Yes</v>
      </c>
      <c r="H725">
        <f>VLOOKUP(Table2[[#This Row],[Customer ID]],Table2[#All],7,FALSE)</f>
        <v>1</v>
      </c>
      <c r="I725" t="str">
        <f>VLOOKUP(Table2[[#This Row],[Customer ID]],Table2[#All],8,FALSE)</f>
        <v>No</v>
      </c>
      <c r="J725" t="str">
        <f>VLOOKUP(Table2[[#This Row],[Customer ID]],Table2[#All],9,FALSE)</f>
        <v>Overweight</v>
      </c>
      <c r="K725" t="str">
        <f>VLOOKUP(Table2[[#This Row],[Customer ID]],Table2[#All],10,FALSE)</f>
        <v>Diabetes</v>
      </c>
    </row>
    <row r="726" spans="1:11" ht="15.6" x14ac:dyDescent="0.3">
      <c r="A726" s="1" t="s">
        <v>1646</v>
      </c>
      <c r="B726" t="str">
        <f>VLOOKUP('Customer Names'!A726,'Customer Names'!$A$1:$E$2336,4,FALSE)</f>
        <v>Mr.  William D. Jr.</v>
      </c>
      <c r="C726">
        <f>VLOOKUP(Table2[[#This Row],[Customer ID]],Table2[#All],2,FALSE)</f>
        <v>36.765000000000001</v>
      </c>
      <c r="D726">
        <f>VLOOKUP(Table2[[#This Row],[Customer ID]],Table2[#All],3,FALSE)</f>
        <v>4.4800000000000004</v>
      </c>
      <c r="E726" t="str">
        <f>VLOOKUP(Table2[[#This Row],[Customer ID]],Table2[#All],4,FALSE)</f>
        <v>Yes</v>
      </c>
      <c r="F726" t="str">
        <f>VLOOKUP(Table2[[#This Row],[Customer ID]],Table2[#All],5,FALSE)</f>
        <v>No</v>
      </c>
      <c r="G726" t="str">
        <f>VLOOKUP(Table2[[#This Row],[Customer ID]],Table2[#All],6,FALSE)</f>
        <v>No</v>
      </c>
      <c r="H726">
        <f>VLOOKUP(Table2[[#This Row],[Customer ID]],Table2[#All],7,FALSE)</f>
        <v>2</v>
      </c>
      <c r="I726" t="str">
        <f>VLOOKUP(Table2[[#This Row],[Customer ID]],Table2[#All],8,FALSE)</f>
        <v>No</v>
      </c>
      <c r="J726" t="str">
        <f>VLOOKUP(Table2[[#This Row],[Customer ID]],Table2[#All],9,FALSE)</f>
        <v>Obesity</v>
      </c>
      <c r="K726" t="str">
        <f>VLOOKUP(Table2[[#This Row],[Customer ID]],Table2[#All],10,FALSE)</f>
        <v>Normal</v>
      </c>
    </row>
    <row r="727" spans="1:11" ht="15.6" x14ac:dyDescent="0.3">
      <c r="A727" s="1" t="s">
        <v>1645</v>
      </c>
      <c r="B727" t="str">
        <f>VLOOKUP('Customer Names'!A727,'Customer Names'!$A$1:$E$2336,4,FALSE)</f>
        <v>Mr.  James</v>
      </c>
      <c r="C727">
        <f>VLOOKUP(Table2[[#This Row],[Customer ID]],Table2[#All],2,FALSE)</f>
        <v>48.36</v>
      </c>
      <c r="D727">
        <f>VLOOKUP(Table2[[#This Row],[Customer ID]],Table2[#All],3,FALSE)</f>
        <v>4.08</v>
      </c>
      <c r="E727" t="str">
        <f>VLOOKUP(Table2[[#This Row],[Customer ID]],Table2[#All],4,FALSE)</f>
        <v>No</v>
      </c>
      <c r="F727" t="str">
        <f>VLOOKUP(Table2[[#This Row],[Customer ID]],Table2[#All],5,FALSE)</f>
        <v>No</v>
      </c>
      <c r="G727" t="str">
        <f>VLOOKUP(Table2[[#This Row],[Customer ID]],Table2[#All],6,FALSE)</f>
        <v>No</v>
      </c>
      <c r="H727">
        <f>VLOOKUP(Table2[[#This Row],[Customer ID]],Table2[#All],7,FALSE)</f>
        <v>0</v>
      </c>
      <c r="I727" t="str">
        <f>VLOOKUP(Table2[[#This Row],[Customer ID]],Table2[#All],8,FALSE)</f>
        <v>No</v>
      </c>
      <c r="J727" t="str">
        <f>VLOOKUP(Table2[[#This Row],[Customer ID]],Table2[#All],9,FALSE)</f>
        <v>Obesity</v>
      </c>
      <c r="K727" t="str">
        <f>VLOOKUP(Table2[[#This Row],[Customer ID]],Table2[#All],10,FALSE)</f>
        <v>Normal</v>
      </c>
    </row>
    <row r="728" spans="1:11" ht="15.6" x14ac:dyDescent="0.3">
      <c r="A728" s="1" t="s">
        <v>1644</v>
      </c>
      <c r="B728" t="str">
        <f>VLOOKUP('Customer Names'!A728,'Customer Names'!$A$1:$E$2336,4,FALSE)</f>
        <v>Mr.  John</v>
      </c>
      <c r="C728">
        <f>VLOOKUP(Table2[[#This Row],[Customer ID]],Table2[#All],2,FALSE)</f>
        <v>31.445</v>
      </c>
      <c r="D728">
        <f>VLOOKUP(Table2[[#This Row],[Customer ID]],Table2[#All],3,FALSE)</f>
        <v>4.4000000000000004</v>
      </c>
      <c r="E728" t="str">
        <f>VLOOKUP(Table2[[#This Row],[Customer ID]],Table2[#All],4,FALSE)</f>
        <v>Yes</v>
      </c>
      <c r="F728" t="str">
        <f>VLOOKUP(Table2[[#This Row],[Customer ID]],Table2[#All],5,FALSE)</f>
        <v>No</v>
      </c>
      <c r="G728" t="str">
        <f>VLOOKUP(Table2[[#This Row],[Customer ID]],Table2[#All],6,FALSE)</f>
        <v>No</v>
      </c>
      <c r="H728">
        <f>VLOOKUP(Table2[[#This Row],[Customer ID]],Table2[#All],7,FALSE)</f>
        <v>2</v>
      </c>
      <c r="I728" t="str">
        <f>VLOOKUP(Table2[[#This Row],[Customer ID]],Table2[#All],8,FALSE)</f>
        <v>No</v>
      </c>
      <c r="J728" t="str">
        <f>VLOOKUP(Table2[[#This Row],[Customer ID]],Table2[#All],9,FALSE)</f>
        <v>Obesity</v>
      </c>
      <c r="K728" t="str">
        <f>VLOOKUP(Table2[[#This Row],[Customer ID]],Table2[#All],10,FALSE)</f>
        <v>Normal</v>
      </c>
    </row>
    <row r="729" spans="1:11" ht="15.6" x14ac:dyDescent="0.3">
      <c r="A729" s="1" t="s">
        <v>1643</v>
      </c>
      <c r="B729" t="str">
        <f>VLOOKUP('Customer Names'!A729,'Customer Names'!$A$1:$E$2336,4,FALSE)</f>
        <v>Mr.  Adam S</v>
      </c>
      <c r="C729">
        <f>VLOOKUP(Table2[[#This Row],[Customer ID]],Table2[#All],2,FALSE)</f>
        <v>27.55</v>
      </c>
      <c r="D729">
        <f>VLOOKUP(Table2[[#This Row],[Customer ID]],Table2[#All],3,FALSE)</f>
        <v>9.02</v>
      </c>
      <c r="E729" t="str">
        <f>VLOOKUP(Table2[[#This Row],[Customer ID]],Table2[#All],4,FALSE)</f>
        <v>No</v>
      </c>
      <c r="F729" t="str">
        <f>VLOOKUP(Table2[[#This Row],[Customer ID]],Table2[#All],5,FALSE)</f>
        <v>No</v>
      </c>
      <c r="G729" t="str">
        <f>VLOOKUP(Table2[[#This Row],[Customer ID]],Table2[#All],6,FALSE)</f>
        <v>No</v>
      </c>
      <c r="H729">
        <f>VLOOKUP(Table2[[#This Row],[Customer ID]],Table2[#All],7,FALSE)</f>
        <v>0</v>
      </c>
      <c r="I729" t="str">
        <f>VLOOKUP(Table2[[#This Row],[Customer ID]],Table2[#All],8,FALSE)</f>
        <v>No</v>
      </c>
      <c r="J729" t="str">
        <f>VLOOKUP(Table2[[#This Row],[Customer ID]],Table2[#All],9,FALSE)</f>
        <v>Overweight</v>
      </c>
      <c r="K729" t="str">
        <f>VLOOKUP(Table2[[#This Row],[Customer ID]],Table2[#All],10,FALSE)</f>
        <v>Diabetes</v>
      </c>
    </row>
    <row r="730" spans="1:11" ht="15.6" x14ac:dyDescent="0.3">
      <c r="A730" s="1" t="s">
        <v>1642</v>
      </c>
      <c r="B730" t="str">
        <f>VLOOKUP('Customer Names'!A730,'Customer Names'!$A$1:$E$2336,4,FALSE)</f>
        <v>Mr.  Armando</v>
      </c>
      <c r="C730">
        <f>VLOOKUP(Table2[[#This Row],[Customer ID]],Table2[#All],2,FALSE)</f>
        <v>33.11</v>
      </c>
      <c r="D730">
        <f>VLOOKUP(Table2[[#This Row],[Customer ID]],Table2[#All],3,FALSE)</f>
        <v>8.06</v>
      </c>
      <c r="E730" t="str">
        <f>VLOOKUP(Table2[[#This Row],[Customer ID]],Table2[#All],4,FALSE)</f>
        <v>No</v>
      </c>
      <c r="F730" t="str">
        <f>VLOOKUP(Table2[[#This Row],[Customer ID]],Table2[#All],5,FALSE)</f>
        <v>No</v>
      </c>
      <c r="G730" t="str">
        <f>VLOOKUP(Table2[[#This Row],[Customer ID]],Table2[#All],6,FALSE)</f>
        <v>No</v>
      </c>
      <c r="H730">
        <f>VLOOKUP(Table2[[#This Row],[Customer ID]],Table2[#All],7,FALSE)</f>
        <v>0</v>
      </c>
      <c r="I730" t="str">
        <f>VLOOKUP(Table2[[#This Row],[Customer ID]],Table2[#All],8,FALSE)</f>
        <v>No</v>
      </c>
      <c r="J730" t="str">
        <f>VLOOKUP(Table2[[#This Row],[Customer ID]],Table2[#All],9,FALSE)</f>
        <v>Obesity</v>
      </c>
      <c r="K730" t="str">
        <f>VLOOKUP(Table2[[#This Row],[Customer ID]],Table2[#All],10,FALSE)</f>
        <v>Diabetes</v>
      </c>
    </row>
    <row r="731" spans="1:11" ht="15.6" x14ac:dyDescent="0.3">
      <c r="A731" s="1" t="s">
        <v>1641</v>
      </c>
      <c r="B731" t="str">
        <f>VLOOKUP('Customer Names'!A731,'Customer Names'!$A$1:$E$2336,4,FALSE)</f>
        <v>Ms.  Dana</v>
      </c>
      <c r="C731">
        <f>VLOOKUP(Table2[[#This Row],[Customer ID]],Table2[#All],2,FALSE)</f>
        <v>36.85</v>
      </c>
      <c r="D731">
        <f>VLOOKUP(Table2[[#This Row],[Customer ID]],Table2[#All],3,FALSE)</f>
        <v>6.21</v>
      </c>
      <c r="E731" t="str">
        <f>VLOOKUP(Table2[[#This Row],[Customer ID]],Table2[#All],4,FALSE)</f>
        <v>Yes</v>
      </c>
      <c r="F731" t="str">
        <f>VLOOKUP(Table2[[#This Row],[Customer ID]],Table2[#All],5,FALSE)</f>
        <v>No</v>
      </c>
      <c r="G731" t="str">
        <f>VLOOKUP(Table2[[#This Row],[Customer ID]],Table2[#All],6,FALSE)</f>
        <v>No</v>
      </c>
      <c r="H731">
        <f>VLOOKUP(Table2[[#This Row],[Customer ID]],Table2[#All],7,FALSE)</f>
        <v>2</v>
      </c>
      <c r="I731" t="str">
        <f>VLOOKUP(Table2[[#This Row],[Customer ID]],Table2[#All],8,FALSE)</f>
        <v>No</v>
      </c>
      <c r="J731" t="str">
        <f>VLOOKUP(Table2[[#This Row],[Customer ID]],Table2[#All],9,FALSE)</f>
        <v>Obesity</v>
      </c>
      <c r="K731" t="str">
        <f>VLOOKUP(Table2[[#This Row],[Customer ID]],Table2[#All],10,FALSE)</f>
        <v>Prediabetes</v>
      </c>
    </row>
    <row r="732" spans="1:11" ht="15.6" x14ac:dyDescent="0.3">
      <c r="A732" s="1" t="s">
        <v>1640</v>
      </c>
      <c r="B732" t="str">
        <f>VLOOKUP('Customer Names'!A732,'Customer Names'!$A$1:$E$2336,4,FALSE)</f>
        <v>Ms.  Jennifer L</v>
      </c>
      <c r="C732">
        <f>VLOOKUP(Table2[[#This Row],[Customer ID]],Table2[#All],2,FALSE)</f>
        <v>36.299999999999997</v>
      </c>
      <c r="D732">
        <f>VLOOKUP(Table2[[#This Row],[Customer ID]],Table2[#All],3,FALSE)</f>
        <v>5.79</v>
      </c>
      <c r="E732" t="str">
        <f>VLOOKUP(Table2[[#This Row],[Customer ID]],Table2[#All],4,FALSE)</f>
        <v>Yes</v>
      </c>
      <c r="F732" t="str">
        <f>VLOOKUP(Table2[[#This Row],[Customer ID]],Table2[#All],5,FALSE)</f>
        <v>No</v>
      </c>
      <c r="G732" t="str">
        <f>VLOOKUP(Table2[[#This Row],[Customer ID]],Table2[#All],6,FALSE)</f>
        <v>No</v>
      </c>
      <c r="H732">
        <f>VLOOKUP(Table2[[#This Row],[Customer ID]],Table2[#All],7,FALSE)</f>
        <v>2</v>
      </c>
      <c r="I732" t="str">
        <f>VLOOKUP(Table2[[#This Row],[Customer ID]],Table2[#All],8,FALSE)</f>
        <v>No</v>
      </c>
      <c r="J732" t="str">
        <f>VLOOKUP(Table2[[#This Row],[Customer ID]],Table2[#All],9,FALSE)</f>
        <v>Obesity</v>
      </c>
      <c r="K732" t="str">
        <f>VLOOKUP(Table2[[#This Row],[Customer ID]],Table2[#All],10,FALSE)</f>
        <v>Prediabetes</v>
      </c>
    </row>
    <row r="733" spans="1:11" ht="15.6" x14ac:dyDescent="0.3">
      <c r="A733" s="1" t="s">
        <v>1639</v>
      </c>
      <c r="B733" t="str">
        <f>VLOOKUP('Customer Names'!A733,'Customer Names'!$A$1:$E$2336,4,FALSE)</f>
        <v>Mr.  Benjamin</v>
      </c>
      <c r="C733">
        <f>VLOOKUP(Table2[[#This Row],[Customer ID]],Table2[#All],2,FALSE)</f>
        <v>45.34</v>
      </c>
      <c r="D733">
        <f>VLOOKUP(Table2[[#This Row],[Customer ID]],Table2[#All],3,FALSE)</f>
        <v>5.69</v>
      </c>
      <c r="E733" t="str">
        <f>VLOOKUP(Table2[[#This Row],[Customer ID]],Table2[#All],4,FALSE)</f>
        <v>Yes</v>
      </c>
      <c r="F733" t="str">
        <f>VLOOKUP(Table2[[#This Row],[Customer ID]],Table2[#All],5,FALSE)</f>
        <v>No</v>
      </c>
      <c r="G733" t="str">
        <f>VLOOKUP(Table2[[#This Row],[Customer ID]],Table2[#All],6,FALSE)</f>
        <v>No</v>
      </c>
      <c r="H733">
        <f>VLOOKUP(Table2[[#This Row],[Customer ID]],Table2[#All],7,FALSE)</f>
        <v>0</v>
      </c>
      <c r="I733" t="str">
        <f>VLOOKUP(Table2[[#This Row],[Customer ID]],Table2[#All],8,FALSE)</f>
        <v>No</v>
      </c>
      <c r="J733" t="str">
        <f>VLOOKUP(Table2[[#This Row],[Customer ID]],Table2[#All],9,FALSE)</f>
        <v>Obesity</v>
      </c>
      <c r="K733" t="str">
        <f>VLOOKUP(Table2[[#This Row],[Customer ID]],Table2[#All],10,FALSE)</f>
        <v>Normal</v>
      </c>
    </row>
    <row r="734" spans="1:11" ht="15.6" x14ac:dyDescent="0.3">
      <c r="A734" s="1" t="s">
        <v>1638</v>
      </c>
      <c r="B734" t="str">
        <f>VLOOKUP('Customer Names'!A734,'Customer Names'!$A$1:$E$2336,4,FALSE)</f>
        <v>Ms.  Tanya</v>
      </c>
      <c r="C734">
        <f>VLOOKUP(Table2[[#This Row],[Customer ID]],Table2[#All],2,FALSE)</f>
        <v>31.8</v>
      </c>
      <c r="D734">
        <f>VLOOKUP(Table2[[#This Row],[Customer ID]],Table2[#All],3,FALSE)</f>
        <v>5.36</v>
      </c>
      <c r="E734" t="str">
        <f>VLOOKUP(Table2[[#This Row],[Customer ID]],Table2[#All],4,FALSE)</f>
        <v>Yes</v>
      </c>
      <c r="F734" t="str">
        <f>VLOOKUP(Table2[[#This Row],[Customer ID]],Table2[#All],5,FALSE)</f>
        <v>No</v>
      </c>
      <c r="G734" t="str">
        <f>VLOOKUP(Table2[[#This Row],[Customer ID]],Table2[#All],6,FALSE)</f>
        <v>No</v>
      </c>
      <c r="H734">
        <f>VLOOKUP(Table2[[#This Row],[Customer ID]],Table2[#All],7,FALSE)</f>
        <v>2</v>
      </c>
      <c r="I734" t="str">
        <f>VLOOKUP(Table2[[#This Row],[Customer ID]],Table2[#All],8,FALSE)</f>
        <v>No</v>
      </c>
      <c r="J734" t="str">
        <f>VLOOKUP(Table2[[#This Row],[Customer ID]],Table2[#All],9,FALSE)</f>
        <v>Obesity</v>
      </c>
      <c r="K734" t="str">
        <f>VLOOKUP(Table2[[#This Row],[Customer ID]],Table2[#All],10,FALSE)</f>
        <v>Normal</v>
      </c>
    </row>
    <row r="735" spans="1:11" ht="15.6" x14ac:dyDescent="0.3">
      <c r="A735" s="1" t="s">
        <v>1637</v>
      </c>
      <c r="B735" t="str">
        <f>VLOOKUP('Customer Names'!A735,'Customer Names'!$A$1:$E$2336,4,FALSE)</f>
        <v>Ms.  Tracy</v>
      </c>
      <c r="C735">
        <f>VLOOKUP(Table2[[#This Row],[Customer ID]],Table2[#All],2,FALSE)</f>
        <v>41.02</v>
      </c>
      <c r="D735">
        <f>VLOOKUP(Table2[[#This Row],[Customer ID]],Table2[#All],3,FALSE)</f>
        <v>11.37</v>
      </c>
      <c r="E735" t="str">
        <f>VLOOKUP(Table2[[#This Row],[Customer ID]],Table2[#All],4,FALSE)</f>
        <v>No</v>
      </c>
      <c r="F735" t="str">
        <f>VLOOKUP(Table2[[#This Row],[Customer ID]],Table2[#All],5,FALSE)</f>
        <v>No</v>
      </c>
      <c r="G735" t="str">
        <f>VLOOKUP(Table2[[#This Row],[Customer ID]],Table2[#All],6,FALSE)</f>
        <v>No</v>
      </c>
      <c r="H735">
        <f>VLOOKUP(Table2[[#This Row],[Customer ID]],Table2[#All],7,FALSE)</f>
        <v>0</v>
      </c>
      <c r="I735" t="str">
        <f>VLOOKUP(Table2[[#This Row],[Customer ID]],Table2[#All],8,FALSE)</f>
        <v>No</v>
      </c>
      <c r="J735" t="str">
        <f>VLOOKUP(Table2[[#This Row],[Customer ID]],Table2[#All],9,FALSE)</f>
        <v>Obesity</v>
      </c>
      <c r="K735" t="str">
        <f>VLOOKUP(Table2[[#This Row],[Customer ID]],Table2[#All],10,FALSE)</f>
        <v>Diabetes</v>
      </c>
    </row>
    <row r="736" spans="1:11" ht="15.6" x14ac:dyDescent="0.3">
      <c r="A736" s="1" t="s">
        <v>1636</v>
      </c>
      <c r="B736" t="str">
        <f>VLOOKUP('Customer Names'!A736,'Customer Names'!$A$1:$E$2336,4,FALSE)</f>
        <v>Ms.  Emily S</v>
      </c>
      <c r="C736">
        <f>VLOOKUP(Table2[[#This Row],[Customer ID]],Table2[#All],2,FALSE)</f>
        <v>32.68</v>
      </c>
      <c r="D736">
        <f>VLOOKUP(Table2[[#This Row],[Customer ID]],Table2[#All],3,FALSE)</f>
        <v>11.87</v>
      </c>
      <c r="E736" t="str">
        <f>VLOOKUP(Table2[[#This Row],[Customer ID]],Table2[#All],4,FALSE)</f>
        <v>No</v>
      </c>
      <c r="F736" t="str">
        <f>VLOOKUP(Table2[[#This Row],[Customer ID]],Table2[#All],5,FALSE)</f>
        <v>No</v>
      </c>
      <c r="G736" t="str">
        <f>VLOOKUP(Table2[[#This Row],[Customer ID]],Table2[#All],6,FALSE)</f>
        <v>No</v>
      </c>
      <c r="H736">
        <f>VLOOKUP(Table2[[#This Row],[Customer ID]],Table2[#All],7,FALSE)</f>
        <v>0</v>
      </c>
      <c r="I736" t="str">
        <f>VLOOKUP(Table2[[#This Row],[Customer ID]],Table2[#All],8,FALSE)</f>
        <v>No</v>
      </c>
      <c r="J736" t="str">
        <f>VLOOKUP(Table2[[#This Row],[Customer ID]],Table2[#All],9,FALSE)</f>
        <v>Obesity</v>
      </c>
      <c r="K736" t="str">
        <f>VLOOKUP(Table2[[#This Row],[Customer ID]],Table2[#All],10,FALSE)</f>
        <v>Diabetes</v>
      </c>
    </row>
    <row r="737" spans="1:11" ht="15.6" x14ac:dyDescent="0.3">
      <c r="A737" s="1" t="s">
        <v>1635</v>
      </c>
      <c r="B737" t="str">
        <f>VLOOKUP('Customer Names'!A737,'Customer Names'!$A$1:$E$2336,4,FALSE)</f>
        <v>Ms.  Kelly R</v>
      </c>
      <c r="C737">
        <f>VLOOKUP(Table2[[#This Row],[Customer ID]],Table2[#All],2,FALSE)</f>
        <v>21.7</v>
      </c>
      <c r="D737">
        <f>VLOOKUP(Table2[[#This Row],[Customer ID]],Table2[#All],3,FALSE)</f>
        <v>4.9000000000000004</v>
      </c>
      <c r="E737" t="str">
        <f>VLOOKUP(Table2[[#This Row],[Customer ID]],Table2[#All],4,FALSE)</f>
        <v>No</v>
      </c>
      <c r="F737" t="str">
        <f>VLOOKUP(Table2[[#This Row],[Customer ID]],Table2[#All],5,FALSE)</f>
        <v>No</v>
      </c>
      <c r="G737" t="str">
        <f>VLOOKUP(Table2[[#This Row],[Customer ID]],Table2[#All],6,FALSE)</f>
        <v>Yes</v>
      </c>
      <c r="H737">
        <f>VLOOKUP(Table2[[#This Row],[Customer ID]],Table2[#All],7,FALSE)</f>
        <v>1</v>
      </c>
      <c r="I737" t="str">
        <f>VLOOKUP(Table2[[#This Row],[Customer ID]],Table2[#All],8,FALSE)</f>
        <v>Yes</v>
      </c>
      <c r="J737" t="str">
        <f>VLOOKUP(Table2[[#This Row],[Customer ID]],Table2[#All],9,FALSE)</f>
        <v>Normalweight</v>
      </c>
      <c r="K737" t="str">
        <f>VLOOKUP(Table2[[#This Row],[Customer ID]],Table2[#All],10,FALSE)</f>
        <v>Normal</v>
      </c>
    </row>
    <row r="738" spans="1:11" ht="15.6" x14ac:dyDescent="0.3">
      <c r="A738" s="1" t="s">
        <v>1634</v>
      </c>
      <c r="B738" t="str">
        <f>VLOOKUP('Customer Names'!A738,'Customer Names'!$A$1:$E$2336,4,FALSE)</f>
        <v>Mr.  Kyle</v>
      </c>
      <c r="C738">
        <f>VLOOKUP(Table2[[#This Row],[Customer ID]],Table2[#All],2,FALSE)</f>
        <v>40.479999999999997</v>
      </c>
      <c r="D738">
        <f>VLOOKUP(Table2[[#This Row],[Customer ID]],Table2[#All],3,FALSE)</f>
        <v>6.7</v>
      </c>
      <c r="E738" t="str">
        <f>VLOOKUP(Table2[[#This Row],[Customer ID]],Table2[#All],4,FALSE)</f>
        <v>No</v>
      </c>
      <c r="F738" t="str">
        <f>VLOOKUP(Table2[[#This Row],[Customer ID]],Table2[#All],5,FALSE)</f>
        <v>No</v>
      </c>
      <c r="G738" t="str">
        <f>VLOOKUP(Table2[[#This Row],[Customer ID]],Table2[#All],6,FALSE)</f>
        <v>No</v>
      </c>
      <c r="H738">
        <f>VLOOKUP(Table2[[#This Row],[Customer ID]],Table2[#All],7,FALSE)</f>
        <v>3</v>
      </c>
      <c r="I738" t="str">
        <f>VLOOKUP(Table2[[#This Row],[Customer ID]],Table2[#All],8,FALSE)</f>
        <v>No</v>
      </c>
      <c r="J738" t="str">
        <f>VLOOKUP(Table2[[#This Row],[Customer ID]],Table2[#All],9,FALSE)</f>
        <v>Obesity</v>
      </c>
      <c r="K738" t="str">
        <f>VLOOKUP(Table2[[#This Row],[Customer ID]],Table2[#All],10,FALSE)</f>
        <v>Diabetes</v>
      </c>
    </row>
    <row r="739" spans="1:11" ht="15.6" x14ac:dyDescent="0.3">
      <c r="A739" s="1" t="s">
        <v>1633</v>
      </c>
      <c r="B739" t="str">
        <f>VLOOKUP('Customer Names'!A739,'Customer Names'!$A$1:$E$2336,4,FALSE)</f>
        <v>Mr.  Bruce A Jr.</v>
      </c>
      <c r="C739">
        <f>VLOOKUP(Table2[[#This Row],[Customer ID]],Table2[#All],2,FALSE)</f>
        <v>34.5</v>
      </c>
      <c r="D739">
        <f>VLOOKUP(Table2[[#This Row],[Customer ID]],Table2[#All],3,FALSE)</f>
        <v>10.3</v>
      </c>
      <c r="E739" t="str">
        <f>VLOOKUP(Table2[[#This Row],[Customer ID]],Table2[#All],4,FALSE)</f>
        <v>No</v>
      </c>
      <c r="F739" t="str">
        <f>VLOOKUP(Table2[[#This Row],[Customer ID]],Table2[#All],5,FALSE)</f>
        <v>No</v>
      </c>
      <c r="G739" t="str">
        <f>VLOOKUP(Table2[[#This Row],[Customer ID]],Table2[#All],6,FALSE)</f>
        <v>No</v>
      </c>
      <c r="H739">
        <f>VLOOKUP(Table2[[#This Row],[Customer ID]],Table2[#All],7,FALSE)</f>
        <v>3</v>
      </c>
      <c r="I739" t="str">
        <f>VLOOKUP(Table2[[#This Row],[Customer ID]],Table2[#All],8,FALSE)</f>
        <v>No</v>
      </c>
      <c r="J739" t="str">
        <f>VLOOKUP(Table2[[#This Row],[Customer ID]],Table2[#All],9,FALSE)</f>
        <v>Obesity</v>
      </c>
      <c r="K739" t="str">
        <f>VLOOKUP(Table2[[#This Row],[Customer ID]],Table2[#All],10,FALSE)</f>
        <v>Diabetes</v>
      </c>
    </row>
    <row r="740" spans="1:11" ht="15.6" x14ac:dyDescent="0.3">
      <c r="A740" s="1" t="s">
        <v>1632</v>
      </c>
      <c r="B740" t="str">
        <f>VLOOKUP('Customer Names'!A740,'Customer Names'!$A$1:$E$2336,4,FALSE)</f>
        <v>Mr.  Cary J</v>
      </c>
      <c r="C740">
        <f>VLOOKUP(Table2[[#This Row],[Customer ID]],Table2[#All],2,FALSE)</f>
        <v>45.9</v>
      </c>
      <c r="D740">
        <f>VLOOKUP(Table2[[#This Row],[Customer ID]],Table2[#All],3,FALSE)</f>
        <v>11.14</v>
      </c>
      <c r="E740" t="str">
        <f>VLOOKUP(Table2[[#This Row],[Customer ID]],Table2[#All],4,FALSE)</f>
        <v>Yes</v>
      </c>
      <c r="F740" t="str">
        <f>VLOOKUP(Table2[[#This Row],[Customer ID]],Table2[#All],5,FALSE)</f>
        <v>No</v>
      </c>
      <c r="G740" t="str">
        <f>VLOOKUP(Table2[[#This Row],[Customer ID]],Table2[#All],6,FALSE)</f>
        <v>No</v>
      </c>
      <c r="H740">
        <f>VLOOKUP(Table2[[#This Row],[Customer ID]],Table2[#All],7,FALSE)</f>
        <v>1</v>
      </c>
      <c r="I740" t="str">
        <f>VLOOKUP(Table2[[#This Row],[Customer ID]],Table2[#All],8,FALSE)</f>
        <v>No</v>
      </c>
      <c r="J740" t="str">
        <f>VLOOKUP(Table2[[#This Row],[Customer ID]],Table2[#All],9,FALSE)</f>
        <v>Obesity</v>
      </c>
      <c r="K740" t="str">
        <f>VLOOKUP(Table2[[#This Row],[Customer ID]],Table2[#All],10,FALSE)</f>
        <v>Diabetes</v>
      </c>
    </row>
    <row r="741" spans="1:11" ht="15.6" x14ac:dyDescent="0.3">
      <c r="A741" s="1" t="s">
        <v>1631</v>
      </c>
      <c r="B741" t="str">
        <f>VLOOKUP('Customer Names'!A741,'Customer Names'!$A$1:$E$2336,4,FALSE)</f>
        <v>Mrs.  Jill M</v>
      </c>
      <c r="C741">
        <f>VLOOKUP(Table2[[#This Row],[Customer ID]],Table2[#All],2,FALSE)</f>
        <v>33.479999999999997</v>
      </c>
      <c r="D741">
        <f>VLOOKUP(Table2[[#This Row],[Customer ID]],Table2[#All],3,FALSE)</f>
        <v>4.74</v>
      </c>
      <c r="E741" t="str">
        <f>VLOOKUP(Table2[[#This Row],[Customer ID]],Table2[#All],4,FALSE)</f>
        <v>Yes</v>
      </c>
      <c r="F741" t="str">
        <f>VLOOKUP(Table2[[#This Row],[Customer ID]],Table2[#All],5,FALSE)</f>
        <v>No</v>
      </c>
      <c r="G741" t="str">
        <f>VLOOKUP(Table2[[#This Row],[Customer ID]],Table2[#All],6,FALSE)</f>
        <v>No</v>
      </c>
      <c r="H741">
        <f>VLOOKUP(Table2[[#This Row],[Customer ID]],Table2[#All],7,FALSE)</f>
        <v>2</v>
      </c>
      <c r="I741" t="str">
        <f>VLOOKUP(Table2[[#This Row],[Customer ID]],Table2[#All],8,FALSE)</f>
        <v>No</v>
      </c>
      <c r="J741" t="str">
        <f>VLOOKUP(Table2[[#This Row],[Customer ID]],Table2[#All],9,FALSE)</f>
        <v>Obesity</v>
      </c>
      <c r="K741" t="str">
        <f>VLOOKUP(Table2[[#This Row],[Customer ID]],Table2[#All],10,FALSE)</f>
        <v>Normal</v>
      </c>
    </row>
    <row r="742" spans="1:11" ht="15.6" x14ac:dyDescent="0.3">
      <c r="A742" s="1" t="s">
        <v>1630</v>
      </c>
      <c r="B742" t="str">
        <f>VLOOKUP('Customer Names'!A742,'Customer Names'!$A$1:$E$2336,4,FALSE)</f>
        <v>Mr.  Chris</v>
      </c>
      <c r="C742">
        <f>VLOOKUP(Table2[[#This Row],[Customer ID]],Table2[#All],2,FALSE)</f>
        <v>28.31</v>
      </c>
      <c r="D742">
        <f>VLOOKUP(Table2[[#This Row],[Customer ID]],Table2[#All],3,FALSE)</f>
        <v>5.96</v>
      </c>
      <c r="E742" t="str">
        <f>VLOOKUP(Table2[[#This Row],[Customer ID]],Table2[#All],4,FALSE)</f>
        <v>Yes</v>
      </c>
      <c r="F742" t="str">
        <f>VLOOKUP(Table2[[#This Row],[Customer ID]],Table2[#All],5,FALSE)</f>
        <v>No</v>
      </c>
      <c r="G742" t="str">
        <f>VLOOKUP(Table2[[#This Row],[Customer ID]],Table2[#All],6,FALSE)</f>
        <v>No</v>
      </c>
      <c r="H742">
        <f>VLOOKUP(Table2[[#This Row],[Customer ID]],Table2[#All],7,FALSE)</f>
        <v>2</v>
      </c>
      <c r="I742" t="str">
        <f>VLOOKUP(Table2[[#This Row],[Customer ID]],Table2[#All],8,FALSE)</f>
        <v>No</v>
      </c>
      <c r="J742" t="str">
        <f>VLOOKUP(Table2[[#This Row],[Customer ID]],Table2[#All],9,FALSE)</f>
        <v>Overweight</v>
      </c>
      <c r="K742" t="str">
        <f>VLOOKUP(Table2[[#This Row],[Customer ID]],Table2[#All],10,FALSE)</f>
        <v>Prediabetes</v>
      </c>
    </row>
    <row r="743" spans="1:11" ht="15.6" x14ac:dyDescent="0.3">
      <c r="A743" s="1" t="s">
        <v>1629</v>
      </c>
      <c r="B743" t="str">
        <f>VLOOKUP('Customer Names'!A743,'Customer Names'!$A$1:$E$2336,4,FALSE)</f>
        <v>Mr.  Michael E.</v>
      </c>
      <c r="C743">
        <f>VLOOKUP(Table2[[#This Row],[Customer ID]],Table2[#All],2,FALSE)</f>
        <v>21.565000000000001</v>
      </c>
      <c r="D743">
        <f>VLOOKUP(Table2[[#This Row],[Customer ID]],Table2[#All],3,FALSE)</f>
        <v>4.95</v>
      </c>
      <c r="E743" t="str">
        <f>VLOOKUP(Table2[[#This Row],[Customer ID]],Table2[#All],4,FALSE)</f>
        <v>No</v>
      </c>
      <c r="F743" t="str">
        <f>VLOOKUP(Table2[[#This Row],[Customer ID]],Table2[#All],5,FALSE)</f>
        <v>yes</v>
      </c>
      <c r="G743" t="str">
        <f>VLOOKUP(Table2[[#This Row],[Customer ID]],Table2[#All],6,FALSE)</f>
        <v>No</v>
      </c>
      <c r="H743">
        <f>VLOOKUP(Table2[[#This Row],[Customer ID]],Table2[#All],7,FALSE)</f>
        <v>1</v>
      </c>
      <c r="I743" t="str">
        <f>VLOOKUP(Table2[[#This Row],[Customer ID]],Table2[#All],8,FALSE)</f>
        <v>Yes</v>
      </c>
      <c r="J743" t="str">
        <f>VLOOKUP(Table2[[#This Row],[Customer ID]],Table2[#All],9,FALSE)</f>
        <v>Normalweight</v>
      </c>
      <c r="K743" t="str">
        <f>VLOOKUP(Table2[[#This Row],[Customer ID]],Table2[#All],10,FALSE)</f>
        <v>Normal</v>
      </c>
    </row>
    <row r="744" spans="1:11" ht="15.6" x14ac:dyDescent="0.3">
      <c r="A744" s="1" t="s">
        <v>1628</v>
      </c>
      <c r="B744" t="str">
        <f>VLOOKUP('Customer Names'!A744,'Customer Names'!$A$1:$E$2336,4,FALSE)</f>
        <v>Mrs.  Lauren</v>
      </c>
      <c r="C744">
        <f>VLOOKUP(Table2[[#This Row],[Customer ID]],Table2[#All],2,FALSE)</f>
        <v>35.590000000000003</v>
      </c>
      <c r="D744">
        <f>VLOOKUP(Table2[[#This Row],[Customer ID]],Table2[#All],3,FALSE)</f>
        <v>5.21</v>
      </c>
      <c r="E744" t="str">
        <f>VLOOKUP(Table2[[#This Row],[Customer ID]],Table2[#All],4,FALSE)</f>
        <v>Yes</v>
      </c>
      <c r="F744" t="str">
        <f>VLOOKUP(Table2[[#This Row],[Customer ID]],Table2[#All],5,FALSE)</f>
        <v>No</v>
      </c>
      <c r="G744" t="str">
        <f>VLOOKUP(Table2[[#This Row],[Customer ID]],Table2[#All],6,FALSE)</f>
        <v>Yes</v>
      </c>
      <c r="H744">
        <f>VLOOKUP(Table2[[#This Row],[Customer ID]],Table2[#All],7,FALSE)</f>
        <v>1</v>
      </c>
      <c r="I744" t="str">
        <f>VLOOKUP(Table2[[#This Row],[Customer ID]],Table2[#All],8,FALSE)</f>
        <v>No</v>
      </c>
      <c r="J744" t="str">
        <f>VLOOKUP(Table2[[#This Row],[Customer ID]],Table2[#All],9,FALSE)</f>
        <v>Obesity</v>
      </c>
      <c r="K744" t="str">
        <f>VLOOKUP(Table2[[#This Row],[Customer ID]],Table2[#All],10,FALSE)</f>
        <v>Normal</v>
      </c>
    </row>
    <row r="745" spans="1:11" ht="15.6" x14ac:dyDescent="0.3">
      <c r="A745" s="1" t="s">
        <v>1627</v>
      </c>
      <c r="B745" t="str">
        <f>VLOOKUP('Customer Names'!A745,'Customer Names'!$A$1:$E$2336,4,FALSE)</f>
        <v>Mrs.  Kathryn E</v>
      </c>
      <c r="C745">
        <f>VLOOKUP(Table2[[#This Row],[Customer ID]],Table2[#All],2,FALSE)</f>
        <v>43.44</v>
      </c>
      <c r="D745">
        <f>VLOOKUP(Table2[[#This Row],[Customer ID]],Table2[#All],3,FALSE)</f>
        <v>4.8600000000000003</v>
      </c>
      <c r="E745" t="str">
        <f>VLOOKUP(Table2[[#This Row],[Customer ID]],Table2[#All],4,FALSE)</f>
        <v>Yes</v>
      </c>
      <c r="F745" t="str">
        <f>VLOOKUP(Table2[[#This Row],[Customer ID]],Table2[#All],5,FALSE)</f>
        <v>No</v>
      </c>
      <c r="G745" t="str">
        <f>VLOOKUP(Table2[[#This Row],[Customer ID]],Table2[#All],6,FALSE)</f>
        <v>No</v>
      </c>
      <c r="H745">
        <f>VLOOKUP(Table2[[#This Row],[Customer ID]],Table2[#All],7,FALSE)</f>
        <v>0</v>
      </c>
      <c r="I745" t="str">
        <f>VLOOKUP(Table2[[#This Row],[Customer ID]],Table2[#All],8,FALSE)</f>
        <v>No</v>
      </c>
      <c r="J745" t="str">
        <f>VLOOKUP(Table2[[#This Row],[Customer ID]],Table2[#All],9,FALSE)</f>
        <v>Obesity</v>
      </c>
      <c r="K745" t="str">
        <f>VLOOKUP(Table2[[#This Row],[Customer ID]],Table2[#All],10,FALSE)</f>
        <v>Normal</v>
      </c>
    </row>
    <row r="746" spans="1:11" ht="15.6" x14ac:dyDescent="0.3">
      <c r="A746" s="1" t="s">
        <v>1626</v>
      </c>
      <c r="B746" t="str">
        <f>VLOOKUP('Customer Names'!A746,'Customer Names'!$A$1:$E$2336,4,FALSE)</f>
        <v>Ms.  Polly</v>
      </c>
      <c r="C746">
        <f>VLOOKUP(Table2[[#This Row],[Customer ID]],Table2[#All],2,FALSE)</f>
        <v>21.754999999999999</v>
      </c>
      <c r="D746">
        <f>VLOOKUP(Table2[[#This Row],[Customer ID]],Table2[#All],3,FALSE)</f>
        <v>7.79</v>
      </c>
      <c r="E746" t="str">
        <f>VLOOKUP(Table2[[#This Row],[Customer ID]],Table2[#All],4,FALSE)</f>
        <v>Yes</v>
      </c>
      <c r="F746" t="str">
        <f>VLOOKUP(Table2[[#This Row],[Customer ID]],Table2[#All],5,FALSE)</f>
        <v>No</v>
      </c>
      <c r="G746" t="str">
        <f>VLOOKUP(Table2[[#This Row],[Customer ID]],Table2[#All],6,FALSE)</f>
        <v>No</v>
      </c>
      <c r="H746">
        <f>VLOOKUP(Table2[[#This Row],[Customer ID]],Table2[#All],7,FALSE)</f>
        <v>0</v>
      </c>
      <c r="I746" t="str">
        <f>VLOOKUP(Table2[[#This Row],[Customer ID]],Table2[#All],8,FALSE)</f>
        <v>No</v>
      </c>
      <c r="J746" t="str">
        <f>VLOOKUP(Table2[[#This Row],[Customer ID]],Table2[#All],9,FALSE)</f>
        <v>Normalweight</v>
      </c>
      <c r="K746" t="str">
        <f>VLOOKUP(Table2[[#This Row],[Customer ID]],Table2[#All],10,FALSE)</f>
        <v>Diabetes</v>
      </c>
    </row>
    <row r="747" spans="1:11" ht="15.6" x14ac:dyDescent="0.3">
      <c r="A747" s="1" t="s">
        <v>1625</v>
      </c>
      <c r="B747" t="str">
        <f>VLOOKUP('Customer Names'!A747,'Customer Names'!$A$1:$E$2336,4,FALSE)</f>
        <v>Mr.  Mark H.</v>
      </c>
      <c r="C747">
        <f>VLOOKUP(Table2[[#This Row],[Customer ID]],Table2[#All],2,FALSE)</f>
        <v>44.55</v>
      </c>
      <c r="D747">
        <f>VLOOKUP(Table2[[#This Row],[Customer ID]],Table2[#All],3,FALSE)</f>
        <v>7.12</v>
      </c>
      <c r="E747" t="str">
        <f>VLOOKUP(Table2[[#This Row],[Customer ID]],Table2[#All],4,FALSE)</f>
        <v>Yes</v>
      </c>
      <c r="F747" t="str">
        <f>VLOOKUP(Table2[[#This Row],[Customer ID]],Table2[#All],5,FALSE)</f>
        <v>No</v>
      </c>
      <c r="G747" t="str">
        <f>VLOOKUP(Table2[[#This Row],[Customer ID]],Table2[#All],6,FALSE)</f>
        <v>No</v>
      </c>
      <c r="H747">
        <f>VLOOKUP(Table2[[#This Row],[Customer ID]],Table2[#All],7,FALSE)</f>
        <v>1</v>
      </c>
      <c r="I747" t="str">
        <f>VLOOKUP(Table2[[#This Row],[Customer ID]],Table2[#All],8,FALSE)</f>
        <v>No</v>
      </c>
      <c r="J747" t="str">
        <f>VLOOKUP(Table2[[#This Row],[Customer ID]],Table2[#All],9,FALSE)</f>
        <v>Obesity</v>
      </c>
      <c r="K747" t="str">
        <f>VLOOKUP(Table2[[#This Row],[Customer ID]],Table2[#All],10,FALSE)</f>
        <v>Diabetes</v>
      </c>
    </row>
    <row r="748" spans="1:11" ht="15.6" x14ac:dyDescent="0.3">
      <c r="A748" s="1" t="s">
        <v>1624</v>
      </c>
      <c r="B748" t="str">
        <f>VLOOKUP('Customer Names'!A748,'Customer Names'!$A$1:$E$2336,4,FALSE)</f>
        <v>Mrs.  Jessie M.</v>
      </c>
      <c r="C748">
        <f>VLOOKUP(Table2[[#This Row],[Customer ID]],Table2[#All],2,FALSE)</f>
        <v>43.32</v>
      </c>
      <c r="D748">
        <f>VLOOKUP(Table2[[#This Row],[Customer ID]],Table2[#All],3,FALSE)</f>
        <v>4.67</v>
      </c>
      <c r="E748" t="str">
        <f>VLOOKUP(Table2[[#This Row],[Customer ID]],Table2[#All],4,FALSE)</f>
        <v>Yes</v>
      </c>
      <c r="F748" t="str">
        <f>VLOOKUP(Table2[[#This Row],[Customer ID]],Table2[#All],5,FALSE)</f>
        <v>No</v>
      </c>
      <c r="G748" t="str">
        <f>VLOOKUP(Table2[[#This Row],[Customer ID]],Table2[#All],6,FALSE)</f>
        <v>No</v>
      </c>
      <c r="H748">
        <f>VLOOKUP(Table2[[#This Row],[Customer ID]],Table2[#All],7,FALSE)</f>
        <v>0</v>
      </c>
      <c r="I748" t="str">
        <f>VLOOKUP(Table2[[#This Row],[Customer ID]],Table2[#All],8,FALSE)</f>
        <v>No</v>
      </c>
      <c r="J748" t="str">
        <f>VLOOKUP(Table2[[#This Row],[Customer ID]],Table2[#All],9,FALSE)</f>
        <v>Obesity</v>
      </c>
      <c r="K748" t="str">
        <f>VLOOKUP(Table2[[#This Row],[Customer ID]],Table2[#All],10,FALSE)</f>
        <v>Normal</v>
      </c>
    </row>
    <row r="749" spans="1:11" ht="15.6" x14ac:dyDescent="0.3">
      <c r="A749" s="1" t="s">
        <v>1623</v>
      </c>
      <c r="B749" t="str">
        <f>VLOOKUP('Customer Names'!A749,'Customer Names'!$A$1:$E$2336,4,FALSE)</f>
        <v>Mr.  Chris</v>
      </c>
      <c r="C749">
        <f>VLOOKUP(Table2[[#This Row],[Customer ID]],Table2[#All],2,FALSE)</f>
        <v>31.23</v>
      </c>
      <c r="D749">
        <f>VLOOKUP(Table2[[#This Row],[Customer ID]],Table2[#All],3,FALSE)</f>
        <v>9.1199999999999992</v>
      </c>
      <c r="E749" t="str">
        <f>VLOOKUP(Table2[[#This Row],[Customer ID]],Table2[#All],4,FALSE)</f>
        <v>Yes</v>
      </c>
      <c r="F749" t="str">
        <f>VLOOKUP(Table2[[#This Row],[Customer ID]],Table2[#All],5,FALSE)</f>
        <v>No</v>
      </c>
      <c r="G749" t="str">
        <f>VLOOKUP(Table2[[#This Row],[Customer ID]],Table2[#All],6,FALSE)</f>
        <v>Yes</v>
      </c>
      <c r="H749">
        <f>VLOOKUP(Table2[[#This Row],[Customer ID]],Table2[#All],7,FALSE)</f>
        <v>1</v>
      </c>
      <c r="I749" t="str">
        <f>VLOOKUP(Table2[[#This Row],[Customer ID]],Table2[#All],8,FALSE)</f>
        <v>No</v>
      </c>
      <c r="J749" t="str">
        <f>VLOOKUP(Table2[[#This Row],[Customer ID]],Table2[#All],9,FALSE)</f>
        <v>Obesity</v>
      </c>
      <c r="K749" t="str">
        <f>VLOOKUP(Table2[[#This Row],[Customer ID]],Table2[#All],10,FALSE)</f>
        <v>Diabetes</v>
      </c>
    </row>
    <row r="750" spans="1:11" ht="15.6" x14ac:dyDescent="0.3">
      <c r="A750" s="1" t="s">
        <v>1622</v>
      </c>
      <c r="B750" t="str">
        <f>VLOOKUP('Customer Names'!A750,'Customer Names'!$A$1:$E$2336,4,FALSE)</f>
        <v>Mr.  Daniel</v>
      </c>
      <c r="C750">
        <f>VLOOKUP(Table2[[#This Row],[Customer ID]],Table2[#All],2,FALSE)</f>
        <v>42.81</v>
      </c>
      <c r="D750">
        <f>VLOOKUP(Table2[[#This Row],[Customer ID]],Table2[#All],3,FALSE)</f>
        <v>4.1500000000000004</v>
      </c>
      <c r="E750" t="str">
        <f>VLOOKUP(Table2[[#This Row],[Customer ID]],Table2[#All],4,FALSE)</f>
        <v>No</v>
      </c>
      <c r="F750" t="str">
        <f>VLOOKUP(Table2[[#This Row],[Customer ID]],Table2[#All],5,FALSE)</f>
        <v>No</v>
      </c>
      <c r="G750" t="str">
        <f>VLOOKUP(Table2[[#This Row],[Customer ID]],Table2[#All],6,FALSE)</f>
        <v>No</v>
      </c>
      <c r="H750">
        <f>VLOOKUP(Table2[[#This Row],[Customer ID]],Table2[#All],7,FALSE)</f>
        <v>1</v>
      </c>
      <c r="I750" t="str">
        <f>VLOOKUP(Table2[[#This Row],[Customer ID]],Table2[#All],8,FALSE)</f>
        <v>No</v>
      </c>
      <c r="J750" t="str">
        <f>VLOOKUP(Table2[[#This Row],[Customer ID]],Table2[#All],9,FALSE)</f>
        <v>Obesity</v>
      </c>
      <c r="K750" t="str">
        <f>VLOOKUP(Table2[[#This Row],[Customer ID]],Table2[#All],10,FALSE)</f>
        <v>Normal</v>
      </c>
    </row>
    <row r="751" spans="1:11" ht="15.6" x14ac:dyDescent="0.3">
      <c r="A751" s="1" t="s">
        <v>1621</v>
      </c>
      <c r="B751" t="str">
        <f>VLOOKUP('Customer Names'!A751,'Customer Names'!$A$1:$E$2336,4,FALSE)</f>
        <v>Ms.  Megan</v>
      </c>
      <c r="C751">
        <f>VLOOKUP(Table2[[#This Row],[Customer ID]],Table2[#All],2,FALSE)</f>
        <v>35.909999999999997</v>
      </c>
      <c r="D751">
        <f>VLOOKUP(Table2[[#This Row],[Customer ID]],Table2[#All],3,FALSE)</f>
        <v>6.72</v>
      </c>
      <c r="E751" t="str">
        <f>VLOOKUP(Table2[[#This Row],[Customer ID]],Table2[#All],4,FALSE)</f>
        <v>Yes</v>
      </c>
      <c r="F751" t="str">
        <f>VLOOKUP(Table2[[#This Row],[Customer ID]],Table2[#All],5,FALSE)</f>
        <v>No</v>
      </c>
      <c r="G751" t="str">
        <f>VLOOKUP(Table2[[#This Row],[Customer ID]],Table2[#All],6,FALSE)</f>
        <v>No</v>
      </c>
      <c r="H751">
        <f>VLOOKUP(Table2[[#This Row],[Customer ID]],Table2[#All],7,FALSE)</f>
        <v>2</v>
      </c>
      <c r="I751" t="str">
        <f>VLOOKUP(Table2[[#This Row],[Customer ID]],Table2[#All],8,FALSE)</f>
        <v>No</v>
      </c>
      <c r="J751" t="str">
        <f>VLOOKUP(Table2[[#This Row],[Customer ID]],Table2[#All],9,FALSE)</f>
        <v>Obesity</v>
      </c>
      <c r="K751" t="str">
        <f>VLOOKUP(Table2[[#This Row],[Customer ID]],Table2[#All],10,FALSE)</f>
        <v>Diabetes</v>
      </c>
    </row>
    <row r="752" spans="1:11" ht="15.6" x14ac:dyDescent="0.3">
      <c r="A752" s="1" t="s">
        <v>1620</v>
      </c>
      <c r="B752" t="str">
        <f>VLOOKUP('Customer Names'!A752,'Customer Names'!$A$1:$E$2336,4,FALSE)</f>
        <v>Mr.  Kevin</v>
      </c>
      <c r="C752">
        <f>VLOOKUP(Table2[[#This Row],[Customer ID]],Table2[#All],2,FALSE)</f>
        <v>36.65</v>
      </c>
      <c r="D752">
        <f>VLOOKUP(Table2[[#This Row],[Customer ID]],Table2[#All],3,FALSE)</f>
        <v>5.01</v>
      </c>
      <c r="E752" t="str">
        <f>VLOOKUP(Table2[[#This Row],[Customer ID]],Table2[#All],4,FALSE)</f>
        <v>Yes</v>
      </c>
      <c r="F752" t="str">
        <f>VLOOKUP(Table2[[#This Row],[Customer ID]],Table2[#All],5,FALSE)</f>
        <v>No</v>
      </c>
      <c r="G752" t="str">
        <f>VLOOKUP(Table2[[#This Row],[Customer ID]],Table2[#All],6,FALSE)</f>
        <v>Yes</v>
      </c>
      <c r="H752">
        <f>VLOOKUP(Table2[[#This Row],[Customer ID]],Table2[#All],7,FALSE)</f>
        <v>1</v>
      </c>
      <c r="I752" t="str">
        <f>VLOOKUP(Table2[[#This Row],[Customer ID]],Table2[#All],8,FALSE)</f>
        <v>No</v>
      </c>
      <c r="J752" t="str">
        <f>VLOOKUP(Table2[[#This Row],[Customer ID]],Table2[#All],9,FALSE)</f>
        <v>Obesity</v>
      </c>
      <c r="K752" t="str">
        <f>VLOOKUP(Table2[[#This Row],[Customer ID]],Table2[#All],10,FALSE)</f>
        <v>Normal</v>
      </c>
    </row>
    <row r="753" spans="1:11" ht="15.6" x14ac:dyDescent="0.3">
      <c r="A753" s="1" t="s">
        <v>1619</v>
      </c>
      <c r="B753" t="str">
        <f>VLOOKUP('Customer Names'!A753,'Customer Names'!$A$1:$E$2336,4,FALSE)</f>
        <v>Ms.  Caroline S.</v>
      </c>
      <c r="C753">
        <f>VLOOKUP(Table2[[#This Row],[Customer ID]],Table2[#All],2,FALSE)</f>
        <v>22.04</v>
      </c>
      <c r="D753">
        <f>VLOOKUP(Table2[[#This Row],[Customer ID]],Table2[#All],3,FALSE)</f>
        <v>10.9</v>
      </c>
      <c r="E753" t="str">
        <f>VLOOKUP(Table2[[#This Row],[Customer ID]],Table2[#All],4,FALSE)</f>
        <v>Yes</v>
      </c>
      <c r="F753" t="str">
        <f>VLOOKUP(Table2[[#This Row],[Customer ID]],Table2[#All],5,FALSE)</f>
        <v>No</v>
      </c>
      <c r="G753" t="str">
        <f>VLOOKUP(Table2[[#This Row],[Customer ID]],Table2[#All],6,FALSE)</f>
        <v>No</v>
      </c>
      <c r="H753">
        <f>VLOOKUP(Table2[[#This Row],[Customer ID]],Table2[#All],7,FALSE)</f>
        <v>2</v>
      </c>
      <c r="I753" t="str">
        <f>VLOOKUP(Table2[[#This Row],[Customer ID]],Table2[#All],8,FALSE)</f>
        <v>No</v>
      </c>
      <c r="J753" t="str">
        <f>VLOOKUP(Table2[[#This Row],[Customer ID]],Table2[#All],9,FALSE)</f>
        <v>Normalweight</v>
      </c>
      <c r="K753" t="str">
        <f>VLOOKUP(Table2[[#This Row],[Customer ID]],Table2[#All],10,FALSE)</f>
        <v>Diabetes</v>
      </c>
    </row>
    <row r="754" spans="1:11" ht="15.6" x14ac:dyDescent="0.3">
      <c r="A754" s="1" t="s">
        <v>1618</v>
      </c>
      <c r="B754" t="str">
        <f>VLOOKUP('Customer Names'!A754,'Customer Names'!$A$1:$E$2336,4,FALSE)</f>
        <v>Ms.  Nuta</v>
      </c>
      <c r="C754">
        <f>VLOOKUP(Table2[[#This Row],[Customer ID]],Table2[#All],2,FALSE)</f>
        <v>31.824999999999999</v>
      </c>
      <c r="D754">
        <f>VLOOKUP(Table2[[#This Row],[Customer ID]],Table2[#All],3,FALSE)</f>
        <v>5.52</v>
      </c>
      <c r="E754" t="str">
        <f>VLOOKUP(Table2[[#This Row],[Customer ID]],Table2[#All],4,FALSE)</f>
        <v>Yes</v>
      </c>
      <c r="F754" t="str">
        <f>VLOOKUP(Table2[[#This Row],[Customer ID]],Table2[#All],5,FALSE)</f>
        <v>No</v>
      </c>
      <c r="G754" t="str">
        <f>VLOOKUP(Table2[[#This Row],[Customer ID]],Table2[#All],6,FALSE)</f>
        <v>No</v>
      </c>
      <c r="H754">
        <f>VLOOKUP(Table2[[#This Row],[Customer ID]],Table2[#All],7,FALSE)</f>
        <v>1</v>
      </c>
      <c r="I754" t="str">
        <f>VLOOKUP(Table2[[#This Row],[Customer ID]],Table2[#All],8,FALSE)</f>
        <v>No</v>
      </c>
      <c r="J754" t="str">
        <f>VLOOKUP(Table2[[#This Row],[Customer ID]],Table2[#All],9,FALSE)</f>
        <v>Obesity</v>
      </c>
      <c r="K754" t="str">
        <f>VLOOKUP(Table2[[#This Row],[Customer ID]],Table2[#All],10,FALSE)</f>
        <v>Normal</v>
      </c>
    </row>
    <row r="755" spans="1:11" ht="15.6" x14ac:dyDescent="0.3">
      <c r="A755" s="1" t="s">
        <v>1617</v>
      </c>
      <c r="B755" t="str">
        <f>VLOOKUP('Customer Names'!A755,'Customer Names'!$A$1:$E$2336,4,FALSE)</f>
        <v>Ms.  Margie</v>
      </c>
      <c r="C755">
        <f>VLOOKUP(Table2[[#This Row],[Customer ID]],Table2[#All],2,FALSE)</f>
        <v>53.58</v>
      </c>
      <c r="D755">
        <f>VLOOKUP(Table2[[#This Row],[Customer ID]],Table2[#All],3,FALSE)</f>
        <v>4.55</v>
      </c>
      <c r="E755" t="str">
        <f>VLOOKUP(Table2[[#This Row],[Customer ID]],Table2[#All],4,FALSE)</f>
        <v>No</v>
      </c>
      <c r="F755" t="str">
        <f>VLOOKUP(Table2[[#This Row],[Customer ID]],Table2[#All],5,FALSE)</f>
        <v>No</v>
      </c>
      <c r="G755" t="str">
        <f>VLOOKUP(Table2[[#This Row],[Customer ID]],Table2[#All],6,FALSE)</f>
        <v>No</v>
      </c>
      <c r="H755">
        <f>VLOOKUP(Table2[[#This Row],[Customer ID]],Table2[#All],7,FALSE)</f>
        <v>1</v>
      </c>
      <c r="I755" t="str">
        <f>VLOOKUP(Table2[[#This Row],[Customer ID]],Table2[#All],8,FALSE)</f>
        <v>No</v>
      </c>
      <c r="J755" t="str">
        <f>VLOOKUP(Table2[[#This Row],[Customer ID]],Table2[#All],9,FALSE)</f>
        <v>Obesity</v>
      </c>
      <c r="K755" t="str">
        <f>VLOOKUP(Table2[[#This Row],[Customer ID]],Table2[#All],10,FALSE)</f>
        <v>Normal</v>
      </c>
    </row>
    <row r="756" spans="1:11" ht="15.6" x14ac:dyDescent="0.3">
      <c r="A756" s="1" t="s">
        <v>1616</v>
      </c>
      <c r="B756" t="str">
        <f>VLOOKUP('Customer Names'!A756,'Customer Names'!$A$1:$E$2336,4,FALSE)</f>
        <v>Mrs.  Heidi</v>
      </c>
      <c r="C756">
        <f>VLOOKUP(Table2[[#This Row],[Customer ID]],Table2[#All],2,FALSE)</f>
        <v>34.299999999999997</v>
      </c>
      <c r="D756">
        <f>VLOOKUP(Table2[[#This Row],[Customer ID]],Table2[#All],3,FALSE)</f>
        <v>11.76</v>
      </c>
      <c r="E756" t="str">
        <f>VLOOKUP(Table2[[#This Row],[Customer ID]],Table2[#All],4,FALSE)</f>
        <v>No</v>
      </c>
      <c r="F756" t="str">
        <f>VLOOKUP(Table2[[#This Row],[Customer ID]],Table2[#All],5,FALSE)</f>
        <v>No</v>
      </c>
      <c r="G756" t="str">
        <f>VLOOKUP(Table2[[#This Row],[Customer ID]],Table2[#All],6,FALSE)</f>
        <v>No</v>
      </c>
      <c r="H756">
        <f>VLOOKUP(Table2[[#This Row],[Customer ID]],Table2[#All],7,FALSE)</f>
        <v>0</v>
      </c>
      <c r="I756" t="str">
        <f>VLOOKUP(Table2[[#This Row],[Customer ID]],Table2[#All],8,FALSE)</f>
        <v>No</v>
      </c>
      <c r="J756" t="str">
        <f>VLOOKUP(Table2[[#This Row],[Customer ID]],Table2[#All],9,FALSE)</f>
        <v>Obesity</v>
      </c>
      <c r="K756" t="str">
        <f>VLOOKUP(Table2[[#This Row],[Customer ID]],Table2[#All],10,FALSE)</f>
        <v>Diabetes</v>
      </c>
    </row>
    <row r="757" spans="1:11" ht="15.6" x14ac:dyDescent="0.3">
      <c r="A757" s="1" t="s">
        <v>1615</v>
      </c>
      <c r="B757" t="str">
        <f>VLOOKUP('Customer Names'!A757,'Customer Names'!$A$1:$E$2336,4,FALSE)</f>
        <v>Mr.  Diego J</v>
      </c>
      <c r="C757">
        <f>VLOOKUP(Table2[[#This Row],[Customer ID]],Table2[#All],2,FALSE)</f>
        <v>32.11</v>
      </c>
      <c r="D757">
        <f>VLOOKUP(Table2[[#This Row],[Customer ID]],Table2[#All],3,FALSE)</f>
        <v>7.06</v>
      </c>
      <c r="E757" t="str">
        <f>VLOOKUP(Table2[[#This Row],[Customer ID]],Table2[#All],4,FALSE)</f>
        <v>No</v>
      </c>
      <c r="F757" t="str">
        <f>VLOOKUP(Table2[[#This Row],[Customer ID]],Table2[#All],5,FALSE)</f>
        <v>No</v>
      </c>
      <c r="G757" t="str">
        <f>VLOOKUP(Table2[[#This Row],[Customer ID]],Table2[#All],6,FALSE)</f>
        <v>No</v>
      </c>
      <c r="H757">
        <f>VLOOKUP(Table2[[#This Row],[Customer ID]],Table2[#All],7,FALSE)</f>
        <v>0</v>
      </c>
      <c r="I757" t="str">
        <f>VLOOKUP(Table2[[#This Row],[Customer ID]],Table2[#All],8,FALSE)</f>
        <v>No</v>
      </c>
      <c r="J757" t="str">
        <f>VLOOKUP(Table2[[#This Row],[Customer ID]],Table2[#All],9,FALSE)</f>
        <v>Obesity</v>
      </c>
      <c r="K757" t="str">
        <f>VLOOKUP(Table2[[#This Row],[Customer ID]],Table2[#All],10,FALSE)</f>
        <v>Diabetes</v>
      </c>
    </row>
    <row r="758" spans="1:11" ht="15.6" x14ac:dyDescent="0.3">
      <c r="A758" s="1" t="s">
        <v>1614</v>
      </c>
      <c r="B758" t="str">
        <f>VLOOKUP('Customer Names'!A758,'Customer Names'!$A$1:$E$2336,4,FALSE)</f>
        <v>Mr.  Enrique M Sr.</v>
      </c>
      <c r="C758">
        <f>VLOOKUP(Table2[[#This Row],[Customer ID]],Table2[#All],2,FALSE)</f>
        <v>31.78</v>
      </c>
      <c r="D758">
        <f>VLOOKUP(Table2[[#This Row],[Customer ID]],Table2[#All],3,FALSE)</f>
        <v>11.35</v>
      </c>
      <c r="E758" t="str">
        <f>VLOOKUP(Table2[[#This Row],[Customer ID]],Table2[#All],4,FALSE)</f>
        <v>Yes</v>
      </c>
      <c r="F758" t="str">
        <f>VLOOKUP(Table2[[#This Row],[Customer ID]],Table2[#All],5,FALSE)</f>
        <v>No</v>
      </c>
      <c r="G758" t="str">
        <f>VLOOKUP(Table2[[#This Row],[Customer ID]],Table2[#All],6,FALSE)</f>
        <v>Yes</v>
      </c>
      <c r="H758">
        <f>VLOOKUP(Table2[[#This Row],[Customer ID]],Table2[#All],7,FALSE)</f>
        <v>1</v>
      </c>
      <c r="I758" t="str">
        <f>VLOOKUP(Table2[[#This Row],[Customer ID]],Table2[#All],8,FALSE)</f>
        <v>No</v>
      </c>
      <c r="J758" t="str">
        <f>VLOOKUP(Table2[[#This Row],[Customer ID]],Table2[#All],9,FALSE)</f>
        <v>Obesity</v>
      </c>
      <c r="K758" t="str">
        <f>VLOOKUP(Table2[[#This Row],[Customer ID]],Table2[#All],10,FALSE)</f>
        <v>Diabetes</v>
      </c>
    </row>
    <row r="759" spans="1:11" ht="15.6" x14ac:dyDescent="0.3">
      <c r="A759" s="1" t="s">
        <v>1613</v>
      </c>
      <c r="B759" t="str">
        <f>VLOOKUP('Customer Names'!A759,'Customer Names'!$A$1:$E$2336,4,FALSE)</f>
        <v>Mr.  Greg</v>
      </c>
      <c r="C759">
        <f>VLOOKUP(Table2[[#This Row],[Customer ID]],Table2[#All],2,FALSE)</f>
        <v>46.89</v>
      </c>
      <c r="D759">
        <f>VLOOKUP(Table2[[#This Row],[Customer ID]],Table2[#All],3,FALSE)</f>
        <v>5.52</v>
      </c>
      <c r="E759" t="str">
        <f>VLOOKUP(Table2[[#This Row],[Customer ID]],Table2[#All],4,FALSE)</f>
        <v>No</v>
      </c>
      <c r="F759" t="str">
        <f>VLOOKUP(Table2[[#This Row],[Customer ID]],Table2[#All],5,FALSE)</f>
        <v>No</v>
      </c>
      <c r="G759" t="str">
        <f>VLOOKUP(Table2[[#This Row],[Customer ID]],Table2[#All],6,FALSE)</f>
        <v>No</v>
      </c>
      <c r="H759">
        <f>VLOOKUP(Table2[[#This Row],[Customer ID]],Table2[#All],7,FALSE)</f>
        <v>0</v>
      </c>
      <c r="I759" t="str">
        <f>VLOOKUP(Table2[[#This Row],[Customer ID]],Table2[#All],8,FALSE)</f>
        <v>No</v>
      </c>
      <c r="J759" t="str">
        <f>VLOOKUP(Table2[[#This Row],[Customer ID]],Table2[#All],9,FALSE)</f>
        <v>Obesity</v>
      </c>
      <c r="K759" t="str">
        <f>VLOOKUP(Table2[[#This Row],[Customer ID]],Table2[#All],10,FALSE)</f>
        <v>Normal</v>
      </c>
    </row>
    <row r="760" spans="1:11" ht="15.6" x14ac:dyDescent="0.3">
      <c r="A760" s="1" t="s">
        <v>1612</v>
      </c>
      <c r="B760" t="str">
        <f>VLOOKUP('Customer Names'!A760,'Customer Names'!$A$1:$E$2336,4,FALSE)</f>
        <v>Mr.  Filip</v>
      </c>
      <c r="C760">
        <f>VLOOKUP(Table2[[#This Row],[Customer ID]],Table2[#All],2,FALSE)</f>
        <v>39.35</v>
      </c>
      <c r="D760">
        <f>VLOOKUP(Table2[[#This Row],[Customer ID]],Table2[#All],3,FALSE)</f>
        <v>7.86</v>
      </c>
      <c r="E760" t="str">
        <f>VLOOKUP(Table2[[#This Row],[Customer ID]],Table2[#All],4,FALSE)</f>
        <v>Yes</v>
      </c>
      <c r="F760" t="str">
        <f>VLOOKUP(Table2[[#This Row],[Customer ID]],Table2[#All],5,FALSE)</f>
        <v>No</v>
      </c>
      <c r="G760" t="str">
        <f>VLOOKUP(Table2[[#This Row],[Customer ID]],Table2[#All],6,FALSE)</f>
        <v>No</v>
      </c>
      <c r="H760">
        <f>VLOOKUP(Table2[[#This Row],[Customer ID]],Table2[#All],7,FALSE)</f>
        <v>1</v>
      </c>
      <c r="I760" t="str">
        <f>VLOOKUP(Table2[[#This Row],[Customer ID]],Table2[#All],8,FALSE)</f>
        <v>No</v>
      </c>
      <c r="J760" t="str">
        <f>VLOOKUP(Table2[[#This Row],[Customer ID]],Table2[#All],9,FALSE)</f>
        <v>Obesity</v>
      </c>
      <c r="K760" t="str">
        <f>VLOOKUP(Table2[[#This Row],[Customer ID]],Table2[#All],10,FALSE)</f>
        <v>Diabetes</v>
      </c>
    </row>
    <row r="761" spans="1:11" ht="15.6" x14ac:dyDescent="0.3">
      <c r="A761" s="1" t="s">
        <v>1611</v>
      </c>
      <c r="B761" t="str">
        <f>VLOOKUP('Customer Names'!A761,'Customer Names'!$A$1:$E$2336,4,FALSE)</f>
        <v>Ms.  Rosemary E.</v>
      </c>
      <c r="C761">
        <f>VLOOKUP(Table2[[#This Row],[Customer ID]],Table2[#All],2,FALSE)</f>
        <v>39.200000000000003</v>
      </c>
      <c r="D761">
        <f>VLOOKUP(Table2[[#This Row],[Customer ID]],Table2[#All],3,FALSE)</f>
        <v>11.38</v>
      </c>
      <c r="E761" t="str">
        <f>VLOOKUP(Table2[[#This Row],[Customer ID]],Table2[#All],4,FALSE)</f>
        <v>No</v>
      </c>
      <c r="F761" t="str">
        <f>VLOOKUP(Table2[[#This Row],[Customer ID]],Table2[#All],5,FALSE)</f>
        <v>No</v>
      </c>
      <c r="G761" t="str">
        <f>VLOOKUP(Table2[[#This Row],[Customer ID]],Table2[#All],6,FALSE)</f>
        <v>No</v>
      </c>
      <c r="H761">
        <f>VLOOKUP(Table2[[#This Row],[Customer ID]],Table2[#All],7,FALSE)</f>
        <v>0</v>
      </c>
      <c r="I761" t="str">
        <f>VLOOKUP(Table2[[#This Row],[Customer ID]],Table2[#All],8,FALSE)</f>
        <v>No</v>
      </c>
      <c r="J761" t="str">
        <f>VLOOKUP(Table2[[#This Row],[Customer ID]],Table2[#All],9,FALSE)</f>
        <v>Obesity</v>
      </c>
      <c r="K761" t="str">
        <f>VLOOKUP(Table2[[#This Row],[Customer ID]],Table2[#All],10,FALSE)</f>
        <v>Diabetes</v>
      </c>
    </row>
    <row r="762" spans="1:11" ht="15.6" x14ac:dyDescent="0.3">
      <c r="A762" s="1" t="s">
        <v>1610</v>
      </c>
      <c r="B762" t="str">
        <f>VLOOKUP('Customer Names'!A762,'Customer Names'!$A$1:$E$2336,4,FALSE)</f>
        <v>Ms.  Lisa</v>
      </c>
      <c r="C762">
        <f>VLOOKUP(Table2[[#This Row],[Customer ID]],Table2[#All],2,FALSE)</f>
        <v>39.159999999999997</v>
      </c>
      <c r="D762">
        <f>VLOOKUP(Table2[[#This Row],[Customer ID]],Table2[#All],3,FALSE)</f>
        <v>10.48</v>
      </c>
      <c r="E762" t="str">
        <f>VLOOKUP(Table2[[#This Row],[Customer ID]],Table2[#All],4,FALSE)</f>
        <v>No</v>
      </c>
      <c r="F762" t="str">
        <f>VLOOKUP(Table2[[#This Row],[Customer ID]],Table2[#All],5,FALSE)</f>
        <v>No</v>
      </c>
      <c r="G762" t="str">
        <f>VLOOKUP(Table2[[#This Row],[Customer ID]],Table2[#All],6,FALSE)</f>
        <v>No</v>
      </c>
      <c r="H762">
        <f>VLOOKUP(Table2[[#This Row],[Customer ID]],Table2[#All],7,FALSE)</f>
        <v>0</v>
      </c>
      <c r="I762" t="str">
        <f>VLOOKUP(Table2[[#This Row],[Customer ID]],Table2[#All],8,FALSE)</f>
        <v>No</v>
      </c>
      <c r="J762" t="str">
        <f>VLOOKUP(Table2[[#This Row],[Customer ID]],Table2[#All],9,FALSE)</f>
        <v>Obesity</v>
      </c>
      <c r="K762" t="str">
        <f>VLOOKUP(Table2[[#This Row],[Customer ID]],Table2[#All],10,FALSE)</f>
        <v>Diabetes</v>
      </c>
    </row>
    <row r="763" spans="1:11" ht="15.6" x14ac:dyDescent="0.3">
      <c r="A763" s="1" t="s">
        <v>1609</v>
      </c>
      <c r="B763" t="str">
        <f>VLOOKUP('Customer Names'!A763,'Customer Names'!$A$1:$E$2336,4,FALSE)</f>
        <v>Mr.  Jason</v>
      </c>
      <c r="C763">
        <f>VLOOKUP(Table2[[#This Row],[Customer ID]],Table2[#All],2,FALSE)</f>
        <v>44.1</v>
      </c>
      <c r="D763">
        <f>VLOOKUP(Table2[[#This Row],[Customer ID]],Table2[#All],3,FALSE)</f>
        <v>5.04</v>
      </c>
      <c r="E763" t="str">
        <f>VLOOKUP(Table2[[#This Row],[Customer ID]],Table2[#All],4,FALSE)</f>
        <v>Yes</v>
      </c>
      <c r="F763" t="str">
        <f>VLOOKUP(Table2[[#This Row],[Customer ID]],Table2[#All],5,FALSE)</f>
        <v>No</v>
      </c>
      <c r="G763" t="str">
        <f>VLOOKUP(Table2[[#This Row],[Customer ID]],Table2[#All],6,FALSE)</f>
        <v>No</v>
      </c>
      <c r="H763">
        <f>VLOOKUP(Table2[[#This Row],[Customer ID]],Table2[#All],7,FALSE)</f>
        <v>0</v>
      </c>
      <c r="I763" t="str">
        <f>VLOOKUP(Table2[[#This Row],[Customer ID]],Table2[#All],8,FALSE)</f>
        <v>No</v>
      </c>
      <c r="J763" t="str">
        <f>VLOOKUP(Table2[[#This Row],[Customer ID]],Table2[#All],9,FALSE)</f>
        <v>Obesity</v>
      </c>
      <c r="K763" t="str">
        <f>VLOOKUP(Table2[[#This Row],[Customer ID]],Table2[#All],10,FALSE)</f>
        <v>Normal</v>
      </c>
    </row>
    <row r="764" spans="1:11" ht="15.6" x14ac:dyDescent="0.3">
      <c r="A764" s="1" t="s">
        <v>1608</v>
      </c>
      <c r="B764" t="str">
        <f>VLOOKUP('Customer Names'!A764,'Customer Names'!$A$1:$E$2336,4,FALSE)</f>
        <v>Ms.  Courtney</v>
      </c>
      <c r="C764">
        <f>VLOOKUP(Table2[[#This Row],[Customer ID]],Table2[#All],2,FALSE)</f>
        <v>33.200000000000003</v>
      </c>
      <c r="D764">
        <f>VLOOKUP(Table2[[#This Row],[Customer ID]],Table2[#All],3,FALSE)</f>
        <v>9.06</v>
      </c>
      <c r="E764" t="str">
        <f>VLOOKUP(Table2[[#This Row],[Customer ID]],Table2[#All],4,FALSE)</f>
        <v>No</v>
      </c>
      <c r="F764" t="str">
        <f>VLOOKUP(Table2[[#This Row],[Customer ID]],Table2[#All],5,FALSE)</f>
        <v>No</v>
      </c>
      <c r="G764" t="str">
        <f>VLOOKUP(Table2[[#This Row],[Customer ID]],Table2[#All],6,FALSE)</f>
        <v>No</v>
      </c>
      <c r="H764">
        <f>VLOOKUP(Table2[[#This Row],[Customer ID]],Table2[#All],7,FALSE)</f>
        <v>0</v>
      </c>
      <c r="I764" t="str">
        <f>VLOOKUP(Table2[[#This Row],[Customer ID]],Table2[#All],8,FALSE)</f>
        <v>No</v>
      </c>
      <c r="J764" t="str">
        <f>VLOOKUP(Table2[[#This Row],[Customer ID]],Table2[#All],9,FALSE)</f>
        <v>Obesity</v>
      </c>
      <c r="K764" t="str">
        <f>VLOOKUP(Table2[[#This Row],[Customer ID]],Table2[#All],10,FALSE)</f>
        <v>Diabetes</v>
      </c>
    </row>
    <row r="765" spans="1:11" ht="15.6" x14ac:dyDescent="0.3">
      <c r="A765" s="1" t="s">
        <v>1607</v>
      </c>
      <c r="B765" t="str">
        <f>VLOOKUP('Customer Names'!A765,'Customer Names'!$A$1:$E$2336,4,FALSE)</f>
        <v>Ms.  Jennifer R.</v>
      </c>
      <c r="C765">
        <f>VLOOKUP(Table2[[#This Row],[Customer ID]],Table2[#All],2,FALSE)</f>
        <v>29.92</v>
      </c>
      <c r="D765">
        <f>VLOOKUP(Table2[[#This Row],[Customer ID]],Table2[#All],3,FALSE)</f>
        <v>11.07</v>
      </c>
      <c r="E765" t="str">
        <f>VLOOKUP(Table2[[#This Row],[Customer ID]],Table2[#All],4,FALSE)</f>
        <v>No</v>
      </c>
      <c r="F765" t="str">
        <f>VLOOKUP(Table2[[#This Row],[Customer ID]],Table2[#All],5,FALSE)</f>
        <v>No</v>
      </c>
      <c r="G765" t="str">
        <f>VLOOKUP(Table2[[#This Row],[Customer ID]],Table2[#All],6,FALSE)</f>
        <v>No</v>
      </c>
      <c r="H765">
        <f>VLOOKUP(Table2[[#This Row],[Customer ID]],Table2[#All],7,FALSE)</f>
        <v>0</v>
      </c>
      <c r="I765" t="str">
        <f>VLOOKUP(Table2[[#This Row],[Customer ID]],Table2[#All],8,FALSE)</f>
        <v>No</v>
      </c>
      <c r="J765" t="str">
        <f>VLOOKUP(Table2[[#This Row],[Customer ID]],Table2[#All],9,FALSE)</f>
        <v>Overweight</v>
      </c>
      <c r="K765" t="str">
        <f>VLOOKUP(Table2[[#This Row],[Customer ID]],Table2[#All],10,FALSE)</f>
        <v>Diabetes</v>
      </c>
    </row>
    <row r="766" spans="1:11" ht="15.6" x14ac:dyDescent="0.3">
      <c r="A766" s="1" t="s">
        <v>1606</v>
      </c>
      <c r="B766" t="str">
        <f>VLOOKUP('Customer Names'!A766,'Customer Names'!$A$1:$E$2336,4,FALSE)</f>
        <v>Ms.  Lauren E</v>
      </c>
      <c r="C766">
        <f>VLOOKUP(Table2[[#This Row],[Customer ID]],Table2[#All],2,FALSE)</f>
        <v>25</v>
      </c>
      <c r="D766">
        <f>VLOOKUP(Table2[[#This Row],[Customer ID]],Table2[#All],3,FALSE)</f>
        <v>10.45</v>
      </c>
      <c r="E766" t="str">
        <f>VLOOKUP(Table2[[#This Row],[Customer ID]],Table2[#All],4,FALSE)</f>
        <v>No</v>
      </c>
      <c r="F766" t="str">
        <f>VLOOKUP(Table2[[#This Row],[Customer ID]],Table2[#All],5,FALSE)</f>
        <v>No</v>
      </c>
      <c r="G766" t="str">
        <f>VLOOKUP(Table2[[#This Row],[Customer ID]],Table2[#All],6,FALSE)</f>
        <v>No</v>
      </c>
      <c r="H766">
        <f>VLOOKUP(Table2[[#This Row],[Customer ID]],Table2[#All],7,FALSE)</f>
        <v>0</v>
      </c>
      <c r="I766" t="str">
        <f>VLOOKUP(Table2[[#This Row],[Customer ID]],Table2[#All],8,FALSE)</f>
        <v>No</v>
      </c>
      <c r="J766" t="str">
        <f>VLOOKUP(Table2[[#This Row],[Customer ID]],Table2[#All],9,FALSE)</f>
        <v>Overweight</v>
      </c>
      <c r="K766" t="str">
        <f>VLOOKUP(Table2[[#This Row],[Customer ID]],Table2[#All],10,FALSE)</f>
        <v>Diabetes</v>
      </c>
    </row>
    <row r="767" spans="1:11" ht="15.6" x14ac:dyDescent="0.3">
      <c r="A767" s="1" t="s">
        <v>1605</v>
      </c>
      <c r="B767" t="str">
        <f>VLOOKUP('Customer Names'!A767,'Customer Names'!$A$1:$E$2336,4,FALSE)</f>
        <v>Ms.  Ashley M.</v>
      </c>
      <c r="C767">
        <f>VLOOKUP(Table2[[#This Row],[Customer ID]],Table2[#All],2,FALSE)</f>
        <v>38.869999999999997</v>
      </c>
      <c r="D767">
        <f>VLOOKUP(Table2[[#This Row],[Customer ID]],Table2[#All],3,FALSE)</f>
        <v>8.6300000000000008</v>
      </c>
      <c r="E767" t="str">
        <f>VLOOKUP(Table2[[#This Row],[Customer ID]],Table2[#All],4,FALSE)</f>
        <v>Yes</v>
      </c>
      <c r="F767" t="str">
        <f>VLOOKUP(Table2[[#This Row],[Customer ID]],Table2[#All],5,FALSE)</f>
        <v>No</v>
      </c>
      <c r="G767" t="str">
        <f>VLOOKUP(Table2[[#This Row],[Customer ID]],Table2[#All],6,FALSE)</f>
        <v>No</v>
      </c>
      <c r="H767">
        <f>VLOOKUP(Table2[[#This Row],[Customer ID]],Table2[#All],7,FALSE)</f>
        <v>1</v>
      </c>
      <c r="I767" t="str">
        <f>VLOOKUP(Table2[[#This Row],[Customer ID]],Table2[#All],8,FALSE)</f>
        <v>No</v>
      </c>
      <c r="J767" t="str">
        <f>VLOOKUP(Table2[[#This Row],[Customer ID]],Table2[#All],9,FALSE)</f>
        <v>Obesity</v>
      </c>
      <c r="K767" t="str">
        <f>VLOOKUP(Table2[[#This Row],[Customer ID]],Table2[#All],10,FALSE)</f>
        <v>Diabetes</v>
      </c>
    </row>
    <row r="768" spans="1:11" ht="15.6" x14ac:dyDescent="0.3">
      <c r="A768" s="1" t="s">
        <v>1604</v>
      </c>
      <c r="B768" t="str">
        <f>VLOOKUP('Customer Names'!A768,'Customer Names'!$A$1:$E$2336,4,FALSE)</f>
        <v>Ms.  Alison R.</v>
      </c>
      <c r="C768">
        <f>VLOOKUP(Table2[[#This Row],[Customer ID]],Table2[#All],2,FALSE)</f>
        <v>32.299999999999997</v>
      </c>
      <c r="D768">
        <f>VLOOKUP(Table2[[#This Row],[Customer ID]],Table2[#All],3,FALSE)</f>
        <v>5.28</v>
      </c>
      <c r="E768" t="str">
        <f>VLOOKUP(Table2[[#This Row],[Customer ID]],Table2[#All],4,FALSE)</f>
        <v>Yes</v>
      </c>
      <c r="F768" t="str">
        <f>VLOOKUP(Table2[[#This Row],[Customer ID]],Table2[#All],5,FALSE)</f>
        <v>No</v>
      </c>
      <c r="G768" t="str">
        <f>VLOOKUP(Table2[[#This Row],[Customer ID]],Table2[#All],6,FALSE)</f>
        <v>No</v>
      </c>
      <c r="H768">
        <f>VLOOKUP(Table2[[#This Row],[Customer ID]],Table2[#All],7,FALSE)</f>
        <v>2</v>
      </c>
      <c r="I768" t="str">
        <f>VLOOKUP(Table2[[#This Row],[Customer ID]],Table2[#All],8,FALSE)</f>
        <v>No</v>
      </c>
      <c r="J768" t="str">
        <f>VLOOKUP(Table2[[#This Row],[Customer ID]],Table2[#All],9,FALSE)</f>
        <v>Obesity</v>
      </c>
      <c r="K768" t="str">
        <f>VLOOKUP(Table2[[#This Row],[Customer ID]],Table2[#All],10,FALSE)</f>
        <v>Normal</v>
      </c>
    </row>
    <row r="769" spans="1:11" ht="15.6" x14ac:dyDescent="0.3">
      <c r="A769" s="1" t="s">
        <v>1603</v>
      </c>
      <c r="B769" t="str">
        <f>VLOOKUP('Customer Names'!A769,'Customer Names'!$A$1:$E$2336,4,FALSE)</f>
        <v>Ms.  Madeleine</v>
      </c>
      <c r="C769">
        <f>VLOOKUP(Table2[[#This Row],[Customer ID]],Table2[#All],2,FALSE)</f>
        <v>31.16</v>
      </c>
      <c r="D769">
        <f>VLOOKUP(Table2[[#This Row],[Customer ID]],Table2[#All],3,FALSE)</f>
        <v>7.49</v>
      </c>
      <c r="E769" t="str">
        <f>VLOOKUP(Table2[[#This Row],[Customer ID]],Table2[#All],4,FALSE)</f>
        <v>Yes</v>
      </c>
      <c r="F769" t="str">
        <f>VLOOKUP(Table2[[#This Row],[Customer ID]],Table2[#All],5,FALSE)</f>
        <v>No</v>
      </c>
      <c r="G769" t="str">
        <f>VLOOKUP(Table2[[#This Row],[Customer ID]],Table2[#All],6,FALSE)</f>
        <v>No</v>
      </c>
      <c r="H769">
        <f>VLOOKUP(Table2[[#This Row],[Customer ID]],Table2[#All],7,FALSE)</f>
        <v>2</v>
      </c>
      <c r="I769" t="str">
        <f>VLOOKUP(Table2[[#This Row],[Customer ID]],Table2[#All],8,FALSE)</f>
        <v>No</v>
      </c>
      <c r="J769" t="str">
        <f>VLOOKUP(Table2[[#This Row],[Customer ID]],Table2[#All],9,FALSE)</f>
        <v>Obesity</v>
      </c>
      <c r="K769" t="str">
        <f>VLOOKUP(Table2[[#This Row],[Customer ID]],Table2[#All],10,FALSE)</f>
        <v>Diabetes</v>
      </c>
    </row>
    <row r="770" spans="1:11" ht="15.6" x14ac:dyDescent="0.3">
      <c r="A770" s="1" t="s">
        <v>1602</v>
      </c>
      <c r="B770" t="str">
        <f>VLOOKUP('Customer Names'!A770,'Customer Names'!$A$1:$E$2336,4,FALSE)</f>
        <v>Ms.  Stacey</v>
      </c>
      <c r="C770">
        <f>VLOOKUP(Table2[[#This Row],[Customer ID]],Table2[#All],2,FALSE)</f>
        <v>54.59</v>
      </c>
      <c r="D770">
        <f>VLOOKUP(Table2[[#This Row],[Customer ID]],Table2[#All],3,FALSE)</f>
        <v>4.2699999999999996</v>
      </c>
      <c r="E770" t="str">
        <f>VLOOKUP(Table2[[#This Row],[Customer ID]],Table2[#All],4,FALSE)</f>
        <v>No</v>
      </c>
      <c r="F770" t="str">
        <f>VLOOKUP(Table2[[#This Row],[Customer ID]],Table2[#All],5,FALSE)</f>
        <v>No</v>
      </c>
      <c r="G770" t="str">
        <f>VLOOKUP(Table2[[#This Row],[Customer ID]],Table2[#All],6,FALSE)</f>
        <v>No</v>
      </c>
      <c r="H770">
        <f>VLOOKUP(Table2[[#This Row],[Customer ID]],Table2[#All],7,FALSE)</f>
        <v>0</v>
      </c>
      <c r="I770" t="str">
        <f>VLOOKUP(Table2[[#This Row],[Customer ID]],Table2[#All],8,FALSE)</f>
        <v>No</v>
      </c>
      <c r="J770" t="str">
        <f>VLOOKUP(Table2[[#This Row],[Customer ID]],Table2[#All],9,FALSE)</f>
        <v>Obesity</v>
      </c>
      <c r="K770" t="str">
        <f>VLOOKUP(Table2[[#This Row],[Customer ID]],Table2[#All],10,FALSE)</f>
        <v>Normal</v>
      </c>
    </row>
    <row r="771" spans="1:11" ht="15.6" x14ac:dyDescent="0.3">
      <c r="A771" s="1" t="s">
        <v>1601</v>
      </c>
      <c r="B771" t="str">
        <f>VLOOKUP('Customer Names'!A771,'Customer Names'!$A$1:$E$2336,4,FALSE)</f>
        <v>Ms.  Kimberly</v>
      </c>
      <c r="C771">
        <f>VLOOKUP(Table2[[#This Row],[Customer ID]],Table2[#All],2,FALSE)</f>
        <v>21.09</v>
      </c>
      <c r="D771">
        <f>VLOOKUP(Table2[[#This Row],[Customer ID]],Table2[#All],3,FALSE)</f>
        <v>9.2200000000000006</v>
      </c>
      <c r="E771" t="str">
        <f>VLOOKUP(Table2[[#This Row],[Customer ID]],Table2[#All],4,FALSE)</f>
        <v>Yes</v>
      </c>
      <c r="F771" t="str">
        <f>VLOOKUP(Table2[[#This Row],[Customer ID]],Table2[#All],5,FALSE)</f>
        <v>No</v>
      </c>
      <c r="G771" t="str">
        <f>VLOOKUP(Table2[[#This Row],[Customer ID]],Table2[#All],6,FALSE)</f>
        <v>No</v>
      </c>
      <c r="H771">
        <f>VLOOKUP(Table2[[#This Row],[Customer ID]],Table2[#All],7,FALSE)</f>
        <v>2</v>
      </c>
      <c r="I771" t="str">
        <f>VLOOKUP(Table2[[#This Row],[Customer ID]],Table2[#All],8,FALSE)</f>
        <v>No</v>
      </c>
      <c r="J771" t="str">
        <f>VLOOKUP(Table2[[#This Row],[Customer ID]],Table2[#All],9,FALSE)</f>
        <v>Normalweight</v>
      </c>
      <c r="K771" t="str">
        <f>VLOOKUP(Table2[[#This Row],[Customer ID]],Table2[#All],10,FALSE)</f>
        <v>Diabetes</v>
      </c>
    </row>
    <row r="772" spans="1:11" ht="15.6" x14ac:dyDescent="0.3">
      <c r="A772" s="1" t="s">
        <v>1600</v>
      </c>
      <c r="B772" t="str">
        <f>VLOOKUP('Customer Names'!A772,'Customer Names'!$A$1:$E$2336,4,FALSE)</f>
        <v>Mr.  Matthew D</v>
      </c>
      <c r="C772">
        <f>VLOOKUP(Table2[[#This Row],[Customer ID]],Table2[#All],2,FALSE)</f>
        <v>52.41</v>
      </c>
      <c r="D772">
        <f>VLOOKUP(Table2[[#This Row],[Customer ID]],Table2[#All],3,FALSE)</f>
        <v>5.99</v>
      </c>
      <c r="E772" t="str">
        <f>VLOOKUP(Table2[[#This Row],[Customer ID]],Table2[#All],4,FALSE)</f>
        <v>No</v>
      </c>
      <c r="F772" t="str">
        <f>VLOOKUP(Table2[[#This Row],[Customer ID]],Table2[#All],5,FALSE)</f>
        <v>No</v>
      </c>
      <c r="G772" t="str">
        <f>VLOOKUP(Table2[[#This Row],[Customer ID]],Table2[#All],6,FALSE)</f>
        <v>No</v>
      </c>
      <c r="H772">
        <f>VLOOKUP(Table2[[#This Row],[Customer ID]],Table2[#All],7,FALSE)</f>
        <v>1</v>
      </c>
      <c r="I772" t="str">
        <f>VLOOKUP(Table2[[#This Row],[Customer ID]],Table2[#All],8,FALSE)</f>
        <v>No</v>
      </c>
      <c r="J772" t="str">
        <f>VLOOKUP(Table2[[#This Row],[Customer ID]],Table2[#All],9,FALSE)</f>
        <v>Obesity</v>
      </c>
      <c r="K772" t="str">
        <f>VLOOKUP(Table2[[#This Row],[Customer ID]],Table2[#All],10,FALSE)</f>
        <v>Prediabetes</v>
      </c>
    </row>
    <row r="773" spans="1:11" ht="15.6" x14ac:dyDescent="0.3">
      <c r="A773" s="1" t="s">
        <v>1599</v>
      </c>
      <c r="B773" t="str">
        <f>VLOOKUP('Customer Names'!A773,'Customer Names'!$A$1:$E$2336,4,FALSE)</f>
        <v>Mr.  Michael</v>
      </c>
      <c r="C773">
        <f>VLOOKUP(Table2[[#This Row],[Customer ID]],Table2[#All],2,FALSE)</f>
        <v>41.47</v>
      </c>
      <c r="D773">
        <f>VLOOKUP(Table2[[#This Row],[Customer ID]],Table2[#All],3,FALSE)</f>
        <v>5.86</v>
      </c>
      <c r="E773" t="str">
        <f>VLOOKUP(Table2[[#This Row],[Customer ID]],Table2[#All],4,FALSE)</f>
        <v>Yes</v>
      </c>
      <c r="F773" t="str">
        <f>VLOOKUP(Table2[[#This Row],[Customer ID]],Table2[#All],5,FALSE)</f>
        <v>No</v>
      </c>
      <c r="G773" t="str">
        <f>VLOOKUP(Table2[[#This Row],[Customer ID]],Table2[#All],6,FALSE)</f>
        <v>No</v>
      </c>
      <c r="H773">
        <f>VLOOKUP(Table2[[#This Row],[Customer ID]],Table2[#All],7,FALSE)</f>
        <v>2</v>
      </c>
      <c r="I773" t="str">
        <f>VLOOKUP(Table2[[#This Row],[Customer ID]],Table2[#All],8,FALSE)</f>
        <v>No</v>
      </c>
      <c r="J773" t="str">
        <f>VLOOKUP(Table2[[#This Row],[Customer ID]],Table2[#All],9,FALSE)</f>
        <v>Obesity</v>
      </c>
      <c r="K773" t="str">
        <f>VLOOKUP(Table2[[#This Row],[Customer ID]],Table2[#All],10,FALSE)</f>
        <v>Prediabetes</v>
      </c>
    </row>
    <row r="774" spans="1:11" ht="15.6" x14ac:dyDescent="0.3">
      <c r="A774" s="1" t="s">
        <v>1598</v>
      </c>
      <c r="B774" t="str">
        <f>VLOOKUP('Customer Names'!A774,'Customer Names'!$A$1:$E$2336,4,FALSE)</f>
        <v>Mr.  Ben</v>
      </c>
      <c r="C774">
        <f>VLOOKUP(Table2[[#This Row],[Customer ID]],Table2[#All],2,FALSE)</f>
        <v>33.1</v>
      </c>
      <c r="D774">
        <f>VLOOKUP(Table2[[#This Row],[Customer ID]],Table2[#All],3,FALSE)</f>
        <v>5.19</v>
      </c>
      <c r="E774" t="str">
        <f>VLOOKUP(Table2[[#This Row],[Customer ID]],Table2[#All],4,FALSE)</f>
        <v>Yes</v>
      </c>
      <c r="F774" t="str">
        <f>VLOOKUP(Table2[[#This Row],[Customer ID]],Table2[#All],5,FALSE)</f>
        <v>No</v>
      </c>
      <c r="G774" t="str">
        <f>VLOOKUP(Table2[[#This Row],[Customer ID]],Table2[#All],6,FALSE)</f>
        <v>No</v>
      </c>
      <c r="H774">
        <f>VLOOKUP(Table2[[#This Row],[Customer ID]],Table2[#All],7,FALSE)</f>
        <v>2</v>
      </c>
      <c r="I774" t="str">
        <f>VLOOKUP(Table2[[#This Row],[Customer ID]],Table2[#All],8,FALSE)</f>
        <v>No</v>
      </c>
      <c r="J774" t="str">
        <f>VLOOKUP(Table2[[#This Row],[Customer ID]],Table2[#All],9,FALSE)</f>
        <v>Obesity</v>
      </c>
      <c r="K774" t="str">
        <f>VLOOKUP(Table2[[#This Row],[Customer ID]],Table2[#All],10,FALSE)</f>
        <v>Normal</v>
      </c>
    </row>
    <row r="775" spans="1:11" ht="15.6" x14ac:dyDescent="0.3">
      <c r="A775" s="1" t="s">
        <v>1597</v>
      </c>
      <c r="B775" t="str">
        <f>VLOOKUP('Customer Names'!A775,'Customer Names'!$A$1:$E$2336,4,FALSE)</f>
        <v>Mr.  Chris</v>
      </c>
      <c r="C775">
        <f>VLOOKUP(Table2[[#This Row],[Customer ID]],Table2[#All],2,FALSE)</f>
        <v>30.8</v>
      </c>
      <c r="D775">
        <f>VLOOKUP(Table2[[#This Row],[Customer ID]],Table2[#All],3,FALSE)</f>
        <v>4.37</v>
      </c>
      <c r="E775" t="str">
        <f>VLOOKUP(Table2[[#This Row],[Customer ID]],Table2[#All],4,FALSE)</f>
        <v>Yes</v>
      </c>
      <c r="F775" t="str">
        <f>VLOOKUP(Table2[[#This Row],[Customer ID]],Table2[#All],5,FALSE)</f>
        <v>No</v>
      </c>
      <c r="G775" t="str">
        <f>VLOOKUP(Table2[[#This Row],[Customer ID]],Table2[#All],6,FALSE)</f>
        <v>No</v>
      </c>
      <c r="H775">
        <f>VLOOKUP(Table2[[#This Row],[Customer ID]],Table2[#All],7,FALSE)</f>
        <v>2</v>
      </c>
      <c r="I775" t="str">
        <f>VLOOKUP(Table2[[#This Row],[Customer ID]],Table2[#All],8,FALSE)</f>
        <v>No</v>
      </c>
      <c r="J775" t="str">
        <f>VLOOKUP(Table2[[#This Row],[Customer ID]],Table2[#All],9,FALSE)</f>
        <v>Obesity</v>
      </c>
      <c r="K775" t="str">
        <f>VLOOKUP(Table2[[#This Row],[Customer ID]],Table2[#All],10,FALSE)</f>
        <v>Normal</v>
      </c>
    </row>
    <row r="776" spans="1:11" ht="15.6" x14ac:dyDescent="0.3">
      <c r="A776" s="1" t="s">
        <v>1596</v>
      </c>
      <c r="B776" t="str">
        <f>VLOOKUP('Customer Names'!A776,'Customer Names'!$A$1:$E$2336,4,FALSE)</f>
        <v>Mr.  Jeremy J</v>
      </c>
      <c r="C776">
        <f>VLOOKUP(Table2[[#This Row],[Customer ID]],Table2[#All],2,FALSE)</f>
        <v>42.06</v>
      </c>
      <c r="D776">
        <f>VLOOKUP(Table2[[#This Row],[Customer ID]],Table2[#All],3,FALSE)</f>
        <v>5.32</v>
      </c>
      <c r="E776" t="str">
        <f>VLOOKUP(Table2[[#This Row],[Customer ID]],Table2[#All],4,FALSE)</f>
        <v>No</v>
      </c>
      <c r="F776" t="str">
        <f>VLOOKUP(Table2[[#This Row],[Customer ID]],Table2[#All],5,FALSE)</f>
        <v>No</v>
      </c>
      <c r="G776" t="str">
        <f>VLOOKUP(Table2[[#This Row],[Customer ID]],Table2[#All],6,FALSE)</f>
        <v>No</v>
      </c>
      <c r="H776">
        <f>VLOOKUP(Table2[[#This Row],[Customer ID]],Table2[#All],7,FALSE)</f>
        <v>1</v>
      </c>
      <c r="I776" t="str">
        <f>VLOOKUP(Table2[[#This Row],[Customer ID]],Table2[#All],8,FALSE)</f>
        <v>No</v>
      </c>
      <c r="J776" t="str">
        <f>VLOOKUP(Table2[[#This Row],[Customer ID]],Table2[#All],9,FALSE)</f>
        <v>Obesity</v>
      </c>
      <c r="K776" t="str">
        <f>VLOOKUP(Table2[[#This Row],[Customer ID]],Table2[#All],10,FALSE)</f>
        <v>Normal</v>
      </c>
    </row>
    <row r="777" spans="1:11" ht="15.6" x14ac:dyDescent="0.3">
      <c r="A777" s="1" t="s">
        <v>1595</v>
      </c>
      <c r="B777" t="str">
        <f>VLOOKUP('Customer Names'!A777,'Customer Names'!$A$1:$E$2336,4,FALSE)</f>
        <v>Mrs.  Amy L.</v>
      </c>
      <c r="C777">
        <f>VLOOKUP(Table2[[#This Row],[Customer ID]],Table2[#All],2,FALSE)</f>
        <v>39.270000000000003</v>
      </c>
      <c r="D777">
        <f>VLOOKUP(Table2[[#This Row],[Customer ID]],Table2[#All],3,FALSE)</f>
        <v>5.64</v>
      </c>
      <c r="E777" t="str">
        <f>VLOOKUP(Table2[[#This Row],[Customer ID]],Table2[#All],4,FALSE)</f>
        <v>No</v>
      </c>
      <c r="F777" t="str">
        <f>VLOOKUP(Table2[[#This Row],[Customer ID]],Table2[#All],5,FALSE)</f>
        <v>No</v>
      </c>
      <c r="G777" t="str">
        <f>VLOOKUP(Table2[[#This Row],[Customer ID]],Table2[#All],6,FALSE)</f>
        <v>Yes</v>
      </c>
      <c r="H777">
        <f>VLOOKUP(Table2[[#This Row],[Customer ID]],Table2[#All],7,FALSE)</f>
        <v>1</v>
      </c>
      <c r="I777" t="str">
        <f>VLOOKUP(Table2[[#This Row],[Customer ID]],Table2[#All],8,FALSE)</f>
        <v>No</v>
      </c>
      <c r="J777" t="str">
        <f>VLOOKUP(Table2[[#This Row],[Customer ID]],Table2[#All],9,FALSE)</f>
        <v>Obesity</v>
      </c>
      <c r="K777" t="str">
        <f>VLOOKUP(Table2[[#This Row],[Customer ID]],Table2[#All],10,FALSE)</f>
        <v>Normal</v>
      </c>
    </row>
    <row r="778" spans="1:11" ht="15.6" x14ac:dyDescent="0.3">
      <c r="A778" s="1" t="s">
        <v>1594</v>
      </c>
      <c r="B778" t="str">
        <f>VLOOKUP('Customer Names'!A778,'Customer Names'!$A$1:$E$2336,4,FALSE)</f>
        <v>Mrs.  Karen L.</v>
      </c>
      <c r="C778">
        <f>VLOOKUP(Table2[[#This Row],[Customer ID]],Table2[#All],2,FALSE)</f>
        <v>30.71</v>
      </c>
      <c r="D778">
        <f>VLOOKUP(Table2[[#This Row],[Customer ID]],Table2[#All],3,FALSE)</f>
        <v>5.59</v>
      </c>
      <c r="E778" t="str">
        <f>VLOOKUP(Table2[[#This Row],[Customer ID]],Table2[#All],4,FALSE)</f>
        <v>Yes</v>
      </c>
      <c r="F778" t="str">
        <f>VLOOKUP(Table2[[#This Row],[Customer ID]],Table2[#All],5,FALSE)</f>
        <v>No</v>
      </c>
      <c r="G778" t="str">
        <f>VLOOKUP(Table2[[#This Row],[Customer ID]],Table2[#All],6,FALSE)</f>
        <v>No</v>
      </c>
      <c r="H778">
        <f>VLOOKUP(Table2[[#This Row],[Customer ID]],Table2[#All],7,FALSE)</f>
        <v>1</v>
      </c>
      <c r="I778" t="str">
        <f>VLOOKUP(Table2[[#This Row],[Customer ID]],Table2[#All],8,FALSE)</f>
        <v>No</v>
      </c>
      <c r="J778" t="str">
        <f>VLOOKUP(Table2[[#This Row],[Customer ID]],Table2[#All],9,FALSE)</f>
        <v>Obesity</v>
      </c>
      <c r="K778" t="str">
        <f>VLOOKUP(Table2[[#This Row],[Customer ID]],Table2[#All],10,FALSE)</f>
        <v>Normal</v>
      </c>
    </row>
    <row r="779" spans="1:11" ht="15.6" x14ac:dyDescent="0.3">
      <c r="A779" s="1" t="s">
        <v>1593</v>
      </c>
      <c r="B779" t="str">
        <f>VLOOKUP('Customer Names'!A779,'Customer Names'!$A$1:$E$2336,4,FALSE)</f>
        <v>Ms.  Tennille</v>
      </c>
      <c r="C779">
        <f>VLOOKUP(Table2[[#This Row],[Customer ID]],Table2[#All],2,FALSE)</f>
        <v>47.19</v>
      </c>
      <c r="D779">
        <f>VLOOKUP(Table2[[#This Row],[Customer ID]],Table2[#All],3,FALSE)</f>
        <v>5.29</v>
      </c>
      <c r="E779" t="str">
        <f>VLOOKUP(Table2[[#This Row],[Customer ID]],Table2[#All],4,FALSE)</f>
        <v>No</v>
      </c>
      <c r="F779" t="str">
        <f>VLOOKUP(Table2[[#This Row],[Customer ID]],Table2[#All],5,FALSE)</f>
        <v>No</v>
      </c>
      <c r="G779" t="str">
        <f>VLOOKUP(Table2[[#This Row],[Customer ID]],Table2[#All],6,FALSE)</f>
        <v>No</v>
      </c>
      <c r="H779">
        <f>VLOOKUP(Table2[[#This Row],[Customer ID]],Table2[#All],7,FALSE)</f>
        <v>0</v>
      </c>
      <c r="I779" t="str">
        <f>VLOOKUP(Table2[[#This Row],[Customer ID]],Table2[#All],8,FALSE)</f>
        <v>No</v>
      </c>
      <c r="J779" t="str">
        <f>VLOOKUP(Table2[[#This Row],[Customer ID]],Table2[#All],9,FALSE)</f>
        <v>Obesity</v>
      </c>
      <c r="K779" t="str">
        <f>VLOOKUP(Table2[[#This Row],[Customer ID]],Table2[#All],10,FALSE)</f>
        <v>Normal</v>
      </c>
    </row>
    <row r="780" spans="1:11" ht="15.6" x14ac:dyDescent="0.3">
      <c r="A780" s="1" t="s">
        <v>1592</v>
      </c>
      <c r="B780" t="str">
        <f>VLOOKUP('Customer Names'!A780,'Customer Names'!$A$1:$E$2336,4,FALSE)</f>
        <v>Mr.  Matt</v>
      </c>
      <c r="C780">
        <f>VLOOKUP(Table2[[#This Row],[Customer ID]],Table2[#All],2,FALSE)</f>
        <v>30.02</v>
      </c>
      <c r="D780">
        <f>VLOOKUP(Table2[[#This Row],[Customer ID]],Table2[#All],3,FALSE)</f>
        <v>6.65</v>
      </c>
      <c r="E780" t="str">
        <f>VLOOKUP(Table2[[#This Row],[Customer ID]],Table2[#All],4,FALSE)</f>
        <v>No</v>
      </c>
      <c r="F780" t="str">
        <f>VLOOKUP(Table2[[#This Row],[Customer ID]],Table2[#All],5,FALSE)</f>
        <v>No</v>
      </c>
      <c r="G780" t="str">
        <f>VLOOKUP(Table2[[#This Row],[Customer ID]],Table2[#All],6,FALSE)</f>
        <v>No</v>
      </c>
      <c r="H780">
        <f>VLOOKUP(Table2[[#This Row],[Customer ID]],Table2[#All],7,FALSE)</f>
        <v>0</v>
      </c>
      <c r="I780" t="str">
        <f>VLOOKUP(Table2[[#This Row],[Customer ID]],Table2[#All],8,FALSE)</f>
        <v>No</v>
      </c>
      <c r="J780" t="str">
        <f>VLOOKUP(Table2[[#This Row],[Customer ID]],Table2[#All],9,FALSE)</f>
        <v>Obesity</v>
      </c>
      <c r="K780" t="str">
        <f>VLOOKUP(Table2[[#This Row],[Customer ID]],Table2[#All],10,FALSE)</f>
        <v>Diabetes</v>
      </c>
    </row>
    <row r="781" spans="1:11" ht="15.6" x14ac:dyDescent="0.3">
      <c r="A781" s="1" t="s">
        <v>1591</v>
      </c>
      <c r="B781" t="str">
        <f>VLOOKUP('Customer Names'!A781,'Customer Names'!$A$1:$E$2336,4,FALSE)</f>
        <v>Ms.  Emily</v>
      </c>
      <c r="C781">
        <f>VLOOKUP(Table2[[#This Row],[Customer ID]],Table2[#All],2,FALSE)</f>
        <v>37.909999999999997</v>
      </c>
      <c r="D781">
        <f>VLOOKUP(Table2[[#This Row],[Customer ID]],Table2[#All],3,FALSE)</f>
        <v>5.68</v>
      </c>
      <c r="E781" t="str">
        <f>VLOOKUP(Table2[[#This Row],[Customer ID]],Table2[#All],4,FALSE)</f>
        <v>Yes</v>
      </c>
      <c r="F781" t="str">
        <f>VLOOKUP(Table2[[#This Row],[Customer ID]],Table2[#All],5,FALSE)</f>
        <v>No</v>
      </c>
      <c r="G781" t="str">
        <f>VLOOKUP(Table2[[#This Row],[Customer ID]],Table2[#All],6,FALSE)</f>
        <v>No</v>
      </c>
      <c r="H781">
        <f>VLOOKUP(Table2[[#This Row],[Customer ID]],Table2[#All],7,FALSE)</f>
        <v>0</v>
      </c>
      <c r="I781" t="str">
        <f>VLOOKUP(Table2[[#This Row],[Customer ID]],Table2[#All],8,FALSE)</f>
        <v>No</v>
      </c>
      <c r="J781" t="str">
        <f>VLOOKUP(Table2[[#This Row],[Customer ID]],Table2[#All],9,FALSE)</f>
        <v>Obesity</v>
      </c>
      <c r="K781" t="str">
        <f>VLOOKUP(Table2[[#This Row],[Customer ID]],Table2[#All],10,FALSE)</f>
        <v>Normal</v>
      </c>
    </row>
    <row r="782" spans="1:11" ht="15.6" x14ac:dyDescent="0.3">
      <c r="A782" s="1" t="s">
        <v>1590</v>
      </c>
      <c r="B782" t="str">
        <f>VLOOKUP('Customer Names'!A782,'Customer Names'!$A$1:$E$2336,4,FALSE)</f>
        <v>Mr.  Justin E</v>
      </c>
      <c r="C782">
        <f>VLOOKUP(Table2[[#This Row],[Customer ID]],Table2[#All],2,FALSE)</f>
        <v>54.61</v>
      </c>
      <c r="D782">
        <f>VLOOKUP(Table2[[#This Row],[Customer ID]],Table2[#All],3,FALSE)</f>
        <v>4.49</v>
      </c>
      <c r="E782" t="str">
        <f>VLOOKUP(Table2[[#This Row],[Customer ID]],Table2[#All],4,FALSE)</f>
        <v>No</v>
      </c>
      <c r="F782" t="str">
        <f>VLOOKUP(Table2[[#This Row],[Customer ID]],Table2[#All],5,FALSE)</f>
        <v>No</v>
      </c>
      <c r="G782" t="str">
        <f>VLOOKUP(Table2[[#This Row],[Customer ID]],Table2[#All],6,FALSE)</f>
        <v>No</v>
      </c>
      <c r="H782">
        <f>VLOOKUP(Table2[[#This Row],[Customer ID]],Table2[#All],7,FALSE)</f>
        <v>0</v>
      </c>
      <c r="I782" t="str">
        <f>VLOOKUP(Table2[[#This Row],[Customer ID]],Table2[#All],8,FALSE)</f>
        <v>No</v>
      </c>
      <c r="J782" t="str">
        <f>VLOOKUP(Table2[[#This Row],[Customer ID]],Table2[#All],9,FALSE)</f>
        <v>Obesity</v>
      </c>
      <c r="K782" t="str">
        <f>VLOOKUP(Table2[[#This Row],[Customer ID]],Table2[#All],10,FALSE)</f>
        <v>Normal</v>
      </c>
    </row>
    <row r="783" spans="1:11" ht="15.6" x14ac:dyDescent="0.3">
      <c r="A783" s="1" t="s">
        <v>1589</v>
      </c>
      <c r="B783" t="str">
        <f>VLOOKUP('Customer Names'!A783,'Customer Names'!$A$1:$E$2336,4,FALSE)</f>
        <v>Ms.  Shalane</v>
      </c>
      <c r="C783">
        <f>VLOOKUP(Table2[[#This Row],[Customer ID]],Table2[#All],2,FALSE)</f>
        <v>36.005000000000003</v>
      </c>
      <c r="D783">
        <f>VLOOKUP(Table2[[#This Row],[Customer ID]],Table2[#All],3,FALSE)</f>
        <v>6.9</v>
      </c>
      <c r="E783" t="str">
        <f>VLOOKUP(Table2[[#This Row],[Customer ID]],Table2[#All],4,FALSE)</f>
        <v>No</v>
      </c>
      <c r="F783" t="str">
        <f>VLOOKUP(Table2[[#This Row],[Customer ID]],Table2[#All],5,FALSE)</f>
        <v>No</v>
      </c>
      <c r="G783" t="str">
        <f>VLOOKUP(Table2[[#This Row],[Customer ID]],Table2[#All],6,FALSE)</f>
        <v>No</v>
      </c>
      <c r="H783">
        <f>VLOOKUP(Table2[[#This Row],[Customer ID]],Table2[#All],7,FALSE)</f>
        <v>0</v>
      </c>
      <c r="I783" t="str">
        <f>VLOOKUP(Table2[[#This Row],[Customer ID]],Table2[#All],8,FALSE)</f>
        <v>No</v>
      </c>
      <c r="J783" t="str">
        <f>VLOOKUP(Table2[[#This Row],[Customer ID]],Table2[#All],9,FALSE)</f>
        <v>Obesity</v>
      </c>
      <c r="K783" t="str">
        <f>VLOOKUP(Table2[[#This Row],[Customer ID]],Table2[#All],10,FALSE)</f>
        <v>Diabetes</v>
      </c>
    </row>
    <row r="784" spans="1:11" ht="15.6" x14ac:dyDescent="0.3">
      <c r="A784" s="1" t="s">
        <v>1588</v>
      </c>
      <c r="B784" t="str">
        <f>VLOOKUP('Customer Names'!A784,'Customer Names'!$A$1:$E$2336,4,FALSE)</f>
        <v>Ms.  Jessica N.</v>
      </c>
      <c r="C784">
        <f>VLOOKUP(Table2[[#This Row],[Customer ID]],Table2[#All],2,FALSE)</f>
        <v>28.7</v>
      </c>
      <c r="D784">
        <f>VLOOKUP(Table2[[#This Row],[Customer ID]],Table2[#All],3,FALSE)</f>
        <v>11.52</v>
      </c>
      <c r="E784" t="str">
        <f>VLOOKUP(Table2[[#This Row],[Customer ID]],Table2[#All],4,FALSE)</f>
        <v>No</v>
      </c>
      <c r="F784" t="str">
        <f>VLOOKUP(Table2[[#This Row],[Customer ID]],Table2[#All],5,FALSE)</f>
        <v>No</v>
      </c>
      <c r="G784" t="str">
        <f>VLOOKUP(Table2[[#This Row],[Customer ID]],Table2[#All],6,FALSE)</f>
        <v>No</v>
      </c>
      <c r="H784">
        <f>VLOOKUP(Table2[[#This Row],[Customer ID]],Table2[#All],7,FALSE)</f>
        <v>0</v>
      </c>
      <c r="I784" t="str">
        <f>VLOOKUP(Table2[[#This Row],[Customer ID]],Table2[#All],8,FALSE)</f>
        <v>No</v>
      </c>
      <c r="J784" t="str">
        <f>VLOOKUP(Table2[[#This Row],[Customer ID]],Table2[#All],9,FALSE)</f>
        <v>Overweight</v>
      </c>
      <c r="K784" t="str">
        <f>VLOOKUP(Table2[[#This Row],[Customer ID]],Table2[#All],10,FALSE)</f>
        <v>Diabetes</v>
      </c>
    </row>
    <row r="785" spans="1:11" ht="15.6" x14ac:dyDescent="0.3">
      <c r="A785" s="1" t="s">
        <v>1587</v>
      </c>
      <c r="B785" t="str">
        <f>VLOOKUP('Customer Names'!A785,'Customer Names'!$A$1:$E$2336,4,FALSE)</f>
        <v>Ms.  Melanie</v>
      </c>
      <c r="C785">
        <f>VLOOKUP(Table2[[#This Row],[Customer ID]],Table2[#All],2,FALSE)</f>
        <v>34.295000000000002</v>
      </c>
      <c r="D785">
        <f>VLOOKUP(Table2[[#This Row],[Customer ID]],Table2[#All],3,FALSE)</f>
        <v>11.24</v>
      </c>
      <c r="E785" t="str">
        <f>VLOOKUP(Table2[[#This Row],[Customer ID]],Table2[#All],4,FALSE)</f>
        <v>No</v>
      </c>
      <c r="F785" t="str">
        <f>VLOOKUP(Table2[[#This Row],[Customer ID]],Table2[#All],5,FALSE)</f>
        <v>No</v>
      </c>
      <c r="G785" t="str">
        <f>VLOOKUP(Table2[[#This Row],[Customer ID]],Table2[#All],6,FALSE)</f>
        <v>No</v>
      </c>
      <c r="H785">
        <f>VLOOKUP(Table2[[#This Row],[Customer ID]],Table2[#All],7,FALSE)</f>
        <v>0</v>
      </c>
      <c r="I785" t="str">
        <f>VLOOKUP(Table2[[#This Row],[Customer ID]],Table2[#All],8,FALSE)</f>
        <v>No</v>
      </c>
      <c r="J785" t="str">
        <f>VLOOKUP(Table2[[#This Row],[Customer ID]],Table2[#All],9,FALSE)</f>
        <v>Obesity</v>
      </c>
      <c r="K785" t="str">
        <f>VLOOKUP(Table2[[#This Row],[Customer ID]],Table2[#All],10,FALSE)</f>
        <v>Diabetes</v>
      </c>
    </row>
    <row r="786" spans="1:11" ht="15.6" x14ac:dyDescent="0.3">
      <c r="A786" s="1" t="s">
        <v>1586</v>
      </c>
      <c r="B786" t="str">
        <f>VLOOKUP('Customer Names'!A786,'Customer Names'!$A$1:$E$2336,4,FALSE)</f>
        <v>Ms.  Ruth Angelica</v>
      </c>
      <c r="C786">
        <f>VLOOKUP(Table2[[#This Row],[Customer ID]],Table2[#All],2,FALSE)</f>
        <v>27.55</v>
      </c>
      <c r="D786">
        <f>VLOOKUP(Table2[[#This Row],[Customer ID]],Table2[#All],3,FALSE)</f>
        <v>10.98</v>
      </c>
      <c r="E786" t="str">
        <f>VLOOKUP(Table2[[#This Row],[Customer ID]],Table2[#All],4,FALSE)</f>
        <v>No</v>
      </c>
      <c r="F786" t="str">
        <f>VLOOKUP(Table2[[#This Row],[Customer ID]],Table2[#All],5,FALSE)</f>
        <v>No</v>
      </c>
      <c r="G786" t="str">
        <f>VLOOKUP(Table2[[#This Row],[Customer ID]],Table2[#All],6,FALSE)</f>
        <v>No</v>
      </c>
      <c r="H786">
        <f>VLOOKUP(Table2[[#This Row],[Customer ID]],Table2[#All],7,FALSE)</f>
        <v>0</v>
      </c>
      <c r="I786" t="str">
        <f>VLOOKUP(Table2[[#This Row],[Customer ID]],Table2[#All],8,FALSE)</f>
        <v>No</v>
      </c>
      <c r="J786" t="str">
        <f>VLOOKUP(Table2[[#This Row],[Customer ID]],Table2[#All],9,FALSE)</f>
        <v>Overweight</v>
      </c>
      <c r="K786" t="str">
        <f>VLOOKUP(Table2[[#This Row],[Customer ID]],Table2[#All],10,FALSE)</f>
        <v>Diabetes</v>
      </c>
    </row>
    <row r="787" spans="1:11" ht="15.6" x14ac:dyDescent="0.3">
      <c r="A787" s="1" t="s">
        <v>1585</v>
      </c>
      <c r="B787" t="str">
        <f>VLOOKUP('Customer Names'!A787,'Customer Names'!$A$1:$E$2336,4,FALSE)</f>
        <v>Ms.  Una M</v>
      </c>
      <c r="C787">
        <f>VLOOKUP(Table2[[#This Row],[Customer ID]],Table2[#All],2,FALSE)</f>
        <v>40.700000000000003</v>
      </c>
      <c r="D787">
        <f>VLOOKUP(Table2[[#This Row],[Customer ID]],Table2[#All],3,FALSE)</f>
        <v>5.42</v>
      </c>
      <c r="E787" t="str">
        <f>VLOOKUP(Table2[[#This Row],[Customer ID]],Table2[#All],4,FALSE)</f>
        <v>No</v>
      </c>
      <c r="F787" t="str">
        <f>VLOOKUP(Table2[[#This Row],[Customer ID]],Table2[#All],5,FALSE)</f>
        <v>No</v>
      </c>
      <c r="G787" t="str">
        <f>VLOOKUP(Table2[[#This Row],[Customer ID]],Table2[#All],6,FALSE)</f>
        <v>No</v>
      </c>
      <c r="H787">
        <f>VLOOKUP(Table2[[#This Row],[Customer ID]],Table2[#All],7,FALSE)</f>
        <v>0</v>
      </c>
      <c r="I787" t="str">
        <f>VLOOKUP(Table2[[#This Row],[Customer ID]],Table2[#All],8,FALSE)</f>
        <v>No</v>
      </c>
      <c r="J787" t="str">
        <f>VLOOKUP(Table2[[#This Row],[Customer ID]],Table2[#All],9,FALSE)</f>
        <v>Obesity</v>
      </c>
      <c r="K787" t="str">
        <f>VLOOKUP(Table2[[#This Row],[Customer ID]],Table2[#All],10,FALSE)</f>
        <v>Normal</v>
      </c>
    </row>
    <row r="788" spans="1:11" ht="15.6" x14ac:dyDescent="0.3">
      <c r="A788" s="1" t="s">
        <v>1584</v>
      </c>
      <c r="B788" t="str">
        <f>VLOOKUP('Customer Names'!A788,'Customer Names'!$A$1:$E$2336,4,FALSE)</f>
        <v>Ms.  Taralyn</v>
      </c>
      <c r="C788">
        <f>VLOOKUP(Table2[[#This Row],[Customer ID]],Table2[#All],2,FALSE)</f>
        <v>18.335000000000001</v>
      </c>
      <c r="D788">
        <f>VLOOKUP(Table2[[#This Row],[Customer ID]],Table2[#All],3,FALSE)</f>
        <v>10.97</v>
      </c>
      <c r="E788" t="str">
        <f>VLOOKUP(Table2[[#This Row],[Customer ID]],Table2[#All],4,FALSE)</f>
        <v>No</v>
      </c>
      <c r="F788" t="str">
        <f>VLOOKUP(Table2[[#This Row],[Customer ID]],Table2[#All],5,FALSE)</f>
        <v>No</v>
      </c>
      <c r="G788" t="str">
        <f>VLOOKUP(Table2[[#This Row],[Customer ID]],Table2[#All],6,FALSE)</f>
        <v>No</v>
      </c>
      <c r="H788">
        <f>VLOOKUP(Table2[[#This Row],[Customer ID]],Table2[#All],7,FALSE)</f>
        <v>0</v>
      </c>
      <c r="I788" t="str">
        <f>VLOOKUP(Table2[[#This Row],[Customer ID]],Table2[#All],8,FALSE)</f>
        <v>No</v>
      </c>
      <c r="J788" t="str">
        <f>VLOOKUP(Table2[[#This Row],[Customer ID]],Table2[#All],9,FALSE)</f>
        <v>Underweight</v>
      </c>
      <c r="K788" t="str">
        <f>VLOOKUP(Table2[[#This Row],[Customer ID]],Table2[#All],10,FALSE)</f>
        <v>Diabetes</v>
      </c>
    </row>
    <row r="789" spans="1:11" ht="15.6" x14ac:dyDescent="0.3">
      <c r="A789" s="1" t="s">
        <v>1583</v>
      </c>
      <c r="B789" t="str">
        <f>VLOOKUP('Customer Names'!A789,'Customer Names'!$A$1:$E$2336,4,FALSE)</f>
        <v>Mr.  James A</v>
      </c>
      <c r="C789">
        <f>VLOOKUP(Table2[[#This Row],[Customer ID]],Table2[#All],2,FALSE)</f>
        <v>33.914999999999999</v>
      </c>
      <c r="D789">
        <f>VLOOKUP(Table2[[#This Row],[Customer ID]],Table2[#All],3,FALSE)</f>
        <v>9.56</v>
      </c>
      <c r="E789" t="str">
        <f>VLOOKUP(Table2[[#This Row],[Customer ID]],Table2[#All],4,FALSE)</f>
        <v>Yes</v>
      </c>
      <c r="F789" t="str">
        <f>VLOOKUP(Table2[[#This Row],[Customer ID]],Table2[#All],5,FALSE)</f>
        <v>No</v>
      </c>
      <c r="G789" t="str">
        <f>VLOOKUP(Table2[[#This Row],[Customer ID]],Table2[#All],6,FALSE)</f>
        <v>No</v>
      </c>
      <c r="H789">
        <f>VLOOKUP(Table2[[#This Row],[Customer ID]],Table2[#All],7,FALSE)</f>
        <v>2</v>
      </c>
      <c r="I789" t="str">
        <f>VLOOKUP(Table2[[#This Row],[Customer ID]],Table2[#All],8,FALSE)</f>
        <v>No</v>
      </c>
      <c r="J789" t="str">
        <f>VLOOKUP(Table2[[#This Row],[Customer ID]],Table2[#All],9,FALSE)</f>
        <v>Obesity</v>
      </c>
      <c r="K789" t="str">
        <f>VLOOKUP(Table2[[#This Row],[Customer ID]],Table2[#All],10,FALSE)</f>
        <v>Diabetes</v>
      </c>
    </row>
    <row r="790" spans="1:11" ht="15.6" x14ac:dyDescent="0.3">
      <c r="A790" s="1" t="s">
        <v>1582</v>
      </c>
      <c r="B790" t="str">
        <f>VLOOKUP('Customer Names'!A790,'Customer Names'!$A$1:$E$2336,4,FALSE)</f>
        <v>Mr.  Ning</v>
      </c>
      <c r="C790">
        <f>VLOOKUP(Table2[[#This Row],[Customer ID]],Table2[#All],2,FALSE)</f>
        <v>33.534999999999997</v>
      </c>
      <c r="D790">
        <f>VLOOKUP(Table2[[#This Row],[Customer ID]],Table2[#All],3,FALSE)</f>
        <v>9.4</v>
      </c>
      <c r="E790" t="str">
        <f>VLOOKUP(Table2[[#This Row],[Customer ID]],Table2[#All],4,FALSE)</f>
        <v>Yes</v>
      </c>
      <c r="F790" t="str">
        <f>VLOOKUP(Table2[[#This Row],[Customer ID]],Table2[#All],5,FALSE)</f>
        <v>No</v>
      </c>
      <c r="G790" t="str">
        <f>VLOOKUP(Table2[[#This Row],[Customer ID]],Table2[#All],6,FALSE)</f>
        <v>No</v>
      </c>
      <c r="H790">
        <f>VLOOKUP(Table2[[#This Row],[Customer ID]],Table2[#All],7,FALSE)</f>
        <v>2</v>
      </c>
      <c r="I790" t="str">
        <f>VLOOKUP(Table2[[#This Row],[Customer ID]],Table2[#All],8,FALSE)</f>
        <v>No</v>
      </c>
      <c r="J790" t="str">
        <f>VLOOKUP(Table2[[#This Row],[Customer ID]],Table2[#All],9,FALSE)</f>
        <v>Obesity</v>
      </c>
      <c r="K790" t="str">
        <f>VLOOKUP(Table2[[#This Row],[Customer ID]],Table2[#All],10,FALSE)</f>
        <v>Diabetes</v>
      </c>
    </row>
    <row r="791" spans="1:11" ht="15.6" x14ac:dyDescent="0.3">
      <c r="A791" s="1" t="s">
        <v>1581</v>
      </c>
      <c r="B791" t="str">
        <f>VLOOKUP('Customer Names'!A791,'Customer Names'!$A$1:$E$2336,4,FALSE)</f>
        <v>Mr.  Joel</v>
      </c>
      <c r="C791">
        <f>VLOOKUP(Table2[[#This Row],[Customer ID]],Table2[#All],2,FALSE)</f>
        <v>23.655000000000001</v>
      </c>
      <c r="D791">
        <f>VLOOKUP(Table2[[#This Row],[Customer ID]],Table2[#All],3,FALSE)</f>
        <v>8.48</v>
      </c>
      <c r="E791" t="str">
        <f>VLOOKUP(Table2[[#This Row],[Customer ID]],Table2[#All],4,FALSE)</f>
        <v>Yes</v>
      </c>
      <c r="F791" t="str">
        <f>VLOOKUP(Table2[[#This Row],[Customer ID]],Table2[#All],5,FALSE)</f>
        <v>No</v>
      </c>
      <c r="G791" t="str">
        <f>VLOOKUP(Table2[[#This Row],[Customer ID]],Table2[#All],6,FALSE)</f>
        <v>No</v>
      </c>
      <c r="H791">
        <f>VLOOKUP(Table2[[#This Row],[Customer ID]],Table2[#All],7,FALSE)</f>
        <v>2</v>
      </c>
      <c r="I791" t="str">
        <f>VLOOKUP(Table2[[#This Row],[Customer ID]],Table2[#All],8,FALSE)</f>
        <v>No</v>
      </c>
      <c r="J791" t="str">
        <f>VLOOKUP(Table2[[#This Row],[Customer ID]],Table2[#All],9,FALSE)</f>
        <v>Normalweight</v>
      </c>
      <c r="K791" t="str">
        <f>VLOOKUP(Table2[[#This Row],[Customer ID]],Table2[#All],10,FALSE)</f>
        <v>Diabetes</v>
      </c>
    </row>
    <row r="792" spans="1:11" ht="15.6" x14ac:dyDescent="0.3">
      <c r="A792" s="1" t="s">
        <v>1580</v>
      </c>
      <c r="B792" t="str">
        <f>VLOOKUP('Customer Names'!A792,'Customer Names'!$A$1:$E$2336,4,FALSE)</f>
        <v>Ms.  Pamela J.</v>
      </c>
      <c r="C792">
        <f>VLOOKUP(Table2[[#This Row],[Customer ID]],Table2[#All],2,FALSE)</f>
        <v>28</v>
      </c>
      <c r="D792">
        <f>VLOOKUP(Table2[[#This Row],[Customer ID]],Table2[#All],3,FALSE)</f>
        <v>5.57</v>
      </c>
      <c r="E792" t="str">
        <f>VLOOKUP(Table2[[#This Row],[Customer ID]],Table2[#All],4,FALSE)</f>
        <v>No</v>
      </c>
      <c r="F792" t="str">
        <f>VLOOKUP(Table2[[#This Row],[Customer ID]],Table2[#All],5,FALSE)</f>
        <v>No</v>
      </c>
      <c r="G792" t="str">
        <f>VLOOKUP(Table2[[#This Row],[Customer ID]],Table2[#All],6,FALSE)</f>
        <v>No</v>
      </c>
      <c r="H792">
        <f>VLOOKUP(Table2[[#This Row],[Customer ID]],Table2[#All],7,FALSE)</f>
        <v>0</v>
      </c>
      <c r="I792" t="str">
        <f>VLOOKUP(Table2[[#This Row],[Customer ID]],Table2[#All],8,FALSE)</f>
        <v>No</v>
      </c>
      <c r="J792" t="str">
        <f>VLOOKUP(Table2[[#This Row],[Customer ID]],Table2[#All],9,FALSE)</f>
        <v>Overweight</v>
      </c>
      <c r="K792" t="str">
        <f>VLOOKUP(Table2[[#This Row],[Customer ID]],Table2[#All],10,FALSE)</f>
        <v>Normal</v>
      </c>
    </row>
    <row r="793" spans="1:11" ht="15.6" x14ac:dyDescent="0.3">
      <c r="A793" s="1" t="s">
        <v>1579</v>
      </c>
      <c r="B793" t="str">
        <f>VLOOKUP('Customer Names'!A793,'Customer Names'!$A$1:$E$2336,4,FALSE)</f>
        <v>Ms.  Brittney</v>
      </c>
      <c r="C793">
        <f>VLOOKUP(Table2[[#This Row],[Customer ID]],Table2[#All],2,FALSE)</f>
        <v>30.23</v>
      </c>
      <c r="D793">
        <f>VLOOKUP(Table2[[#This Row],[Customer ID]],Table2[#All],3,FALSE)</f>
        <v>6.94</v>
      </c>
      <c r="E793" t="str">
        <f>VLOOKUP(Table2[[#This Row],[Customer ID]],Table2[#All],4,FALSE)</f>
        <v>Yes</v>
      </c>
      <c r="F793" t="str">
        <f>VLOOKUP(Table2[[#This Row],[Customer ID]],Table2[#All],5,FALSE)</f>
        <v>No</v>
      </c>
      <c r="G793" t="str">
        <f>VLOOKUP(Table2[[#This Row],[Customer ID]],Table2[#All],6,FALSE)</f>
        <v>Yes</v>
      </c>
      <c r="H793">
        <f>VLOOKUP(Table2[[#This Row],[Customer ID]],Table2[#All],7,FALSE)</f>
        <v>1</v>
      </c>
      <c r="I793" t="str">
        <f>VLOOKUP(Table2[[#This Row],[Customer ID]],Table2[#All],8,FALSE)</f>
        <v>No</v>
      </c>
      <c r="J793" t="str">
        <f>VLOOKUP(Table2[[#This Row],[Customer ID]],Table2[#All],9,FALSE)</f>
        <v>Obesity</v>
      </c>
      <c r="K793" t="str">
        <f>VLOOKUP(Table2[[#This Row],[Customer ID]],Table2[#All],10,FALSE)</f>
        <v>Diabetes</v>
      </c>
    </row>
    <row r="794" spans="1:11" ht="15.6" x14ac:dyDescent="0.3">
      <c r="A794" s="1" t="s">
        <v>1578</v>
      </c>
      <c r="B794" t="str">
        <f>VLOOKUP('Customer Names'!A794,'Customer Names'!$A$1:$E$2336,4,FALSE)</f>
        <v>Mrs.  Sheila</v>
      </c>
      <c r="C794">
        <f>VLOOKUP(Table2[[#This Row],[Customer ID]],Table2[#All],2,FALSE)</f>
        <v>51.14</v>
      </c>
      <c r="D794">
        <f>VLOOKUP(Table2[[#This Row],[Customer ID]],Table2[#All],3,FALSE)</f>
        <v>4.05</v>
      </c>
      <c r="E794" t="str">
        <f>VLOOKUP(Table2[[#This Row],[Customer ID]],Table2[#All],4,FALSE)</f>
        <v>No</v>
      </c>
      <c r="F794" t="str">
        <f>VLOOKUP(Table2[[#This Row],[Customer ID]],Table2[#All],5,FALSE)</f>
        <v>No</v>
      </c>
      <c r="G794" t="str">
        <f>VLOOKUP(Table2[[#This Row],[Customer ID]],Table2[#All],6,FALSE)</f>
        <v>No</v>
      </c>
      <c r="H794">
        <f>VLOOKUP(Table2[[#This Row],[Customer ID]],Table2[#All],7,FALSE)</f>
        <v>1</v>
      </c>
      <c r="I794" t="str">
        <f>VLOOKUP(Table2[[#This Row],[Customer ID]],Table2[#All],8,FALSE)</f>
        <v>No</v>
      </c>
      <c r="J794" t="str">
        <f>VLOOKUP(Table2[[#This Row],[Customer ID]],Table2[#All],9,FALSE)</f>
        <v>Obesity</v>
      </c>
      <c r="K794" t="str">
        <f>VLOOKUP(Table2[[#This Row],[Customer ID]],Table2[#All],10,FALSE)</f>
        <v>Normal</v>
      </c>
    </row>
    <row r="795" spans="1:11" ht="15.6" x14ac:dyDescent="0.3">
      <c r="A795" s="1" t="s">
        <v>1577</v>
      </c>
      <c r="B795" t="str">
        <f>VLOOKUP('Customer Names'!A795,'Customer Names'!$A$1:$E$2336,4,FALSE)</f>
        <v>Mr.  Koji</v>
      </c>
      <c r="C795">
        <f>VLOOKUP(Table2[[#This Row],[Customer ID]],Table2[#All],2,FALSE)</f>
        <v>24.32</v>
      </c>
      <c r="D795">
        <f>VLOOKUP(Table2[[#This Row],[Customer ID]],Table2[#All],3,FALSE)</f>
        <v>10.220000000000001</v>
      </c>
      <c r="E795" t="str">
        <f>VLOOKUP(Table2[[#This Row],[Customer ID]],Table2[#All],4,FALSE)</f>
        <v>No</v>
      </c>
      <c r="F795" t="str">
        <f>VLOOKUP(Table2[[#This Row],[Customer ID]],Table2[#All],5,FALSE)</f>
        <v>No</v>
      </c>
      <c r="G795" t="str">
        <f>VLOOKUP(Table2[[#This Row],[Customer ID]],Table2[#All],6,FALSE)</f>
        <v>No</v>
      </c>
      <c r="H795">
        <f>VLOOKUP(Table2[[#This Row],[Customer ID]],Table2[#All],7,FALSE)</f>
        <v>0</v>
      </c>
      <c r="I795" t="str">
        <f>VLOOKUP(Table2[[#This Row],[Customer ID]],Table2[#All],8,FALSE)</f>
        <v>No</v>
      </c>
      <c r="J795" t="str">
        <f>VLOOKUP(Table2[[#This Row],[Customer ID]],Table2[#All],9,FALSE)</f>
        <v>Normalweight</v>
      </c>
      <c r="K795" t="str">
        <f>VLOOKUP(Table2[[#This Row],[Customer ID]],Table2[#All],10,FALSE)</f>
        <v>Diabetes</v>
      </c>
    </row>
    <row r="796" spans="1:11" ht="15.6" x14ac:dyDescent="0.3">
      <c r="A796" s="1" t="s">
        <v>1576</v>
      </c>
      <c r="B796" t="str">
        <f>VLOOKUP('Customer Names'!A796,'Customer Names'!$A$1:$E$2336,4,FALSE)</f>
        <v>Ms.  Sarah</v>
      </c>
      <c r="C796">
        <f>VLOOKUP(Table2[[#This Row],[Customer ID]],Table2[#All],2,FALSE)</f>
        <v>38.06</v>
      </c>
      <c r="D796">
        <f>VLOOKUP(Table2[[#This Row],[Customer ID]],Table2[#All],3,FALSE)</f>
        <v>9.24</v>
      </c>
      <c r="E796" t="str">
        <f>VLOOKUP(Table2[[#This Row],[Customer ID]],Table2[#All],4,FALSE)</f>
        <v>No</v>
      </c>
      <c r="F796" t="str">
        <f>VLOOKUP(Table2[[#This Row],[Customer ID]],Table2[#All],5,FALSE)</f>
        <v>No</v>
      </c>
      <c r="G796" t="str">
        <f>VLOOKUP(Table2[[#This Row],[Customer ID]],Table2[#All],6,FALSE)</f>
        <v>No</v>
      </c>
      <c r="H796">
        <f>VLOOKUP(Table2[[#This Row],[Customer ID]],Table2[#All],7,FALSE)</f>
        <v>0</v>
      </c>
      <c r="I796" t="str">
        <f>VLOOKUP(Table2[[#This Row],[Customer ID]],Table2[#All],8,FALSE)</f>
        <v>No</v>
      </c>
      <c r="J796" t="str">
        <f>VLOOKUP(Table2[[#This Row],[Customer ID]],Table2[#All],9,FALSE)</f>
        <v>Obesity</v>
      </c>
      <c r="K796" t="str">
        <f>VLOOKUP(Table2[[#This Row],[Customer ID]],Table2[#All],10,FALSE)</f>
        <v>Diabetes</v>
      </c>
    </row>
    <row r="797" spans="1:11" ht="15.6" x14ac:dyDescent="0.3">
      <c r="A797" s="1" t="s">
        <v>1575</v>
      </c>
      <c r="B797" t="str">
        <f>VLOOKUP('Customer Names'!A797,'Customer Names'!$A$1:$E$2336,4,FALSE)</f>
        <v>Mrs.  Colleen M</v>
      </c>
      <c r="C797">
        <f>VLOOKUP(Table2[[#This Row],[Customer ID]],Table2[#All],2,FALSE)</f>
        <v>37.700000000000003</v>
      </c>
      <c r="D797">
        <f>VLOOKUP(Table2[[#This Row],[Customer ID]],Table2[#All],3,FALSE)</f>
        <v>8.6</v>
      </c>
      <c r="E797" t="str">
        <f>VLOOKUP(Table2[[#This Row],[Customer ID]],Table2[#All],4,FALSE)</f>
        <v>No</v>
      </c>
      <c r="F797" t="str">
        <f>VLOOKUP(Table2[[#This Row],[Customer ID]],Table2[#All],5,FALSE)</f>
        <v>No</v>
      </c>
      <c r="G797" t="str">
        <f>VLOOKUP(Table2[[#This Row],[Customer ID]],Table2[#All],6,FALSE)</f>
        <v>No</v>
      </c>
      <c r="H797">
        <f>VLOOKUP(Table2[[#This Row],[Customer ID]],Table2[#All],7,FALSE)</f>
        <v>0</v>
      </c>
      <c r="I797" t="str">
        <f>VLOOKUP(Table2[[#This Row],[Customer ID]],Table2[#All],8,FALSE)</f>
        <v>No</v>
      </c>
      <c r="J797" t="str">
        <f>VLOOKUP(Table2[[#This Row],[Customer ID]],Table2[#All],9,FALSE)</f>
        <v>Obesity</v>
      </c>
      <c r="K797" t="str">
        <f>VLOOKUP(Table2[[#This Row],[Customer ID]],Table2[#All],10,FALSE)</f>
        <v>Diabetes</v>
      </c>
    </row>
    <row r="798" spans="1:11" ht="15.6" x14ac:dyDescent="0.3">
      <c r="A798" s="1" t="s">
        <v>1574</v>
      </c>
      <c r="B798" t="str">
        <f>VLOOKUP('Customer Names'!A798,'Customer Names'!$A$1:$E$2336,4,FALSE)</f>
        <v>Ms.  Deedra G.</v>
      </c>
      <c r="C798">
        <f>VLOOKUP(Table2[[#This Row],[Customer ID]],Table2[#All],2,FALSE)</f>
        <v>44</v>
      </c>
      <c r="D798">
        <f>VLOOKUP(Table2[[#This Row],[Customer ID]],Table2[#All],3,FALSE)</f>
        <v>9.32</v>
      </c>
      <c r="E798" t="str">
        <f>VLOOKUP(Table2[[#This Row],[Customer ID]],Table2[#All],4,FALSE)</f>
        <v>Yes</v>
      </c>
      <c r="F798" t="str">
        <f>VLOOKUP(Table2[[#This Row],[Customer ID]],Table2[#All],5,FALSE)</f>
        <v>No</v>
      </c>
      <c r="G798" t="str">
        <f>VLOOKUP(Table2[[#This Row],[Customer ID]],Table2[#All],6,FALSE)</f>
        <v>No</v>
      </c>
      <c r="H798">
        <f>VLOOKUP(Table2[[#This Row],[Customer ID]],Table2[#All],7,FALSE)</f>
        <v>2</v>
      </c>
      <c r="I798" t="str">
        <f>VLOOKUP(Table2[[#This Row],[Customer ID]],Table2[#All],8,FALSE)</f>
        <v>No</v>
      </c>
      <c r="J798" t="str">
        <f>VLOOKUP(Table2[[#This Row],[Customer ID]],Table2[#All],9,FALSE)</f>
        <v>Obesity</v>
      </c>
      <c r="K798" t="str">
        <f>VLOOKUP(Table2[[#This Row],[Customer ID]],Table2[#All],10,FALSE)</f>
        <v>Diabetes</v>
      </c>
    </row>
    <row r="799" spans="1:11" ht="15.6" x14ac:dyDescent="0.3">
      <c r="A799" s="1" t="s">
        <v>1573</v>
      </c>
      <c r="B799" t="str">
        <f>VLOOKUP('Customer Names'!A799,'Customer Names'!$A$1:$E$2336,4,FALSE)</f>
        <v>Mrs.  Kulwinder</v>
      </c>
      <c r="C799">
        <f>VLOOKUP(Table2[[#This Row],[Customer ID]],Table2[#All],2,FALSE)</f>
        <v>41.45</v>
      </c>
      <c r="D799">
        <f>VLOOKUP(Table2[[#This Row],[Customer ID]],Table2[#All],3,FALSE)</f>
        <v>6.12</v>
      </c>
      <c r="E799" t="str">
        <f>VLOOKUP(Table2[[#This Row],[Customer ID]],Table2[#All],4,FALSE)</f>
        <v>Yes</v>
      </c>
      <c r="F799" t="str">
        <f>VLOOKUP(Table2[[#This Row],[Customer ID]],Table2[#All],5,FALSE)</f>
        <v>No</v>
      </c>
      <c r="G799" t="str">
        <f>VLOOKUP(Table2[[#This Row],[Customer ID]],Table2[#All],6,FALSE)</f>
        <v>No</v>
      </c>
      <c r="H799">
        <f>VLOOKUP(Table2[[#This Row],[Customer ID]],Table2[#All],7,FALSE)</f>
        <v>0</v>
      </c>
      <c r="I799" t="str">
        <f>VLOOKUP(Table2[[#This Row],[Customer ID]],Table2[#All],8,FALSE)</f>
        <v>No</v>
      </c>
      <c r="J799" t="str">
        <f>VLOOKUP(Table2[[#This Row],[Customer ID]],Table2[#All],9,FALSE)</f>
        <v>Obesity</v>
      </c>
      <c r="K799" t="str">
        <f>VLOOKUP(Table2[[#This Row],[Customer ID]],Table2[#All],10,FALSE)</f>
        <v>Prediabetes</v>
      </c>
    </row>
    <row r="800" spans="1:11" ht="15.6" x14ac:dyDescent="0.3">
      <c r="A800" s="1" t="s">
        <v>1572</v>
      </c>
      <c r="B800" t="str">
        <f>VLOOKUP('Customer Names'!A800,'Customer Names'!$A$1:$E$2336,4,FALSE)</f>
        <v>Ms.  Ann M.</v>
      </c>
      <c r="C800">
        <f>VLOOKUP(Table2[[#This Row],[Customer ID]],Table2[#All],2,FALSE)</f>
        <v>25.364999999999998</v>
      </c>
      <c r="D800">
        <f>VLOOKUP(Table2[[#This Row],[Customer ID]],Table2[#All],3,FALSE)</f>
        <v>9.19</v>
      </c>
      <c r="E800" t="str">
        <f>VLOOKUP(Table2[[#This Row],[Customer ID]],Table2[#All],4,FALSE)</f>
        <v>Yes</v>
      </c>
      <c r="F800" t="str">
        <f>VLOOKUP(Table2[[#This Row],[Customer ID]],Table2[#All],5,FALSE)</f>
        <v>No</v>
      </c>
      <c r="G800" t="str">
        <f>VLOOKUP(Table2[[#This Row],[Customer ID]],Table2[#All],6,FALSE)</f>
        <v>No</v>
      </c>
      <c r="H800">
        <f>VLOOKUP(Table2[[#This Row],[Customer ID]],Table2[#All],7,FALSE)</f>
        <v>0</v>
      </c>
      <c r="I800" t="str">
        <f>VLOOKUP(Table2[[#This Row],[Customer ID]],Table2[#All],8,FALSE)</f>
        <v>No</v>
      </c>
      <c r="J800" t="str">
        <f>VLOOKUP(Table2[[#This Row],[Customer ID]],Table2[#All],9,FALSE)</f>
        <v>Overweight</v>
      </c>
      <c r="K800" t="str">
        <f>VLOOKUP(Table2[[#This Row],[Customer ID]],Table2[#All],10,FALSE)</f>
        <v>Diabetes</v>
      </c>
    </row>
    <row r="801" spans="1:11" ht="15.6" x14ac:dyDescent="0.3">
      <c r="A801" s="1" t="s">
        <v>1571</v>
      </c>
      <c r="B801" t="str">
        <f>VLOOKUP('Customer Names'!A801,'Customer Names'!$A$1:$E$2336,4,FALSE)</f>
        <v>Ms.  Sarah E</v>
      </c>
      <c r="C801">
        <f>VLOOKUP(Table2[[#This Row],[Customer ID]],Table2[#All],2,FALSE)</f>
        <v>34.56</v>
      </c>
      <c r="D801">
        <f>VLOOKUP(Table2[[#This Row],[Customer ID]],Table2[#All],3,FALSE)</f>
        <v>5.84</v>
      </c>
      <c r="E801" t="str">
        <f>VLOOKUP(Table2[[#This Row],[Customer ID]],Table2[#All],4,FALSE)</f>
        <v>Yes</v>
      </c>
      <c r="F801" t="str">
        <f>VLOOKUP(Table2[[#This Row],[Customer ID]],Table2[#All],5,FALSE)</f>
        <v>No</v>
      </c>
      <c r="G801" t="str">
        <f>VLOOKUP(Table2[[#This Row],[Customer ID]],Table2[#All],6,FALSE)</f>
        <v>Yes</v>
      </c>
      <c r="H801">
        <f>VLOOKUP(Table2[[#This Row],[Customer ID]],Table2[#All],7,FALSE)</f>
        <v>1</v>
      </c>
      <c r="I801" t="str">
        <f>VLOOKUP(Table2[[#This Row],[Customer ID]],Table2[#All],8,FALSE)</f>
        <v>No</v>
      </c>
      <c r="J801" t="str">
        <f>VLOOKUP(Table2[[#This Row],[Customer ID]],Table2[#All],9,FALSE)</f>
        <v>Obesity</v>
      </c>
      <c r="K801" t="str">
        <f>VLOOKUP(Table2[[#This Row],[Customer ID]],Table2[#All],10,FALSE)</f>
        <v>Prediabetes</v>
      </c>
    </row>
    <row r="802" spans="1:11" ht="15.6" x14ac:dyDescent="0.3">
      <c r="A802" s="1" t="s">
        <v>1570</v>
      </c>
      <c r="B802" t="str">
        <f>VLOOKUP('Customer Names'!A802,'Customer Names'!$A$1:$E$2336,4,FALSE)</f>
        <v>Ms.  Apryl J.</v>
      </c>
      <c r="C802">
        <f>VLOOKUP(Table2[[#This Row],[Customer ID]],Table2[#All],2,FALSE)</f>
        <v>28.2</v>
      </c>
      <c r="D802">
        <f>VLOOKUP(Table2[[#This Row],[Customer ID]],Table2[#All],3,FALSE)</f>
        <v>7.19</v>
      </c>
      <c r="E802" t="str">
        <f>VLOOKUP(Table2[[#This Row],[Customer ID]],Table2[#All],4,FALSE)</f>
        <v>Yes</v>
      </c>
      <c r="F802" t="str">
        <f>VLOOKUP(Table2[[#This Row],[Customer ID]],Table2[#All],5,FALSE)</f>
        <v>No</v>
      </c>
      <c r="G802" t="str">
        <f>VLOOKUP(Table2[[#This Row],[Customer ID]],Table2[#All],6,FALSE)</f>
        <v>No</v>
      </c>
      <c r="H802">
        <f>VLOOKUP(Table2[[#This Row],[Customer ID]],Table2[#All],7,FALSE)</f>
        <v>2</v>
      </c>
      <c r="I802" t="str">
        <f>VLOOKUP(Table2[[#This Row],[Customer ID]],Table2[#All],8,FALSE)</f>
        <v>No</v>
      </c>
      <c r="J802" t="str">
        <f>VLOOKUP(Table2[[#This Row],[Customer ID]],Table2[#All],9,FALSE)</f>
        <v>Overweight</v>
      </c>
      <c r="K802" t="str">
        <f>VLOOKUP(Table2[[#This Row],[Customer ID]],Table2[#All],10,FALSE)</f>
        <v>Diabetes</v>
      </c>
    </row>
    <row r="803" spans="1:11" ht="15.6" x14ac:dyDescent="0.3">
      <c r="A803" s="1" t="s">
        <v>1569</v>
      </c>
      <c r="B803" t="str">
        <f>VLOOKUP('Customer Names'!A803,'Customer Names'!$A$1:$E$2336,4,FALSE)</f>
        <v>Mrs.  Ilana</v>
      </c>
      <c r="C803">
        <f>VLOOKUP(Table2[[#This Row],[Customer ID]],Table2[#All],2,FALSE)</f>
        <v>30.43</v>
      </c>
      <c r="D803">
        <f>VLOOKUP(Table2[[#This Row],[Customer ID]],Table2[#All],3,FALSE)</f>
        <v>9.39</v>
      </c>
      <c r="E803" t="str">
        <f>VLOOKUP(Table2[[#This Row],[Customer ID]],Table2[#All],4,FALSE)</f>
        <v>No</v>
      </c>
      <c r="F803" t="str">
        <f>VLOOKUP(Table2[[#This Row],[Customer ID]],Table2[#All],5,FALSE)</f>
        <v>No</v>
      </c>
      <c r="G803" t="str">
        <f>VLOOKUP(Table2[[#This Row],[Customer ID]],Table2[#All],6,FALSE)</f>
        <v>No</v>
      </c>
      <c r="H803">
        <f>VLOOKUP(Table2[[#This Row],[Customer ID]],Table2[#All],7,FALSE)</f>
        <v>0</v>
      </c>
      <c r="I803" t="str">
        <f>VLOOKUP(Table2[[#This Row],[Customer ID]],Table2[#All],8,FALSE)</f>
        <v>No</v>
      </c>
      <c r="J803" t="str">
        <f>VLOOKUP(Table2[[#This Row],[Customer ID]],Table2[#All],9,FALSE)</f>
        <v>Obesity</v>
      </c>
      <c r="K803" t="str">
        <f>VLOOKUP(Table2[[#This Row],[Customer ID]],Table2[#All],10,FALSE)</f>
        <v>Diabetes</v>
      </c>
    </row>
    <row r="804" spans="1:11" ht="15.6" x14ac:dyDescent="0.3">
      <c r="A804" s="1" t="s">
        <v>1568</v>
      </c>
      <c r="B804" t="str">
        <f>VLOOKUP('Customer Names'!A804,'Customer Names'!$A$1:$E$2336,4,FALSE)</f>
        <v>Ms.  Katherine</v>
      </c>
      <c r="C804">
        <f>VLOOKUP(Table2[[#This Row],[Customer ID]],Table2[#All],2,FALSE)</f>
        <v>32.395000000000003</v>
      </c>
      <c r="D804">
        <f>VLOOKUP(Table2[[#This Row],[Customer ID]],Table2[#All],3,FALSE)</f>
        <v>4.2699999999999996</v>
      </c>
      <c r="E804" t="str">
        <f>VLOOKUP(Table2[[#This Row],[Customer ID]],Table2[#All],4,FALSE)</f>
        <v>Yes</v>
      </c>
      <c r="F804" t="str">
        <f>VLOOKUP(Table2[[#This Row],[Customer ID]],Table2[#All],5,FALSE)</f>
        <v>No</v>
      </c>
      <c r="G804" t="str">
        <f>VLOOKUP(Table2[[#This Row],[Customer ID]],Table2[#All],6,FALSE)</f>
        <v>No</v>
      </c>
      <c r="H804">
        <f>VLOOKUP(Table2[[#This Row],[Customer ID]],Table2[#All],7,FALSE)</f>
        <v>1</v>
      </c>
      <c r="I804" t="str">
        <f>VLOOKUP(Table2[[#This Row],[Customer ID]],Table2[#All],8,FALSE)</f>
        <v>No</v>
      </c>
      <c r="J804" t="str">
        <f>VLOOKUP(Table2[[#This Row],[Customer ID]],Table2[#All],9,FALSE)</f>
        <v>Obesity</v>
      </c>
      <c r="K804" t="str">
        <f>VLOOKUP(Table2[[#This Row],[Customer ID]],Table2[#All],10,FALSE)</f>
        <v>Normal</v>
      </c>
    </row>
    <row r="805" spans="1:11" ht="15.6" x14ac:dyDescent="0.3">
      <c r="A805" s="1" t="s">
        <v>1567</v>
      </c>
      <c r="B805" t="str">
        <f>VLOOKUP('Customer Names'!A805,'Customer Names'!$A$1:$E$2336,4,FALSE)</f>
        <v>Ms.  Katherine</v>
      </c>
      <c r="C805">
        <f>VLOOKUP(Table2[[#This Row],[Customer ID]],Table2[#All],2,FALSE)</f>
        <v>24.035</v>
      </c>
      <c r="D805">
        <f>VLOOKUP(Table2[[#This Row],[Customer ID]],Table2[#All],3,FALSE)</f>
        <v>11.71</v>
      </c>
      <c r="E805" t="str">
        <f>VLOOKUP(Table2[[#This Row],[Customer ID]],Table2[#All],4,FALSE)</f>
        <v>No</v>
      </c>
      <c r="F805" t="str">
        <f>VLOOKUP(Table2[[#This Row],[Customer ID]],Table2[#All],5,FALSE)</f>
        <v>No</v>
      </c>
      <c r="G805" t="str">
        <f>VLOOKUP(Table2[[#This Row],[Customer ID]],Table2[#All],6,FALSE)</f>
        <v>No</v>
      </c>
      <c r="H805">
        <f>VLOOKUP(Table2[[#This Row],[Customer ID]],Table2[#All],7,FALSE)</f>
        <v>0</v>
      </c>
      <c r="I805" t="str">
        <f>VLOOKUP(Table2[[#This Row],[Customer ID]],Table2[#All],8,FALSE)</f>
        <v>No</v>
      </c>
      <c r="J805" t="str">
        <f>VLOOKUP(Table2[[#This Row],[Customer ID]],Table2[#All],9,FALSE)</f>
        <v>Normalweight</v>
      </c>
      <c r="K805" t="str">
        <f>VLOOKUP(Table2[[#This Row],[Customer ID]],Table2[#All],10,FALSE)</f>
        <v>Diabetes</v>
      </c>
    </row>
    <row r="806" spans="1:11" ht="15.6" x14ac:dyDescent="0.3">
      <c r="A806" s="1" t="s">
        <v>1566</v>
      </c>
      <c r="B806" t="str">
        <f>VLOOKUP('Customer Names'!A806,'Customer Names'!$A$1:$E$2336,4,FALSE)</f>
        <v>Mr.  Karl</v>
      </c>
      <c r="C806">
        <f>VLOOKUP(Table2[[#This Row],[Customer ID]],Table2[#All],2,FALSE)</f>
        <v>37.119999999999997</v>
      </c>
      <c r="D806">
        <f>VLOOKUP(Table2[[#This Row],[Customer ID]],Table2[#All],3,FALSE)</f>
        <v>5.29</v>
      </c>
      <c r="E806" t="str">
        <f>VLOOKUP(Table2[[#This Row],[Customer ID]],Table2[#All],4,FALSE)</f>
        <v>No</v>
      </c>
      <c r="F806" t="str">
        <f>VLOOKUP(Table2[[#This Row],[Customer ID]],Table2[#All],5,FALSE)</f>
        <v>No</v>
      </c>
      <c r="G806" t="str">
        <f>VLOOKUP(Table2[[#This Row],[Customer ID]],Table2[#All],6,FALSE)</f>
        <v>No</v>
      </c>
      <c r="H806">
        <f>VLOOKUP(Table2[[#This Row],[Customer ID]],Table2[#All],7,FALSE)</f>
        <v>2</v>
      </c>
      <c r="I806" t="str">
        <f>VLOOKUP(Table2[[#This Row],[Customer ID]],Table2[#All],8,FALSE)</f>
        <v>No</v>
      </c>
      <c r="J806" t="str">
        <f>VLOOKUP(Table2[[#This Row],[Customer ID]],Table2[#All],9,FALSE)</f>
        <v>Obesity</v>
      </c>
      <c r="K806" t="str">
        <f>VLOOKUP(Table2[[#This Row],[Customer ID]],Table2[#All],10,FALSE)</f>
        <v>Normal</v>
      </c>
    </row>
    <row r="807" spans="1:11" ht="15.6" x14ac:dyDescent="0.3">
      <c r="A807" s="1" t="s">
        <v>1565</v>
      </c>
      <c r="B807" t="str">
        <f>VLOOKUP('Customer Names'!A807,'Customer Names'!$A$1:$E$2336,4,FALSE)</f>
        <v>Mr.  Stephen</v>
      </c>
      <c r="C807">
        <f>VLOOKUP(Table2[[#This Row],[Customer ID]],Table2[#All],2,FALSE)</f>
        <v>34.840000000000003</v>
      </c>
      <c r="D807">
        <f>VLOOKUP(Table2[[#This Row],[Customer ID]],Table2[#All],3,FALSE)</f>
        <v>6</v>
      </c>
      <c r="E807" t="str">
        <f>VLOOKUP(Table2[[#This Row],[Customer ID]],Table2[#All],4,FALSE)</f>
        <v>Yes</v>
      </c>
      <c r="F807" t="str">
        <f>VLOOKUP(Table2[[#This Row],[Customer ID]],Table2[#All],5,FALSE)</f>
        <v>No</v>
      </c>
      <c r="G807" t="str">
        <f>VLOOKUP(Table2[[#This Row],[Customer ID]],Table2[#All],6,FALSE)</f>
        <v>Yes</v>
      </c>
      <c r="H807">
        <f>VLOOKUP(Table2[[#This Row],[Customer ID]],Table2[#All],7,FALSE)</f>
        <v>1</v>
      </c>
      <c r="I807" t="str">
        <f>VLOOKUP(Table2[[#This Row],[Customer ID]],Table2[#All],8,FALSE)</f>
        <v>No</v>
      </c>
      <c r="J807" t="str">
        <f>VLOOKUP(Table2[[#This Row],[Customer ID]],Table2[#All],9,FALSE)</f>
        <v>Obesity</v>
      </c>
      <c r="K807" t="str">
        <f>VLOOKUP(Table2[[#This Row],[Customer ID]],Table2[#All],10,FALSE)</f>
        <v>Prediabetes</v>
      </c>
    </row>
    <row r="808" spans="1:11" ht="15.6" x14ac:dyDescent="0.3">
      <c r="A808" s="1" t="s">
        <v>1564</v>
      </c>
      <c r="B808" t="str">
        <f>VLOOKUP('Customer Names'!A808,'Customer Names'!$A$1:$E$2336,4,FALSE)</f>
        <v>Mr.  Will</v>
      </c>
      <c r="C808">
        <f>VLOOKUP(Table2[[#This Row],[Customer ID]],Table2[#All],2,FALSE)</f>
        <v>29.53</v>
      </c>
      <c r="D808">
        <f>VLOOKUP(Table2[[#This Row],[Customer ID]],Table2[#All],3,FALSE)</f>
        <v>10.64</v>
      </c>
      <c r="E808" t="str">
        <f>VLOOKUP(Table2[[#This Row],[Customer ID]],Table2[#All],4,FALSE)</f>
        <v>No</v>
      </c>
      <c r="F808" t="str">
        <f>VLOOKUP(Table2[[#This Row],[Customer ID]],Table2[#All],5,FALSE)</f>
        <v>No</v>
      </c>
      <c r="G808" t="str">
        <f>VLOOKUP(Table2[[#This Row],[Customer ID]],Table2[#All],6,FALSE)</f>
        <v>No</v>
      </c>
      <c r="H808">
        <f>VLOOKUP(Table2[[#This Row],[Customer ID]],Table2[#All],7,FALSE)</f>
        <v>0</v>
      </c>
      <c r="I808" t="str">
        <f>VLOOKUP(Table2[[#This Row],[Customer ID]],Table2[#All],8,FALSE)</f>
        <v>No</v>
      </c>
      <c r="J808" t="str">
        <f>VLOOKUP(Table2[[#This Row],[Customer ID]],Table2[#All],9,FALSE)</f>
        <v>Overweight</v>
      </c>
      <c r="K808" t="str">
        <f>VLOOKUP(Table2[[#This Row],[Customer ID]],Table2[#All],10,FALSE)</f>
        <v>Diabetes</v>
      </c>
    </row>
    <row r="809" spans="1:11" ht="15.6" x14ac:dyDescent="0.3">
      <c r="A809" s="1" t="s">
        <v>1563</v>
      </c>
      <c r="B809" t="str">
        <f>VLOOKUP('Customer Names'!A809,'Customer Names'!$A$1:$E$2336,4,FALSE)</f>
        <v>Mr.  Bradley D</v>
      </c>
      <c r="C809">
        <f>VLOOKUP(Table2[[#This Row],[Customer ID]],Table2[#All],2,FALSE)</f>
        <v>42.51</v>
      </c>
      <c r="D809">
        <f>VLOOKUP(Table2[[#This Row],[Customer ID]],Table2[#All],3,FALSE)</f>
        <v>8.2100000000000009</v>
      </c>
      <c r="E809" t="str">
        <f>VLOOKUP(Table2[[#This Row],[Customer ID]],Table2[#All],4,FALSE)</f>
        <v>Yes</v>
      </c>
      <c r="F809" t="str">
        <f>VLOOKUP(Table2[[#This Row],[Customer ID]],Table2[#All],5,FALSE)</f>
        <v>No</v>
      </c>
      <c r="G809" t="str">
        <f>VLOOKUP(Table2[[#This Row],[Customer ID]],Table2[#All],6,FALSE)</f>
        <v>No</v>
      </c>
      <c r="H809">
        <f>VLOOKUP(Table2[[#This Row],[Customer ID]],Table2[#All],7,FALSE)</f>
        <v>0</v>
      </c>
      <c r="I809" t="str">
        <f>VLOOKUP(Table2[[#This Row],[Customer ID]],Table2[#All],8,FALSE)</f>
        <v>No</v>
      </c>
      <c r="J809" t="str">
        <f>VLOOKUP(Table2[[#This Row],[Customer ID]],Table2[#All],9,FALSE)</f>
        <v>Obesity</v>
      </c>
      <c r="K809" t="str">
        <f>VLOOKUP(Table2[[#This Row],[Customer ID]],Table2[#All],10,FALSE)</f>
        <v>Diabetes</v>
      </c>
    </row>
    <row r="810" spans="1:11" ht="15.6" x14ac:dyDescent="0.3">
      <c r="A810" s="1" t="s">
        <v>1562</v>
      </c>
      <c r="B810" t="str">
        <f>VLOOKUP('Customer Names'!A810,'Customer Names'!$A$1:$E$2336,4,FALSE)</f>
        <v>Mrs.  Amy M</v>
      </c>
      <c r="C810">
        <f>VLOOKUP(Table2[[#This Row],[Customer ID]],Table2[#All],2,FALSE)</f>
        <v>38.14</v>
      </c>
      <c r="D810">
        <f>VLOOKUP(Table2[[#This Row],[Customer ID]],Table2[#All],3,FALSE)</f>
        <v>5.58</v>
      </c>
      <c r="E810" t="str">
        <f>VLOOKUP(Table2[[#This Row],[Customer ID]],Table2[#All],4,FALSE)</f>
        <v>No</v>
      </c>
      <c r="F810" t="str">
        <f>VLOOKUP(Table2[[#This Row],[Customer ID]],Table2[#All],5,FALSE)</f>
        <v>No</v>
      </c>
      <c r="G810" t="str">
        <f>VLOOKUP(Table2[[#This Row],[Customer ID]],Table2[#All],6,FALSE)</f>
        <v>Yes</v>
      </c>
      <c r="H810">
        <f>VLOOKUP(Table2[[#This Row],[Customer ID]],Table2[#All],7,FALSE)</f>
        <v>1</v>
      </c>
      <c r="I810" t="str">
        <f>VLOOKUP(Table2[[#This Row],[Customer ID]],Table2[#All],8,FALSE)</f>
        <v>No</v>
      </c>
      <c r="J810" t="str">
        <f>VLOOKUP(Table2[[#This Row],[Customer ID]],Table2[#All],9,FALSE)</f>
        <v>Obesity</v>
      </c>
      <c r="K810" t="str">
        <f>VLOOKUP(Table2[[#This Row],[Customer ID]],Table2[#All],10,FALSE)</f>
        <v>Normal</v>
      </c>
    </row>
    <row r="811" spans="1:11" ht="15.6" x14ac:dyDescent="0.3">
      <c r="A811" s="1" t="s">
        <v>1561</v>
      </c>
      <c r="B811" t="str">
        <f>VLOOKUP('Customer Names'!A811,'Customer Names'!$A$1:$E$2336,4,FALSE)</f>
        <v>Mr.  Matthew W.</v>
      </c>
      <c r="C811">
        <f>VLOOKUP(Table2[[#This Row],[Customer ID]],Table2[#All],2,FALSE)</f>
        <v>39.93</v>
      </c>
      <c r="D811">
        <f>VLOOKUP(Table2[[#This Row],[Customer ID]],Table2[#All],3,FALSE)</f>
        <v>8.75</v>
      </c>
      <c r="E811" t="str">
        <f>VLOOKUP(Table2[[#This Row],[Customer ID]],Table2[#All],4,FALSE)</f>
        <v>No</v>
      </c>
      <c r="F811" t="str">
        <f>VLOOKUP(Table2[[#This Row],[Customer ID]],Table2[#All],5,FALSE)</f>
        <v>No</v>
      </c>
      <c r="G811" t="str">
        <f>VLOOKUP(Table2[[#This Row],[Customer ID]],Table2[#All],6,FALSE)</f>
        <v>No</v>
      </c>
      <c r="H811">
        <f>VLOOKUP(Table2[[#This Row],[Customer ID]],Table2[#All],7,FALSE)</f>
        <v>0</v>
      </c>
      <c r="I811" t="str">
        <f>VLOOKUP(Table2[[#This Row],[Customer ID]],Table2[#All],8,FALSE)</f>
        <v>No</v>
      </c>
      <c r="J811" t="str">
        <f>VLOOKUP(Table2[[#This Row],[Customer ID]],Table2[#All],9,FALSE)</f>
        <v>Obesity</v>
      </c>
      <c r="K811" t="str">
        <f>VLOOKUP(Table2[[#This Row],[Customer ID]],Table2[#All],10,FALSE)</f>
        <v>Diabetes</v>
      </c>
    </row>
    <row r="812" spans="1:11" ht="15.6" x14ac:dyDescent="0.3">
      <c r="A812" s="1" t="s">
        <v>1560</v>
      </c>
      <c r="B812" t="str">
        <f>VLOOKUP('Customer Names'!A812,'Customer Names'!$A$1:$E$2336,4,FALSE)</f>
        <v>Mr.  Doug</v>
      </c>
      <c r="C812">
        <f>VLOOKUP(Table2[[#This Row],[Customer ID]],Table2[#All],2,FALSE)</f>
        <v>38.83</v>
      </c>
      <c r="D812">
        <f>VLOOKUP(Table2[[#This Row],[Customer ID]],Table2[#All],3,FALSE)</f>
        <v>11.86</v>
      </c>
      <c r="E812" t="str">
        <f>VLOOKUP(Table2[[#This Row],[Customer ID]],Table2[#All],4,FALSE)</f>
        <v>No</v>
      </c>
      <c r="F812" t="str">
        <f>VLOOKUP(Table2[[#This Row],[Customer ID]],Table2[#All],5,FALSE)</f>
        <v>No</v>
      </c>
      <c r="G812" t="str">
        <f>VLOOKUP(Table2[[#This Row],[Customer ID]],Table2[#All],6,FALSE)</f>
        <v>No</v>
      </c>
      <c r="H812">
        <f>VLOOKUP(Table2[[#This Row],[Customer ID]],Table2[#All],7,FALSE)</f>
        <v>0</v>
      </c>
      <c r="I812" t="str">
        <f>VLOOKUP(Table2[[#This Row],[Customer ID]],Table2[#All],8,FALSE)</f>
        <v>No</v>
      </c>
      <c r="J812" t="str">
        <f>VLOOKUP(Table2[[#This Row],[Customer ID]],Table2[#All],9,FALSE)</f>
        <v>Obesity</v>
      </c>
      <c r="K812" t="str">
        <f>VLOOKUP(Table2[[#This Row],[Customer ID]],Table2[#All],10,FALSE)</f>
        <v>Diabetes</v>
      </c>
    </row>
    <row r="813" spans="1:11" ht="15.6" x14ac:dyDescent="0.3">
      <c r="A813" s="1" t="s">
        <v>1559</v>
      </c>
      <c r="B813" t="str">
        <f>VLOOKUP('Customer Names'!A813,'Customer Names'!$A$1:$E$2336,4,FALSE)</f>
        <v>Mr.  Tom</v>
      </c>
      <c r="C813">
        <f>VLOOKUP(Table2[[#This Row],[Customer ID]],Table2[#All],2,FALSE)</f>
        <v>37.4</v>
      </c>
      <c r="D813">
        <f>VLOOKUP(Table2[[#This Row],[Customer ID]],Table2[#All],3,FALSE)</f>
        <v>11.46</v>
      </c>
      <c r="E813" t="str">
        <f>VLOOKUP(Table2[[#This Row],[Customer ID]],Table2[#All],4,FALSE)</f>
        <v>No</v>
      </c>
      <c r="F813" t="str">
        <f>VLOOKUP(Table2[[#This Row],[Customer ID]],Table2[#All],5,FALSE)</f>
        <v>No</v>
      </c>
      <c r="G813" t="str">
        <f>VLOOKUP(Table2[[#This Row],[Customer ID]],Table2[#All],6,FALSE)</f>
        <v>No</v>
      </c>
      <c r="H813">
        <f>VLOOKUP(Table2[[#This Row],[Customer ID]],Table2[#All],7,FALSE)</f>
        <v>0</v>
      </c>
      <c r="I813" t="str">
        <f>VLOOKUP(Table2[[#This Row],[Customer ID]],Table2[#All],8,FALSE)</f>
        <v>No</v>
      </c>
      <c r="J813" t="str">
        <f>VLOOKUP(Table2[[#This Row],[Customer ID]],Table2[#All],9,FALSE)</f>
        <v>Obesity</v>
      </c>
      <c r="K813" t="str">
        <f>VLOOKUP(Table2[[#This Row],[Customer ID]],Table2[#All],10,FALSE)</f>
        <v>Diabetes</v>
      </c>
    </row>
    <row r="814" spans="1:11" ht="15.6" x14ac:dyDescent="0.3">
      <c r="A814" s="1" t="s">
        <v>1558</v>
      </c>
      <c r="B814" t="str">
        <f>VLOOKUP('Customer Names'!A814,'Customer Names'!$A$1:$E$2336,4,FALSE)</f>
        <v>Mr.  Jonathan</v>
      </c>
      <c r="C814">
        <f>VLOOKUP(Table2[[#This Row],[Customer ID]],Table2[#All],2,FALSE)</f>
        <v>21.4</v>
      </c>
      <c r="D814">
        <f>VLOOKUP(Table2[[#This Row],[Customer ID]],Table2[#All],3,FALSE)</f>
        <v>9.0299999999999994</v>
      </c>
      <c r="E814" t="str">
        <f>VLOOKUP(Table2[[#This Row],[Customer ID]],Table2[#All],4,FALSE)</f>
        <v>No</v>
      </c>
      <c r="F814" t="str">
        <f>VLOOKUP(Table2[[#This Row],[Customer ID]],Table2[#All],5,FALSE)</f>
        <v>No</v>
      </c>
      <c r="G814" t="str">
        <f>VLOOKUP(Table2[[#This Row],[Customer ID]],Table2[#All],6,FALSE)</f>
        <v>No</v>
      </c>
      <c r="H814">
        <f>VLOOKUP(Table2[[#This Row],[Customer ID]],Table2[#All],7,FALSE)</f>
        <v>0</v>
      </c>
      <c r="I814" t="str">
        <f>VLOOKUP(Table2[[#This Row],[Customer ID]],Table2[#All],8,FALSE)</f>
        <v>No</v>
      </c>
      <c r="J814" t="str">
        <f>VLOOKUP(Table2[[#This Row],[Customer ID]],Table2[#All],9,FALSE)</f>
        <v>Normalweight</v>
      </c>
      <c r="K814" t="str">
        <f>VLOOKUP(Table2[[#This Row],[Customer ID]],Table2[#All],10,FALSE)</f>
        <v>Diabetes</v>
      </c>
    </row>
    <row r="815" spans="1:11" ht="15.6" x14ac:dyDescent="0.3">
      <c r="A815" s="1" t="s">
        <v>1557</v>
      </c>
      <c r="B815" t="str">
        <f>VLOOKUP('Customer Names'!A815,'Customer Names'!$A$1:$E$2336,4,FALSE)</f>
        <v>Mr.  Wayne A.</v>
      </c>
      <c r="C815">
        <f>VLOOKUP(Table2[[#This Row],[Customer ID]],Table2[#All],2,FALSE)</f>
        <v>38.380000000000003</v>
      </c>
      <c r="D815">
        <f>VLOOKUP(Table2[[#This Row],[Customer ID]],Table2[#All],3,FALSE)</f>
        <v>8.26</v>
      </c>
      <c r="E815" t="str">
        <f>VLOOKUP(Table2[[#This Row],[Customer ID]],Table2[#All],4,FALSE)</f>
        <v>Yes</v>
      </c>
      <c r="F815" t="str">
        <f>VLOOKUP(Table2[[#This Row],[Customer ID]],Table2[#All],5,FALSE)</f>
        <v>No</v>
      </c>
      <c r="G815" t="str">
        <f>VLOOKUP(Table2[[#This Row],[Customer ID]],Table2[#All],6,FALSE)</f>
        <v>No</v>
      </c>
      <c r="H815">
        <f>VLOOKUP(Table2[[#This Row],[Customer ID]],Table2[#All],7,FALSE)</f>
        <v>2</v>
      </c>
      <c r="I815" t="str">
        <f>VLOOKUP(Table2[[#This Row],[Customer ID]],Table2[#All],8,FALSE)</f>
        <v>No</v>
      </c>
      <c r="J815" t="str">
        <f>VLOOKUP(Table2[[#This Row],[Customer ID]],Table2[#All],9,FALSE)</f>
        <v>Obesity</v>
      </c>
      <c r="K815" t="str">
        <f>VLOOKUP(Table2[[#This Row],[Customer ID]],Table2[#All],10,FALSE)</f>
        <v>Diabetes</v>
      </c>
    </row>
    <row r="816" spans="1:11" ht="15.6" x14ac:dyDescent="0.3">
      <c r="A816" s="1" t="s">
        <v>1556</v>
      </c>
      <c r="B816" t="str">
        <f>VLOOKUP('Customer Names'!A816,'Customer Names'!$A$1:$E$2336,4,FALSE)</f>
        <v>Mr.  Nobuyori</v>
      </c>
      <c r="C816">
        <f>VLOOKUP(Table2[[#This Row],[Customer ID]],Table2[#All],2,FALSE)</f>
        <v>33.659999999999997</v>
      </c>
      <c r="D816">
        <f>VLOOKUP(Table2[[#This Row],[Customer ID]],Table2[#All],3,FALSE)</f>
        <v>5.42</v>
      </c>
      <c r="E816" t="str">
        <f>VLOOKUP(Table2[[#This Row],[Customer ID]],Table2[#All],4,FALSE)</f>
        <v>Yes</v>
      </c>
      <c r="F816" t="str">
        <f>VLOOKUP(Table2[[#This Row],[Customer ID]],Table2[#All],5,FALSE)</f>
        <v>No</v>
      </c>
      <c r="G816" t="str">
        <f>VLOOKUP(Table2[[#This Row],[Customer ID]],Table2[#All],6,FALSE)</f>
        <v>No</v>
      </c>
      <c r="H816">
        <f>VLOOKUP(Table2[[#This Row],[Customer ID]],Table2[#All],7,FALSE)</f>
        <v>2</v>
      </c>
      <c r="I816" t="str">
        <f>VLOOKUP(Table2[[#This Row],[Customer ID]],Table2[#All],8,FALSE)</f>
        <v>No</v>
      </c>
      <c r="J816" t="str">
        <f>VLOOKUP(Table2[[#This Row],[Customer ID]],Table2[#All],9,FALSE)</f>
        <v>Obesity</v>
      </c>
      <c r="K816" t="str">
        <f>VLOOKUP(Table2[[#This Row],[Customer ID]],Table2[#All],10,FALSE)</f>
        <v>Normal</v>
      </c>
    </row>
    <row r="817" spans="1:11" ht="15.6" x14ac:dyDescent="0.3">
      <c r="A817" s="1" t="s">
        <v>1555</v>
      </c>
      <c r="B817" t="str">
        <f>VLOOKUP('Customer Names'!A817,'Customer Names'!$A$1:$E$2336,4,FALSE)</f>
        <v>Mr.  Rich</v>
      </c>
      <c r="C817">
        <f>VLOOKUP(Table2[[#This Row],[Customer ID]],Table2[#All],2,FALSE)</f>
        <v>31.79</v>
      </c>
      <c r="D817">
        <f>VLOOKUP(Table2[[#This Row],[Customer ID]],Table2[#All],3,FALSE)</f>
        <v>11.33</v>
      </c>
      <c r="E817" t="str">
        <f>VLOOKUP(Table2[[#This Row],[Customer ID]],Table2[#All],4,FALSE)</f>
        <v>Yes</v>
      </c>
      <c r="F817" t="str">
        <f>VLOOKUP(Table2[[#This Row],[Customer ID]],Table2[#All],5,FALSE)</f>
        <v>No</v>
      </c>
      <c r="G817" t="str">
        <f>VLOOKUP(Table2[[#This Row],[Customer ID]],Table2[#All],6,FALSE)</f>
        <v>Yes</v>
      </c>
      <c r="H817">
        <f>VLOOKUP(Table2[[#This Row],[Customer ID]],Table2[#All],7,FALSE)</f>
        <v>1</v>
      </c>
      <c r="I817" t="str">
        <f>VLOOKUP(Table2[[#This Row],[Customer ID]],Table2[#All],8,FALSE)</f>
        <v>No</v>
      </c>
      <c r="J817" t="str">
        <f>VLOOKUP(Table2[[#This Row],[Customer ID]],Table2[#All],9,FALSE)</f>
        <v>Obesity</v>
      </c>
      <c r="K817" t="str">
        <f>VLOOKUP(Table2[[#This Row],[Customer ID]],Table2[#All],10,FALSE)</f>
        <v>Diabetes</v>
      </c>
    </row>
    <row r="818" spans="1:11" ht="15.6" x14ac:dyDescent="0.3">
      <c r="A818" s="1" t="s">
        <v>1554</v>
      </c>
      <c r="B818" t="str">
        <f>VLOOKUP('Customer Names'!A818,'Customer Names'!$A$1:$E$2336,4,FALSE)</f>
        <v>Mr.  Marcos S</v>
      </c>
      <c r="C818">
        <f>VLOOKUP(Table2[[#This Row],[Customer ID]],Table2[#All],2,FALSE)</f>
        <v>29.7</v>
      </c>
      <c r="D818">
        <f>VLOOKUP(Table2[[#This Row],[Customer ID]],Table2[#All],3,FALSE)</f>
        <v>7.69</v>
      </c>
      <c r="E818" t="str">
        <f>VLOOKUP(Table2[[#This Row],[Customer ID]],Table2[#All],4,FALSE)</f>
        <v>Yes</v>
      </c>
      <c r="F818" t="str">
        <f>VLOOKUP(Table2[[#This Row],[Customer ID]],Table2[#All],5,FALSE)</f>
        <v>No</v>
      </c>
      <c r="G818" t="str">
        <f>VLOOKUP(Table2[[#This Row],[Customer ID]],Table2[#All],6,FALSE)</f>
        <v>Yes</v>
      </c>
      <c r="H818">
        <f>VLOOKUP(Table2[[#This Row],[Customer ID]],Table2[#All],7,FALSE)</f>
        <v>1</v>
      </c>
      <c r="I818" t="str">
        <f>VLOOKUP(Table2[[#This Row],[Customer ID]],Table2[#All],8,FALSE)</f>
        <v>No</v>
      </c>
      <c r="J818" t="str">
        <f>VLOOKUP(Table2[[#This Row],[Customer ID]],Table2[#All],9,FALSE)</f>
        <v>Overweight</v>
      </c>
      <c r="K818" t="str">
        <f>VLOOKUP(Table2[[#This Row],[Customer ID]],Table2[#All],10,FALSE)</f>
        <v>Diabetes</v>
      </c>
    </row>
    <row r="819" spans="1:11" ht="15.6" x14ac:dyDescent="0.3">
      <c r="A819" s="1" t="s">
        <v>1553</v>
      </c>
      <c r="B819" t="str">
        <f>VLOOKUP('Customer Names'!A819,'Customer Names'!$A$1:$E$2336,4,FALSE)</f>
        <v>Mr.  Dave</v>
      </c>
      <c r="C819">
        <f>VLOOKUP(Table2[[#This Row],[Customer ID]],Table2[#All],2,FALSE)</f>
        <v>25.46</v>
      </c>
      <c r="D819">
        <f>VLOOKUP(Table2[[#This Row],[Customer ID]],Table2[#All],3,FALSE)</f>
        <v>8.77</v>
      </c>
      <c r="E819" t="str">
        <f>VLOOKUP(Table2[[#This Row],[Customer ID]],Table2[#All],4,FALSE)</f>
        <v>Yes</v>
      </c>
      <c r="F819" t="str">
        <f>VLOOKUP(Table2[[#This Row],[Customer ID]],Table2[#All],5,FALSE)</f>
        <v>No</v>
      </c>
      <c r="G819" t="str">
        <f>VLOOKUP(Table2[[#This Row],[Customer ID]],Table2[#All],6,FALSE)</f>
        <v>Yes</v>
      </c>
      <c r="H819">
        <f>VLOOKUP(Table2[[#This Row],[Customer ID]],Table2[#All],7,FALSE)</f>
        <v>1</v>
      </c>
      <c r="I819" t="str">
        <f>VLOOKUP(Table2[[#This Row],[Customer ID]],Table2[#All],8,FALSE)</f>
        <v>No</v>
      </c>
      <c r="J819" t="str">
        <f>VLOOKUP(Table2[[#This Row],[Customer ID]],Table2[#All],9,FALSE)</f>
        <v>Overweight</v>
      </c>
      <c r="K819" t="str">
        <f>VLOOKUP(Table2[[#This Row],[Customer ID]],Table2[#All],10,FALSE)</f>
        <v>Diabetes</v>
      </c>
    </row>
    <row r="820" spans="1:11" ht="15.6" x14ac:dyDescent="0.3">
      <c r="A820" s="1" t="s">
        <v>1552</v>
      </c>
      <c r="B820" t="str">
        <f>VLOOKUP('Customer Names'!A820,'Customer Names'!$A$1:$E$2336,4,FALSE)</f>
        <v>Mr.  Andy</v>
      </c>
      <c r="C820">
        <f>VLOOKUP(Table2[[#This Row],[Customer ID]],Table2[#All],2,FALSE)</f>
        <v>39.14</v>
      </c>
      <c r="D820">
        <f>VLOOKUP(Table2[[#This Row],[Customer ID]],Table2[#All],3,FALSE)</f>
        <v>4.91</v>
      </c>
      <c r="E820" t="str">
        <f>VLOOKUP(Table2[[#This Row],[Customer ID]],Table2[#All],4,FALSE)</f>
        <v>No</v>
      </c>
      <c r="F820" t="str">
        <f>VLOOKUP(Table2[[#This Row],[Customer ID]],Table2[#All],5,FALSE)</f>
        <v>yes</v>
      </c>
      <c r="G820" t="str">
        <f>VLOOKUP(Table2[[#This Row],[Customer ID]],Table2[#All],6,FALSE)</f>
        <v>No</v>
      </c>
      <c r="H820">
        <f>VLOOKUP(Table2[[#This Row],[Customer ID]],Table2[#All],7,FALSE)</f>
        <v>1</v>
      </c>
      <c r="I820" t="str">
        <f>VLOOKUP(Table2[[#This Row],[Customer ID]],Table2[#All],8,FALSE)</f>
        <v>No</v>
      </c>
      <c r="J820" t="str">
        <f>VLOOKUP(Table2[[#This Row],[Customer ID]],Table2[#All],9,FALSE)</f>
        <v>Obesity</v>
      </c>
      <c r="K820" t="str">
        <f>VLOOKUP(Table2[[#This Row],[Customer ID]],Table2[#All],10,FALSE)</f>
        <v>Normal</v>
      </c>
    </row>
    <row r="821" spans="1:11" ht="15.6" x14ac:dyDescent="0.3">
      <c r="A821" s="1" t="s">
        <v>1551</v>
      </c>
      <c r="B821" t="str">
        <f>VLOOKUP('Customer Names'!A821,'Customer Names'!$A$1:$E$2336,4,FALSE)</f>
        <v>Ms.  Mary</v>
      </c>
      <c r="C821">
        <f>VLOOKUP(Table2[[#This Row],[Customer ID]],Table2[#All],2,FALSE)</f>
        <v>41.2</v>
      </c>
      <c r="D821">
        <f>VLOOKUP(Table2[[#This Row],[Customer ID]],Table2[#All],3,FALSE)</f>
        <v>4.95</v>
      </c>
      <c r="E821" t="str">
        <f>VLOOKUP(Table2[[#This Row],[Customer ID]],Table2[#All],4,FALSE)</f>
        <v>No</v>
      </c>
      <c r="F821" t="str">
        <f>VLOOKUP(Table2[[#This Row],[Customer ID]],Table2[#All],5,FALSE)</f>
        <v>No</v>
      </c>
      <c r="G821" t="str">
        <f>VLOOKUP(Table2[[#This Row],[Customer ID]],Table2[#All],6,FALSE)</f>
        <v>No</v>
      </c>
      <c r="H821">
        <f>VLOOKUP(Table2[[#This Row],[Customer ID]],Table2[#All],7,FALSE)</f>
        <v>1</v>
      </c>
      <c r="I821" t="str">
        <f>VLOOKUP(Table2[[#This Row],[Customer ID]],Table2[#All],8,FALSE)</f>
        <v>No</v>
      </c>
      <c r="J821" t="str">
        <f>VLOOKUP(Table2[[#This Row],[Customer ID]],Table2[#All],9,FALSE)</f>
        <v>Obesity</v>
      </c>
      <c r="K821" t="str">
        <f>VLOOKUP(Table2[[#This Row],[Customer ID]],Table2[#All],10,FALSE)</f>
        <v>Normal</v>
      </c>
    </row>
    <row r="822" spans="1:11" ht="15.6" x14ac:dyDescent="0.3">
      <c r="A822" s="1" t="s">
        <v>1550</v>
      </c>
      <c r="B822" t="str">
        <f>VLOOKUP('Customer Names'!A822,'Customer Names'!$A$1:$E$2336,4,FALSE)</f>
        <v>Mr.  Marcus B</v>
      </c>
      <c r="C822">
        <f>VLOOKUP(Table2[[#This Row],[Customer ID]],Table2[#All],2,FALSE)</f>
        <v>28.81</v>
      </c>
      <c r="D822">
        <f>VLOOKUP(Table2[[#This Row],[Customer ID]],Table2[#All],3,FALSE)</f>
        <v>10.8</v>
      </c>
      <c r="E822" t="str">
        <f>VLOOKUP(Table2[[#This Row],[Customer ID]],Table2[#All],4,FALSE)</f>
        <v>Yes</v>
      </c>
      <c r="F822" t="str">
        <f>VLOOKUP(Table2[[#This Row],[Customer ID]],Table2[#All],5,FALSE)</f>
        <v>No</v>
      </c>
      <c r="G822" t="str">
        <f>VLOOKUP(Table2[[#This Row],[Customer ID]],Table2[#All],6,FALSE)</f>
        <v>Yes</v>
      </c>
      <c r="H822">
        <f>VLOOKUP(Table2[[#This Row],[Customer ID]],Table2[#All],7,FALSE)</f>
        <v>1</v>
      </c>
      <c r="I822" t="str">
        <f>VLOOKUP(Table2[[#This Row],[Customer ID]],Table2[#All],8,FALSE)</f>
        <v>No</v>
      </c>
      <c r="J822" t="str">
        <f>VLOOKUP(Table2[[#This Row],[Customer ID]],Table2[#All],9,FALSE)</f>
        <v>Overweight</v>
      </c>
      <c r="K822" t="str">
        <f>VLOOKUP(Table2[[#This Row],[Customer ID]],Table2[#All],10,FALSE)</f>
        <v>Diabetes</v>
      </c>
    </row>
    <row r="823" spans="1:11" ht="15.6" x14ac:dyDescent="0.3">
      <c r="A823" s="1" t="s">
        <v>1549</v>
      </c>
      <c r="B823" t="str">
        <f>VLOOKUP('Customer Names'!A823,'Customer Names'!$A$1:$E$2336,4,FALSE)</f>
        <v>Mr.  Thomas K.</v>
      </c>
      <c r="C823">
        <f>VLOOKUP(Table2[[#This Row],[Customer ID]],Table2[#All],2,FALSE)</f>
        <v>37.409999999999997</v>
      </c>
      <c r="D823">
        <f>VLOOKUP(Table2[[#This Row],[Customer ID]],Table2[#All],3,FALSE)</f>
        <v>7.21</v>
      </c>
      <c r="E823" t="str">
        <f>VLOOKUP(Table2[[#This Row],[Customer ID]],Table2[#All],4,FALSE)</f>
        <v>No</v>
      </c>
      <c r="F823" t="str">
        <f>VLOOKUP(Table2[[#This Row],[Customer ID]],Table2[#All],5,FALSE)</f>
        <v>No</v>
      </c>
      <c r="G823" t="str">
        <f>VLOOKUP(Table2[[#This Row],[Customer ID]],Table2[#All],6,FALSE)</f>
        <v>No</v>
      </c>
      <c r="H823">
        <f>VLOOKUP(Table2[[#This Row],[Customer ID]],Table2[#All],7,FALSE)</f>
        <v>2</v>
      </c>
      <c r="I823" t="str">
        <f>VLOOKUP(Table2[[#This Row],[Customer ID]],Table2[#All],8,FALSE)</f>
        <v>No</v>
      </c>
      <c r="J823" t="str">
        <f>VLOOKUP(Table2[[#This Row],[Customer ID]],Table2[#All],9,FALSE)</f>
        <v>Obesity</v>
      </c>
      <c r="K823" t="str">
        <f>VLOOKUP(Table2[[#This Row],[Customer ID]],Table2[#All],10,FALSE)</f>
        <v>Diabetes</v>
      </c>
    </row>
    <row r="824" spans="1:11" ht="15.6" x14ac:dyDescent="0.3">
      <c r="A824" s="1" t="s">
        <v>1548</v>
      </c>
      <c r="B824" t="str">
        <f>VLOOKUP('Customer Names'!A824,'Customer Names'!$A$1:$E$2336,4,FALSE)</f>
        <v>Mr.  Robert</v>
      </c>
      <c r="C824">
        <f>VLOOKUP(Table2[[#This Row],[Customer ID]],Table2[#All],2,FALSE)</f>
        <v>52.54</v>
      </c>
      <c r="D824">
        <f>VLOOKUP(Table2[[#This Row],[Customer ID]],Table2[#All],3,FALSE)</f>
        <v>5.12</v>
      </c>
      <c r="E824" t="str">
        <f>VLOOKUP(Table2[[#This Row],[Customer ID]],Table2[#All],4,FALSE)</f>
        <v>No</v>
      </c>
      <c r="F824" t="str">
        <f>VLOOKUP(Table2[[#This Row],[Customer ID]],Table2[#All],5,FALSE)</f>
        <v>No</v>
      </c>
      <c r="G824" t="str">
        <f>VLOOKUP(Table2[[#This Row],[Customer ID]],Table2[#All],6,FALSE)</f>
        <v>Yes</v>
      </c>
      <c r="H824">
        <f>VLOOKUP(Table2[[#This Row],[Customer ID]],Table2[#All],7,FALSE)</f>
        <v>1</v>
      </c>
      <c r="I824" t="str">
        <f>VLOOKUP(Table2[[#This Row],[Customer ID]],Table2[#All],8,FALSE)</f>
        <v>No</v>
      </c>
      <c r="J824" t="str">
        <f>VLOOKUP(Table2[[#This Row],[Customer ID]],Table2[#All],9,FALSE)</f>
        <v>Obesity</v>
      </c>
      <c r="K824" t="str">
        <f>VLOOKUP(Table2[[#This Row],[Customer ID]],Table2[#All],10,FALSE)</f>
        <v>Normal</v>
      </c>
    </row>
    <row r="825" spans="1:11" ht="15.6" x14ac:dyDescent="0.3">
      <c r="A825" s="1" t="s">
        <v>1547</v>
      </c>
      <c r="B825" t="str">
        <f>VLOOKUP('Customer Names'!A825,'Customer Names'!$A$1:$E$2336,4,FALSE)</f>
        <v>Mr.  Geoff</v>
      </c>
      <c r="C825">
        <f>VLOOKUP(Table2[[#This Row],[Customer ID]],Table2[#All],2,FALSE)</f>
        <v>17.29</v>
      </c>
      <c r="D825">
        <f>VLOOKUP(Table2[[#This Row],[Customer ID]],Table2[#All],3,FALSE)</f>
        <v>4.62</v>
      </c>
      <c r="E825" t="str">
        <f>VLOOKUP(Table2[[#This Row],[Customer ID]],Table2[#All],4,FALSE)</f>
        <v>No</v>
      </c>
      <c r="F825" t="str">
        <f>VLOOKUP(Table2[[#This Row],[Customer ID]],Table2[#All],5,FALSE)</f>
        <v>yes</v>
      </c>
      <c r="G825" t="str">
        <f>VLOOKUP(Table2[[#This Row],[Customer ID]],Table2[#All],6,FALSE)</f>
        <v>No</v>
      </c>
      <c r="H825">
        <f>VLOOKUP(Table2[[#This Row],[Customer ID]],Table2[#All],7,FALSE)</f>
        <v>1</v>
      </c>
      <c r="I825" t="str">
        <f>VLOOKUP(Table2[[#This Row],[Customer ID]],Table2[#All],8,FALSE)</f>
        <v>Yes</v>
      </c>
      <c r="J825" t="str">
        <f>VLOOKUP(Table2[[#This Row],[Customer ID]],Table2[#All],9,FALSE)</f>
        <v>Underweight</v>
      </c>
      <c r="K825" t="str">
        <f>VLOOKUP(Table2[[#This Row],[Customer ID]],Table2[#All],10,FALSE)</f>
        <v>Normal</v>
      </c>
    </row>
    <row r="826" spans="1:11" ht="15.6" x14ac:dyDescent="0.3">
      <c r="A826" s="1" t="s">
        <v>1546</v>
      </c>
      <c r="B826" t="str">
        <f>VLOOKUP('Customer Names'!A826,'Customer Names'!$A$1:$E$2336,4,FALSE)</f>
        <v>Mr.  Chris J.</v>
      </c>
      <c r="C826">
        <f>VLOOKUP(Table2[[#This Row],[Customer ID]],Table2[#All],2,FALSE)</f>
        <v>31.74</v>
      </c>
      <c r="D826">
        <f>VLOOKUP(Table2[[#This Row],[Customer ID]],Table2[#All],3,FALSE)</f>
        <v>7.68</v>
      </c>
      <c r="E826" t="str">
        <f>VLOOKUP(Table2[[#This Row],[Customer ID]],Table2[#All],4,FALSE)</f>
        <v>Yes</v>
      </c>
      <c r="F826" t="str">
        <f>VLOOKUP(Table2[[#This Row],[Customer ID]],Table2[#All],5,FALSE)</f>
        <v>No</v>
      </c>
      <c r="G826" t="str">
        <f>VLOOKUP(Table2[[#This Row],[Customer ID]],Table2[#All],6,FALSE)</f>
        <v>No</v>
      </c>
      <c r="H826">
        <f>VLOOKUP(Table2[[#This Row],[Customer ID]],Table2[#All],7,FALSE)</f>
        <v>0</v>
      </c>
      <c r="I826" t="str">
        <f>VLOOKUP(Table2[[#This Row],[Customer ID]],Table2[#All],8,FALSE)</f>
        <v>No</v>
      </c>
      <c r="J826" t="str">
        <f>VLOOKUP(Table2[[#This Row],[Customer ID]],Table2[#All],9,FALSE)</f>
        <v>Obesity</v>
      </c>
      <c r="K826" t="str">
        <f>VLOOKUP(Table2[[#This Row],[Customer ID]],Table2[#All],10,FALSE)</f>
        <v>Diabetes</v>
      </c>
    </row>
    <row r="827" spans="1:11" ht="15.6" x14ac:dyDescent="0.3">
      <c r="A827" s="1" t="s">
        <v>1545</v>
      </c>
      <c r="B827" t="str">
        <f>VLOOKUP('Customer Names'!A827,'Customer Names'!$A$1:$E$2336,4,FALSE)</f>
        <v>Ms.  Kate A.</v>
      </c>
      <c r="C827">
        <f>VLOOKUP(Table2[[#This Row],[Customer ID]],Table2[#All],2,FALSE)</f>
        <v>26.504999999999999</v>
      </c>
      <c r="D827">
        <f>VLOOKUP(Table2[[#This Row],[Customer ID]],Table2[#All],3,FALSE)</f>
        <v>6.79</v>
      </c>
      <c r="E827" t="str">
        <f>VLOOKUP(Table2[[#This Row],[Customer ID]],Table2[#All],4,FALSE)</f>
        <v>Yes</v>
      </c>
      <c r="F827" t="str">
        <f>VLOOKUP(Table2[[#This Row],[Customer ID]],Table2[#All],5,FALSE)</f>
        <v>No</v>
      </c>
      <c r="G827" t="str">
        <f>VLOOKUP(Table2[[#This Row],[Customer ID]],Table2[#All],6,FALSE)</f>
        <v>Yes</v>
      </c>
      <c r="H827">
        <f>VLOOKUP(Table2[[#This Row],[Customer ID]],Table2[#All],7,FALSE)</f>
        <v>1</v>
      </c>
      <c r="I827" t="str">
        <f>VLOOKUP(Table2[[#This Row],[Customer ID]],Table2[#All],8,FALSE)</f>
        <v>No</v>
      </c>
      <c r="J827" t="str">
        <f>VLOOKUP(Table2[[#This Row],[Customer ID]],Table2[#All],9,FALSE)</f>
        <v>Overweight</v>
      </c>
      <c r="K827" t="str">
        <f>VLOOKUP(Table2[[#This Row],[Customer ID]],Table2[#All],10,FALSE)</f>
        <v>Diabetes</v>
      </c>
    </row>
    <row r="828" spans="1:11" ht="15.6" x14ac:dyDescent="0.3">
      <c r="A828" s="1" t="s">
        <v>1544</v>
      </c>
      <c r="B828" t="str">
        <f>VLOOKUP('Customer Names'!A828,'Customer Names'!$A$1:$E$2336,4,FALSE)</f>
        <v>Ms.  Kelli</v>
      </c>
      <c r="C828">
        <f>VLOOKUP(Table2[[#This Row],[Customer ID]],Table2[#All],2,FALSE)</f>
        <v>36.479999999999997</v>
      </c>
      <c r="D828">
        <f>VLOOKUP(Table2[[#This Row],[Customer ID]],Table2[#All],3,FALSE)</f>
        <v>11.09</v>
      </c>
      <c r="E828" t="str">
        <f>VLOOKUP(Table2[[#This Row],[Customer ID]],Table2[#All],4,FALSE)</f>
        <v>No</v>
      </c>
      <c r="F828" t="str">
        <f>VLOOKUP(Table2[[#This Row],[Customer ID]],Table2[#All],5,FALSE)</f>
        <v>No</v>
      </c>
      <c r="G828" t="str">
        <f>VLOOKUP(Table2[[#This Row],[Customer ID]],Table2[#All],6,FALSE)</f>
        <v>No</v>
      </c>
      <c r="H828">
        <f>VLOOKUP(Table2[[#This Row],[Customer ID]],Table2[#All],7,FALSE)</f>
        <v>0</v>
      </c>
      <c r="I828" t="str">
        <f>VLOOKUP(Table2[[#This Row],[Customer ID]],Table2[#All],8,FALSE)</f>
        <v>No</v>
      </c>
      <c r="J828" t="str">
        <f>VLOOKUP(Table2[[#This Row],[Customer ID]],Table2[#All],9,FALSE)</f>
        <v>Obesity</v>
      </c>
      <c r="K828" t="str">
        <f>VLOOKUP(Table2[[#This Row],[Customer ID]],Table2[#All],10,FALSE)</f>
        <v>Diabetes</v>
      </c>
    </row>
    <row r="829" spans="1:11" ht="15.6" x14ac:dyDescent="0.3">
      <c r="A829" s="1" t="s">
        <v>1543</v>
      </c>
      <c r="B829" t="str">
        <f>VLOOKUP('Customer Names'!A829,'Customer Names'!$A$1:$E$2336,4,FALSE)</f>
        <v>Mrs.  Maggie M</v>
      </c>
      <c r="C829">
        <f>VLOOKUP(Table2[[#This Row],[Customer ID]],Table2[#All],2,FALSE)</f>
        <v>39.159999999999997</v>
      </c>
      <c r="D829">
        <f>VLOOKUP(Table2[[#This Row],[Customer ID]],Table2[#All],3,FALSE)</f>
        <v>5.24</v>
      </c>
      <c r="E829" t="str">
        <f>VLOOKUP(Table2[[#This Row],[Customer ID]],Table2[#All],4,FALSE)</f>
        <v>Yes</v>
      </c>
      <c r="F829" t="str">
        <f>VLOOKUP(Table2[[#This Row],[Customer ID]],Table2[#All],5,FALSE)</f>
        <v>No</v>
      </c>
      <c r="G829" t="str">
        <f>VLOOKUP(Table2[[#This Row],[Customer ID]],Table2[#All],6,FALSE)</f>
        <v>Yes</v>
      </c>
      <c r="H829">
        <f>VLOOKUP(Table2[[#This Row],[Customer ID]],Table2[#All],7,FALSE)</f>
        <v>1</v>
      </c>
      <c r="I829" t="str">
        <f>VLOOKUP(Table2[[#This Row],[Customer ID]],Table2[#All],8,FALSE)</f>
        <v>No</v>
      </c>
      <c r="J829" t="str">
        <f>VLOOKUP(Table2[[#This Row],[Customer ID]],Table2[#All],9,FALSE)</f>
        <v>Obesity</v>
      </c>
      <c r="K829" t="str">
        <f>VLOOKUP(Table2[[#This Row],[Customer ID]],Table2[#All],10,FALSE)</f>
        <v>Normal</v>
      </c>
    </row>
    <row r="830" spans="1:11" ht="15.6" x14ac:dyDescent="0.3">
      <c r="A830" s="1" t="s">
        <v>1542</v>
      </c>
      <c r="B830" t="str">
        <f>VLOOKUP('Customer Names'!A830,'Customer Names'!$A$1:$E$2336,4,FALSE)</f>
        <v>Mrs.  Michelle L.</v>
      </c>
      <c r="C830">
        <f>VLOOKUP(Table2[[#This Row],[Customer ID]],Table2[#All],2,FALSE)</f>
        <v>28.22</v>
      </c>
      <c r="D830">
        <f>VLOOKUP(Table2[[#This Row],[Customer ID]],Table2[#All],3,FALSE)</f>
        <v>7.51</v>
      </c>
      <c r="E830" t="str">
        <f>VLOOKUP(Table2[[#This Row],[Customer ID]],Table2[#All],4,FALSE)</f>
        <v>Yes</v>
      </c>
      <c r="F830" t="str">
        <f>VLOOKUP(Table2[[#This Row],[Customer ID]],Table2[#All],5,FALSE)</f>
        <v>No</v>
      </c>
      <c r="G830" t="str">
        <f>VLOOKUP(Table2[[#This Row],[Customer ID]],Table2[#All],6,FALSE)</f>
        <v>Yes</v>
      </c>
      <c r="H830">
        <f>VLOOKUP(Table2[[#This Row],[Customer ID]],Table2[#All],7,FALSE)</f>
        <v>1</v>
      </c>
      <c r="I830" t="str">
        <f>VLOOKUP(Table2[[#This Row],[Customer ID]],Table2[#All],8,FALSE)</f>
        <v>No</v>
      </c>
      <c r="J830" t="str">
        <f>VLOOKUP(Table2[[#This Row],[Customer ID]],Table2[#All],9,FALSE)</f>
        <v>Overweight</v>
      </c>
      <c r="K830" t="str">
        <f>VLOOKUP(Table2[[#This Row],[Customer ID]],Table2[#All],10,FALSE)</f>
        <v>Diabetes</v>
      </c>
    </row>
    <row r="831" spans="1:11" ht="15.6" x14ac:dyDescent="0.3">
      <c r="A831" s="1" t="s">
        <v>1541</v>
      </c>
      <c r="B831" t="str">
        <f>VLOOKUP('Customer Names'!A831,'Customer Names'!$A$1:$E$2336,4,FALSE)</f>
        <v>Mrs.  Ashley K</v>
      </c>
      <c r="C831">
        <f>VLOOKUP(Table2[[#This Row],[Customer ID]],Table2[#All],2,FALSE)</f>
        <v>35</v>
      </c>
      <c r="D831">
        <f>VLOOKUP(Table2[[#This Row],[Customer ID]],Table2[#All],3,FALSE)</f>
        <v>4.13</v>
      </c>
      <c r="E831" t="str">
        <f>VLOOKUP(Table2[[#This Row],[Customer ID]],Table2[#All],4,FALSE)</f>
        <v>No</v>
      </c>
      <c r="F831" t="str">
        <f>VLOOKUP(Table2[[#This Row],[Customer ID]],Table2[#All],5,FALSE)</f>
        <v>No</v>
      </c>
      <c r="G831" t="str">
        <f>VLOOKUP(Table2[[#This Row],[Customer ID]],Table2[#All],6,FALSE)</f>
        <v>No</v>
      </c>
      <c r="H831">
        <f>VLOOKUP(Table2[[#This Row],[Customer ID]],Table2[#All],7,FALSE)</f>
        <v>2</v>
      </c>
      <c r="I831" t="str">
        <f>VLOOKUP(Table2[[#This Row],[Customer ID]],Table2[#All],8,FALSE)</f>
        <v>No</v>
      </c>
      <c r="J831" t="str">
        <f>VLOOKUP(Table2[[#This Row],[Customer ID]],Table2[#All],9,FALSE)</f>
        <v>Obesity</v>
      </c>
      <c r="K831" t="str">
        <f>VLOOKUP(Table2[[#This Row],[Customer ID]],Table2[#All],10,FALSE)</f>
        <v>Normal</v>
      </c>
    </row>
    <row r="832" spans="1:11" ht="15.6" x14ac:dyDescent="0.3">
      <c r="A832" s="1" t="s">
        <v>1540</v>
      </c>
      <c r="B832" t="str">
        <f>VLOOKUP('Customer Names'!A832,'Customer Names'!$A$1:$E$2336,4,FALSE)</f>
        <v>Mr.  Michael</v>
      </c>
      <c r="C832">
        <f>VLOOKUP(Table2[[#This Row],[Customer ID]],Table2[#All],2,FALSE)</f>
        <v>36.24</v>
      </c>
      <c r="D832">
        <f>VLOOKUP(Table2[[#This Row],[Customer ID]],Table2[#All],3,FALSE)</f>
        <v>8.3800000000000008</v>
      </c>
      <c r="E832" t="str">
        <f>VLOOKUP(Table2[[#This Row],[Customer ID]],Table2[#All],4,FALSE)</f>
        <v>Yes</v>
      </c>
      <c r="F832" t="str">
        <f>VLOOKUP(Table2[[#This Row],[Customer ID]],Table2[#All],5,FALSE)</f>
        <v>No</v>
      </c>
      <c r="G832" t="str">
        <f>VLOOKUP(Table2[[#This Row],[Customer ID]],Table2[#All],6,FALSE)</f>
        <v>No</v>
      </c>
      <c r="H832">
        <f>VLOOKUP(Table2[[#This Row],[Customer ID]],Table2[#All],7,FALSE)</f>
        <v>1</v>
      </c>
      <c r="I832" t="str">
        <f>VLOOKUP(Table2[[#This Row],[Customer ID]],Table2[#All],8,FALSE)</f>
        <v>No</v>
      </c>
      <c r="J832" t="str">
        <f>VLOOKUP(Table2[[#This Row],[Customer ID]],Table2[#All],9,FALSE)</f>
        <v>Obesity</v>
      </c>
      <c r="K832" t="str">
        <f>VLOOKUP(Table2[[#This Row],[Customer ID]],Table2[#All],10,FALSE)</f>
        <v>Diabetes</v>
      </c>
    </row>
    <row r="833" spans="1:11" ht="15.6" x14ac:dyDescent="0.3">
      <c r="A833" s="1" t="s">
        <v>1539</v>
      </c>
      <c r="B833" t="str">
        <f>VLOOKUP('Customer Names'!A833,'Customer Names'!$A$1:$E$2336,4,FALSE)</f>
        <v>Mr.  Ryan K.</v>
      </c>
      <c r="C833">
        <f>VLOOKUP(Table2[[#This Row],[Customer ID]],Table2[#All],2,FALSE)</f>
        <v>36.954999999999998</v>
      </c>
      <c r="D833">
        <f>VLOOKUP(Table2[[#This Row],[Customer ID]],Table2[#All],3,FALSE)</f>
        <v>8.07</v>
      </c>
      <c r="E833" t="str">
        <f>VLOOKUP(Table2[[#This Row],[Customer ID]],Table2[#All],4,FALSE)</f>
        <v>No</v>
      </c>
      <c r="F833" t="str">
        <f>VLOOKUP(Table2[[#This Row],[Customer ID]],Table2[#All],5,FALSE)</f>
        <v>No</v>
      </c>
      <c r="G833" t="str">
        <f>VLOOKUP(Table2[[#This Row],[Customer ID]],Table2[#All],6,FALSE)</f>
        <v>No</v>
      </c>
      <c r="H833">
        <f>VLOOKUP(Table2[[#This Row],[Customer ID]],Table2[#All],7,FALSE)</f>
        <v>0</v>
      </c>
      <c r="I833" t="str">
        <f>VLOOKUP(Table2[[#This Row],[Customer ID]],Table2[#All],8,FALSE)</f>
        <v>No</v>
      </c>
      <c r="J833" t="str">
        <f>VLOOKUP(Table2[[#This Row],[Customer ID]],Table2[#All],9,FALSE)</f>
        <v>Obesity</v>
      </c>
      <c r="K833" t="str">
        <f>VLOOKUP(Table2[[#This Row],[Customer ID]],Table2[#All],10,FALSE)</f>
        <v>Diabetes</v>
      </c>
    </row>
    <row r="834" spans="1:11" ht="15.6" x14ac:dyDescent="0.3">
      <c r="A834" s="1" t="s">
        <v>1538</v>
      </c>
      <c r="B834" t="str">
        <f>VLOOKUP('Customer Names'!A834,'Customer Names'!$A$1:$E$2336,4,FALSE)</f>
        <v>Mr.  Matthew J</v>
      </c>
      <c r="C834">
        <f>VLOOKUP(Table2[[#This Row],[Customer ID]],Table2[#All],2,FALSE)</f>
        <v>29.64</v>
      </c>
      <c r="D834">
        <f>VLOOKUP(Table2[[#This Row],[Customer ID]],Table2[#All],3,FALSE)</f>
        <v>8.9499999999999993</v>
      </c>
      <c r="E834" t="str">
        <f>VLOOKUP(Table2[[#This Row],[Customer ID]],Table2[#All],4,FALSE)</f>
        <v>No</v>
      </c>
      <c r="F834" t="str">
        <f>VLOOKUP(Table2[[#This Row],[Customer ID]],Table2[#All],5,FALSE)</f>
        <v>No</v>
      </c>
      <c r="G834" t="str">
        <f>VLOOKUP(Table2[[#This Row],[Customer ID]],Table2[#All],6,FALSE)</f>
        <v>No</v>
      </c>
      <c r="H834">
        <f>VLOOKUP(Table2[[#This Row],[Customer ID]],Table2[#All],7,FALSE)</f>
        <v>0</v>
      </c>
      <c r="I834" t="str">
        <f>VLOOKUP(Table2[[#This Row],[Customer ID]],Table2[#All],8,FALSE)</f>
        <v>No</v>
      </c>
      <c r="J834" t="str">
        <f>VLOOKUP(Table2[[#This Row],[Customer ID]],Table2[#All],9,FALSE)</f>
        <v>Overweight</v>
      </c>
      <c r="K834" t="str">
        <f>VLOOKUP(Table2[[#This Row],[Customer ID]],Table2[#All],10,FALSE)</f>
        <v>Diabetes</v>
      </c>
    </row>
    <row r="835" spans="1:11" ht="15.6" x14ac:dyDescent="0.3">
      <c r="A835" s="1" t="s">
        <v>1537</v>
      </c>
      <c r="B835" t="str">
        <f>VLOOKUP('Customer Names'!A835,'Customer Names'!$A$1:$E$2336,4,FALSE)</f>
        <v>Mrs.  Karine</v>
      </c>
      <c r="C835">
        <f>VLOOKUP(Table2[[#This Row],[Customer ID]],Table2[#All],2,FALSE)</f>
        <v>42.74</v>
      </c>
      <c r="D835">
        <f>VLOOKUP(Table2[[#This Row],[Customer ID]],Table2[#All],3,FALSE)</f>
        <v>6.31</v>
      </c>
      <c r="E835" t="str">
        <f>VLOOKUP(Table2[[#This Row],[Customer ID]],Table2[#All],4,FALSE)</f>
        <v>Yes</v>
      </c>
      <c r="F835" t="str">
        <f>VLOOKUP(Table2[[#This Row],[Customer ID]],Table2[#All],5,FALSE)</f>
        <v>No</v>
      </c>
      <c r="G835" t="str">
        <f>VLOOKUP(Table2[[#This Row],[Customer ID]],Table2[#All],6,FALSE)</f>
        <v>No</v>
      </c>
      <c r="H835">
        <f>VLOOKUP(Table2[[#This Row],[Customer ID]],Table2[#All],7,FALSE)</f>
        <v>1</v>
      </c>
      <c r="I835" t="str">
        <f>VLOOKUP(Table2[[#This Row],[Customer ID]],Table2[#All],8,FALSE)</f>
        <v>No</v>
      </c>
      <c r="J835" t="str">
        <f>VLOOKUP(Table2[[#This Row],[Customer ID]],Table2[#All],9,FALSE)</f>
        <v>Obesity</v>
      </c>
      <c r="K835" t="str">
        <f>VLOOKUP(Table2[[#This Row],[Customer ID]],Table2[#All],10,FALSE)</f>
        <v>Prediabetes</v>
      </c>
    </row>
    <row r="836" spans="1:11" ht="15.6" x14ac:dyDescent="0.3">
      <c r="A836" s="1" t="s">
        <v>1536</v>
      </c>
      <c r="B836" t="str">
        <f>VLOOKUP('Customer Names'!A836,'Customer Names'!$A$1:$E$2336,4,FALSE)</f>
        <v>Ms.  Antonia G</v>
      </c>
      <c r="C836">
        <f>VLOOKUP(Table2[[#This Row],[Customer ID]],Table2[#All],2,FALSE)</f>
        <v>36.130000000000003</v>
      </c>
      <c r="D836">
        <f>VLOOKUP(Table2[[#This Row],[Customer ID]],Table2[#All],3,FALSE)</f>
        <v>7.19</v>
      </c>
      <c r="E836" t="str">
        <f>VLOOKUP(Table2[[#This Row],[Customer ID]],Table2[#All],4,FALSE)</f>
        <v>Yes</v>
      </c>
      <c r="F836" t="str">
        <f>VLOOKUP(Table2[[#This Row],[Customer ID]],Table2[#All],5,FALSE)</f>
        <v>No</v>
      </c>
      <c r="G836" t="str">
        <f>VLOOKUP(Table2[[#This Row],[Customer ID]],Table2[#All],6,FALSE)</f>
        <v>No</v>
      </c>
      <c r="H836">
        <f>VLOOKUP(Table2[[#This Row],[Customer ID]],Table2[#All],7,FALSE)</f>
        <v>2</v>
      </c>
      <c r="I836" t="str">
        <f>VLOOKUP(Table2[[#This Row],[Customer ID]],Table2[#All],8,FALSE)</f>
        <v>No</v>
      </c>
      <c r="J836" t="str">
        <f>VLOOKUP(Table2[[#This Row],[Customer ID]],Table2[#All],9,FALSE)</f>
        <v>Obesity</v>
      </c>
      <c r="K836" t="str">
        <f>VLOOKUP(Table2[[#This Row],[Customer ID]],Table2[#All],10,FALSE)</f>
        <v>Diabetes</v>
      </c>
    </row>
    <row r="837" spans="1:11" ht="15.6" x14ac:dyDescent="0.3">
      <c r="A837" s="1" t="s">
        <v>1535</v>
      </c>
      <c r="B837" t="str">
        <f>VLOOKUP('Customer Names'!A837,'Customer Names'!$A$1:$E$2336,4,FALSE)</f>
        <v>Ms.  Casondra L</v>
      </c>
      <c r="C837">
        <f>VLOOKUP(Table2[[#This Row],[Customer ID]],Table2[#All],2,FALSE)</f>
        <v>31.55</v>
      </c>
      <c r="D837">
        <f>VLOOKUP(Table2[[#This Row],[Customer ID]],Table2[#All],3,FALSE)</f>
        <v>6.11</v>
      </c>
      <c r="E837" t="str">
        <f>VLOOKUP(Table2[[#This Row],[Customer ID]],Table2[#All],4,FALSE)</f>
        <v>Yes</v>
      </c>
      <c r="F837" t="str">
        <f>VLOOKUP(Table2[[#This Row],[Customer ID]],Table2[#All],5,FALSE)</f>
        <v>No</v>
      </c>
      <c r="G837" t="str">
        <f>VLOOKUP(Table2[[#This Row],[Customer ID]],Table2[#All],6,FALSE)</f>
        <v>No</v>
      </c>
      <c r="H837">
        <f>VLOOKUP(Table2[[#This Row],[Customer ID]],Table2[#All],7,FALSE)</f>
        <v>1</v>
      </c>
      <c r="I837" t="str">
        <f>VLOOKUP(Table2[[#This Row],[Customer ID]],Table2[#All],8,FALSE)</f>
        <v>No</v>
      </c>
      <c r="J837" t="str">
        <f>VLOOKUP(Table2[[#This Row],[Customer ID]],Table2[#All],9,FALSE)</f>
        <v>Obesity</v>
      </c>
      <c r="K837" t="str">
        <f>VLOOKUP(Table2[[#This Row],[Customer ID]],Table2[#All],10,FALSE)</f>
        <v>Prediabetes</v>
      </c>
    </row>
    <row r="838" spans="1:11" ht="15.6" x14ac:dyDescent="0.3">
      <c r="A838" s="1" t="s">
        <v>1534</v>
      </c>
      <c r="B838" t="str">
        <f>VLOOKUP('Customer Names'!A838,'Customer Names'!$A$1:$E$2336,4,FALSE)</f>
        <v>Ms.  Wendy</v>
      </c>
      <c r="C838">
        <f>VLOOKUP(Table2[[#This Row],[Customer ID]],Table2[#All],2,FALSE)</f>
        <v>52.75</v>
      </c>
      <c r="D838">
        <f>VLOOKUP(Table2[[#This Row],[Customer ID]],Table2[#All],3,FALSE)</f>
        <v>6.02</v>
      </c>
      <c r="E838" t="str">
        <f>VLOOKUP(Table2[[#This Row],[Customer ID]],Table2[#All],4,FALSE)</f>
        <v>No</v>
      </c>
      <c r="F838" t="str">
        <f>VLOOKUP(Table2[[#This Row],[Customer ID]],Table2[#All],5,FALSE)</f>
        <v>No</v>
      </c>
      <c r="G838" t="str">
        <f>VLOOKUP(Table2[[#This Row],[Customer ID]],Table2[#All],6,FALSE)</f>
        <v>No</v>
      </c>
      <c r="H838">
        <f>VLOOKUP(Table2[[#This Row],[Customer ID]],Table2[#All],7,FALSE)</f>
        <v>1</v>
      </c>
      <c r="I838" t="str">
        <f>VLOOKUP(Table2[[#This Row],[Customer ID]],Table2[#All],8,FALSE)</f>
        <v>No</v>
      </c>
      <c r="J838" t="str">
        <f>VLOOKUP(Table2[[#This Row],[Customer ID]],Table2[#All],9,FALSE)</f>
        <v>Obesity</v>
      </c>
      <c r="K838" t="str">
        <f>VLOOKUP(Table2[[#This Row],[Customer ID]],Table2[#All],10,FALSE)</f>
        <v>Prediabetes</v>
      </c>
    </row>
    <row r="839" spans="1:11" ht="15.6" x14ac:dyDescent="0.3">
      <c r="A839" s="1" t="s">
        <v>1533</v>
      </c>
      <c r="B839" t="str">
        <f>VLOOKUP('Customer Names'!A839,'Customer Names'!$A$1:$E$2336,4,FALSE)</f>
        <v>Mr.  Eric D</v>
      </c>
      <c r="C839">
        <f>VLOOKUP(Table2[[#This Row],[Customer ID]],Table2[#All],2,FALSE)</f>
        <v>36.67</v>
      </c>
      <c r="D839">
        <f>VLOOKUP(Table2[[#This Row],[Customer ID]],Table2[#All],3,FALSE)</f>
        <v>11.86</v>
      </c>
      <c r="E839" t="str">
        <f>VLOOKUP(Table2[[#This Row],[Customer ID]],Table2[#All],4,FALSE)</f>
        <v>No</v>
      </c>
      <c r="F839" t="str">
        <f>VLOOKUP(Table2[[#This Row],[Customer ID]],Table2[#All],5,FALSE)</f>
        <v>No</v>
      </c>
      <c r="G839" t="str">
        <f>VLOOKUP(Table2[[#This Row],[Customer ID]],Table2[#All],6,FALSE)</f>
        <v>No</v>
      </c>
      <c r="H839">
        <f>VLOOKUP(Table2[[#This Row],[Customer ID]],Table2[#All],7,FALSE)</f>
        <v>0</v>
      </c>
      <c r="I839" t="str">
        <f>VLOOKUP(Table2[[#This Row],[Customer ID]],Table2[#All],8,FALSE)</f>
        <v>No</v>
      </c>
      <c r="J839" t="str">
        <f>VLOOKUP(Table2[[#This Row],[Customer ID]],Table2[#All],9,FALSE)</f>
        <v>Obesity</v>
      </c>
      <c r="K839" t="str">
        <f>VLOOKUP(Table2[[#This Row],[Customer ID]],Table2[#All],10,FALSE)</f>
        <v>Diabetes</v>
      </c>
    </row>
    <row r="840" spans="1:11" ht="15.6" x14ac:dyDescent="0.3">
      <c r="A840" s="1" t="s">
        <v>1532</v>
      </c>
      <c r="B840" t="str">
        <f>VLOOKUP('Customer Names'!A840,'Customer Names'!$A$1:$E$2336,4,FALSE)</f>
        <v>Ms.  Elizabeth</v>
      </c>
      <c r="C840">
        <f>VLOOKUP(Table2[[#This Row],[Customer ID]],Table2[#All],2,FALSE)</f>
        <v>38.06</v>
      </c>
      <c r="D840">
        <f>VLOOKUP(Table2[[#This Row],[Customer ID]],Table2[#All],3,FALSE)</f>
        <v>8.25</v>
      </c>
      <c r="E840" t="str">
        <f>VLOOKUP(Table2[[#This Row],[Customer ID]],Table2[#All],4,FALSE)</f>
        <v>No</v>
      </c>
      <c r="F840" t="str">
        <f>VLOOKUP(Table2[[#This Row],[Customer ID]],Table2[#All],5,FALSE)</f>
        <v>No</v>
      </c>
      <c r="G840" t="str">
        <f>VLOOKUP(Table2[[#This Row],[Customer ID]],Table2[#All],6,FALSE)</f>
        <v>No</v>
      </c>
      <c r="H840">
        <f>VLOOKUP(Table2[[#This Row],[Customer ID]],Table2[#All],7,FALSE)</f>
        <v>0</v>
      </c>
      <c r="I840" t="str">
        <f>VLOOKUP(Table2[[#This Row],[Customer ID]],Table2[#All],8,FALSE)</f>
        <v>No</v>
      </c>
      <c r="J840" t="str">
        <f>VLOOKUP(Table2[[#This Row],[Customer ID]],Table2[#All],9,FALSE)</f>
        <v>Obesity</v>
      </c>
      <c r="K840" t="str">
        <f>VLOOKUP(Table2[[#This Row],[Customer ID]],Table2[#All],10,FALSE)</f>
        <v>Diabetes</v>
      </c>
    </row>
    <row r="841" spans="1:11" ht="15.6" x14ac:dyDescent="0.3">
      <c r="A841" s="1" t="s">
        <v>1531</v>
      </c>
      <c r="B841" t="str">
        <f>VLOOKUP('Customer Names'!A841,'Customer Names'!$A$1:$E$2336,4,FALSE)</f>
        <v>Ms.  Laura F</v>
      </c>
      <c r="C841">
        <f>VLOOKUP(Table2[[#This Row],[Customer ID]],Table2[#All],2,FALSE)</f>
        <v>38</v>
      </c>
      <c r="D841">
        <f>VLOOKUP(Table2[[#This Row],[Customer ID]],Table2[#All],3,FALSE)</f>
        <v>8.1300000000000008</v>
      </c>
      <c r="E841" t="str">
        <f>VLOOKUP(Table2[[#This Row],[Customer ID]],Table2[#All],4,FALSE)</f>
        <v>No</v>
      </c>
      <c r="F841" t="str">
        <f>VLOOKUP(Table2[[#This Row],[Customer ID]],Table2[#All],5,FALSE)</f>
        <v>No</v>
      </c>
      <c r="G841" t="str">
        <f>VLOOKUP(Table2[[#This Row],[Customer ID]],Table2[#All],6,FALSE)</f>
        <v>No</v>
      </c>
      <c r="H841">
        <f>VLOOKUP(Table2[[#This Row],[Customer ID]],Table2[#All],7,FALSE)</f>
        <v>0</v>
      </c>
      <c r="I841" t="str">
        <f>VLOOKUP(Table2[[#This Row],[Customer ID]],Table2[#All],8,FALSE)</f>
        <v>No</v>
      </c>
      <c r="J841" t="str">
        <f>VLOOKUP(Table2[[#This Row],[Customer ID]],Table2[#All],9,FALSE)</f>
        <v>Obesity</v>
      </c>
      <c r="K841" t="str">
        <f>VLOOKUP(Table2[[#This Row],[Customer ID]],Table2[#All],10,FALSE)</f>
        <v>Diabetes</v>
      </c>
    </row>
    <row r="842" spans="1:11" ht="15.6" x14ac:dyDescent="0.3">
      <c r="A842" s="1" t="s">
        <v>1530</v>
      </c>
      <c r="B842" t="str">
        <f>VLOOKUP('Customer Names'!A842,'Customer Names'!$A$1:$E$2336,4,FALSE)</f>
        <v>Ms.  Amelia F.</v>
      </c>
      <c r="C842">
        <f>VLOOKUP(Table2[[#This Row],[Customer ID]],Table2[#All],2,FALSE)</f>
        <v>35.1</v>
      </c>
      <c r="D842">
        <f>VLOOKUP(Table2[[#This Row],[Customer ID]],Table2[#All],3,FALSE)</f>
        <v>10.1</v>
      </c>
      <c r="E842" t="str">
        <f>VLOOKUP(Table2[[#This Row],[Customer ID]],Table2[#All],4,FALSE)</f>
        <v>No</v>
      </c>
      <c r="F842" t="str">
        <f>VLOOKUP(Table2[[#This Row],[Customer ID]],Table2[#All],5,FALSE)</f>
        <v>No</v>
      </c>
      <c r="G842" t="str">
        <f>VLOOKUP(Table2[[#This Row],[Customer ID]],Table2[#All],6,FALSE)</f>
        <v>No</v>
      </c>
      <c r="H842">
        <f>VLOOKUP(Table2[[#This Row],[Customer ID]],Table2[#All],7,FALSE)</f>
        <v>0</v>
      </c>
      <c r="I842" t="str">
        <f>VLOOKUP(Table2[[#This Row],[Customer ID]],Table2[#All],8,FALSE)</f>
        <v>No</v>
      </c>
      <c r="J842" t="str">
        <f>VLOOKUP(Table2[[#This Row],[Customer ID]],Table2[#All],9,FALSE)</f>
        <v>Obesity</v>
      </c>
      <c r="K842" t="str">
        <f>VLOOKUP(Table2[[#This Row],[Customer ID]],Table2[#All],10,FALSE)</f>
        <v>Diabetes</v>
      </c>
    </row>
    <row r="843" spans="1:11" ht="15.6" x14ac:dyDescent="0.3">
      <c r="A843" s="1" t="s">
        <v>1529</v>
      </c>
      <c r="B843" t="str">
        <f>VLOOKUP('Customer Names'!A843,'Customer Names'!$A$1:$E$2336,4,FALSE)</f>
        <v>Ms.  Amy L.</v>
      </c>
      <c r="C843">
        <f>VLOOKUP(Table2[[#This Row],[Customer ID]],Table2[#All],2,FALSE)</f>
        <v>33.82</v>
      </c>
      <c r="D843">
        <f>VLOOKUP(Table2[[#This Row],[Customer ID]],Table2[#All],3,FALSE)</f>
        <v>5.89</v>
      </c>
      <c r="E843" t="str">
        <f>VLOOKUP(Table2[[#This Row],[Customer ID]],Table2[#All],4,FALSE)</f>
        <v>Yes</v>
      </c>
      <c r="F843" t="str">
        <f>VLOOKUP(Table2[[#This Row],[Customer ID]],Table2[#All],5,FALSE)</f>
        <v>No</v>
      </c>
      <c r="G843" t="str">
        <f>VLOOKUP(Table2[[#This Row],[Customer ID]],Table2[#All],6,FALSE)</f>
        <v>No</v>
      </c>
      <c r="H843">
        <f>VLOOKUP(Table2[[#This Row],[Customer ID]],Table2[#All],7,FALSE)</f>
        <v>2</v>
      </c>
      <c r="I843" t="str">
        <f>VLOOKUP(Table2[[#This Row],[Customer ID]],Table2[#All],8,FALSE)</f>
        <v>No</v>
      </c>
      <c r="J843" t="str">
        <f>VLOOKUP(Table2[[#This Row],[Customer ID]],Table2[#All],9,FALSE)</f>
        <v>Obesity</v>
      </c>
      <c r="K843" t="str">
        <f>VLOOKUP(Table2[[#This Row],[Customer ID]],Table2[#All],10,FALSE)</f>
        <v>Prediabetes</v>
      </c>
    </row>
    <row r="844" spans="1:11" ht="15.6" x14ac:dyDescent="0.3">
      <c r="A844" s="1" t="s">
        <v>1528</v>
      </c>
      <c r="B844" t="str">
        <f>VLOOKUP('Customer Names'!A844,'Customer Names'!$A$1:$E$2336,4,FALSE)</f>
        <v>Ms.  Katie J</v>
      </c>
      <c r="C844">
        <f>VLOOKUP(Table2[[#This Row],[Customer ID]],Table2[#All],2,FALSE)</f>
        <v>37.43</v>
      </c>
      <c r="D844">
        <f>VLOOKUP(Table2[[#This Row],[Customer ID]],Table2[#All],3,FALSE)</f>
        <v>4.97</v>
      </c>
      <c r="E844" t="str">
        <f>VLOOKUP(Table2[[#This Row],[Customer ID]],Table2[#All],4,FALSE)</f>
        <v>No</v>
      </c>
      <c r="F844" t="str">
        <f>VLOOKUP(Table2[[#This Row],[Customer ID]],Table2[#All],5,FALSE)</f>
        <v>No</v>
      </c>
      <c r="G844" t="str">
        <f>VLOOKUP(Table2[[#This Row],[Customer ID]],Table2[#All],6,FALSE)</f>
        <v>No</v>
      </c>
      <c r="H844">
        <f>VLOOKUP(Table2[[#This Row],[Customer ID]],Table2[#All],7,FALSE)</f>
        <v>2</v>
      </c>
      <c r="I844" t="str">
        <f>VLOOKUP(Table2[[#This Row],[Customer ID]],Table2[#All],8,FALSE)</f>
        <v>No</v>
      </c>
      <c r="J844" t="str">
        <f>VLOOKUP(Table2[[#This Row],[Customer ID]],Table2[#All],9,FALSE)</f>
        <v>Obesity</v>
      </c>
      <c r="K844" t="str">
        <f>VLOOKUP(Table2[[#This Row],[Customer ID]],Table2[#All],10,FALSE)</f>
        <v>Normal</v>
      </c>
    </row>
    <row r="845" spans="1:11" ht="15.6" x14ac:dyDescent="0.3">
      <c r="A845" s="1" t="s">
        <v>1527</v>
      </c>
      <c r="B845" t="str">
        <f>VLOOKUP('Customer Names'!A845,'Customer Names'!$A$1:$E$2336,4,FALSE)</f>
        <v>Ms.  Laura E.</v>
      </c>
      <c r="C845">
        <f>VLOOKUP(Table2[[#This Row],[Customer ID]],Table2[#All],2,FALSE)</f>
        <v>30.5</v>
      </c>
      <c r="D845">
        <f>VLOOKUP(Table2[[#This Row],[Customer ID]],Table2[#All],3,FALSE)</f>
        <v>9.9</v>
      </c>
      <c r="E845" t="str">
        <f>VLOOKUP(Table2[[#This Row],[Customer ID]],Table2[#All],4,FALSE)</f>
        <v>No</v>
      </c>
      <c r="F845" t="str">
        <f>VLOOKUP(Table2[[#This Row],[Customer ID]],Table2[#All],5,FALSE)</f>
        <v>No</v>
      </c>
      <c r="G845" t="str">
        <f>VLOOKUP(Table2[[#This Row],[Customer ID]],Table2[#All],6,FALSE)</f>
        <v>No</v>
      </c>
      <c r="H845">
        <f>VLOOKUP(Table2[[#This Row],[Customer ID]],Table2[#All],7,FALSE)</f>
        <v>0</v>
      </c>
      <c r="I845" t="str">
        <f>VLOOKUP(Table2[[#This Row],[Customer ID]],Table2[#All],8,FALSE)</f>
        <v>No</v>
      </c>
      <c r="J845" t="str">
        <f>VLOOKUP(Table2[[#This Row],[Customer ID]],Table2[#All],9,FALSE)</f>
        <v>Obesity</v>
      </c>
      <c r="K845" t="str">
        <f>VLOOKUP(Table2[[#This Row],[Customer ID]],Table2[#All],10,FALSE)</f>
        <v>Diabetes</v>
      </c>
    </row>
    <row r="846" spans="1:11" ht="15.6" x14ac:dyDescent="0.3">
      <c r="A846" s="1" t="s">
        <v>1526</v>
      </c>
      <c r="B846" t="str">
        <f>VLOOKUP('Customer Names'!A846,'Customer Names'!$A$1:$E$2336,4,FALSE)</f>
        <v>Mrs.  Mayumi</v>
      </c>
      <c r="C846">
        <f>VLOOKUP(Table2[[#This Row],[Customer ID]],Table2[#All],2,FALSE)</f>
        <v>24.53</v>
      </c>
      <c r="D846">
        <f>VLOOKUP(Table2[[#This Row],[Customer ID]],Table2[#All],3,FALSE)</f>
        <v>9.0500000000000007</v>
      </c>
      <c r="E846" t="str">
        <f>VLOOKUP(Table2[[#This Row],[Customer ID]],Table2[#All],4,FALSE)</f>
        <v>No</v>
      </c>
      <c r="F846" t="str">
        <f>VLOOKUP(Table2[[#This Row],[Customer ID]],Table2[#All],5,FALSE)</f>
        <v>No</v>
      </c>
      <c r="G846" t="str">
        <f>VLOOKUP(Table2[[#This Row],[Customer ID]],Table2[#All],6,FALSE)</f>
        <v>No</v>
      </c>
      <c r="H846">
        <f>VLOOKUP(Table2[[#This Row],[Customer ID]],Table2[#All],7,FALSE)</f>
        <v>0</v>
      </c>
      <c r="I846" t="str">
        <f>VLOOKUP(Table2[[#This Row],[Customer ID]],Table2[#All],8,FALSE)</f>
        <v>No</v>
      </c>
      <c r="J846" t="str">
        <f>VLOOKUP(Table2[[#This Row],[Customer ID]],Table2[#All],9,FALSE)</f>
        <v>Normalweight</v>
      </c>
      <c r="K846" t="str">
        <f>VLOOKUP(Table2[[#This Row],[Customer ID]],Table2[#All],10,FALSE)</f>
        <v>Diabetes</v>
      </c>
    </row>
    <row r="847" spans="1:11" ht="15.6" x14ac:dyDescent="0.3">
      <c r="A847" s="1" t="s">
        <v>1525</v>
      </c>
      <c r="B847" t="str">
        <f>VLOOKUP('Customer Names'!A847,'Customer Names'!$A$1:$E$2336,4,FALSE)</f>
        <v>Ms.  Vanessa</v>
      </c>
      <c r="C847">
        <f>VLOOKUP(Table2[[#This Row],[Customer ID]],Table2[#All],2,FALSE)</f>
        <v>25.74</v>
      </c>
      <c r="D847">
        <f>VLOOKUP(Table2[[#This Row],[Customer ID]],Table2[#All],3,FALSE)</f>
        <v>10.93</v>
      </c>
      <c r="E847" t="str">
        <f>VLOOKUP(Table2[[#This Row],[Customer ID]],Table2[#All],4,FALSE)</f>
        <v>No</v>
      </c>
      <c r="F847" t="str">
        <f>VLOOKUP(Table2[[#This Row],[Customer ID]],Table2[#All],5,FALSE)</f>
        <v>No</v>
      </c>
      <c r="G847" t="str">
        <f>VLOOKUP(Table2[[#This Row],[Customer ID]],Table2[#All],6,FALSE)</f>
        <v>No</v>
      </c>
      <c r="H847">
        <f>VLOOKUP(Table2[[#This Row],[Customer ID]],Table2[#All],7,FALSE)</f>
        <v>0</v>
      </c>
      <c r="I847" t="str">
        <f>VLOOKUP(Table2[[#This Row],[Customer ID]],Table2[#All],8,FALSE)</f>
        <v>No</v>
      </c>
      <c r="J847" t="str">
        <f>VLOOKUP(Table2[[#This Row],[Customer ID]],Table2[#All],9,FALSE)</f>
        <v>Overweight</v>
      </c>
      <c r="K847" t="str">
        <f>VLOOKUP(Table2[[#This Row],[Customer ID]],Table2[#All],10,FALSE)</f>
        <v>Diabetes</v>
      </c>
    </row>
    <row r="848" spans="1:11" ht="15.6" x14ac:dyDescent="0.3">
      <c r="A848" s="1" t="s">
        <v>1524</v>
      </c>
      <c r="B848" t="str">
        <f>VLOOKUP('Customer Names'!A848,'Customer Names'!$A$1:$E$2336,4,FALSE)</f>
        <v>Ms.  Natali N</v>
      </c>
      <c r="C848">
        <f>VLOOKUP(Table2[[#This Row],[Customer ID]],Table2[#All],2,FALSE)</f>
        <v>34.08</v>
      </c>
      <c r="D848">
        <f>VLOOKUP(Table2[[#This Row],[Customer ID]],Table2[#All],3,FALSE)</f>
        <v>7.58</v>
      </c>
      <c r="E848" t="str">
        <f>VLOOKUP(Table2[[#This Row],[Customer ID]],Table2[#All],4,FALSE)</f>
        <v>Yes</v>
      </c>
      <c r="F848" t="str">
        <f>VLOOKUP(Table2[[#This Row],[Customer ID]],Table2[#All],5,FALSE)</f>
        <v>No</v>
      </c>
      <c r="G848" t="str">
        <f>VLOOKUP(Table2[[#This Row],[Customer ID]],Table2[#All],6,FALSE)</f>
        <v>No</v>
      </c>
      <c r="H848">
        <f>VLOOKUP(Table2[[#This Row],[Customer ID]],Table2[#All],7,FALSE)</f>
        <v>2</v>
      </c>
      <c r="I848" t="str">
        <f>VLOOKUP(Table2[[#This Row],[Customer ID]],Table2[#All],8,FALSE)</f>
        <v>No</v>
      </c>
      <c r="J848" t="str">
        <f>VLOOKUP(Table2[[#This Row],[Customer ID]],Table2[#All],9,FALSE)</f>
        <v>Obesity</v>
      </c>
      <c r="K848" t="str">
        <f>VLOOKUP(Table2[[#This Row],[Customer ID]],Table2[#All],10,FALSE)</f>
        <v>Diabetes</v>
      </c>
    </row>
    <row r="849" spans="1:11" ht="15.6" x14ac:dyDescent="0.3">
      <c r="A849" s="1" t="s">
        <v>1523</v>
      </c>
      <c r="B849" t="str">
        <f>VLOOKUP('Customer Names'!A849,'Customer Names'!$A$1:$E$2336,4,FALSE)</f>
        <v>Ms.  Beth</v>
      </c>
      <c r="C849">
        <f>VLOOKUP(Table2[[#This Row],[Customer ID]],Table2[#All],2,FALSE)</f>
        <v>31.35</v>
      </c>
      <c r="D849">
        <f>VLOOKUP(Table2[[#This Row],[Customer ID]],Table2[#All],3,FALSE)</f>
        <v>11</v>
      </c>
      <c r="E849" t="str">
        <f>VLOOKUP(Table2[[#This Row],[Customer ID]],Table2[#All],4,FALSE)</f>
        <v>Yes</v>
      </c>
      <c r="F849" t="str">
        <f>VLOOKUP(Table2[[#This Row],[Customer ID]],Table2[#All],5,FALSE)</f>
        <v>No</v>
      </c>
      <c r="G849" t="str">
        <f>VLOOKUP(Table2[[#This Row],[Customer ID]],Table2[#All],6,FALSE)</f>
        <v>Yes</v>
      </c>
      <c r="H849">
        <f>VLOOKUP(Table2[[#This Row],[Customer ID]],Table2[#All],7,FALSE)</f>
        <v>1</v>
      </c>
      <c r="I849" t="str">
        <f>VLOOKUP(Table2[[#This Row],[Customer ID]],Table2[#All],8,FALSE)</f>
        <v>No</v>
      </c>
      <c r="J849" t="str">
        <f>VLOOKUP(Table2[[#This Row],[Customer ID]],Table2[#All],9,FALSE)</f>
        <v>Obesity</v>
      </c>
      <c r="K849" t="str">
        <f>VLOOKUP(Table2[[#This Row],[Customer ID]],Table2[#All],10,FALSE)</f>
        <v>Diabetes</v>
      </c>
    </row>
    <row r="850" spans="1:11" ht="15.6" x14ac:dyDescent="0.3">
      <c r="A850" s="1" t="s">
        <v>1522</v>
      </c>
      <c r="B850" t="str">
        <f>VLOOKUP('Customer Names'!A850,'Customer Names'!$A$1:$E$2336,4,FALSE)</f>
        <v>Mr.  Alex</v>
      </c>
      <c r="C850">
        <f>VLOOKUP(Table2[[#This Row],[Customer ID]],Table2[#All],2,FALSE)</f>
        <v>26.79</v>
      </c>
      <c r="D850">
        <f>VLOOKUP(Table2[[#This Row],[Customer ID]],Table2[#All],3,FALSE)</f>
        <v>5.0599999999999996</v>
      </c>
      <c r="E850" t="str">
        <f>VLOOKUP(Table2[[#This Row],[Customer ID]],Table2[#All],4,FALSE)</f>
        <v>No</v>
      </c>
      <c r="F850" t="str">
        <f>VLOOKUP(Table2[[#This Row],[Customer ID]],Table2[#All],5,FALSE)</f>
        <v>No</v>
      </c>
      <c r="G850" t="str">
        <f>VLOOKUP(Table2[[#This Row],[Customer ID]],Table2[#All],6,FALSE)</f>
        <v>No</v>
      </c>
      <c r="H850">
        <f>VLOOKUP(Table2[[#This Row],[Customer ID]],Table2[#All],7,FALSE)</f>
        <v>1</v>
      </c>
      <c r="I850" t="str">
        <f>VLOOKUP(Table2[[#This Row],[Customer ID]],Table2[#All],8,FALSE)</f>
        <v>No</v>
      </c>
      <c r="J850" t="str">
        <f>VLOOKUP(Table2[[#This Row],[Customer ID]],Table2[#All],9,FALSE)</f>
        <v>Overweight</v>
      </c>
      <c r="K850" t="str">
        <f>VLOOKUP(Table2[[#This Row],[Customer ID]],Table2[#All],10,FALSE)</f>
        <v>Normal</v>
      </c>
    </row>
    <row r="851" spans="1:11" ht="15.6" x14ac:dyDescent="0.3">
      <c r="A851" s="1" t="s">
        <v>1521</v>
      </c>
      <c r="B851" t="str">
        <f>VLOOKUP('Customer Names'!A851,'Customer Names'!$A$1:$E$2336,4,FALSE)</f>
        <v>Mr.  Spencer</v>
      </c>
      <c r="C851">
        <f>VLOOKUP(Table2[[#This Row],[Customer ID]],Table2[#All],2,FALSE)</f>
        <v>42.78</v>
      </c>
      <c r="D851">
        <f>VLOOKUP(Table2[[#This Row],[Customer ID]],Table2[#All],3,FALSE)</f>
        <v>6.11</v>
      </c>
      <c r="E851" t="str">
        <f>VLOOKUP(Table2[[#This Row],[Customer ID]],Table2[#All],4,FALSE)</f>
        <v>Yes</v>
      </c>
      <c r="F851" t="str">
        <f>VLOOKUP(Table2[[#This Row],[Customer ID]],Table2[#All],5,FALSE)</f>
        <v>No</v>
      </c>
      <c r="G851" t="str">
        <f>VLOOKUP(Table2[[#This Row],[Customer ID]],Table2[#All],6,FALSE)</f>
        <v>No</v>
      </c>
      <c r="H851">
        <f>VLOOKUP(Table2[[#This Row],[Customer ID]],Table2[#All],7,FALSE)</f>
        <v>1</v>
      </c>
      <c r="I851" t="str">
        <f>VLOOKUP(Table2[[#This Row],[Customer ID]],Table2[#All],8,FALSE)</f>
        <v>No</v>
      </c>
      <c r="J851" t="str">
        <f>VLOOKUP(Table2[[#This Row],[Customer ID]],Table2[#All],9,FALSE)</f>
        <v>Obesity</v>
      </c>
      <c r="K851" t="str">
        <f>VLOOKUP(Table2[[#This Row],[Customer ID]],Table2[#All],10,FALSE)</f>
        <v>Prediabetes</v>
      </c>
    </row>
    <row r="852" spans="1:11" ht="15.6" x14ac:dyDescent="0.3">
      <c r="A852" s="1" t="s">
        <v>1520</v>
      </c>
      <c r="B852" t="str">
        <f>VLOOKUP('Customer Names'!A852,'Customer Names'!$A$1:$E$2336,4,FALSE)</f>
        <v>Ms.  Andee W.</v>
      </c>
      <c r="C852">
        <f>VLOOKUP(Table2[[#This Row],[Customer ID]],Table2[#All],2,FALSE)</f>
        <v>46.75</v>
      </c>
      <c r="D852">
        <f>VLOOKUP(Table2[[#This Row],[Customer ID]],Table2[#All],3,FALSE)</f>
        <v>6.66</v>
      </c>
      <c r="E852" t="str">
        <f>VLOOKUP(Table2[[#This Row],[Customer ID]],Table2[#All],4,FALSE)</f>
        <v>Yes</v>
      </c>
      <c r="F852" t="str">
        <f>VLOOKUP(Table2[[#This Row],[Customer ID]],Table2[#All],5,FALSE)</f>
        <v>No</v>
      </c>
      <c r="G852" t="str">
        <f>VLOOKUP(Table2[[#This Row],[Customer ID]],Table2[#All],6,FALSE)</f>
        <v>No</v>
      </c>
      <c r="H852">
        <f>VLOOKUP(Table2[[#This Row],[Customer ID]],Table2[#All],7,FALSE)</f>
        <v>2</v>
      </c>
      <c r="I852" t="str">
        <f>VLOOKUP(Table2[[#This Row],[Customer ID]],Table2[#All],8,FALSE)</f>
        <v>No</v>
      </c>
      <c r="J852" t="str">
        <f>VLOOKUP(Table2[[#This Row],[Customer ID]],Table2[#All],9,FALSE)</f>
        <v>Obesity</v>
      </c>
      <c r="K852" t="str">
        <f>VLOOKUP(Table2[[#This Row],[Customer ID]],Table2[#All],10,FALSE)</f>
        <v>Diabetes</v>
      </c>
    </row>
    <row r="853" spans="1:11" ht="15.6" x14ac:dyDescent="0.3">
      <c r="A853" s="1" t="s">
        <v>1519</v>
      </c>
      <c r="B853" t="str">
        <f>VLOOKUP('Customer Names'!A853,'Customer Names'!$A$1:$E$2336,4,FALSE)</f>
        <v>Mrs.  Amy</v>
      </c>
      <c r="C853">
        <f>VLOOKUP(Table2[[#This Row],[Customer ID]],Table2[#All],2,FALSE)</f>
        <v>32.15</v>
      </c>
      <c r="D853">
        <f>VLOOKUP(Table2[[#This Row],[Customer ID]],Table2[#All],3,FALSE)</f>
        <v>4.0199999999999996</v>
      </c>
      <c r="E853" t="str">
        <f>VLOOKUP(Table2[[#This Row],[Customer ID]],Table2[#All],4,FALSE)</f>
        <v>Yes</v>
      </c>
      <c r="F853" t="str">
        <f>VLOOKUP(Table2[[#This Row],[Customer ID]],Table2[#All],5,FALSE)</f>
        <v>No</v>
      </c>
      <c r="G853" t="str">
        <f>VLOOKUP(Table2[[#This Row],[Customer ID]],Table2[#All],6,FALSE)</f>
        <v>Yes</v>
      </c>
      <c r="H853">
        <f>VLOOKUP(Table2[[#This Row],[Customer ID]],Table2[#All],7,FALSE)</f>
        <v>1</v>
      </c>
      <c r="I853" t="str">
        <f>VLOOKUP(Table2[[#This Row],[Customer ID]],Table2[#All],8,FALSE)</f>
        <v>No</v>
      </c>
      <c r="J853" t="str">
        <f>VLOOKUP(Table2[[#This Row],[Customer ID]],Table2[#All],9,FALSE)</f>
        <v>Obesity</v>
      </c>
      <c r="K853" t="str">
        <f>VLOOKUP(Table2[[#This Row],[Customer ID]],Table2[#All],10,FALSE)</f>
        <v>Normal</v>
      </c>
    </row>
    <row r="854" spans="1:11" ht="15.6" x14ac:dyDescent="0.3">
      <c r="A854" s="1" t="s">
        <v>1518</v>
      </c>
      <c r="B854" t="str">
        <f>VLOOKUP('Customer Names'!A854,'Customer Names'!$A$1:$E$2336,4,FALSE)</f>
        <v>Mr.  Joshua</v>
      </c>
      <c r="C854">
        <f>VLOOKUP(Table2[[#This Row],[Customer ID]],Table2[#All],2,FALSE)</f>
        <v>43.4</v>
      </c>
      <c r="D854">
        <f>VLOOKUP(Table2[[#This Row],[Customer ID]],Table2[#All],3,FALSE)</f>
        <v>8.81</v>
      </c>
      <c r="E854" t="str">
        <f>VLOOKUP(Table2[[#This Row],[Customer ID]],Table2[#All],4,FALSE)</f>
        <v>Yes</v>
      </c>
      <c r="F854" t="str">
        <f>VLOOKUP(Table2[[#This Row],[Customer ID]],Table2[#All],5,FALSE)</f>
        <v>No</v>
      </c>
      <c r="G854" t="str">
        <f>VLOOKUP(Table2[[#This Row],[Customer ID]],Table2[#All],6,FALSE)</f>
        <v>No</v>
      </c>
      <c r="H854">
        <f>VLOOKUP(Table2[[#This Row],[Customer ID]],Table2[#All],7,FALSE)</f>
        <v>2</v>
      </c>
      <c r="I854" t="str">
        <f>VLOOKUP(Table2[[#This Row],[Customer ID]],Table2[#All],8,FALSE)</f>
        <v>No</v>
      </c>
      <c r="J854" t="str">
        <f>VLOOKUP(Table2[[#This Row],[Customer ID]],Table2[#All],9,FALSE)</f>
        <v>Obesity</v>
      </c>
      <c r="K854" t="str">
        <f>VLOOKUP(Table2[[#This Row],[Customer ID]],Table2[#All],10,FALSE)</f>
        <v>Diabetes</v>
      </c>
    </row>
    <row r="855" spans="1:11" ht="15.6" x14ac:dyDescent="0.3">
      <c r="A855" s="1" t="s">
        <v>1517</v>
      </c>
      <c r="B855" t="str">
        <f>VLOOKUP('Customer Names'!A855,'Customer Names'!$A$1:$E$2336,4,FALSE)</f>
        <v>Mr.  C Fred</v>
      </c>
      <c r="C855">
        <f>VLOOKUP(Table2[[#This Row],[Customer ID]],Table2[#All],2,FALSE)</f>
        <v>31.57</v>
      </c>
      <c r="D855">
        <f>VLOOKUP(Table2[[#This Row],[Customer ID]],Table2[#All],3,FALSE)</f>
        <v>7.92</v>
      </c>
      <c r="E855" t="str">
        <f>VLOOKUP(Table2[[#This Row],[Customer ID]],Table2[#All],4,FALSE)</f>
        <v>Yes</v>
      </c>
      <c r="F855" t="str">
        <f>VLOOKUP(Table2[[#This Row],[Customer ID]],Table2[#All],5,FALSE)</f>
        <v>No</v>
      </c>
      <c r="G855" t="str">
        <f>VLOOKUP(Table2[[#This Row],[Customer ID]],Table2[#All],6,FALSE)</f>
        <v>No</v>
      </c>
      <c r="H855">
        <f>VLOOKUP(Table2[[#This Row],[Customer ID]],Table2[#All],7,FALSE)</f>
        <v>2</v>
      </c>
      <c r="I855" t="str">
        <f>VLOOKUP(Table2[[#This Row],[Customer ID]],Table2[#All],8,FALSE)</f>
        <v>No</v>
      </c>
      <c r="J855" t="str">
        <f>VLOOKUP(Table2[[#This Row],[Customer ID]],Table2[#All],9,FALSE)</f>
        <v>Obesity</v>
      </c>
      <c r="K855" t="str">
        <f>VLOOKUP(Table2[[#This Row],[Customer ID]],Table2[#All],10,FALSE)</f>
        <v>Diabetes</v>
      </c>
    </row>
    <row r="856" spans="1:11" ht="15.6" x14ac:dyDescent="0.3">
      <c r="A856" s="1" t="s">
        <v>1516</v>
      </c>
      <c r="B856" t="str">
        <f>VLOOKUP('Customer Names'!A856,'Customer Names'!$A$1:$E$2336,4,FALSE)</f>
        <v>Mr.  Jeremy</v>
      </c>
      <c r="C856">
        <f>VLOOKUP(Table2[[#This Row],[Customer ID]],Table2[#All],2,FALSE)</f>
        <v>24.32</v>
      </c>
      <c r="D856">
        <f>VLOOKUP(Table2[[#This Row],[Customer ID]],Table2[#All],3,FALSE)</f>
        <v>7.48</v>
      </c>
      <c r="E856" t="str">
        <f>VLOOKUP(Table2[[#This Row],[Customer ID]],Table2[#All],4,FALSE)</f>
        <v>No</v>
      </c>
      <c r="F856" t="str">
        <f>VLOOKUP(Table2[[#This Row],[Customer ID]],Table2[#All],5,FALSE)</f>
        <v>No</v>
      </c>
      <c r="G856" t="str">
        <f>VLOOKUP(Table2[[#This Row],[Customer ID]],Table2[#All],6,FALSE)</f>
        <v>No</v>
      </c>
      <c r="H856">
        <f>VLOOKUP(Table2[[#This Row],[Customer ID]],Table2[#All],7,FALSE)</f>
        <v>0</v>
      </c>
      <c r="I856" t="str">
        <f>VLOOKUP(Table2[[#This Row],[Customer ID]],Table2[#All],8,FALSE)</f>
        <v>No</v>
      </c>
      <c r="J856" t="str">
        <f>VLOOKUP(Table2[[#This Row],[Customer ID]],Table2[#All],9,FALSE)</f>
        <v>Normalweight</v>
      </c>
      <c r="K856" t="str">
        <f>VLOOKUP(Table2[[#This Row],[Customer ID]],Table2[#All],10,FALSE)</f>
        <v>Diabetes</v>
      </c>
    </row>
    <row r="857" spans="1:11" ht="15.6" x14ac:dyDescent="0.3">
      <c r="A857" s="1" t="s">
        <v>1515</v>
      </c>
      <c r="B857" t="str">
        <f>VLOOKUP('Customer Names'!A857,'Customer Names'!$A$1:$E$2336,4,FALSE)</f>
        <v>Mr.  Patrick Sr.</v>
      </c>
      <c r="C857">
        <f>VLOOKUP(Table2[[#This Row],[Customer ID]],Table2[#All],2,FALSE)</f>
        <v>31.07</v>
      </c>
      <c r="D857">
        <f>VLOOKUP(Table2[[#This Row],[Customer ID]],Table2[#All],3,FALSE)</f>
        <v>4.62</v>
      </c>
      <c r="E857" t="str">
        <f>VLOOKUP(Table2[[#This Row],[Customer ID]],Table2[#All],4,FALSE)</f>
        <v>Yes</v>
      </c>
      <c r="F857" t="str">
        <f>VLOOKUP(Table2[[#This Row],[Customer ID]],Table2[#All],5,FALSE)</f>
        <v>No</v>
      </c>
      <c r="G857" t="str">
        <f>VLOOKUP(Table2[[#This Row],[Customer ID]],Table2[#All],6,FALSE)</f>
        <v>No</v>
      </c>
      <c r="H857">
        <f>VLOOKUP(Table2[[#This Row],[Customer ID]],Table2[#All],7,FALSE)</f>
        <v>2</v>
      </c>
      <c r="I857" t="str">
        <f>VLOOKUP(Table2[[#This Row],[Customer ID]],Table2[#All],8,FALSE)</f>
        <v>No</v>
      </c>
      <c r="J857" t="str">
        <f>VLOOKUP(Table2[[#This Row],[Customer ID]],Table2[#All],9,FALSE)</f>
        <v>Obesity</v>
      </c>
      <c r="K857" t="str">
        <f>VLOOKUP(Table2[[#This Row],[Customer ID]],Table2[#All],10,FALSE)</f>
        <v>Normal</v>
      </c>
    </row>
    <row r="858" spans="1:11" ht="15.6" x14ac:dyDescent="0.3">
      <c r="A858" s="1" t="s">
        <v>1514</v>
      </c>
      <c r="B858" t="str">
        <f>VLOOKUP('Customer Names'!A858,'Customer Names'!$A$1:$E$2336,4,FALSE)</f>
        <v>Ms.  Kelly M.</v>
      </c>
      <c r="C858">
        <f>VLOOKUP(Table2[[#This Row],[Customer ID]],Table2[#All],2,FALSE)</f>
        <v>35.814999999999998</v>
      </c>
      <c r="D858">
        <f>VLOOKUP(Table2[[#This Row],[Customer ID]],Table2[#All],3,FALSE)</f>
        <v>8.4700000000000006</v>
      </c>
      <c r="E858" t="str">
        <f>VLOOKUP(Table2[[#This Row],[Customer ID]],Table2[#All],4,FALSE)</f>
        <v>No</v>
      </c>
      <c r="F858" t="str">
        <f>VLOOKUP(Table2[[#This Row],[Customer ID]],Table2[#All],5,FALSE)</f>
        <v>No</v>
      </c>
      <c r="G858" t="str">
        <f>VLOOKUP(Table2[[#This Row],[Customer ID]],Table2[#All],6,FALSE)</f>
        <v>No</v>
      </c>
      <c r="H858">
        <f>VLOOKUP(Table2[[#This Row],[Customer ID]],Table2[#All],7,FALSE)</f>
        <v>0</v>
      </c>
      <c r="I858" t="str">
        <f>VLOOKUP(Table2[[#This Row],[Customer ID]],Table2[#All],8,FALSE)</f>
        <v>No</v>
      </c>
      <c r="J858" t="str">
        <f>VLOOKUP(Table2[[#This Row],[Customer ID]],Table2[#All],9,FALSE)</f>
        <v>Obesity</v>
      </c>
      <c r="K858" t="str">
        <f>VLOOKUP(Table2[[#This Row],[Customer ID]],Table2[#All],10,FALSE)</f>
        <v>Diabetes</v>
      </c>
    </row>
    <row r="859" spans="1:11" ht="15.6" x14ac:dyDescent="0.3">
      <c r="A859" s="1" t="s">
        <v>1513</v>
      </c>
      <c r="B859" t="str">
        <f>VLOOKUP('Customer Names'!A859,'Customer Names'!$A$1:$E$2336,4,FALSE)</f>
        <v>Ms.  Katherine</v>
      </c>
      <c r="C859">
        <f>VLOOKUP(Table2[[#This Row],[Customer ID]],Table2[#All],2,FALSE)</f>
        <v>40.81</v>
      </c>
      <c r="D859">
        <f>VLOOKUP(Table2[[#This Row],[Customer ID]],Table2[#All],3,FALSE)</f>
        <v>10.58</v>
      </c>
      <c r="E859" t="str">
        <f>VLOOKUP(Table2[[#This Row],[Customer ID]],Table2[#All],4,FALSE)</f>
        <v>Yes</v>
      </c>
      <c r="F859" t="str">
        <f>VLOOKUP(Table2[[#This Row],[Customer ID]],Table2[#All],5,FALSE)</f>
        <v>No</v>
      </c>
      <c r="G859" t="str">
        <f>VLOOKUP(Table2[[#This Row],[Customer ID]],Table2[#All],6,FALSE)</f>
        <v>No</v>
      </c>
      <c r="H859">
        <f>VLOOKUP(Table2[[#This Row],[Customer ID]],Table2[#All],7,FALSE)</f>
        <v>0</v>
      </c>
      <c r="I859" t="str">
        <f>VLOOKUP(Table2[[#This Row],[Customer ID]],Table2[#All],8,FALSE)</f>
        <v>No</v>
      </c>
      <c r="J859" t="str">
        <f>VLOOKUP(Table2[[#This Row],[Customer ID]],Table2[#All],9,FALSE)</f>
        <v>Obesity</v>
      </c>
      <c r="K859" t="str">
        <f>VLOOKUP(Table2[[#This Row],[Customer ID]],Table2[#All],10,FALSE)</f>
        <v>Diabetes</v>
      </c>
    </row>
    <row r="860" spans="1:11" ht="15.6" x14ac:dyDescent="0.3">
      <c r="A860" s="1" t="s">
        <v>1512</v>
      </c>
      <c r="B860" t="str">
        <f>VLOOKUP('Customer Names'!A860,'Customer Names'!$A$1:$E$2336,4,FALSE)</f>
        <v>Ms.  Keila L</v>
      </c>
      <c r="C860">
        <f>VLOOKUP(Table2[[#This Row],[Customer ID]],Table2[#All],2,FALSE)</f>
        <v>24.605</v>
      </c>
      <c r="D860">
        <f>VLOOKUP(Table2[[#This Row],[Customer ID]],Table2[#All],3,FALSE)</f>
        <v>7.48</v>
      </c>
      <c r="E860" t="str">
        <f>VLOOKUP(Table2[[#This Row],[Customer ID]],Table2[#All],4,FALSE)</f>
        <v>No</v>
      </c>
      <c r="F860" t="str">
        <f>VLOOKUP(Table2[[#This Row],[Customer ID]],Table2[#All],5,FALSE)</f>
        <v>No</v>
      </c>
      <c r="G860" t="str">
        <f>VLOOKUP(Table2[[#This Row],[Customer ID]],Table2[#All],6,FALSE)</f>
        <v>No</v>
      </c>
      <c r="H860">
        <f>VLOOKUP(Table2[[#This Row],[Customer ID]],Table2[#All],7,FALSE)</f>
        <v>0</v>
      </c>
      <c r="I860" t="str">
        <f>VLOOKUP(Table2[[#This Row],[Customer ID]],Table2[#All],8,FALSE)</f>
        <v>No</v>
      </c>
      <c r="J860" t="str">
        <f>VLOOKUP(Table2[[#This Row],[Customer ID]],Table2[#All],9,FALSE)</f>
        <v>Normalweight</v>
      </c>
      <c r="K860" t="str">
        <f>VLOOKUP(Table2[[#This Row],[Customer ID]],Table2[#All],10,FALSE)</f>
        <v>Diabetes</v>
      </c>
    </row>
    <row r="861" spans="1:11" ht="15.6" x14ac:dyDescent="0.3">
      <c r="A861" s="1" t="s">
        <v>1511</v>
      </c>
      <c r="B861" t="str">
        <f>VLOOKUP('Customer Names'!A861,'Customer Names'!$A$1:$E$2336,4,FALSE)</f>
        <v>Ms.  Zanae E</v>
      </c>
      <c r="C861">
        <f>VLOOKUP(Table2[[#This Row],[Customer ID]],Table2[#All],2,FALSE)</f>
        <v>21.47</v>
      </c>
      <c r="D861">
        <f>VLOOKUP(Table2[[#This Row],[Customer ID]],Table2[#All],3,FALSE)</f>
        <v>7.82</v>
      </c>
      <c r="E861" t="str">
        <f>VLOOKUP(Table2[[#This Row],[Customer ID]],Table2[#All],4,FALSE)</f>
        <v>No</v>
      </c>
      <c r="F861" t="str">
        <f>VLOOKUP(Table2[[#This Row],[Customer ID]],Table2[#All],5,FALSE)</f>
        <v>No</v>
      </c>
      <c r="G861" t="str">
        <f>VLOOKUP(Table2[[#This Row],[Customer ID]],Table2[#All],6,FALSE)</f>
        <v>No</v>
      </c>
      <c r="H861">
        <f>VLOOKUP(Table2[[#This Row],[Customer ID]],Table2[#All],7,FALSE)</f>
        <v>0</v>
      </c>
      <c r="I861" t="str">
        <f>VLOOKUP(Table2[[#This Row],[Customer ID]],Table2[#All],8,FALSE)</f>
        <v>No</v>
      </c>
      <c r="J861" t="str">
        <f>VLOOKUP(Table2[[#This Row],[Customer ID]],Table2[#All],9,FALSE)</f>
        <v>Normalweight</v>
      </c>
      <c r="K861" t="str">
        <f>VLOOKUP(Table2[[#This Row],[Customer ID]],Table2[#All],10,FALSE)</f>
        <v>Diabetes</v>
      </c>
    </row>
    <row r="862" spans="1:11" ht="15.6" x14ac:dyDescent="0.3">
      <c r="A862" s="1" t="s">
        <v>1510</v>
      </c>
      <c r="B862" t="str">
        <f>VLOOKUP('Customer Names'!A862,'Customer Names'!$A$1:$E$2336,4,FALSE)</f>
        <v>Mr.  Alex</v>
      </c>
      <c r="C862">
        <f>VLOOKUP(Table2[[#This Row],[Customer ID]],Table2[#All],2,FALSE)</f>
        <v>52.89</v>
      </c>
      <c r="D862">
        <f>VLOOKUP(Table2[[#This Row],[Customer ID]],Table2[#All],3,FALSE)</f>
        <v>4.96</v>
      </c>
      <c r="E862" t="str">
        <f>VLOOKUP(Table2[[#This Row],[Customer ID]],Table2[#All],4,FALSE)</f>
        <v>Yes</v>
      </c>
      <c r="F862" t="str">
        <f>VLOOKUP(Table2[[#This Row],[Customer ID]],Table2[#All],5,FALSE)</f>
        <v>No</v>
      </c>
      <c r="G862" t="str">
        <f>VLOOKUP(Table2[[#This Row],[Customer ID]],Table2[#All],6,FALSE)</f>
        <v>No</v>
      </c>
      <c r="H862">
        <f>VLOOKUP(Table2[[#This Row],[Customer ID]],Table2[#All],7,FALSE)</f>
        <v>1</v>
      </c>
      <c r="I862" t="str">
        <f>VLOOKUP(Table2[[#This Row],[Customer ID]],Table2[#All],8,FALSE)</f>
        <v>No</v>
      </c>
      <c r="J862" t="str">
        <f>VLOOKUP(Table2[[#This Row],[Customer ID]],Table2[#All],9,FALSE)</f>
        <v>Obesity</v>
      </c>
      <c r="K862" t="str">
        <f>VLOOKUP(Table2[[#This Row],[Customer ID]],Table2[#All],10,FALSE)</f>
        <v>Normal</v>
      </c>
    </row>
    <row r="863" spans="1:11" ht="15.6" x14ac:dyDescent="0.3">
      <c r="A863" s="1" t="s">
        <v>1509</v>
      </c>
      <c r="B863" t="str">
        <f>VLOOKUP('Customer Names'!A863,'Customer Names'!$A$1:$E$2336,4,FALSE)</f>
        <v>Ms.  Kathryn</v>
      </c>
      <c r="C863">
        <f>VLOOKUP(Table2[[#This Row],[Customer ID]],Table2[#All],2,FALSE)</f>
        <v>32.965000000000003</v>
      </c>
      <c r="D863">
        <f>VLOOKUP(Table2[[#This Row],[Customer ID]],Table2[#All],3,FALSE)</f>
        <v>6.15</v>
      </c>
      <c r="E863" t="str">
        <f>VLOOKUP(Table2[[#This Row],[Customer ID]],Table2[#All],4,FALSE)</f>
        <v>Yes</v>
      </c>
      <c r="F863" t="str">
        <f>VLOOKUP(Table2[[#This Row],[Customer ID]],Table2[#All],5,FALSE)</f>
        <v>No</v>
      </c>
      <c r="G863" t="str">
        <f>VLOOKUP(Table2[[#This Row],[Customer ID]],Table2[#All],6,FALSE)</f>
        <v>No</v>
      </c>
      <c r="H863">
        <f>VLOOKUP(Table2[[#This Row],[Customer ID]],Table2[#All],7,FALSE)</f>
        <v>1</v>
      </c>
      <c r="I863" t="str">
        <f>VLOOKUP(Table2[[#This Row],[Customer ID]],Table2[#All],8,FALSE)</f>
        <v>No</v>
      </c>
      <c r="J863" t="str">
        <f>VLOOKUP(Table2[[#This Row],[Customer ID]],Table2[#All],9,FALSE)</f>
        <v>Obesity</v>
      </c>
      <c r="K863" t="str">
        <f>VLOOKUP(Table2[[#This Row],[Customer ID]],Table2[#All],10,FALSE)</f>
        <v>Prediabetes</v>
      </c>
    </row>
    <row r="864" spans="1:11" ht="15.6" x14ac:dyDescent="0.3">
      <c r="A864" s="1" t="s">
        <v>1508</v>
      </c>
      <c r="B864" t="str">
        <f>VLOOKUP('Customer Names'!A864,'Customer Names'!$A$1:$E$2336,4,FALSE)</f>
        <v>Mr.  Jason L.</v>
      </c>
      <c r="C864">
        <f>VLOOKUP(Table2[[#This Row],[Customer ID]],Table2[#All],2,FALSE)</f>
        <v>36.799999999999997</v>
      </c>
      <c r="D864">
        <f>VLOOKUP(Table2[[#This Row],[Customer ID]],Table2[#All],3,FALSE)</f>
        <v>4.62</v>
      </c>
      <c r="E864" t="str">
        <f>VLOOKUP(Table2[[#This Row],[Customer ID]],Table2[#All],4,FALSE)</f>
        <v>No</v>
      </c>
      <c r="F864" t="str">
        <f>VLOOKUP(Table2[[#This Row],[Customer ID]],Table2[#All],5,FALSE)</f>
        <v>No</v>
      </c>
      <c r="G864" t="str">
        <f>VLOOKUP(Table2[[#This Row],[Customer ID]],Table2[#All],6,FALSE)</f>
        <v>Yes</v>
      </c>
      <c r="H864">
        <f>VLOOKUP(Table2[[#This Row],[Customer ID]],Table2[#All],7,FALSE)</f>
        <v>1</v>
      </c>
      <c r="I864" t="str">
        <f>VLOOKUP(Table2[[#This Row],[Customer ID]],Table2[#All],8,FALSE)</f>
        <v>No</v>
      </c>
      <c r="J864" t="str">
        <f>VLOOKUP(Table2[[#This Row],[Customer ID]],Table2[#All],9,FALSE)</f>
        <v>Obesity</v>
      </c>
      <c r="K864" t="str">
        <f>VLOOKUP(Table2[[#This Row],[Customer ID]],Table2[#All],10,FALSE)</f>
        <v>Normal</v>
      </c>
    </row>
    <row r="865" spans="1:11" ht="15.6" x14ac:dyDescent="0.3">
      <c r="A865" s="1" t="s">
        <v>1507</v>
      </c>
      <c r="B865" t="str">
        <f>VLOOKUP('Customer Names'!A865,'Customer Names'!$A$1:$E$2336,4,FALSE)</f>
        <v>Mr.  Benjamin J.</v>
      </c>
      <c r="C865">
        <f>VLOOKUP(Table2[[#This Row],[Customer ID]],Table2[#All],2,FALSE)</f>
        <v>34.299999999999997</v>
      </c>
      <c r="D865">
        <f>VLOOKUP(Table2[[#This Row],[Customer ID]],Table2[#All],3,FALSE)</f>
        <v>4.87</v>
      </c>
      <c r="E865" t="str">
        <f>VLOOKUP(Table2[[#This Row],[Customer ID]],Table2[#All],4,FALSE)</f>
        <v>No</v>
      </c>
      <c r="F865" t="str">
        <f>VLOOKUP(Table2[[#This Row],[Customer ID]],Table2[#All],5,FALSE)</f>
        <v>No</v>
      </c>
      <c r="G865" t="str">
        <f>VLOOKUP(Table2[[#This Row],[Customer ID]],Table2[#All],6,FALSE)</f>
        <v>No</v>
      </c>
      <c r="H865">
        <f>VLOOKUP(Table2[[#This Row],[Customer ID]],Table2[#All],7,FALSE)</f>
        <v>2</v>
      </c>
      <c r="I865" t="str">
        <f>VLOOKUP(Table2[[#This Row],[Customer ID]],Table2[#All],8,FALSE)</f>
        <v>No</v>
      </c>
      <c r="J865" t="str">
        <f>VLOOKUP(Table2[[#This Row],[Customer ID]],Table2[#All],9,FALSE)</f>
        <v>Obesity</v>
      </c>
      <c r="K865" t="str">
        <f>VLOOKUP(Table2[[#This Row],[Customer ID]],Table2[#All],10,FALSE)</f>
        <v>Normal</v>
      </c>
    </row>
    <row r="866" spans="1:11" ht="15.6" x14ac:dyDescent="0.3">
      <c r="A866" s="1" t="s">
        <v>1506</v>
      </c>
      <c r="B866" t="str">
        <f>VLOOKUP('Customer Names'!A866,'Customer Names'!$A$1:$E$2336,4,FALSE)</f>
        <v>Mr.  Steven M.</v>
      </c>
      <c r="C866">
        <f>VLOOKUP(Table2[[#This Row],[Customer ID]],Table2[#All],2,FALSE)</f>
        <v>35.244999999999997</v>
      </c>
      <c r="D866">
        <f>VLOOKUP(Table2[[#This Row],[Customer ID]],Table2[#All],3,FALSE)</f>
        <v>4.63</v>
      </c>
      <c r="E866" t="str">
        <f>VLOOKUP(Table2[[#This Row],[Customer ID]],Table2[#All],4,FALSE)</f>
        <v>No</v>
      </c>
      <c r="F866" t="str">
        <f>VLOOKUP(Table2[[#This Row],[Customer ID]],Table2[#All],5,FALSE)</f>
        <v>No</v>
      </c>
      <c r="G866" t="str">
        <f>VLOOKUP(Table2[[#This Row],[Customer ID]],Table2[#All],6,FALSE)</f>
        <v>No</v>
      </c>
      <c r="H866">
        <f>VLOOKUP(Table2[[#This Row],[Customer ID]],Table2[#All],7,FALSE)</f>
        <v>0</v>
      </c>
      <c r="I866" t="str">
        <f>VLOOKUP(Table2[[#This Row],[Customer ID]],Table2[#All],8,FALSE)</f>
        <v>No</v>
      </c>
      <c r="J866" t="str">
        <f>VLOOKUP(Table2[[#This Row],[Customer ID]],Table2[#All],9,FALSE)</f>
        <v>Obesity</v>
      </c>
      <c r="K866" t="str">
        <f>VLOOKUP(Table2[[#This Row],[Customer ID]],Table2[#All],10,FALSE)</f>
        <v>Normal</v>
      </c>
    </row>
    <row r="867" spans="1:11" ht="15.6" x14ac:dyDescent="0.3">
      <c r="A867" s="1" t="s">
        <v>1505</v>
      </c>
      <c r="B867" t="str">
        <f>VLOOKUP('Customer Names'!A867,'Customer Names'!$A$1:$E$2336,4,FALSE)</f>
        <v>Mrs.  Erika</v>
      </c>
      <c r="C867">
        <f>VLOOKUP(Table2[[#This Row],[Customer ID]],Table2[#All],2,FALSE)</f>
        <v>26.23</v>
      </c>
      <c r="D867">
        <f>VLOOKUP(Table2[[#This Row],[Customer ID]],Table2[#All],3,FALSE)</f>
        <v>11.93</v>
      </c>
      <c r="E867" t="str">
        <f>VLOOKUP(Table2[[#This Row],[Customer ID]],Table2[#All],4,FALSE)</f>
        <v>No</v>
      </c>
      <c r="F867" t="str">
        <f>VLOOKUP(Table2[[#This Row],[Customer ID]],Table2[#All],5,FALSE)</f>
        <v>No</v>
      </c>
      <c r="G867" t="str">
        <f>VLOOKUP(Table2[[#This Row],[Customer ID]],Table2[#All],6,FALSE)</f>
        <v>No</v>
      </c>
      <c r="H867">
        <f>VLOOKUP(Table2[[#This Row],[Customer ID]],Table2[#All],7,FALSE)</f>
        <v>0</v>
      </c>
      <c r="I867" t="str">
        <f>VLOOKUP(Table2[[#This Row],[Customer ID]],Table2[#All],8,FALSE)</f>
        <v>No</v>
      </c>
      <c r="J867" t="str">
        <f>VLOOKUP(Table2[[#This Row],[Customer ID]],Table2[#All],9,FALSE)</f>
        <v>Overweight</v>
      </c>
      <c r="K867" t="str">
        <f>VLOOKUP(Table2[[#This Row],[Customer ID]],Table2[#All],10,FALSE)</f>
        <v>Diabetes</v>
      </c>
    </row>
    <row r="868" spans="1:11" ht="15.6" x14ac:dyDescent="0.3">
      <c r="A868" s="1" t="s">
        <v>1504</v>
      </c>
      <c r="B868" t="str">
        <f>VLOOKUP('Customer Names'!A868,'Customer Names'!$A$1:$E$2336,4,FALSE)</f>
        <v>Mr.  Chad</v>
      </c>
      <c r="C868">
        <f>VLOOKUP(Table2[[#This Row],[Customer ID]],Table2[#All],2,FALSE)</f>
        <v>36.1</v>
      </c>
      <c r="D868">
        <f>VLOOKUP(Table2[[#This Row],[Customer ID]],Table2[#All],3,FALSE)</f>
        <v>5.65</v>
      </c>
      <c r="E868" t="str">
        <f>VLOOKUP(Table2[[#This Row],[Customer ID]],Table2[#All],4,FALSE)</f>
        <v>Yes</v>
      </c>
      <c r="F868" t="str">
        <f>VLOOKUP(Table2[[#This Row],[Customer ID]],Table2[#All],5,FALSE)</f>
        <v>No</v>
      </c>
      <c r="G868" t="str">
        <f>VLOOKUP(Table2[[#This Row],[Customer ID]],Table2[#All],6,FALSE)</f>
        <v>No</v>
      </c>
      <c r="H868">
        <f>VLOOKUP(Table2[[#This Row],[Customer ID]],Table2[#All],7,FALSE)</f>
        <v>2</v>
      </c>
      <c r="I868" t="str">
        <f>VLOOKUP(Table2[[#This Row],[Customer ID]],Table2[#All],8,FALSE)</f>
        <v>No</v>
      </c>
      <c r="J868" t="str">
        <f>VLOOKUP(Table2[[#This Row],[Customer ID]],Table2[#All],9,FALSE)</f>
        <v>Obesity</v>
      </c>
      <c r="K868" t="str">
        <f>VLOOKUP(Table2[[#This Row],[Customer ID]],Table2[#All],10,FALSE)</f>
        <v>Normal</v>
      </c>
    </row>
    <row r="869" spans="1:11" ht="15.6" x14ac:dyDescent="0.3">
      <c r="A869" s="1" t="s">
        <v>1503</v>
      </c>
      <c r="B869" t="str">
        <f>VLOOKUP('Customer Names'!A869,'Customer Names'!$A$1:$E$2336,4,FALSE)</f>
        <v>Mr.  Mark</v>
      </c>
      <c r="C869">
        <f>VLOOKUP(Table2[[#This Row],[Customer ID]],Table2[#All],2,FALSE)</f>
        <v>37.1</v>
      </c>
      <c r="D869">
        <f>VLOOKUP(Table2[[#This Row],[Customer ID]],Table2[#All],3,FALSE)</f>
        <v>11.21</v>
      </c>
      <c r="E869" t="str">
        <f>VLOOKUP(Table2[[#This Row],[Customer ID]],Table2[#All],4,FALSE)</f>
        <v>Yes</v>
      </c>
      <c r="F869" t="str">
        <f>VLOOKUP(Table2[[#This Row],[Customer ID]],Table2[#All],5,FALSE)</f>
        <v>No</v>
      </c>
      <c r="G869" t="str">
        <f>VLOOKUP(Table2[[#This Row],[Customer ID]],Table2[#All],6,FALSE)</f>
        <v>Yes</v>
      </c>
      <c r="H869">
        <f>VLOOKUP(Table2[[#This Row],[Customer ID]],Table2[#All],7,FALSE)</f>
        <v>1</v>
      </c>
      <c r="I869" t="str">
        <f>VLOOKUP(Table2[[#This Row],[Customer ID]],Table2[#All],8,FALSE)</f>
        <v>No</v>
      </c>
      <c r="J869" t="str">
        <f>VLOOKUP(Table2[[#This Row],[Customer ID]],Table2[#All],9,FALSE)</f>
        <v>Obesity</v>
      </c>
      <c r="K869" t="str">
        <f>VLOOKUP(Table2[[#This Row],[Customer ID]],Table2[#All],10,FALSE)</f>
        <v>Diabetes</v>
      </c>
    </row>
    <row r="870" spans="1:11" ht="15.6" x14ac:dyDescent="0.3">
      <c r="A870" s="1" t="s">
        <v>1502</v>
      </c>
      <c r="B870" t="str">
        <f>VLOOKUP('Customer Names'!A870,'Customer Names'!$A$1:$E$2336,4,FALSE)</f>
        <v>Mr.  David</v>
      </c>
      <c r="C870">
        <f>VLOOKUP(Table2[[#This Row],[Customer ID]],Table2[#All],2,FALSE)</f>
        <v>27.5</v>
      </c>
      <c r="D870">
        <f>VLOOKUP(Table2[[#This Row],[Customer ID]],Table2[#All],3,FALSE)</f>
        <v>10.62</v>
      </c>
      <c r="E870" t="str">
        <f>VLOOKUP(Table2[[#This Row],[Customer ID]],Table2[#All],4,FALSE)</f>
        <v>Yes</v>
      </c>
      <c r="F870" t="str">
        <f>VLOOKUP(Table2[[#This Row],[Customer ID]],Table2[#All],5,FALSE)</f>
        <v>No</v>
      </c>
      <c r="G870" t="str">
        <f>VLOOKUP(Table2[[#This Row],[Customer ID]],Table2[#All],6,FALSE)</f>
        <v>Yes</v>
      </c>
      <c r="H870">
        <f>VLOOKUP(Table2[[#This Row],[Customer ID]],Table2[#All],7,FALSE)</f>
        <v>1</v>
      </c>
      <c r="I870" t="str">
        <f>VLOOKUP(Table2[[#This Row],[Customer ID]],Table2[#All],8,FALSE)</f>
        <v>No</v>
      </c>
      <c r="J870" t="str">
        <f>VLOOKUP(Table2[[#This Row],[Customer ID]],Table2[#All],9,FALSE)</f>
        <v>Overweight</v>
      </c>
      <c r="K870" t="str">
        <f>VLOOKUP(Table2[[#This Row],[Customer ID]],Table2[#All],10,FALSE)</f>
        <v>Diabetes</v>
      </c>
    </row>
    <row r="871" spans="1:11" ht="15.6" x14ac:dyDescent="0.3">
      <c r="A871" s="1" t="s">
        <v>1501</v>
      </c>
      <c r="B871" t="str">
        <f>VLOOKUP('Customer Names'!A871,'Customer Names'!$A$1:$E$2336,4,FALSE)</f>
        <v>Mr.  Matthew R</v>
      </c>
      <c r="C871">
        <f>VLOOKUP(Table2[[#This Row],[Customer ID]],Table2[#All],2,FALSE)</f>
        <v>24.7</v>
      </c>
      <c r="D871">
        <f>VLOOKUP(Table2[[#This Row],[Customer ID]],Table2[#All],3,FALSE)</f>
        <v>10.7</v>
      </c>
      <c r="E871" t="str">
        <f>VLOOKUP(Table2[[#This Row],[Customer ID]],Table2[#All],4,FALSE)</f>
        <v>Yes</v>
      </c>
      <c r="F871" t="str">
        <f>VLOOKUP(Table2[[#This Row],[Customer ID]],Table2[#All],5,FALSE)</f>
        <v>No</v>
      </c>
      <c r="G871" t="str">
        <f>VLOOKUP(Table2[[#This Row],[Customer ID]],Table2[#All],6,FALSE)</f>
        <v>Yes</v>
      </c>
      <c r="H871">
        <f>VLOOKUP(Table2[[#This Row],[Customer ID]],Table2[#All],7,FALSE)</f>
        <v>1</v>
      </c>
      <c r="I871" t="str">
        <f>VLOOKUP(Table2[[#This Row],[Customer ID]],Table2[#All],8,FALSE)</f>
        <v>No</v>
      </c>
      <c r="J871" t="str">
        <f>VLOOKUP(Table2[[#This Row],[Customer ID]],Table2[#All],9,FALSE)</f>
        <v>Normalweight</v>
      </c>
      <c r="K871" t="str">
        <f>VLOOKUP(Table2[[#This Row],[Customer ID]],Table2[#All],10,FALSE)</f>
        <v>Diabetes</v>
      </c>
    </row>
    <row r="872" spans="1:11" ht="15.6" x14ac:dyDescent="0.3">
      <c r="A872" s="1" t="s">
        <v>1500</v>
      </c>
      <c r="B872" t="str">
        <f>VLOOKUP('Customer Names'!A872,'Customer Names'!$A$1:$E$2336,4,FALSE)</f>
        <v>Mrs.  Orla</v>
      </c>
      <c r="C872">
        <f>VLOOKUP(Table2[[#This Row],[Customer ID]],Table2[#All],2,FALSE)</f>
        <v>26.78</v>
      </c>
      <c r="D872">
        <f>VLOOKUP(Table2[[#This Row],[Customer ID]],Table2[#All],3,FALSE)</f>
        <v>10.02</v>
      </c>
      <c r="E872" t="str">
        <f>VLOOKUP(Table2[[#This Row],[Customer ID]],Table2[#All],4,FALSE)</f>
        <v>Yes</v>
      </c>
      <c r="F872" t="str">
        <f>VLOOKUP(Table2[[#This Row],[Customer ID]],Table2[#All],5,FALSE)</f>
        <v>No</v>
      </c>
      <c r="G872" t="str">
        <f>VLOOKUP(Table2[[#This Row],[Customer ID]],Table2[#All],6,FALSE)</f>
        <v>Yes</v>
      </c>
      <c r="H872">
        <f>VLOOKUP(Table2[[#This Row],[Customer ID]],Table2[#All],7,FALSE)</f>
        <v>1</v>
      </c>
      <c r="I872" t="str">
        <f>VLOOKUP(Table2[[#This Row],[Customer ID]],Table2[#All],8,FALSE)</f>
        <v>No</v>
      </c>
      <c r="J872" t="str">
        <f>VLOOKUP(Table2[[#This Row],[Customer ID]],Table2[#All],9,FALSE)</f>
        <v>Overweight</v>
      </c>
      <c r="K872" t="str">
        <f>VLOOKUP(Table2[[#This Row],[Customer ID]],Table2[#All],10,FALSE)</f>
        <v>Diabetes</v>
      </c>
    </row>
    <row r="873" spans="1:11" ht="15.6" x14ac:dyDescent="0.3">
      <c r="A873" s="1" t="s">
        <v>1499</v>
      </c>
      <c r="B873" t="str">
        <f>VLOOKUP('Customer Names'!A873,'Customer Names'!$A$1:$E$2336,4,FALSE)</f>
        <v>Ms.  Shaista S</v>
      </c>
      <c r="C873">
        <f>VLOOKUP(Table2[[#This Row],[Customer ID]],Table2[#All],2,FALSE)</f>
        <v>45.8</v>
      </c>
      <c r="D873">
        <f>VLOOKUP(Table2[[#This Row],[Customer ID]],Table2[#All],3,FALSE)</f>
        <v>4.8499999999999996</v>
      </c>
      <c r="E873" t="str">
        <f>VLOOKUP(Table2[[#This Row],[Customer ID]],Table2[#All],4,FALSE)</f>
        <v>No</v>
      </c>
      <c r="F873" t="str">
        <f>VLOOKUP(Table2[[#This Row],[Customer ID]],Table2[#All],5,FALSE)</f>
        <v>No</v>
      </c>
      <c r="G873" t="str">
        <f>VLOOKUP(Table2[[#This Row],[Customer ID]],Table2[#All],6,FALSE)</f>
        <v>No</v>
      </c>
      <c r="H873">
        <f>VLOOKUP(Table2[[#This Row],[Customer ID]],Table2[#All],7,FALSE)</f>
        <v>0</v>
      </c>
      <c r="I873" t="str">
        <f>VLOOKUP(Table2[[#This Row],[Customer ID]],Table2[#All],8,FALSE)</f>
        <v>No</v>
      </c>
      <c r="J873" t="str">
        <f>VLOOKUP(Table2[[#This Row],[Customer ID]],Table2[#All],9,FALSE)</f>
        <v>Obesity</v>
      </c>
      <c r="K873" t="str">
        <f>VLOOKUP(Table2[[#This Row],[Customer ID]],Table2[#All],10,FALSE)</f>
        <v>Normal</v>
      </c>
    </row>
    <row r="874" spans="1:11" ht="15.6" x14ac:dyDescent="0.3">
      <c r="A874" s="1" t="s">
        <v>1498</v>
      </c>
      <c r="B874" t="str">
        <f>VLOOKUP('Customer Names'!A874,'Customer Names'!$A$1:$E$2336,4,FALSE)</f>
        <v>Mrs.  Emily</v>
      </c>
      <c r="C874">
        <f>VLOOKUP(Table2[[#This Row],[Customer ID]],Table2[#All],2,FALSE)</f>
        <v>29</v>
      </c>
      <c r="D874">
        <f>VLOOKUP(Table2[[#This Row],[Customer ID]],Table2[#All],3,FALSE)</f>
        <v>4.3899999999999997</v>
      </c>
      <c r="E874" t="str">
        <f>VLOOKUP(Table2[[#This Row],[Customer ID]],Table2[#All],4,FALSE)</f>
        <v>Yes</v>
      </c>
      <c r="F874" t="str">
        <f>VLOOKUP(Table2[[#This Row],[Customer ID]],Table2[#All],5,FALSE)</f>
        <v>No</v>
      </c>
      <c r="G874" t="str">
        <f>VLOOKUP(Table2[[#This Row],[Customer ID]],Table2[#All],6,FALSE)</f>
        <v>No</v>
      </c>
      <c r="H874">
        <f>VLOOKUP(Table2[[#This Row],[Customer ID]],Table2[#All],7,FALSE)</f>
        <v>2</v>
      </c>
      <c r="I874" t="str">
        <f>VLOOKUP(Table2[[#This Row],[Customer ID]],Table2[#All],8,FALSE)</f>
        <v>No</v>
      </c>
      <c r="J874" t="str">
        <f>VLOOKUP(Table2[[#This Row],[Customer ID]],Table2[#All],9,FALSE)</f>
        <v>Overweight</v>
      </c>
      <c r="K874" t="str">
        <f>VLOOKUP(Table2[[#This Row],[Customer ID]],Table2[#All],10,FALSE)</f>
        <v>Normal</v>
      </c>
    </row>
    <row r="875" spans="1:11" ht="15.6" x14ac:dyDescent="0.3">
      <c r="A875" s="1" t="s">
        <v>1497</v>
      </c>
      <c r="B875" t="str">
        <f>VLOOKUP('Customer Names'!A875,'Customer Names'!$A$1:$E$2336,4,FALSE)</f>
        <v>Ms.  Julie A.</v>
      </c>
      <c r="C875">
        <f>VLOOKUP(Table2[[#This Row],[Customer ID]],Table2[#All],2,FALSE)</f>
        <v>33.534999999999997</v>
      </c>
      <c r="D875">
        <f>VLOOKUP(Table2[[#This Row],[Customer ID]],Table2[#All],3,FALSE)</f>
        <v>8.24</v>
      </c>
      <c r="E875" t="str">
        <f>VLOOKUP(Table2[[#This Row],[Customer ID]],Table2[#All],4,FALSE)</f>
        <v>Yes</v>
      </c>
      <c r="F875" t="str">
        <f>VLOOKUP(Table2[[#This Row],[Customer ID]],Table2[#All],5,FALSE)</f>
        <v>No</v>
      </c>
      <c r="G875" t="str">
        <f>VLOOKUP(Table2[[#This Row],[Customer ID]],Table2[#All],6,FALSE)</f>
        <v>No</v>
      </c>
      <c r="H875">
        <f>VLOOKUP(Table2[[#This Row],[Customer ID]],Table2[#All],7,FALSE)</f>
        <v>0</v>
      </c>
      <c r="I875" t="str">
        <f>VLOOKUP(Table2[[#This Row],[Customer ID]],Table2[#All],8,FALSE)</f>
        <v>No</v>
      </c>
      <c r="J875" t="str">
        <f>VLOOKUP(Table2[[#This Row],[Customer ID]],Table2[#All],9,FALSE)</f>
        <v>Obesity</v>
      </c>
      <c r="K875" t="str">
        <f>VLOOKUP(Table2[[#This Row],[Customer ID]],Table2[#All],10,FALSE)</f>
        <v>Diabetes</v>
      </c>
    </row>
    <row r="876" spans="1:11" ht="15.6" x14ac:dyDescent="0.3">
      <c r="A876" s="1" t="s">
        <v>1496</v>
      </c>
      <c r="B876" t="str">
        <f>VLOOKUP('Customer Names'!A876,'Customer Names'!$A$1:$E$2336,4,FALSE)</f>
        <v>Ms.  Megumi</v>
      </c>
      <c r="C876">
        <f>VLOOKUP(Table2[[#This Row],[Customer ID]],Table2[#All],2,FALSE)</f>
        <v>32.774999999999999</v>
      </c>
      <c r="D876">
        <f>VLOOKUP(Table2[[#This Row],[Customer ID]],Table2[#All],3,FALSE)</f>
        <v>9.77</v>
      </c>
      <c r="E876" t="str">
        <f>VLOOKUP(Table2[[#This Row],[Customer ID]],Table2[#All],4,FALSE)</f>
        <v>Yes</v>
      </c>
      <c r="F876" t="str">
        <f>VLOOKUP(Table2[[#This Row],[Customer ID]],Table2[#All],5,FALSE)</f>
        <v>No</v>
      </c>
      <c r="G876" t="str">
        <f>VLOOKUP(Table2[[#This Row],[Customer ID]],Table2[#All],6,FALSE)</f>
        <v>No</v>
      </c>
      <c r="H876">
        <f>VLOOKUP(Table2[[#This Row],[Customer ID]],Table2[#All],7,FALSE)</f>
        <v>0</v>
      </c>
      <c r="I876" t="str">
        <f>VLOOKUP(Table2[[#This Row],[Customer ID]],Table2[#All],8,FALSE)</f>
        <v>No</v>
      </c>
      <c r="J876" t="str">
        <f>VLOOKUP(Table2[[#This Row],[Customer ID]],Table2[#All],9,FALSE)</f>
        <v>Obesity</v>
      </c>
      <c r="K876" t="str">
        <f>VLOOKUP(Table2[[#This Row],[Customer ID]],Table2[#All],10,FALSE)</f>
        <v>Diabetes</v>
      </c>
    </row>
    <row r="877" spans="1:11" ht="15.6" x14ac:dyDescent="0.3">
      <c r="A877" s="1" t="s">
        <v>1495</v>
      </c>
      <c r="B877" t="str">
        <f>VLOOKUP('Customer Names'!A877,'Customer Names'!$A$1:$E$2336,4,FALSE)</f>
        <v>Ms.  Skylar</v>
      </c>
      <c r="C877">
        <f>VLOOKUP(Table2[[#This Row],[Customer ID]],Table2[#All],2,FALSE)</f>
        <v>37.51</v>
      </c>
      <c r="D877">
        <f>VLOOKUP(Table2[[#This Row],[Customer ID]],Table2[#All],3,FALSE)</f>
        <v>5.5</v>
      </c>
      <c r="E877" t="str">
        <f>VLOOKUP(Table2[[#This Row],[Customer ID]],Table2[#All],4,FALSE)</f>
        <v>Yes</v>
      </c>
      <c r="F877" t="str">
        <f>VLOOKUP(Table2[[#This Row],[Customer ID]],Table2[#All],5,FALSE)</f>
        <v>No</v>
      </c>
      <c r="G877" t="str">
        <f>VLOOKUP(Table2[[#This Row],[Customer ID]],Table2[#All],6,FALSE)</f>
        <v>No</v>
      </c>
      <c r="H877">
        <f>VLOOKUP(Table2[[#This Row],[Customer ID]],Table2[#All],7,FALSE)</f>
        <v>2</v>
      </c>
      <c r="I877" t="str">
        <f>VLOOKUP(Table2[[#This Row],[Customer ID]],Table2[#All],8,FALSE)</f>
        <v>No</v>
      </c>
      <c r="J877" t="str">
        <f>VLOOKUP(Table2[[#This Row],[Customer ID]],Table2[#All],9,FALSE)</f>
        <v>Obesity</v>
      </c>
      <c r="K877" t="str">
        <f>VLOOKUP(Table2[[#This Row],[Customer ID]],Table2[#All],10,FALSE)</f>
        <v>Normal</v>
      </c>
    </row>
    <row r="878" spans="1:11" ht="15.6" x14ac:dyDescent="0.3">
      <c r="A878" s="1" t="s">
        <v>1494</v>
      </c>
      <c r="B878" t="str">
        <f>VLOOKUP('Customer Names'!A878,'Customer Names'!$A$1:$E$2336,4,FALSE)</f>
        <v>Mrs.  Victoria</v>
      </c>
      <c r="C878">
        <f>VLOOKUP(Table2[[#This Row],[Customer ID]],Table2[#All],2,FALSE)</f>
        <v>39.86</v>
      </c>
      <c r="D878">
        <f>VLOOKUP(Table2[[#This Row],[Customer ID]],Table2[#All],3,FALSE)</f>
        <v>11.84</v>
      </c>
      <c r="E878" t="str">
        <f>VLOOKUP(Table2[[#This Row],[Customer ID]],Table2[#All],4,FALSE)</f>
        <v>Yes</v>
      </c>
      <c r="F878" t="str">
        <f>VLOOKUP(Table2[[#This Row],[Customer ID]],Table2[#All],5,FALSE)</f>
        <v>No</v>
      </c>
      <c r="G878" t="str">
        <f>VLOOKUP(Table2[[#This Row],[Customer ID]],Table2[#All],6,FALSE)</f>
        <v>No</v>
      </c>
      <c r="H878">
        <f>VLOOKUP(Table2[[#This Row],[Customer ID]],Table2[#All],7,FALSE)</f>
        <v>1</v>
      </c>
      <c r="I878" t="str">
        <f>VLOOKUP(Table2[[#This Row],[Customer ID]],Table2[#All],8,FALSE)</f>
        <v>No</v>
      </c>
      <c r="J878" t="str">
        <f>VLOOKUP(Table2[[#This Row],[Customer ID]],Table2[#All],9,FALSE)</f>
        <v>Obesity</v>
      </c>
      <c r="K878" t="str">
        <f>VLOOKUP(Table2[[#This Row],[Customer ID]],Table2[#All],10,FALSE)</f>
        <v>Diabetes</v>
      </c>
    </row>
    <row r="879" spans="1:11" ht="15.6" x14ac:dyDescent="0.3">
      <c r="A879" s="1" t="s">
        <v>1493</v>
      </c>
      <c r="B879" t="str">
        <f>VLOOKUP('Customer Names'!A879,'Customer Names'!$A$1:$E$2336,4,FALSE)</f>
        <v>Mrs.  Amanda L</v>
      </c>
      <c r="C879">
        <f>VLOOKUP(Table2[[#This Row],[Customer ID]],Table2[#All],2,FALSE)</f>
        <v>42.13</v>
      </c>
      <c r="D879">
        <f>VLOOKUP(Table2[[#This Row],[Customer ID]],Table2[#All],3,FALSE)</f>
        <v>4.66</v>
      </c>
      <c r="E879" t="str">
        <f>VLOOKUP(Table2[[#This Row],[Customer ID]],Table2[#All],4,FALSE)</f>
        <v>No</v>
      </c>
      <c r="F879" t="str">
        <f>VLOOKUP(Table2[[#This Row],[Customer ID]],Table2[#All],5,FALSE)</f>
        <v>No</v>
      </c>
      <c r="G879" t="str">
        <f>VLOOKUP(Table2[[#This Row],[Customer ID]],Table2[#All],6,FALSE)</f>
        <v>No</v>
      </c>
      <c r="H879">
        <f>VLOOKUP(Table2[[#This Row],[Customer ID]],Table2[#All],7,FALSE)</f>
        <v>0</v>
      </c>
      <c r="I879" t="str">
        <f>VLOOKUP(Table2[[#This Row],[Customer ID]],Table2[#All],8,FALSE)</f>
        <v>No</v>
      </c>
      <c r="J879" t="str">
        <f>VLOOKUP(Table2[[#This Row],[Customer ID]],Table2[#All],9,FALSE)</f>
        <v>Obesity</v>
      </c>
      <c r="K879" t="str">
        <f>VLOOKUP(Table2[[#This Row],[Customer ID]],Table2[#All],10,FALSE)</f>
        <v>Normal</v>
      </c>
    </row>
    <row r="880" spans="1:11" ht="15.6" x14ac:dyDescent="0.3">
      <c r="A880" s="1" t="s">
        <v>1492</v>
      </c>
      <c r="B880" t="str">
        <f>VLOOKUP('Customer Names'!A880,'Customer Names'!$A$1:$E$2336,4,FALSE)</f>
        <v>Ms.  Renee</v>
      </c>
      <c r="C880">
        <f>VLOOKUP(Table2[[#This Row],[Customer ID]],Table2[#All],2,FALSE)</f>
        <v>35.99</v>
      </c>
      <c r="D880">
        <f>VLOOKUP(Table2[[#This Row],[Customer ID]],Table2[#All],3,FALSE)</f>
        <v>11.11</v>
      </c>
      <c r="E880" t="str">
        <f>VLOOKUP(Table2[[#This Row],[Customer ID]],Table2[#All],4,FALSE)</f>
        <v>No</v>
      </c>
      <c r="F880" t="str">
        <f>VLOOKUP(Table2[[#This Row],[Customer ID]],Table2[#All],5,FALSE)</f>
        <v>No</v>
      </c>
      <c r="G880" t="str">
        <f>VLOOKUP(Table2[[#This Row],[Customer ID]],Table2[#All],6,FALSE)</f>
        <v>No</v>
      </c>
      <c r="H880">
        <f>VLOOKUP(Table2[[#This Row],[Customer ID]],Table2[#All],7,FALSE)</f>
        <v>0</v>
      </c>
      <c r="I880" t="str">
        <f>VLOOKUP(Table2[[#This Row],[Customer ID]],Table2[#All],8,FALSE)</f>
        <v>No</v>
      </c>
      <c r="J880" t="str">
        <f>VLOOKUP(Table2[[#This Row],[Customer ID]],Table2[#All],9,FALSE)</f>
        <v>Obesity</v>
      </c>
      <c r="K880" t="str">
        <f>VLOOKUP(Table2[[#This Row],[Customer ID]],Table2[#All],10,FALSE)</f>
        <v>Diabetes</v>
      </c>
    </row>
    <row r="881" spans="1:11" ht="15.6" x14ac:dyDescent="0.3">
      <c r="A881" s="1" t="s">
        <v>1491</v>
      </c>
      <c r="B881" t="str">
        <f>VLOOKUP('Customer Names'!A881,'Customer Names'!$A$1:$E$2336,4,FALSE)</f>
        <v>Ms.  Nellie A.</v>
      </c>
      <c r="C881">
        <f>VLOOKUP(Table2[[#This Row],[Customer ID]],Table2[#All],2,FALSE)</f>
        <v>35.200000000000003</v>
      </c>
      <c r="D881">
        <f>VLOOKUP(Table2[[#This Row],[Customer ID]],Table2[#All],3,FALSE)</f>
        <v>7.72</v>
      </c>
      <c r="E881" t="str">
        <f>VLOOKUP(Table2[[#This Row],[Customer ID]],Table2[#All],4,FALSE)</f>
        <v>Yes</v>
      </c>
      <c r="F881" t="str">
        <f>VLOOKUP(Table2[[#This Row],[Customer ID]],Table2[#All],5,FALSE)</f>
        <v>No</v>
      </c>
      <c r="G881" t="str">
        <f>VLOOKUP(Table2[[#This Row],[Customer ID]],Table2[#All],6,FALSE)</f>
        <v>Yes</v>
      </c>
      <c r="H881">
        <f>VLOOKUP(Table2[[#This Row],[Customer ID]],Table2[#All],7,FALSE)</f>
        <v>1</v>
      </c>
      <c r="I881" t="str">
        <f>VLOOKUP(Table2[[#This Row],[Customer ID]],Table2[#All],8,FALSE)</f>
        <v>No</v>
      </c>
      <c r="J881" t="str">
        <f>VLOOKUP(Table2[[#This Row],[Customer ID]],Table2[#All],9,FALSE)</f>
        <v>Obesity</v>
      </c>
      <c r="K881" t="str">
        <f>VLOOKUP(Table2[[#This Row],[Customer ID]],Table2[#All],10,FALSE)</f>
        <v>Diabetes</v>
      </c>
    </row>
    <row r="882" spans="1:11" ht="15.6" x14ac:dyDescent="0.3">
      <c r="A882" s="1" t="s">
        <v>1490</v>
      </c>
      <c r="B882" t="str">
        <f>VLOOKUP('Customer Names'!A882,'Customer Names'!$A$1:$E$2336,4,FALSE)</f>
        <v>Ms.  Tamara</v>
      </c>
      <c r="C882">
        <f>VLOOKUP(Table2[[#This Row],[Customer ID]],Table2[#All],2,FALSE)</f>
        <v>29.91</v>
      </c>
      <c r="D882">
        <f>VLOOKUP(Table2[[#This Row],[Customer ID]],Table2[#All],3,FALSE)</f>
        <v>5.55</v>
      </c>
      <c r="E882" t="str">
        <f>VLOOKUP(Table2[[#This Row],[Customer ID]],Table2[#All],4,FALSE)</f>
        <v>Yes</v>
      </c>
      <c r="F882" t="str">
        <f>VLOOKUP(Table2[[#This Row],[Customer ID]],Table2[#All],5,FALSE)</f>
        <v>No</v>
      </c>
      <c r="G882" t="str">
        <f>VLOOKUP(Table2[[#This Row],[Customer ID]],Table2[#All],6,FALSE)</f>
        <v>No</v>
      </c>
      <c r="H882">
        <f>VLOOKUP(Table2[[#This Row],[Customer ID]],Table2[#All],7,FALSE)</f>
        <v>2</v>
      </c>
      <c r="I882" t="str">
        <f>VLOOKUP(Table2[[#This Row],[Customer ID]],Table2[#All],8,FALSE)</f>
        <v>No</v>
      </c>
      <c r="J882" t="str">
        <f>VLOOKUP(Table2[[#This Row],[Customer ID]],Table2[#All],9,FALSE)</f>
        <v>Overweight</v>
      </c>
      <c r="K882" t="str">
        <f>VLOOKUP(Table2[[#This Row],[Customer ID]],Table2[#All],10,FALSE)</f>
        <v>Normal</v>
      </c>
    </row>
    <row r="883" spans="1:11" ht="15.6" x14ac:dyDescent="0.3">
      <c r="A883" s="1" t="s">
        <v>1489</v>
      </c>
      <c r="B883" t="str">
        <f>VLOOKUP('Customer Names'!A883,'Customer Names'!$A$1:$E$2336,4,FALSE)</f>
        <v>Ms.  Joan</v>
      </c>
      <c r="C883">
        <f>VLOOKUP(Table2[[#This Row],[Customer ID]],Table2[#All],2,FALSE)</f>
        <v>36.479999999999997</v>
      </c>
      <c r="D883">
        <f>VLOOKUP(Table2[[#This Row],[Customer ID]],Table2[#All],3,FALSE)</f>
        <v>5.05</v>
      </c>
      <c r="E883" t="str">
        <f>VLOOKUP(Table2[[#This Row],[Customer ID]],Table2[#All],4,FALSE)</f>
        <v>Yes</v>
      </c>
      <c r="F883" t="str">
        <f>VLOOKUP(Table2[[#This Row],[Customer ID]],Table2[#All],5,FALSE)</f>
        <v>No</v>
      </c>
      <c r="G883" t="str">
        <f>VLOOKUP(Table2[[#This Row],[Customer ID]],Table2[#All],6,FALSE)</f>
        <v>No</v>
      </c>
      <c r="H883">
        <f>VLOOKUP(Table2[[#This Row],[Customer ID]],Table2[#All],7,FALSE)</f>
        <v>1</v>
      </c>
      <c r="I883" t="str">
        <f>VLOOKUP(Table2[[#This Row],[Customer ID]],Table2[#All],8,FALSE)</f>
        <v>No</v>
      </c>
      <c r="J883" t="str">
        <f>VLOOKUP(Table2[[#This Row],[Customer ID]],Table2[#All],9,FALSE)</f>
        <v>Obesity</v>
      </c>
      <c r="K883" t="str">
        <f>VLOOKUP(Table2[[#This Row],[Customer ID]],Table2[#All],10,FALSE)</f>
        <v>Normal</v>
      </c>
    </row>
    <row r="884" spans="1:11" ht="15.6" x14ac:dyDescent="0.3">
      <c r="A884" s="1" t="s">
        <v>1488</v>
      </c>
      <c r="B884" t="str">
        <f>VLOOKUP('Customer Names'!A884,'Customer Names'!$A$1:$E$2336,4,FALSE)</f>
        <v>Ms.  Aimee J.</v>
      </c>
      <c r="C884">
        <f>VLOOKUP(Table2[[#This Row],[Customer ID]],Table2[#All],2,FALSE)</f>
        <v>27.5</v>
      </c>
      <c r="D884">
        <f>VLOOKUP(Table2[[#This Row],[Customer ID]],Table2[#All],3,FALSE)</f>
        <v>8.69</v>
      </c>
      <c r="E884" t="str">
        <f>VLOOKUP(Table2[[#This Row],[Customer ID]],Table2[#All],4,FALSE)</f>
        <v>Yes</v>
      </c>
      <c r="F884" t="str">
        <f>VLOOKUP(Table2[[#This Row],[Customer ID]],Table2[#All],5,FALSE)</f>
        <v>No</v>
      </c>
      <c r="G884" t="str">
        <f>VLOOKUP(Table2[[#This Row],[Customer ID]],Table2[#All],6,FALSE)</f>
        <v>Yes</v>
      </c>
      <c r="H884">
        <f>VLOOKUP(Table2[[#This Row],[Customer ID]],Table2[#All],7,FALSE)</f>
        <v>1</v>
      </c>
      <c r="I884" t="str">
        <f>VLOOKUP(Table2[[#This Row],[Customer ID]],Table2[#All],8,FALSE)</f>
        <v>No</v>
      </c>
      <c r="J884" t="str">
        <f>VLOOKUP(Table2[[#This Row],[Customer ID]],Table2[#All],9,FALSE)</f>
        <v>Overweight</v>
      </c>
      <c r="K884" t="str">
        <f>VLOOKUP(Table2[[#This Row],[Customer ID]],Table2[#All],10,FALSE)</f>
        <v>Diabetes</v>
      </c>
    </row>
    <row r="885" spans="1:11" ht="15.6" x14ac:dyDescent="0.3">
      <c r="A885" s="1" t="s">
        <v>1487</v>
      </c>
      <c r="B885" t="str">
        <f>VLOOKUP('Customer Names'!A885,'Customer Names'!$A$1:$E$2336,4,FALSE)</f>
        <v>Ms.  Suzanne</v>
      </c>
      <c r="C885">
        <f>VLOOKUP(Table2[[#This Row],[Customer ID]],Table2[#All],2,FALSE)</f>
        <v>33.44</v>
      </c>
      <c r="D885">
        <f>VLOOKUP(Table2[[#This Row],[Customer ID]],Table2[#All],3,FALSE)</f>
        <v>5.9</v>
      </c>
      <c r="E885" t="str">
        <f>VLOOKUP(Table2[[#This Row],[Customer ID]],Table2[#All],4,FALSE)</f>
        <v>Yes</v>
      </c>
      <c r="F885" t="str">
        <f>VLOOKUP(Table2[[#This Row],[Customer ID]],Table2[#All],5,FALSE)</f>
        <v>No</v>
      </c>
      <c r="G885" t="str">
        <f>VLOOKUP(Table2[[#This Row],[Customer ID]],Table2[#All],6,FALSE)</f>
        <v>No</v>
      </c>
      <c r="H885">
        <f>VLOOKUP(Table2[[#This Row],[Customer ID]],Table2[#All],7,FALSE)</f>
        <v>1</v>
      </c>
      <c r="I885" t="str">
        <f>VLOOKUP(Table2[[#This Row],[Customer ID]],Table2[#All],8,FALSE)</f>
        <v>No</v>
      </c>
      <c r="J885" t="str">
        <f>VLOOKUP(Table2[[#This Row],[Customer ID]],Table2[#All],9,FALSE)</f>
        <v>Obesity</v>
      </c>
      <c r="K885" t="str">
        <f>VLOOKUP(Table2[[#This Row],[Customer ID]],Table2[#All],10,FALSE)</f>
        <v>Prediabetes</v>
      </c>
    </row>
    <row r="886" spans="1:11" ht="15.6" x14ac:dyDescent="0.3">
      <c r="A886" s="1" t="s">
        <v>1486</v>
      </c>
      <c r="B886" t="str">
        <f>VLOOKUP('Customer Names'!A886,'Customer Names'!$A$1:$E$2336,4,FALSE)</f>
        <v>Ms.  Kristin A.</v>
      </c>
      <c r="C886">
        <f>VLOOKUP(Table2[[#This Row],[Customer ID]],Table2[#All],2,FALSE)</f>
        <v>28.215</v>
      </c>
      <c r="D886">
        <f>VLOOKUP(Table2[[#This Row],[Customer ID]],Table2[#All],3,FALSE)</f>
        <v>6.29</v>
      </c>
      <c r="E886" t="str">
        <f>VLOOKUP(Table2[[#This Row],[Customer ID]],Table2[#All],4,FALSE)</f>
        <v>Yes</v>
      </c>
      <c r="F886" t="str">
        <f>VLOOKUP(Table2[[#This Row],[Customer ID]],Table2[#All],5,FALSE)</f>
        <v>No</v>
      </c>
      <c r="G886" t="str">
        <f>VLOOKUP(Table2[[#This Row],[Customer ID]],Table2[#All],6,FALSE)</f>
        <v>No</v>
      </c>
      <c r="H886">
        <f>VLOOKUP(Table2[[#This Row],[Customer ID]],Table2[#All],7,FALSE)</f>
        <v>1</v>
      </c>
      <c r="I886" t="str">
        <f>VLOOKUP(Table2[[#This Row],[Customer ID]],Table2[#All],8,FALSE)</f>
        <v>No</v>
      </c>
      <c r="J886" t="str">
        <f>VLOOKUP(Table2[[#This Row],[Customer ID]],Table2[#All],9,FALSE)</f>
        <v>Overweight</v>
      </c>
      <c r="K886" t="str">
        <f>VLOOKUP(Table2[[#This Row],[Customer ID]],Table2[#All],10,FALSE)</f>
        <v>Prediabetes</v>
      </c>
    </row>
    <row r="887" spans="1:11" ht="15.6" x14ac:dyDescent="0.3">
      <c r="A887" s="1" t="s">
        <v>1485</v>
      </c>
      <c r="B887" t="str">
        <f>VLOOKUP('Customer Names'!A887,'Customer Names'!$A$1:$E$2336,4,FALSE)</f>
        <v>Ms.  Bronwyn</v>
      </c>
      <c r="C887">
        <f>VLOOKUP(Table2[[#This Row],[Customer ID]],Table2[#All],2,FALSE)</f>
        <v>27.17</v>
      </c>
      <c r="D887">
        <f>VLOOKUP(Table2[[#This Row],[Customer ID]],Table2[#All],3,FALSE)</f>
        <v>5.84</v>
      </c>
      <c r="E887" t="str">
        <f>VLOOKUP(Table2[[#This Row],[Customer ID]],Table2[#All],4,FALSE)</f>
        <v>Yes</v>
      </c>
      <c r="F887" t="str">
        <f>VLOOKUP(Table2[[#This Row],[Customer ID]],Table2[#All],5,FALSE)</f>
        <v>No</v>
      </c>
      <c r="G887" t="str">
        <f>VLOOKUP(Table2[[#This Row],[Customer ID]],Table2[#All],6,FALSE)</f>
        <v>No</v>
      </c>
      <c r="H887">
        <f>VLOOKUP(Table2[[#This Row],[Customer ID]],Table2[#All],7,FALSE)</f>
        <v>1</v>
      </c>
      <c r="I887" t="str">
        <f>VLOOKUP(Table2[[#This Row],[Customer ID]],Table2[#All],8,FALSE)</f>
        <v>No</v>
      </c>
      <c r="J887" t="str">
        <f>VLOOKUP(Table2[[#This Row],[Customer ID]],Table2[#All],9,FALSE)</f>
        <v>Overweight</v>
      </c>
      <c r="K887" t="str">
        <f>VLOOKUP(Table2[[#This Row],[Customer ID]],Table2[#All],10,FALSE)</f>
        <v>Prediabetes</v>
      </c>
    </row>
    <row r="888" spans="1:11" ht="15.6" x14ac:dyDescent="0.3">
      <c r="A888" s="1" t="s">
        <v>1484</v>
      </c>
      <c r="B888" t="str">
        <f>VLOOKUP('Customer Names'!A888,'Customer Names'!$A$1:$E$2336,4,FALSE)</f>
        <v>Ms.  Taylor J</v>
      </c>
      <c r="C888">
        <f>VLOOKUP(Table2[[#This Row],[Customer ID]],Table2[#All],2,FALSE)</f>
        <v>35.380000000000003</v>
      </c>
      <c r="D888">
        <f>VLOOKUP(Table2[[#This Row],[Customer ID]],Table2[#All],3,FALSE)</f>
        <v>6.12</v>
      </c>
      <c r="E888" t="str">
        <f>VLOOKUP(Table2[[#This Row],[Customer ID]],Table2[#All],4,FALSE)</f>
        <v>No</v>
      </c>
      <c r="F888" t="str">
        <f>VLOOKUP(Table2[[#This Row],[Customer ID]],Table2[#All],5,FALSE)</f>
        <v>No</v>
      </c>
      <c r="G888" t="str">
        <f>VLOOKUP(Table2[[#This Row],[Customer ID]],Table2[#All],6,FALSE)</f>
        <v>No</v>
      </c>
      <c r="H888">
        <f>VLOOKUP(Table2[[#This Row],[Customer ID]],Table2[#All],7,FALSE)</f>
        <v>0</v>
      </c>
      <c r="I888" t="str">
        <f>VLOOKUP(Table2[[#This Row],[Customer ID]],Table2[#All],8,FALSE)</f>
        <v>No</v>
      </c>
      <c r="J888" t="str">
        <f>VLOOKUP(Table2[[#This Row],[Customer ID]],Table2[#All],9,FALSE)</f>
        <v>Obesity</v>
      </c>
      <c r="K888" t="str">
        <f>VLOOKUP(Table2[[#This Row],[Customer ID]],Table2[#All],10,FALSE)</f>
        <v>Prediabetes</v>
      </c>
    </row>
    <row r="889" spans="1:11" ht="15.6" x14ac:dyDescent="0.3">
      <c r="A889" s="1" t="s">
        <v>1483</v>
      </c>
      <c r="B889" t="str">
        <f>VLOOKUP('Customer Names'!A889,'Customer Names'!$A$1:$E$2336,4,FALSE)</f>
        <v>Mrs.  Kimberly M.</v>
      </c>
      <c r="C889">
        <f>VLOOKUP(Table2[[#This Row],[Customer ID]],Table2[#All],2,FALSE)</f>
        <v>43.48</v>
      </c>
      <c r="D889">
        <f>VLOOKUP(Table2[[#This Row],[Customer ID]],Table2[#All],3,FALSE)</f>
        <v>6.24</v>
      </c>
      <c r="E889" t="str">
        <f>VLOOKUP(Table2[[#This Row],[Customer ID]],Table2[#All],4,FALSE)</f>
        <v>No</v>
      </c>
      <c r="F889" t="str">
        <f>VLOOKUP(Table2[[#This Row],[Customer ID]],Table2[#All],5,FALSE)</f>
        <v>No</v>
      </c>
      <c r="G889" t="str">
        <f>VLOOKUP(Table2[[#This Row],[Customer ID]],Table2[#All],6,FALSE)</f>
        <v>No</v>
      </c>
      <c r="H889">
        <f>VLOOKUP(Table2[[#This Row],[Customer ID]],Table2[#All],7,FALSE)</f>
        <v>0</v>
      </c>
      <c r="I889" t="str">
        <f>VLOOKUP(Table2[[#This Row],[Customer ID]],Table2[#All],8,FALSE)</f>
        <v>No</v>
      </c>
      <c r="J889" t="str">
        <f>VLOOKUP(Table2[[#This Row],[Customer ID]],Table2[#All],9,FALSE)</f>
        <v>Obesity</v>
      </c>
      <c r="K889" t="str">
        <f>VLOOKUP(Table2[[#This Row],[Customer ID]],Table2[#All],10,FALSE)</f>
        <v>Prediabetes</v>
      </c>
    </row>
    <row r="890" spans="1:11" ht="15.6" x14ac:dyDescent="0.3">
      <c r="A890" s="1" t="s">
        <v>1482</v>
      </c>
      <c r="B890" t="str">
        <f>VLOOKUP('Customer Names'!A890,'Customer Names'!$A$1:$E$2336,4,FALSE)</f>
        <v>Mr.  Joshua E.</v>
      </c>
      <c r="C890">
        <f>VLOOKUP(Table2[[#This Row],[Customer ID]],Table2[#All],2,FALSE)</f>
        <v>41.73</v>
      </c>
      <c r="D890">
        <f>VLOOKUP(Table2[[#This Row],[Customer ID]],Table2[#All],3,FALSE)</f>
        <v>6.25</v>
      </c>
      <c r="E890" t="str">
        <f>VLOOKUP(Table2[[#This Row],[Customer ID]],Table2[#All],4,FALSE)</f>
        <v>No</v>
      </c>
      <c r="F890" t="str">
        <f>VLOOKUP(Table2[[#This Row],[Customer ID]],Table2[#All],5,FALSE)</f>
        <v>No</v>
      </c>
      <c r="G890" t="str">
        <f>VLOOKUP(Table2[[#This Row],[Customer ID]],Table2[#All],6,FALSE)</f>
        <v>No</v>
      </c>
      <c r="H890">
        <f>VLOOKUP(Table2[[#This Row],[Customer ID]],Table2[#All],7,FALSE)</f>
        <v>1</v>
      </c>
      <c r="I890" t="str">
        <f>VLOOKUP(Table2[[#This Row],[Customer ID]],Table2[#All],8,FALSE)</f>
        <v>No</v>
      </c>
      <c r="J890" t="str">
        <f>VLOOKUP(Table2[[#This Row],[Customer ID]],Table2[#All],9,FALSE)</f>
        <v>Obesity</v>
      </c>
      <c r="K890" t="str">
        <f>VLOOKUP(Table2[[#This Row],[Customer ID]],Table2[#All],10,FALSE)</f>
        <v>Prediabetes</v>
      </c>
    </row>
    <row r="891" spans="1:11" ht="15.6" x14ac:dyDescent="0.3">
      <c r="A891" s="1" t="s">
        <v>1481</v>
      </c>
      <c r="B891" t="str">
        <f>VLOOKUP('Customer Names'!A891,'Customer Names'!$A$1:$E$2336,4,FALSE)</f>
        <v>Mr.  Jeffrey</v>
      </c>
      <c r="C891">
        <f>VLOOKUP(Table2[[#This Row],[Customer ID]],Table2[#All],2,FALSE)</f>
        <v>28.9</v>
      </c>
      <c r="D891">
        <f>VLOOKUP(Table2[[#This Row],[Customer ID]],Table2[#All],3,FALSE)</f>
        <v>11.96</v>
      </c>
      <c r="E891" t="str">
        <f>VLOOKUP(Table2[[#This Row],[Customer ID]],Table2[#All],4,FALSE)</f>
        <v>No</v>
      </c>
      <c r="F891" t="str">
        <f>VLOOKUP(Table2[[#This Row],[Customer ID]],Table2[#All],5,FALSE)</f>
        <v>No</v>
      </c>
      <c r="G891" t="str">
        <f>VLOOKUP(Table2[[#This Row],[Customer ID]],Table2[#All],6,FALSE)</f>
        <v>No</v>
      </c>
      <c r="H891">
        <f>VLOOKUP(Table2[[#This Row],[Customer ID]],Table2[#All],7,FALSE)</f>
        <v>0</v>
      </c>
      <c r="I891" t="str">
        <f>VLOOKUP(Table2[[#This Row],[Customer ID]],Table2[#All],8,FALSE)</f>
        <v>No</v>
      </c>
      <c r="J891" t="str">
        <f>VLOOKUP(Table2[[#This Row],[Customer ID]],Table2[#All],9,FALSE)</f>
        <v>Overweight</v>
      </c>
      <c r="K891" t="str">
        <f>VLOOKUP(Table2[[#This Row],[Customer ID]],Table2[#All],10,FALSE)</f>
        <v>Diabetes</v>
      </c>
    </row>
    <row r="892" spans="1:11" ht="15.6" x14ac:dyDescent="0.3">
      <c r="A892" s="1" t="s">
        <v>1480</v>
      </c>
      <c r="B892" t="str">
        <f>VLOOKUP('Customer Names'!A892,'Customer Names'!$A$1:$E$2336,4,FALSE)</f>
        <v>Mr.  Andrew R</v>
      </c>
      <c r="C892">
        <f>VLOOKUP(Table2[[#This Row],[Customer ID]],Table2[#All],2,FALSE)</f>
        <v>25.74</v>
      </c>
      <c r="D892">
        <f>VLOOKUP(Table2[[#This Row],[Customer ID]],Table2[#All],3,FALSE)</f>
        <v>7.69</v>
      </c>
      <c r="E892" t="str">
        <f>VLOOKUP(Table2[[#This Row],[Customer ID]],Table2[#All],4,FALSE)</f>
        <v>No</v>
      </c>
      <c r="F892" t="str">
        <f>VLOOKUP(Table2[[#This Row],[Customer ID]],Table2[#All],5,FALSE)</f>
        <v>No</v>
      </c>
      <c r="G892" t="str">
        <f>VLOOKUP(Table2[[#This Row],[Customer ID]],Table2[#All],6,FALSE)</f>
        <v>No</v>
      </c>
      <c r="H892">
        <f>VLOOKUP(Table2[[#This Row],[Customer ID]],Table2[#All],7,FALSE)</f>
        <v>0</v>
      </c>
      <c r="I892" t="str">
        <f>VLOOKUP(Table2[[#This Row],[Customer ID]],Table2[#All],8,FALSE)</f>
        <v>No</v>
      </c>
      <c r="J892" t="str">
        <f>VLOOKUP(Table2[[#This Row],[Customer ID]],Table2[#All],9,FALSE)</f>
        <v>Overweight</v>
      </c>
      <c r="K892" t="str">
        <f>VLOOKUP(Table2[[#This Row],[Customer ID]],Table2[#All],10,FALSE)</f>
        <v>Diabetes</v>
      </c>
    </row>
    <row r="893" spans="1:11" ht="15.6" x14ac:dyDescent="0.3">
      <c r="A893" s="1" t="s">
        <v>1479</v>
      </c>
      <c r="B893" t="str">
        <f>VLOOKUP('Customer Names'!A893,'Customer Names'!$A$1:$E$2336,4,FALSE)</f>
        <v>Mr.  Francisco J. Sr.</v>
      </c>
      <c r="C893">
        <f>VLOOKUP(Table2[[#This Row],[Customer ID]],Table2[#All],2,FALSE)</f>
        <v>36.06</v>
      </c>
      <c r="D893">
        <f>VLOOKUP(Table2[[#This Row],[Customer ID]],Table2[#All],3,FALSE)</f>
        <v>8.83</v>
      </c>
      <c r="E893" t="str">
        <f>VLOOKUP(Table2[[#This Row],[Customer ID]],Table2[#All],4,FALSE)</f>
        <v>No</v>
      </c>
      <c r="F893" t="str">
        <f>VLOOKUP(Table2[[#This Row],[Customer ID]],Table2[#All],5,FALSE)</f>
        <v>No</v>
      </c>
      <c r="G893" t="str">
        <f>VLOOKUP(Table2[[#This Row],[Customer ID]],Table2[#All],6,FALSE)</f>
        <v>No</v>
      </c>
      <c r="H893">
        <f>VLOOKUP(Table2[[#This Row],[Customer ID]],Table2[#All],7,FALSE)</f>
        <v>0</v>
      </c>
      <c r="I893" t="str">
        <f>VLOOKUP(Table2[[#This Row],[Customer ID]],Table2[#All],8,FALSE)</f>
        <v>No</v>
      </c>
      <c r="J893" t="str">
        <f>VLOOKUP(Table2[[#This Row],[Customer ID]],Table2[#All],9,FALSE)</f>
        <v>Obesity</v>
      </c>
      <c r="K893" t="str">
        <f>VLOOKUP(Table2[[#This Row],[Customer ID]],Table2[#All],10,FALSE)</f>
        <v>Diabetes</v>
      </c>
    </row>
    <row r="894" spans="1:11" ht="15.6" x14ac:dyDescent="0.3">
      <c r="A894" s="1" t="s">
        <v>1478</v>
      </c>
      <c r="B894" t="str">
        <f>VLOOKUP('Customer Names'!A894,'Customer Names'!$A$1:$E$2336,4,FALSE)</f>
        <v>Mrs.  Rhonda</v>
      </c>
      <c r="C894">
        <f>VLOOKUP(Table2[[#This Row],[Customer ID]],Table2[#All],2,FALSE)</f>
        <v>43.28</v>
      </c>
      <c r="D894">
        <f>VLOOKUP(Table2[[#This Row],[Customer ID]],Table2[#All],3,FALSE)</f>
        <v>4.41</v>
      </c>
      <c r="E894" t="str">
        <f>VLOOKUP(Table2[[#This Row],[Customer ID]],Table2[#All],4,FALSE)</f>
        <v>No</v>
      </c>
      <c r="F894" t="str">
        <f>VLOOKUP(Table2[[#This Row],[Customer ID]],Table2[#All],5,FALSE)</f>
        <v>No</v>
      </c>
      <c r="G894" t="str">
        <f>VLOOKUP(Table2[[#This Row],[Customer ID]],Table2[#All],6,FALSE)</f>
        <v>No</v>
      </c>
      <c r="H894">
        <f>VLOOKUP(Table2[[#This Row],[Customer ID]],Table2[#All],7,FALSE)</f>
        <v>0</v>
      </c>
      <c r="I894" t="str">
        <f>VLOOKUP(Table2[[#This Row],[Customer ID]],Table2[#All],8,FALSE)</f>
        <v>No</v>
      </c>
      <c r="J894" t="str">
        <f>VLOOKUP(Table2[[#This Row],[Customer ID]],Table2[#All],9,FALSE)</f>
        <v>Obesity</v>
      </c>
      <c r="K894" t="str">
        <f>VLOOKUP(Table2[[#This Row],[Customer ID]],Table2[#All],10,FALSE)</f>
        <v>Normal</v>
      </c>
    </row>
    <row r="895" spans="1:11" ht="15.6" x14ac:dyDescent="0.3">
      <c r="A895" s="1" t="s">
        <v>1477</v>
      </c>
      <c r="B895" t="str">
        <f>VLOOKUP('Customer Names'!A895,'Customer Names'!$A$1:$E$2336,4,FALSE)</f>
        <v>Mr.  John</v>
      </c>
      <c r="C895">
        <f>VLOOKUP(Table2[[#This Row],[Customer ID]],Table2[#All],2,FALSE)</f>
        <v>28.785</v>
      </c>
      <c r="D895">
        <f>VLOOKUP(Table2[[#This Row],[Customer ID]],Table2[#All],3,FALSE)</f>
        <v>9.1</v>
      </c>
      <c r="E895" t="str">
        <f>VLOOKUP(Table2[[#This Row],[Customer ID]],Table2[#All],4,FALSE)</f>
        <v>Yes</v>
      </c>
      <c r="F895" t="str">
        <f>VLOOKUP(Table2[[#This Row],[Customer ID]],Table2[#All],5,FALSE)</f>
        <v>No</v>
      </c>
      <c r="G895" t="str">
        <f>VLOOKUP(Table2[[#This Row],[Customer ID]],Table2[#All],6,FALSE)</f>
        <v>Yes</v>
      </c>
      <c r="H895">
        <f>VLOOKUP(Table2[[#This Row],[Customer ID]],Table2[#All],7,FALSE)</f>
        <v>1</v>
      </c>
      <c r="I895" t="str">
        <f>VLOOKUP(Table2[[#This Row],[Customer ID]],Table2[#All],8,FALSE)</f>
        <v>No</v>
      </c>
      <c r="J895" t="str">
        <f>VLOOKUP(Table2[[#This Row],[Customer ID]],Table2[#All],9,FALSE)</f>
        <v>Overweight</v>
      </c>
      <c r="K895" t="str">
        <f>VLOOKUP(Table2[[#This Row],[Customer ID]],Table2[#All],10,FALSE)</f>
        <v>Diabetes</v>
      </c>
    </row>
    <row r="896" spans="1:11" ht="15.6" x14ac:dyDescent="0.3">
      <c r="A896" s="1" t="s">
        <v>1476</v>
      </c>
      <c r="B896" t="str">
        <f>VLOOKUP('Customer Names'!A896,'Customer Names'!$A$1:$E$2336,4,FALSE)</f>
        <v>Mr.  Miles J.</v>
      </c>
      <c r="C896">
        <f>VLOOKUP(Table2[[#This Row],[Customer ID]],Table2[#All],2,FALSE)</f>
        <v>25.46</v>
      </c>
      <c r="D896">
        <f>VLOOKUP(Table2[[#This Row],[Customer ID]],Table2[#All],3,FALSE)</f>
        <v>11.52</v>
      </c>
      <c r="E896" t="str">
        <f>VLOOKUP(Table2[[#This Row],[Customer ID]],Table2[#All],4,FALSE)</f>
        <v>Yes</v>
      </c>
      <c r="F896" t="str">
        <f>VLOOKUP(Table2[[#This Row],[Customer ID]],Table2[#All],5,FALSE)</f>
        <v>No</v>
      </c>
      <c r="G896" t="str">
        <f>VLOOKUP(Table2[[#This Row],[Customer ID]],Table2[#All],6,FALSE)</f>
        <v>Yes</v>
      </c>
      <c r="H896">
        <f>VLOOKUP(Table2[[#This Row],[Customer ID]],Table2[#All],7,FALSE)</f>
        <v>1</v>
      </c>
      <c r="I896" t="str">
        <f>VLOOKUP(Table2[[#This Row],[Customer ID]],Table2[#All],8,FALSE)</f>
        <v>No</v>
      </c>
      <c r="J896" t="str">
        <f>VLOOKUP(Table2[[#This Row],[Customer ID]],Table2[#All],9,FALSE)</f>
        <v>Overweight</v>
      </c>
      <c r="K896" t="str">
        <f>VLOOKUP(Table2[[#This Row],[Customer ID]],Table2[#All],10,FALSE)</f>
        <v>Diabetes</v>
      </c>
    </row>
    <row r="897" spans="1:11" ht="15.6" x14ac:dyDescent="0.3">
      <c r="A897" s="1" t="s">
        <v>1475</v>
      </c>
      <c r="B897" t="str">
        <f>VLOOKUP('Customer Names'!A897,'Customer Names'!$A$1:$E$2336,4,FALSE)</f>
        <v>Ms.  Justyna I.</v>
      </c>
      <c r="C897">
        <f>VLOOKUP(Table2[[#This Row],[Customer ID]],Table2[#All],2,FALSE)</f>
        <v>30.8</v>
      </c>
      <c r="D897">
        <f>VLOOKUP(Table2[[#This Row],[Customer ID]],Table2[#All],3,FALSE)</f>
        <v>10.95</v>
      </c>
      <c r="E897" t="str">
        <f>VLOOKUP(Table2[[#This Row],[Customer ID]],Table2[#All],4,FALSE)</f>
        <v>No</v>
      </c>
      <c r="F897" t="str">
        <f>VLOOKUP(Table2[[#This Row],[Customer ID]],Table2[#All],5,FALSE)</f>
        <v>No</v>
      </c>
      <c r="G897" t="str">
        <f>VLOOKUP(Table2[[#This Row],[Customer ID]],Table2[#All],6,FALSE)</f>
        <v>No</v>
      </c>
      <c r="H897">
        <f>VLOOKUP(Table2[[#This Row],[Customer ID]],Table2[#All],7,FALSE)</f>
        <v>0</v>
      </c>
      <c r="I897" t="str">
        <f>VLOOKUP(Table2[[#This Row],[Customer ID]],Table2[#All],8,FALSE)</f>
        <v>No</v>
      </c>
      <c r="J897" t="str">
        <f>VLOOKUP(Table2[[#This Row],[Customer ID]],Table2[#All],9,FALSE)</f>
        <v>Obesity</v>
      </c>
      <c r="K897" t="str">
        <f>VLOOKUP(Table2[[#This Row],[Customer ID]],Table2[#All],10,FALSE)</f>
        <v>Diabetes</v>
      </c>
    </row>
    <row r="898" spans="1:11" ht="15.6" x14ac:dyDescent="0.3">
      <c r="A898" s="1" t="s">
        <v>1474</v>
      </c>
      <c r="B898" t="str">
        <f>VLOOKUP('Customer Names'!A898,'Customer Names'!$A$1:$E$2336,4,FALSE)</f>
        <v>Ms.  Lucille</v>
      </c>
      <c r="C898">
        <f>VLOOKUP(Table2[[#This Row],[Customer ID]],Table2[#All],2,FALSE)</f>
        <v>28.88</v>
      </c>
      <c r="D898">
        <f>VLOOKUP(Table2[[#This Row],[Customer ID]],Table2[#All],3,FALSE)</f>
        <v>11.5</v>
      </c>
      <c r="E898" t="str">
        <f>VLOOKUP(Table2[[#This Row],[Customer ID]],Table2[#All],4,FALSE)</f>
        <v>No</v>
      </c>
      <c r="F898" t="str">
        <f>VLOOKUP(Table2[[#This Row],[Customer ID]],Table2[#All],5,FALSE)</f>
        <v>No</v>
      </c>
      <c r="G898" t="str">
        <f>VLOOKUP(Table2[[#This Row],[Customer ID]],Table2[#All],6,FALSE)</f>
        <v>No</v>
      </c>
      <c r="H898">
        <f>VLOOKUP(Table2[[#This Row],[Customer ID]],Table2[#All],7,FALSE)</f>
        <v>0</v>
      </c>
      <c r="I898" t="str">
        <f>VLOOKUP(Table2[[#This Row],[Customer ID]],Table2[#All],8,FALSE)</f>
        <v>No</v>
      </c>
      <c r="J898" t="str">
        <f>VLOOKUP(Table2[[#This Row],[Customer ID]],Table2[#All],9,FALSE)</f>
        <v>Overweight</v>
      </c>
      <c r="K898" t="str">
        <f>VLOOKUP(Table2[[#This Row],[Customer ID]],Table2[#All],10,FALSE)</f>
        <v>Diabetes</v>
      </c>
    </row>
    <row r="899" spans="1:11" ht="15.6" x14ac:dyDescent="0.3">
      <c r="A899" s="1" t="s">
        <v>1473</v>
      </c>
      <c r="B899" t="str">
        <f>VLOOKUP('Customer Names'!A899,'Customer Names'!$A$1:$E$2336,4,FALSE)</f>
        <v>Ms.  April</v>
      </c>
      <c r="C899">
        <f>VLOOKUP(Table2[[#This Row],[Customer ID]],Table2[#All],2,FALSE)</f>
        <v>23</v>
      </c>
      <c r="D899">
        <f>VLOOKUP(Table2[[#This Row],[Customer ID]],Table2[#All],3,FALSE)</f>
        <v>9.8800000000000008</v>
      </c>
      <c r="E899" t="str">
        <f>VLOOKUP(Table2[[#This Row],[Customer ID]],Table2[#All],4,FALSE)</f>
        <v>No</v>
      </c>
      <c r="F899" t="str">
        <f>VLOOKUP(Table2[[#This Row],[Customer ID]],Table2[#All],5,FALSE)</f>
        <v>No</v>
      </c>
      <c r="G899" t="str">
        <f>VLOOKUP(Table2[[#This Row],[Customer ID]],Table2[#All],6,FALSE)</f>
        <v>No</v>
      </c>
      <c r="H899">
        <f>VLOOKUP(Table2[[#This Row],[Customer ID]],Table2[#All],7,FALSE)</f>
        <v>0</v>
      </c>
      <c r="I899" t="str">
        <f>VLOOKUP(Table2[[#This Row],[Customer ID]],Table2[#All],8,FALSE)</f>
        <v>No</v>
      </c>
      <c r="J899" t="str">
        <f>VLOOKUP(Table2[[#This Row],[Customer ID]],Table2[#All],9,FALSE)</f>
        <v>Normalweight</v>
      </c>
      <c r="K899" t="str">
        <f>VLOOKUP(Table2[[#This Row],[Customer ID]],Table2[#All],10,FALSE)</f>
        <v>Diabetes</v>
      </c>
    </row>
    <row r="900" spans="1:11" ht="15.6" x14ac:dyDescent="0.3">
      <c r="A900" s="1" t="s">
        <v>1472</v>
      </c>
      <c r="B900" t="str">
        <f>VLOOKUP('Customer Names'!A900,'Customer Names'!$A$1:$E$2336,4,FALSE)</f>
        <v>Mr.  Robert</v>
      </c>
      <c r="C900">
        <f>VLOOKUP(Table2[[#This Row],[Customer ID]],Table2[#All],2,FALSE)</f>
        <v>38.25</v>
      </c>
      <c r="D900">
        <f>VLOOKUP(Table2[[#This Row],[Customer ID]],Table2[#All],3,FALSE)</f>
        <v>6.2</v>
      </c>
      <c r="E900" t="str">
        <f>VLOOKUP(Table2[[#This Row],[Customer ID]],Table2[#All],4,FALSE)</f>
        <v>No</v>
      </c>
      <c r="F900" t="str">
        <f>VLOOKUP(Table2[[#This Row],[Customer ID]],Table2[#All],5,FALSE)</f>
        <v>No</v>
      </c>
      <c r="G900" t="str">
        <f>VLOOKUP(Table2[[#This Row],[Customer ID]],Table2[#All],6,FALSE)</f>
        <v>No</v>
      </c>
      <c r="H900">
        <f>VLOOKUP(Table2[[#This Row],[Customer ID]],Table2[#All],7,FALSE)</f>
        <v>1</v>
      </c>
      <c r="I900" t="str">
        <f>VLOOKUP(Table2[[#This Row],[Customer ID]],Table2[#All],8,FALSE)</f>
        <v>No</v>
      </c>
      <c r="J900" t="str">
        <f>VLOOKUP(Table2[[#This Row],[Customer ID]],Table2[#All],9,FALSE)</f>
        <v>Obesity</v>
      </c>
      <c r="K900" t="str">
        <f>VLOOKUP(Table2[[#This Row],[Customer ID]],Table2[#All],10,FALSE)</f>
        <v>Prediabetes</v>
      </c>
    </row>
    <row r="901" spans="1:11" ht="15.6" x14ac:dyDescent="0.3">
      <c r="A901" s="1" t="s">
        <v>1471</v>
      </c>
      <c r="B901" t="str">
        <f>VLOOKUP('Customer Names'!A901,'Customer Names'!$A$1:$E$2336,4,FALSE)</f>
        <v>Mrs.  Alyssa</v>
      </c>
      <c r="C901">
        <f>VLOOKUP(Table2[[#This Row],[Customer ID]],Table2[#All],2,FALSE)</f>
        <v>39.25</v>
      </c>
      <c r="D901">
        <f>VLOOKUP(Table2[[#This Row],[Customer ID]],Table2[#All],3,FALSE)</f>
        <v>8.41</v>
      </c>
      <c r="E901" t="str">
        <f>VLOOKUP(Table2[[#This Row],[Customer ID]],Table2[#All],4,FALSE)</f>
        <v>Yes</v>
      </c>
      <c r="F901" t="str">
        <f>VLOOKUP(Table2[[#This Row],[Customer ID]],Table2[#All],5,FALSE)</f>
        <v>No</v>
      </c>
      <c r="G901" t="str">
        <f>VLOOKUP(Table2[[#This Row],[Customer ID]],Table2[#All],6,FALSE)</f>
        <v>No</v>
      </c>
      <c r="H901">
        <f>VLOOKUP(Table2[[#This Row],[Customer ID]],Table2[#All],7,FALSE)</f>
        <v>1</v>
      </c>
      <c r="I901" t="str">
        <f>VLOOKUP(Table2[[#This Row],[Customer ID]],Table2[#All],8,FALSE)</f>
        <v>No</v>
      </c>
      <c r="J901" t="str">
        <f>VLOOKUP(Table2[[#This Row],[Customer ID]],Table2[#All],9,FALSE)</f>
        <v>Obesity</v>
      </c>
      <c r="K901" t="str">
        <f>VLOOKUP(Table2[[#This Row],[Customer ID]],Table2[#All],10,FALSE)</f>
        <v>Diabetes</v>
      </c>
    </row>
    <row r="902" spans="1:11" ht="15.6" x14ac:dyDescent="0.3">
      <c r="A902" s="1" t="s">
        <v>1470</v>
      </c>
      <c r="B902" t="str">
        <f>VLOOKUP('Customer Names'!A902,'Customer Names'!$A$1:$E$2336,4,FALSE)</f>
        <v>Ms.  Jessica E.</v>
      </c>
      <c r="C902">
        <f>VLOOKUP(Table2[[#This Row],[Customer ID]],Table2[#All],2,FALSE)</f>
        <v>26.6</v>
      </c>
      <c r="D902">
        <f>VLOOKUP(Table2[[#This Row],[Customer ID]],Table2[#All],3,FALSE)</f>
        <v>5.07</v>
      </c>
      <c r="E902" t="str">
        <f>VLOOKUP(Table2[[#This Row],[Customer ID]],Table2[#All],4,FALSE)</f>
        <v>Yes</v>
      </c>
      <c r="F902" t="str">
        <f>VLOOKUP(Table2[[#This Row],[Customer ID]],Table2[#All],5,FALSE)</f>
        <v>No</v>
      </c>
      <c r="G902" t="str">
        <f>VLOOKUP(Table2[[#This Row],[Customer ID]],Table2[#All],6,FALSE)</f>
        <v>No</v>
      </c>
      <c r="H902">
        <f>VLOOKUP(Table2[[#This Row],[Customer ID]],Table2[#All],7,FALSE)</f>
        <v>2</v>
      </c>
      <c r="I902" t="str">
        <f>VLOOKUP(Table2[[#This Row],[Customer ID]],Table2[#All],8,FALSE)</f>
        <v>No</v>
      </c>
      <c r="J902" t="str">
        <f>VLOOKUP(Table2[[#This Row],[Customer ID]],Table2[#All],9,FALSE)</f>
        <v>Overweight</v>
      </c>
      <c r="K902" t="str">
        <f>VLOOKUP(Table2[[#This Row],[Customer ID]],Table2[#All],10,FALSE)</f>
        <v>Normal</v>
      </c>
    </row>
    <row r="903" spans="1:11" ht="15.6" x14ac:dyDescent="0.3">
      <c r="A903" s="1" t="s">
        <v>1469</v>
      </c>
      <c r="B903" t="str">
        <f>VLOOKUP('Customer Names'!A903,'Customer Names'!$A$1:$E$2336,4,FALSE)</f>
        <v>Mr.  Patrick J.</v>
      </c>
      <c r="C903">
        <f>VLOOKUP(Table2[[#This Row],[Customer ID]],Table2[#All],2,FALSE)</f>
        <v>35.700000000000003</v>
      </c>
      <c r="D903">
        <f>VLOOKUP(Table2[[#This Row],[Customer ID]],Table2[#All],3,FALSE)</f>
        <v>4.0599999999999996</v>
      </c>
      <c r="E903" t="str">
        <f>VLOOKUP(Table2[[#This Row],[Customer ID]],Table2[#All],4,FALSE)</f>
        <v>No</v>
      </c>
      <c r="F903" t="str">
        <f>VLOOKUP(Table2[[#This Row],[Customer ID]],Table2[#All],5,FALSE)</f>
        <v>No</v>
      </c>
      <c r="G903" t="str">
        <f>VLOOKUP(Table2[[#This Row],[Customer ID]],Table2[#All],6,FALSE)</f>
        <v>Yes</v>
      </c>
      <c r="H903">
        <f>VLOOKUP(Table2[[#This Row],[Customer ID]],Table2[#All],7,FALSE)</f>
        <v>1</v>
      </c>
      <c r="I903" t="str">
        <f>VLOOKUP(Table2[[#This Row],[Customer ID]],Table2[#All],8,FALSE)</f>
        <v>No</v>
      </c>
      <c r="J903" t="str">
        <f>VLOOKUP(Table2[[#This Row],[Customer ID]],Table2[#All],9,FALSE)</f>
        <v>Obesity</v>
      </c>
      <c r="K903" t="str">
        <f>VLOOKUP(Table2[[#This Row],[Customer ID]],Table2[#All],10,FALSE)</f>
        <v>Normal</v>
      </c>
    </row>
    <row r="904" spans="1:11" ht="15.6" x14ac:dyDescent="0.3">
      <c r="A904" s="1" t="s">
        <v>1468</v>
      </c>
      <c r="B904" t="str">
        <f>VLOOKUP('Customer Names'!A904,'Customer Names'!$A$1:$E$2336,4,FALSE)</f>
        <v>Ms.  Emilie</v>
      </c>
      <c r="C904">
        <f>VLOOKUP(Table2[[#This Row],[Customer ID]],Table2[#All],2,FALSE)</f>
        <v>20.100000000000001</v>
      </c>
      <c r="D904">
        <f>VLOOKUP(Table2[[#This Row],[Customer ID]],Table2[#All],3,FALSE)</f>
        <v>10.52</v>
      </c>
      <c r="E904" t="str">
        <f>VLOOKUP(Table2[[#This Row],[Customer ID]],Table2[#All],4,FALSE)</f>
        <v>No</v>
      </c>
      <c r="F904" t="str">
        <f>VLOOKUP(Table2[[#This Row],[Customer ID]],Table2[#All],5,FALSE)</f>
        <v>No</v>
      </c>
      <c r="G904" t="str">
        <f>VLOOKUP(Table2[[#This Row],[Customer ID]],Table2[#All],6,FALSE)</f>
        <v>No</v>
      </c>
      <c r="H904">
        <f>VLOOKUP(Table2[[#This Row],[Customer ID]],Table2[#All],7,FALSE)</f>
        <v>0</v>
      </c>
      <c r="I904" t="str">
        <f>VLOOKUP(Table2[[#This Row],[Customer ID]],Table2[#All],8,FALSE)</f>
        <v>No</v>
      </c>
      <c r="J904" t="str">
        <f>VLOOKUP(Table2[[#This Row],[Customer ID]],Table2[#All],9,FALSE)</f>
        <v>Normalweight</v>
      </c>
      <c r="K904" t="str">
        <f>VLOOKUP(Table2[[#This Row],[Customer ID]],Table2[#All],10,FALSE)</f>
        <v>Diabetes</v>
      </c>
    </row>
    <row r="905" spans="1:11" ht="15.6" x14ac:dyDescent="0.3">
      <c r="A905" s="1" t="s">
        <v>1467</v>
      </c>
      <c r="B905" t="str">
        <f>VLOOKUP('Customer Names'!A905,'Customer Names'!$A$1:$E$2336,4,FALSE)</f>
        <v>Ms.  Caitlin B.</v>
      </c>
      <c r="C905">
        <f>VLOOKUP(Table2[[#This Row],[Customer ID]],Table2[#All],2,FALSE)</f>
        <v>22.23</v>
      </c>
      <c r="D905">
        <f>VLOOKUP(Table2[[#This Row],[Customer ID]],Table2[#All],3,FALSE)</f>
        <v>9.65</v>
      </c>
      <c r="E905" t="str">
        <f>VLOOKUP(Table2[[#This Row],[Customer ID]],Table2[#All],4,FALSE)</f>
        <v>No</v>
      </c>
      <c r="F905" t="str">
        <f>VLOOKUP(Table2[[#This Row],[Customer ID]],Table2[#All],5,FALSE)</f>
        <v>No</v>
      </c>
      <c r="G905" t="str">
        <f>VLOOKUP(Table2[[#This Row],[Customer ID]],Table2[#All],6,FALSE)</f>
        <v>No</v>
      </c>
      <c r="H905">
        <f>VLOOKUP(Table2[[#This Row],[Customer ID]],Table2[#All],7,FALSE)</f>
        <v>0</v>
      </c>
      <c r="I905" t="str">
        <f>VLOOKUP(Table2[[#This Row],[Customer ID]],Table2[#All],8,FALSE)</f>
        <v>No</v>
      </c>
      <c r="J905" t="str">
        <f>VLOOKUP(Table2[[#This Row],[Customer ID]],Table2[#All],9,FALSE)</f>
        <v>Normalweight</v>
      </c>
      <c r="K905" t="str">
        <f>VLOOKUP(Table2[[#This Row],[Customer ID]],Table2[#All],10,FALSE)</f>
        <v>Diabetes</v>
      </c>
    </row>
    <row r="906" spans="1:11" ht="15.6" x14ac:dyDescent="0.3">
      <c r="A906" s="1" t="s">
        <v>1466</v>
      </c>
      <c r="B906" t="str">
        <f>VLOOKUP('Customer Names'!A906,'Customer Names'!$A$1:$E$2336,4,FALSE)</f>
        <v>Mr.  Joseph W</v>
      </c>
      <c r="C906">
        <f>VLOOKUP(Table2[[#This Row],[Customer ID]],Table2[#All],2,FALSE)</f>
        <v>36.47</v>
      </c>
      <c r="D906">
        <f>VLOOKUP(Table2[[#This Row],[Customer ID]],Table2[#All],3,FALSE)</f>
        <v>6.21</v>
      </c>
      <c r="E906" t="str">
        <f>VLOOKUP(Table2[[#This Row],[Customer ID]],Table2[#All],4,FALSE)</f>
        <v>No</v>
      </c>
      <c r="F906" t="str">
        <f>VLOOKUP(Table2[[#This Row],[Customer ID]],Table2[#All],5,FALSE)</f>
        <v>No</v>
      </c>
      <c r="G906" t="str">
        <f>VLOOKUP(Table2[[#This Row],[Customer ID]],Table2[#All],6,FALSE)</f>
        <v>No</v>
      </c>
      <c r="H906">
        <f>VLOOKUP(Table2[[#This Row],[Customer ID]],Table2[#All],7,FALSE)</f>
        <v>0</v>
      </c>
      <c r="I906" t="str">
        <f>VLOOKUP(Table2[[#This Row],[Customer ID]],Table2[#All],8,FALSE)</f>
        <v>No</v>
      </c>
      <c r="J906" t="str">
        <f>VLOOKUP(Table2[[#This Row],[Customer ID]],Table2[#All],9,FALSE)</f>
        <v>Obesity</v>
      </c>
      <c r="K906" t="str">
        <f>VLOOKUP(Table2[[#This Row],[Customer ID]],Table2[#All],10,FALSE)</f>
        <v>Prediabetes</v>
      </c>
    </row>
    <row r="907" spans="1:11" ht="15.6" x14ac:dyDescent="0.3">
      <c r="A907" s="1" t="s">
        <v>1465</v>
      </c>
      <c r="B907" t="str">
        <f>VLOOKUP('Customer Names'!A907,'Customer Names'!$A$1:$E$2336,4,FALSE)</f>
        <v>Ms.  Wendy</v>
      </c>
      <c r="C907">
        <f>VLOOKUP(Table2[[#This Row],[Customer ID]],Table2[#All],2,FALSE)</f>
        <v>49.64</v>
      </c>
      <c r="D907">
        <f>VLOOKUP(Table2[[#This Row],[Customer ID]],Table2[#All],3,FALSE)</f>
        <v>4.76</v>
      </c>
      <c r="E907" t="str">
        <f>VLOOKUP(Table2[[#This Row],[Customer ID]],Table2[#All],4,FALSE)</f>
        <v>No</v>
      </c>
      <c r="F907" t="str">
        <f>VLOOKUP(Table2[[#This Row],[Customer ID]],Table2[#All],5,FALSE)</f>
        <v>No</v>
      </c>
      <c r="G907" t="str">
        <f>VLOOKUP(Table2[[#This Row],[Customer ID]],Table2[#All],6,FALSE)</f>
        <v>Yes</v>
      </c>
      <c r="H907">
        <f>VLOOKUP(Table2[[#This Row],[Customer ID]],Table2[#All],7,FALSE)</f>
        <v>1</v>
      </c>
      <c r="I907" t="str">
        <f>VLOOKUP(Table2[[#This Row],[Customer ID]],Table2[#All],8,FALSE)</f>
        <v>No</v>
      </c>
      <c r="J907" t="str">
        <f>VLOOKUP(Table2[[#This Row],[Customer ID]],Table2[#All],9,FALSE)</f>
        <v>Obesity</v>
      </c>
      <c r="K907" t="str">
        <f>VLOOKUP(Table2[[#This Row],[Customer ID]],Table2[#All],10,FALSE)</f>
        <v>Normal</v>
      </c>
    </row>
    <row r="908" spans="1:11" ht="15.6" x14ac:dyDescent="0.3">
      <c r="A908" s="1" t="s">
        <v>1464</v>
      </c>
      <c r="B908" t="str">
        <f>VLOOKUP('Customer Names'!A908,'Customer Names'!$A$1:$E$2336,4,FALSE)</f>
        <v>Mrs.  Leah L.</v>
      </c>
      <c r="C908">
        <f>VLOOKUP(Table2[[#This Row],[Customer ID]],Table2[#All],2,FALSE)</f>
        <v>36.799999999999997</v>
      </c>
      <c r="D908">
        <f>VLOOKUP(Table2[[#This Row],[Customer ID]],Table2[#All],3,FALSE)</f>
        <v>5.73</v>
      </c>
      <c r="E908" t="str">
        <f>VLOOKUP(Table2[[#This Row],[Customer ID]],Table2[#All],4,FALSE)</f>
        <v>Yes</v>
      </c>
      <c r="F908" t="str">
        <f>VLOOKUP(Table2[[#This Row],[Customer ID]],Table2[#All],5,FALSE)</f>
        <v>No</v>
      </c>
      <c r="G908" t="str">
        <f>VLOOKUP(Table2[[#This Row],[Customer ID]],Table2[#All],6,FALSE)</f>
        <v>Yes</v>
      </c>
      <c r="H908">
        <f>VLOOKUP(Table2[[#This Row],[Customer ID]],Table2[#All],7,FALSE)</f>
        <v>1</v>
      </c>
      <c r="I908" t="str">
        <f>VLOOKUP(Table2[[#This Row],[Customer ID]],Table2[#All],8,FALSE)</f>
        <v>No</v>
      </c>
      <c r="J908" t="str">
        <f>VLOOKUP(Table2[[#This Row],[Customer ID]],Table2[#All],9,FALSE)</f>
        <v>Obesity</v>
      </c>
      <c r="K908" t="str">
        <f>VLOOKUP(Table2[[#This Row],[Customer ID]],Table2[#All],10,FALSE)</f>
        <v>Prediabetes</v>
      </c>
    </row>
    <row r="909" spans="1:11" ht="15.6" x14ac:dyDescent="0.3">
      <c r="A909" s="1" t="s">
        <v>1463</v>
      </c>
      <c r="B909" t="str">
        <f>VLOOKUP('Customer Names'!A909,'Customer Names'!$A$1:$E$2336,4,FALSE)</f>
        <v>Mr.  Wayne L.</v>
      </c>
      <c r="C909">
        <f>VLOOKUP(Table2[[#This Row],[Customer ID]],Table2[#All],2,FALSE)</f>
        <v>33.880000000000003</v>
      </c>
      <c r="D909">
        <f>VLOOKUP(Table2[[#This Row],[Customer ID]],Table2[#All],3,FALSE)</f>
        <v>10.78</v>
      </c>
      <c r="E909" t="str">
        <f>VLOOKUP(Table2[[#This Row],[Customer ID]],Table2[#All],4,FALSE)</f>
        <v>Yes</v>
      </c>
      <c r="F909" t="str">
        <f>VLOOKUP(Table2[[#This Row],[Customer ID]],Table2[#All],5,FALSE)</f>
        <v>No</v>
      </c>
      <c r="G909" t="str">
        <f>VLOOKUP(Table2[[#This Row],[Customer ID]],Table2[#All],6,FALSE)</f>
        <v>No</v>
      </c>
      <c r="H909">
        <f>VLOOKUP(Table2[[#This Row],[Customer ID]],Table2[#All],7,FALSE)</f>
        <v>0</v>
      </c>
      <c r="I909" t="str">
        <f>VLOOKUP(Table2[[#This Row],[Customer ID]],Table2[#All],8,FALSE)</f>
        <v>No</v>
      </c>
      <c r="J909" t="str">
        <f>VLOOKUP(Table2[[#This Row],[Customer ID]],Table2[#All],9,FALSE)</f>
        <v>Obesity</v>
      </c>
      <c r="K909" t="str">
        <f>VLOOKUP(Table2[[#This Row],[Customer ID]],Table2[#All],10,FALSE)</f>
        <v>Diabetes</v>
      </c>
    </row>
    <row r="910" spans="1:11" ht="15.6" x14ac:dyDescent="0.3">
      <c r="A910" s="1" t="s">
        <v>1462</v>
      </c>
      <c r="B910" t="str">
        <f>VLOOKUP('Customer Names'!A910,'Customer Names'!$A$1:$E$2336,4,FALSE)</f>
        <v>Mr.  Jason M.</v>
      </c>
      <c r="C910">
        <f>VLOOKUP(Table2[[#This Row],[Customer ID]],Table2[#All],2,FALSE)</f>
        <v>32.01</v>
      </c>
      <c r="D910">
        <f>VLOOKUP(Table2[[#This Row],[Customer ID]],Table2[#All],3,FALSE)</f>
        <v>5.08</v>
      </c>
      <c r="E910" t="str">
        <f>VLOOKUP(Table2[[#This Row],[Customer ID]],Table2[#All],4,FALSE)</f>
        <v>Yes</v>
      </c>
      <c r="F910" t="str">
        <f>VLOOKUP(Table2[[#This Row],[Customer ID]],Table2[#All],5,FALSE)</f>
        <v>No</v>
      </c>
      <c r="G910" t="str">
        <f>VLOOKUP(Table2[[#This Row],[Customer ID]],Table2[#All],6,FALSE)</f>
        <v>No</v>
      </c>
      <c r="H910">
        <f>VLOOKUP(Table2[[#This Row],[Customer ID]],Table2[#All],7,FALSE)</f>
        <v>1</v>
      </c>
      <c r="I910" t="str">
        <f>VLOOKUP(Table2[[#This Row],[Customer ID]],Table2[#All],8,FALSE)</f>
        <v>No</v>
      </c>
      <c r="J910" t="str">
        <f>VLOOKUP(Table2[[#This Row],[Customer ID]],Table2[#All],9,FALSE)</f>
        <v>Obesity</v>
      </c>
      <c r="K910" t="str">
        <f>VLOOKUP(Table2[[#This Row],[Customer ID]],Table2[#All],10,FALSE)</f>
        <v>Normal</v>
      </c>
    </row>
    <row r="911" spans="1:11" ht="15.6" x14ac:dyDescent="0.3">
      <c r="A911" s="1" t="s">
        <v>1461</v>
      </c>
      <c r="B911" t="str">
        <f>VLOOKUP('Customer Names'!A911,'Customer Names'!$A$1:$E$2336,4,FALSE)</f>
        <v>Mr.  Floris</v>
      </c>
      <c r="C911">
        <f>VLOOKUP(Table2[[#This Row],[Customer ID]],Table2[#All],2,FALSE)</f>
        <v>33.630000000000003</v>
      </c>
      <c r="D911">
        <f>VLOOKUP(Table2[[#This Row],[Customer ID]],Table2[#All],3,FALSE)</f>
        <v>11.39</v>
      </c>
      <c r="E911" t="str">
        <f>VLOOKUP(Table2[[#This Row],[Customer ID]],Table2[#All],4,FALSE)</f>
        <v>No</v>
      </c>
      <c r="F911" t="str">
        <f>VLOOKUP(Table2[[#This Row],[Customer ID]],Table2[#All],5,FALSE)</f>
        <v>No</v>
      </c>
      <c r="G911" t="str">
        <f>VLOOKUP(Table2[[#This Row],[Customer ID]],Table2[#All],6,FALSE)</f>
        <v>No</v>
      </c>
      <c r="H911">
        <f>VLOOKUP(Table2[[#This Row],[Customer ID]],Table2[#All],7,FALSE)</f>
        <v>0</v>
      </c>
      <c r="I911" t="str">
        <f>VLOOKUP(Table2[[#This Row],[Customer ID]],Table2[#All],8,FALSE)</f>
        <v>No</v>
      </c>
      <c r="J911" t="str">
        <f>VLOOKUP(Table2[[#This Row],[Customer ID]],Table2[#All],9,FALSE)</f>
        <v>Obesity</v>
      </c>
      <c r="K911" t="str">
        <f>VLOOKUP(Table2[[#This Row],[Customer ID]],Table2[#All],10,FALSE)</f>
        <v>Diabetes</v>
      </c>
    </row>
    <row r="912" spans="1:11" ht="15.6" x14ac:dyDescent="0.3">
      <c r="A912" s="1" t="s">
        <v>1460</v>
      </c>
      <c r="B912" t="str">
        <f>VLOOKUP('Customer Names'!A912,'Customer Names'!$A$1:$E$2336,4,FALSE)</f>
        <v>Mr.  Marc</v>
      </c>
      <c r="C912">
        <f>VLOOKUP(Table2[[#This Row],[Customer ID]],Table2[#All],2,FALSE)</f>
        <v>34.865000000000002</v>
      </c>
      <c r="D912">
        <f>VLOOKUP(Table2[[#This Row],[Customer ID]],Table2[#All],3,FALSE)</f>
        <v>5.35</v>
      </c>
      <c r="E912" t="str">
        <f>VLOOKUP(Table2[[#This Row],[Customer ID]],Table2[#All],4,FALSE)</f>
        <v>Yes</v>
      </c>
      <c r="F912" t="str">
        <f>VLOOKUP(Table2[[#This Row],[Customer ID]],Table2[#All],5,FALSE)</f>
        <v>No</v>
      </c>
      <c r="G912" t="str">
        <f>VLOOKUP(Table2[[#This Row],[Customer ID]],Table2[#All],6,FALSE)</f>
        <v>No</v>
      </c>
      <c r="H912">
        <f>VLOOKUP(Table2[[#This Row],[Customer ID]],Table2[#All],7,FALSE)</f>
        <v>1</v>
      </c>
      <c r="I912" t="str">
        <f>VLOOKUP(Table2[[#This Row],[Customer ID]],Table2[#All],8,FALSE)</f>
        <v>No</v>
      </c>
      <c r="J912" t="str">
        <f>VLOOKUP(Table2[[#This Row],[Customer ID]],Table2[#All],9,FALSE)</f>
        <v>Obesity</v>
      </c>
      <c r="K912" t="str">
        <f>VLOOKUP(Table2[[#This Row],[Customer ID]],Table2[#All],10,FALSE)</f>
        <v>Normal</v>
      </c>
    </row>
    <row r="913" spans="1:11" ht="15.6" x14ac:dyDescent="0.3">
      <c r="A913" s="1" t="s">
        <v>1459</v>
      </c>
      <c r="B913" t="str">
        <f>VLOOKUP('Customer Names'!A913,'Customer Names'!$A$1:$E$2336,4,FALSE)</f>
        <v>Mr.  Christopher</v>
      </c>
      <c r="C913">
        <f>VLOOKUP(Table2[[#This Row],[Customer ID]],Table2[#All],2,FALSE)</f>
        <v>43.11</v>
      </c>
      <c r="D913">
        <f>VLOOKUP(Table2[[#This Row],[Customer ID]],Table2[#All],3,FALSE)</f>
        <v>5.6</v>
      </c>
      <c r="E913" t="str">
        <f>VLOOKUP(Table2[[#This Row],[Customer ID]],Table2[#All],4,FALSE)</f>
        <v>No</v>
      </c>
      <c r="F913" t="str">
        <f>VLOOKUP(Table2[[#This Row],[Customer ID]],Table2[#All],5,FALSE)</f>
        <v>No</v>
      </c>
      <c r="G913" t="str">
        <f>VLOOKUP(Table2[[#This Row],[Customer ID]],Table2[#All],6,FALSE)</f>
        <v>No</v>
      </c>
      <c r="H913">
        <f>VLOOKUP(Table2[[#This Row],[Customer ID]],Table2[#All],7,FALSE)</f>
        <v>0</v>
      </c>
      <c r="I913" t="str">
        <f>VLOOKUP(Table2[[#This Row],[Customer ID]],Table2[#All],8,FALSE)</f>
        <v>No</v>
      </c>
      <c r="J913" t="str">
        <f>VLOOKUP(Table2[[#This Row],[Customer ID]],Table2[#All],9,FALSE)</f>
        <v>Obesity</v>
      </c>
      <c r="K913" t="str">
        <f>VLOOKUP(Table2[[#This Row],[Customer ID]],Table2[#All],10,FALSE)</f>
        <v>Normal</v>
      </c>
    </row>
    <row r="914" spans="1:11" ht="15.6" x14ac:dyDescent="0.3">
      <c r="A914" s="1" t="s">
        <v>1458</v>
      </c>
      <c r="B914" t="str">
        <f>VLOOKUP('Customer Names'!A914,'Customer Names'!$A$1:$E$2336,4,FALSE)</f>
        <v>Mr.  Kevin</v>
      </c>
      <c r="C914">
        <f>VLOOKUP(Table2[[#This Row],[Customer ID]],Table2[#All],2,FALSE)</f>
        <v>30.305</v>
      </c>
      <c r="D914">
        <f>VLOOKUP(Table2[[#This Row],[Customer ID]],Table2[#All],3,FALSE)</f>
        <v>4.2699999999999996</v>
      </c>
      <c r="E914" t="str">
        <f>VLOOKUP(Table2[[#This Row],[Customer ID]],Table2[#All],4,FALSE)</f>
        <v>Yes</v>
      </c>
      <c r="F914" t="str">
        <f>VLOOKUP(Table2[[#This Row],[Customer ID]],Table2[#All],5,FALSE)</f>
        <v>No</v>
      </c>
      <c r="G914" t="str">
        <f>VLOOKUP(Table2[[#This Row],[Customer ID]],Table2[#All],6,FALSE)</f>
        <v>No</v>
      </c>
      <c r="H914">
        <f>VLOOKUP(Table2[[#This Row],[Customer ID]],Table2[#All],7,FALSE)</f>
        <v>1</v>
      </c>
      <c r="I914" t="str">
        <f>VLOOKUP(Table2[[#This Row],[Customer ID]],Table2[#All],8,FALSE)</f>
        <v>No</v>
      </c>
      <c r="J914" t="str">
        <f>VLOOKUP(Table2[[#This Row],[Customer ID]],Table2[#All],9,FALSE)</f>
        <v>Obesity</v>
      </c>
      <c r="K914" t="str">
        <f>VLOOKUP(Table2[[#This Row],[Customer ID]],Table2[#All],10,FALSE)</f>
        <v>Normal</v>
      </c>
    </row>
    <row r="915" spans="1:11" ht="15.6" x14ac:dyDescent="0.3">
      <c r="A915" s="1" t="s">
        <v>1457</v>
      </c>
      <c r="B915" t="str">
        <f>VLOOKUP('Customer Names'!A915,'Customer Names'!$A$1:$E$2336,4,FALSE)</f>
        <v>Mr.  Aharon N</v>
      </c>
      <c r="C915">
        <f>VLOOKUP(Table2[[#This Row],[Customer ID]],Table2[#All],2,FALSE)</f>
        <v>25.175000000000001</v>
      </c>
      <c r="D915">
        <f>VLOOKUP(Table2[[#This Row],[Customer ID]],Table2[#All],3,FALSE)</f>
        <v>5.57</v>
      </c>
      <c r="E915" t="str">
        <f>VLOOKUP(Table2[[#This Row],[Customer ID]],Table2[#All],4,FALSE)</f>
        <v>Yes</v>
      </c>
      <c r="F915" t="str">
        <f>VLOOKUP(Table2[[#This Row],[Customer ID]],Table2[#All],5,FALSE)</f>
        <v>No</v>
      </c>
      <c r="G915" t="str">
        <f>VLOOKUP(Table2[[#This Row],[Customer ID]],Table2[#All],6,FALSE)</f>
        <v>No</v>
      </c>
      <c r="H915">
        <f>VLOOKUP(Table2[[#This Row],[Customer ID]],Table2[#All],7,FALSE)</f>
        <v>1</v>
      </c>
      <c r="I915" t="str">
        <f>VLOOKUP(Table2[[#This Row],[Customer ID]],Table2[#All],8,FALSE)</f>
        <v>No</v>
      </c>
      <c r="J915" t="str">
        <f>VLOOKUP(Table2[[#This Row],[Customer ID]],Table2[#All],9,FALSE)</f>
        <v>Overweight</v>
      </c>
      <c r="K915" t="str">
        <f>VLOOKUP(Table2[[#This Row],[Customer ID]],Table2[#All],10,FALSE)</f>
        <v>Normal</v>
      </c>
    </row>
    <row r="916" spans="1:11" ht="15.6" x14ac:dyDescent="0.3">
      <c r="A916" s="1" t="s">
        <v>1456</v>
      </c>
      <c r="B916" t="str">
        <f>VLOOKUP('Customer Names'!A916,'Customer Names'!$A$1:$E$2336,4,FALSE)</f>
        <v>Mr.  Lawrence D.</v>
      </c>
      <c r="C916">
        <f>VLOOKUP(Table2[[#This Row],[Customer ID]],Table2[#All],2,FALSE)</f>
        <v>26.8</v>
      </c>
      <c r="D916">
        <f>VLOOKUP(Table2[[#This Row],[Customer ID]],Table2[#All],3,FALSE)</f>
        <v>5.68</v>
      </c>
      <c r="E916" t="str">
        <f>VLOOKUP(Table2[[#This Row],[Customer ID]],Table2[#All],4,FALSE)</f>
        <v>Yes</v>
      </c>
      <c r="F916" t="str">
        <f>VLOOKUP(Table2[[#This Row],[Customer ID]],Table2[#All],5,FALSE)</f>
        <v>No</v>
      </c>
      <c r="G916" t="str">
        <f>VLOOKUP(Table2[[#This Row],[Customer ID]],Table2[#All],6,FALSE)</f>
        <v>No</v>
      </c>
      <c r="H916">
        <f>VLOOKUP(Table2[[#This Row],[Customer ID]],Table2[#All],7,FALSE)</f>
        <v>1</v>
      </c>
      <c r="I916" t="str">
        <f>VLOOKUP(Table2[[#This Row],[Customer ID]],Table2[#All],8,FALSE)</f>
        <v>No</v>
      </c>
      <c r="J916" t="str">
        <f>VLOOKUP(Table2[[#This Row],[Customer ID]],Table2[#All],9,FALSE)</f>
        <v>Overweight</v>
      </c>
      <c r="K916" t="str">
        <f>VLOOKUP(Table2[[#This Row],[Customer ID]],Table2[#All],10,FALSE)</f>
        <v>Normal</v>
      </c>
    </row>
    <row r="917" spans="1:11" ht="15.6" x14ac:dyDescent="0.3">
      <c r="A917" s="1" t="s">
        <v>1455</v>
      </c>
      <c r="B917" t="str">
        <f>VLOOKUP('Customer Names'!A917,'Customer Names'!$A$1:$E$2336,4,FALSE)</f>
        <v>Mr.  Malcolm</v>
      </c>
      <c r="C917">
        <f>VLOOKUP(Table2[[#This Row],[Customer ID]],Table2[#All],2,FALSE)</f>
        <v>21.78</v>
      </c>
      <c r="D917">
        <f>VLOOKUP(Table2[[#This Row],[Customer ID]],Table2[#All],3,FALSE)</f>
        <v>5.3</v>
      </c>
      <c r="E917" t="str">
        <f>VLOOKUP(Table2[[#This Row],[Customer ID]],Table2[#All],4,FALSE)</f>
        <v>No</v>
      </c>
      <c r="F917" t="str">
        <f>VLOOKUP(Table2[[#This Row],[Customer ID]],Table2[#All],5,FALSE)</f>
        <v>yes</v>
      </c>
      <c r="G917" t="str">
        <f>VLOOKUP(Table2[[#This Row],[Customer ID]],Table2[#All],6,FALSE)</f>
        <v>No</v>
      </c>
      <c r="H917">
        <f>VLOOKUP(Table2[[#This Row],[Customer ID]],Table2[#All],7,FALSE)</f>
        <v>1</v>
      </c>
      <c r="I917" t="str">
        <f>VLOOKUP(Table2[[#This Row],[Customer ID]],Table2[#All],8,FALSE)</f>
        <v>No</v>
      </c>
      <c r="J917" t="str">
        <f>VLOOKUP(Table2[[#This Row],[Customer ID]],Table2[#All],9,FALSE)</f>
        <v>Normalweight</v>
      </c>
      <c r="K917" t="str">
        <f>VLOOKUP(Table2[[#This Row],[Customer ID]],Table2[#All],10,FALSE)</f>
        <v>Normal</v>
      </c>
    </row>
    <row r="918" spans="1:11" ht="15.6" x14ac:dyDescent="0.3">
      <c r="A918" s="1" t="s">
        <v>1454</v>
      </c>
      <c r="B918" t="str">
        <f>VLOOKUP('Customer Names'!A918,'Customer Names'!$A$1:$E$2336,4,FALSE)</f>
        <v>Ms.  Anna E.</v>
      </c>
      <c r="C918">
        <f>VLOOKUP(Table2[[#This Row],[Customer ID]],Table2[#All],2,FALSE)</f>
        <v>30.14</v>
      </c>
      <c r="D918">
        <f>VLOOKUP(Table2[[#This Row],[Customer ID]],Table2[#All],3,FALSE)</f>
        <v>9.4499999999999993</v>
      </c>
      <c r="E918" t="str">
        <f>VLOOKUP(Table2[[#This Row],[Customer ID]],Table2[#All],4,FALSE)</f>
        <v>Yes</v>
      </c>
      <c r="F918" t="str">
        <f>VLOOKUP(Table2[[#This Row],[Customer ID]],Table2[#All],5,FALSE)</f>
        <v>No</v>
      </c>
      <c r="G918" t="str">
        <f>VLOOKUP(Table2[[#This Row],[Customer ID]],Table2[#All],6,FALSE)</f>
        <v>No</v>
      </c>
      <c r="H918">
        <f>VLOOKUP(Table2[[#This Row],[Customer ID]],Table2[#All],7,FALSE)</f>
        <v>0</v>
      </c>
      <c r="I918" t="str">
        <f>VLOOKUP(Table2[[#This Row],[Customer ID]],Table2[#All],8,FALSE)</f>
        <v>No</v>
      </c>
      <c r="J918" t="str">
        <f>VLOOKUP(Table2[[#This Row],[Customer ID]],Table2[#All],9,FALSE)</f>
        <v>Obesity</v>
      </c>
      <c r="K918" t="str">
        <f>VLOOKUP(Table2[[#This Row],[Customer ID]],Table2[#All],10,FALSE)</f>
        <v>Diabetes</v>
      </c>
    </row>
    <row r="919" spans="1:11" ht="15.6" x14ac:dyDescent="0.3">
      <c r="A919" s="1" t="s">
        <v>1453</v>
      </c>
      <c r="B919" t="str">
        <f>VLOOKUP('Customer Names'!A919,'Customer Names'!$A$1:$E$2336,4,FALSE)</f>
        <v>Ms.  Jenny</v>
      </c>
      <c r="C919">
        <f>VLOOKUP(Table2[[#This Row],[Customer ID]],Table2[#All],2,FALSE)</f>
        <v>29.7</v>
      </c>
      <c r="D919">
        <f>VLOOKUP(Table2[[#This Row],[Customer ID]],Table2[#All],3,FALSE)</f>
        <v>6.79</v>
      </c>
      <c r="E919" t="str">
        <f>VLOOKUP(Table2[[#This Row],[Customer ID]],Table2[#All],4,FALSE)</f>
        <v>Yes</v>
      </c>
      <c r="F919" t="str">
        <f>VLOOKUP(Table2[[#This Row],[Customer ID]],Table2[#All],5,FALSE)</f>
        <v>No</v>
      </c>
      <c r="G919" t="str">
        <f>VLOOKUP(Table2[[#This Row],[Customer ID]],Table2[#All],6,FALSE)</f>
        <v>No</v>
      </c>
      <c r="H919">
        <f>VLOOKUP(Table2[[#This Row],[Customer ID]],Table2[#All],7,FALSE)</f>
        <v>0</v>
      </c>
      <c r="I919" t="str">
        <f>VLOOKUP(Table2[[#This Row],[Customer ID]],Table2[#All],8,FALSE)</f>
        <v>No</v>
      </c>
      <c r="J919" t="str">
        <f>VLOOKUP(Table2[[#This Row],[Customer ID]],Table2[#All],9,FALSE)</f>
        <v>Overweight</v>
      </c>
      <c r="K919" t="str">
        <f>VLOOKUP(Table2[[#This Row],[Customer ID]],Table2[#All],10,FALSE)</f>
        <v>Diabetes</v>
      </c>
    </row>
    <row r="920" spans="1:11" ht="15.6" x14ac:dyDescent="0.3">
      <c r="A920" s="1" t="s">
        <v>1452</v>
      </c>
      <c r="B920" t="str">
        <f>VLOOKUP('Customer Names'!A920,'Customer Names'!$A$1:$E$2336,4,FALSE)</f>
        <v>Ms.  Melissa L</v>
      </c>
      <c r="C920">
        <f>VLOOKUP(Table2[[#This Row],[Customer ID]],Table2[#All],2,FALSE)</f>
        <v>32.395000000000003</v>
      </c>
      <c r="D920">
        <f>VLOOKUP(Table2[[#This Row],[Customer ID]],Table2[#All],3,FALSE)</f>
        <v>11.1</v>
      </c>
      <c r="E920" t="str">
        <f>VLOOKUP(Table2[[#This Row],[Customer ID]],Table2[#All],4,FALSE)</f>
        <v>Yes</v>
      </c>
      <c r="F920" t="str">
        <f>VLOOKUP(Table2[[#This Row],[Customer ID]],Table2[#All],5,FALSE)</f>
        <v>No</v>
      </c>
      <c r="G920" t="str">
        <f>VLOOKUP(Table2[[#This Row],[Customer ID]],Table2[#All],6,FALSE)</f>
        <v>No</v>
      </c>
      <c r="H920">
        <f>VLOOKUP(Table2[[#This Row],[Customer ID]],Table2[#All],7,FALSE)</f>
        <v>0</v>
      </c>
      <c r="I920" t="str">
        <f>VLOOKUP(Table2[[#This Row],[Customer ID]],Table2[#All],8,FALSE)</f>
        <v>No</v>
      </c>
      <c r="J920" t="str">
        <f>VLOOKUP(Table2[[#This Row],[Customer ID]],Table2[#All],9,FALSE)</f>
        <v>Obesity</v>
      </c>
      <c r="K920" t="str">
        <f>VLOOKUP(Table2[[#This Row],[Customer ID]],Table2[#All],10,FALSE)</f>
        <v>Diabetes</v>
      </c>
    </row>
    <row r="921" spans="1:11" ht="15.6" x14ac:dyDescent="0.3">
      <c r="A921" s="1" t="s">
        <v>1451</v>
      </c>
      <c r="B921" t="str">
        <f>VLOOKUP('Customer Names'!A921,'Customer Names'!$A$1:$E$2336,4,FALSE)</f>
        <v>Ms.  Chia J.</v>
      </c>
      <c r="C921">
        <f>VLOOKUP(Table2[[#This Row],[Customer ID]],Table2[#All],2,FALSE)</f>
        <v>36.64</v>
      </c>
      <c r="D921">
        <f>VLOOKUP(Table2[[#This Row],[Customer ID]],Table2[#All],3,FALSE)</f>
        <v>7.26</v>
      </c>
      <c r="E921" t="str">
        <f>VLOOKUP(Table2[[#This Row],[Customer ID]],Table2[#All],4,FALSE)</f>
        <v>No</v>
      </c>
      <c r="F921" t="str">
        <f>VLOOKUP(Table2[[#This Row],[Customer ID]],Table2[#All],5,FALSE)</f>
        <v>No</v>
      </c>
      <c r="G921" t="str">
        <f>VLOOKUP(Table2[[#This Row],[Customer ID]],Table2[#All],6,FALSE)</f>
        <v>No</v>
      </c>
      <c r="H921">
        <f>VLOOKUP(Table2[[#This Row],[Customer ID]],Table2[#All],7,FALSE)</f>
        <v>0</v>
      </c>
      <c r="I921" t="str">
        <f>VLOOKUP(Table2[[#This Row],[Customer ID]],Table2[#All],8,FALSE)</f>
        <v>No</v>
      </c>
      <c r="J921" t="str">
        <f>VLOOKUP(Table2[[#This Row],[Customer ID]],Table2[#All],9,FALSE)</f>
        <v>Obesity</v>
      </c>
      <c r="K921" t="str">
        <f>VLOOKUP(Table2[[#This Row],[Customer ID]],Table2[#All],10,FALSE)</f>
        <v>Diabetes</v>
      </c>
    </row>
    <row r="922" spans="1:11" ht="15.6" x14ac:dyDescent="0.3">
      <c r="A922" s="1" t="s">
        <v>1450</v>
      </c>
      <c r="B922" t="str">
        <f>VLOOKUP('Customer Names'!A922,'Customer Names'!$A$1:$E$2336,4,FALSE)</f>
        <v>Ms.  Laura A</v>
      </c>
      <c r="C922">
        <f>VLOOKUP(Table2[[#This Row],[Customer ID]],Table2[#All],2,FALSE)</f>
        <v>39.049999999999997</v>
      </c>
      <c r="D922">
        <f>VLOOKUP(Table2[[#This Row],[Customer ID]],Table2[#All],3,FALSE)</f>
        <v>5.27</v>
      </c>
      <c r="E922" t="str">
        <f>VLOOKUP(Table2[[#This Row],[Customer ID]],Table2[#All],4,FALSE)</f>
        <v>Yes</v>
      </c>
      <c r="F922" t="str">
        <f>VLOOKUP(Table2[[#This Row],[Customer ID]],Table2[#All],5,FALSE)</f>
        <v>No</v>
      </c>
      <c r="G922" t="str">
        <f>VLOOKUP(Table2[[#This Row],[Customer ID]],Table2[#All],6,FALSE)</f>
        <v>No</v>
      </c>
      <c r="H922">
        <f>VLOOKUP(Table2[[#This Row],[Customer ID]],Table2[#All],7,FALSE)</f>
        <v>1</v>
      </c>
      <c r="I922" t="str">
        <f>VLOOKUP(Table2[[#This Row],[Customer ID]],Table2[#All],8,FALSE)</f>
        <v>No</v>
      </c>
      <c r="J922" t="str">
        <f>VLOOKUP(Table2[[#This Row],[Customer ID]],Table2[#All],9,FALSE)</f>
        <v>Obesity</v>
      </c>
      <c r="K922" t="str">
        <f>VLOOKUP(Table2[[#This Row],[Customer ID]],Table2[#All],10,FALSE)</f>
        <v>Normal</v>
      </c>
    </row>
    <row r="923" spans="1:11" ht="15.6" x14ac:dyDescent="0.3">
      <c r="A923" s="1" t="s">
        <v>1449</v>
      </c>
      <c r="B923" t="str">
        <f>VLOOKUP('Customer Names'!A923,'Customer Names'!$A$1:$E$2336,4,FALSE)</f>
        <v>Ms.  Aditi</v>
      </c>
      <c r="C923">
        <f>VLOOKUP(Table2[[#This Row],[Customer ID]],Table2[#All],2,FALSE)</f>
        <v>33.1</v>
      </c>
      <c r="D923">
        <f>VLOOKUP(Table2[[#This Row],[Customer ID]],Table2[#All],3,FALSE)</f>
        <v>5.46</v>
      </c>
      <c r="E923" t="str">
        <f>VLOOKUP(Table2[[#This Row],[Customer ID]],Table2[#All],4,FALSE)</f>
        <v>Yes</v>
      </c>
      <c r="F923" t="str">
        <f>VLOOKUP(Table2[[#This Row],[Customer ID]],Table2[#All],5,FALSE)</f>
        <v>No</v>
      </c>
      <c r="G923" t="str">
        <f>VLOOKUP(Table2[[#This Row],[Customer ID]],Table2[#All],6,FALSE)</f>
        <v>No</v>
      </c>
      <c r="H923">
        <f>VLOOKUP(Table2[[#This Row],[Customer ID]],Table2[#All],7,FALSE)</f>
        <v>1</v>
      </c>
      <c r="I923" t="str">
        <f>VLOOKUP(Table2[[#This Row],[Customer ID]],Table2[#All],8,FALSE)</f>
        <v>No</v>
      </c>
      <c r="J923" t="str">
        <f>VLOOKUP(Table2[[#This Row],[Customer ID]],Table2[#All],9,FALSE)</f>
        <v>Obesity</v>
      </c>
      <c r="K923" t="str">
        <f>VLOOKUP(Table2[[#This Row],[Customer ID]],Table2[#All],10,FALSE)</f>
        <v>Normal</v>
      </c>
    </row>
    <row r="924" spans="1:11" ht="15.6" x14ac:dyDescent="0.3">
      <c r="A924" s="1" t="s">
        <v>1448</v>
      </c>
      <c r="B924" t="str">
        <f>VLOOKUP('Customer Names'!A924,'Customer Names'!$A$1:$E$2336,4,FALSE)</f>
        <v>Ms.  Leah A.</v>
      </c>
      <c r="C924">
        <f>VLOOKUP(Table2[[#This Row],[Customer ID]],Table2[#All],2,FALSE)</f>
        <v>31.824999999999999</v>
      </c>
      <c r="D924">
        <f>VLOOKUP(Table2[[#This Row],[Customer ID]],Table2[#All],3,FALSE)</f>
        <v>8.1300000000000008</v>
      </c>
      <c r="E924" t="str">
        <f>VLOOKUP(Table2[[#This Row],[Customer ID]],Table2[#All],4,FALSE)</f>
        <v>No</v>
      </c>
      <c r="F924" t="str">
        <f>VLOOKUP(Table2[[#This Row],[Customer ID]],Table2[#All],5,FALSE)</f>
        <v>No</v>
      </c>
      <c r="G924" t="str">
        <f>VLOOKUP(Table2[[#This Row],[Customer ID]],Table2[#All],6,FALSE)</f>
        <v>No</v>
      </c>
      <c r="H924">
        <f>VLOOKUP(Table2[[#This Row],[Customer ID]],Table2[#All],7,FALSE)</f>
        <v>0</v>
      </c>
      <c r="I924" t="str">
        <f>VLOOKUP(Table2[[#This Row],[Customer ID]],Table2[#All],8,FALSE)</f>
        <v>No</v>
      </c>
      <c r="J924" t="str">
        <f>VLOOKUP(Table2[[#This Row],[Customer ID]],Table2[#All],9,FALSE)</f>
        <v>Obesity</v>
      </c>
      <c r="K924" t="str">
        <f>VLOOKUP(Table2[[#This Row],[Customer ID]],Table2[#All],10,FALSE)</f>
        <v>Diabetes</v>
      </c>
    </row>
    <row r="925" spans="1:11" ht="15.6" x14ac:dyDescent="0.3">
      <c r="A925" s="1" t="s">
        <v>1447</v>
      </c>
      <c r="B925" t="str">
        <f>VLOOKUP('Customer Names'!A925,'Customer Names'!$A$1:$E$2336,4,FALSE)</f>
        <v>Ms.  Marianne</v>
      </c>
      <c r="C925">
        <f>VLOOKUP(Table2[[#This Row],[Customer ID]],Table2[#All],2,FALSE)</f>
        <v>29</v>
      </c>
      <c r="D925">
        <f>VLOOKUP(Table2[[#This Row],[Customer ID]],Table2[#All],3,FALSE)</f>
        <v>4.25</v>
      </c>
      <c r="E925" t="str">
        <f>VLOOKUP(Table2[[#This Row],[Customer ID]],Table2[#All],4,FALSE)</f>
        <v>Yes</v>
      </c>
      <c r="F925" t="str">
        <f>VLOOKUP(Table2[[#This Row],[Customer ID]],Table2[#All],5,FALSE)</f>
        <v>No</v>
      </c>
      <c r="G925" t="str">
        <f>VLOOKUP(Table2[[#This Row],[Customer ID]],Table2[#All],6,FALSE)</f>
        <v>No</v>
      </c>
      <c r="H925">
        <f>VLOOKUP(Table2[[#This Row],[Customer ID]],Table2[#All],7,FALSE)</f>
        <v>1</v>
      </c>
      <c r="I925" t="str">
        <f>VLOOKUP(Table2[[#This Row],[Customer ID]],Table2[#All],8,FALSE)</f>
        <v>No</v>
      </c>
      <c r="J925" t="str">
        <f>VLOOKUP(Table2[[#This Row],[Customer ID]],Table2[#All],9,FALSE)</f>
        <v>Overweight</v>
      </c>
      <c r="K925" t="str">
        <f>VLOOKUP(Table2[[#This Row],[Customer ID]],Table2[#All],10,FALSE)</f>
        <v>Normal</v>
      </c>
    </row>
    <row r="926" spans="1:11" ht="15.6" x14ac:dyDescent="0.3">
      <c r="A926" s="1" t="s">
        <v>1446</v>
      </c>
      <c r="B926" t="str">
        <f>VLOOKUP('Customer Names'!A926,'Customer Names'!$A$1:$E$2336,4,FALSE)</f>
        <v>Ms.  Carla</v>
      </c>
      <c r="C926">
        <f>VLOOKUP(Table2[[#This Row],[Customer ID]],Table2[#All],2,FALSE)</f>
        <v>30.495000000000001</v>
      </c>
      <c r="D926">
        <f>VLOOKUP(Table2[[#This Row],[Customer ID]],Table2[#All],3,FALSE)</f>
        <v>8.68</v>
      </c>
      <c r="E926" t="str">
        <f>VLOOKUP(Table2[[#This Row],[Customer ID]],Table2[#All],4,FALSE)</f>
        <v>No</v>
      </c>
      <c r="F926" t="str">
        <f>VLOOKUP(Table2[[#This Row],[Customer ID]],Table2[#All],5,FALSE)</f>
        <v>No</v>
      </c>
      <c r="G926" t="str">
        <f>VLOOKUP(Table2[[#This Row],[Customer ID]],Table2[#All],6,FALSE)</f>
        <v>No</v>
      </c>
      <c r="H926">
        <f>VLOOKUP(Table2[[#This Row],[Customer ID]],Table2[#All],7,FALSE)</f>
        <v>0</v>
      </c>
      <c r="I926" t="str">
        <f>VLOOKUP(Table2[[#This Row],[Customer ID]],Table2[#All],8,FALSE)</f>
        <v>No</v>
      </c>
      <c r="J926" t="str">
        <f>VLOOKUP(Table2[[#This Row],[Customer ID]],Table2[#All],9,FALSE)</f>
        <v>Obesity</v>
      </c>
      <c r="K926" t="str">
        <f>VLOOKUP(Table2[[#This Row],[Customer ID]],Table2[#All],10,FALSE)</f>
        <v>Diabetes</v>
      </c>
    </row>
    <row r="927" spans="1:11" ht="15.6" x14ac:dyDescent="0.3">
      <c r="A927" s="1" t="s">
        <v>1445</v>
      </c>
      <c r="B927" t="str">
        <f>VLOOKUP('Customer Names'!A927,'Customer Names'!$A$1:$E$2336,4,FALSE)</f>
        <v>Ms.  Oksana</v>
      </c>
      <c r="C927">
        <f>VLOOKUP(Table2[[#This Row],[Customer ID]],Table2[#All],2,FALSE)</f>
        <v>25.2</v>
      </c>
      <c r="D927">
        <f>VLOOKUP(Table2[[#This Row],[Customer ID]],Table2[#All],3,FALSE)</f>
        <v>6.25</v>
      </c>
      <c r="E927" t="str">
        <f>VLOOKUP(Table2[[#This Row],[Customer ID]],Table2[#All],4,FALSE)</f>
        <v>Yes</v>
      </c>
      <c r="F927" t="str">
        <f>VLOOKUP(Table2[[#This Row],[Customer ID]],Table2[#All],5,FALSE)</f>
        <v>No</v>
      </c>
      <c r="G927" t="str">
        <f>VLOOKUP(Table2[[#This Row],[Customer ID]],Table2[#All],6,FALSE)</f>
        <v>No</v>
      </c>
      <c r="H927">
        <f>VLOOKUP(Table2[[#This Row],[Customer ID]],Table2[#All],7,FALSE)</f>
        <v>1</v>
      </c>
      <c r="I927" t="str">
        <f>VLOOKUP(Table2[[#This Row],[Customer ID]],Table2[#All],8,FALSE)</f>
        <v>No</v>
      </c>
      <c r="J927" t="str">
        <f>VLOOKUP(Table2[[#This Row],[Customer ID]],Table2[#All],9,FALSE)</f>
        <v>Overweight</v>
      </c>
      <c r="K927" t="str">
        <f>VLOOKUP(Table2[[#This Row],[Customer ID]],Table2[#All],10,FALSE)</f>
        <v>Prediabetes</v>
      </c>
    </row>
    <row r="928" spans="1:11" ht="15.6" x14ac:dyDescent="0.3">
      <c r="A928" s="1" t="s">
        <v>1444</v>
      </c>
      <c r="B928" t="str">
        <f>VLOOKUP('Customer Names'!A928,'Customer Names'!$A$1:$E$2336,4,FALSE)</f>
        <v>Ms.  Rebecca B.</v>
      </c>
      <c r="C928">
        <f>VLOOKUP(Table2[[#This Row],[Customer ID]],Table2[#All],2,FALSE)</f>
        <v>22.77</v>
      </c>
      <c r="D928">
        <f>VLOOKUP(Table2[[#This Row],[Customer ID]],Table2[#All],3,FALSE)</f>
        <v>4.47</v>
      </c>
      <c r="E928" t="str">
        <f>VLOOKUP(Table2[[#This Row],[Customer ID]],Table2[#All],4,FALSE)</f>
        <v>Yes</v>
      </c>
      <c r="F928" t="str">
        <f>VLOOKUP(Table2[[#This Row],[Customer ID]],Table2[#All],5,FALSE)</f>
        <v>No</v>
      </c>
      <c r="G928" t="str">
        <f>VLOOKUP(Table2[[#This Row],[Customer ID]],Table2[#All],6,FALSE)</f>
        <v>No</v>
      </c>
      <c r="H928">
        <f>VLOOKUP(Table2[[#This Row],[Customer ID]],Table2[#All],7,FALSE)</f>
        <v>1</v>
      </c>
      <c r="I928" t="str">
        <f>VLOOKUP(Table2[[#This Row],[Customer ID]],Table2[#All],8,FALSE)</f>
        <v>No</v>
      </c>
      <c r="J928" t="str">
        <f>VLOOKUP(Table2[[#This Row],[Customer ID]],Table2[#All],9,FALSE)</f>
        <v>Normalweight</v>
      </c>
      <c r="K928" t="str">
        <f>VLOOKUP(Table2[[#This Row],[Customer ID]],Table2[#All],10,FALSE)</f>
        <v>Normal</v>
      </c>
    </row>
    <row r="929" spans="1:11" ht="15.6" x14ac:dyDescent="0.3">
      <c r="A929" s="1" t="s">
        <v>1443</v>
      </c>
      <c r="B929" t="str">
        <f>VLOOKUP('Customer Names'!A929,'Customer Names'!$A$1:$E$2336,4,FALSE)</f>
        <v>Ms.  Maria A.</v>
      </c>
      <c r="C929">
        <f>VLOOKUP(Table2[[#This Row],[Customer ID]],Table2[#All],2,FALSE)</f>
        <v>23.18</v>
      </c>
      <c r="D929">
        <f>VLOOKUP(Table2[[#This Row],[Customer ID]],Table2[#All],3,FALSE)</f>
        <v>8.31</v>
      </c>
      <c r="E929" t="str">
        <f>VLOOKUP(Table2[[#This Row],[Customer ID]],Table2[#All],4,FALSE)</f>
        <v>No</v>
      </c>
      <c r="F929" t="str">
        <f>VLOOKUP(Table2[[#This Row],[Customer ID]],Table2[#All],5,FALSE)</f>
        <v>No</v>
      </c>
      <c r="G929" t="str">
        <f>VLOOKUP(Table2[[#This Row],[Customer ID]],Table2[#All],6,FALSE)</f>
        <v>No</v>
      </c>
      <c r="H929">
        <f>VLOOKUP(Table2[[#This Row],[Customer ID]],Table2[#All],7,FALSE)</f>
        <v>0</v>
      </c>
      <c r="I929" t="str">
        <f>VLOOKUP(Table2[[#This Row],[Customer ID]],Table2[#All],8,FALSE)</f>
        <v>No</v>
      </c>
      <c r="J929" t="str">
        <f>VLOOKUP(Table2[[#This Row],[Customer ID]],Table2[#All],9,FALSE)</f>
        <v>Normalweight</v>
      </c>
      <c r="K929" t="str">
        <f>VLOOKUP(Table2[[#This Row],[Customer ID]],Table2[#All],10,FALSE)</f>
        <v>Diabetes</v>
      </c>
    </row>
    <row r="930" spans="1:11" ht="15.6" x14ac:dyDescent="0.3">
      <c r="A930" s="1" t="s">
        <v>1442</v>
      </c>
      <c r="B930" t="str">
        <f>VLOOKUP('Customer Names'!A930,'Customer Names'!$A$1:$E$2336,4,FALSE)</f>
        <v>Mrs.  Lisa M</v>
      </c>
      <c r="C930">
        <f>VLOOKUP(Table2[[#This Row],[Customer ID]],Table2[#All],2,FALSE)</f>
        <v>35.409999999999997</v>
      </c>
      <c r="D930">
        <f>VLOOKUP(Table2[[#This Row],[Customer ID]],Table2[#All],3,FALSE)</f>
        <v>5.68</v>
      </c>
      <c r="E930" t="str">
        <f>VLOOKUP(Table2[[#This Row],[Customer ID]],Table2[#All],4,FALSE)</f>
        <v>No</v>
      </c>
      <c r="F930" t="str">
        <f>VLOOKUP(Table2[[#This Row],[Customer ID]],Table2[#All],5,FALSE)</f>
        <v>No</v>
      </c>
      <c r="G930" t="str">
        <f>VLOOKUP(Table2[[#This Row],[Customer ID]],Table2[#All],6,FALSE)</f>
        <v>No</v>
      </c>
      <c r="H930">
        <f>VLOOKUP(Table2[[#This Row],[Customer ID]],Table2[#All],7,FALSE)</f>
        <v>0</v>
      </c>
      <c r="I930" t="str">
        <f>VLOOKUP(Table2[[#This Row],[Customer ID]],Table2[#All],8,FALSE)</f>
        <v>No</v>
      </c>
      <c r="J930" t="str">
        <f>VLOOKUP(Table2[[#This Row],[Customer ID]],Table2[#All],9,FALSE)</f>
        <v>Obesity</v>
      </c>
      <c r="K930" t="str">
        <f>VLOOKUP(Table2[[#This Row],[Customer ID]],Table2[#All],10,FALSE)</f>
        <v>Normal</v>
      </c>
    </row>
    <row r="931" spans="1:11" ht="15.6" x14ac:dyDescent="0.3">
      <c r="A931" s="1" t="s">
        <v>1441</v>
      </c>
      <c r="B931" t="str">
        <f>VLOOKUP('Customer Names'!A931,'Customer Names'!$A$1:$E$2336,4,FALSE)</f>
        <v>Mr.  Steve Jr.</v>
      </c>
      <c r="C931">
        <f>VLOOKUP(Table2[[#This Row],[Customer ID]],Table2[#All],2,FALSE)</f>
        <v>32.11</v>
      </c>
      <c r="D931">
        <f>VLOOKUP(Table2[[#This Row],[Customer ID]],Table2[#All],3,FALSE)</f>
        <v>4.75</v>
      </c>
      <c r="E931" t="str">
        <f>VLOOKUP(Table2[[#This Row],[Customer ID]],Table2[#All],4,FALSE)</f>
        <v>Yes</v>
      </c>
      <c r="F931" t="str">
        <f>VLOOKUP(Table2[[#This Row],[Customer ID]],Table2[#All],5,FALSE)</f>
        <v>No</v>
      </c>
      <c r="G931" t="str">
        <f>VLOOKUP(Table2[[#This Row],[Customer ID]],Table2[#All],6,FALSE)</f>
        <v>No</v>
      </c>
      <c r="H931">
        <f>VLOOKUP(Table2[[#This Row],[Customer ID]],Table2[#All],7,FALSE)</f>
        <v>2</v>
      </c>
      <c r="I931" t="str">
        <f>VLOOKUP(Table2[[#This Row],[Customer ID]],Table2[#All],8,FALSE)</f>
        <v>No</v>
      </c>
      <c r="J931" t="str">
        <f>VLOOKUP(Table2[[#This Row],[Customer ID]],Table2[#All],9,FALSE)</f>
        <v>Obesity</v>
      </c>
      <c r="K931" t="str">
        <f>VLOOKUP(Table2[[#This Row],[Customer ID]],Table2[#All],10,FALSE)</f>
        <v>Normal</v>
      </c>
    </row>
    <row r="932" spans="1:11" ht="15.6" x14ac:dyDescent="0.3">
      <c r="A932" s="1" t="s">
        <v>1440</v>
      </c>
      <c r="B932" t="str">
        <f>VLOOKUP('Customer Names'!A932,'Customer Names'!$A$1:$E$2336,4,FALSE)</f>
        <v>Mrs.  Tiffany</v>
      </c>
      <c r="C932">
        <f>VLOOKUP(Table2[[#This Row],[Customer ID]],Table2[#All],2,FALSE)</f>
        <v>34.479999999999997</v>
      </c>
      <c r="D932">
        <f>VLOOKUP(Table2[[#This Row],[Customer ID]],Table2[#All],3,FALSE)</f>
        <v>6.31</v>
      </c>
      <c r="E932" t="str">
        <f>VLOOKUP(Table2[[#This Row],[Customer ID]],Table2[#All],4,FALSE)</f>
        <v>No</v>
      </c>
      <c r="F932" t="str">
        <f>VLOOKUP(Table2[[#This Row],[Customer ID]],Table2[#All],5,FALSE)</f>
        <v>No</v>
      </c>
      <c r="G932" t="str">
        <f>VLOOKUP(Table2[[#This Row],[Customer ID]],Table2[#All],6,FALSE)</f>
        <v>Yes</v>
      </c>
      <c r="H932">
        <f>VLOOKUP(Table2[[#This Row],[Customer ID]],Table2[#All],7,FALSE)</f>
        <v>1</v>
      </c>
      <c r="I932" t="str">
        <f>VLOOKUP(Table2[[#This Row],[Customer ID]],Table2[#All],8,FALSE)</f>
        <v>No</v>
      </c>
      <c r="J932" t="str">
        <f>VLOOKUP(Table2[[#This Row],[Customer ID]],Table2[#All],9,FALSE)</f>
        <v>Obesity</v>
      </c>
      <c r="K932" t="str">
        <f>VLOOKUP(Table2[[#This Row],[Customer ID]],Table2[#All],10,FALSE)</f>
        <v>Prediabetes</v>
      </c>
    </row>
    <row r="933" spans="1:11" ht="15.6" x14ac:dyDescent="0.3">
      <c r="A933" s="1" t="s">
        <v>1439</v>
      </c>
      <c r="B933" t="str">
        <f>VLOOKUP('Customer Names'!A933,'Customer Names'!$A$1:$E$2336,4,FALSE)</f>
        <v>Mr.  Greg</v>
      </c>
      <c r="C933">
        <f>VLOOKUP(Table2[[#This Row],[Customer ID]],Table2[#All],2,FALSE)</f>
        <v>34.39</v>
      </c>
      <c r="D933">
        <f>VLOOKUP(Table2[[#This Row],[Customer ID]],Table2[#All],3,FALSE)</f>
        <v>6.28</v>
      </c>
      <c r="E933" t="str">
        <f>VLOOKUP(Table2[[#This Row],[Customer ID]],Table2[#All],4,FALSE)</f>
        <v>Yes</v>
      </c>
      <c r="F933" t="str">
        <f>VLOOKUP(Table2[[#This Row],[Customer ID]],Table2[#All],5,FALSE)</f>
        <v>No</v>
      </c>
      <c r="G933" t="str">
        <f>VLOOKUP(Table2[[#This Row],[Customer ID]],Table2[#All],6,FALSE)</f>
        <v>No</v>
      </c>
      <c r="H933">
        <f>VLOOKUP(Table2[[#This Row],[Customer ID]],Table2[#All],7,FALSE)</f>
        <v>1</v>
      </c>
      <c r="I933" t="str">
        <f>VLOOKUP(Table2[[#This Row],[Customer ID]],Table2[#All],8,FALSE)</f>
        <v>No</v>
      </c>
      <c r="J933" t="str">
        <f>VLOOKUP(Table2[[#This Row],[Customer ID]],Table2[#All],9,FALSE)</f>
        <v>Obesity</v>
      </c>
      <c r="K933" t="str">
        <f>VLOOKUP(Table2[[#This Row],[Customer ID]],Table2[#All],10,FALSE)</f>
        <v>Prediabetes</v>
      </c>
    </row>
    <row r="934" spans="1:11" ht="15.6" x14ac:dyDescent="0.3">
      <c r="A934" s="1" t="s">
        <v>1438</v>
      </c>
      <c r="B934" t="str">
        <f>VLOOKUP('Customer Names'!A934,'Customer Names'!$A$1:$E$2336,4,FALSE)</f>
        <v>Mr.  Dale</v>
      </c>
      <c r="C934">
        <f>VLOOKUP(Table2[[#This Row],[Customer ID]],Table2[#All],2,FALSE)</f>
        <v>26.4</v>
      </c>
      <c r="D934">
        <f>VLOOKUP(Table2[[#This Row],[Customer ID]],Table2[#All],3,FALSE)</f>
        <v>9.2899999999999991</v>
      </c>
      <c r="E934" t="str">
        <f>VLOOKUP(Table2[[#This Row],[Customer ID]],Table2[#All],4,FALSE)</f>
        <v>Yes</v>
      </c>
      <c r="F934" t="str">
        <f>VLOOKUP(Table2[[#This Row],[Customer ID]],Table2[#All],5,FALSE)</f>
        <v>No</v>
      </c>
      <c r="G934" t="str">
        <f>VLOOKUP(Table2[[#This Row],[Customer ID]],Table2[#All],6,FALSE)</f>
        <v>Yes</v>
      </c>
      <c r="H934">
        <f>VLOOKUP(Table2[[#This Row],[Customer ID]],Table2[#All],7,FALSE)</f>
        <v>1</v>
      </c>
      <c r="I934" t="str">
        <f>VLOOKUP(Table2[[#This Row],[Customer ID]],Table2[#All],8,FALSE)</f>
        <v>No</v>
      </c>
      <c r="J934" t="str">
        <f>VLOOKUP(Table2[[#This Row],[Customer ID]],Table2[#All],9,FALSE)</f>
        <v>Overweight</v>
      </c>
      <c r="K934" t="str">
        <f>VLOOKUP(Table2[[#This Row],[Customer ID]],Table2[#All],10,FALSE)</f>
        <v>Diabetes</v>
      </c>
    </row>
    <row r="935" spans="1:11" ht="15.6" x14ac:dyDescent="0.3">
      <c r="A935" s="1" t="s">
        <v>1437</v>
      </c>
      <c r="B935" t="str">
        <f>VLOOKUP('Customer Names'!A935,'Customer Names'!$A$1:$E$2336,4,FALSE)</f>
        <v>Ms.  Brittany A.</v>
      </c>
      <c r="C935">
        <f>VLOOKUP(Table2[[#This Row],[Customer ID]],Table2[#All],2,FALSE)</f>
        <v>28.1</v>
      </c>
      <c r="D935">
        <f>VLOOKUP(Table2[[#This Row],[Customer ID]],Table2[#All],3,FALSE)</f>
        <v>5.79</v>
      </c>
      <c r="E935" t="str">
        <f>VLOOKUP(Table2[[#This Row],[Customer ID]],Table2[#All],4,FALSE)</f>
        <v>Yes</v>
      </c>
      <c r="F935" t="str">
        <f>VLOOKUP(Table2[[#This Row],[Customer ID]],Table2[#All],5,FALSE)</f>
        <v>No</v>
      </c>
      <c r="G935" t="str">
        <f>VLOOKUP(Table2[[#This Row],[Customer ID]],Table2[#All],6,FALSE)</f>
        <v>Yes</v>
      </c>
      <c r="H935">
        <f>VLOOKUP(Table2[[#This Row],[Customer ID]],Table2[#All],7,FALSE)</f>
        <v>1</v>
      </c>
      <c r="I935" t="str">
        <f>VLOOKUP(Table2[[#This Row],[Customer ID]],Table2[#All],8,FALSE)</f>
        <v>No</v>
      </c>
      <c r="J935" t="str">
        <f>VLOOKUP(Table2[[#This Row],[Customer ID]],Table2[#All],9,FALSE)</f>
        <v>Overweight</v>
      </c>
      <c r="K935" t="str">
        <f>VLOOKUP(Table2[[#This Row],[Customer ID]],Table2[#All],10,FALSE)</f>
        <v>Prediabetes</v>
      </c>
    </row>
    <row r="936" spans="1:11" ht="15.6" x14ac:dyDescent="0.3">
      <c r="A936" s="1" t="s">
        <v>1436</v>
      </c>
      <c r="B936" t="str">
        <f>VLOOKUP('Customer Names'!A936,'Customer Names'!$A$1:$E$2336,4,FALSE)</f>
        <v>Mr.  Robert S</v>
      </c>
      <c r="C936">
        <f>VLOOKUP(Table2[[#This Row],[Customer ID]],Table2[#All],2,FALSE)</f>
        <v>27</v>
      </c>
      <c r="D936">
        <f>VLOOKUP(Table2[[#This Row],[Customer ID]],Table2[#All],3,FALSE)</f>
        <v>4.54</v>
      </c>
      <c r="E936" t="str">
        <f>VLOOKUP(Table2[[#This Row],[Customer ID]],Table2[#All],4,FALSE)</f>
        <v>Yes</v>
      </c>
      <c r="F936" t="str">
        <f>VLOOKUP(Table2[[#This Row],[Customer ID]],Table2[#All],5,FALSE)</f>
        <v>No</v>
      </c>
      <c r="G936" t="str">
        <f>VLOOKUP(Table2[[#This Row],[Customer ID]],Table2[#All],6,FALSE)</f>
        <v>No</v>
      </c>
      <c r="H936">
        <f>VLOOKUP(Table2[[#This Row],[Customer ID]],Table2[#All],7,FALSE)</f>
        <v>1</v>
      </c>
      <c r="I936" t="str">
        <f>VLOOKUP(Table2[[#This Row],[Customer ID]],Table2[#All],8,FALSE)</f>
        <v>No</v>
      </c>
      <c r="J936" t="str">
        <f>VLOOKUP(Table2[[#This Row],[Customer ID]],Table2[#All],9,FALSE)</f>
        <v>Overweight</v>
      </c>
      <c r="K936" t="str">
        <f>VLOOKUP(Table2[[#This Row],[Customer ID]],Table2[#All],10,FALSE)</f>
        <v>Normal</v>
      </c>
    </row>
    <row r="937" spans="1:11" ht="15.6" x14ac:dyDescent="0.3">
      <c r="A937" s="1" t="s">
        <v>1435</v>
      </c>
      <c r="B937" t="str">
        <f>VLOOKUP('Customer Names'!A937,'Customer Names'!$A$1:$E$2336,4,FALSE)</f>
        <v>Mr.  Cameron</v>
      </c>
      <c r="C937">
        <f>VLOOKUP(Table2[[#This Row],[Customer ID]],Table2[#All],2,FALSE)</f>
        <v>28.594999999999999</v>
      </c>
      <c r="D937">
        <f>VLOOKUP(Table2[[#This Row],[Customer ID]],Table2[#All],3,FALSE)</f>
        <v>4.68</v>
      </c>
      <c r="E937" t="str">
        <f>VLOOKUP(Table2[[#This Row],[Customer ID]],Table2[#All],4,FALSE)</f>
        <v>Yes</v>
      </c>
      <c r="F937" t="str">
        <f>VLOOKUP(Table2[[#This Row],[Customer ID]],Table2[#All],5,FALSE)</f>
        <v>No</v>
      </c>
      <c r="G937" t="str">
        <f>VLOOKUP(Table2[[#This Row],[Customer ID]],Table2[#All],6,FALSE)</f>
        <v>No</v>
      </c>
      <c r="H937">
        <f>VLOOKUP(Table2[[#This Row],[Customer ID]],Table2[#All],7,FALSE)</f>
        <v>1</v>
      </c>
      <c r="I937" t="str">
        <f>VLOOKUP(Table2[[#This Row],[Customer ID]],Table2[#All],8,FALSE)</f>
        <v>No</v>
      </c>
      <c r="J937" t="str">
        <f>VLOOKUP(Table2[[#This Row],[Customer ID]],Table2[#All],9,FALSE)</f>
        <v>Overweight</v>
      </c>
      <c r="K937" t="str">
        <f>VLOOKUP(Table2[[#This Row],[Customer ID]],Table2[#All],10,FALSE)</f>
        <v>Normal</v>
      </c>
    </row>
    <row r="938" spans="1:11" ht="15.6" x14ac:dyDescent="0.3">
      <c r="A938" s="1" t="s">
        <v>1434</v>
      </c>
      <c r="B938" t="str">
        <f>VLOOKUP('Customer Names'!A938,'Customer Names'!$A$1:$E$2336,4,FALSE)</f>
        <v>Mrs.  Ulrike</v>
      </c>
      <c r="C938">
        <f>VLOOKUP(Table2[[#This Row],[Customer ID]],Table2[#All],2,FALSE)</f>
        <v>36.799999999999997</v>
      </c>
      <c r="D938">
        <f>VLOOKUP(Table2[[#This Row],[Customer ID]],Table2[#All],3,FALSE)</f>
        <v>5.88</v>
      </c>
      <c r="E938" t="str">
        <f>VLOOKUP(Table2[[#This Row],[Customer ID]],Table2[#All],4,FALSE)</f>
        <v>No</v>
      </c>
      <c r="F938" t="str">
        <f>VLOOKUP(Table2[[#This Row],[Customer ID]],Table2[#All],5,FALSE)</f>
        <v>No</v>
      </c>
      <c r="G938" t="str">
        <f>VLOOKUP(Table2[[#This Row],[Customer ID]],Table2[#All],6,FALSE)</f>
        <v>No</v>
      </c>
      <c r="H938">
        <f>VLOOKUP(Table2[[#This Row],[Customer ID]],Table2[#All],7,FALSE)</f>
        <v>1</v>
      </c>
      <c r="I938" t="str">
        <f>VLOOKUP(Table2[[#This Row],[Customer ID]],Table2[#All],8,FALSE)</f>
        <v>No</v>
      </c>
      <c r="J938" t="str">
        <f>VLOOKUP(Table2[[#This Row],[Customer ID]],Table2[#All],9,FALSE)</f>
        <v>Obesity</v>
      </c>
      <c r="K938" t="str">
        <f>VLOOKUP(Table2[[#This Row],[Customer ID]],Table2[#All],10,FALSE)</f>
        <v>Prediabetes</v>
      </c>
    </row>
    <row r="939" spans="1:11" ht="15.6" x14ac:dyDescent="0.3">
      <c r="A939" s="1" t="s">
        <v>1433</v>
      </c>
      <c r="B939" t="str">
        <f>VLOOKUP('Customer Names'!A939,'Customer Names'!$A$1:$E$2336,4,FALSE)</f>
        <v>Ms.  Katlyn A.</v>
      </c>
      <c r="C939">
        <f>VLOOKUP(Table2[[#This Row],[Customer ID]],Table2[#All],2,FALSE)</f>
        <v>23.75</v>
      </c>
      <c r="D939">
        <f>VLOOKUP(Table2[[#This Row],[Customer ID]],Table2[#All],3,FALSE)</f>
        <v>5.42</v>
      </c>
      <c r="E939" t="str">
        <f>VLOOKUP(Table2[[#This Row],[Customer ID]],Table2[#All],4,FALSE)</f>
        <v>Yes</v>
      </c>
      <c r="F939" t="str">
        <f>VLOOKUP(Table2[[#This Row],[Customer ID]],Table2[#All],5,FALSE)</f>
        <v>No</v>
      </c>
      <c r="G939" t="str">
        <f>VLOOKUP(Table2[[#This Row],[Customer ID]],Table2[#All],6,FALSE)</f>
        <v>Yes</v>
      </c>
      <c r="H939">
        <f>VLOOKUP(Table2[[#This Row],[Customer ID]],Table2[#All],7,FALSE)</f>
        <v>1</v>
      </c>
      <c r="I939" t="str">
        <f>VLOOKUP(Table2[[#This Row],[Customer ID]],Table2[#All],8,FALSE)</f>
        <v>No</v>
      </c>
      <c r="J939" t="str">
        <f>VLOOKUP(Table2[[#This Row],[Customer ID]],Table2[#All],9,FALSE)</f>
        <v>Normalweight</v>
      </c>
      <c r="K939" t="str">
        <f>VLOOKUP(Table2[[#This Row],[Customer ID]],Table2[#All],10,FALSE)</f>
        <v>Normal</v>
      </c>
    </row>
    <row r="940" spans="1:11" ht="15.6" x14ac:dyDescent="0.3">
      <c r="A940" s="1" t="s">
        <v>1432</v>
      </c>
      <c r="B940" t="str">
        <f>VLOOKUP('Customer Names'!A940,'Customer Names'!$A$1:$E$2336,4,FALSE)</f>
        <v>Mr.  Morgan B.</v>
      </c>
      <c r="C940">
        <f>VLOOKUP(Table2[[#This Row],[Customer ID]],Table2[#All],2,FALSE)</f>
        <v>35.619999999999997</v>
      </c>
      <c r="D940">
        <f>VLOOKUP(Table2[[#This Row],[Customer ID]],Table2[#All],3,FALSE)</f>
        <v>4.16</v>
      </c>
      <c r="E940" t="str">
        <f>VLOOKUP(Table2[[#This Row],[Customer ID]],Table2[#All],4,FALSE)</f>
        <v>No</v>
      </c>
      <c r="F940" t="str">
        <f>VLOOKUP(Table2[[#This Row],[Customer ID]],Table2[#All],5,FALSE)</f>
        <v>No</v>
      </c>
      <c r="G940" t="str">
        <f>VLOOKUP(Table2[[#This Row],[Customer ID]],Table2[#All],6,FALSE)</f>
        <v>No</v>
      </c>
      <c r="H940">
        <f>VLOOKUP(Table2[[#This Row],[Customer ID]],Table2[#All],7,FALSE)</f>
        <v>0</v>
      </c>
      <c r="I940" t="str">
        <f>VLOOKUP(Table2[[#This Row],[Customer ID]],Table2[#All],8,FALSE)</f>
        <v>No</v>
      </c>
      <c r="J940" t="str">
        <f>VLOOKUP(Table2[[#This Row],[Customer ID]],Table2[#All],9,FALSE)</f>
        <v>Obesity</v>
      </c>
      <c r="K940" t="str">
        <f>VLOOKUP(Table2[[#This Row],[Customer ID]],Table2[#All],10,FALSE)</f>
        <v>Normal</v>
      </c>
    </row>
    <row r="941" spans="1:11" ht="15.6" x14ac:dyDescent="0.3">
      <c r="A941" s="1" t="s">
        <v>1431</v>
      </c>
      <c r="B941" t="str">
        <f>VLOOKUP('Customer Names'!A941,'Customer Names'!$A$1:$E$2336,4,FALSE)</f>
        <v>Mr.  Peter</v>
      </c>
      <c r="C941">
        <f>VLOOKUP(Table2[[#This Row],[Customer ID]],Table2[#All],2,FALSE)</f>
        <v>30.69</v>
      </c>
      <c r="D941">
        <f>VLOOKUP(Table2[[#This Row],[Customer ID]],Table2[#All],3,FALSE)</f>
        <v>7.05</v>
      </c>
      <c r="E941" t="str">
        <f>VLOOKUP(Table2[[#This Row],[Customer ID]],Table2[#All],4,FALSE)</f>
        <v>Yes</v>
      </c>
      <c r="F941" t="str">
        <f>VLOOKUP(Table2[[#This Row],[Customer ID]],Table2[#All],5,FALSE)</f>
        <v>No</v>
      </c>
      <c r="G941" t="str">
        <f>VLOOKUP(Table2[[#This Row],[Customer ID]],Table2[#All],6,FALSE)</f>
        <v>No</v>
      </c>
      <c r="H941">
        <f>VLOOKUP(Table2[[#This Row],[Customer ID]],Table2[#All],7,FALSE)</f>
        <v>2</v>
      </c>
      <c r="I941" t="str">
        <f>VLOOKUP(Table2[[#This Row],[Customer ID]],Table2[#All],8,FALSE)</f>
        <v>No</v>
      </c>
      <c r="J941" t="str">
        <f>VLOOKUP(Table2[[#This Row],[Customer ID]],Table2[#All],9,FALSE)</f>
        <v>Obesity</v>
      </c>
      <c r="K941" t="str">
        <f>VLOOKUP(Table2[[#This Row],[Customer ID]],Table2[#All],10,FALSE)</f>
        <v>Diabetes</v>
      </c>
    </row>
    <row r="942" spans="1:11" ht="15.6" x14ac:dyDescent="0.3">
      <c r="A942" s="1" t="s">
        <v>1430</v>
      </c>
      <c r="B942" t="str">
        <f>VLOOKUP('Customer Names'!A942,'Customer Names'!$A$1:$E$2336,4,FALSE)</f>
        <v>Ms.  Chandler</v>
      </c>
      <c r="C942">
        <f>VLOOKUP(Table2[[#This Row],[Customer ID]],Table2[#All],2,FALSE)</f>
        <v>35.799999999999997</v>
      </c>
      <c r="D942">
        <f>VLOOKUP(Table2[[#This Row],[Customer ID]],Table2[#All],3,FALSE)</f>
        <v>5.63</v>
      </c>
      <c r="E942" t="str">
        <f>VLOOKUP(Table2[[#This Row],[Customer ID]],Table2[#All],4,FALSE)</f>
        <v>Yes</v>
      </c>
      <c r="F942" t="str">
        <f>VLOOKUP(Table2[[#This Row],[Customer ID]],Table2[#All],5,FALSE)</f>
        <v>No</v>
      </c>
      <c r="G942" t="str">
        <f>VLOOKUP(Table2[[#This Row],[Customer ID]],Table2[#All],6,FALSE)</f>
        <v>No</v>
      </c>
      <c r="H942">
        <f>VLOOKUP(Table2[[#This Row],[Customer ID]],Table2[#All],7,FALSE)</f>
        <v>2</v>
      </c>
      <c r="I942" t="str">
        <f>VLOOKUP(Table2[[#This Row],[Customer ID]],Table2[#All],8,FALSE)</f>
        <v>No</v>
      </c>
      <c r="J942" t="str">
        <f>VLOOKUP(Table2[[#This Row],[Customer ID]],Table2[#All],9,FALSE)</f>
        <v>Obesity</v>
      </c>
      <c r="K942" t="str">
        <f>VLOOKUP(Table2[[#This Row],[Customer ID]],Table2[#All],10,FALSE)</f>
        <v>Normal</v>
      </c>
    </row>
    <row r="943" spans="1:11" ht="15.6" x14ac:dyDescent="0.3">
      <c r="A943" s="1" t="s">
        <v>1429</v>
      </c>
      <c r="B943" t="str">
        <f>VLOOKUP('Customer Names'!A943,'Customer Names'!$A$1:$E$2336,4,FALSE)</f>
        <v>Ms.  Silvana M.</v>
      </c>
      <c r="C943">
        <f>VLOOKUP(Table2[[#This Row],[Customer ID]],Table2[#All],2,FALSE)</f>
        <v>28.785</v>
      </c>
      <c r="D943">
        <f>VLOOKUP(Table2[[#This Row],[Customer ID]],Table2[#All],3,FALSE)</f>
        <v>4.24</v>
      </c>
      <c r="E943" t="str">
        <f>VLOOKUP(Table2[[#This Row],[Customer ID]],Table2[#All],4,FALSE)</f>
        <v>Yes</v>
      </c>
      <c r="F943" t="str">
        <f>VLOOKUP(Table2[[#This Row],[Customer ID]],Table2[#All],5,FALSE)</f>
        <v>No</v>
      </c>
      <c r="G943" t="str">
        <f>VLOOKUP(Table2[[#This Row],[Customer ID]],Table2[#All],6,FALSE)</f>
        <v>No</v>
      </c>
      <c r="H943">
        <f>VLOOKUP(Table2[[#This Row],[Customer ID]],Table2[#All],7,FALSE)</f>
        <v>2</v>
      </c>
      <c r="I943" t="str">
        <f>VLOOKUP(Table2[[#This Row],[Customer ID]],Table2[#All],8,FALSE)</f>
        <v>No</v>
      </c>
      <c r="J943" t="str">
        <f>VLOOKUP(Table2[[#This Row],[Customer ID]],Table2[#All],9,FALSE)</f>
        <v>Overweight</v>
      </c>
      <c r="K943" t="str">
        <f>VLOOKUP(Table2[[#This Row],[Customer ID]],Table2[#All],10,FALSE)</f>
        <v>Normal</v>
      </c>
    </row>
    <row r="944" spans="1:11" ht="15.6" x14ac:dyDescent="0.3">
      <c r="A944" s="1" t="s">
        <v>1428</v>
      </c>
      <c r="B944" t="str">
        <f>VLOOKUP('Customer Names'!A944,'Customer Names'!$A$1:$E$2336,4,FALSE)</f>
        <v>Ms.  Natty</v>
      </c>
      <c r="C944">
        <f>VLOOKUP(Table2[[#This Row],[Customer ID]],Table2[#All],2,FALSE)</f>
        <v>28.594999999999999</v>
      </c>
      <c r="D944">
        <f>VLOOKUP(Table2[[#This Row],[Customer ID]],Table2[#All],3,FALSE)</f>
        <v>4.96</v>
      </c>
      <c r="E944" t="str">
        <f>VLOOKUP(Table2[[#This Row],[Customer ID]],Table2[#All],4,FALSE)</f>
        <v>Yes</v>
      </c>
      <c r="F944" t="str">
        <f>VLOOKUP(Table2[[#This Row],[Customer ID]],Table2[#All],5,FALSE)</f>
        <v>No</v>
      </c>
      <c r="G944" t="str">
        <f>VLOOKUP(Table2[[#This Row],[Customer ID]],Table2[#All],6,FALSE)</f>
        <v>No</v>
      </c>
      <c r="H944">
        <f>VLOOKUP(Table2[[#This Row],[Customer ID]],Table2[#All],7,FALSE)</f>
        <v>2</v>
      </c>
      <c r="I944" t="str">
        <f>VLOOKUP(Table2[[#This Row],[Customer ID]],Table2[#All],8,FALSE)</f>
        <v>No</v>
      </c>
      <c r="J944" t="str">
        <f>VLOOKUP(Table2[[#This Row],[Customer ID]],Table2[#All],9,FALSE)</f>
        <v>Overweight</v>
      </c>
      <c r="K944" t="str">
        <f>VLOOKUP(Table2[[#This Row],[Customer ID]],Table2[#All],10,FALSE)</f>
        <v>Normal</v>
      </c>
    </row>
    <row r="945" spans="1:11" ht="15.6" x14ac:dyDescent="0.3">
      <c r="A945" s="1" t="s">
        <v>1427</v>
      </c>
      <c r="B945" t="str">
        <f>VLOOKUP('Customer Names'!A945,'Customer Names'!$A$1:$E$2336,4,FALSE)</f>
        <v>Mr.  Nicholas T</v>
      </c>
      <c r="C945">
        <f>VLOOKUP(Table2[[#This Row],[Customer ID]],Table2[#All],2,FALSE)</f>
        <v>48.75</v>
      </c>
      <c r="D945">
        <f>VLOOKUP(Table2[[#This Row],[Customer ID]],Table2[#All],3,FALSE)</f>
        <v>4.34</v>
      </c>
      <c r="E945" t="str">
        <f>VLOOKUP(Table2[[#This Row],[Customer ID]],Table2[#All],4,FALSE)</f>
        <v>No</v>
      </c>
      <c r="F945" t="str">
        <f>VLOOKUP(Table2[[#This Row],[Customer ID]],Table2[#All],5,FALSE)</f>
        <v>No</v>
      </c>
      <c r="G945" t="str">
        <f>VLOOKUP(Table2[[#This Row],[Customer ID]],Table2[#All],6,FALSE)</f>
        <v>No</v>
      </c>
      <c r="H945">
        <f>VLOOKUP(Table2[[#This Row],[Customer ID]],Table2[#All],7,FALSE)</f>
        <v>0</v>
      </c>
      <c r="I945" t="str">
        <f>VLOOKUP(Table2[[#This Row],[Customer ID]],Table2[#All],8,FALSE)</f>
        <v>No</v>
      </c>
      <c r="J945" t="str">
        <f>VLOOKUP(Table2[[#This Row],[Customer ID]],Table2[#All],9,FALSE)</f>
        <v>Obesity</v>
      </c>
      <c r="K945" t="str">
        <f>VLOOKUP(Table2[[#This Row],[Customer ID]],Table2[#All],10,FALSE)</f>
        <v>Normal</v>
      </c>
    </row>
    <row r="946" spans="1:11" ht="15.6" x14ac:dyDescent="0.3">
      <c r="A946" s="1" t="s">
        <v>1426</v>
      </c>
      <c r="B946" t="str">
        <f>VLOOKUP('Customer Names'!A946,'Customer Names'!$A$1:$E$2336,4,FALSE)</f>
        <v>Ms.  Rebecca</v>
      </c>
      <c r="C946">
        <f>VLOOKUP(Table2[[#This Row],[Customer ID]],Table2[#All],2,FALSE)</f>
        <v>28.31</v>
      </c>
      <c r="D946">
        <f>VLOOKUP(Table2[[#This Row],[Customer ID]],Table2[#All],3,FALSE)</f>
        <v>5.43</v>
      </c>
      <c r="E946" t="str">
        <f>VLOOKUP(Table2[[#This Row],[Customer ID]],Table2[#All],4,FALSE)</f>
        <v>Yes</v>
      </c>
      <c r="F946" t="str">
        <f>VLOOKUP(Table2[[#This Row],[Customer ID]],Table2[#All],5,FALSE)</f>
        <v>No</v>
      </c>
      <c r="G946" t="str">
        <f>VLOOKUP(Table2[[#This Row],[Customer ID]],Table2[#All],6,FALSE)</f>
        <v>No</v>
      </c>
      <c r="H946">
        <f>VLOOKUP(Table2[[#This Row],[Customer ID]],Table2[#All],7,FALSE)</f>
        <v>2</v>
      </c>
      <c r="I946" t="str">
        <f>VLOOKUP(Table2[[#This Row],[Customer ID]],Table2[#All],8,FALSE)</f>
        <v>No</v>
      </c>
      <c r="J946" t="str">
        <f>VLOOKUP(Table2[[#This Row],[Customer ID]],Table2[#All],9,FALSE)</f>
        <v>Overweight</v>
      </c>
      <c r="K946" t="str">
        <f>VLOOKUP(Table2[[#This Row],[Customer ID]],Table2[#All],10,FALSE)</f>
        <v>Normal</v>
      </c>
    </row>
    <row r="947" spans="1:11" ht="15.6" x14ac:dyDescent="0.3">
      <c r="A947" s="1" t="s">
        <v>1425</v>
      </c>
      <c r="B947" t="str">
        <f>VLOOKUP('Customer Names'!A947,'Customer Names'!$A$1:$E$2336,4,FALSE)</f>
        <v>Mr.  John</v>
      </c>
      <c r="C947">
        <f>VLOOKUP(Table2[[#This Row],[Customer ID]],Table2[#All],2,FALSE)</f>
        <v>38.39</v>
      </c>
      <c r="D947">
        <f>VLOOKUP(Table2[[#This Row],[Customer ID]],Table2[#All],3,FALSE)</f>
        <v>8.33</v>
      </c>
      <c r="E947" t="str">
        <f>VLOOKUP(Table2[[#This Row],[Customer ID]],Table2[#All],4,FALSE)</f>
        <v>Yes</v>
      </c>
      <c r="F947" t="str">
        <f>VLOOKUP(Table2[[#This Row],[Customer ID]],Table2[#All],5,FALSE)</f>
        <v>No</v>
      </c>
      <c r="G947" t="str">
        <f>VLOOKUP(Table2[[#This Row],[Customer ID]],Table2[#All],6,FALSE)</f>
        <v>No</v>
      </c>
      <c r="H947">
        <f>VLOOKUP(Table2[[#This Row],[Customer ID]],Table2[#All],7,FALSE)</f>
        <v>1</v>
      </c>
      <c r="I947" t="str">
        <f>VLOOKUP(Table2[[#This Row],[Customer ID]],Table2[#All],8,FALSE)</f>
        <v>No</v>
      </c>
      <c r="J947" t="str">
        <f>VLOOKUP(Table2[[#This Row],[Customer ID]],Table2[#All],9,FALSE)</f>
        <v>Obesity</v>
      </c>
      <c r="K947" t="str">
        <f>VLOOKUP(Table2[[#This Row],[Customer ID]],Table2[#All],10,FALSE)</f>
        <v>Diabetes</v>
      </c>
    </row>
    <row r="948" spans="1:11" ht="15.6" x14ac:dyDescent="0.3">
      <c r="A948" s="1" t="s">
        <v>1424</v>
      </c>
      <c r="B948" t="str">
        <f>VLOOKUP('Customer Names'!A948,'Customer Names'!$A$1:$E$2336,4,FALSE)</f>
        <v>Mr.  Antony G</v>
      </c>
      <c r="C948">
        <f>VLOOKUP(Table2[[#This Row],[Customer ID]],Table2[#All],2,FALSE)</f>
        <v>25.87</v>
      </c>
      <c r="D948">
        <f>VLOOKUP(Table2[[#This Row],[Customer ID]],Table2[#All],3,FALSE)</f>
        <v>5.63</v>
      </c>
      <c r="E948" t="str">
        <f>VLOOKUP(Table2[[#This Row],[Customer ID]],Table2[#All],4,FALSE)</f>
        <v>Yes</v>
      </c>
      <c r="F948" t="str">
        <f>VLOOKUP(Table2[[#This Row],[Customer ID]],Table2[#All],5,FALSE)</f>
        <v>No</v>
      </c>
      <c r="G948" t="str">
        <f>VLOOKUP(Table2[[#This Row],[Customer ID]],Table2[#All],6,FALSE)</f>
        <v>No</v>
      </c>
      <c r="H948">
        <f>VLOOKUP(Table2[[#This Row],[Customer ID]],Table2[#All],7,FALSE)</f>
        <v>1</v>
      </c>
      <c r="I948" t="str">
        <f>VLOOKUP(Table2[[#This Row],[Customer ID]],Table2[#All],8,FALSE)</f>
        <v>No</v>
      </c>
      <c r="J948" t="str">
        <f>VLOOKUP(Table2[[#This Row],[Customer ID]],Table2[#All],9,FALSE)</f>
        <v>Overweight</v>
      </c>
      <c r="K948" t="str">
        <f>VLOOKUP(Table2[[#This Row],[Customer ID]],Table2[#All],10,FALSE)</f>
        <v>Normal</v>
      </c>
    </row>
    <row r="949" spans="1:11" ht="15.6" x14ac:dyDescent="0.3">
      <c r="A949" s="1" t="s">
        <v>1423</v>
      </c>
      <c r="B949" t="str">
        <f>VLOOKUP('Customer Names'!A949,'Customer Names'!$A$1:$E$2336,4,FALSE)</f>
        <v>Mr.  Eric</v>
      </c>
      <c r="C949">
        <f>VLOOKUP(Table2[[#This Row],[Customer ID]],Table2[#All],2,FALSE)</f>
        <v>43.7</v>
      </c>
      <c r="D949">
        <f>VLOOKUP(Table2[[#This Row],[Customer ID]],Table2[#All],3,FALSE)</f>
        <v>7.23</v>
      </c>
      <c r="E949" t="str">
        <f>VLOOKUP(Table2[[#This Row],[Customer ID]],Table2[#All],4,FALSE)</f>
        <v>No</v>
      </c>
      <c r="F949" t="str">
        <f>VLOOKUP(Table2[[#This Row],[Customer ID]],Table2[#All],5,FALSE)</f>
        <v>No</v>
      </c>
      <c r="G949" t="str">
        <f>VLOOKUP(Table2[[#This Row],[Customer ID]],Table2[#All],6,FALSE)</f>
        <v>No</v>
      </c>
      <c r="H949">
        <f>VLOOKUP(Table2[[#This Row],[Customer ID]],Table2[#All],7,FALSE)</f>
        <v>0</v>
      </c>
      <c r="I949" t="str">
        <f>VLOOKUP(Table2[[#This Row],[Customer ID]],Table2[#All],8,FALSE)</f>
        <v>No</v>
      </c>
      <c r="J949" t="str">
        <f>VLOOKUP(Table2[[#This Row],[Customer ID]],Table2[#All],9,FALSE)</f>
        <v>Obesity</v>
      </c>
      <c r="K949" t="str">
        <f>VLOOKUP(Table2[[#This Row],[Customer ID]],Table2[#All],10,FALSE)</f>
        <v>Diabetes</v>
      </c>
    </row>
    <row r="950" spans="1:11" ht="15.6" x14ac:dyDescent="0.3">
      <c r="A950" s="1" t="s">
        <v>1422</v>
      </c>
      <c r="B950" t="str">
        <f>VLOOKUP('Customer Names'!A950,'Customer Names'!$A$1:$E$2336,4,FALSE)</f>
        <v>Mr.  Erik</v>
      </c>
      <c r="C950">
        <f>VLOOKUP(Table2[[#This Row],[Customer ID]],Table2[#All],2,FALSE)</f>
        <v>40.945</v>
      </c>
      <c r="D950">
        <f>VLOOKUP(Table2[[#This Row],[Customer ID]],Table2[#All],3,FALSE)</f>
        <v>10.57</v>
      </c>
      <c r="E950" t="str">
        <f>VLOOKUP(Table2[[#This Row],[Customer ID]],Table2[#All],4,FALSE)</f>
        <v>No</v>
      </c>
      <c r="F950" t="str">
        <f>VLOOKUP(Table2[[#This Row],[Customer ID]],Table2[#All],5,FALSE)</f>
        <v>No</v>
      </c>
      <c r="G950" t="str">
        <f>VLOOKUP(Table2[[#This Row],[Customer ID]],Table2[#All],6,FALSE)</f>
        <v>No</v>
      </c>
      <c r="H950">
        <f>VLOOKUP(Table2[[#This Row],[Customer ID]],Table2[#All],7,FALSE)</f>
        <v>0</v>
      </c>
      <c r="I950" t="str">
        <f>VLOOKUP(Table2[[#This Row],[Customer ID]],Table2[#All],8,FALSE)</f>
        <v>No</v>
      </c>
      <c r="J950" t="str">
        <f>VLOOKUP(Table2[[#This Row],[Customer ID]],Table2[#All],9,FALSE)</f>
        <v>Obesity</v>
      </c>
      <c r="K950" t="str">
        <f>VLOOKUP(Table2[[#This Row],[Customer ID]],Table2[#All],10,FALSE)</f>
        <v>Diabetes</v>
      </c>
    </row>
    <row r="951" spans="1:11" ht="15.6" x14ac:dyDescent="0.3">
      <c r="A951" s="1" t="s">
        <v>1421</v>
      </c>
      <c r="B951" t="str">
        <f>VLOOKUP('Customer Names'!A951,'Customer Names'!$A$1:$E$2336,4,FALSE)</f>
        <v>Mr.  Matthew T</v>
      </c>
      <c r="C951">
        <f>VLOOKUP(Table2[[#This Row],[Customer ID]],Table2[#All],2,FALSE)</f>
        <v>27.94</v>
      </c>
      <c r="D951">
        <f>VLOOKUP(Table2[[#This Row],[Customer ID]],Table2[#All],3,FALSE)</f>
        <v>7.92</v>
      </c>
      <c r="E951" t="str">
        <f>VLOOKUP(Table2[[#This Row],[Customer ID]],Table2[#All],4,FALSE)</f>
        <v>No</v>
      </c>
      <c r="F951" t="str">
        <f>VLOOKUP(Table2[[#This Row],[Customer ID]],Table2[#All],5,FALSE)</f>
        <v>No</v>
      </c>
      <c r="G951" t="str">
        <f>VLOOKUP(Table2[[#This Row],[Customer ID]],Table2[#All],6,FALSE)</f>
        <v>No</v>
      </c>
      <c r="H951">
        <f>VLOOKUP(Table2[[#This Row],[Customer ID]],Table2[#All],7,FALSE)</f>
        <v>0</v>
      </c>
      <c r="I951" t="str">
        <f>VLOOKUP(Table2[[#This Row],[Customer ID]],Table2[#All],8,FALSE)</f>
        <v>No</v>
      </c>
      <c r="J951" t="str">
        <f>VLOOKUP(Table2[[#This Row],[Customer ID]],Table2[#All],9,FALSE)</f>
        <v>Overweight</v>
      </c>
      <c r="K951" t="str">
        <f>VLOOKUP(Table2[[#This Row],[Customer ID]],Table2[#All],10,FALSE)</f>
        <v>Diabetes</v>
      </c>
    </row>
    <row r="952" spans="1:11" ht="15.6" x14ac:dyDescent="0.3">
      <c r="A952" s="1" t="s">
        <v>1420</v>
      </c>
      <c r="B952" t="str">
        <f>VLOOKUP('Customer Names'!A952,'Customer Names'!$A$1:$E$2336,4,FALSE)</f>
        <v>Ms.  Cassandra</v>
      </c>
      <c r="C952">
        <f>VLOOKUP(Table2[[#This Row],[Customer ID]],Table2[#All],2,FALSE)</f>
        <v>31.9</v>
      </c>
      <c r="D952">
        <f>VLOOKUP(Table2[[#This Row],[Customer ID]],Table2[#All],3,FALSE)</f>
        <v>10.119999999999999</v>
      </c>
      <c r="E952" t="str">
        <f>VLOOKUP(Table2[[#This Row],[Customer ID]],Table2[#All],4,FALSE)</f>
        <v>No</v>
      </c>
      <c r="F952" t="str">
        <f>VLOOKUP(Table2[[#This Row],[Customer ID]],Table2[#All],5,FALSE)</f>
        <v>No</v>
      </c>
      <c r="G952" t="str">
        <f>VLOOKUP(Table2[[#This Row],[Customer ID]],Table2[#All],6,FALSE)</f>
        <v>No</v>
      </c>
      <c r="H952">
        <f>VLOOKUP(Table2[[#This Row],[Customer ID]],Table2[#All],7,FALSE)</f>
        <v>2</v>
      </c>
      <c r="I952" t="str">
        <f>VLOOKUP(Table2[[#This Row],[Customer ID]],Table2[#All],8,FALSE)</f>
        <v>No</v>
      </c>
      <c r="J952" t="str">
        <f>VLOOKUP(Table2[[#This Row],[Customer ID]],Table2[#All],9,FALSE)</f>
        <v>Obesity</v>
      </c>
      <c r="K952" t="str">
        <f>VLOOKUP(Table2[[#This Row],[Customer ID]],Table2[#All],10,FALSE)</f>
        <v>Diabetes</v>
      </c>
    </row>
    <row r="953" spans="1:11" ht="15.6" x14ac:dyDescent="0.3">
      <c r="A953" s="1" t="s">
        <v>1419</v>
      </c>
      <c r="B953" t="str">
        <f>VLOOKUP('Customer Names'!A953,'Customer Names'!$A$1:$E$2336,4,FALSE)</f>
        <v>Ms.  Rosemary C</v>
      </c>
      <c r="C953">
        <f>VLOOKUP(Table2[[#This Row],[Customer ID]],Table2[#All],2,FALSE)</f>
        <v>31.64</v>
      </c>
      <c r="D953">
        <f>VLOOKUP(Table2[[#This Row],[Customer ID]],Table2[#All],3,FALSE)</f>
        <v>7.91</v>
      </c>
      <c r="E953" t="str">
        <f>VLOOKUP(Table2[[#This Row],[Customer ID]],Table2[#All],4,FALSE)</f>
        <v>No</v>
      </c>
      <c r="F953" t="str">
        <f>VLOOKUP(Table2[[#This Row],[Customer ID]],Table2[#All],5,FALSE)</f>
        <v>No</v>
      </c>
      <c r="G953" t="str">
        <f>VLOOKUP(Table2[[#This Row],[Customer ID]],Table2[#All],6,FALSE)</f>
        <v>No</v>
      </c>
      <c r="H953">
        <f>VLOOKUP(Table2[[#This Row],[Customer ID]],Table2[#All],7,FALSE)</f>
        <v>0</v>
      </c>
      <c r="I953" t="str">
        <f>VLOOKUP(Table2[[#This Row],[Customer ID]],Table2[#All],8,FALSE)</f>
        <v>No</v>
      </c>
      <c r="J953" t="str">
        <f>VLOOKUP(Table2[[#This Row],[Customer ID]],Table2[#All],9,FALSE)</f>
        <v>Obesity</v>
      </c>
      <c r="K953" t="str">
        <f>VLOOKUP(Table2[[#This Row],[Customer ID]],Table2[#All],10,FALSE)</f>
        <v>Diabetes</v>
      </c>
    </row>
    <row r="954" spans="1:11" ht="15.6" x14ac:dyDescent="0.3">
      <c r="A954" s="1" t="s">
        <v>1418</v>
      </c>
      <c r="B954" t="str">
        <f>VLOOKUP('Customer Names'!A954,'Customer Names'!$A$1:$E$2336,4,FALSE)</f>
        <v>Ms.  Carrie A.</v>
      </c>
      <c r="C954">
        <f>VLOOKUP(Table2[[#This Row],[Customer ID]],Table2[#All],2,FALSE)</f>
        <v>46.7</v>
      </c>
      <c r="D954">
        <f>VLOOKUP(Table2[[#This Row],[Customer ID]],Table2[#All],3,FALSE)</f>
        <v>10.9</v>
      </c>
      <c r="E954" t="str">
        <f>VLOOKUP(Table2[[#This Row],[Customer ID]],Table2[#All],4,FALSE)</f>
        <v>No</v>
      </c>
      <c r="F954" t="str">
        <f>VLOOKUP(Table2[[#This Row],[Customer ID]],Table2[#All],5,FALSE)</f>
        <v>No</v>
      </c>
      <c r="G954" t="str">
        <f>VLOOKUP(Table2[[#This Row],[Customer ID]],Table2[#All],6,FALSE)</f>
        <v>No</v>
      </c>
      <c r="H954">
        <f>VLOOKUP(Table2[[#This Row],[Customer ID]],Table2[#All],7,FALSE)</f>
        <v>0</v>
      </c>
      <c r="I954" t="str">
        <f>VLOOKUP(Table2[[#This Row],[Customer ID]],Table2[#All],8,FALSE)</f>
        <v>No</v>
      </c>
      <c r="J954" t="str">
        <f>VLOOKUP(Table2[[#This Row],[Customer ID]],Table2[#All],9,FALSE)</f>
        <v>Obesity</v>
      </c>
      <c r="K954" t="str">
        <f>VLOOKUP(Table2[[#This Row],[Customer ID]],Table2[#All],10,FALSE)</f>
        <v>Diabetes</v>
      </c>
    </row>
    <row r="955" spans="1:11" ht="15.6" x14ac:dyDescent="0.3">
      <c r="A955" s="1" t="s">
        <v>1417</v>
      </c>
      <c r="B955" t="str">
        <f>VLOOKUP('Customer Names'!A955,'Customer Names'!$A$1:$E$2336,4,FALSE)</f>
        <v>Mr.  Gerardo Sr.</v>
      </c>
      <c r="C955">
        <f>VLOOKUP(Table2[[#This Row],[Customer ID]],Table2[#All],2,FALSE)</f>
        <v>18.335000000000001</v>
      </c>
      <c r="D955">
        <f>VLOOKUP(Table2[[#This Row],[Customer ID]],Table2[#All],3,FALSE)</f>
        <v>11.83</v>
      </c>
      <c r="E955" t="str">
        <f>VLOOKUP(Table2[[#This Row],[Customer ID]],Table2[#All],4,FALSE)</f>
        <v>No</v>
      </c>
      <c r="F955" t="str">
        <f>VLOOKUP(Table2[[#This Row],[Customer ID]],Table2[#All],5,FALSE)</f>
        <v>No</v>
      </c>
      <c r="G955" t="str">
        <f>VLOOKUP(Table2[[#This Row],[Customer ID]],Table2[#All],6,FALSE)</f>
        <v>No</v>
      </c>
      <c r="H955">
        <f>VLOOKUP(Table2[[#This Row],[Customer ID]],Table2[#All],7,FALSE)</f>
        <v>0</v>
      </c>
      <c r="I955" t="str">
        <f>VLOOKUP(Table2[[#This Row],[Customer ID]],Table2[#All],8,FALSE)</f>
        <v>No</v>
      </c>
      <c r="J955" t="str">
        <f>VLOOKUP(Table2[[#This Row],[Customer ID]],Table2[#All],9,FALSE)</f>
        <v>Underweight</v>
      </c>
      <c r="K955" t="str">
        <f>VLOOKUP(Table2[[#This Row],[Customer ID]],Table2[#All],10,FALSE)</f>
        <v>Diabetes</v>
      </c>
    </row>
    <row r="956" spans="1:11" ht="15.6" x14ac:dyDescent="0.3">
      <c r="A956" s="1" t="s">
        <v>1416</v>
      </c>
      <c r="B956" t="str">
        <f>VLOOKUP('Customer Names'!A956,'Customer Names'!$A$1:$E$2336,4,FALSE)</f>
        <v>Mr.  Matthew R.</v>
      </c>
      <c r="C956">
        <f>VLOOKUP(Table2[[#This Row],[Customer ID]],Table2[#All],2,FALSE)</f>
        <v>31.24</v>
      </c>
      <c r="D956">
        <f>VLOOKUP(Table2[[#This Row],[Customer ID]],Table2[#All],3,FALSE)</f>
        <v>7.42</v>
      </c>
      <c r="E956" t="str">
        <f>VLOOKUP(Table2[[#This Row],[Customer ID]],Table2[#All],4,FALSE)</f>
        <v>Yes</v>
      </c>
      <c r="F956" t="str">
        <f>VLOOKUP(Table2[[#This Row],[Customer ID]],Table2[#All],5,FALSE)</f>
        <v>No</v>
      </c>
      <c r="G956" t="str">
        <f>VLOOKUP(Table2[[#This Row],[Customer ID]],Table2[#All],6,FALSE)</f>
        <v>No</v>
      </c>
      <c r="H956">
        <f>VLOOKUP(Table2[[#This Row],[Customer ID]],Table2[#All],7,FALSE)</f>
        <v>2</v>
      </c>
      <c r="I956" t="str">
        <f>VLOOKUP(Table2[[#This Row],[Customer ID]],Table2[#All],8,FALSE)</f>
        <v>No</v>
      </c>
      <c r="J956" t="str">
        <f>VLOOKUP(Table2[[#This Row],[Customer ID]],Table2[#All],9,FALSE)</f>
        <v>Obesity</v>
      </c>
      <c r="K956" t="str">
        <f>VLOOKUP(Table2[[#This Row],[Customer ID]],Table2[#All],10,FALSE)</f>
        <v>Diabetes</v>
      </c>
    </row>
    <row r="957" spans="1:11" ht="15.6" x14ac:dyDescent="0.3">
      <c r="A957" s="1" t="s">
        <v>1415</v>
      </c>
      <c r="B957" t="str">
        <f>VLOOKUP('Customer Names'!A957,'Customer Names'!$A$1:$E$2336,4,FALSE)</f>
        <v>Mrs.  Meghan E</v>
      </c>
      <c r="C957">
        <f>VLOOKUP(Table2[[#This Row],[Customer ID]],Table2[#All],2,FALSE)</f>
        <v>39.22</v>
      </c>
      <c r="D957">
        <f>VLOOKUP(Table2[[#This Row],[Customer ID]],Table2[#All],3,FALSE)</f>
        <v>5.62</v>
      </c>
      <c r="E957" t="str">
        <f>VLOOKUP(Table2[[#This Row],[Customer ID]],Table2[#All],4,FALSE)</f>
        <v>Yes</v>
      </c>
      <c r="F957" t="str">
        <f>VLOOKUP(Table2[[#This Row],[Customer ID]],Table2[#All],5,FALSE)</f>
        <v>No</v>
      </c>
      <c r="G957" t="str">
        <f>VLOOKUP(Table2[[#This Row],[Customer ID]],Table2[#All],6,FALSE)</f>
        <v>No</v>
      </c>
      <c r="H957">
        <f>VLOOKUP(Table2[[#This Row],[Customer ID]],Table2[#All],7,FALSE)</f>
        <v>1</v>
      </c>
      <c r="I957" t="str">
        <f>VLOOKUP(Table2[[#This Row],[Customer ID]],Table2[#All],8,FALSE)</f>
        <v>No</v>
      </c>
      <c r="J957" t="str">
        <f>VLOOKUP(Table2[[#This Row],[Customer ID]],Table2[#All],9,FALSE)</f>
        <v>Obesity</v>
      </c>
      <c r="K957" t="str">
        <f>VLOOKUP(Table2[[#This Row],[Customer ID]],Table2[#All],10,FALSE)</f>
        <v>Normal</v>
      </c>
    </row>
    <row r="958" spans="1:11" ht="15.6" x14ac:dyDescent="0.3">
      <c r="A958" s="1" t="s">
        <v>1414</v>
      </c>
      <c r="B958" t="str">
        <f>VLOOKUP('Customer Names'!A958,'Customer Names'!$A$1:$E$2336,4,FALSE)</f>
        <v>Mr.  Eric</v>
      </c>
      <c r="C958">
        <f>VLOOKUP(Table2[[#This Row],[Customer ID]],Table2[#All],2,FALSE)</f>
        <v>24.414999999999999</v>
      </c>
      <c r="D958">
        <f>VLOOKUP(Table2[[#This Row],[Customer ID]],Table2[#All],3,FALSE)</f>
        <v>7.16</v>
      </c>
      <c r="E958" t="str">
        <f>VLOOKUP(Table2[[#This Row],[Customer ID]],Table2[#All],4,FALSE)</f>
        <v>No</v>
      </c>
      <c r="F958" t="str">
        <f>VLOOKUP(Table2[[#This Row],[Customer ID]],Table2[#All],5,FALSE)</f>
        <v>No</v>
      </c>
      <c r="G958" t="str">
        <f>VLOOKUP(Table2[[#This Row],[Customer ID]],Table2[#All],6,FALSE)</f>
        <v>No</v>
      </c>
      <c r="H958">
        <f>VLOOKUP(Table2[[#This Row],[Customer ID]],Table2[#All],7,FALSE)</f>
        <v>0</v>
      </c>
      <c r="I958" t="str">
        <f>VLOOKUP(Table2[[#This Row],[Customer ID]],Table2[#All],8,FALSE)</f>
        <v>No</v>
      </c>
      <c r="J958" t="str">
        <f>VLOOKUP(Table2[[#This Row],[Customer ID]],Table2[#All],9,FALSE)</f>
        <v>Normalweight</v>
      </c>
      <c r="K958" t="str">
        <f>VLOOKUP(Table2[[#This Row],[Customer ID]],Table2[#All],10,FALSE)</f>
        <v>Diabetes</v>
      </c>
    </row>
    <row r="959" spans="1:11" ht="15.6" x14ac:dyDescent="0.3">
      <c r="A959" s="1" t="s">
        <v>1413</v>
      </c>
      <c r="B959" t="str">
        <f>VLOOKUP('Customer Names'!A959,'Customer Names'!$A$1:$E$2336,4,FALSE)</f>
        <v>Ms.  Lisa B</v>
      </c>
      <c r="C959">
        <f>VLOOKUP(Table2[[#This Row],[Customer ID]],Table2[#All],2,FALSE)</f>
        <v>32.299999999999997</v>
      </c>
      <c r="D959">
        <f>VLOOKUP(Table2[[#This Row],[Customer ID]],Table2[#All],3,FALSE)</f>
        <v>9.89</v>
      </c>
      <c r="E959" t="str">
        <f>VLOOKUP(Table2[[#This Row],[Customer ID]],Table2[#All],4,FALSE)</f>
        <v>No</v>
      </c>
      <c r="F959" t="str">
        <f>VLOOKUP(Table2[[#This Row],[Customer ID]],Table2[#All],5,FALSE)</f>
        <v>No</v>
      </c>
      <c r="G959" t="str">
        <f>VLOOKUP(Table2[[#This Row],[Customer ID]],Table2[#All],6,FALSE)</f>
        <v>No</v>
      </c>
      <c r="H959">
        <f>VLOOKUP(Table2[[#This Row],[Customer ID]],Table2[#All],7,FALSE)</f>
        <v>0</v>
      </c>
      <c r="I959" t="str">
        <f>VLOOKUP(Table2[[#This Row],[Customer ID]],Table2[#All],8,FALSE)</f>
        <v>No</v>
      </c>
      <c r="J959" t="str">
        <f>VLOOKUP(Table2[[#This Row],[Customer ID]],Table2[#All],9,FALSE)</f>
        <v>Obesity</v>
      </c>
      <c r="K959" t="str">
        <f>VLOOKUP(Table2[[#This Row],[Customer ID]],Table2[#All],10,FALSE)</f>
        <v>Diabetes</v>
      </c>
    </row>
    <row r="960" spans="1:11" ht="15.6" x14ac:dyDescent="0.3">
      <c r="A960" s="1" t="s">
        <v>1412</v>
      </c>
      <c r="B960" t="str">
        <f>VLOOKUP('Customer Names'!A960,'Customer Names'!$A$1:$E$2336,4,FALSE)</f>
        <v>Mrs.  Jane R.</v>
      </c>
      <c r="C960">
        <f>VLOOKUP(Table2[[#This Row],[Customer ID]],Table2[#All],2,FALSE)</f>
        <v>39.94</v>
      </c>
      <c r="D960">
        <f>VLOOKUP(Table2[[#This Row],[Customer ID]],Table2[#All],3,FALSE)</f>
        <v>5.14</v>
      </c>
      <c r="E960" t="str">
        <f>VLOOKUP(Table2[[#This Row],[Customer ID]],Table2[#All],4,FALSE)</f>
        <v>No</v>
      </c>
      <c r="F960" t="str">
        <f>VLOOKUP(Table2[[#This Row],[Customer ID]],Table2[#All],5,FALSE)</f>
        <v>No</v>
      </c>
      <c r="G960" t="str">
        <f>VLOOKUP(Table2[[#This Row],[Customer ID]],Table2[#All],6,FALSE)</f>
        <v>No</v>
      </c>
      <c r="H960">
        <f>VLOOKUP(Table2[[#This Row],[Customer ID]],Table2[#All],7,FALSE)</f>
        <v>0</v>
      </c>
      <c r="I960" t="str">
        <f>VLOOKUP(Table2[[#This Row],[Customer ID]],Table2[#All],8,FALSE)</f>
        <v>No</v>
      </c>
      <c r="J960" t="str">
        <f>VLOOKUP(Table2[[#This Row],[Customer ID]],Table2[#All],9,FALSE)</f>
        <v>Obesity</v>
      </c>
      <c r="K960" t="str">
        <f>VLOOKUP(Table2[[#This Row],[Customer ID]],Table2[#All],10,FALSE)</f>
        <v>Normal</v>
      </c>
    </row>
    <row r="961" spans="1:11" ht="15.6" x14ac:dyDescent="0.3">
      <c r="A961" s="1" t="s">
        <v>1411</v>
      </c>
      <c r="B961" t="str">
        <f>VLOOKUP('Customer Names'!A961,'Customer Names'!$A$1:$E$2336,4,FALSE)</f>
        <v>Ms.  Allison M</v>
      </c>
      <c r="C961">
        <f>VLOOKUP(Table2[[#This Row],[Customer ID]],Table2[#All],2,FALSE)</f>
        <v>30</v>
      </c>
      <c r="D961">
        <f>VLOOKUP(Table2[[#This Row],[Customer ID]],Table2[#All],3,FALSE)</f>
        <v>5.61</v>
      </c>
      <c r="E961" t="str">
        <f>VLOOKUP(Table2[[#This Row],[Customer ID]],Table2[#All],4,FALSE)</f>
        <v>Yes</v>
      </c>
      <c r="F961" t="str">
        <f>VLOOKUP(Table2[[#This Row],[Customer ID]],Table2[#All],5,FALSE)</f>
        <v>No</v>
      </c>
      <c r="G961" t="str">
        <f>VLOOKUP(Table2[[#This Row],[Customer ID]],Table2[#All],6,FALSE)</f>
        <v>Yes</v>
      </c>
      <c r="H961">
        <f>VLOOKUP(Table2[[#This Row],[Customer ID]],Table2[#All],7,FALSE)</f>
        <v>1</v>
      </c>
      <c r="I961" t="str">
        <f>VLOOKUP(Table2[[#This Row],[Customer ID]],Table2[#All],8,FALSE)</f>
        <v>No</v>
      </c>
      <c r="J961" t="str">
        <f>VLOOKUP(Table2[[#This Row],[Customer ID]],Table2[#All],9,FALSE)</f>
        <v>Obesity</v>
      </c>
      <c r="K961" t="str">
        <f>VLOOKUP(Table2[[#This Row],[Customer ID]],Table2[#All],10,FALSE)</f>
        <v>Normal</v>
      </c>
    </row>
    <row r="962" spans="1:11" ht="15.6" x14ac:dyDescent="0.3">
      <c r="A962" s="1" t="s">
        <v>1410</v>
      </c>
      <c r="B962" t="str">
        <f>VLOOKUP('Customer Names'!A962,'Customer Names'!$A$1:$E$2336,4,FALSE)</f>
        <v>Mrs.  Sarah E.</v>
      </c>
      <c r="C962">
        <f>VLOOKUP(Table2[[#This Row],[Customer ID]],Table2[#All],2,FALSE)</f>
        <v>35.340000000000003</v>
      </c>
      <c r="D962">
        <f>VLOOKUP(Table2[[#This Row],[Customer ID]],Table2[#All],3,FALSE)</f>
        <v>5.51</v>
      </c>
      <c r="E962" t="str">
        <f>VLOOKUP(Table2[[#This Row],[Customer ID]],Table2[#All],4,FALSE)</f>
        <v>Yes</v>
      </c>
      <c r="F962" t="str">
        <f>VLOOKUP(Table2[[#This Row],[Customer ID]],Table2[#All],5,FALSE)</f>
        <v>No</v>
      </c>
      <c r="G962" t="str">
        <f>VLOOKUP(Table2[[#This Row],[Customer ID]],Table2[#All],6,FALSE)</f>
        <v>Yes</v>
      </c>
      <c r="H962">
        <f>VLOOKUP(Table2[[#This Row],[Customer ID]],Table2[#All],7,FALSE)</f>
        <v>1</v>
      </c>
      <c r="I962" t="str">
        <f>VLOOKUP(Table2[[#This Row],[Customer ID]],Table2[#All],8,FALSE)</f>
        <v>No</v>
      </c>
      <c r="J962" t="str">
        <f>VLOOKUP(Table2[[#This Row],[Customer ID]],Table2[#All],9,FALSE)</f>
        <v>Obesity</v>
      </c>
      <c r="K962" t="str">
        <f>VLOOKUP(Table2[[#This Row],[Customer ID]],Table2[#All],10,FALSE)</f>
        <v>Normal</v>
      </c>
    </row>
    <row r="963" spans="1:11" ht="15.6" x14ac:dyDescent="0.3">
      <c r="A963" s="1" t="s">
        <v>1409</v>
      </c>
      <c r="B963" t="str">
        <f>VLOOKUP('Customer Names'!A963,'Customer Names'!$A$1:$E$2336,4,FALSE)</f>
        <v>Mr.  Philip J</v>
      </c>
      <c r="C963">
        <f>VLOOKUP(Table2[[#This Row],[Customer ID]],Table2[#All],2,FALSE)</f>
        <v>32.204999999999998</v>
      </c>
      <c r="D963">
        <f>VLOOKUP(Table2[[#This Row],[Customer ID]],Table2[#All],3,FALSE)</f>
        <v>8.3800000000000008</v>
      </c>
      <c r="E963" t="str">
        <f>VLOOKUP(Table2[[#This Row],[Customer ID]],Table2[#All],4,FALSE)</f>
        <v>Yes</v>
      </c>
      <c r="F963" t="str">
        <f>VLOOKUP(Table2[[#This Row],[Customer ID]],Table2[#All],5,FALSE)</f>
        <v>No</v>
      </c>
      <c r="G963" t="str">
        <f>VLOOKUP(Table2[[#This Row],[Customer ID]],Table2[#All],6,FALSE)</f>
        <v>No</v>
      </c>
      <c r="H963">
        <f>VLOOKUP(Table2[[#This Row],[Customer ID]],Table2[#All],7,FALSE)</f>
        <v>2</v>
      </c>
      <c r="I963" t="str">
        <f>VLOOKUP(Table2[[#This Row],[Customer ID]],Table2[#All],8,FALSE)</f>
        <v>No</v>
      </c>
      <c r="J963" t="str">
        <f>VLOOKUP(Table2[[#This Row],[Customer ID]],Table2[#All],9,FALSE)</f>
        <v>Obesity</v>
      </c>
      <c r="K963" t="str">
        <f>VLOOKUP(Table2[[#This Row],[Customer ID]],Table2[#All],10,FALSE)</f>
        <v>Diabetes</v>
      </c>
    </row>
    <row r="964" spans="1:11" ht="15.6" x14ac:dyDescent="0.3">
      <c r="A964" s="1" t="s">
        <v>1408</v>
      </c>
      <c r="B964" t="str">
        <f>VLOOKUP('Customer Names'!A964,'Customer Names'!$A$1:$E$2336,4,FALSE)</f>
        <v>Ms.  Jillian A.</v>
      </c>
      <c r="C964">
        <f>VLOOKUP(Table2[[#This Row],[Customer ID]],Table2[#All],2,FALSE)</f>
        <v>33.880000000000003</v>
      </c>
      <c r="D964">
        <f>VLOOKUP(Table2[[#This Row],[Customer ID]],Table2[#All],3,FALSE)</f>
        <v>4.68</v>
      </c>
      <c r="E964" t="str">
        <f>VLOOKUP(Table2[[#This Row],[Customer ID]],Table2[#All],4,FALSE)</f>
        <v>No</v>
      </c>
      <c r="F964" t="str">
        <f>VLOOKUP(Table2[[#This Row],[Customer ID]],Table2[#All],5,FALSE)</f>
        <v>yes</v>
      </c>
      <c r="G964" t="str">
        <f>VLOOKUP(Table2[[#This Row],[Customer ID]],Table2[#All],6,FALSE)</f>
        <v>No</v>
      </c>
      <c r="H964">
        <f>VLOOKUP(Table2[[#This Row],[Customer ID]],Table2[#All],7,FALSE)</f>
        <v>1</v>
      </c>
      <c r="I964" t="str">
        <f>VLOOKUP(Table2[[#This Row],[Customer ID]],Table2[#All],8,FALSE)</f>
        <v>No</v>
      </c>
      <c r="J964" t="str">
        <f>VLOOKUP(Table2[[#This Row],[Customer ID]],Table2[#All],9,FALSE)</f>
        <v>Obesity</v>
      </c>
      <c r="K964" t="str">
        <f>VLOOKUP(Table2[[#This Row],[Customer ID]],Table2[#All],10,FALSE)</f>
        <v>Normal</v>
      </c>
    </row>
    <row r="965" spans="1:11" ht="15.6" x14ac:dyDescent="0.3">
      <c r="A965" s="1" t="s">
        <v>1407</v>
      </c>
      <c r="B965" t="str">
        <f>VLOOKUP('Customer Names'!A965,'Customer Names'!$A$1:$E$2336,4,FALSE)</f>
        <v>Mrs.  Laura D</v>
      </c>
      <c r="C965">
        <f>VLOOKUP(Table2[[#This Row],[Customer ID]],Table2[#All],2,FALSE)</f>
        <v>26.63</v>
      </c>
      <c r="D965">
        <f>VLOOKUP(Table2[[#This Row],[Customer ID]],Table2[#All],3,FALSE)</f>
        <v>4.3600000000000003</v>
      </c>
      <c r="E965" t="str">
        <f>VLOOKUP(Table2[[#This Row],[Customer ID]],Table2[#All],4,FALSE)</f>
        <v>Yes</v>
      </c>
      <c r="F965" t="str">
        <f>VLOOKUP(Table2[[#This Row],[Customer ID]],Table2[#All],5,FALSE)</f>
        <v>No</v>
      </c>
      <c r="G965" t="str">
        <f>VLOOKUP(Table2[[#This Row],[Customer ID]],Table2[#All],6,FALSE)</f>
        <v>No</v>
      </c>
      <c r="H965">
        <f>VLOOKUP(Table2[[#This Row],[Customer ID]],Table2[#All],7,FALSE)</f>
        <v>2</v>
      </c>
      <c r="I965" t="str">
        <f>VLOOKUP(Table2[[#This Row],[Customer ID]],Table2[#All],8,FALSE)</f>
        <v>No</v>
      </c>
      <c r="J965" t="str">
        <f>VLOOKUP(Table2[[#This Row],[Customer ID]],Table2[#All],9,FALSE)</f>
        <v>Overweight</v>
      </c>
      <c r="K965" t="str">
        <f>VLOOKUP(Table2[[#This Row],[Customer ID]],Table2[#All],10,FALSE)</f>
        <v>Normal</v>
      </c>
    </row>
    <row r="966" spans="1:11" ht="15.6" x14ac:dyDescent="0.3">
      <c r="A966" s="1" t="s">
        <v>1406</v>
      </c>
      <c r="B966" t="str">
        <f>VLOOKUP('Customer Names'!A966,'Customer Names'!$A$1:$E$2336,4,FALSE)</f>
        <v>Ms.  Megan E.</v>
      </c>
      <c r="C966">
        <f>VLOOKUP(Table2[[#This Row],[Customer ID]],Table2[#All],2,FALSE)</f>
        <v>28.7</v>
      </c>
      <c r="D966">
        <f>VLOOKUP(Table2[[#This Row],[Customer ID]],Table2[#All],3,FALSE)</f>
        <v>7.74</v>
      </c>
      <c r="E966" t="str">
        <f>VLOOKUP(Table2[[#This Row],[Customer ID]],Table2[#All],4,FALSE)</f>
        <v>No</v>
      </c>
      <c r="F966" t="str">
        <f>VLOOKUP(Table2[[#This Row],[Customer ID]],Table2[#All],5,FALSE)</f>
        <v>No</v>
      </c>
      <c r="G966" t="str">
        <f>VLOOKUP(Table2[[#This Row],[Customer ID]],Table2[#All],6,FALSE)</f>
        <v>No</v>
      </c>
      <c r="H966">
        <f>VLOOKUP(Table2[[#This Row],[Customer ID]],Table2[#All],7,FALSE)</f>
        <v>0</v>
      </c>
      <c r="I966" t="str">
        <f>VLOOKUP(Table2[[#This Row],[Customer ID]],Table2[#All],8,FALSE)</f>
        <v>No</v>
      </c>
      <c r="J966" t="str">
        <f>VLOOKUP(Table2[[#This Row],[Customer ID]],Table2[#All],9,FALSE)</f>
        <v>Overweight</v>
      </c>
      <c r="K966" t="str">
        <f>VLOOKUP(Table2[[#This Row],[Customer ID]],Table2[#All],10,FALSE)</f>
        <v>Diabetes</v>
      </c>
    </row>
    <row r="967" spans="1:11" ht="15.6" x14ac:dyDescent="0.3">
      <c r="A967" s="1" t="s">
        <v>1405</v>
      </c>
      <c r="B967" t="str">
        <f>VLOOKUP('Customer Names'!A967,'Customer Names'!$A$1:$E$2336,4,FALSE)</f>
        <v>Ms.  Shannon J.</v>
      </c>
      <c r="C967">
        <f>VLOOKUP(Table2[[#This Row],[Customer ID]],Table2[#All],2,FALSE)</f>
        <v>25.65</v>
      </c>
      <c r="D967">
        <f>VLOOKUP(Table2[[#This Row],[Customer ID]],Table2[#All],3,FALSE)</f>
        <v>4.05</v>
      </c>
      <c r="E967" t="str">
        <f>VLOOKUP(Table2[[#This Row],[Customer ID]],Table2[#All],4,FALSE)</f>
        <v>Yes</v>
      </c>
      <c r="F967" t="str">
        <f>VLOOKUP(Table2[[#This Row],[Customer ID]],Table2[#All],5,FALSE)</f>
        <v>No</v>
      </c>
      <c r="G967" t="str">
        <f>VLOOKUP(Table2[[#This Row],[Customer ID]],Table2[#All],6,FALSE)</f>
        <v>No</v>
      </c>
      <c r="H967">
        <f>VLOOKUP(Table2[[#This Row],[Customer ID]],Table2[#All],7,FALSE)</f>
        <v>2</v>
      </c>
      <c r="I967" t="str">
        <f>VLOOKUP(Table2[[#This Row],[Customer ID]],Table2[#All],8,FALSE)</f>
        <v>No</v>
      </c>
      <c r="J967" t="str">
        <f>VLOOKUP(Table2[[#This Row],[Customer ID]],Table2[#All],9,FALSE)</f>
        <v>Overweight</v>
      </c>
      <c r="K967" t="str">
        <f>VLOOKUP(Table2[[#This Row],[Customer ID]],Table2[#All],10,FALSE)</f>
        <v>Normal</v>
      </c>
    </row>
    <row r="968" spans="1:11" ht="15.6" x14ac:dyDescent="0.3">
      <c r="A968" s="1" t="s">
        <v>1404</v>
      </c>
      <c r="B968" t="str">
        <f>VLOOKUP('Customer Names'!A968,'Customer Names'!$A$1:$E$2336,4,FALSE)</f>
        <v>Ms.  Rachelle M</v>
      </c>
      <c r="C968">
        <f>VLOOKUP(Table2[[#This Row],[Customer ID]],Table2[#All],2,FALSE)</f>
        <v>36.384999999999998</v>
      </c>
      <c r="D968">
        <f>VLOOKUP(Table2[[#This Row],[Customer ID]],Table2[#All],3,FALSE)</f>
        <v>11.49</v>
      </c>
      <c r="E968" t="str">
        <f>VLOOKUP(Table2[[#This Row],[Customer ID]],Table2[#All],4,FALSE)</f>
        <v>No</v>
      </c>
      <c r="F968" t="str">
        <f>VLOOKUP(Table2[[#This Row],[Customer ID]],Table2[#All],5,FALSE)</f>
        <v>No</v>
      </c>
      <c r="G968" t="str">
        <f>VLOOKUP(Table2[[#This Row],[Customer ID]],Table2[#All],6,FALSE)</f>
        <v>No</v>
      </c>
      <c r="H968">
        <f>VLOOKUP(Table2[[#This Row],[Customer ID]],Table2[#All],7,FALSE)</f>
        <v>0</v>
      </c>
      <c r="I968" t="str">
        <f>VLOOKUP(Table2[[#This Row],[Customer ID]],Table2[#All],8,FALSE)</f>
        <v>No</v>
      </c>
      <c r="J968" t="str">
        <f>VLOOKUP(Table2[[#This Row],[Customer ID]],Table2[#All],9,FALSE)</f>
        <v>Obesity</v>
      </c>
      <c r="K968" t="str">
        <f>VLOOKUP(Table2[[#This Row],[Customer ID]],Table2[#All],10,FALSE)</f>
        <v>Diabetes</v>
      </c>
    </row>
    <row r="969" spans="1:11" ht="15.6" x14ac:dyDescent="0.3">
      <c r="A969" s="1" t="s">
        <v>1403</v>
      </c>
      <c r="B969" t="str">
        <f>VLOOKUP('Customer Names'!A969,'Customer Names'!$A$1:$E$2336,4,FALSE)</f>
        <v>Mr.  Casey</v>
      </c>
      <c r="C969">
        <f>VLOOKUP(Table2[[#This Row],[Customer ID]],Table2[#All],2,FALSE)</f>
        <v>34.69</v>
      </c>
      <c r="D969">
        <f>VLOOKUP(Table2[[#This Row],[Customer ID]],Table2[#All],3,FALSE)</f>
        <v>5.65</v>
      </c>
      <c r="E969" t="str">
        <f>VLOOKUP(Table2[[#This Row],[Customer ID]],Table2[#All],4,FALSE)</f>
        <v>No</v>
      </c>
      <c r="F969" t="str">
        <f>VLOOKUP(Table2[[#This Row],[Customer ID]],Table2[#All],5,FALSE)</f>
        <v>No</v>
      </c>
      <c r="G969" t="str">
        <f>VLOOKUP(Table2[[#This Row],[Customer ID]],Table2[#All],6,FALSE)</f>
        <v>No</v>
      </c>
      <c r="H969">
        <f>VLOOKUP(Table2[[#This Row],[Customer ID]],Table2[#All],7,FALSE)</f>
        <v>0</v>
      </c>
      <c r="I969" t="str">
        <f>VLOOKUP(Table2[[#This Row],[Customer ID]],Table2[#All],8,FALSE)</f>
        <v>No</v>
      </c>
      <c r="J969" t="str">
        <f>VLOOKUP(Table2[[#This Row],[Customer ID]],Table2[#All],9,FALSE)</f>
        <v>Obesity</v>
      </c>
      <c r="K969" t="str">
        <f>VLOOKUP(Table2[[#This Row],[Customer ID]],Table2[#All],10,FALSE)</f>
        <v>Normal</v>
      </c>
    </row>
    <row r="970" spans="1:11" ht="15.6" x14ac:dyDescent="0.3">
      <c r="A970" s="1" t="s">
        <v>1402</v>
      </c>
      <c r="B970" t="str">
        <f>VLOOKUP('Customer Names'!A970,'Customer Names'!$A$1:$E$2336,4,FALSE)</f>
        <v>Ms.  Jessica L</v>
      </c>
      <c r="C970">
        <f>VLOOKUP(Table2[[#This Row],[Customer ID]],Table2[#All],2,FALSE)</f>
        <v>37.68</v>
      </c>
      <c r="D970">
        <f>VLOOKUP(Table2[[#This Row],[Customer ID]],Table2[#All],3,FALSE)</f>
        <v>4.29</v>
      </c>
      <c r="E970" t="str">
        <f>VLOOKUP(Table2[[#This Row],[Customer ID]],Table2[#All],4,FALSE)</f>
        <v>Yes</v>
      </c>
      <c r="F970" t="str">
        <f>VLOOKUP(Table2[[#This Row],[Customer ID]],Table2[#All],5,FALSE)</f>
        <v>No</v>
      </c>
      <c r="G970" t="str">
        <f>VLOOKUP(Table2[[#This Row],[Customer ID]],Table2[#All],6,FALSE)</f>
        <v>No</v>
      </c>
      <c r="H970">
        <f>VLOOKUP(Table2[[#This Row],[Customer ID]],Table2[#All],7,FALSE)</f>
        <v>0</v>
      </c>
      <c r="I970" t="str">
        <f>VLOOKUP(Table2[[#This Row],[Customer ID]],Table2[#All],8,FALSE)</f>
        <v>No</v>
      </c>
      <c r="J970" t="str">
        <f>VLOOKUP(Table2[[#This Row],[Customer ID]],Table2[#All],9,FALSE)</f>
        <v>Obesity</v>
      </c>
      <c r="K970" t="str">
        <f>VLOOKUP(Table2[[#This Row],[Customer ID]],Table2[#All],10,FALSE)</f>
        <v>Normal</v>
      </c>
    </row>
    <row r="971" spans="1:11" ht="15.6" x14ac:dyDescent="0.3">
      <c r="A971" s="1" t="s">
        <v>1401</v>
      </c>
      <c r="B971" t="str">
        <f>VLOOKUP('Customer Names'!A971,'Customer Names'!$A$1:$E$2336,4,FALSE)</f>
        <v>Mr.  Brandon F</v>
      </c>
      <c r="C971">
        <f>VLOOKUP(Table2[[#This Row],[Customer ID]],Table2[#All],2,FALSE)</f>
        <v>35.49</v>
      </c>
      <c r="D971">
        <f>VLOOKUP(Table2[[#This Row],[Customer ID]],Table2[#All],3,FALSE)</f>
        <v>4.74</v>
      </c>
      <c r="E971" t="str">
        <f>VLOOKUP(Table2[[#This Row],[Customer ID]],Table2[#All],4,FALSE)</f>
        <v>Yes</v>
      </c>
      <c r="F971" t="str">
        <f>VLOOKUP(Table2[[#This Row],[Customer ID]],Table2[#All],5,FALSE)</f>
        <v>No</v>
      </c>
      <c r="G971" t="str">
        <f>VLOOKUP(Table2[[#This Row],[Customer ID]],Table2[#All],6,FALSE)</f>
        <v>Yes</v>
      </c>
      <c r="H971">
        <f>VLOOKUP(Table2[[#This Row],[Customer ID]],Table2[#All],7,FALSE)</f>
        <v>1</v>
      </c>
      <c r="I971" t="str">
        <f>VLOOKUP(Table2[[#This Row],[Customer ID]],Table2[#All],8,FALSE)</f>
        <v>No</v>
      </c>
      <c r="J971" t="str">
        <f>VLOOKUP(Table2[[#This Row],[Customer ID]],Table2[#All],9,FALSE)</f>
        <v>Obesity</v>
      </c>
      <c r="K971" t="str">
        <f>VLOOKUP(Table2[[#This Row],[Customer ID]],Table2[#All],10,FALSE)</f>
        <v>Normal</v>
      </c>
    </row>
    <row r="972" spans="1:11" ht="15.6" x14ac:dyDescent="0.3">
      <c r="A972" s="1" t="s">
        <v>1400</v>
      </c>
      <c r="B972" t="str">
        <f>VLOOKUP('Customer Names'!A972,'Customer Names'!$A$1:$E$2336,4,FALSE)</f>
        <v>Ms.  Melissa</v>
      </c>
      <c r="C972">
        <f>VLOOKUP(Table2[[#This Row],[Customer ID]],Table2[#All],2,FALSE)</f>
        <v>44.7</v>
      </c>
      <c r="D972">
        <f>VLOOKUP(Table2[[#This Row],[Customer ID]],Table2[#All],3,FALSE)</f>
        <v>7.6</v>
      </c>
      <c r="E972" t="str">
        <f>VLOOKUP(Table2[[#This Row],[Customer ID]],Table2[#All],4,FALSE)</f>
        <v>Yes</v>
      </c>
      <c r="F972" t="str">
        <f>VLOOKUP(Table2[[#This Row],[Customer ID]],Table2[#All],5,FALSE)</f>
        <v>No</v>
      </c>
      <c r="G972" t="str">
        <f>VLOOKUP(Table2[[#This Row],[Customer ID]],Table2[#All],6,FALSE)</f>
        <v>No</v>
      </c>
      <c r="H972">
        <f>VLOOKUP(Table2[[#This Row],[Customer ID]],Table2[#All],7,FALSE)</f>
        <v>2</v>
      </c>
      <c r="I972" t="str">
        <f>VLOOKUP(Table2[[#This Row],[Customer ID]],Table2[#All],8,FALSE)</f>
        <v>No</v>
      </c>
      <c r="J972" t="str">
        <f>VLOOKUP(Table2[[#This Row],[Customer ID]],Table2[#All],9,FALSE)</f>
        <v>Obesity</v>
      </c>
      <c r="K972" t="str">
        <f>VLOOKUP(Table2[[#This Row],[Customer ID]],Table2[#All],10,FALSE)</f>
        <v>Diabetes</v>
      </c>
    </row>
    <row r="973" spans="1:11" ht="15.6" x14ac:dyDescent="0.3">
      <c r="A973" s="1" t="s">
        <v>1399</v>
      </c>
      <c r="B973" t="str">
        <f>VLOOKUP('Customer Names'!A973,'Customer Names'!$A$1:$E$2336,4,FALSE)</f>
        <v>Ms.  Danielle N</v>
      </c>
      <c r="C973">
        <f>VLOOKUP(Table2[[#This Row],[Customer ID]],Table2[#All],2,FALSE)</f>
        <v>38.380000000000003</v>
      </c>
      <c r="D973">
        <f>VLOOKUP(Table2[[#This Row],[Customer ID]],Table2[#All],3,FALSE)</f>
        <v>8.5</v>
      </c>
      <c r="E973" t="str">
        <f>VLOOKUP(Table2[[#This Row],[Customer ID]],Table2[#All],4,FALSE)</f>
        <v>Yes</v>
      </c>
      <c r="F973" t="str">
        <f>VLOOKUP(Table2[[#This Row],[Customer ID]],Table2[#All],5,FALSE)</f>
        <v>No</v>
      </c>
      <c r="G973" t="str">
        <f>VLOOKUP(Table2[[#This Row],[Customer ID]],Table2[#All],6,FALSE)</f>
        <v>No</v>
      </c>
      <c r="H973">
        <f>VLOOKUP(Table2[[#This Row],[Customer ID]],Table2[#All],7,FALSE)</f>
        <v>2</v>
      </c>
      <c r="I973" t="str">
        <f>VLOOKUP(Table2[[#This Row],[Customer ID]],Table2[#All],8,FALSE)</f>
        <v>No</v>
      </c>
      <c r="J973" t="str">
        <f>VLOOKUP(Table2[[#This Row],[Customer ID]],Table2[#All],9,FALSE)</f>
        <v>Obesity</v>
      </c>
      <c r="K973" t="str">
        <f>VLOOKUP(Table2[[#This Row],[Customer ID]],Table2[#All],10,FALSE)</f>
        <v>Diabetes</v>
      </c>
    </row>
    <row r="974" spans="1:11" ht="15.6" x14ac:dyDescent="0.3">
      <c r="A974" s="1" t="s">
        <v>1398</v>
      </c>
      <c r="B974" t="str">
        <f>VLOOKUP('Customer Names'!A974,'Customer Names'!$A$1:$E$2336,4,FALSE)</f>
        <v>Mr.  Matthew</v>
      </c>
      <c r="C974">
        <f>VLOOKUP(Table2[[#This Row],[Customer ID]],Table2[#All],2,FALSE)</f>
        <v>35.244999999999997</v>
      </c>
      <c r="D974">
        <f>VLOOKUP(Table2[[#This Row],[Customer ID]],Table2[#All],3,FALSE)</f>
        <v>11.22</v>
      </c>
      <c r="E974" t="str">
        <f>VLOOKUP(Table2[[#This Row],[Customer ID]],Table2[#All],4,FALSE)</f>
        <v>Yes</v>
      </c>
      <c r="F974" t="str">
        <f>VLOOKUP(Table2[[#This Row],[Customer ID]],Table2[#All],5,FALSE)</f>
        <v>No</v>
      </c>
      <c r="G974" t="str">
        <f>VLOOKUP(Table2[[#This Row],[Customer ID]],Table2[#All],6,FALSE)</f>
        <v>No</v>
      </c>
      <c r="H974">
        <f>VLOOKUP(Table2[[#This Row],[Customer ID]],Table2[#All],7,FALSE)</f>
        <v>0</v>
      </c>
      <c r="I974" t="str">
        <f>VLOOKUP(Table2[[#This Row],[Customer ID]],Table2[#All],8,FALSE)</f>
        <v>No</v>
      </c>
      <c r="J974" t="str">
        <f>VLOOKUP(Table2[[#This Row],[Customer ID]],Table2[#All],9,FALSE)</f>
        <v>Obesity</v>
      </c>
      <c r="K974" t="str">
        <f>VLOOKUP(Table2[[#This Row],[Customer ID]],Table2[#All],10,FALSE)</f>
        <v>Diabetes</v>
      </c>
    </row>
    <row r="975" spans="1:11" ht="15.6" x14ac:dyDescent="0.3">
      <c r="A975" s="1" t="s">
        <v>1397</v>
      </c>
      <c r="B975" t="str">
        <f>VLOOKUP('Customer Names'!A975,'Customer Names'!$A$1:$E$2336,4,FALSE)</f>
        <v>Mrs.  Bettina</v>
      </c>
      <c r="C975">
        <f>VLOOKUP(Table2[[#This Row],[Customer ID]],Table2[#All],2,FALSE)</f>
        <v>49.84</v>
      </c>
      <c r="D975">
        <f>VLOOKUP(Table2[[#This Row],[Customer ID]],Table2[#All],3,FALSE)</f>
        <v>5.0999999999999996</v>
      </c>
      <c r="E975" t="str">
        <f>VLOOKUP(Table2[[#This Row],[Customer ID]],Table2[#All],4,FALSE)</f>
        <v>Yes</v>
      </c>
      <c r="F975" t="str">
        <f>VLOOKUP(Table2[[#This Row],[Customer ID]],Table2[#All],5,FALSE)</f>
        <v>No</v>
      </c>
      <c r="G975" t="str">
        <f>VLOOKUP(Table2[[#This Row],[Customer ID]],Table2[#All],6,FALSE)</f>
        <v>Yes</v>
      </c>
      <c r="H975">
        <f>VLOOKUP(Table2[[#This Row],[Customer ID]],Table2[#All],7,FALSE)</f>
        <v>1</v>
      </c>
      <c r="I975" t="str">
        <f>VLOOKUP(Table2[[#This Row],[Customer ID]],Table2[#All],8,FALSE)</f>
        <v>No</v>
      </c>
      <c r="J975" t="str">
        <f>VLOOKUP(Table2[[#This Row],[Customer ID]],Table2[#All],9,FALSE)</f>
        <v>Obesity</v>
      </c>
      <c r="K975" t="str">
        <f>VLOOKUP(Table2[[#This Row],[Customer ID]],Table2[#All],10,FALSE)</f>
        <v>Normal</v>
      </c>
    </row>
    <row r="976" spans="1:11" ht="15.6" x14ac:dyDescent="0.3">
      <c r="A976" s="1" t="s">
        <v>1396</v>
      </c>
      <c r="B976" t="str">
        <f>VLOOKUP('Customer Names'!A976,'Customer Names'!$A$1:$E$2336,4,FALSE)</f>
        <v>Mr.  Alexander</v>
      </c>
      <c r="C976">
        <f>VLOOKUP(Table2[[#This Row],[Customer ID]],Table2[#All],2,FALSE)</f>
        <v>49.06</v>
      </c>
      <c r="D976">
        <f>VLOOKUP(Table2[[#This Row],[Customer ID]],Table2[#All],3,FALSE)</f>
        <v>5.43</v>
      </c>
      <c r="E976" t="str">
        <f>VLOOKUP(Table2[[#This Row],[Customer ID]],Table2[#All],4,FALSE)</f>
        <v>Yes</v>
      </c>
      <c r="F976" t="str">
        <f>VLOOKUP(Table2[[#This Row],[Customer ID]],Table2[#All],5,FALSE)</f>
        <v>No</v>
      </c>
      <c r="G976" t="str">
        <f>VLOOKUP(Table2[[#This Row],[Customer ID]],Table2[#All],6,FALSE)</f>
        <v>No</v>
      </c>
      <c r="H976">
        <f>VLOOKUP(Table2[[#This Row],[Customer ID]],Table2[#All],7,FALSE)</f>
        <v>1</v>
      </c>
      <c r="I976" t="str">
        <f>VLOOKUP(Table2[[#This Row],[Customer ID]],Table2[#All],8,FALSE)</f>
        <v>No</v>
      </c>
      <c r="J976" t="str">
        <f>VLOOKUP(Table2[[#This Row],[Customer ID]],Table2[#All],9,FALSE)</f>
        <v>Obesity</v>
      </c>
      <c r="K976" t="str">
        <f>VLOOKUP(Table2[[#This Row],[Customer ID]],Table2[#All],10,FALSE)</f>
        <v>Normal</v>
      </c>
    </row>
    <row r="977" spans="1:11" ht="15.6" x14ac:dyDescent="0.3">
      <c r="A977" s="1" t="s">
        <v>1395</v>
      </c>
      <c r="B977" t="str">
        <f>VLOOKUP('Customer Names'!A977,'Customer Names'!$A$1:$E$2336,4,FALSE)</f>
        <v>Mrs.  Holli</v>
      </c>
      <c r="C977">
        <f>VLOOKUP(Table2[[#This Row],[Customer ID]],Table2[#All],2,FALSE)</f>
        <v>30.88</v>
      </c>
      <c r="D977">
        <f>VLOOKUP(Table2[[#This Row],[Customer ID]],Table2[#All],3,FALSE)</f>
        <v>5.82</v>
      </c>
      <c r="E977" t="str">
        <f>VLOOKUP(Table2[[#This Row],[Customer ID]],Table2[#All],4,FALSE)</f>
        <v>No</v>
      </c>
      <c r="F977" t="str">
        <f>VLOOKUP(Table2[[#This Row],[Customer ID]],Table2[#All],5,FALSE)</f>
        <v>No</v>
      </c>
      <c r="G977" t="str">
        <f>VLOOKUP(Table2[[#This Row],[Customer ID]],Table2[#All],6,FALSE)</f>
        <v>No</v>
      </c>
      <c r="H977">
        <f>VLOOKUP(Table2[[#This Row],[Customer ID]],Table2[#All],7,FALSE)</f>
        <v>2</v>
      </c>
      <c r="I977" t="str">
        <f>VLOOKUP(Table2[[#This Row],[Customer ID]],Table2[#All],8,FALSE)</f>
        <v>No</v>
      </c>
      <c r="J977" t="str">
        <f>VLOOKUP(Table2[[#This Row],[Customer ID]],Table2[#All],9,FALSE)</f>
        <v>Obesity</v>
      </c>
      <c r="K977" t="str">
        <f>VLOOKUP(Table2[[#This Row],[Customer ID]],Table2[#All],10,FALSE)</f>
        <v>Prediabetes</v>
      </c>
    </row>
    <row r="978" spans="1:11" ht="15.6" x14ac:dyDescent="0.3">
      <c r="A978" s="1" t="s">
        <v>1394</v>
      </c>
      <c r="B978" t="str">
        <f>VLOOKUP('Customer Names'!A978,'Customer Names'!$A$1:$E$2336,4,FALSE)</f>
        <v>Mrs.  Heather C</v>
      </c>
      <c r="C978">
        <f>VLOOKUP(Table2[[#This Row],[Customer ID]],Table2[#All],2,FALSE)</f>
        <v>33.35</v>
      </c>
      <c r="D978">
        <f>VLOOKUP(Table2[[#This Row],[Customer ID]],Table2[#All],3,FALSE)</f>
        <v>6.05</v>
      </c>
      <c r="E978" t="str">
        <f>VLOOKUP(Table2[[#This Row],[Customer ID]],Table2[#All],4,FALSE)</f>
        <v>No</v>
      </c>
      <c r="F978" t="str">
        <f>VLOOKUP(Table2[[#This Row],[Customer ID]],Table2[#All],5,FALSE)</f>
        <v>No</v>
      </c>
      <c r="G978" t="str">
        <f>VLOOKUP(Table2[[#This Row],[Customer ID]],Table2[#All],6,FALSE)</f>
        <v>Yes</v>
      </c>
      <c r="H978">
        <f>VLOOKUP(Table2[[#This Row],[Customer ID]],Table2[#All],7,FALSE)</f>
        <v>1</v>
      </c>
      <c r="I978" t="str">
        <f>VLOOKUP(Table2[[#This Row],[Customer ID]],Table2[#All],8,FALSE)</f>
        <v>No</v>
      </c>
      <c r="J978" t="str">
        <f>VLOOKUP(Table2[[#This Row],[Customer ID]],Table2[#All],9,FALSE)</f>
        <v>Obesity</v>
      </c>
      <c r="K978" t="str">
        <f>VLOOKUP(Table2[[#This Row],[Customer ID]],Table2[#All],10,FALSE)</f>
        <v>Prediabetes</v>
      </c>
    </row>
    <row r="979" spans="1:11" ht="15.6" x14ac:dyDescent="0.3">
      <c r="A979" s="1" t="s">
        <v>1393</v>
      </c>
      <c r="B979" t="str">
        <f>VLOOKUP('Customer Names'!A979,'Customer Names'!$A$1:$E$2336,4,FALSE)</f>
        <v>Mr.  Kyle</v>
      </c>
      <c r="C979">
        <f>VLOOKUP(Table2[[#This Row],[Customer ID]],Table2[#All],2,FALSE)</f>
        <v>38</v>
      </c>
      <c r="D979">
        <f>VLOOKUP(Table2[[#This Row],[Customer ID]],Table2[#All],3,FALSE)</f>
        <v>6.38</v>
      </c>
      <c r="E979" t="str">
        <f>VLOOKUP(Table2[[#This Row],[Customer ID]],Table2[#All],4,FALSE)</f>
        <v>Yes</v>
      </c>
      <c r="F979" t="str">
        <f>VLOOKUP(Table2[[#This Row],[Customer ID]],Table2[#All],5,FALSE)</f>
        <v>No</v>
      </c>
      <c r="G979" t="str">
        <f>VLOOKUP(Table2[[#This Row],[Customer ID]],Table2[#All],6,FALSE)</f>
        <v>No</v>
      </c>
      <c r="H979">
        <f>VLOOKUP(Table2[[#This Row],[Customer ID]],Table2[#All],7,FALSE)</f>
        <v>1</v>
      </c>
      <c r="I979" t="str">
        <f>VLOOKUP(Table2[[#This Row],[Customer ID]],Table2[#All],8,FALSE)</f>
        <v>No</v>
      </c>
      <c r="J979" t="str">
        <f>VLOOKUP(Table2[[#This Row],[Customer ID]],Table2[#All],9,FALSE)</f>
        <v>Obesity</v>
      </c>
      <c r="K979" t="str">
        <f>VLOOKUP(Table2[[#This Row],[Customer ID]],Table2[#All],10,FALSE)</f>
        <v>Prediabetes</v>
      </c>
    </row>
    <row r="980" spans="1:11" ht="15.6" x14ac:dyDescent="0.3">
      <c r="A980" s="1" t="s">
        <v>1392</v>
      </c>
      <c r="B980" t="str">
        <f>VLOOKUP('Customer Names'!A980,'Customer Names'!$A$1:$E$2336,4,FALSE)</f>
        <v>Mr.  Thomas J</v>
      </c>
      <c r="C980">
        <f>VLOOKUP(Table2[[#This Row],[Customer ID]],Table2[#All],2,FALSE)</f>
        <v>36.08</v>
      </c>
      <c r="D980">
        <f>VLOOKUP(Table2[[#This Row],[Customer ID]],Table2[#All],3,FALSE)</f>
        <v>5.73</v>
      </c>
      <c r="E980" t="str">
        <f>VLOOKUP(Table2[[#This Row],[Customer ID]],Table2[#All],4,FALSE)</f>
        <v>Yes</v>
      </c>
      <c r="F980" t="str">
        <f>VLOOKUP(Table2[[#This Row],[Customer ID]],Table2[#All],5,FALSE)</f>
        <v>No</v>
      </c>
      <c r="G980" t="str">
        <f>VLOOKUP(Table2[[#This Row],[Customer ID]],Table2[#All],6,FALSE)</f>
        <v>No</v>
      </c>
      <c r="H980">
        <f>VLOOKUP(Table2[[#This Row],[Customer ID]],Table2[#All],7,FALSE)</f>
        <v>1</v>
      </c>
      <c r="I980" t="str">
        <f>VLOOKUP(Table2[[#This Row],[Customer ID]],Table2[#All],8,FALSE)</f>
        <v>No</v>
      </c>
      <c r="J980" t="str">
        <f>VLOOKUP(Table2[[#This Row],[Customer ID]],Table2[#All],9,FALSE)</f>
        <v>Obesity</v>
      </c>
      <c r="K980" t="str">
        <f>VLOOKUP(Table2[[#This Row],[Customer ID]],Table2[#All],10,FALSE)</f>
        <v>Prediabetes</v>
      </c>
    </row>
    <row r="981" spans="1:11" ht="15.6" x14ac:dyDescent="0.3">
      <c r="A981" s="1" t="s">
        <v>1391</v>
      </c>
      <c r="B981" t="str">
        <f>VLOOKUP('Customer Names'!A981,'Customer Names'!$A$1:$E$2336,4,FALSE)</f>
        <v>Mr.  Chris</v>
      </c>
      <c r="C981">
        <f>VLOOKUP(Table2[[#This Row],[Customer ID]],Table2[#All],2,FALSE)</f>
        <v>35.700000000000003</v>
      </c>
      <c r="D981">
        <f>VLOOKUP(Table2[[#This Row],[Customer ID]],Table2[#All],3,FALSE)</f>
        <v>5.47</v>
      </c>
      <c r="E981" t="str">
        <f>VLOOKUP(Table2[[#This Row],[Customer ID]],Table2[#All],4,FALSE)</f>
        <v>Yes</v>
      </c>
      <c r="F981" t="str">
        <f>VLOOKUP(Table2[[#This Row],[Customer ID]],Table2[#All],5,FALSE)</f>
        <v>No</v>
      </c>
      <c r="G981" t="str">
        <f>VLOOKUP(Table2[[#This Row],[Customer ID]],Table2[#All],6,FALSE)</f>
        <v>No</v>
      </c>
      <c r="H981">
        <f>VLOOKUP(Table2[[#This Row],[Customer ID]],Table2[#All],7,FALSE)</f>
        <v>1</v>
      </c>
      <c r="I981" t="str">
        <f>VLOOKUP(Table2[[#This Row],[Customer ID]],Table2[#All],8,FALSE)</f>
        <v>No</v>
      </c>
      <c r="J981" t="str">
        <f>VLOOKUP(Table2[[#This Row],[Customer ID]],Table2[#All],9,FALSE)</f>
        <v>Obesity</v>
      </c>
      <c r="K981" t="str">
        <f>VLOOKUP(Table2[[#This Row],[Customer ID]],Table2[#All],10,FALSE)</f>
        <v>Normal</v>
      </c>
    </row>
    <row r="982" spans="1:11" ht="15.6" x14ac:dyDescent="0.3">
      <c r="A982" s="1" t="s">
        <v>1390</v>
      </c>
      <c r="B982" t="str">
        <f>VLOOKUP('Customer Names'!A982,'Customer Names'!$A$1:$E$2336,4,FALSE)</f>
        <v>Mr.  Graham</v>
      </c>
      <c r="C982">
        <f>VLOOKUP(Table2[[#This Row],[Customer ID]],Table2[#All],2,FALSE)</f>
        <v>34.01</v>
      </c>
      <c r="D982">
        <f>VLOOKUP(Table2[[#This Row],[Customer ID]],Table2[#All],3,FALSE)</f>
        <v>11.3</v>
      </c>
      <c r="E982" t="str">
        <f>VLOOKUP(Table2[[#This Row],[Customer ID]],Table2[#All],4,FALSE)</f>
        <v>No</v>
      </c>
      <c r="F982" t="str">
        <f>VLOOKUP(Table2[[#This Row],[Customer ID]],Table2[#All],5,FALSE)</f>
        <v>No</v>
      </c>
      <c r="G982" t="str">
        <f>VLOOKUP(Table2[[#This Row],[Customer ID]],Table2[#All],6,FALSE)</f>
        <v>No</v>
      </c>
      <c r="H982">
        <f>VLOOKUP(Table2[[#This Row],[Customer ID]],Table2[#All],7,FALSE)</f>
        <v>0</v>
      </c>
      <c r="I982" t="str">
        <f>VLOOKUP(Table2[[#This Row],[Customer ID]],Table2[#All],8,FALSE)</f>
        <v>No</v>
      </c>
      <c r="J982" t="str">
        <f>VLOOKUP(Table2[[#This Row],[Customer ID]],Table2[#All],9,FALSE)</f>
        <v>Obesity</v>
      </c>
      <c r="K982" t="str">
        <f>VLOOKUP(Table2[[#This Row],[Customer ID]],Table2[#All],10,FALSE)</f>
        <v>Diabetes</v>
      </c>
    </row>
    <row r="983" spans="1:11" ht="15.6" x14ac:dyDescent="0.3">
      <c r="A983" s="1" t="s">
        <v>1389</v>
      </c>
      <c r="B983" t="str">
        <f>VLOOKUP('Customer Names'!A983,'Customer Names'!$A$1:$E$2336,4,FALSE)</f>
        <v>Mr.  Garrett</v>
      </c>
      <c r="C983">
        <f>VLOOKUP(Table2[[#This Row],[Customer ID]],Table2[#All],2,FALSE)</f>
        <v>31.54</v>
      </c>
      <c r="D983">
        <f>VLOOKUP(Table2[[#This Row],[Customer ID]],Table2[#All],3,FALSE)</f>
        <v>6.72</v>
      </c>
      <c r="E983" t="str">
        <f>VLOOKUP(Table2[[#This Row],[Customer ID]],Table2[#All],4,FALSE)</f>
        <v>No</v>
      </c>
      <c r="F983" t="str">
        <f>VLOOKUP(Table2[[#This Row],[Customer ID]],Table2[#All],5,FALSE)</f>
        <v>No</v>
      </c>
      <c r="G983" t="str">
        <f>VLOOKUP(Table2[[#This Row],[Customer ID]],Table2[#All],6,FALSE)</f>
        <v>No</v>
      </c>
      <c r="H983">
        <f>VLOOKUP(Table2[[#This Row],[Customer ID]],Table2[#All],7,FALSE)</f>
        <v>0</v>
      </c>
      <c r="I983" t="str">
        <f>VLOOKUP(Table2[[#This Row],[Customer ID]],Table2[#All],8,FALSE)</f>
        <v>No</v>
      </c>
      <c r="J983" t="str">
        <f>VLOOKUP(Table2[[#This Row],[Customer ID]],Table2[#All],9,FALSE)</f>
        <v>Obesity</v>
      </c>
      <c r="K983" t="str">
        <f>VLOOKUP(Table2[[#This Row],[Customer ID]],Table2[#All],10,FALSE)</f>
        <v>Diabetes</v>
      </c>
    </row>
    <row r="984" spans="1:11" ht="15.6" x14ac:dyDescent="0.3">
      <c r="A984" s="1" t="s">
        <v>1388</v>
      </c>
      <c r="B984" t="str">
        <f>VLOOKUP('Customer Names'!A984,'Customer Names'!$A$1:$E$2336,4,FALSE)</f>
        <v>Mr.  Andrew</v>
      </c>
      <c r="C984">
        <f>VLOOKUP(Table2[[#This Row],[Customer ID]],Table2[#All],2,FALSE)</f>
        <v>23.3</v>
      </c>
      <c r="D984">
        <f>VLOOKUP(Table2[[#This Row],[Customer ID]],Table2[#All],3,FALSE)</f>
        <v>5.36</v>
      </c>
      <c r="E984" t="str">
        <f>VLOOKUP(Table2[[#This Row],[Customer ID]],Table2[#All],4,FALSE)</f>
        <v>Yes</v>
      </c>
      <c r="F984" t="str">
        <f>VLOOKUP(Table2[[#This Row],[Customer ID]],Table2[#All],5,FALSE)</f>
        <v>No</v>
      </c>
      <c r="G984" t="str">
        <f>VLOOKUP(Table2[[#This Row],[Customer ID]],Table2[#All],6,FALSE)</f>
        <v>No</v>
      </c>
      <c r="H984">
        <f>VLOOKUP(Table2[[#This Row],[Customer ID]],Table2[#All],7,FALSE)</f>
        <v>1</v>
      </c>
      <c r="I984" t="str">
        <f>VLOOKUP(Table2[[#This Row],[Customer ID]],Table2[#All],8,FALSE)</f>
        <v>No</v>
      </c>
      <c r="J984" t="str">
        <f>VLOOKUP(Table2[[#This Row],[Customer ID]],Table2[#All],9,FALSE)</f>
        <v>Normalweight</v>
      </c>
      <c r="K984" t="str">
        <f>VLOOKUP(Table2[[#This Row],[Customer ID]],Table2[#All],10,FALSE)</f>
        <v>Normal</v>
      </c>
    </row>
    <row r="985" spans="1:11" ht="15.6" x14ac:dyDescent="0.3">
      <c r="A985" s="1" t="s">
        <v>1387</v>
      </c>
      <c r="B985" t="str">
        <f>VLOOKUP('Customer Names'!A985,'Customer Names'!$A$1:$E$2336,4,FALSE)</f>
        <v>Mrs.  Annabelle M</v>
      </c>
      <c r="C985">
        <f>VLOOKUP(Table2[[#This Row],[Customer ID]],Table2[#All],2,FALSE)</f>
        <v>27.75</v>
      </c>
      <c r="D985">
        <f>VLOOKUP(Table2[[#This Row],[Customer ID]],Table2[#All],3,FALSE)</f>
        <v>9.8800000000000008</v>
      </c>
      <c r="E985" t="str">
        <f>VLOOKUP(Table2[[#This Row],[Customer ID]],Table2[#All],4,FALSE)</f>
        <v>No</v>
      </c>
      <c r="F985" t="str">
        <f>VLOOKUP(Table2[[#This Row],[Customer ID]],Table2[#All],5,FALSE)</f>
        <v>No</v>
      </c>
      <c r="G985" t="str">
        <f>VLOOKUP(Table2[[#This Row],[Customer ID]],Table2[#All],6,FALSE)</f>
        <v>No</v>
      </c>
      <c r="H985">
        <f>VLOOKUP(Table2[[#This Row],[Customer ID]],Table2[#All],7,FALSE)</f>
        <v>0</v>
      </c>
      <c r="I985" t="str">
        <f>VLOOKUP(Table2[[#This Row],[Customer ID]],Table2[#All],8,FALSE)</f>
        <v>No</v>
      </c>
      <c r="J985" t="str">
        <f>VLOOKUP(Table2[[#This Row],[Customer ID]],Table2[#All],9,FALSE)</f>
        <v>Overweight</v>
      </c>
      <c r="K985" t="str">
        <f>VLOOKUP(Table2[[#This Row],[Customer ID]],Table2[#All],10,FALSE)</f>
        <v>Diabetes</v>
      </c>
    </row>
    <row r="986" spans="1:11" ht="15.6" x14ac:dyDescent="0.3">
      <c r="A986" s="1" t="s">
        <v>1386</v>
      </c>
      <c r="B986" t="str">
        <f>VLOOKUP('Customer Names'!A986,'Customer Names'!$A$1:$E$2336,4,FALSE)</f>
        <v>Mr.  Daniel T.</v>
      </c>
      <c r="C986">
        <f>VLOOKUP(Table2[[#This Row],[Customer ID]],Table2[#All],2,FALSE)</f>
        <v>42.46</v>
      </c>
      <c r="D986">
        <f>VLOOKUP(Table2[[#This Row],[Customer ID]],Table2[#All],3,FALSE)</f>
        <v>4.1100000000000003</v>
      </c>
      <c r="E986" t="str">
        <f>VLOOKUP(Table2[[#This Row],[Customer ID]],Table2[#All],4,FALSE)</f>
        <v>No</v>
      </c>
      <c r="F986" t="str">
        <f>VLOOKUP(Table2[[#This Row],[Customer ID]],Table2[#All],5,FALSE)</f>
        <v>No</v>
      </c>
      <c r="G986" t="str">
        <f>VLOOKUP(Table2[[#This Row],[Customer ID]],Table2[#All],6,FALSE)</f>
        <v>No</v>
      </c>
      <c r="H986">
        <f>VLOOKUP(Table2[[#This Row],[Customer ID]],Table2[#All],7,FALSE)</f>
        <v>0</v>
      </c>
      <c r="I986" t="str">
        <f>VLOOKUP(Table2[[#This Row],[Customer ID]],Table2[#All],8,FALSE)</f>
        <v>No</v>
      </c>
      <c r="J986" t="str">
        <f>VLOOKUP(Table2[[#This Row],[Customer ID]],Table2[#All],9,FALSE)</f>
        <v>Obesity</v>
      </c>
      <c r="K986" t="str">
        <f>VLOOKUP(Table2[[#This Row],[Customer ID]],Table2[#All],10,FALSE)</f>
        <v>Normal</v>
      </c>
    </row>
    <row r="987" spans="1:11" ht="15.6" x14ac:dyDescent="0.3">
      <c r="A987" s="1" t="s">
        <v>1385</v>
      </c>
      <c r="B987" t="str">
        <f>VLOOKUP('Customer Names'!A987,'Customer Names'!$A$1:$E$2336,4,FALSE)</f>
        <v>Ms.  Deanne</v>
      </c>
      <c r="C987">
        <f>VLOOKUP(Table2[[#This Row],[Customer ID]],Table2[#All],2,FALSE)</f>
        <v>54.47</v>
      </c>
      <c r="D987">
        <f>VLOOKUP(Table2[[#This Row],[Customer ID]],Table2[#All],3,FALSE)</f>
        <v>7.48</v>
      </c>
      <c r="E987" t="str">
        <f>VLOOKUP(Table2[[#This Row],[Customer ID]],Table2[#All],4,FALSE)</f>
        <v>No</v>
      </c>
      <c r="F987" t="str">
        <f>VLOOKUP(Table2[[#This Row],[Customer ID]],Table2[#All],5,FALSE)</f>
        <v>No</v>
      </c>
      <c r="G987" t="str">
        <f>VLOOKUP(Table2[[#This Row],[Customer ID]],Table2[#All],6,FALSE)</f>
        <v>No</v>
      </c>
      <c r="H987">
        <f>VLOOKUP(Table2[[#This Row],[Customer ID]],Table2[#All],7,FALSE)</f>
        <v>0</v>
      </c>
      <c r="I987" t="str">
        <f>VLOOKUP(Table2[[#This Row],[Customer ID]],Table2[#All],8,FALSE)</f>
        <v>No</v>
      </c>
      <c r="J987" t="str">
        <f>VLOOKUP(Table2[[#This Row],[Customer ID]],Table2[#All],9,FALSE)</f>
        <v>Obesity</v>
      </c>
      <c r="K987" t="str">
        <f>VLOOKUP(Table2[[#This Row],[Customer ID]],Table2[#All],10,FALSE)</f>
        <v>Diabetes</v>
      </c>
    </row>
    <row r="988" spans="1:11" ht="15.6" x14ac:dyDescent="0.3">
      <c r="A988" s="1" t="s">
        <v>1384</v>
      </c>
      <c r="B988" t="str">
        <f>VLOOKUP('Customer Names'!A988,'Customer Names'!$A$1:$E$2336,4,FALSE)</f>
        <v>Ms.  Carrie</v>
      </c>
      <c r="C988">
        <f>VLOOKUP(Table2[[#This Row],[Customer ID]],Table2[#All],2,FALSE)</f>
        <v>24.93</v>
      </c>
      <c r="D988">
        <f>VLOOKUP(Table2[[#This Row],[Customer ID]],Table2[#All],3,FALSE)</f>
        <v>9.18</v>
      </c>
      <c r="E988" t="str">
        <f>VLOOKUP(Table2[[#This Row],[Customer ID]],Table2[#All],4,FALSE)</f>
        <v>Yes</v>
      </c>
      <c r="F988" t="str">
        <f>VLOOKUP(Table2[[#This Row],[Customer ID]],Table2[#All],5,FALSE)</f>
        <v>No</v>
      </c>
      <c r="G988" t="str">
        <f>VLOOKUP(Table2[[#This Row],[Customer ID]],Table2[#All],6,FALSE)</f>
        <v>Yes</v>
      </c>
      <c r="H988">
        <f>VLOOKUP(Table2[[#This Row],[Customer ID]],Table2[#All],7,FALSE)</f>
        <v>1</v>
      </c>
      <c r="I988" t="str">
        <f>VLOOKUP(Table2[[#This Row],[Customer ID]],Table2[#All],8,FALSE)</f>
        <v>No</v>
      </c>
      <c r="J988" t="str">
        <f>VLOOKUP(Table2[[#This Row],[Customer ID]],Table2[#All],9,FALSE)</f>
        <v>Normalweight</v>
      </c>
      <c r="K988" t="str">
        <f>VLOOKUP(Table2[[#This Row],[Customer ID]],Table2[#All],10,FALSE)</f>
        <v>Diabetes</v>
      </c>
    </row>
    <row r="989" spans="1:11" ht="15.6" x14ac:dyDescent="0.3">
      <c r="A989" s="1" t="s">
        <v>1383</v>
      </c>
      <c r="B989" t="str">
        <f>VLOOKUP('Customer Names'!A989,'Customer Names'!$A$1:$E$2336,4,FALSE)</f>
        <v>Mrs.  Suzanne</v>
      </c>
      <c r="C989">
        <f>VLOOKUP(Table2[[#This Row],[Customer ID]],Table2[#All],2,FALSE)</f>
        <v>48.12</v>
      </c>
      <c r="D989">
        <f>VLOOKUP(Table2[[#This Row],[Customer ID]],Table2[#All],3,FALSE)</f>
        <v>4.51</v>
      </c>
      <c r="E989" t="str">
        <f>VLOOKUP(Table2[[#This Row],[Customer ID]],Table2[#All],4,FALSE)</f>
        <v>Yes</v>
      </c>
      <c r="F989" t="str">
        <f>VLOOKUP(Table2[[#This Row],[Customer ID]],Table2[#All],5,FALSE)</f>
        <v>No</v>
      </c>
      <c r="G989" t="str">
        <f>VLOOKUP(Table2[[#This Row],[Customer ID]],Table2[#All],6,FALSE)</f>
        <v>No</v>
      </c>
      <c r="H989">
        <f>VLOOKUP(Table2[[#This Row],[Customer ID]],Table2[#All],7,FALSE)</f>
        <v>1</v>
      </c>
      <c r="I989" t="str">
        <f>VLOOKUP(Table2[[#This Row],[Customer ID]],Table2[#All],8,FALSE)</f>
        <v>No</v>
      </c>
      <c r="J989" t="str">
        <f>VLOOKUP(Table2[[#This Row],[Customer ID]],Table2[#All],9,FALSE)</f>
        <v>Obesity</v>
      </c>
      <c r="K989" t="str">
        <f>VLOOKUP(Table2[[#This Row],[Customer ID]],Table2[#All],10,FALSE)</f>
        <v>Normal</v>
      </c>
    </row>
    <row r="990" spans="1:11" ht="15.6" x14ac:dyDescent="0.3">
      <c r="A990" s="1" t="s">
        <v>1382</v>
      </c>
      <c r="B990" t="str">
        <f>VLOOKUP('Customer Names'!A990,'Customer Names'!$A$1:$E$2336,4,FALSE)</f>
        <v>Ms.  Jasmine P.</v>
      </c>
      <c r="C990">
        <f>VLOOKUP(Table2[[#This Row],[Customer ID]],Table2[#All],2,FALSE)</f>
        <v>24.91</v>
      </c>
      <c r="D990">
        <f>VLOOKUP(Table2[[#This Row],[Customer ID]],Table2[#All],3,FALSE)</f>
        <v>7.33</v>
      </c>
      <c r="E990" t="str">
        <f>VLOOKUP(Table2[[#This Row],[Customer ID]],Table2[#All],4,FALSE)</f>
        <v>Yes</v>
      </c>
      <c r="F990" t="str">
        <f>VLOOKUP(Table2[[#This Row],[Customer ID]],Table2[#All],5,FALSE)</f>
        <v>No</v>
      </c>
      <c r="G990" t="str">
        <f>VLOOKUP(Table2[[#This Row],[Customer ID]],Table2[#All],6,FALSE)</f>
        <v>Yes</v>
      </c>
      <c r="H990">
        <f>VLOOKUP(Table2[[#This Row],[Customer ID]],Table2[#All],7,FALSE)</f>
        <v>1</v>
      </c>
      <c r="I990" t="str">
        <f>VLOOKUP(Table2[[#This Row],[Customer ID]],Table2[#All],8,FALSE)</f>
        <v>No</v>
      </c>
      <c r="J990" t="str">
        <f>VLOOKUP(Table2[[#This Row],[Customer ID]],Table2[#All],9,FALSE)</f>
        <v>Normalweight</v>
      </c>
      <c r="K990" t="str">
        <f>VLOOKUP(Table2[[#This Row],[Customer ID]],Table2[#All],10,FALSE)</f>
        <v>Diabetes</v>
      </c>
    </row>
    <row r="991" spans="1:11" ht="15.6" x14ac:dyDescent="0.3">
      <c r="A991" s="1" t="s">
        <v>1381</v>
      </c>
      <c r="B991" t="str">
        <f>VLOOKUP('Customer Names'!A991,'Customer Names'!$A$1:$E$2336,4,FALSE)</f>
        <v>Ms.  Jennifer</v>
      </c>
      <c r="C991">
        <f>VLOOKUP(Table2[[#This Row],[Customer ID]],Table2[#All],2,FALSE)</f>
        <v>27.645</v>
      </c>
      <c r="D991">
        <f>VLOOKUP(Table2[[#This Row],[Customer ID]],Table2[#All],3,FALSE)</f>
        <v>10.56</v>
      </c>
      <c r="E991" t="str">
        <f>VLOOKUP(Table2[[#This Row],[Customer ID]],Table2[#All],4,FALSE)</f>
        <v>No</v>
      </c>
      <c r="F991" t="str">
        <f>VLOOKUP(Table2[[#This Row],[Customer ID]],Table2[#All],5,FALSE)</f>
        <v>No</v>
      </c>
      <c r="G991" t="str">
        <f>VLOOKUP(Table2[[#This Row],[Customer ID]],Table2[#All],6,FALSE)</f>
        <v>No</v>
      </c>
      <c r="H991">
        <f>VLOOKUP(Table2[[#This Row],[Customer ID]],Table2[#All],7,FALSE)</f>
        <v>0</v>
      </c>
      <c r="I991" t="str">
        <f>VLOOKUP(Table2[[#This Row],[Customer ID]],Table2[#All],8,FALSE)</f>
        <v>No</v>
      </c>
      <c r="J991" t="str">
        <f>VLOOKUP(Table2[[#This Row],[Customer ID]],Table2[#All],9,FALSE)</f>
        <v>Overweight</v>
      </c>
      <c r="K991" t="str">
        <f>VLOOKUP(Table2[[#This Row],[Customer ID]],Table2[#All],10,FALSE)</f>
        <v>Diabetes</v>
      </c>
    </row>
    <row r="992" spans="1:11" ht="15.6" x14ac:dyDescent="0.3">
      <c r="A992" s="1" t="s">
        <v>1380</v>
      </c>
      <c r="B992" t="str">
        <f>VLOOKUP('Customer Names'!A992,'Customer Names'!$A$1:$E$2336,4,FALSE)</f>
        <v>Ms.  Tracie</v>
      </c>
      <c r="C992">
        <f>VLOOKUP(Table2[[#This Row],[Customer ID]],Table2[#All],2,FALSE)</f>
        <v>33.700000000000003</v>
      </c>
      <c r="D992">
        <f>VLOOKUP(Table2[[#This Row],[Customer ID]],Table2[#All],3,FALSE)</f>
        <v>4.01</v>
      </c>
      <c r="E992" t="str">
        <f>VLOOKUP(Table2[[#This Row],[Customer ID]],Table2[#All],4,FALSE)</f>
        <v>No</v>
      </c>
      <c r="F992" t="str">
        <f>VLOOKUP(Table2[[#This Row],[Customer ID]],Table2[#All],5,FALSE)</f>
        <v>No</v>
      </c>
      <c r="G992" t="str">
        <f>VLOOKUP(Table2[[#This Row],[Customer ID]],Table2[#All],6,FALSE)</f>
        <v>No</v>
      </c>
      <c r="H992">
        <f>VLOOKUP(Table2[[#This Row],[Customer ID]],Table2[#All],7,FALSE)</f>
        <v>2</v>
      </c>
      <c r="I992" t="str">
        <f>VLOOKUP(Table2[[#This Row],[Customer ID]],Table2[#All],8,FALSE)</f>
        <v>No</v>
      </c>
      <c r="J992" t="str">
        <f>VLOOKUP(Table2[[#This Row],[Customer ID]],Table2[#All],9,FALSE)</f>
        <v>Obesity</v>
      </c>
      <c r="K992" t="str">
        <f>VLOOKUP(Table2[[#This Row],[Customer ID]],Table2[#All],10,FALSE)</f>
        <v>Normal</v>
      </c>
    </row>
    <row r="993" spans="1:11" ht="15.6" x14ac:dyDescent="0.3">
      <c r="A993" s="1" t="s">
        <v>1379</v>
      </c>
      <c r="B993" t="str">
        <f>VLOOKUP('Customer Names'!A993,'Customer Names'!$A$1:$E$2336,4,FALSE)</f>
        <v>Mr.  Tristan D.</v>
      </c>
      <c r="C993">
        <f>VLOOKUP(Table2[[#This Row],[Customer ID]],Table2[#All],2,FALSE)</f>
        <v>38.93</v>
      </c>
      <c r="D993">
        <f>VLOOKUP(Table2[[#This Row],[Customer ID]],Table2[#All],3,FALSE)</f>
        <v>5.64</v>
      </c>
      <c r="E993" t="str">
        <f>VLOOKUP(Table2[[#This Row],[Customer ID]],Table2[#All],4,FALSE)</f>
        <v>Yes</v>
      </c>
      <c r="F993" t="str">
        <f>VLOOKUP(Table2[[#This Row],[Customer ID]],Table2[#All],5,FALSE)</f>
        <v>No</v>
      </c>
      <c r="G993" t="str">
        <f>VLOOKUP(Table2[[#This Row],[Customer ID]],Table2[#All],6,FALSE)</f>
        <v>No</v>
      </c>
      <c r="H993">
        <f>VLOOKUP(Table2[[#This Row],[Customer ID]],Table2[#All],7,FALSE)</f>
        <v>1</v>
      </c>
      <c r="I993" t="str">
        <f>VLOOKUP(Table2[[#This Row],[Customer ID]],Table2[#All],8,FALSE)</f>
        <v>No</v>
      </c>
      <c r="J993" t="str">
        <f>VLOOKUP(Table2[[#This Row],[Customer ID]],Table2[#All],9,FALSE)</f>
        <v>Obesity</v>
      </c>
      <c r="K993" t="str">
        <f>VLOOKUP(Table2[[#This Row],[Customer ID]],Table2[#All],10,FALSE)</f>
        <v>Normal</v>
      </c>
    </row>
    <row r="994" spans="1:11" ht="15.6" x14ac:dyDescent="0.3">
      <c r="A994" s="1" t="s">
        <v>1378</v>
      </c>
      <c r="B994" t="str">
        <f>VLOOKUP('Customer Names'!A994,'Customer Names'!$A$1:$E$2336,4,FALSE)</f>
        <v>Mr.  Peiweng</v>
      </c>
      <c r="C994">
        <f>VLOOKUP(Table2[[#This Row],[Customer ID]],Table2[#All],2,FALSE)</f>
        <v>32.774999999999999</v>
      </c>
      <c r="D994">
        <f>VLOOKUP(Table2[[#This Row],[Customer ID]],Table2[#All],3,FALSE)</f>
        <v>8.02</v>
      </c>
      <c r="E994" t="str">
        <f>VLOOKUP(Table2[[#This Row],[Customer ID]],Table2[#All],4,FALSE)</f>
        <v>Yes</v>
      </c>
      <c r="F994" t="str">
        <f>VLOOKUP(Table2[[#This Row],[Customer ID]],Table2[#All],5,FALSE)</f>
        <v>No</v>
      </c>
      <c r="G994" t="str">
        <f>VLOOKUP(Table2[[#This Row],[Customer ID]],Table2[#All],6,FALSE)</f>
        <v>No</v>
      </c>
      <c r="H994">
        <f>VLOOKUP(Table2[[#This Row],[Customer ID]],Table2[#All],7,FALSE)</f>
        <v>2</v>
      </c>
      <c r="I994" t="str">
        <f>VLOOKUP(Table2[[#This Row],[Customer ID]],Table2[#All],8,FALSE)</f>
        <v>No</v>
      </c>
      <c r="J994" t="str">
        <f>VLOOKUP(Table2[[#This Row],[Customer ID]],Table2[#All],9,FALSE)</f>
        <v>Obesity</v>
      </c>
      <c r="K994" t="str">
        <f>VLOOKUP(Table2[[#This Row],[Customer ID]],Table2[#All],10,FALSE)</f>
        <v>Diabetes</v>
      </c>
    </row>
    <row r="995" spans="1:11" ht="15.6" x14ac:dyDescent="0.3">
      <c r="A995" s="1" t="s">
        <v>1377</v>
      </c>
      <c r="B995" t="str">
        <f>VLOOKUP('Customer Names'!A995,'Customer Names'!$A$1:$E$2336,4,FALSE)</f>
        <v>Ms.  Theresa M.</v>
      </c>
      <c r="C995">
        <f>VLOOKUP(Table2[[#This Row],[Customer ID]],Table2[#All],2,FALSE)</f>
        <v>29.83</v>
      </c>
      <c r="D995">
        <f>VLOOKUP(Table2[[#This Row],[Customer ID]],Table2[#All],3,FALSE)</f>
        <v>7.2</v>
      </c>
      <c r="E995" t="str">
        <f>VLOOKUP(Table2[[#This Row],[Customer ID]],Table2[#All],4,FALSE)</f>
        <v>Yes</v>
      </c>
      <c r="F995" t="str">
        <f>VLOOKUP(Table2[[#This Row],[Customer ID]],Table2[#All],5,FALSE)</f>
        <v>No</v>
      </c>
      <c r="G995" t="str">
        <f>VLOOKUP(Table2[[#This Row],[Customer ID]],Table2[#All],6,FALSE)</f>
        <v>No</v>
      </c>
      <c r="H995">
        <f>VLOOKUP(Table2[[#This Row],[Customer ID]],Table2[#All],7,FALSE)</f>
        <v>0</v>
      </c>
      <c r="I995" t="str">
        <f>VLOOKUP(Table2[[#This Row],[Customer ID]],Table2[#All],8,FALSE)</f>
        <v>No</v>
      </c>
      <c r="J995" t="str">
        <f>VLOOKUP(Table2[[#This Row],[Customer ID]],Table2[#All],9,FALSE)</f>
        <v>Overweight</v>
      </c>
      <c r="K995" t="str">
        <f>VLOOKUP(Table2[[#This Row],[Customer ID]],Table2[#All],10,FALSE)</f>
        <v>Diabetes</v>
      </c>
    </row>
    <row r="996" spans="1:11" ht="15.6" x14ac:dyDescent="0.3">
      <c r="A996" s="1" t="s">
        <v>1376</v>
      </c>
      <c r="B996" t="str">
        <f>VLOOKUP('Customer Names'!A996,'Customer Names'!$A$1:$E$2336,4,FALSE)</f>
        <v>Mr.  Daniel J</v>
      </c>
      <c r="C996">
        <f>VLOOKUP(Table2[[#This Row],[Customer ID]],Table2[#All],2,FALSE)</f>
        <v>28.31</v>
      </c>
      <c r="D996">
        <f>VLOOKUP(Table2[[#This Row],[Customer ID]],Table2[#All],3,FALSE)</f>
        <v>4.55</v>
      </c>
      <c r="E996" t="str">
        <f>VLOOKUP(Table2[[#This Row],[Customer ID]],Table2[#All],4,FALSE)</f>
        <v>No</v>
      </c>
      <c r="F996" t="str">
        <f>VLOOKUP(Table2[[#This Row],[Customer ID]],Table2[#All],5,FALSE)</f>
        <v>yes</v>
      </c>
      <c r="G996" t="str">
        <f>VLOOKUP(Table2[[#This Row],[Customer ID]],Table2[#All],6,FALSE)</f>
        <v>No</v>
      </c>
      <c r="H996">
        <f>VLOOKUP(Table2[[#This Row],[Customer ID]],Table2[#All],7,FALSE)</f>
        <v>1</v>
      </c>
      <c r="I996" t="str">
        <f>VLOOKUP(Table2[[#This Row],[Customer ID]],Table2[#All],8,FALSE)</f>
        <v>No</v>
      </c>
      <c r="J996" t="str">
        <f>VLOOKUP(Table2[[#This Row],[Customer ID]],Table2[#All],9,FALSE)</f>
        <v>Overweight</v>
      </c>
      <c r="K996" t="str">
        <f>VLOOKUP(Table2[[#This Row],[Customer ID]],Table2[#All],10,FALSE)</f>
        <v>Normal</v>
      </c>
    </row>
    <row r="997" spans="1:11" ht="15.6" x14ac:dyDescent="0.3">
      <c r="A997" s="1" t="s">
        <v>1375</v>
      </c>
      <c r="B997" t="str">
        <f>VLOOKUP('Customer Names'!A997,'Customer Names'!$A$1:$E$2336,4,FALSE)</f>
        <v>Mrs.  Courtney M.</v>
      </c>
      <c r="C997">
        <f>VLOOKUP(Table2[[#This Row],[Customer ID]],Table2[#All],2,FALSE)</f>
        <v>29.79</v>
      </c>
      <c r="D997">
        <f>VLOOKUP(Table2[[#This Row],[Customer ID]],Table2[#All],3,FALSE)</f>
        <v>9.0299999999999994</v>
      </c>
      <c r="E997" t="str">
        <f>VLOOKUP(Table2[[#This Row],[Customer ID]],Table2[#All],4,FALSE)</f>
        <v>No</v>
      </c>
      <c r="F997" t="str">
        <f>VLOOKUP(Table2[[#This Row],[Customer ID]],Table2[#All],5,FALSE)</f>
        <v>No</v>
      </c>
      <c r="G997" t="str">
        <f>VLOOKUP(Table2[[#This Row],[Customer ID]],Table2[#All],6,FALSE)</f>
        <v>No</v>
      </c>
      <c r="H997">
        <f>VLOOKUP(Table2[[#This Row],[Customer ID]],Table2[#All],7,FALSE)</f>
        <v>0</v>
      </c>
      <c r="I997" t="str">
        <f>VLOOKUP(Table2[[#This Row],[Customer ID]],Table2[#All],8,FALSE)</f>
        <v>No</v>
      </c>
      <c r="J997" t="str">
        <f>VLOOKUP(Table2[[#This Row],[Customer ID]],Table2[#All],9,FALSE)</f>
        <v>Overweight</v>
      </c>
      <c r="K997" t="str">
        <f>VLOOKUP(Table2[[#This Row],[Customer ID]],Table2[#All],10,FALSE)</f>
        <v>Diabetes</v>
      </c>
    </row>
    <row r="998" spans="1:11" ht="15.6" x14ac:dyDescent="0.3">
      <c r="A998" s="1" t="s">
        <v>1374</v>
      </c>
      <c r="B998" t="str">
        <f>VLOOKUP('Customer Names'!A998,'Customer Names'!$A$1:$E$2336,4,FALSE)</f>
        <v>Mr.  Jose A.</v>
      </c>
      <c r="C998">
        <f>VLOOKUP(Table2[[#This Row],[Customer ID]],Table2[#All],2,FALSE)</f>
        <v>36.6</v>
      </c>
      <c r="D998">
        <f>VLOOKUP(Table2[[#This Row],[Customer ID]],Table2[#All],3,FALSE)</f>
        <v>5.2</v>
      </c>
      <c r="E998" t="str">
        <f>VLOOKUP(Table2[[#This Row],[Customer ID]],Table2[#All],4,FALSE)</f>
        <v>Yes</v>
      </c>
      <c r="F998" t="str">
        <f>VLOOKUP(Table2[[#This Row],[Customer ID]],Table2[#All],5,FALSE)</f>
        <v>No</v>
      </c>
      <c r="G998" t="str">
        <f>VLOOKUP(Table2[[#This Row],[Customer ID]],Table2[#All],6,FALSE)</f>
        <v>Yes</v>
      </c>
      <c r="H998">
        <f>VLOOKUP(Table2[[#This Row],[Customer ID]],Table2[#All],7,FALSE)</f>
        <v>1</v>
      </c>
      <c r="I998" t="str">
        <f>VLOOKUP(Table2[[#This Row],[Customer ID]],Table2[#All],8,FALSE)</f>
        <v>No</v>
      </c>
      <c r="J998" t="str">
        <f>VLOOKUP(Table2[[#This Row],[Customer ID]],Table2[#All],9,FALSE)</f>
        <v>Obesity</v>
      </c>
      <c r="K998" t="str">
        <f>VLOOKUP(Table2[[#This Row],[Customer ID]],Table2[#All],10,FALSE)</f>
        <v>Normal</v>
      </c>
    </row>
    <row r="999" spans="1:11" ht="15.6" x14ac:dyDescent="0.3">
      <c r="A999" s="1" t="s">
        <v>1373</v>
      </c>
      <c r="B999" t="str">
        <f>VLOOKUP('Customer Names'!A999,'Customer Names'!$A$1:$E$2336,4,FALSE)</f>
        <v>Mrs.  Lauren</v>
      </c>
      <c r="C999">
        <f>VLOOKUP(Table2[[#This Row],[Customer ID]],Table2[#All],2,FALSE)</f>
        <v>35.93</v>
      </c>
      <c r="D999">
        <f>VLOOKUP(Table2[[#This Row],[Customer ID]],Table2[#All],3,FALSE)</f>
        <v>8.3000000000000007</v>
      </c>
      <c r="E999" t="str">
        <f>VLOOKUP(Table2[[#This Row],[Customer ID]],Table2[#All],4,FALSE)</f>
        <v>Yes</v>
      </c>
      <c r="F999" t="str">
        <f>VLOOKUP(Table2[[#This Row],[Customer ID]],Table2[#All],5,FALSE)</f>
        <v>No</v>
      </c>
      <c r="G999" t="str">
        <f>VLOOKUP(Table2[[#This Row],[Customer ID]],Table2[#All],6,FALSE)</f>
        <v>No</v>
      </c>
      <c r="H999">
        <f>VLOOKUP(Table2[[#This Row],[Customer ID]],Table2[#All],7,FALSE)</f>
        <v>0</v>
      </c>
      <c r="I999" t="str">
        <f>VLOOKUP(Table2[[#This Row],[Customer ID]],Table2[#All],8,FALSE)</f>
        <v>No</v>
      </c>
      <c r="J999" t="str">
        <f>VLOOKUP(Table2[[#This Row],[Customer ID]],Table2[#All],9,FALSE)</f>
        <v>Obesity</v>
      </c>
      <c r="K999" t="str">
        <f>VLOOKUP(Table2[[#This Row],[Customer ID]],Table2[#All],10,FALSE)</f>
        <v>Diabetes</v>
      </c>
    </row>
    <row r="1000" spans="1:11" ht="15.6" x14ac:dyDescent="0.3">
      <c r="A1000" s="1" t="s">
        <v>1372</v>
      </c>
      <c r="B1000" t="str">
        <f>VLOOKUP('Customer Names'!A1000,'Customer Names'!$A$1:$E$2336,4,FALSE)</f>
        <v>Mr.  Jonathon M.</v>
      </c>
      <c r="C1000">
        <f>VLOOKUP(Table2[[#This Row],[Customer ID]],Table2[#All],2,FALSE)</f>
        <v>28.6</v>
      </c>
      <c r="D1000">
        <f>VLOOKUP(Table2[[#This Row],[Customer ID]],Table2[#All],3,FALSE)</f>
        <v>5.56</v>
      </c>
      <c r="E1000" t="str">
        <f>VLOOKUP(Table2[[#This Row],[Customer ID]],Table2[#All],4,FALSE)</f>
        <v>Yes</v>
      </c>
      <c r="F1000" t="str">
        <f>VLOOKUP(Table2[[#This Row],[Customer ID]],Table2[#All],5,FALSE)</f>
        <v>No</v>
      </c>
      <c r="G1000" t="str">
        <f>VLOOKUP(Table2[[#This Row],[Customer ID]],Table2[#All],6,FALSE)</f>
        <v>Yes</v>
      </c>
      <c r="H1000">
        <f>VLOOKUP(Table2[[#This Row],[Customer ID]],Table2[#All],7,FALSE)</f>
        <v>1</v>
      </c>
      <c r="I1000" t="str">
        <f>VLOOKUP(Table2[[#This Row],[Customer ID]],Table2[#All],8,FALSE)</f>
        <v>No</v>
      </c>
      <c r="J1000" t="str">
        <f>VLOOKUP(Table2[[#This Row],[Customer ID]],Table2[#All],9,FALSE)</f>
        <v>Overweight</v>
      </c>
      <c r="K1000" t="str">
        <f>VLOOKUP(Table2[[#This Row],[Customer ID]],Table2[#All],10,FALSE)</f>
        <v>Normal</v>
      </c>
    </row>
    <row r="1001" spans="1:11" ht="15.6" x14ac:dyDescent="0.3">
      <c r="A1001" s="1" t="s">
        <v>1371</v>
      </c>
      <c r="B1001" t="str">
        <f>VLOOKUP('Customer Names'!A1001,'Customer Names'!$A$1:$E$2336,4,FALSE)</f>
        <v>Mrs.  Stephanie A</v>
      </c>
      <c r="C1001">
        <f>VLOOKUP(Table2[[#This Row],[Customer ID]],Table2[#All],2,FALSE)</f>
        <v>39.17</v>
      </c>
      <c r="D1001">
        <f>VLOOKUP(Table2[[#This Row],[Customer ID]],Table2[#All],3,FALSE)</f>
        <v>4.1500000000000004</v>
      </c>
      <c r="E1001" t="str">
        <f>VLOOKUP(Table2[[#This Row],[Customer ID]],Table2[#All],4,FALSE)</f>
        <v>No</v>
      </c>
      <c r="F1001" t="str">
        <f>VLOOKUP(Table2[[#This Row],[Customer ID]],Table2[#All],5,FALSE)</f>
        <v>No</v>
      </c>
      <c r="G1001" t="str">
        <f>VLOOKUP(Table2[[#This Row],[Customer ID]],Table2[#All],6,FALSE)</f>
        <v>No</v>
      </c>
      <c r="H1001">
        <f>VLOOKUP(Table2[[#This Row],[Customer ID]],Table2[#All],7,FALSE)</f>
        <v>0</v>
      </c>
      <c r="I1001" t="str">
        <f>VLOOKUP(Table2[[#This Row],[Customer ID]],Table2[#All],8,FALSE)</f>
        <v>No</v>
      </c>
      <c r="J1001" t="str">
        <f>VLOOKUP(Table2[[#This Row],[Customer ID]],Table2[#All],9,FALSE)</f>
        <v>Obesity</v>
      </c>
      <c r="K1001" t="str">
        <f>VLOOKUP(Table2[[#This Row],[Customer ID]],Table2[#All],10,FALSE)</f>
        <v>Normal</v>
      </c>
    </row>
    <row r="1002" spans="1:11" ht="15.6" x14ac:dyDescent="0.3">
      <c r="A1002" s="1" t="s">
        <v>1370</v>
      </c>
      <c r="B1002" t="str">
        <f>VLOOKUP('Customer Names'!A1002,'Customer Names'!$A$1:$E$2336,4,FALSE)</f>
        <v>Mr.  Patrick</v>
      </c>
      <c r="C1002">
        <f>VLOOKUP(Table2[[#This Row],[Customer ID]],Table2[#All],2,FALSE)</f>
        <v>26.41</v>
      </c>
      <c r="D1002">
        <f>VLOOKUP(Table2[[#This Row],[Customer ID]],Table2[#All],3,FALSE)</f>
        <v>5.99</v>
      </c>
      <c r="E1002" t="str">
        <f>VLOOKUP(Table2[[#This Row],[Customer ID]],Table2[#All],4,FALSE)</f>
        <v>Yes</v>
      </c>
      <c r="F1002" t="str">
        <f>VLOOKUP(Table2[[#This Row],[Customer ID]],Table2[#All],5,FALSE)</f>
        <v>No</v>
      </c>
      <c r="G1002" t="str">
        <f>VLOOKUP(Table2[[#This Row],[Customer ID]],Table2[#All],6,FALSE)</f>
        <v>Yes</v>
      </c>
      <c r="H1002">
        <f>VLOOKUP(Table2[[#This Row],[Customer ID]],Table2[#All],7,FALSE)</f>
        <v>1</v>
      </c>
      <c r="I1002" t="str">
        <f>VLOOKUP(Table2[[#This Row],[Customer ID]],Table2[#All],8,FALSE)</f>
        <v>No</v>
      </c>
      <c r="J1002" t="str">
        <f>VLOOKUP(Table2[[#This Row],[Customer ID]],Table2[#All],9,FALSE)</f>
        <v>Overweight</v>
      </c>
      <c r="K1002" t="str">
        <f>VLOOKUP(Table2[[#This Row],[Customer ID]],Table2[#All],10,FALSE)</f>
        <v>Prediabetes</v>
      </c>
    </row>
    <row r="1003" spans="1:11" ht="15.6" x14ac:dyDescent="0.3">
      <c r="A1003" s="1" t="s">
        <v>1369</v>
      </c>
      <c r="B1003" t="str">
        <f>VLOOKUP('Customer Names'!A1003,'Customer Names'!$A$1:$E$2336,4,FALSE)</f>
        <v>Mrs.  Krista</v>
      </c>
      <c r="C1003">
        <f>VLOOKUP(Table2[[#This Row],[Customer ID]],Table2[#All],2,FALSE)</f>
        <v>30.63</v>
      </c>
      <c r="D1003">
        <f>VLOOKUP(Table2[[#This Row],[Customer ID]],Table2[#All],3,FALSE)</f>
        <v>5.8</v>
      </c>
      <c r="E1003" t="str">
        <f>VLOOKUP(Table2[[#This Row],[Customer ID]],Table2[#All],4,FALSE)</f>
        <v>Yes</v>
      </c>
      <c r="F1003" t="str">
        <f>VLOOKUP(Table2[[#This Row],[Customer ID]],Table2[#All],5,FALSE)</f>
        <v>No</v>
      </c>
      <c r="G1003" t="str">
        <f>VLOOKUP(Table2[[#This Row],[Customer ID]],Table2[#All],6,FALSE)</f>
        <v>No</v>
      </c>
      <c r="H1003">
        <f>VLOOKUP(Table2[[#This Row],[Customer ID]],Table2[#All],7,FALSE)</f>
        <v>0</v>
      </c>
      <c r="I1003" t="str">
        <f>VLOOKUP(Table2[[#This Row],[Customer ID]],Table2[#All],8,FALSE)</f>
        <v>No</v>
      </c>
      <c r="J1003" t="str">
        <f>VLOOKUP(Table2[[#This Row],[Customer ID]],Table2[#All],9,FALSE)</f>
        <v>Obesity</v>
      </c>
      <c r="K1003" t="str">
        <f>VLOOKUP(Table2[[#This Row],[Customer ID]],Table2[#All],10,FALSE)</f>
        <v>Prediabetes</v>
      </c>
    </row>
    <row r="1004" spans="1:11" ht="15.6" x14ac:dyDescent="0.3">
      <c r="A1004" s="1" t="s">
        <v>1368</v>
      </c>
      <c r="B1004" t="str">
        <f>VLOOKUP('Customer Names'!A1004,'Customer Names'!$A$1:$E$2336,4,FALSE)</f>
        <v>Ms.  Jenessa</v>
      </c>
      <c r="C1004">
        <f>VLOOKUP(Table2[[#This Row],[Customer ID]],Table2[#All],2,FALSE)</f>
        <v>31.73</v>
      </c>
      <c r="D1004">
        <f>VLOOKUP(Table2[[#This Row],[Customer ID]],Table2[#All],3,FALSE)</f>
        <v>7.32</v>
      </c>
      <c r="E1004" t="str">
        <f>VLOOKUP(Table2[[#This Row],[Customer ID]],Table2[#All],4,FALSE)</f>
        <v>Yes</v>
      </c>
      <c r="F1004" t="str">
        <f>VLOOKUP(Table2[[#This Row],[Customer ID]],Table2[#All],5,FALSE)</f>
        <v>No</v>
      </c>
      <c r="G1004" t="str">
        <f>VLOOKUP(Table2[[#This Row],[Customer ID]],Table2[#All],6,FALSE)</f>
        <v>No</v>
      </c>
      <c r="H1004">
        <f>VLOOKUP(Table2[[#This Row],[Customer ID]],Table2[#All],7,FALSE)</f>
        <v>2</v>
      </c>
      <c r="I1004" t="str">
        <f>VLOOKUP(Table2[[#This Row],[Customer ID]],Table2[#All],8,FALSE)</f>
        <v>No</v>
      </c>
      <c r="J1004" t="str">
        <f>VLOOKUP(Table2[[#This Row],[Customer ID]],Table2[#All],9,FALSE)</f>
        <v>Obesity</v>
      </c>
      <c r="K1004" t="str">
        <f>VLOOKUP(Table2[[#This Row],[Customer ID]],Table2[#All],10,FALSE)</f>
        <v>Diabetes</v>
      </c>
    </row>
    <row r="1005" spans="1:11" ht="15.6" x14ac:dyDescent="0.3">
      <c r="A1005" s="1" t="s">
        <v>1367</v>
      </c>
      <c r="B1005" t="str">
        <f>VLOOKUP('Customer Names'!A1005,'Customer Names'!$A$1:$E$2336,4,FALSE)</f>
        <v>Mr.  Ryan M.</v>
      </c>
      <c r="C1005">
        <f>VLOOKUP(Table2[[#This Row],[Customer ID]],Table2[#All],2,FALSE)</f>
        <v>30.7</v>
      </c>
      <c r="D1005">
        <f>VLOOKUP(Table2[[#This Row],[Customer ID]],Table2[#All],3,FALSE)</f>
        <v>5.16</v>
      </c>
      <c r="E1005" t="str">
        <f>VLOOKUP(Table2[[#This Row],[Customer ID]],Table2[#All],4,FALSE)</f>
        <v>No</v>
      </c>
      <c r="F1005" t="str">
        <f>VLOOKUP(Table2[[#This Row],[Customer ID]],Table2[#All],5,FALSE)</f>
        <v>No</v>
      </c>
      <c r="G1005" t="str">
        <f>VLOOKUP(Table2[[#This Row],[Customer ID]],Table2[#All],6,FALSE)</f>
        <v>No</v>
      </c>
      <c r="H1005">
        <f>VLOOKUP(Table2[[#This Row],[Customer ID]],Table2[#All],7,FALSE)</f>
        <v>2</v>
      </c>
      <c r="I1005" t="str">
        <f>VLOOKUP(Table2[[#This Row],[Customer ID]],Table2[#All],8,FALSE)</f>
        <v>No</v>
      </c>
      <c r="J1005" t="str">
        <f>VLOOKUP(Table2[[#This Row],[Customer ID]],Table2[#All],9,FALSE)</f>
        <v>Obesity</v>
      </c>
      <c r="K1005" t="str">
        <f>VLOOKUP(Table2[[#This Row],[Customer ID]],Table2[#All],10,FALSE)</f>
        <v>Normal</v>
      </c>
    </row>
    <row r="1006" spans="1:11" ht="15.6" x14ac:dyDescent="0.3">
      <c r="A1006" s="1" t="s">
        <v>1366</v>
      </c>
      <c r="B1006" t="str">
        <f>VLOOKUP('Customer Names'!A1006,'Customer Names'!$A$1:$E$2336,4,FALSE)</f>
        <v>Mr.  Thomas</v>
      </c>
      <c r="C1006">
        <f>VLOOKUP(Table2[[#This Row],[Customer ID]],Table2[#All],2,FALSE)</f>
        <v>25.934999999999999</v>
      </c>
      <c r="D1006">
        <f>VLOOKUP(Table2[[#This Row],[Customer ID]],Table2[#All],3,FALSE)</f>
        <v>5.96</v>
      </c>
      <c r="E1006" t="str">
        <f>VLOOKUP(Table2[[#This Row],[Customer ID]],Table2[#All],4,FALSE)</f>
        <v>Yes</v>
      </c>
      <c r="F1006" t="str">
        <f>VLOOKUP(Table2[[#This Row],[Customer ID]],Table2[#All],5,FALSE)</f>
        <v>No</v>
      </c>
      <c r="G1006" t="str">
        <f>VLOOKUP(Table2[[#This Row],[Customer ID]],Table2[#All],6,FALSE)</f>
        <v>No</v>
      </c>
      <c r="H1006">
        <f>VLOOKUP(Table2[[#This Row],[Customer ID]],Table2[#All],7,FALSE)</f>
        <v>2</v>
      </c>
      <c r="I1006" t="str">
        <f>VLOOKUP(Table2[[#This Row],[Customer ID]],Table2[#All],8,FALSE)</f>
        <v>No</v>
      </c>
      <c r="J1006" t="str">
        <f>VLOOKUP(Table2[[#This Row],[Customer ID]],Table2[#All],9,FALSE)</f>
        <v>Overweight</v>
      </c>
      <c r="K1006" t="str">
        <f>VLOOKUP(Table2[[#This Row],[Customer ID]],Table2[#All],10,FALSE)</f>
        <v>Prediabetes</v>
      </c>
    </row>
    <row r="1007" spans="1:11" ht="15.6" x14ac:dyDescent="0.3">
      <c r="A1007" s="1" t="s">
        <v>1365</v>
      </c>
      <c r="B1007" t="str">
        <f>VLOOKUP('Customer Names'!A1007,'Customer Names'!$A$1:$E$2336,4,FALSE)</f>
        <v>Ms.  Amanda N.</v>
      </c>
      <c r="C1007">
        <f>VLOOKUP(Table2[[#This Row],[Customer ID]],Table2[#All],2,FALSE)</f>
        <v>35.9</v>
      </c>
      <c r="D1007">
        <f>VLOOKUP(Table2[[#This Row],[Customer ID]],Table2[#All],3,FALSE)</f>
        <v>4.8499999999999996</v>
      </c>
      <c r="E1007" t="str">
        <f>VLOOKUP(Table2[[#This Row],[Customer ID]],Table2[#All],4,FALSE)</f>
        <v>Yes</v>
      </c>
      <c r="F1007" t="str">
        <f>VLOOKUP(Table2[[#This Row],[Customer ID]],Table2[#All],5,FALSE)</f>
        <v>No</v>
      </c>
      <c r="G1007" t="str">
        <f>VLOOKUP(Table2[[#This Row],[Customer ID]],Table2[#All],6,FALSE)</f>
        <v>Yes</v>
      </c>
      <c r="H1007">
        <f>VLOOKUP(Table2[[#This Row],[Customer ID]],Table2[#All],7,FALSE)</f>
        <v>1</v>
      </c>
      <c r="I1007" t="str">
        <f>VLOOKUP(Table2[[#This Row],[Customer ID]],Table2[#All],8,FALSE)</f>
        <v>No</v>
      </c>
      <c r="J1007" t="str">
        <f>VLOOKUP(Table2[[#This Row],[Customer ID]],Table2[#All],9,FALSE)</f>
        <v>Obesity</v>
      </c>
      <c r="K1007" t="str">
        <f>VLOOKUP(Table2[[#This Row],[Customer ID]],Table2[#All],10,FALSE)</f>
        <v>Normal</v>
      </c>
    </row>
    <row r="1008" spans="1:11" ht="15.6" x14ac:dyDescent="0.3">
      <c r="A1008" s="1" t="s">
        <v>1364</v>
      </c>
      <c r="B1008" t="str">
        <f>VLOOKUP('Customer Names'!A1008,'Customer Names'!$A$1:$E$2336,4,FALSE)</f>
        <v>Ms.  Teresa P.</v>
      </c>
      <c r="C1008">
        <f>VLOOKUP(Table2[[#This Row],[Customer ID]],Table2[#All],2,FALSE)</f>
        <v>26.7</v>
      </c>
      <c r="D1008">
        <f>VLOOKUP(Table2[[#This Row],[Customer ID]],Table2[#All],3,FALSE)</f>
        <v>5.09</v>
      </c>
      <c r="E1008" t="str">
        <f>VLOOKUP(Table2[[#This Row],[Customer ID]],Table2[#All],4,FALSE)</f>
        <v>Yes</v>
      </c>
      <c r="F1008" t="str">
        <f>VLOOKUP(Table2[[#This Row],[Customer ID]],Table2[#All],5,FALSE)</f>
        <v>No</v>
      </c>
      <c r="G1008" t="str">
        <f>VLOOKUP(Table2[[#This Row],[Customer ID]],Table2[#All],6,FALSE)</f>
        <v>Yes</v>
      </c>
      <c r="H1008">
        <f>VLOOKUP(Table2[[#This Row],[Customer ID]],Table2[#All],7,FALSE)</f>
        <v>1</v>
      </c>
      <c r="I1008" t="str">
        <f>VLOOKUP(Table2[[#This Row],[Customer ID]],Table2[#All],8,FALSE)</f>
        <v>No</v>
      </c>
      <c r="J1008" t="str">
        <f>VLOOKUP(Table2[[#This Row],[Customer ID]],Table2[#All],9,FALSE)</f>
        <v>Overweight</v>
      </c>
      <c r="K1008" t="str">
        <f>VLOOKUP(Table2[[#This Row],[Customer ID]],Table2[#All],10,FALSE)</f>
        <v>Normal</v>
      </c>
    </row>
    <row r="1009" spans="1:11" ht="15.6" x14ac:dyDescent="0.3">
      <c r="A1009" s="1" t="s">
        <v>1363</v>
      </c>
      <c r="B1009" t="str">
        <f>VLOOKUP('Customer Names'!A1009,'Customer Names'!$A$1:$E$2336,4,FALSE)</f>
        <v>Mr.  Dorian</v>
      </c>
      <c r="C1009">
        <f>VLOOKUP(Table2[[#This Row],[Customer ID]],Table2[#All],2,FALSE)</f>
        <v>33.71</v>
      </c>
      <c r="D1009">
        <f>VLOOKUP(Table2[[#This Row],[Customer ID]],Table2[#All],3,FALSE)</f>
        <v>4.9400000000000004</v>
      </c>
      <c r="E1009" t="str">
        <f>VLOOKUP(Table2[[#This Row],[Customer ID]],Table2[#All],4,FALSE)</f>
        <v>No</v>
      </c>
      <c r="F1009" t="str">
        <f>VLOOKUP(Table2[[#This Row],[Customer ID]],Table2[#All],5,FALSE)</f>
        <v>No</v>
      </c>
      <c r="G1009" t="str">
        <f>VLOOKUP(Table2[[#This Row],[Customer ID]],Table2[#All],6,FALSE)</f>
        <v>No</v>
      </c>
      <c r="H1009">
        <f>VLOOKUP(Table2[[#This Row],[Customer ID]],Table2[#All],7,FALSE)</f>
        <v>0</v>
      </c>
      <c r="I1009" t="str">
        <f>VLOOKUP(Table2[[#This Row],[Customer ID]],Table2[#All],8,FALSE)</f>
        <v>No</v>
      </c>
      <c r="J1009" t="str">
        <f>VLOOKUP(Table2[[#This Row],[Customer ID]],Table2[#All],9,FALSE)</f>
        <v>Obesity</v>
      </c>
      <c r="K1009" t="str">
        <f>VLOOKUP(Table2[[#This Row],[Customer ID]],Table2[#All],10,FALSE)</f>
        <v>Normal</v>
      </c>
    </row>
    <row r="1010" spans="1:11" ht="15.6" x14ac:dyDescent="0.3">
      <c r="A1010" s="1" t="s">
        <v>1362</v>
      </c>
      <c r="B1010" t="str">
        <f>VLOOKUP('Customer Names'!A1010,'Customer Names'!$A$1:$E$2336,4,FALSE)</f>
        <v>Ms.  Amy</v>
      </c>
      <c r="C1010">
        <f>VLOOKUP(Table2[[#This Row],[Customer ID]],Table2[#All],2,FALSE)</f>
        <v>41.91</v>
      </c>
      <c r="D1010">
        <f>VLOOKUP(Table2[[#This Row],[Customer ID]],Table2[#All],3,FALSE)</f>
        <v>4.92</v>
      </c>
      <c r="E1010" t="str">
        <f>VLOOKUP(Table2[[#This Row],[Customer ID]],Table2[#All],4,FALSE)</f>
        <v>Yes</v>
      </c>
      <c r="F1010" t="str">
        <f>VLOOKUP(Table2[[#This Row],[Customer ID]],Table2[#All],5,FALSE)</f>
        <v>No</v>
      </c>
      <c r="G1010" t="str">
        <f>VLOOKUP(Table2[[#This Row],[Customer ID]],Table2[#All],6,FALSE)</f>
        <v>No</v>
      </c>
      <c r="H1010">
        <f>VLOOKUP(Table2[[#This Row],[Customer ID]],Table2[#All],7,FALSE)</f>
        <v>2</v>
      </c>
      <c r="I1010" t="str">
        <f>VLOOKUP(Table2[[#This Row],[Customer ID]],Table2[#All],8,FALSE)</f>
        <v>No</v>
      </c>
      <c r="J1010" t="str">
        <f>VLOOKUP(Table2[[#This Row],[Customer ID]],Table2[#All],9,FALSE)</f>
        <v>Obesity</v>
      </c>
      <c r="K1010" t="str">
        <f>VLOOKUP(Table2[[#This Row],[Customer ID]],Table2[#All],10,FALSE)</f>
        <v>Normal</v>
      </c>
    </row>
    <row r="1011" spans="1:11" ht="15.6" x14ac:dyDescent="0.3">
      <c r="A1011" s="1" t="s">
        <v>1361</v>
      </c>
      <c r="B1011" t="str">
        <f>VLOOKUP('Customer Names'!A1011,'Customer Names'!$A$1:$E$2336,4,FALSE)</f>
        <v>Ms.  Aberu</v>
      </c>
      <c r="C1011">
        <f>VLOOKUP(Table2[[#This Row],[Customer ID]],Table2[#All],2,FALSE)</f>
        <v>39.82</v>
      </c>
      <c r="D1011">
        <f>VLOOKUP(Table2[[#This Row],[Customer ID]],Table2[#All],3,FALSE)</f>
        <v>6.05</v>
      </c>
      <c r="E1011" t="str">
        <f>VLOOKUP(Table2[[#This Row],[Customer ID]],Table2[#All],4,FALSE)</f>
        <v>Yes</v>
      </c>
      <c r="F1011" t="str">
        <f>VLOOKUP(Table2[[#This Row],[Customer ID]],Table2[#All],5,FALSE)</f>
        <v>No</v>
      </c>
      <c r="G1011" t="str">
        <f>VLOOKUP(Table2[[#This Row],[Customer ID]],Table2[#All],6,FALSE)</f>
        <v>No</v>
      </c>
      <c r="H1011">
        <f>VLOOKUP(Table2[[#This Row],[Customer ID]],Table2[#All],7,FALSE)</f>
        <v>2</v>
      </c>
      <c r="I1011" t="str">
        <f>VLOOKUP(Table2[[#This Row],[Customer ID]],Table2[#All],8,FALSE)</f>
        <v>No</v>
      </c>
      <c r="J1011" t="str">
        <f>VLOOKUP(Table2[[#This Row],[Customer ID]],Table2[#All],9,FALSE)</f>
        <v>Obesity</v>
      </c>
      <c r="K1011" t="str">
        <f>VLOOKUP(Table2[[#This Row],[Customer ID]],Table2[#All],10,FALSE)</f>
        <v>Prediabetes</v>
      </c>
    </row>
    <row r="1012" spans="1:11" ht="15.6" x14ac:dyDescent="0.3">
      <c r="A1012" s="1" t="s">
        <v>1360</v>
      </c>
      <c r="B1012" t="str">
        <f>VLOOKUP('Customer Names'!A1012,'Customer Names'!$A$1:$E$2336,4,FALSE)</f>
        <v>Ms.  Ashley</v>
      </c>
      <c r="C1012">
        <f>VLOOKUP(Table2[[#This Row],[Customer ID]],Table2[#All],2,FALSE)</f>
        <v>28.12</v>
      </c>
      <c r="D1012">
        <f>VLOOKUP(Table2[[#This Row],[Customer ID]],Table2[#All],3,FALSE)</f>
        <v>4.67</v>
      </c>
      <c r="E1012" t="str">
        <f>VLOOKUP(Table2[[#This Row],[Customer ID]],Table2[#All],4,FALSE)</f>
        <v>No</v>
      </c>
      <c r="F1012" t="str">
        <f>VLOOKUP(Table2[[#This Row],[Customer ID]],Table2[#All],5,FALSE)</f>
        <v>No</v>
      </c>
      <c r="G1012" t="str">
        <f>VLOOKUP(Table2[[#This Row],[Customer ID]],Table2[#All],6,FALSE)</f>
        <v>No</v>
      </c>
      <c r="H1012">
        <f>VLOOKUP(Table2[[#This Row],[Customer ID]],Table2[#All],7,FALSE)</f>
        <v>2</v>
      </c>
      <c r="I1012" t="str">
        <f>VLOOKUP(Table2[[#This Row],[Customer ID]],Table2[#All],8,FALSE)</f>
        <v>No</v>
      </c>
      <c r="J1012" t="str">
        <f>VLOOKUP(Table2[[#This Row],[Customer ID]],Table2[#All],9,FALSE)</f>
        <v>Overweight</v>
      </c>
      <c r="K1012" t="str">
        <f>VLOOKUP(Table2[[#This Row],[Customer ID]],Table2[#All],10,FALSE)</f>
        <v>Normal</v>
      </c>
    </row>
    <row r="1013" spans="1:11" ht="15.6" x14ac:dyDescent="0.3">
      <c r="A1013" s="1" t="s">
        <v>1359</v>
      </c>
      <c r="B1013" t="str">
        <f>VLOOKUP('Customer Names'!A1013,'Customer Names'!$A$1:$E$2336,4,FALSE)</f>
        <v>Ms.  Anna E</v>
      </c>
      <c r="C1013">
        <f>VLOOKUP(Table2[[#This Row],[Customer ID]],Table2[#All],2,FALSE)</f>
        <v>26.98</v>
      </c>
      <c r="D1013">
        <f>VLOOKUP(Table2[[#This Row],[Customer ID]],Table2[#All],3,FALSE)</f>
        <v>9.81</v>
      </c>
      <c r="E1013" t="str">
        <f>VLOOKUP(Table2[[#This Row],[Customer ID]],Table2[#All],4,FALSE)</f>
        <v>Yes</v>
      </c>
      <c r="F1013" t="str">
        <f>VLOOKUP(Table2[[#This Row],[Customer ID]],Table2[#All],5,FALSE)</f>
        <v>No</v>
      </c>
      <c r="G1013" t="str">
        <f>VLOOKUP(Table2[[#This Row],[Customer ID]],Table2[#All],6,FALSE)</f>
        <v>No</v>
      </c>
      <c r="H1013">
        <f>VLOOKUP(Table2[[#This Row],[Customer ID]],Table2[#All],7,FALSE)</f>
        <v>0</v>
      </c>
      <c r="I1013" t="str">
        <f>VLOOKUP(Table2[[#This Row],[Customer ID]],Table2[#All],8,FALSE)</f>
        <v>No</v>
      </c>
      <c r="J1013" t="str">
        <f>VLOOKUP(Table2[[#This Row],[Customer ID]],Table2[#All],9,FALSE)</f>
        <v>Overweight</v>
      </c>
      <c r="K1013" t="str">
        <f>VLOOKUP(Table2[[#This Row],[Customer ID]],Table2[#All],10,FALSE)</f>
        <v>Diabetes</v>
      </c>
    </row>
    <row r="1014" spans="1:11" ht="15.6" x14ac:dyDescent="0.3">
      <c r="A1014" s="1" t="s">
        <v>1358</v>
      </c>
      <c r="B1014" t="str">
        <f>VLOOKUP('Customer Names'!A1014,'Customer Names'!$A$1:$E$2336,4,FALSE)</f>
        <v>Ms.  Tania K.</v>
      </c>
      <c r="C1014">
        <f>VLOOKUP(Table2[[#This Row],[Customer ID]],Table2[#All],2,FALSE)</f>
        <v>27.2</v>
      </c>
      <c r="D1014">
        <f>VLOOKUP(Table2[[#This Row],[Customer ID]],Table2[#All],3,FALSE)</f>
        <v>6.06</v>
      </c>
      <c r="E1014" t="str">
        <f>VLOOKUP(Table2[[#This Row],[Customer ID]],Table2[#All],4,FALSE)</f>
        <v>Yes</v>
      </c>
      <c r="F1014" t="str">
        <f>VLOOKUP(Table2[[#This Row],[Customer ID]],Table2[#All],5,FALSE)</f>
        <v>No</v>
      </c>
      <c r="G1014" t="str">
        <f>VLOOKUP(Table2[[#This Row],[Customer ID]],Table2[#All],6,FALSE)</f>
        <v>No</v>
      </c>
      <c r="H1014">
        <f>VLOOKUP(Table2[[#This Row],[Customer ID]],Table2[#All],7,FALSE)</f>
        <v>2</v>
      </c>
      <c r="I1014" t="str">
        <f>VLOOKUP(Table2[[#This Row],[Customer ID]],Table2[#All],8,FALSE)</f>
        <v>No</v>
      </c>
      <c r="J1014" t="str">
        <f>VLOOKUP(Table2[[#This Row],[Customer ID]],Table2[#All],9,FALSE)</f>
        <v>Overweight</v>
      </c>
      <c r="K1014" t="str">
        <f>VLOOKUP(Table2[[#This Row],[Customer ID]],Table2[#All],10,FALSE)</f>
        <v>Prediabetes</v>
      </c>
    </row>
    <row r="1015" spans="1:11" ht="15.6" x14ac:dyDescent="0.3">
      <c r="A1015" s="1" t="s">
        <v>1357</v>
      </c>
      <c r="B1015" t="str">
        <f>VLOOKUP('Customer Names'!A1015,'Customer Names'!$A$1:$E$2336,4,FALSE)</f>
        <v>Ms.  Ashley E</v>
      </c>
      <c r="C1015">
        <f>VLOOKUP(Table2[[#This Row],[Customer ID]],Table2[#All],2,FALSE)</f>
        <v>25.3</v>
      </c>
      <c r="D1015">
        <f>VLOOKUP(Table2[[#This Row],[Customer ID]],Table2[#All],3,FALSE)</f>
        <v>5.19</v>
      </c>
      <c r="E1015" t="str">
        <f>VLOOKUP(Table2[[#This Row],[Customer ID]],Table2[#All],4,FALSE)</f>
        <v>Yes</v>
      </c>
      <c r="F1015" t="str">
        <f>VLOOKUP(Table2[[#This Row],[Customer ID]],Table2[#All],5,FALSE)</f>
        <v>No</v>
      </c>
      <c r="G1015" t="str">
        <f>VLOOKUP(Table2[[#This Row],[Customer ID]],Table2[#All],6,FALSE)</f>
        <v>No</v>
      </c>
      <c r="H1015">
        <f>VLOOKUP(Table2[[#This Row],[Customer ID]],Table2[#All],7,FALSE)</f>
        <v>2</v>
      </c>
      <c r="I1015" t="str">
        <f>VLOOKUP(Table2[[#This Row],[Customer ID]],Table2[#All],8,FALSE)</f>
        <v>No</v>
      </c>
      <c r="J1015" t="str">
        <f>VLOOKUP(Table2[[#This Row],[Customer ID]],Table2[#All],9,FALSE)</f>
        <v>Overweight</v>
      </c>
      <c r="K1015" t="str">
        <f>VLOOKUP(Table2[[#This Row],[Customer ID]],Table2[#All],10,FALSE)</f>
        <v>Normal</v>
      </c>
    </row>
    <row r="1016" spans="1:11" ht="15.6" x14ac:dyDescent="0.3">
      <c r="A1016" s="1" t="s">
        <v>1356</v>
      </c>
      <c r="B1016" t="str">
        <f>VLOOKUP('Customer Names'!A1016,'Customer Names'!$A$1:$E$2336,4,FALSE)</f>
        <v>Ms.  Aleksandra</v>
      </c>
      <c r="C1016">
        <f>VLOOKUP(Table2[[#This Row],[Customer ID]],Table2[#All],2,FALSE)</f>
        <v>30.25</v>
      </c>
      <c r="D1016">
        <f>VLOOKUP(Table2[[#This Row],[Customer ID]],Table2[#All],3,FALSE)</f>
        <v>10.16</v>
      </c>
      <c r="E1016" t="str">
        <f>VLOOKUP(Table2[[#This Row],[Customer ID]],Table2[#All],4,FALSE)</f>
        <v>No</v>
      </c>
      <c r="F1016" t="str">
        <f>VLOOKUP(Table2[[#This Row],[Customer ID]],Table2[#All],5,FALSE)</f>
        <v>No</v>
      </c>
      <c r="G1016" t="str">
        <f>VLOOKUP(Table2[[#This Row],[Customer ID]],Table2[#All],6,FALSE)</f>
        <v>No</v>
      </c>
      <c r="H1016">
        <f>VLOOKUP(Table2[[#This Row],[Customer ID]],Table2[#All],7,FALSE)</f>
        <v>0</v>
      </c>
      <c r="I1016" t="str">
        <f>VLOOKUP(Table2[[#This Row],[Customer ID]],Table2[#All],8,FALSE)</f>
        <v>No</v>
      </c>
      <c r="J1016" t="str">
        <f>VLOOKUP(Table2[[#This Row],[Customer ID]],Table2[#All],9,FALSE)</f>
        <v>Obesity</v>
      </c>
      <c r="K1016" t="str">
        <f>VLOOKUP(Table2[[#This Row],[Customer ID]],Table2[#All],10,FALSE)</f>
        <v>Diabetes</v>
      </c>
    </row>
    <row r="1017" spans="1:11" ht="15.6" x14ac:dyDescent="0.3">
      <c r="A1017" s="1" t="s">
        <v>1355</v>
      </c>
      <c r="B1017" t="str">
        <f>VLOOKUP('Customer Names'!A1017,'Customer Names'!$A$1:$E$2336,4,FALSE)</f>
        <v>Ms.  Valery L</v>
      </c>
      <c r="C1017">
        <f>VLOOKUP(Table2[[#This Row],[Customer ID]],Table2[#All],2,FALSE)</f>
        <v>54</v>
      </c>
      <c r="D1017">
        <f>VLOOKUP(Table2[[#This Row],[Customer ID]],Table2[#All],3,FALSE)</f>
        <v>4.68</v>
      </c>
      <c r="E1017" t="str">
        <f>VLOOKUP(Table2[[#This Row],[Customer ID]],Table2[#All],4,FALSE)</f>
        <v>Yes</v>
      </c>
      <c r="F1017" t="str">
        <f>VLOOKUP(Table2[[#This Row],[Customer ID]],Table2[#All],5,FALSE)</f>
        <v>yes</v>
      </c>
      <c r="G1017" t="str">
        <f>VLOOKUP(Table2[[#This Row],[Customer ID]],Table2[#All],6,FALSE)</f>
        <v>No</v>
      </c>
      <c r="H1017">
        <f>VLOOKUP(Table2[[#This Row],[Customer ID]],Table2[#All],7,FALSE)</f>
        <v>2</v>
      </c>
      <c r="I1017" t="str">
        <f>VLOOKUP(Table2[[#This Row],[Customer ID]],Table2[#All],8,FALSE)</f>
        <v>No</v>
      </c>
      <c r="J1017" t="str">
        <f>VLOOKUP(Table2[[#This Row],[Customer ID]],Table2[#All],9,FALSE)</f>
        <v>Obesity</v>
      </c>
      <c r="K1017" t="str">
        <f>VLOOKUP(Table2[[#This Row],[Customer ID]],Table2[#All],10,FALSE)</f>
        <v>Normal</v>
      </c>
    </row>
    <row r="1018" spans="1:11" ht="15.6" x14ac:dyDescent="0.3">
      <c r="A1018" s="1" t="s">
        <v>1354</v>
      </c>
      <c r="B1018" t="str">
        <f>VLOOKUP('Customer Names'!A1018,'Customer Names'!$A$1:$E$2336,4,FALSE)</f>
        <v>Mrs.  Joanna G.</v>
      </c>
      <c r="C1018">
        <f>VLOOKUP(Table2[[#This Row],[Customer ID]],Table2[#All],2,FALSE)</f>
        <v>51.86</v>
      </c>
      <c r="D1018">
        <f>VLOOKUP(Table2[[#This Row],[Customer ID]],Table2[#All],3,FALSE)</f>
        <v>5.32</v>
      </c>
      <c r="E1018" t="str">
        <f>VLOOKUP(Table2[[#This Row],[Customer ID]],Table2[#All],4,FALSE)</f>
        <v>Yes</v>
      </c>
      <c r="F1018" t="str">
        <f>VLOOKUP(Table2[[#This Row],[Customer ID]],Table2[#All],5,FALSE)</f>
        <v>No</v>
      </c>
      <c r="G1018" t="str">
        <f>VLOOKUP(Table2[[#This Row],[Customer ID]],Table2[#All],6,FALSE)</f>
        <v>No</v>
      </c>
      <c r="H1018">
        <f>VLOOKUP(Table2[[#This Row],[Customer ID]],Table2[#All],7,FALSE)</f>
        <v>0</v>
      </c>
      <c r="I1018" t="str">
        <f>VLOOKUP(Table2[[#This Row],[Customer ID]],Table2[#All],8,FALSE)</f>
        <v>No</v>
      </c>
      <c r="J1018" t="str">
        <f>VLOOKUP(Table2[[#This Row],[Customer ID]],Table2[#All],9,FALSE)</f>
        <v>Obesity</v>
      </c>
      <c r="K1018" t="str">
        <f>VLOOKUP(Table2[[#This Row],[Customer ID]],Table2[#All],10,FALSE)</f>
        <v>Normal</v>
      </c>
    </row>
    <row r="1019" spans="1:11" ht="15.6" x14ac:dyDescent="0.3">
      <c r="A1019" s="1" t="s">
        <v>1353</v>
      </c>
      <c r="B1019" t="str">
        <f>VLOOKUP('Customer Names'!A1019,'Customer Names'!$A$1:$E$2336,4,FALSE)</f>
        <v>Mrs.  Stefanie F.</v>
      </c>
      <c r="C1019">
        <f>VLOOKUP(Table2[[#This Row],[Customer ID]],Table2[#All],2,FALSE)</f>
        <v>31.39</v>
      </c>
      <c r="D1019">
        <f>VLOOKUP(Table2[[#This Row],[Customer ID]],Table2[#All],3,FALSE)</f>
        <v>6.99</v>
      </c>
      <c r="E1019" t="str">
        <f>VLOOKUP(Table2[[#This Row],[Customer ID]],Table2[#All],4,FALSE)</f>
        <v>No</v>
      </c>
      <c r="F1019" t="str">
        <f>VLOOKUP(Table2[[#This Row],[Customer ID]],Table2[#All],5,FALSE)</f>
        <v>No</v>
      </c>
      <c r="G1019" t="str">
        <f>VLOOKUP(Table2[[#This Row],[Customer ID]],Table2[#All],6,FALSE)</f>
        <v>No</v>
      </c>
      <c r="H1019">
        <f>VLOOKUP(Table2[[#This Row],[Customer ID]],Table2[#All],7,FALSE)</f>
        <v>0</v>
      </c>
      <c r="I1019" t="str">
        <f>VLOOKUP(Table2[[#This Row],[Customer ID]],Table2[#All],8,FALSE)</f>
        <v>No</v>
      </c>
      <c r="J1019" t="str">
        <f>VLOOKUP(Table2[[#This Row],[Customer ID]],Table2[#All],9,FALSE)</f>
        <v>Obesity</v>
      </c>
      <c r="K1019" t="str">
        <f>VLOOKUP(Table2[[#This Row],[Customer ID]],Table2[#All],10,FALSE)</f>
        <v>Diabetes</v>
      </c>
    </row>
    <row r="1020" spans="1:11" ht="15.6" x14ac:dyDescent="0.3">
      <c r="A1020" s="1" t="s">
        <v>1352</v>
      </c>
      <c r="B1020" t="str">
        <f>VLOOKUP('Customer Names'!A1020,'Customer Names'!$A$1:$E$2336,4,FALSE)</f>
        <v>Mr.  Stephen</v>
      </c>
      <c r="C1020">
        <f>VLOOKUP(Table2[[#This Row],[Customer ID]],Table2[#All],2,FALSE)</f>
        <v>39.97</v>
      </c>
      <c r="D1020">
        <f>VLOOKUP(Table2[[#This Row],[Customer ID]],Table2[#All],3,FALSE)</f>
        <v>5.55</v>
      </c>
      <c r="E1020" t="str">
        <f>VLOOKUP(Table2[[#This Row],[Customer ID]],Table2[#All],4,FALSE)</f>
        <v>No</v>
      </c>
      <c r="F1020" t="str">
        <f>VLOOKUP(Table2[[#This Row],[Customer ID]],Table2[#All],5,FALSE)</f>
        <v>No</v>
      </c>
      <c r="G1020" t="str">
        <f>VLOOKUP(Table2[[#This Row],[Customer ID]],Table2[#All],6,FALSE)</f>
        <v>No</v>
      </c>
      <c r="H1020">
        <f>VLOOKUP(Table2[[#This Row],[Customer ID]],Table2[#All],7,FALSE)</f>
        <v>0</v>
      </c>
      <c r="I1020" t="str">
        <f>VLOOKUP(Table2[[#This Row],[Customer ID]],Table2[#All],8,FALSE)</f>
        <v>No</v>
      </c>
      <c r="J1020" t="str">
        <f>VLOOKUP(Table2[[#This Row],[Customer ID]],Table2[#All],9,FALSE)</f>
        <v>Obesity</v>
      </c>
      <c r="K1020" t="str">
        <f>VLOOKUP(Table2[[#This Row],[Customer ID]],Table2[#All],10,FALSE)</f>
        <v>Normal</v>
      </c>
    </row>
    <row r="1021" spans="1:11" ht="15.6" x14ac:dyDescent="0.3">
      <c r="A1021" s="1" t="s">
        <v>1351</v>
      </c>
      <c r="B1021" t="str">
        <f>VLOOKUP('Customer Names'!A1021,'Customer Names'!$A$1:$E$2336,4,FALSE)</f>
        <v>Ms.  Liza J.</v>
      </c>
      <c r="C1021">
        <f>VLOOKUP(Table2[[#This Row],[Customer ID]],Table2[#All],2,FALSE)</f>
        <v>41.23</v>
      </c>
      <c r="D1021">
        <f>VLOOKUP(Table2[[#This Row],[Customer ID]],Table2[#All],3,FALSE)</f>
        <v>6.94</v>
      </c>
      <c r="E1021" t="str">
        <f>VLOOKUP(Table2[[#This Row],[Customer ID]],Table2[#All],4,FALSE)</f>
        <v>No</v>
      </c>
      <c r="F1021" t="str">
        <f>VLOOKUP(Table2[[#This Row],[Customer ID]],Table2[#All],5,FALSE)</f>
        <v>No</v>
      </c>
      <c r="G1021" t="str">
        <f>VLOOKUP(Table2[[#This Row],[Customer ID]],Table2[#All],6,FALSE)</f>
        <v>No</v>
      </c>
      <c r="H1021">
        <f>VLOOKUP(Table2[[#This Row],[Customer ID]],Table2[#All],7,FALSE)</f>
        <v>0</v>
      </c>
      <c r="I1021" t="str">
        <f>VLOOKUP(Table2[[#This Row],[Customer ID]],Table2[#All],8,FALSE)</f>
        <v>No</v>
      </c>
      <c r="J1021" t="str">
        <f>VLOOKUP(Table2[[#This Row],[Customer ID]],Table2[#All],9,FALSE)</f>
        <v>Obesity</v>
      </c>
      <c r="K1021" t="str">
        <f>VLOOKUP(Table2[[#This Row],[Customer ID]],Table2[#All],10,FALSE)</f>
        <v>Diabetes</v>
      </c>
    </row>
    <row r="1022" spans="1:11" ht="15.6" x14ac:dyDescent="0.3">
      <c r="A1022" s="1" t="s">
        <v>1350</v>
      </c>
      <c r="B1022" t="str">
        <f>VLOOKUP('Customer Names'!A1022,'Customer Names'!$A$1:$E$2336,4,FALSE)</f>
        <v>Mr.  Ian M.</v>
      </c>
      <c r="C1022">
        <f>VLOOKUP(Table2[[#This Row],[Customer ID]],Table2[#All],2,FALSE)</f>
        <v>49.45</v>
      </c>
      <c r="D1022">
        <f>VLOOKUP(Table2[[#This Row],[Customer ID]],Table2[#All],3,FALSE)</f>
        <v>4.2</v>
      </c>
      <c r="E1022" t="str">
        <f>VLOOKUP(Table2[[#This Row],[Customer ID]],Table2[#All],4,FALSE)</f>
        <v>Yes</v>
      </c>
      <c r="F1022" t="str">
        <f>VLOOKUP(Table2[[#This Row],[Customer ID]],Table2[#All],5,FALSE)</f>
        <v>No</v>
      </c>
      <c r="G1022" t="str">
        <f>VLOOKUP(Table2[[#This Row],[Customer ID]],Table2[#All],6,FALSE)</f>
        <v>No</v>
      </c>
      <c r="H1022">
        <f>VLOOKUP(Table2[[#This Row],[Customer ID]],Table2[#All],7,FALSE)</f>
        <v>0</v>
      </c>
      <c r="I1022" t="str">
        <f>VLOOKUP(Table2[[#This Row],[Customer ID]],Table2[#All],8,FALSE)</f>
        <v>No</v>
      </c>
      <c r="J1022" t="str">
        <f>VLOOKUP(Table2[[#This Row],[Customer ID]],Table2[#All],9,FALSE)</f>
        <v>Obesity</v>
      </c>
      <c r="K1022" t="str">
        <f>VLOOKUP(Table2[[#This Row],[Customer ID]],Table2[#All],10,FALSE)</f>
        <v>Normal</v>
      </c>
    </row>
    <row r="1023" spans="1:11" ht="15.6" x14ac:dyDescent="0.3">
      <c r="A1023" s="1" t="s">
        <v>1349</v>
      </c>
      <c r="B1023" t="str">
        <f>VLOOKUP('Customer Names'!A1023,'Customer Names'!$A$1:$E$2336,4,FALSE)</f>
        <v>Ms.  Claudia L.</v>
      </c>
      <c r="C1023">
        <f>VLOOKUP(Table2[[#This Row],[Customer ID]],Table2[#All],2,FALSE)</f>
        <v>41.04</v>
      </c>
      <c r="D1023">
        <f>VLOOKUP(Table2[[#This Row],[Customer ID]],Table2[#All],3,FALSE)</f>
        <v>5.59</v>
      </c>
      <c r="E1023" t="str">
        <f>VLOOKUP(Table2[[#This Row],[Customer ID]],Table2[#All],4,FALSE)</f>
        <v>No</v>
      </c>
      <c r="F1023" t="str">
        <f>VLOOKUP(Table2[[#This Row],[Customer ID]],Table2[#All],5,FALSE)</f>
        <v>No</v>
      </c>
      <c r="G1023" t="str">
        <f>VLOOKUP(Table2[[#This Row],[Customer ID]],Table2[#All],6,FALSE)</f>
        <v>No</v>
      </c>
      <c r="H1023">
        <f>VLOOKUP(Table2[[#This Row],[Customer ID]],Table2[#All],7,FALSE)</f>
        <v>0</v>
      </c>
      <c r="I1023" t="str">
        <f>VLOOKUP(Table2[[#This Row],[Customer ID]],Table2[#All],8,FALSE)</f>
        <v>No</v>
      </c>
      <c r="J1023" t="str">
        <f>VLOOKUP(Table2[[#This Row],[Customer ID]],Table2[#All],9,FALSE)</f>
        <v>Obesity</v>
      </c>
      <c r="K1023" t="str">
        <f>VLOOKUP(Table2[[#This Row],[Customer ID]],Table2[#All],10,FALSE)</f>
        <v>Normal</v>
      </c>
    </row>
    <row r="1024" spans="1:11" ht="15.6" x14ac:dyDescent="0.3">
      <c r="A1024" s="1" t="s">
        <v>1348</v>
      </c>
      <c r="B1024" t="str">
        <f>VLOOKUP('Customer Names'!A1024,'Customer Names'!$A$1:$E$2336,4,FALSE)</f>
        <v>Ms.  Jessica M</v>
      </c>
      <c r="C1024">
        <f>VLOOKUP(Table2[[#This Row],[Customer ID]],Table2[#All],2,FALSE)</f>
        <v>27.93</v>
      </c>
      <c r="D1024">
        <f>VLOOKUP(Table2[[#This Row],[Customer ID]],Table2[#All],3,FALSE)</f>
        <v>9.9600000000000009</v>
      </c>
      <c r="E1024" t="str">
        <f>VLOOKUP(Table2[[#This Row],[Customer ID]],Table2[#All],4,FALSE)</f>
        <v>No</v>
      </c>
      <c r="F1024" t="str">
        <f>VLOOKUP(Table2[[#This Row],[Customer ID]],Table2[#All],5,FALSE)</f>
        <v>No</v>
      </c>
      <c r="G1024" t="str">
        <f>VLOOKUP(Table2[[#This Row],[Customer ID]],Table2[#All],6,FALSE)</f>
        <v>No</v>
      </c>
      <c r="H1024">
        <f>VLOOKUP(Table2[[#This Row],[Customer ID]],Table2[#All],7,FALSE)</f>
        <v>0</v>
      </c>
      <c r="I1024" t="str">
        <f>VLOOKUP(Table2[[#This Row],[Customer ID]],Table2[#All],8,FALSE)</f>
        <v>No</v>
      </c>
      <c r="J1024" t="str">
        <f>VLOOKUP(Table2[[#This Row],[Customer ID]],Table2[#All],9,FALSE)</f>
        <v>Overweight</v>
      </c>
      <c r="K1024" t="str">
        <f>VLOOKUP(Table2[[#This Row],[Customer ID]],Table2[#All],10,FALSE)</f>
        <v>Diabetes</v>
      </c>
    </row>
    <row r="1025" spans="1:11" ht="15.6" x14ac:dyDescent="0.3">
      <c r="A1025" s="1" t="s">
        <v>1347</v>
      </c>
      <c r="B1025" t="str">
        <f>VLOOKUP('Customer Names'!A1025,'Customer Names'!$A$1:$E$2336,4,FALSE)</f>
        <v>Mr.  Billy Jr.</v>
      </c>
      <c r="C1025">
        <f>VLOOKUP(Table2[[#This Row],[Customer ID]],Table2[#All],2,FALSE)</f>
        <v>21.01</v>
      </c>
      <c r="D1025">
        <f>VLOOKUP(Table2[[#This Row],[Customer ID]],Table2[#All],3,FALSE)</f>
        <v>7.37</v>
      </c>
      <c r="E1025" t="str">
        <f>VLOOKUP(Table2[[#This Row],[Customer ID]],Table2[#All],4,FALSE)</f>
        <v>No</v>
      </c>
      <c r="F1025" t="str">
        <f>VLOOKUP(Table2[[#This Row],[Customer ID]],Table2[#All],5,FALSE)</f>
        <v>No</v>
      </c>
      <c r="G1025" t="str">
        <f>VLOOKUP(Table2[[#This Row],[Customer ID]],Table2[#All],6,FALSE)</f>
        <v>No</v>
      </c>
      <c r="H1025">
        <f>VLOOKUP(Table2[[#This Row],[Customer ID]],Table2[#All],7,FALSE)</f>
        <v>0</v>
      </c>
      <c r="I1025" t="str">
        <f>VLOOKUP(Table2[[#This Row],[Customer ID]],Table2[#All],8,FALSE)</f>
        <v>No</v>
      </c>
      <c r="J1025" t="str">
        <f>VLOOKUP(Table2[[#This Row],[Customer ID]],Table2[#All],9,FALSE)</f>
        <v>Normalweight</v>
      </c>
      <c r="K1025" t="str">
        <f>VLOOKUP(Table2[[#This Row],[Customer ID]],Table2[#All],10,FALSE)</f>
        <v>Diabetes</v>
      </c>
    </row>
    <row r="1026" spans="1:11" ht="15.6" x14ac:dyDescent="0.3">
      <c r="A1026" s="1" t="s">
        <v>1346</v>
      </c>
      <c r="B1026" t="str">
        <f>VLOOKUP('Customer Names'!A1026,'Customer Names'!$A$1:$E$2336,4,FALSE)</f>
        <v>Mr.  David</v>
      </c>
      <c r="C1026">
        <f>VLOOKUP(Table2[[#This Row],[Customer ID]],Table2[#All],2,FALSE)</f>
        <v>52.37</v>
      </c>
      <c r="D1026">
        <f>VLOOKUP(Table2[[#This Row],[Customer ID]],Table2[#All],3,FALSE)</f>
        <v>5.0599999999999996</v>
      </c>
      <c r="E1026" t="str">
        <f>VLOOKUP(Table2[[#This Row],[Customer ID]],Table2[#All],4,FALSE)</f>
        <v>Yes</v>
      </c>
      <c r="F1026" t="str">
        <f>VLOOKUP(Table2[[#This Row],[Customer ID]],Table2[#All],5,FALSE)</f>
        <v>yes</v>
      </c>
      <c r="G1026" t="str">
        <f>VLOOKUP(Table2[[#This Row],[Customer ID]],Table2[#All],6,FALSE)</f>
        <v>No</v>
      </c>
      <c r="H1026">
        <f>VLOOKUP(Table2[[#This Row],[Customer ID]],Table2[#All],7,FALSE)</f>
        <v>2</v>
      </c>
      <c r="I1026" t="str">
        <f>VLOOKUP(Table2[[#This Row],[Customer ID]],Table2[#All],8,FALSE)</f>
        <v>No</v>
      </c>
      <c r="J1026" t="str">
        <f>VLOOKUP(Table2[[#This Row],[Customer ID]],Table2[#All],9,FALSE)</f>
        <v>Obesity</v>
      </c>
      <c r="K1026" t="str">
        <f>VLOOKUP(Table2[[#This Row],[Customer ID]],Table2[#All],10,FALSE)</f>
        <v>Normal</v>
      </c>
    </row>
    <row r="1027" spans="1:11" ht="15.6" x14ac:dyDescent="0.3">
      <c r="A1027" s="1" t="s">
        <v>1345</v>
      </c>
      <c r="B1027" t="str">
        <f>VLOOKUP('Customer Names'!A1027,'Customer Names'!$A$1:$E$2336,4,FALSE)</f>
        <v>Mr.  Tim</v>
      </c>
      <c r="C1027">
        <f>VLOOKUP(Table2[[#This Row],[Customer ID]],Table2[#All],2,FALSE)</f>
        <v>40.369999999999997</v>
      </c>
      <c r="D1027">
        <f>VLOOKUP(Table2[[#This Row],[Customer ID]],Table2[#All],3,FALSE)</f>
        <v>8.2100000000000009</v>
      </c>
      <c r="E1027" t="str">
        <f>VLOOKUP(Table2[[#This Row],[Customer ID]],Table2[#All],4,FALSE)</f>
        <v>No</v>
      </c>
      <c r="F1027" t="str">
        <f>VLOOKUP(Table2[[#This Row],[Customer ID]],Table2[#All],5,FALSE)</f>
        <v>No</v>
      </c>
      <c r="G1027" t="str">
        <f>VLOOKUP(Table2[[#This Row],[Customer ID]],Table2[#All],6,FALSE)</f>
        <v>No</v>
      </c>
      <c r="H1027">
        <f>VLOOKUP(Table2[[#This Row],[Customer ID]],Table2[#All],7,FALSE)</f>
        <v>0</v>
      </c>
      <c r="I1027" t="str">
        <f>VLOOKUP(Table2[[#This Row],[Customer ID]],Table2[#All],8,FALSE)</f>
        <v>No</v>
      </c>
      <c r="J1027" t="str">
        <f>VLOOKUP(Table2[[#This Row],[Customer ID]],Table2[#All],9,FALSE)</f>
        <v>Obesity</v>
      </c>
      <c r="K1027" t="str">
        <f>VLOOKUP(Table2[[#This Row],[Customer ID]],Table2[#All],10,FALSE)</f>
        <v>Diabetes</v>
      </c>
    </row>
    <row r="1028" spans="1:11" ht="15.6" x14ac:dyDescent="0.3">
      <c r="A1028" s="1" t="s">
        <v>1344</v>
      </c>
      <c r="B1028" t="str">
        <f>VLOOKUP('Customer Names'!A1028,'Customer Names'!$A$1:$E$2336,4,FALSE)</f>
        <v>Ms.  Emma M</v>
      </c>
      <c r="C1028">
        <f>VLOOKUP(Table2[[#This Row],[Customer ID]],Table2[#All],2,FALSE)</f>
        <v>41.47</v>
      </c>
      <c r="D1028">
        <f>VLOOKUP(Table2[[#This Row],[Customer ID]],Table2[#All],3,FALSE)</f>
        <v>10.34</v>
      </c>
      <c r="E1028" t="str">
        <f>VLOOKUP(Table2[[#This Row],[Customer ID]],Table2[#All],4,FALSE)</f>
        <v>No</v>
      </c>
      <c r="F1028" t="str">
        <f>VLOOKUP(Table2[[#This Row],[Customer ID]],Table2[#All],5,FALSE)</f>
        <v>No</v>
      </c>
      <c r="G1028" t="str">
        <f>VLOOKUP(Table2[[#This Row],[Customer ID]],Table2[#All],6,FALSE)</f>
        <v>No</v>
      </c>
      <c r="H1028">
        <f>VLOOKUP(Table2[[#This Row],[Customer ID]],Table2[#All],7,FALSE)</f>
        <v>2</v>
      </c>
      <c r="I1028" t="str">
        <f>VLOOKUP(Table2[[#This Row],[Customer ID]],Table2[#All],8,FALSE)</f>
        <v>No</v>
      </c>
      <c r="J1028" t="str">
        <f>VLOOKUP(Table2[[#This Row],[Customer ID]],Table2[#All],9,FALSE)</f>
        <v>Obesity</v>
      </c>
      <c r="K1028" t="str">
        <f>VLOOKUP(Table2[[#This Row],[Customer ID]],Table2[#All],10,FALSE)</f>
        <v>Diabetes</v>
      </c>
    </row>
    <row r="1029" spans="1:11" ht="15.6" x14ac:dyDescent="0.3">
      <c r="A1029" s="1" t="s">
        <v>1343</v>
      </c>
      <c r="B1029" t="str">
        <f>VLOOKUP('Customer Names'!A1029,'Customer Names'!$A$1:$E$2336,4,FALSE)</f>
        <v>Mr.  Tim</v>
      </c>
      <c r="C1029">
        <f>VLOOKUP(Table2[[#This Row],[Customer ID]],Table2[#All],2,FALSE)</f>
        <v>33.725000000000001</v>
      </c>
      <c r="D1029">
        <f>VLOOKUP(Table2[[#This Row],[Customer ID]],Table2[#All],3,FALSE)</f>
        <v>5.51</v>
      </c>
      <c r="E1029" t="str">
        <f>VLOOKUP(Table2[[#This Row],[Customer ID]],Table2[#All],4,FALSE)</f>
        <v>Yes</v>
      </c>
      <c r="F1029" t="str">
        <f>VLOOKUP(Table2[[#This Row],[Customer ID]],Table2[#All],5,FALSE)</f>
        <v>No</v>
      </c>
      <c r="G1029" t="str">
        <f>VLOOKUP(Table2[[#This Row],[Customer ID]],Table2[#All],6,FALSE)</f>
        <v>No</v>
      </c>
      <c r="H1029">
        <f>VLOOKUP(Table2[[#This Row],[Customer ID]],Table2[#All],7,FALSE)</f>
        <v>2</v>
      </c>
      <c r="I1029" t="str">
        <f>VLOOKUP(Table2[[#This Row],[Customer ID]],Table2[#All],8,FALSE)</f>
        <v>No</v>
      </c>
      <c r="J1029" t="str">
        <f>VLOOKUP(Table2[[#This Row],[Customer ID]],Table2[#All],9,FALSE)</f>
        <v>Obesity</v>
      </c>
      <c r="K1029" t="str">
        <f>VLOOKUP(Table2[[#This Row],[Customer ID]],Table2[#All],10,FALSE)</f>
        <v>Normal</v>
      </c>
    </row>
    <row r="1030" spans="1:11" ht="15.6" x14ac:dyDescent="0.3">
      <c r="A1030" s="1" t="s">
        <v>1342</v>
      </c>
      <c r="B1030" t="str">
        <f>VLOOKUP('Customer Names'!A1030,'Customer Names'!$A$1:$E$2336,4,FALSE)</f>
        <v>Mr.  Patrick</v>
      </c>
      <c r="C1030">
        <f>VLOOKUP(Table2[[#This Row],[Customer ID]],Table2[#All],2,FALSE)</f>
        <v>28.1</v>
      </c>
      <c r="D1030">
        <f>VLOOKUP(Table2[[#This Row],[Customer ID]],Table2[#All],3,FALSE)</f>
        <v>11.2</v>
      </c>
      <c r="E1030" t="str">
        <f>VLOOKUP(Table2[[#This Row],[Customer ID]],Table2[#All],4,FALSE)</f>
        <v>No</v>
      </c>
      <c r="F1030" t="str">
        <f>VLOOKUP(Table2[[#This Row],[Customer ID]],Table2[#All],5,FALSE)</f>
        <v>No</v>
      </c>
      <c r="G1030" t="str">
        <f>VLOOKUP(Table2[[#This Row],[Customer ID]],Table2[#All],6,FALSE)</f>
        <v>No</v>
      </c>
      <c r="H1030">
        <f>VLOOKUP(Table2[[#This Row],[Customer ID]],Table2[#All],7,FALSE)</f>
        <v>0</v>
      </c>
      <c r="I1030" t="str">
        <f>VLOOKUP(Table2[[#This Row],[Customer ID]],Table2[#All],8,FALSE)</f>
        <v>No</v>
      </c>
      <c r="J1030" t="str">
        <f>VLOOKUP(Table2[[#This Row],[Customer ID]],Table2[#All],9,FALSE)</f>
        <v>Overweight</v>
      </c>
      <c r="K1030" t="str">
        <f>VLOOKUP(Table2[[#This Row],[Customer ID]],Table2[#All],10,FALSE)</f>
        <v>Diabetes</v>
      </c>
    </row>
    <row r="1031" spans="1:11" ht="15.6" x14ac:dyDescent="0.3">
      <c r="A1031" s="1" t="s">
        <v>1341</v>
      </c>
      <c r="B1031" t="str">
        <f>VLOOKUP('Customer Names'!A1031,'Customer Names'!$A$1:$E$2336,4,FALSE)</f>
        <v>Ms.  Bridget K.</v>
      </c>
      <c r="C1031">
        <f>VLOOKUP(Table2[[#This Row],[Customer ID]],Table2[#All],2,FALSE)</f>
        <v>37.43</v>
      </c>
      <c r="D1031">
        <f>VLOOKUP(Table2[[#This Row],[Customer ID]],Table2[#All],3,FALSE)</f>
        <v>4.3499999999999996</v>
      </c>
      <c r="E1031" t="str">
        <f>VLOOKUP(Table2[[#This Row],[Customer ID]],Table2[#All],4,FALSE)</f>
        <v>Yes</v>
      </c>
      <c r="F1031" t="str">
        <f>VLOOKUP(Table2[[#This Row],[Customer ID]],Table2[#All],5,FALSE)</f>
        <v>No</v>
      </c>
      <c r="G1031" t="str">
        <f>VLOOKUP(Table2[[#This Row],[Customer ID]],Table2[#All],6,FALSE)</f>
        <v>Yes</v>
      </c>
      <c r="H1031">
        <f>VLOOKUP(Table2[[#This Row],[Customer ID]],Table2[#All],7,FALSE)</f>
        <v>1</v>
      </c>
      <c r="I1031" t="str">
        <f>VLOOKUP(Table2[[#This Row],[Customer ID]],Table2[#All],8,FALSE)</f>
        <v>No</v>
      </c>
      <c r="J1031" t="str">
        <f>VLOOKUP(Table2[[#This Row],[Customer ID]],Table2[#All],9,FALSE)</f>
        <v>Obesity</v>
      </c>
      <c r="K1031" t="str">
        <f>VLOOKUP(Table2[[#This Row],[Customer ID]],Table2[#All],10,FALSE)</f>
        <v>Normal</v>
      </c>
    </row>
    <row r="1032" spans="1:11" ht="15.6" x14ac:dyDescent="0.3">
      <c r="A1032" s="1" t="s">
        <v>1340</v>
      </c>
      <c r="B1032" t="str">
        <f>VLOOKUP('Customer Names'!A1032,'Customer Names'!$A$1:$E$2336,4,FALSE)</f>
        <v>Mr.  Gabriel</v>
      </c>
      <c r="C1032">
        <f>VLOOKUP(Table2[[#This Row],[Customer ID]],Table2[#All],2,FALSE)</f>
        <v>23.7</v>
      </c>
      <c r="D1032">
        <f>VLOOKUP(Table2[[#This Row],[Customer ID]],Table2[#All],3,FALSE)</f>
        <v>10.45</v>
      </c>
      <c r="E1032" t="str">
        <f>VLOOKUP(Table2[[#This Row],[Customer ID]],Table2[#All],4,FALSE)</f>
        <v>No</v>
      </c>
      <c r="F1032" t="str">
        <f>VLOOKUP(Table2[[#This Row],[Customer ID]],Table2[#All],5,FALSE)</f>
        <v>No</v>
      </c>
      <c r="G1032" t="str">
        <f>VLOOKUP(Table2[[#This Row],[Customer ID]],Table2[#All],6,FALSE)</f>
        <v>No</v>
      </c>
      <c r="H1032">
        <f>VLOOKUP(Table2[[#This Row],[Customer ID]],Table2[#All],7,FALSE)</f>
        <v>0</v>
      </c>
      <c r="I1032" t="str">
        <f>VLOOKUP(Table2[[#This Row],[Customer ID]],Table2[#All],8,FALSE)</f>
        <v>No</v>
      </c>
      <c r="J1032" t="str">
        <f>VLOOKUP(Table2[[#This Row],[Customer ID]],Table2[#All],9,FALSE)</f>
        <v>Normalweight</v>
      </c>
      <c r="K1032" t="str">
        <f>VLOOKUP(Table2[[#This Row],[Customer ID]],Table2[#All],10,FALSE)</f>
        <v>Diabetes</v>
      </c>
    </row>
    <row r="1033" spans="1:11" ht="15.6" x14ac:dyDescent="0.3">
      <c r="A1033" s="1" t="s">
        <v>1339</v>
      </c>
      <c r="B1033" t="str">
        <f>VLOOKUP('Customer Names'!A1033,'Customer Names'!$A$1:$E$2336,4,FALSE)</f>
        <v>Ms.  Natasha</v>
      </c>
      <c r="C1033">
        <f>VLOOKUP(Table2[[#This Row],[Customer ID]],Table2[#All],2,FALSE)</f>
        <v>24.795000000000002</v>
      </c>
      <c r="D1033">
        <f>VLOOKUP(Table2[[#This Row],[Customer ID]],Table2[#All],3,FALSE)</f>
        <v>4.07</v>
      </c>
      <c r="E1033" t="str">
        <f>VLOOKUP(Table2[[#This Row],[Customer ID]],Table2[#All],4,FALSE)</f>
        <v>Yes</v>
      </c>
      <c r="F1033" t="str">
        <f>VLOOKUP(Table2[[#This Row],[Customer ID]],Table2[#All],5,FALSE)</f>
        <v>No</v>
      </c>
      <c r="G1033" t="str">
        <f>VLOOKUP(Table2[[#This Row],[Customer ID]],Table2[#All],6,FALSE)</f>
        <v>Yes</v>
      </c>
      <c r="H1033">
        <f>VLOOKUP(Table2[[#This Row],[Customer ID]],Table2[#All],7,FALSE)</f>
        <v>1</v>
      </c>
      <c r="I1033" t="str">
        <f>VLOOKUP(Table2[[#This Row],[Customer ID]],Table2[#All],8,FALSE)</f>
        <v>No</v>
      </c>
      <c r="J1033" t="str">
        <f>VLOOKUP(Table2[[#This Row],[Customer ID]],Table2[#All],9,FALSE)</f>
        <v>Normalweight</v>
      </c>
      <c r="K1033" t="str">
        <f>VLOOKUP(Table2[[#This Row],[Customer ID]],Table2[#All],10,FALSE)</f>
        <v>Normal</v>
      </c>
    </row>
    <row r="1034" spans="1:11" ht="15.6" x14ac:dyDescent="0.3">
      <c r="A1034" s="1" t="s">
        <v>1338</v>
      </c>
      <c r="B1034" t="str">
        <f>VLOOKUP('Customer Names'!A1034,'Customer Names'!$A$1:$E$2336,4,FALSE)</f>
        <v>Ms.  Abby A.</v>
      </c>
      <c r="C1034">
        <f>VLOOKUP(Table2[[#This Row],[Customer ID]],Table2[#All],2,FALSE)</f>
        <v>31.9</v>
      </c>
      <c r="D1034">
        <f>VLOOKUP(Table2[[#This Row],[Customer ID]],Table2[#All],3,FALSE)</f>
        <v>8.34</v>
      </c>
      <c r="E1034" t="str">
        <f>VLOOKUP(Table2[[#This Row],[Customer ID]],Table2[#All],4,FALSE)</f>
        <v>No</v>
      </c>
      <c r="F1034" t="str">
        <f>VLOOKUP(Table2[[#This Row],[Customer ID]],Table2[#All],5,FALSE)</f>
        <v>No</v>
      </c>
      <c r="G1034" t="str">
        <f>VLOOKUP(Table2[[#This Row],[Customer ID]],Table2[#All],6,FALSE)</f>
        <v>No</v>
      </c>
      <c r="H1034">
        <f>VLOOKUP(Table2[[#This Row],[Customer ID]],Table2[#All],7,FALSE)</f>
        <v>0</v>
      </c>
      <c r="I1034" t="str">
        <f>VLOOKUP(Table2[[#This Row],[Customer ID]],Table2[#All],8,FALSE)</f>
        <v>No</v>
      </c>
      <c r="J1034" t="str">
        <f>VLOOKUP(Table2[[#This Row],[Customer ID]],Table2[#All],9,FALSE)</f>
        <v>Obesity</v>
      </c>
      <c r="K1034" t="str">
        <f>VLOOKUP(Table2[[#This Row],[Customer ID]],Table2[#All],10,FALSE)</f>
        <v>Diabetes</v>
      </c>
    </row>
    <row r="1035" spans="1:11" ht="15.6" x14ac:dyDescent="0.3">
      <c r="A1035" s="1" t="s">
        <v>1337</v>
      </c>
      <c r="B1035" t="str">
        <f>VLOOKUP('Customer Names'!A1035,'Customer Names'!$A$1:$E$2336,4,FALSE)</f>
        <v>Ms.  Michelle</v>
      </c>
      <c r="C1035">
        <f>VLOOKUP(Table2[[#This Row],[Customer ID]],Table2[#All],2,FALSE)</f>
        <v>32.68</v>
      </c>
      <c r="D1035">
        <f>VLOOKUP(Table2[[#This Row],[Customer ID]],Table2[#All],3,FALSE)</f>
        <v>7.41</v>
      </c>
      <c r="E1035" t="str">
        <f>VLOOKUP(Table2[[#This Row],[Customer ID]],Table2[#All],4,FALSE)</f>
        <v>No</v>
      </c>
      <c r="F1035" t="str">
        <f>VLOOKUP(Table2[[#This Row],[Customer ID]],Table2[#All],5,FALSE)</f>
        <v>No</v>
      </c>
      <c r="G1035" t="str">
        <f>VLOOKUP(Table2[[#This Row],[Customer ID]],Table2[#All],6,FALSE)</f>
        <v>No</v>
      </c>
      <c r="H1035">
        <f>VLOOKUP(Table2[[#This Row],[Customer ID]],Table2[#All],7,FALSE)</f>
        <v>0</v>
      </c>
      <c r="I1035" t="str">
        <f>VLOOKUP(Table2[[#This Row],[Customer ID]],Table2[#All],8,FALSE)</f>
        <v>No</v>
      </c>
      <c r="J1035" t="str">
        <f>VLOOKUP(Table2[[#This Row],[Customer ID]],Table2[#All],9,FALSE)</f>
        <v>Obesity</v>
      </c>
      <c r="K1035" t="str">
        <f>VLOOKUP(Table2[[#This Row],[Customer ID]],Table2[#All],10,FALSE)</f>
        <v>Diabetes</v>
      </c>
    </row>
    <row r="1036" spans="1:11" ht="15.6" x14ac:dyDescent="0.3">
      <c r="A1036" s="1" t="s">
        <v>1336</v>
      </c>
      <c r="B1036" t="str">
        <f>VLOOKUP('Customer Names'!A1036,'Customer Names'!$A$1:$E$2336,4,FALSE)</f>
        <v>Ms.  Mckendree</v>
      </c>
      <c r="C1036">
        <f>VLOOKUP(Table2[[#This Row],[Customer ID]],Table2[#All],2,FALSE)</f>
        <v>47.13</v>
      </c>
      <c r="D1036">
        <f>VLOOKUP(Table2[[#This Row],[Customer ID]],Table2[#All],3,FALSE)</f>
        <v>4.3099999999999996</v>
      </c>
      <c r="E1036" t="str">
        <f>VLOOKUP(Table2[[#This Row],[Customer ID]],Table2[#All],4,FALSE)</f>
        <v>No</v>
      </c>
      <c r="F1036" t="str">
        <f>VLOOKUP(Table2[[#This Row],[Customer ID]],Table2[#All],5,FALSE)</f>
        <v>No</v>
      </c>
      <c r="G1036" t="str">
        <f>VLOOKUP(Table2[[#This Row],[Customer ID]],Table2[#All],6,FALSE)</f>
        <v>No</v>
      </c>
      <c r="H1036">
        <f>VLOOKUP(Table2[[#This Row],[Customer ID]],Table2[#All],7,FALSE)</f>
        <v>0</v>
      </c>
      <c r="I1036" t="str">
        <f>VLOOKUP(Table2[[#This Row],[Customer ID]],Table2[#All],8,FALSE)</f>
        <v>No</v>
      </c>
      <c r="J1036" t="str">
        <f>VLOOKUP(Table2[[#This Row],[Customer ID]],Table2[#All],9,FALSE)</f>
        <v>Obesity</v>
      </c>
      <c r="K1036" t="str">
        <f>VLOOKUP(Table2[[#This Row],[Customer ID]],Table2[#All],10,FALSE)</f>
        <v>Normal</v>
      </c>
    </row>
    <row r="1037" spans="1:11" ht="15.6" x14ac:dyDescent="0.3">
      <c r="A1037" s="1" t="s">
        <v>1335</v>
      </c>
      <c r="B1037" t="str">
        <f>VLOOKUP('Customer Names'!A1037,'Customer Names'!$A$1:$E$2336,4,FALSE)</f>
        <v>Ms.  Tara</v>
      </c>
      <c r="C1037">
        <f>VLOOKUP(Table2[[#This Row],[Customer ID]],Table2[#All],2,FALSE)</f>
        <v>36.67</v>
      </c>
      <c r="D1037">
        <f>VLOOKUP(Table2[[#This Row],[Customer ID]],Table2[#All],3,FALSE)</f>
        <v>10.83</v>
      </c>
      <c r="E1037" t="str">
        <f>VLOOKUP(Table2[[#This Row],[Customer ID]],Table2[#All],4,FALSE)</f>
        <v>No</v>
      </c>
      <c r="F1037" t="str">
        <f>VLOOKUP(Table2[[#This Row],[Customer ID]],Table2[#All],5,FALSE)</f>
        <v>No</v>
      </c>
      <c r="G1037" t="str">
        <f>VLOOKUP(Table2[[#This Row],[Customer ID]],Table2[#All],6,FALSE)</f>
        <v>No</v>
      </c>
      <c r="H1037">
        <f>VLOOKUP(Table2[[#This Row],[Customer ID]],Table2[#All],7,FALSE)</f>
        <v>0</v>
      </c>
      <c r="I1037" t="str">
        <f>VLOOKUP(Table2[[#This Row],[Customer ID]],Table2[#All],8,FALSE)</f>
        <v>No</v>
      </c>
      <c r="J1037" t="str">
        <f>VLOOKUP(Table2[[#This Row],[Customer ID]],Table2[#All],9,FALSE)</f>
        <v>Obesity</v>
      </c>
      <c r="K1037" t="str">
        <f>VLOOKUP(Table2[[#This Row],[Customer ID]],Table2[#All],10,FALSE)</f>
        <v>Diabetes</v>
      </c>
    </row>
    <row r="1038" spans="1:11" ht="15.6" x14ac:dyDescent="0.3">
      <c r="A1038" s="1" t="s">
        <v>1334</v>
      </c>
      <c r="B1038" t="str">
        <f>VLOOKUP('Customer Names'!A1038,'Customer Names'!$A$1:$E$2336,4,FALSE)</f>
        <v>Mr.  Daniel</v>
      </c>
      <c r="C1038">
        <f>VLOOKUP(Table2[[#This Row],[Customer ID]],Table2[#All],2,FALSE)</f>
        <v>33.630000000000003</v>
      </c>
      <c r="D1038">
        <f>VLOOKUP(Table2[[#This Row],[Customer ID]],Table2[#All],3,FALSE)</f>
        <v>11.31</v>
      </c>
      <c r="E1038" t="str">
        <f>VLOOKUP(Table2[[#This Row],[Customer ID]],Table2[#All],4,FALSE)</f>
        <v>No</v>
      </c>
      <c r="F1038" t="str">
        <f>VLOOKUP(Table2[[#This Row],[Customer ID]],Table2[#All],5,FALSE)</f>
        <v>No</v>
      </c>
      <c r="G1038" t="str">
        <f>VLOOKUP(Table2[[#This Row],[Customer ID]],Table2[#All],6,FALSE)</f>
        <v>No</v>
      </c>
      <c r="H1038">
        <f>VLOOKUP(Table2[[#This Row],[Customer ID]],Table2[#All],7,FALSE)</f>
        <v>0</v>
      </c>
      <c r="I1038" t="str">
        <f>VLOOKUP(Table2[[#This Row],[Customer ID]],Table2[#All],8,FALSE)</f>
        <v>No</v>
      </c>
      <c r="J1038" t="str">
        <f>VLOOKUP(Table2[[#This Row],[Customer ID]],Table2[#All],9,FALSE)</f>
        <v>Obesity</v>
      </c>
      <c r="K1038" t="str">
        <f>VLOOKUP(Table2[[#This Row],[Customer ID]],Table2[#All],10,FALSE)</f>
        <v>Diabetes</v>
      </c>
    </row>
    <row r="1039" spans="1:11" ht="15.6" x14ac:dyDescent="0.3">
      <c r="A1039" s="1" t="s">
        <v>1333</v>
      </c>
      <c r="B1039" t="str">
        <f>VLOOKUP('Customer Names'!A1039,'Customer Names'!$A$1:$E$2336,4,FALSE)</f>
        <v>Mr.  Joshua P</v>
      </c>
      <c r="C1039">
        <f>VLOOKUP(Table2[[#This Row],[Customer ID]],Table2[#All],2,FALSE)</f>
        <v>32.67</v>
      </c>
      <c r="D1039">
        <f>VLOOKUP(Table2[[#This Row],[Customer ID]],Table2[#All],3,FALSE)</f>
        <v>11.81</v>
      </c>
      <c r="E1039" t="str">
        <f>VLOOKUP(Table2[[#This Row],[Customer ID]],Table2[#All],4,FALSE)</f>
        <v>Yes</v>
      </c>
      <c r="F1039" t="str">
        <f>VLOOKUP(Table2[[#This Row],[Customer ID]],Table2[#All],5,FALSE)</f>
        <v>No</v>
      </c>
      <c r="G1039" t="str">
        <f>VLOOKUP(Table2[[#This Row],[Customer ID]],Table2[#All],6,FALSE)</f>
        <v>No</v>
      </c>
      <c r="H1039">
        <f>VLOOKUP(Table2[[#This Row],[Customer ID]],Table2[#All],7,FALSE)</f>
        <v>0</v>
      </c>
      <c r="I1039" t="str">
        <f>VLOOKUP(Table2[[#This Row],[Customer ID]],Table2[#All],8,FALSE)</f>
        <v>No</v>
      </c>
      <c r="J1039" t="str">
        <f>VLOOKUP(Table2[[#This Row],[Customer ID]],Table2[#All],9,FALSE)</f>
        <v>Obesity</v>
      </c>
      <c r="K1039" t="str">
        <f>VLOOKUP(Table2[[#This Row],[Customer ID]],Table2[#All],10,FALSE)</f>
        <v>Diabetes</v>
      </c>
    </row>
    <row r="1040" spans="1:11" ht="15.6" x14ac:dyDescent="0.3">
      <c r="A1040" s="1" t="s">
        <v>1332</v>
      </c>
      <c r="B1040" t="str">
        <f>VLOOKUP('Customer Names'!A1040,'Customer Names'!$A$1:$E$2336,4,FALSE)</f>
        <v>Ms.  Erin C</v>
      </c>
      <c r="C1040">
        <f>VLOOKUP(Table2[[#This Row],[Customer ID]],Table2[#All],2,FALSE)</f>
        <v>33.299999999999997</v>
      </c>
      <c r="D1040">
        <f>VLOOKUP(Table2[[#This Row],[Customer ID]],Table2[#All],3,FALSE)</f>
        <v>8.26</v>
      </c>
      <c r="E1040" t="str">
        <f>VLOOKUP(Table2[[#This Row],[Customer ID]],Table2[#All],4,FALSE)</f>
        <v>Yes</v>
      </c>
      <c r="F1040" t="str">
        <f>VLOOKUP(Table2[[#This Row],[Customer ID]],Table2[#All],5,FALSE)</f>
        <v>No</v>
      </c>
      <c r="G1040" t="str">
        <f>VLOOKUP(Table2[[#This Row],[Customer ID]],Table2[#All],6,FALSE)</f>
        <v>No</v>
      </c>
      <c r="H1040">
        <f>VLOOKUP(Table2[[#This Row],[Customer ID]],Table2[#All],7,FALSE)</f>
        <v>2</v>
      </c>
      <c r="I1040" t="str">
        <f>VLOOKUP(Table2[[#This Row],[Customer ID]],Table2[#All],8,FALSE)</f>
        <v>No</v>
      </c>
      <c r="J1040" t="str">
        <f>VLOOKUP(Table2[[#This Row],[Customer ID]],Table2[#All],9,FALSE)</f>
        <v>Obesity</v>
      </c>
      <c r="K1040" t="str">
        <f>VLOOKUP(Table2[[#This Row],[Customer ID]],Table2[#All],10,FALSE)</f>
        <v>Diabetes</v>
      </c>
    </row>
    <row r="1041" spans="1:11" ht="15.6" x14ac:dyDescent="0.3">
      <c r="A1041" s="1" t="s">
        <v>1331</v>
      </c>
      <c r="B1041" t="str">
        <f>VLOOKUP('Customer Names'!A1041,'Customer Names'!$A$1:$E$2336,4,FALSE)</f>
        <v>Ms.  Shure</v>
      </c>
      <c r="C1041">
        <f>VLOOKUP(Table2[[#This Row],[Customer ID]],Table2[#All],2,FALSE)</f>
        <v>30.78</v>
      </c>
      <c r="D1041">
        <f>VLOOKUP(Table2[[#This Row],[Customer ID]],Table2[#All],3,FALSE)</f>
        <v>10.74</v>
      </c>
      <c r="E1041" t="str">
        <f>VLOOKUP(Table2[[#This Row],[Customer ID]],Table2[#All],4,FALSE)</f>
        <v>Yes</v>
      </c>
      <c r="F1041" t="str">
        <f>VLOOKUP(Table2[[#This Row],[Customer ID]],Table2[#All],5,FALSE)</f>
        <v>No</v>
      </c>
      <c r="G1041" t="str">
        <f>VLOOKUP(Table2[[#This Row],[Customer ID]],Table2[#All],6,FALSE)</f>
        <v>No</v>
      </c>
      <c r="H1041">
        <f>VLOOKUP(Table2[[#This Row],[Customer ID]],Table2[#All],7,FALSE)</f>
        <v>2</v>
      </c>
      <c r="I1041" t="str">
        <f>VLOOKUP(Table2[[#This Row],[Customer ID]],Table2[#All],8,FALSE)</f>
        <v>No</v>
      </c>
      <c r="J1041" t="str">
        <f>VLOOKUP(Table2[[#This Row],[Customer ID]],Table2[#All],9,FALSE)</f>
        <v>Obesity</v>
      </c>
      <c r="K1041" t="str">
        <f>VLOOKUP(Table2[[#This Row],[Customer ID]],Table2[#All],10,FALSE)</f>
        <v>Diabetes</v>
      </c>
    </row>
    <row r="1042" spans="1:11" ht="15.6" x14ac:dyDescent="0.3">
      <c r="A1042" s="1" t="s">
        <v>1330</v>
      </c>
      <c r="B1042" t="str">
        <f>VLOOKUP('Customer Names'!A1042,'Customer Names'!$A$1:$E$2336,4,FALSE)</f>
        <v>Mr.  Richard</v>
      </c>
      <c r="C1042">
        <f>VLOOKUP(Table2[[#This Row],[Customer ID]],Table2[#All],2,FALSE)</f>
        <v>28.975000000000001</v>
      </c>
      <c r="D1042">
        <f>VLOOKUP(Table2[[#This Row],[Customer ID]],Table2[#All],3,FALSE)</f>
        <v>7.69</v>
      </c>
      <c r="E1042" t="str">
        <f>VLOOKUP(Table2[[#This Row],[Customer ID]],Table2[#All],4,FALSE)</f>
        <v>Yes</v>
      </c>
      <c r="F1042" t="str">
        <f>VLOOKUP(Table2[[#This Row],[Customer ID]],Table2[#All],5,FALSE)</f>
        <v>No</v>
      </c>
      <c r="G1042" t="str">
        <f>VLOOKUP(Table2[[#This Row],[Customer ID]],Table2[#All],6,FALSE)</f>
        <v>No</v>
      </c>
      <c r="H1042">
        <f>VLOOKUP(Table2[[#This Row],[Customer ID]],Table2[#All],7,FALSE)</f>
        <v>0</v>
      </c>
      <c r="I1042" t="str">
        <f>VLOOKUP(Table2[[#This Row],[Customer ID]],Table2[#All],8,FALSE)</f>
        <v>No</v>
      </c>
      <c r="J1042" t="str">
        <f>VLOOKUP(Table2[[#This Row],[Customer ID]],Table2[#All],9,FALSE)</f>
        <v>Overweight</v>
      </c>
      <c r="K1042" t="str">
        <f>VLOOKUP(Table2[[#This Row],[Customer ID]],Table2[#All],10,FALSE)</f>
        <v>Diabetes</v>
      </c>
    </row>
    <row r="1043" spans="1:11" ht="15.6" x14ac:dyDescent="0.3">
      <c r="A1043" s="1" t="s">
        <v>1329</v>
      </c>
      <c r="B1043" t="str">
        <f>VLOOKUP('Customer Names'!A1043,'Customer Names'!$A$1:$E$2336,4,FALSE)</f>
        <v>Ms.  Brenda</v>
      </c>
      <c r="C1043">
        <f>VLOOKUP(Table2[[#This Row],[Customer ID]],Table2[#All],2,FALSE)</f>
        <v>33.4</v>
      </c>
      <c r="D1043">
        <f>VLOOKUP(Table2[[#This Row],[Customer ID]],Table2[#All],3,FALSE)</f>
        <v>4.84</v>
      </c>
      <c r="E1043" t="str">
        <f>VLOOKUP(Table2[[#This Row],[Customer ID]],Table2[#All],4,FALSE)</f>
        <v>No</v>
      </c>
      <c r="F1043" t="str">
        <f>VLOOKUP(Table2[[#This Row],[Customer ID]],Table2[#All],5,FALSE)</f>
        <v>No</v>
      </c>
      <c r="G1043" t="str">
        <f>VLOOKUP(Table2[[#This Row],[Customer ID]],Table2[#All],6,FALSE)</f>
        <v>No</v>
      </c>
      <c r="H1043">
        <f>VLOOKUP(Table2[[#This Row],[Customer ID]],Table2[#All],7,FALSE)</f>
        <v>0</v>
      </c>
      <c r="I1043" t="str">
        <f>VLOOKUP(Table2[[#This Row],[Customer ID]],Table2[#All],8,FALSE)</f>
        <v>No</v>
      </c>
      <c r="J1043" t="str">
        <f>VLOOKUP(Table2[[#This Row],[Customer ID]],Table2[#All],9,FALSE)</f>
        <v>Obesity</v>
      </c>
      <c r="K1043" t="str">
        <f>VLOOKUP(Table2[[#This Row],[Customer ID]],Table2[#All],10,FALSE)</f>
        <v>Normal</v>
      </c>
    </row>
    <row r="1044" spans="1:11" ht="15.6" x14ac:dyDescent="0.3">
      <c r="A1044" s="1" t="s">
        <v>1328</v>
      </c>
      <c r="B1044" t="str">
        <f>VLOOKUP('Customer Names'!A1044,'Customer Names'!$A$1:$E$2336,4,FALSE)</f>
        <v>Mr.  Joseph M</v>
      </c>
      <c r="C1044">
        <f>VLOOKUP(Table2[[#This Row],[Customer ID]],Table2[#All],2,FALSE)</f>
        <v>21.5</v>
      </c>
      <c r="D1044">
        <f>VLOOKUP(Table2[[#This Row],[Customer ID]],Table2[#All],3,FALSE)</f>
        <v>9.77</v>
      </c>
      <c r="E1044" t="str">
        <f>VLOOKUP(Table2[[#This Row],[Customer ID]],Table2[#All],4,FALSE)</f>
        <v>Yes</v>
      </c>
      <c r="F1044" t="str">
        <f>VLOOKUP(Table2[[#This Row],[Customer ID]],Table2[#All],5,FALSE)</f>
        <v>No</v>
      </c>
      <c r="G1044" t="str">
        <f>VLOOKUP(Table2[[#This Row],[Customer ID]],Table2[#All],6,FALSE)</f>
        <v>No</v>
      </c>
      <c r="H1044">
        <f>VLOOKUP(Table2[[#This Row],[Customer ID]],Table2[#All],7,FALSE)</f>
        <v>0</v>
      </c>
      <c r="I1044" t="str">
        <f>VLOOKUP(Table2[[#This Row],[Customer ID]],Table2[#All],8,FALSE)</f>
        <v>No</v>
      </c>
      <c r="J1044" t="str">
        <f>VLOOKUP(Table2[[#This Row],[Customer ID]],Table2[#All],9,FALSE)</f>
        <v>Normalweight</v>
      </c>
      <c r="K1044" t="str">
        <f>VLOOKUP(Table2[[#This Row],[Customer ID]],Table2[#All],10,FALSE)</f>
        <v>Diabetes</v>
      </c>
    </row>
    <row r="1045" spans="1:11" ht="15.6" x14ac:dyDescent="0.3">
      <c r="A1045" s="1" t="s">
        <v>1327</v>
      </c>
      <c r="B1045" t="str">
        <f>VLOOKUP('Customer Names'!A1045,'Customer Names'!$A$1:$E$2336,4,FALSE)</f>
        <v>Mr.  Stephen J.</v>
      </c>
      <c r="C1045">
        <f>VLOOKUP(Table2[[#This Row],[Customer ID]],Table2[#All],2,FALSE)</f>
        <v>38.14</v>
      </c>
      <c r="D1045">
        <f>VLOOKUP(Table2[[#This Row],[Customer ID]],Table2[#All],3,FALSE)</f>
        <v>5.84</v>
      </c>
      <c r="E1045" t="str">
        <f>VLOOKUP(Table2[[#This Row],[Customer ID]],Table2[#All],4,FALSE)</f>
        <v>No</v>
      </c>
      <c r="F1045" t="str">
        <f>VLOOKUP(Table2[[#This Row],[Customer ID]],Table2[#All],5,FALSE)</f>
        <v>No</v>
      </c>
      <c r="G1045" t="str">
        <f>VLOOKUP(Table2[[#This Row],[Customer ID]],Table2[#All],6,FALSE)</f>
        <v>No</v>
      </c>
      <c r="H1045">
        <f>VLOOKUP(Table2[[#This Row],[Customer ID]],Table2[#All],7,FALSE)</f>
        <v>0</v>
      </c>
      <c r="I1045" t="str">
        <f>VLOOKUP(Table2[[#This Row],[Customer ID]],Table2[#All],8,FALSE)</f>
        <v>No</v>
      </c>
      <c r="J1045" t="str">
        <f>VLOOKUP(Table2[[#This Row],[Customer ID]],Table2[#All],9,FALSE)</f>
        <v>Obesity</v>
      </c>
      <c r="K1045" t="str">
        <f>VLOOKUP(Table2[[#This Row],[Customer ID]],Table2[#All],10,FALSE)</f>
        <v>Prediabetes</v>
      </c>
    </row>
    <row r="1046" spans="1:11" ht="15.6" x14ac:dyDescent="0.3">
      <c r="A1046" s="1" t="s">
        <v>1326</v>
      </c>
      <c r="B1046" t="str">
        <f>VLOOKUP('Customer Names'!A1046,'Customer Names'!$A$1:$E$2336,4,FALSE)</f>
        <v>Mrs.  Kathya</v>
      </c>
      <c r="C1046">
        <f>VLOOKUP(Table2[[#This Row],[Customer ID]],Table2[#All],2,FALSE)</f>
        <v>35.42</v>
      </c>
      <c r="D1046">
        <f>VLOOKUP(Table2[[#This Row],[Customer ID]],Table2[#All],3,FALSE)</f>
        <v>8.6999999999999993</v>
      </c>
      <c r="E1046" t="str">
        <f>VLOOKUP(Table2[[#This Row],[Customer ID]],Table2[#All],4,FALSE)</f>
        <v>Yes</v>
      </c>
      <c r="F1046" t="str">
        <f>VLOOKUP(Table2[[#This Row],[Customer ID]],Table2[#All],5,FALSE)</f>
        <v>No</v>
      </c>
      <c r="G1046" t="str">
        <f>VLOOKUP(Table2[[#This Row],[Customer ID]],Table2[#All],6,FALSE)</f>
        <v>No</v>
      </c>
      <c r="H1046">
        <f>VLOOKUP(Table2[[#This Row],[Customer ID]],Table2[#All],7,FALSE)</f>
        <v>1</v>
      </c>
      <c r="I1046" t="str">
        <f>VLOOKUP(Table2[[#This Row],[Customer ID]],Table2[#All],8,FALSE)</f>
        <v>No</v>
      </c>
      <c r="J1046" t="str">
        <f>VLOOKUP(Table2[[#This Row],[Customer ID]],Table2[#All],9,FALSE)</f>
        <v>Obesity</v>
      </c>
      <c r="K1046" t="str">
        <f>VLOOKUP(Table2[[#This Row],[Customer ID]],Table2[#All],10,FALSE)</f>
        <v>Diabetes</v>
      </c>
    </row>
    <row r="1047" spans="1:11" ht="15.6" x14ac:dyDescent="0.3">
      <c r="A1047" s="1" t="s">
        <v>1325</v>
      </c>
      <c r="B1047" t="str">
        <f>VLOOKUP('Customer Names'!A1047,'Customer Names'!$A$1:$E$2336,4,FALSE)</f>
        <v>Mr.  Wesley</v>
      </c>
      <c r="C1047">
        <f>VLOOKUP(Table2[[#This Row],[Customer ID]],Table2[#All],2,FALSE)</f>
        <v>35.625</v>
      </c>
      <c r="D1047">
        <f>VLOOKUP(Table2[[#This Row],[Customer ID]],Table2[#All],3,FALSE)</f>
        <v>10.79</v>
      </c>
      <c r="E1047" t="str">
        <f>VLOOKUP(Table2[[#This Row],[Customer ID]],Table2[#All],4,FALSE)</f>
        <v>No</v>
      </c>
      <c r="F1047" t="str">
        <f>VLOOKUP(Table2[[#This Row],[Customer ID]],Table2[#All],5,FALSE)</f>
        <v>No</v>
      </c>
      <c r="G1047" t="str">
        <f>VLOOKUP(Table2[[#This Row],[Customer ID]],Table2[#All],6,FALSE)</f>
        <v>No</v>
      </c>
      <c r="H1047">
        <f>VLOOKUP(Table2[[#This Row],[Customer ID]],Table2[#All],7,FALSE)</f>
        <v>0</v>
      </c>
      <c r="I1047" t="str">
        <f>VLOOKUP(Table2[[#This Row],[Customer ID]],Table2[#All],8,FALSE)</f>
        <v>No</v>
      </c>
      <c r="J1047" t="str">
        <f>VLOOKUP(Table2[[#This Row],[Customer ID]],Table2[#All],9,FALSE)</f>
        <v>Obesity</v>
      </c>
      <c r="K1047" t="str">
        <f>VLOOKUP(Table2[[#This Row],[Customer ID]],Table2[#All],10,FALSE)</f>
        <v>Diabetes</v>
      </c>
    </row>
    <row r="1048" spans="1:11" ht="15.6" x14ac:dyDescent="0.3">
      <c r="A1048" s="1" t="s">
        <v>1324</v>
      </c>
      <c r="B1048" t="str">
        <f>VLOOKUP('Customer Names'!A1048,'Customer Names'!$A$1:$E$2336,4,FALSE)</f>
        <v>Mr.  Tim</v>
      </c>
      <c r="C1048">
        <f>VLOOKUP(Table2[[#This Row],[Customer ID]],Table2[#All],2,FALSE)</f>
        <v>45.51</v>
      </c>
      <c r="D1048">
        <f>VLOOKUP(Table2[[#This Row],[Customer ID]],Table2[#All],3,FALSE)</f>
        <v>4.32</v>
      </c>
      <c r="E1048" t="str">
        <f>VLOOKUP(Table2[[#This Row],[Customer ID]],Table2[#All],4,FALSE)</f>
        <v>No</v>
      </c>
      <c r="F1048" t="str">
        <f>VLOOKUP(Table2[[#This Row],[Customer ID]],Table2[#All],5,FALSE)</f>
        <v>No</v>
      </c>
      <c r="G1048" t="str">
        <f>VLOOKUP(Table2[[#This Row],[Customer ID]],Table2[#All],6,FALSE)</f>
        <v>No</v>
      </c>
      <c r="H1048">
        <f>VLOOKUP(Table2[[#This Row],[Customer ID]],Table2[#All],7,FALSE)</f>
        <v>1</v>
      </c>
      <c r="I1048" t="str">
        <f>VLOOKUP(Table2[[#This Row],[Customer ID]],Table2[#All],8,FALSE)</f>
        <v>No</v>
      </c>
      <c r="J1048" t="str">
        <f>VLOOKUP(Table2[[#This Row],[Customer ID]],Table2[#All],9,FALSE)</f>
        <v>Obesity</v>
      </c>
      <c r="K1048" t="str">
        <f>VLOOKUP(Table2[[#This Row],[Customer ID]],Table2[#All],10,FALSE)</f>
        <v>Normal</v>
      </c>
    </row>
    <row r="1049" spans="1:11" ht="15.6" x14ac:dyDescent="0.3">
      <c r="A1049" s="1" t="s">
        <v>1323</v>
      </c>
      <c r="B1049" t="str">
        <f>VLOOKUP('Customer Names'!A1049,'Customer Names'!$A$1:$E$2336,4,FALSE)</f>
        <v>Ms.  Jamie L.</v>
      </c>
      <c r="C1049">
        <f>VLOOKUP(Table2[[#This Row],[Customer ID]],Table2[#All],2,FALSE)</f>
        <v>37.1</v>
      </c>
      <c r="D1049">
        <f>VLOOKUP(Table2[[#This Row],[Customer ID]],Table2[#All],3,FALSE)</f>
        <v>7.19</v>
      </c>
      <c r="E1049" t="str">
        <f>VLOOKUP(Table2[[#This Row],[Customer ID]],Table2[#All],4,FALSE)</f>
        <v>Yes</v>
      </c>
      <c r="F1049" t="str">
        <f>VLOOKUP(Table2[[#This Row],[Customer ID]],Table2[#All],5,FALSE)</f>
        <v>No</v>
      </c>
      <c r="G1049" t="str">
        <f>VLOOKUP(Table2[[#This Row],[Customer ID]],Table2[#All],6,FALSE)</f>
        <v>No</v>
      </c>
      <c r="H1049">
        <f>VLOOKUP(Table2[[#This Row],[Customer ID]],Table2[#All],7,FALSE)</f>
        <v>0</v>
      </c>
      <c r="I1049" t="str">
        <f>VLOOKUP(Table2[[#This Row],[Customer ID]],Table2[#All],8,FALSE)</f>
        <v>No</v>
      </c>
      <c r="J1049" t="str">
        <f>VLOOKUP(Table2[[#This Row],[Customer ID]],Table2[#All],9,FALSE)</f>
        <v>Obesity</v>
      </c>
      <c r="K1049" t="str">
        <f>VLOOKUP(Table2[[#This Row],[Customer ID]],Table2[#All],10,FALSE)</f>
        <v>Diabetes</v>
      </c>
    </row>
    <row r="1050" spans="1:11" ht="15.6" x14ac:dyDescent="0.3">
      <c r="A1050" s="1" t="s">
        <v>1322</v>
      </c>
      <c r="B1050" t="str">
        <f>VLOOKUP('Customer Names'!A1050,'Customer Names'!$A$1:$E$2336,4,FALSE)</f>
        <v>Ms.  Alexandra</v>
      </c>
      <c r="C1050">
        <f>VLOOKUP(Table2[[#This Row],[Customer ID]],Table2[#All],2,FALSE)</f>
        <v>30.5</v>
      </c>
      <c r="D1050">
        <f>VLOOKUP(Table2[[#This Row],[Customer ID]],Table2[#All],3,FALSE)</f>
        <v>11.94</v>
      </c>
      <c r="E1050" t="str">
        <f>VLOOKUP(Table2[[#This Row],[Customer ID]],Table2[#All],4,FALSE)</f>
        <v>Yes</v>
      </c>
      <c r="F1050" t="str">
        <f>VLOOKUP(Table2[[#This Row],[Customer ID]],Table2[#All],5,FALSE)</f>
        <v>No</v>
      </c>
      <c r="G1050" t="str">
        <f>VLOOKUP(Table2[[#This Row],[Customer ID]],Table2[#All],6,FALSE)</f>
        <v>No</v>
      </c>
      <c r="H1050">
        <f>VLOOKUP(Table2[[#This Row],[Customer ID]],Table2[#All],7,FALSE)</f>
        <v>0</v>
      </c>
      <c r="I1050" t="str">
        <f>VLOOKUP(Table2[[#This Row],[Customer ID]],Table2[#All],8,FALSE)</f>
        <v>No</v>
      </c>
      <c r="J1050" t="str">
        <f>VLOOKUP(Table2[[#This Row],[Customer ID]],Table2[#All],9,FALSE)</f>
        <v>Obesity</v>
      </c>
      <c r="K1050" t="str">
        <f>VLOOKUP(Table2[[#This Row],[Customer ID]],Table2[#All],10,FALSE)</f>
        <v>Diabetes</v>
      </c>
    </row>
    <row r="1051" spans="1:11" ht="15.6" x14ac:dyDescent="0.3">
      <c r="A1051" s="1" t="s">
        <v>1321</v>
      </c>
      <c r="B1051" t="str">
        <f>VLOOKUP('Customer Names'!A1051,'Customer Names'!$A$1:$E$2336,4,FALSE)</f>
        <v>Ms.  Tiffany</v>
      </c>
      <c r="C1051">
        <f>VLOOKUP(Table2[[#This Row],[Customer ID]],Table2[#All],2,FALSE)</f>
        <v>28.16</v>
      </c>
      <c r="D1051">
        <f>VLOOKUP(Table2[[#This Row],[Customer ID]],Table2[#All],3,FALSE)</f>
        <v>5.56</v>
      </c>
      <c r="E1051" t="str">
        <f>VLOOKUP(Table2[[#This Row],[Customer ID]],Table2[#All],4,FALSE)</f>
        <v>No</v>
      </c>
      <c r="F1051" t="str">
        <f>VLOOKUP(Table2[[#This Row],[Customer ID]],Table2[#All],5,FALSE)</f>
        <v>No</v>
      </c>
      <c r="G1051" t="str">
        <f>VLOOKUP(Table2[[#This Row],[Customer ID]],Table2[#All],6,FALSE)</f>
        <v>No</v>
      </c>
      <c r="H1051">
        <f>VLOOKUP(Table2[[#This Row],[Customer ID]],Table2[#All],7,FALSE)</f>
        <v>2</v>
      </c>
      <c r="I1051" t="str">
        <f>VLOOKUP(Table2[[#This Row],[Customer ID]],Table2[#All],8,FALSE)</f>
        <v>No</v>
      </c>
      <c r="J1051" t="str">
        <f>VLOOKUP(Table2[[#This Row],[Customer ID]],Table2[#All],9,FALSE)</f>
        <v>Overweight</v>
      </c>
      <c r="K1051" t="str">
        <f>VLOOKUP(Table2[[#This Row],[Customer ID]],Table2[#All],10,FALSE)</f>
        <v>Normal</v>
      </c>
    </row>
    <row r="1052" spans="1:11" ht="15.6" x14ac:dyDescent="0.3">
      <c r="A1052" s="1" t="s">
        <v>1320</v>
      </c>
      <c r="B1052" t="str">
        <f>VLOOKUP('Customer Names'!A1052,'Customer Names'!$A$1:$E$2336,4,FALSE)</f>
        <v>Mrs.  Rebecca J</v>
      </c>
      <c r="C1052">
        <f>VLOOKUP(Table2[[#This Row],[Customer ID]],Table2[#All],2,FALSE)</f>
        <v>29.1</v>
      </c>
      <c r="D1052">
        <f>VLOOKUP(Table2[[#This Row],[Customer ID]],Table2[#All],3,FALSE)</f>
        <v>5.64</v>
      </c>
      <c r="E1052" t="str">
        <f>VLOOKUP(Table2[[#This Row],[Customer ID]],Table2[#All],4,FALSE)</f>
        <v>Yes</v>
      </c>
      <c r="F1052" t="str">
        <f>VLOOKUP(Table2[[#This Row],[Customer ID]],Table2[#All],5,FALSE)</f>
        <v>No</v>
      </c>
      <c r="G1052" t="str">
        <f>VLOOKUP(Table2[[#This Row],[Customer ID]],Table2[#All],6,FALSE)</f>
        <v>No</v>
      </c>
      <c r="H1052">
        <f>VLOOKUP(Table2[[#This Row],[Customer ID]],Table2[#All],7,FALSE)</f>
        <v>0</v>
      </c>
      <c r="I1052" t="str">
        <f>VLOOKUP(Table2[[#This Row],[Customer ID]],Table2[#All],8,FALSE)</f>
        <v>No</v>
      </c>
      <c r="J1052" t="str">
        <f>VLOOKUP(Table2[[#This Row],[Customer ID]],Table2[#All],9,FALSE)</f>
        <v>Overweight</v>
      </c>
      <c r="K1052" t="str">
        <f>VLOOKUP(Table2[[#This Row],[Customer ID]],Table2[#All],10,FALSE)</f>
        <v>Normal</v>
      </c>
    </row>
    <row r="1053" spans="1:11" ht="15.6" x14ac:dyDescent="0.3">
      <c r="A1053" s="1" t="s">
        <v>1319</v>
      </c>
      <c r="B1053" t="str">
        <f>VLOOKUP('Customer Names'!A1053,'Customer Names'!$A$1:$E$2336,4,FALSE)</f>
        <v>Mr.  Austin T.</v>
      </c>
      <c r="C1053">
        <f>VLOOKUP(Table2[[#This Row],[Customer ID]],Table2[#All],2,FALSE)</f>
        <v>30.22</v>
      </c>
      <c r="D1053">
        <f>VLOOKUP(Table2[[#This Row],[Customer ID]],Table2[#All],3,FALSE)</f>
        <v>4.6500000000000004</v>
      </c>
      <c r="E1053" t="str">
        <f>VLOOKUP(Table2[[#This Row],[Customer ID]],Table2[#All],4,FALSE)</f>
        <v>No</v>
      </c>
      <c r="F1053" t="str">
        <f>VLOOKUP(Table2[[#This Row],[Customer ID]],Table2[#All],5,FALSE)</f>
        <v>No</v>
      </c>
      <c r="G1053" t="str">
        <f>VLOOKUP(Table2[[#This Row],[Customer ID]],Table2[#All],6,FALSE)</f>
        <v>No</v>
      </c>
      <c r="H1053">
        <f>VLOOKUP(Table2[[#This Row],[Customer ID]],Table2[#All],7,FALSE)</f>
        <v>0</v>
      </c>
      <c r="I1053" t="str">
        <f>VLOOKUP(Table2[[#This Row],[Customer ID]],Table2[#All],8,FALSE)</f>
        <v>No</v>
      </c>
      <c r="J1053" t="str">
        <f>VLOOKUP(Table2[[#This Row],[Customer ID]],Table2[#All],9,FALSE)</f>
        <v>Obesity</v>
      </c>
      <c r="K1053" t="str">
        <f>VLOOKUP(Table2[[#This Row],[Customer ID]],Table2[#All],10,FALSE)</f>
        <v>Normal</v>
      </c>
    </row>
    <row r="1054" spans="1:11" ht="15.6" x14ac:dyDescent="0.3">
      <c r="A1054" s="1" t="s">
        <v>1318</v>
      </c>
      <c r="B1054" t="str">
        <f>VLOOKUP('Customer Names'!A1054,'Customer Names'!$A$1:$E$2336,4,FALSE)</f>
        <v>Ms.  Jamie T</v>
      </c>
      <c r="C1054">
        <f>VLOOKUP(Table2[[#This Row],[Customer ID]],Table2[#All],2,FALSE)</f>
        <v>24.29</v>
      </c>
      <c r="D1054">
        <f>VLOOKUP(Table2[[#This Row],[Customer ID]],Table2[#All],3,FALSE)</f>
        <v>9.0500000000000007</v>
      </c>
      <c r="E1054" t="str">
        <f>VLOOKUP(Table2[[#This Row],[Customer ID]],Table2[#All],4,FALSE)</f>
        <v>No</v>
      </c>
      <c r="F1054" t="str">
        <f>VLOOKUP(Table2[[#This Row],[Customer ID]],Table2[#All],5,FALSE)</f>
        <v>No</v>
      </c>
      <c r="G1054" t="str">
        <f>VLOOKUP(Table2[[#This Row],[Customer ID]],Table2[#All],6,FALSE)</f>
        <v>No</v>
      </c>
      <c r="H1054">
        <f>VLOOKUP(Table2[[#This Row],[Customer ID]],Table2[#All],7,FALSE)</f>
        <v>0</v>
      </c>
      <c r="I1054" t="str">
        <f>VLOOKUP(Table2[[#This Row],[Customer ID]],Table2[#All],8,FALSE)</f>
        <v>No</v>
      </c>
      <c r="J1054" t="str">
        <f>VLOOKUP(Table2[[#This Row],[Customer ID]],Table2[#All],9,FALSE)</f>
        <v>Normalweight</v>
      </c>
      <c r="K1054" t="str">
        <f>VLOOKUP(Table2[[#This Row],[Customer ID]],Table2[#All],10,FALSE)</f>
        <v>Diabetes</v>
      </c>
    </row>
    <row r="1055" spans="1:11" ht="15.6" x14ac:dyDescent="0.3">
      <c r="A1055" s="1" t="s">
        <v>1317</v>
      </c>
      <c r="B1055" t="str">
        <f>VLOOKUP('Customer Names'!A1055,'Customer Names'!$A$1:$E$2336,4,FALSE)</f>
        <v>Mr.  Matthew T.</v>
      </c>
      <c r="C1055">
        <f>VLOOKUP(Table2[[#This Row],[Customer ID]],Table2[#All],2,FALSE)</f>
        <v>29.39</v>
      </c>
      <c r="D1055">
        <f>VLOOKUP(Table2[[#This Row],[Customer ID]],Table2[#All],3,FALSE)</f>
        <v>4.5199999999999996</v>
      </c>
      <c r="E1055" t="str">
        <f>VLOOKUP(Table2[[#This Row],[Customer ID]],Table2[#All],4,FALSE)</f>
        <v>Yes</v>
      </c>
      <c r="F1055" t="str">
        <f>VLOOKUP(Table2[[#This Row],[Customer ID]],Table2[#All],5,FALSE)</f>
        <v>No</v>
      </c>
      <c r="G1055" t="str">
        <f>VLOOKUP(Table2[[#This Row],[Customer ID]],Table2[#All],6,FALSE)</f>
        <v>No</v>
      </c>
      <c r="H1055">
        <f>VLOOKUP(Table2[[#This Row],[Customer ID]],Table2[#All],7,FALSE)</f>
        <v>0</v>
      </c>
      <c r="I1055" t="str">
        <f>VLOOKUP(Table2[[#This Row],[Customer ID]],Table2[#All],8,FALSE)</f>
        <v>No</v>
      </c>
      <c r="J1055" t="str">
        <f>VLOOKUP(Table2[[#This Row],[Customer ID]],Table2[#All],9,FALSE)</f>
        <v>Overweight</v>
      </c>
      <c r="K1055" t="str">
        <f>VLOOKUP(Table2[[#This Row],[Customer ID]],Table2[#All],10,FALSE)</f>
        <v>Normal</v>
      </c>
    </row>
    <row r="1056" spans="1:11" ht="15.6" x14ac:dyDescent="0.3">
      <c r="A1056" s="1" t="s">
        <v>1316</v>
      </c>
      <c r="B1056" t="str">
        <f>VLOOKUP('Customer Names'!A1056,'Customer Names'!$A$1:$E$2336,4,FALSE)</f>
        <v>Mrs.  Emily</v>
      </c>
      <c r="C1056">
        <f>VLOOKUP(Table2[[#This Row],[Customer ID]],Table2[#All],2,FALSE)</f>
        <v>25.66</v>
      </c>
      <c r="D1056">
        <f>VLOOKUP(Table2[[#This Row],[Customer ID]],Table2[#All],3,FALSE)</f>
        <v>4.62</v>
      </c>
      <c r="E1056" t="str">
        <f>VLOOKUP(Table2[[#This Row],[Customer ID]],Table2[#All],4,FALSE)</f>
        <v>Yes</v>
      </c>
      <c r="F1056" t="str">
        <f>VLOOKUP(Table2[[#This Row],[Customer ID]],Table2[#All],5,FALSE)</f>
        <v>No</v>
      </c>
      <c r="G1056" t="str">
        <f>VLOOKUP(Table2[[#This Row],[Customer ID]],Table2[#All],6,FALSE)</f>
        <v>No</v>
      </c>
      <c r="H1056">
        <f>VLOOKUP(Table2[[#This Row],[Customer ID]],Table2[#All],7,FALSE)</f>
        <v>1</v>
      </c>
      <c r="I1056" t="str">
        <f>VLOOKUP(Table2[[#This Row],[Customer ID]],Table2[#All],8,FALSE)</f>
        <v>No</v>
      </c>
      <c r="J1056" t="str">
        <f>VLOOKUP(Table2[[#This Row],[Customer ID]],Table2[#All],9,FALSE)</f>
        <v>Overweight</v>
      </c>
      <c r="K1056" t="str">
        <f>VLOOKUP(Table2[[#This Row],[Customer ID]],Table2[#All],10,FALSE)</f>
        <v>Normal</v>
      </c>
    </row>
    <row r="1057" spans="1:11" ht="15.6" x14ac:dyDescent="0.3">
      <c r="A1057" s="1" t="s">
        <v>1315</v>
      </c>
      <c r="B1057" t="str">
        <f>VLOOKUP('Customer Names'!A1057,'Customer Names'!$A$1:$E$2336,4,FALSE)</f>
        <v>Ms.  Gillian</v>
      </c>
      <c r="C1057">
        <f>VLOOKUP(Table2[[#This Row],[Customer ID]],Table2[#All],2,FALSE)</f>
        <v>39.11</v>
      </c>
      <c r="D1057">
        <f>VLOOKUP(Table2[[#This Row],[Customer ID]],Table2[#All],3,FALSE)</f>
        <v>5.87</v>
      </c>
      <c r="E1057" t="str">
        <f>VLOOKUP(Table2[[#This Row],[Customer ID]],Table2[#All],4,FALSE)</f>
        <v>No</v>
      </c>
      <c r="F1057" t="str">
        <f>VLOOKUP(Table2[[#This Row],[Customer ID]],Table2[#All],5,FALSE)</f>
        <v>No</v>
      </c>
      <c r="G1057" t="str">
        <f>VLOOKUP(Table2[[#This Row],[Customer ID]],Table2[#All],6,FALSE)</f>
        <v>No</v>
      </c>
      <c r="H1057">
        <f>VLOOKUP(Table2[[#This Row],[Customer ID]],Table2[#All],7,FALSE)</f>
        <v>0</v>
      </c>
      <c r="I1057" t="str">
        <f>VLOOKUP(Table2[[#This Row],[Customer ID]],Table2[#All],8,FALSE)</f>
        <v>No</v>
      </c>
      <c r="J1057" t="str">
        <f>VLOOKUP(Table2[[#This Row],[Customer ID]],Table2[#All],9,FALSE)</f>
        <v>Obesity</v>
      </c>
      <c r="K1057" t="str">
        <f>VLOOKUP(Table2[[#This Row],[Customer ID]],Table2[#All],10,FALSE)</f>
        <v>Prediabetes</v>
      </c>
    </row>
    <row r="1058" spans="1:11" ht="15.6" x14ac:dyDescent="0.3">
      <c r="A1058" s="1" t="s">
        <v>1314</v>
      </c>
      <c r="B1058" t="str">
        <f>VLOOKUP('Customer Names'!A1058,'Customer Names'!$A$1:$E$2336,4,FALSE)</f>
        <v>Mrs.  Brenn E.</v>
      </c>
      <c r="C1058">
        <f>VLOOKUP(Table2[[#This Row],[Customer ID]],Table2[#All],2,FALSE)</f>
        <v>43.78</v>
      </c>
      <c r="D1058">
        <f>VLOOKUP(Table2[[#This Row],[Customer ID]],Table2[#All],3,FALSE)</f>
        <v>5.71</v>
      </c>
      <c r="E1058" t="str">
        <f>VLOOKUP(Table2[[#This Row],[Customer ID]],Table2[#All],4,FALSE)</f>
        <v>No</v>
      </c>
      <c r="F1058" t="str">
        <f>VLOOKUP(Table2[[#This Row],[Customer ID]],Table2[#All],5,FALSE)</f>
        <v>No</v>
      </c>
      <c r="G1058" t="str">
        <f>VLOOKUP(Table2[[#This Row],[Customer ID]],Table2[#All],6,FALSE)</f>
        <v>No</v>
      </c>
      <c r="H1058">
        <f>VLOOKUP(Table2[[#This Row],[Customer ID]],Table2[#All],7,FALSE)</f>
        <v>1</v>
      </c>
      <c r="I1058" t="str">
        <f>VLOOKUP(Table2[[#This Row],[Customer ID]],Table2[#All],8,FALSE)</f>
        <v>No</v>
      </c>
      <c r="J1058" t="str">
        <f>VLOOKUP(Table2[[#This Row],[Customer ID]],Table2[#All],9,FALSE)</f>
        <v>Obesity</v>
      </c>
      <c r="K1058" t="str">
        <f>VLOOKUP(Table2[[#This Row],[Customer ID]],Table2[#All],10,FALSE)</f>
        <v>Prediabetes</v>
      </c>
    </row>
    <row r="1059" spans="1:11" ht="15.6" x14ac:dyDescent="0.3">
      <c r="A1059" s="1" t="s">
        <v>1313</v>
      </c>
      <c r="B1059" t="str">
        <f>VLOOKUP('Customer Names'!A1059,'Customer Names'!$A$1:$E$2336,4,FALSE)</f>
        <v>Ms.  Lisa M</v>
      </c>
      <c r="C1059">
        <f>VLOOKUP(Table2[[#This Row],[Customer ID]],Table2[#All],2,FALSE)</f>
        <v>24.35</v>
      </c>
      <c r="D1059">
        <f>VLOOKUP(Table2[[#This Row],[Customer ID]],Table2[#All],3,FALSE)</f>
        <v>9.08</v>
      </c>
      <c r="E1059" t="str">
        <f>VLOOKUP(Table2[[#This Row],[Customer ID]],Table2[#All],4,FALSE)</f>
        <v>No</v>
      </c>
      <c r="F1059" t="str">
        <f>VLOOKUP(Table2[[#This Row],[Customer ID]],Table2[#All],5,FALSE)</f>
        <v>No</v>
      </c>
      <c r="G1059" t="str">
        <f>VLOOKUP(Table2[[#This Row],[Customer ID]],Table2[#All],6,FALSE)</f>
        <v>No</v>
      </c>
      <c r="H1059">
        <f>VLOOKUP(Table2[[#This Row],[Customer ID]],Table2[#All],7,FALSE)</f>
        <v>0</v>
      </c>
      <c r="I1059" t="str">
        <f>VLOOKUP(Table2[[#This Row],[Customer ID]],Table2[#All],8,FALSE)</f>
        <v>No</v>
      </c>
      <c r="J1059" t="str">
        <f>VLOOKUP(Table2[[#This Row],[Customer ID]],Table2[#All],9,FALSE)</f>
        <v>Normalweight</v>
      </c>
      <c r="K1059" t="str">
        <f>VLOOKUP(Table2[[#This Row],[Customer ID]],Table2[#All],10,FALSE)</f>
        <v>Diabetes</v>
      </c>
    </row>
    <row r="1060" spans="1:11" ht="15.6" x14ac:dyDescent="0.3">
      <c r="A1060" s="1" t="s">
        <v>1312</v>
      </c>
      <c r="B1060" t="str">
        <f>VLOOKUP('Customer Names'!A1060,'Customer Names'!$A$1:$E$2336,4,FALSE)</f>
        <v>Mr.  Matt</v>
      </c>
      <c r="C1060">
        <f>VLOOKUP(Table2[[#This Row],[Customer ID]],Table2[#All],2,FALSE)</f>
        <v>40.299999999999997</v>
      </c>
      <c r="D1060">
        <f>VLOOKUP(Table2[[#This Row],[Customer ID]],Table2[#All],3,FALSE)</f>
        <v>5.3</v>
      </c>
      <c r="E1060" t="str">
        <f>VLOOKUP(Table2[[#This Row],[Customer ID]],Table2[#All],4,FALSE)</f>
        <v>Yes</v>
      </c>
      <c r="F1060" t="str">
        <f>VLOOKUP(Table2[[#This Row],[Customer ID]],Table2[#All],5,FALSE)</f>
        <v>No</v>
      </c>
      <c r="G1060" t="str">
        <f>VLOOKUP(Table2[[#This Row],[Customer ID]],Table2[#All],6,FALSE)</f>
        <v>No</v>
      </c>
      <c r="H1060">
        <f>VLOOKUP(Table2[[#This Row],[Customer ID]],Table2[#All],7,FALSE)</f>
        <v>2</v>
      </c>
      <c r="I1060" t="str">
        <f>VLOOKUP(Table2[[#This Row],[Customer ID]],Table2[#All],8,FALSE)</f>
        <v>No</v>
      </c>
      <c r="J1060" t="str">
        <f>VLOOKUP(Table2[[#This Row],[Customer ID]],Table2[#All],9,FALSE)</f>
        <v>Obesity</v>
      </c>
      <c r="K1060" t="str">
        <f>VLOOKUP(Table2[[#This Row],[Customer ID]],Table2[#All],10,FALSE)</f>
        <v>Normal</v>
      </c>
    </row>
    <row r="1061" spans="1:11" ht="15.6" x14ac:dyDescent="0.3">
      <c r="A1061" s="1" t="s">
        <v>1311</v>
      </c>
      <c r="B1061" t="str">
        <f>VLOOKUP('Customer Names'!A1061,'Customer Names'!$A$1:$E$2336,4,FALSE)</f>
        <v>Mr.  Thomas A.</v>
      </c>
      <c r="C1061">
        <f>VLOOKUP(Table2[[#This Row],[Customer ID]],Table2[#All],2,FALSE)</f>
        <v>32.774999999999999</v>
      </c>
      <c r="D1061">
        <f>VLOOKUP(Table2[[#This Row],[Customer ID]],Table2[#All],3,FALSE)</f>
        <v>11.76</v>
      </c>
      <c r="E1061" t="str">
        <f>VLOOKUP(Table2[[#This Row],[Customer ID]],Table2[#All],4,FALSE)</f>
        <v>Yes</v>
      </c>
      <c r="F1061" t="str">
        <f>VLOOKUP(Table2[[#This Row],[Customer ID]],Table2[#All],5,FALSE)</f>
        <v>No</v>
      </c>
      <c r="G1061" t="str">
        <f>VLOOKUP(Table2[[#This Row],[Customer ID]],Table2[#All],6,FALSE)</f>
        <v>No</v>
      </c>
      <c r="H1061">
        <f>VLOOKUP(Table2[[#This Row],[Customer ID]],Table2[#All],7,FALSE)</f>
        <v>0</v>
      </c>
      <c r="I1061" t="str">
        <f>VLOOKUP(Table2[[#This Row],[Customer ID]],Table2[#All],8,FALSE)</f>
        <v>No</v>
      </c>
      <c r="J1061" t="str">
        <f>VLOOKUP(Table2[[#This Row],[Customer ID]],Table2[#All],9,FALSE)</f>
        <v>Obesity</v>
      </c>
      <c r="K1061" t="str">
        <f>VLOOKUP(Table2[[#This Row],[Customer ID]],Table2[#All],10,FALSE)</f>
        <v>Diabetes</v>
      </c>
    </row>
    <row r="1062" spans="1:11" ht="15.6" x14ac:dyDescent="0.3">
      <c r="A1062" s="1" t="s">
        <v>1310</v>
      </c>
      <c r="B1062" t="str">
        <f>VLOOKUP('Customer Names'!A1062,'Customer Names'!$A$1:$E$2336,4,FALSE)</f>
        <v>Mr.  Kevin J</v>
      </c>
      <c r="C1062">
        <f>VLOOKUP(Table2[[#This Row],[Customer ID]],Table2[#All],2,FALSE)</f>
        <v>39.6</v>
      </c>
      <c r="D1062">
        <f>VLOOKUP(Table2[[#This Row],[Customer ID]],Table2[#All],3,FALSE)</f>
        <v>5.1100000000000003</v>
      </c>
      <c r="E1062" t="str">
        <f>VLOOKUP(Table2[[#This Row],[Customer ID]],Table2[#All],4,FALSE)</f>
        <v>Yes</v>
      </c>
      <c r="F1062" t="str">
        <f>VLOOKUP(Table2[[#This Row],[Customer ID]],Table2[#All],5,FALSE)</f>
        <v>No</v>
      </c>
      <c r="G1062" t="str">
        <f>VLOOKUP(Table2[[#This Row],[Customer ID]],Table2[#All],6,FALSE)</f>
        <v>No</v>
      </c>
      <c r="H1062">
        <f>VLOOKUP(Table2[[#This Row],[Customer ID]],Table2[#All],7,FALSE)</f>
        <v>2</v>
      </c>
      <c r="I1062" t="str">
        <f>VLOOKUP(Table2[[#This Row],[Customer ID]],Table2[#All],8,FALSE)</f>
        <v>No</v>
      </c>
      <c r="J1062" t="str">
        <f>VLOOKUP(Table2[[#This Row],[Customer ID]],Table2[#All],9,FALSE)</f>
        <v>Obesity</v>
      </c>
      <c r="K1062" t="str">
        <f>VLOOKUP(Table2[[#This Row],[Customer ID]],Table2[#All],10,FALSE)</f>
        <v>Normal</v>
      </c>
    </row>
    <row r="1063" spans="1:11" ht="15.6" x14ac:dyDescent="0.3">
      <c r="A1063" s="1" t="s">
        <v>1309</v>
      </c>
      <c r="B1063" t="str">
        <f>VLOOKUP('Customer Names'!A1063,'Customer Names'!$A$1:$E$2336,4,FALSE)</f>
        <v>Mr.  William H. III</v>
      </c>
      <c r="C1063">
        <f>VLOOKUP(Table2[[#This Row],[Customer ID]],Table2[#All],2,FALSE)</f>
        <v>30.97</v>
      </c>
      <c r="D1063">
        <f>VLOOKUP(Table2[[#This Row],[Customer ID]],Table2[#All],3,FALSE)</f>
        <v>5.54</v>
      </c>
      <c r="E1063" t="str">
        <f>VLOOKUP(Table2[[#This Row],[Customer ID]],Table2[#All],4,FALSE)</f>
        <v>No</v>
      </c>
      <c r="F1063" t="str">
        <f>VLOOKUP(Table2[[#This Row],[Customer ID]],Table2[#All],5,FALSE)</f>
        <v>No</v>
      </c>
      <c r="G1063" t="str">
        <f>VLOOKUP(Table2[[#This Row],[Customer ID]],Table2[#All],6,FALSE)</f>
        <v>No</v>
      </c>
      <c r="H1063">
        <f>VLOOKUP(Table2[[#This Row],[Customer ID]],Table2[#All],7,FALSE)</f>
        <v>2</v>
      </c>
      <c r="I1063" t="str">
        <f>VLOOKUP(Table2[[#This Row],[Customer ID]],Table2[#All],8,FALSE)</f>
        <v>No</v>
      </c>
      <c r="J1063" t="str">
        <f>VLOOKUP(Table2[[#This Row],[Customer ID]],Table2[#All],9,FALSE)</f>
        <v>Obesity</v>
      </c>
      <c r="K1063" t="str">
        <f>VLOOKUP(Table2[[#This Row],[Customer ID]],Table2[#All],10,FALSE)</f>
        <v>Normal</v>
      </c>
    </row>
    <row r="1064" spans="1:11" ht="15.6" x14ac:dyDescent="0.3">
      <c r="A1064" s="1" t="s">
        <v>1308</v>
      </c>
      <c r="B1064" t="str">
        <f>VLOOKUP('Customer Names'!A1064,'Customer Names'!$A$1:$E$2336,4,FALSE)</f>
        <v>Mr.  Gal</v>
      </c>
      <c r="C1064">
        <f>VLOOKUP(Table2[[#This Row],[Customer ID]],Table2[#All],2,FALSE)</f>
        <v>27.645</v>
      </c>
      <c r="D1064">
        <f>VLOOKUP(Table2[[#This Row],[Customer ID]],Table2[#All],3,FALSE)</f>
        <v>8.8699999999999992</v>
      </c>
      <c r="E1064" t="str">
        <f>VLOOKUP(Table2[[#This Row],[Customer ID]],Table2[#All],4,FALSE)</f>
        <v>Yes</v>
      </c>
      <c r="F1064" t="str">
        <f>VLOOKUP(Table2[[#This Row],[Customer ID]],Table2[#All],5,FALSE)</f>
        <v>No</v>
      </c>
      <c r="G1064" t="str">
        <f>VLOOKUP(Table2[[#This Row],[Customer ID]],Table2[#All],6,FALSE)</f>
        <v>No</v>
      </c>
      <c r="H1064">
        <f>VLOOKUP(Table2[[#This Row],[Customer ID]],Table2[#All],7,FALSE)</f>
        <v>0</v>
      </c>
      <c r="I1064" t="str">
        <f>VLOOKUP(Table2[[#This Row],[Customer ID]],Table2[#All],8,FALSE)</f>
        <v>No</v>
      </c>
      <c r="J1064" t="str">
        <f>VLOOKUP(Table2[[#This Row],[Customer ID]],Table2[#All],9,FALSE)</f>
        <v>Overweight</v>
      </c>
      <c r="K1064" t="str">
        <f>VLOOKUP(Table2[[#This Row],[Customer ID]],Table2[#All],10,FALSE)</f>
        <v>Diabetes</v>
      </c>
    </row>
    <row r="1065" spans="1:11" ht="15.6" x14ac:dyDescent="0.3">
      <c r="A1065" s="1" t="s">
        <v>1307</v>
      </c>
      <c r="B1065" t="str">
        <f>VLOOKUP('Customer Names'!A1065,'Customer Names'!$A$1:$E$2336,4,FALSE)</f>
        <v>Mr.  Anton</v>
      </c>
      <c r="C1065">
        <f>VLOOKUP(Table2[[#This Row],[Customer ID]],Table2[#All],2,FALSE)</f>
        <v>34.43</v>
      </c>
      <c r="D1065">
        <f>VLOOKUP(Table2[[#This Row],[Customer ID]],Table2[#All],3,FALSE)</f>
        <v>5.96</v>
      </c>
      <c r="E1065" t="str">
        <f>VLOOKUP(Table2[[#This Row],[Customer ID]],Table2[#All],4,FALSE)</f>
        <v>Yes</v>
      </c>
      <c r="F1065" t="str">
        <f>VLOOKUP(Table2[[#This Row],[Customer ID]],Table2[#All],5,FALSE)</f>
        <v>No</v>
      </c>
      <c r="G1065" t="str">
        <f>VLOOKUP(Table2[[#This Row],[Customer ID]],Table2[#All],6,FALSE)</f>
        <v>No</v>
      </c>
      <c r="H1065">
        <f>VLOOKUP(Table2[[#This Row],[Customer ID]],Table2[#All],7,FALSE)</f>
        <v>2</v>
      </c>
      <c r="I1065" t="str">
        <f>VLOOKUP(Table2[[#This Row],[Customer ID]],Table2[#All],8,FALSE)</f>
        <v>No</v>
      </c>
      <c r="J1065" t="str">
        <f>VLOOKUP(Table2[[#This Row],[Customer ID]],Table2[#All],9,FALSE)</f>
        <v>Obesity</v>
      </c>
      <c r="K1065" t="str">
        <f>VLOOKUP(Table2[[#This Row],[Customer ID]],Table2[#All],10,FALSE)</f>
        <v>Prediabetes</v>
      </c>
    </row>
    <row r="1066" spans="1:11" ht="15.6" x14ac:dyDescent="0.3">
      <c r="A1066" s="1" t="s">
        <v>1306</v>
      </c>
      <c r="B1066" t="str">
        <f>VLOOKUP('Customer Names'!A1066,'Customer Names'!$A$1:$E$2336,4,FALSE)</f>
        <v>Ms.  Yazmin</v>
      </c>
      <c r="C1066">
        <f>VLOOKUP(Table2[[#This Row],[Customer ID]],Table2[#All],2,FALSE)</f>
        <v>39.6</v>
      </c>
      <c r="D1066">
        <f>VLOOKUP(Table2[[#This Row],[Customer ID]],Table2[#All],3,FALSE)</f>
        <v>4.4400000000000004</v>
      </c>
      <c r="E1066" t="str">
        <f>VLOOKUP(Table2[[#This Row],[Customer ID]],Table2[#All],4,FALSE)</f>
        <v>Yes</v>
      </c>
      <c r="F1066" t="str">
        <f>VLOOKUP(Table2[[#This Row],[Customer ID]],Table2[#All],5,FALSE)</f>
        <v>No</v>
      </c>
      <c r="G1066" t="str">
        <f>VLOOKUP(Table2[[#This Row],[Customer ID]],Table2[#All],6,FALSE)</f>
        <v>Yes</v>
      </c>
      <c r="H1066">
        <f>VLOOKUP(Table2[[#This Row],[Customer ID]],Table2[#All],7,FALSE)</f>
        <v>1</v>
      </c>
      <c r="I1066" t="str">
        <f>VLOOKUP(Table2[[#This Row],[Customer ID]],Table2[#All],8,FALSE)</f>
        <v>No</v>
      </c>
      <c r="J1066" t="str">
        <f>VLOOKUP(Table2[[#This Row],[Customer ID]],Table2[#All],9,FALSE)</f>
        <v>Obesity</v>
      </c>
      <c r="K1066" t="str">
        <f>VLOOKUP(Table2[[#This Row],[Customer ID]],Table2[#All],10,FALSE)</f>
        <v>Normal</v>
      </c>
    </row>
    <row r="1067" spans="1:11" ht="15.6" x14ac:dyDescent="0.3">
      <c r="A1067" s="1" t="s">
        <v>1305</v>
      </c>
      <c r="B1067" t="str">
        <f>VLOOKUP('Customer Names'!A1067,'Customer Names'!$A$1:$E$2336,4,FALSE)</f>
        <v>Mr.  Florian</v>
      </c>
      <c r="C1067">
        <f>VLOOKUP(Table2[[#This Row],[Customer ID]],Table2[#All],2,FALSE)</f>
        <v>22.1</v>
      </c>
      <c r="D1067">
        <f>VLOOKUP(Table2[[#This Row],[Customer ID]],Table2[#All],3,FALSE)</f>
        <v>4.6500000000000004</v>
      </c>
      <c r="E1067" t="str">
        <f>VLOOKUP(Table2[[#This Row],[Customer ID]],Table2[#All],4,FALSE)</f>
        <v>Yes</v>
      </c>
      <c r="F1067" t="str">
        <f>VLOOKUP(Table2[[#This Row],[Customer ID]],Table2[#All],5,FALSE)</f>
        <v>No</v>
      </c>
      <c r="G1067" t="str">
        <f>VLOOKUP(Table2[[#This Row],[Customer ID]],Table2[#All],6,FALSE)</f>
        <v>No</v>
      </c>
      <c r="H1067">
        <f>VLOOKUP(Table2[[#This Row],[Customer ID]],Table2[#All],7,FALSE)</f>
        <v>2</v>
      </c>
      <c r="I1067" t="str">
        <f>VLOOKUP(Table2[[#This Row],[Customer ID]],Table2[#All],8,FALSE)</f>
        <v>No</v>
      </c>
      <c r="J1067" t="str">
        <f>VLOOKUP(Table2[[#This Row],[Customer ID]],Table2[#All],9,FALSE)</f>
        <v>Normalweight</v>
      </c>
      <c r="K1067" t="str">
        <f>VLOOKUP(Table2[[#This Row],[Customer ID]],Table2[#All],10,FALSE)</f>
        <v>Normal</v>
      </c>
    </row>
    <row r="1068" spans="1:11" ht="15.6" x14ac:dyDescent="0.3">
      <c r="A1068" s="1" t="s">
        <v>1304</v>
      </c>
      <c r="B1068" t="str">
        <f>VLOOKUP('Customer Names'!A1068,'Customer Names'!$A$1:$E$2336,4,FALSE)</f>
        <v>Ms.  Karen L</v>
      </c>
      <c r="C1068">
        <f>VLOOKUP(Table2[[#This Row],[Customer ID]],Table2[#All],2,FALSE)</f>
        <v>33.25</v>
      </c>
      <c r="D1068">
        <f>VLOOKUP(Table2[[#This Row],[Customer ID]],Table2[#All],3,FALSE)</f>
        <v>5.64</v>
      </c>
      <c r="E1068" t="str">
        <f>VLOOKUP(Table2[[#This Row],[Customer ID]],Table2[#All],4,FALSE)</f>
        <v>Yes</v>
      </c>
      <c r="F1068" t="str">
        <f>VLOOKUP(Table2[[#This Row],[Customer ID]],Table2[#All],5,FALSE)</f>
        <v>No</v>
      </c>
      <c r="G1068" t="str">
        <f>VLOOKUP(Table2[[#This Row],[Customer ID]],Table2[#All],6,FALSE)</f>
        <v>Yes</v>
      </c>
      <c r="H1068">
        <f>VLOOKUP(Table2[[#This Row],[Customer ID]],Table2[#All],7,FALSE)</f>
        <v>1</v>
      </c>
      <c r="I1068" t="str">
        <f>VLOOKUP(Table2[[#This Row],[Customer ID]],Table2[#All],8,FALSE)</f>
        <v>No</v>
      </c>
      <c r="J1068" t="str">
        <f>VLOOKUP(Table2[[#This Row],[Customer ID]],Table2[#All],9,FALSE)</f>
        <v>Obesity</v>
      </c>
      <c r="K1068" t="str">
        <f>VLOOKUP(Table2[[#This Row],[Customer ID]],Table2[#All],10,FALSE)</f>
        <v>Normal</v>
      </c>
    </row>
    <row r="1069" spans="1:11" ht="15.6" x14ac:dyDescent="0.3">
      <c r="A1069" s="1" t="s">
        <v>1303</v>
      </c>
      <c r="B1069" t="str">
        <f>VLOOKUP('Customer Names'!A1069,'Customer Names'!$A$1:$E$2336,4,FALSE)</f>
        <v>Mr.  Scott</v>
      </c>
      <c r="C1069">
        <f>VLOOKUP(Table2[[#This Row],[Customer ID]],Table2[#All],2,FALSE)</f>
        <v>33.33</v>
      </c>
      <c r="D1069">
        <f>VLOOKUP(Table2[[#This Row],[Customer ID]],Table2[#All],3,FALSE)</f>
        <v>10.19</v>
      </c>
      <c r="E1069" t="str">
        <f>VLOOKUP(Table2[[#This Row],[Customer ID]],Table2[#All],4,FALSE)</f>
        <v>No</v>
      </c>
      <c r="F1069" t="str">
        <f>VLOOKUP(Table2[[#This Row],[Customer ID]],Table2[#All],5,FALSE)</f>
        <v>No</v>
      </c>
      <c r="G1069" t="str">
        <f>VLOOKUP(Table2[[#This Row],[Customer ID]],Table2[#All],6,FALSE)</f>
        <v>No</v>
      </c>
      <c r="H1069">
        <f>VLOOKUP(Table2[[#This Row],[Customer ID]],Table2[#All],7,FALSE)</f>
        <v>0</v>
      </c>
      <c r="I1069" t="str">
        <f>VLOOKUP(Table2[[#This Row],[Customer ID]],Table2[#All],8,FALSE)</f>
        <v>No</v>
      </c>
      <c r="J1069" t="str">
        <f>VLOOKUP(Table2[[#This Row],[Customer ID]],Table2[#All],9,FALSE)</f>
        <v>Obesity</v>
      </c>
      <c r="K1069" t="str">
        <f>VLOOKUP(Table2[[#This Row],[Customer ID]],Table2[#All],10,FALSE)</f>
        <v>Diabetes</v>
      </c>
    </row>
    <row r="1070" spans="1:11" ht="15.6" x14ac:dyDescent="0.3">
      <c r="A1070" s="1" t="s">
        <v>1302</v>
      </c>
      <c r="B1070" t="str">
        <f>VLOOKUP('Customer Names'!A1070,'Customer Names'!$A$1:$E$2336,4,FALSE)</f>
        <v>Ms.  Claire</v>
      </c>
      <c r="C1070">
        <f>VLOOKUP(Table2[[#This Row],[Customer ID]],Table2[#All],2,FALSE)</f>
        <v>30.5</v>
      </c>
      <c r="D1070">
        <f>VLOOKUP(Table2[[#This Row],[Customer ID]],Table2[#All],3,FALSE)</f>
        <v>10.79</v>
      </c>
      <c r="E1070" t="str">
        <f>VLOOKUP(Table2[[#This Row],[Customer ID]],Table2[#All],4,FALSE)</f>
        <v>No</v>
      </c>
      <c r="F1070" t="str">
        <f>VLOOKUP(Table2[[#This Row],[Customer ID]],Table2[#All],5,FALSE)</f>
        <v>No</v>
      </c>
      <c r="G1070" t="str">
        <f>VLOOKUP(Table2[[#This Row],[Customer ID]],Table2[#All],6,FALSE)</f>
        <v>No</v>
      </c>
      <c r="H1070">
        <f>VLOOKUP(Table2[[#This Row],[Customer ID]],Table2[#All],7,FALSE)</f>
        <v>0</v>
      </c>
      <c r="I1070" t="str">
        <f>VLOOKUP(Table2[[#This Row],[Customer ID]],Table2[#All],8,FALSE)</f>
        <v>No</v>
      </c>
      <c r="J1070" t="str">
        <f>VLOOKUP(Table2[[#This Row],[Customer ID]],Table2[#All],9,FALSE)</f>
        <v>Obesity</v>
      </c>
      <c r="K1070" t="str">
        <f>VLOOKUP(Table2[[#This Row],[Customer ID]],Table2[#All],10,FALSE)</f>
        <v>Diabetes</v>
      </c>
    </row>
    <row r="1071" spans="1:11" ht="15.6" x14ac:dyDescent="0.3">
      <c r="A1071" s="1" t="s">
        <v>1301</v>
      </c>
      <c r="B1071" t="str">
        <f>VLOOKUP('Customer Names'!A1071,'Customer Names'!$A$1:$E$2336,4,FALSE)</f>
        <v>Ms.  Lynn M.</v>
      </c>
      <c r="C1071">
        <f>VLOOKUP(Table2[[#This Row],[Customer ID]],Table2[#All],2,FALSE)</f>
        <v>30.3</v>
      </c>
      <c r="D1071">
        <f>VLOOKUP(Table2[[#This Row],[Customer ID]],Table2[#All],3,FALSE)</f>
        <v>4.24</v>
      </c>
      <c r="E1071" t="str">
        <f>VLOOKUP(Table2[[#This Row],[Customer ID]],Table2[#All],4,FALSE)</f>
        <v>No</v>
      </c>
      <c r="F1071" t="str">
        <f>VLOOKUP(Table2[[#This Row],[Customer ID]],Table2[#All],5,FALSE)</f>
        <v>No</v>
      </c>
      <c r="G1071" t="str">
        <f>VLOOKUP(Table2[[#This Row],[Customer ID]],Table2[#All],6,FALSE)</f>
        <v>No</v>
      </c>
      <c r="H1071">
        <f>VLOOKUP(Table2[[#This Row],[Customer ID]],Table2[#All],7,FALSE)</f>
        <v>0</v>
      </c>
      <c r="I1071" t="str">
        <f>VLOOKUP(Table2[[#This Row],[Customer ID]],Table2[#All],8,FALSE)</f>
        <v>No</v>
      </c>
      <c r="J1071" t="str">
        <f>VLOOKUP(Table2[[#This Row],[Customer ID]],Table2[#All],9,FALSE)</f>
        <v>Obesity</v>
      </c>
      <c r="K1071" t="str">
        <f>VLOOKUP(Table2[[#This Row],[Customer ID]],Table2[#All],10,FALSE)</f>
        <v>Normal</v>
      </c>
    </row>
    <row r="1072" spans="1:11" ht="15.6" x14ac:dyDescent="0.3">
      <c r="A1072" s="1" t="s">
        <v>1300</v>
      </c>
      <c r="B1072" t="str">
        <f>VLOOKUP('Customer Names'!A1072,'Customer Names'!$A$1:$E$2336,4,FALSE)</f>
        <v>Ms.  Sharon</v>
      </c>
      <c r="C1072">
        <f>VLOOKUP(Table2[[#This Row],[Customer ID]],Table2[#All],2,FALSE)</f>
        <v>26.22</v>
      </c>
      <c r="D1072">
        <f>VLOOKUP(Table2[[#This Row],[Customer ID]],Table2[#All],3,FALSE)</f>
        <v>5.83</v>
      </c>
      <c r="E1072" t="str">
        <f>VLOOKUP(Table2[[#This Row],[Customer ID]],Table2[#All],4,FALSE)</f>
        <v>No</v>
      </c>
      <c r="F1072" t="str">
        <f>VLOOKUP(Table2[[#This Row],[Customer ID]],Table2[#All],5,FALSE)</f>
        <v>No</v>
      </c>
      <c r="G1072" t="str">
        <f>VLOOKUP(Table2[[#This Row],[Customer ID]],Table2[#All],6,FALSE)</f>
        <v>No</v>
      </c>
      <c r="H1072">
        <f>VLOOKUP(Table2[[#This Row],[Customer ID]],Table2[#All],7,FALSE)</f>
        <v>2</v>
      </c>
      <c r="I1072" t="str">
        <f>VLOOKUP(Table2[[#This Row],[Customer ID]],Table2[#All],8,FALSE)</f>
        <v>No</v>
      </c>
      <c r="J1072" t="str">
        <f>VLOOKUP(Table2[[#This Row],[Customer ID]],Table2[#All],9,FALSE)</f>
        <v>Overweight</v>
      </c>
      <c r="K1072" t="str">
        <f>VLOOKUP(Table2[[#This Row],[Customer ID]],Table2[#All],10,FALSE)</f>
        <v>Prediabetes</v>
      </c>
    </row>
    <row r="1073" spans="1:11" ht="15.6" x14ac:dyDescent="0.3">
      <c r="A1073" s="1" t="s">
        <v>1299</v>
      </c>
      <c r="B1073" t="str">
        <f>VLOOKUP('Customer Names'!A1073,'Customer Names'!$A$1:$E$2336,4,FALSE)</f>
        <v>Mrs.  Candice</v>
      </c>
      <c r="C1073">
        <f>VLOOKUP(Table2[[#This Row],[Customer ID]],Table2[#All],2,FALSE)</f>
        <v>29.99</v>
      </c>
      <c r="D1073">
        <f>VLOOKUP(Table2[[#This Row],[Customer ID]],Table2[#All],3,FALSE)</f>
        <v>11.85</v>
      </c>
      <c r="E1073" t="str">
        <f>VLOOKUP(Table2[[#This Row],[Customer ID]],Table2[#All],4,FALSE)</f>
        <v>No</v>
      </c>
      <c r="F1073" t="str">
        <f>VLOOKUP(Table2[[#This Row],[Customer ID]],Table2[#All],5,FALSE)</f>
        <v>No</v>
      </c>
      <c r="G1073" t="str">
        <f>VLOOKUP(Table2[[#This Row],[Customer ID]],Table2[#All],6,FALSE)</f>
        <v>No</v>
      </c>
      <c r="H1073">
        <f>VLOOKUP(Table2[[#This Row],[Customer ID]],Table2[#All],7,FALSE)</f>
        <v>0</v>
      </c>
      <c r="I1073" t="str">
        <f>VLOOKUP(Table2[[#This Row],[Customer ID]],Table2[#All],8,FALSE)</f>
        <v>No</v>
      </c>
      <c r="J1073" t="str">
        <f>VLOOKUP(Table2[[#This Row],[Customer ID]],Table2[#All],9,FALSE)</f>
        <v>Overweight</v>
      </c>
      <c r="K1073" t="str">
        <f>VLOOKUP(Table2[[#This Row],[Customer ID]],Table2[#All],10,FALSE)</f>
        <v>Diabetes</v>
      </c>
    </row>
    <row r="1074" spans="1:11" ht="15.6" x14ac:dyDescent="0.3">
      <c r="A1074" s="1" t="s">
        <v>1298</v>
      </c>
      <c r="B1074" t="str">
        <f>VLOOKUP('Customer Names'!A1074,'Customer Names'!$A$1:$E$2336,4,FALSE)</f>
        <v>Ms.  Jennifer D</v>
      </c>
      <c r="C1074">
        <f>VLOOKUP(Table2[[#This Row],[Customer ID]],Table2[#All],2,FALSE)</f>
        <v>36.380000000000003</v>
      </c>
      <c r="D1074">
        <f>VLOOKUP(Table2[[#This Row],[Customer ID]],Table2[#All],3,FALSE)</f>
        <v>5.98</v>
      </c>
      <c r="E1074" t="str">
        <f>VLOOKUP(Table2[[#This Row],[Customer ID]],Table2[#All],4,FALSE)</f>
        <v>No</v>
      </c>
      <c r="F1074" t="str">
        <f>VLOOKUP(Table2[[#This Row],[Customer ID]],Table2[#All],5,FALSE)</f>
        <v>No</v>
      </c>
      <c r="G1074" t="str">
        <f>VLOOKUP(Table2[[#This Row],[Customer ID]],Table2[#All],6,FALSE)</f>
        <v>No</v>
      </c>
      <c r="H1074">
        <f>VLOOKUP(Table2[[#This Row],[Customer ID]],Table2[#All],7,FALSE)</f>
        <v>1</v>
      </c>
      <c r="I1074" t="str">
        <f>VLOOKUP(Table2[[#This Row],[Customer ID]],Table2[#All],8,FALSE)</f>
        <v>No</v>
      </c>
      <c r="J1074" t="str">
        <f>VLOOKUP(Table2[[#This Row],[Customer ID]],Table2[#All],9,FALSE)</f>
        <v>Obesity</v>
      </c>
      <c r="K1074" t="str">
        <f>VLOOKUP(Table2[[#This Row],[Customer ID]],Table2[#All],10,FALSE)</f>
        <v>Prediabetes</v>
      </c>
    </row>
    <row r="1075" spans="1:11" ht="15.6" x14ac:dyDescent="0.3">
      <c r="A1075" s="1" t="s">
        <v>1297</v>
      </c>
      <c r="B1075" t="str">
        <f>VLOOKUP('Customer Names'!A1075,'Customer Names'!$A$1:$E$2336,4,FALSE)</f>
        <v>Mr.  Eric</v>
      </c>
      <c r="C1075">
        <f>VLOOKUP(Table2[[#This Row],[Customer ID]],Table2[#All],2,FALSE)</f>
        <v>31.16</v>
      </c>
      <c r="D1075">
        <f>VLOOKUP(Table2[[#This Row],[Customer ID]],Table2[#All],3,FALSE)</f>
        <v>4.26</v>
      </c>
      <c r="E1075" t="str">
        <f>VLOOKUP(Table2[[#This Row],[Customer ID]],Table2[#All],4,FALSE)</f>
        <v>Yes</v>
      </c>
      <c r="F1075" t="str">
        <f>VLOOKUP(Table2[[#This Row],[Customer ID]],Table2[#All],5,FALSE)</f>
        <v>No</v>
      </c>
      <c r="G1075" t="str">
        <f>VLOOKUP(Table2[[#This Row],[Customer ID]],Table2[#All],6,FALSE)</f>
        <v>Yes</v>
      </c>
      <c r="H1075">
        <f>VLOOKUP(Table2[[#This Row],[Customer ID]],Table2[#All],7,FALSE)</f>
        <v>1</v>
      </c>
      <c r="I1075" t="str">
        <f>VLOOKUP(Table2[[#This Row],[Customer ID]],Table2[#All],8,FALSE)</f>
        <v>No</v>
      </c>
      <c r="J1075" t="str">
        <f>VLOOKUP(Table2[[#This Row],[Customer ID]],Table2[#All],9,FALSE)</f>
        <v>Obesity</v>
      </c>
      <c r="K1075" t="str">
        <f>VLOOKUP(Table2[[#This Row],[Customer ID]],Table2[#All],10,FALSE)</f>
        <v>Normal</v>
      </c>
    </row>
    <row r="1076" spans="1:11" ht="15.6" x14ac:dyDescent="0.3">
      <c r="A1076" s="1" t="s">
        <v>1296</v>
      </c>
      <c r="B1076" t="str">
        <f>VLOOKUP('Customer Names'!A1076,'Customer Names'!$A$1:$E$2336,4,FALSE)</f>
        <v>Mr.  Bryan</v>
      </c>
      <c r="C1076">
        <f>VLOOKUP(Table2[[#This Row],[Customer ID]],Table2[#All],2,FALSE)</f>
        <v>25.55</v>
      </c>
      <c r="D1076">
        <f>VLOOKUP(Table2[[#This Row],[Customer ID]],Table2[#All],3,FALSE)</f>
        <v>4.96</v>
      </c>
      <c r="E1076" t="str">
        <f>VLOOKUP(Table2[[#This Row],[Customer ID]],Table2[#All],4,FALSE)</f>
        <v>Yes</v>
      </c>
      <c r="F1076" t="str">
        <f>VLOOKUP(Table2[[#This Row],[Customer ID]],Table2[#All],5,FALSE)</f>
        <v>No</v>
      </c>
      <c r="G1076" t="str">
        <f>VLOOKUP(Table2[[#This Row],[Customer ID]],Table2[#All],6,FALSE)</f>
        <v>No</v>
      </c>
      <c r="H1076">
        <f>VLOOKUP(Table2[[#This Row],[Customer ID]],Table2[#All],7,FALSE)</f>
        <v>1</v>
      </c>
      <c r="I1076" t="str">
        <f>VLOOKUP(Table2[[#This Row],[Customer ID]],Table2[#All],8,FALSE)</f>
        <v>No</v>
      </c>
      <c r="J1076" t="str">
        <f>VLOOKUP(Table2[[#This Row],[Customer ID]],Table2[#All],9,FALSE)</f>
        <v>Overweight</v>
      </c>
      <c r="K1076" t="str">
        <f>VLOOKUP(Table2[[#This Row],[Customer ID]],Table2[#All],10,FALSE)</f>
        <v>Normal</v>
      </c>
    </row>
    <row r="1077" spans="1:11" ht="15.6" x14ac:dyDescent="0.3">
      <c r="A1077" s="1" t="s">
        <v>1295</v>
      </c>
      <c r="B1077" t="str">
        <f>VLOOKUP('Customer Names'!A1077,'Customer Names'!$A$1:$E$2336,4,FALSE)</f>
        <v>Mr.  Devon R.</v>
      </c>
      <c r="C1077">
        <f>VLOOKUP(Table2[[#This Row],[Customer ID]],Table2[#All],2,FALSE)</f>
        <v>28.77</v>
      </c>
      <c r="D1077">
        <f>VLOOKUP(Table2[[#This Row],[Customer ID]],Table2[#All],3,FALSE)</f>
        <v>4</v>
      </c>
      <c r="E1077" t="str">
        <f>VLOOKUP(Table2[[#This Row],[Customer ID]],Table2[#All],4,FALSE)</f>
        <v>Yes</v>
      </c>
      <c r="F1077" t="str">
        <f>VLOOKUP(Table2[[#This Row],[Customer ID]],Table2[#All],5,FALSE)</f>
        <v>No</v>
      </c>
      <c r="G1077" t="str">
        <f>VLOOKUP(Table2[[#This Row],[Customer ID]],Table2[#All],6,FALSE)</f>
        <v>No</v>
      </c>
      <c r="H1077">
        <f>VLOOKUP(Table2[[#This Row],[Customer ID]],Table2[#All],7,FALSE)</f>
        <v>0</v>
      </c>
      <c r="I1077" t="str">
        <f>VLOOKUP(Table2[[#This Row],[Customer ID]],Table2[#All],8,FALSE)</f>
        <v>No</v>
      </c>
      <c r="J1077" t="str">
        <f>VLOOKUP(Table2[[#This Row],[Customer ID]],Table2[#All],9,FALSE)</f>
        <v>Overweight</v>
      </c>
      <c r="K1077" t="str">
        <f>VLOOKUP(Table2[[#This Row],[Customer ID]],Table2[#All],10,FALSE)</f>
        <v>Normal</v>
      </c>
    </row>
    <row r="1078" spans="1:11" ht="15.6" x14ac:dyDescent="0.3">
      <c r="A1078" s="1" t="s">
        <v>1294</v>
      </c>
      <c r="B1078" t="str">
        <f>VLOOKUP('Customer Names'!A1078,'Customer Names'!$A$1:$E$2336,4,FALSE)</f>
        <v>Ms.  Elena</v>
      </c>
      <c r="C1078">
        <f>VLOOKUP(Table2[[#This Row],[Customer ID]],Table2[#All],2,FALSE)</f>
        <v>23.14</v>
      </c>
      <c r="D1078">
        <f>VLOOKUP(Table2[[#This Row],[Customer ID]],Table2[#All],3,FALSE)</f>
        <v>4.1500000000000004</v>
      </c>
      <c r="E1078" t="str">
        <f>VLOOKUP(Table2[[#This Row],[Customer ID]],Table2[#All],4,FALSE)</f>
        <v>Yes</v>
      </c>
      <c r="F1078" t="str">
        <f>VLOOKUP(Table2[[#This Row],[Customer ID]],Table2[#All],5,FALSE)</f>
        <v>No</v>
      </c>
      <c r="G1078" t="str">
        <f>VLOOKUP(Table2[[#This Row],[Customer ID]],Table2[#All],6,FALSE)</f>
        <v>No</v>
      </c>
      <c r="H1078">
        <f>VLOOKUP(Table2[[#This Row],[Customer ID]],Table2[#All],7,FALSE)</f>
        <v>1</v>
      </c>
      <c r="I1078" t="str">
        <f>VLOOKUP(Table2[[#This Row],[Customer ID]],Table2[#All],8,FALSE)</f>
        <v>No</v>
      </c>
      <c r="J1078" t="str">
        <f>VLOOKUP(Table2[[#This Row],[Customer ID]],Table2[#All],9,FALSE)</f>
        <v>Normalweight</v>
      </c>
      <c r="K1078" t="str">
        <f>VLOOKUP(Table2[[#This Row],[Customer ID]],Table2[#All],10,FALSE)</f>
        <v>Normal</v>
      </c>
    </row>
    <row r="1079" spans="1:11" ht="15.6" x14ac:dyDescent="0.3">
      <c r="A1079" s="1" t="s">
        <v>1293</v>
      </c>
      <c r="B1079" t="str">
        <f>VLOOKUP('Customer Names'!A1079,'Customer Names'!$A$1:$E$2336,4,FALSE)</f>
        <v>Mr.  Chris</v>
      </c>
      <c r="C1079">
        <f>VLOOKUP(Table2[[#This Row],[Customer ID]],Table2[#All],2,FALSE)</f>
        <v>39.6</v>
      </c>
      <c r="D1079">
        <f>VLOOKUP(Table2[[#This Row],[Customer ID]],Table2[#All],3,FALSE)</f>
        <v>11.36</v>
      </c>
      <c r="E1079" t="str">
        <f>VLOOKUP(Table2[[#This Row],[Customer ID]],Table2[#All],4,FALSE)</f>
        <v>No</v>
      </c>
      <c r="F1079" t="str">
        <f>VLOOKUP(Table2[[#This Row],[Customer ID]],Table2[#All],5,FALSE)</f>
        <v>No</v>
      </c>
      <c r="G1079" t="str">
        <f>VLOOKUP(Table2[[#This Row],[Customer ID]],Table2[#All],6,FALSE)</f>
        <v>No</v>
      </c>
      <c r="H1079">
        <f>VLOOKUP(Table2[[#This Row],[Customer ID]],Table2[#All],7,FALSE)</f>
        <v>0</v>
      </c>
      <c r="I1079" t="str">
        <f>VLOOKUP(Table2[[#This Row],[Customer ID]],Table2[#All],8,FALSE)</f>
        <v>No</v>
      </c>
      <c r="J1079" t="str">
        <f>VLOOKUP(Table2[[#This Row],[Customer ID]],Table2[#All],9,FALSE)</f>
        <v>Obesity</v>
      </c>
      <c r="K1079" t="str">
        <f>VLOOKUP(Table2[[#This Row],[Customer ID]],Table2[#All],10,FALSE)</f>
        <v>Diabetes</v>
      </c>
    </row>
    <row r="1080" spans="1:11" ht="15.6" x14ac:dyDescent="0.3">
      <c r="A1080" s="1" t="s">
        <v>1292</v>
      </c>
      <c r="B1080" t="str">
        <f>VLOOKUP('Customer Names'!A1080,'Customer Names'!$A$1:$E$2336,4,FALSE)</f>
        <v>Mr.  Bert</v>
      </c>
      <c r="C1080">
        <f>VLOOKUP(Table2[[#This Row],[Customer ID]],Table2[#All],2,FALSE)</f>
        <v>29.2</v>
      </c>
      <c r="D1080">
        <f>VLOOKUP(Table2[[#This Row],[Customer ID]],Table2[#All],3,FALSE)</f>
        <v>7.53</v>
      </c>
      <c r="E1080" t="str">
        <f>VLOOKUP(Table2[[#This Row],[Customer ID]],Table2[#All],4,FALSE)</f>
        <v>No</v>
      </c>
      <c r="F1080" t="str">
        <f>VLOOKUP(Table2[[#This Row],[Customer ID]],Table2[#All],5,FALSE)</f>
        <v>No</v>
      </c>
      <c r="G1080" t="str">
        <f>VLOOKUP(Table2[[#This Row],[Customer ID]],Table2[#All],6,FALSE)</f>
        <v>No</v>
      </c>
      <c r="H1080">
        <f>VLOOKUP(Table2[[#This Row],[Customer ID]],Table2[#All],7,FALSE)</f>
        <v>0</v>
      </c>
      <c r="I1080" t="str">
        <f>VLOOKUP(Table2[[#This Row],[Customer ID]],Table2[#All],8,FALSE)</f>
        <v>No</v>
      </c>
      <c r="J1080" t="str">
        <f>VLOOKUP(Table2[[#This Row],[Customer ID]],Table2[#All],9,FALSE)</f>
        <v>Overweight</v>
      </c>
      <c r="K1080" t="str">
        <f>VLOOKUP(Table2[[#This Row],[Customer ID]],Table2[#All],10,FALSE)</f>
        <v>Diabetes</v>
      </c>
    </row>
    <row r="1081" spans="1:11" ht="15.6" x14ac:dyDescent="0.3">
      <c r="A1081" s="1" t="s">
        <v>1291</v>
      </c>
      <c r="B1081" t="str">
        <f>VLOOKUP('Customer Names'!A1081,'Customer Names'!$A$1:$E$2336,4,FALSE)</f>
        <v>Mr.  John P.</v>
      </c>
      <c r="C1081">
        <f>VLOOKUP(Table2[[#This Row],[Customer ID]],Table2[#All],2,FALSE)</f>
        <v>32.774999999999999</v>
      </c>
      <c r="D1081">
        <f>VLOOKUP(Table2[[#This Row],[Customer ID]],Table2[#All],3,FALSE)</f>
        <v>7.95</v>
      </c>
      <c r="E1081" t="str">
        <f>VLOOKUP(Table2[[#This Row],[Customer ID]],Table2[#All],4,FALSE)</f>
        <v>No</v>
      </c>
      <c r="F1081" t="str">
        <f>VLOOKUP(Table2[[#This Row],[Customer ID]],Table2[#All],5,FALSE)</f>
        <v>No</v>
      </c>
      <c r="G1081" t="str">
        <f>VLOOKUP(Table2[[#This Row],[Customer ID]],Table2[#All],6,FALSE)</f>
        <v>No</v>
      </c>
      <c r="H1081">
        <f>VLOOKUP(Table2[[#This Row],[Customer ID]],Table2[#All],7,FALSE)</f>
        <v>0</v>
      </c>
      <c r="I1081" t="str">
        <f>VLOOKUP(Table2[[#This Row],[Customer ID]],Table2[#All],8,FALSE)</f>
        <v>No</v>
      </c>
      <c r="J1081" t="str">
        <f>VLOOKUP(Table2[[#This Row],[Customer ID]],Table2[#All],9,FALSE)</f>
        <v>Obesity</v>
      </c>
      <c r="K1081" t="str">
        <f>VLOOKUP(Table2[[#This Row],[Customer ID]],Table2[#All],10,FALSE)</f>
        <v>Diabetes</v>
      </c>
    </row>
    <row r="1082" spans="1:11" ht="15.6" x14ac:dyDescent="0.3">
      <c r="A1082" s="1" t="s">
        <v>1290</v>
      </c>
      <c r="B1082" t="str">
        <f>VLOOKUP('Customer Names'!A1082,'Customer Names'!$A$1:$E$2336,4,FALSE)</f>
        <v>Mr.  Daniel P</v>
      </c>
      <c r="C1082">
        <f>VLOOKUP(Table2[[#This Row],[Customer ID]],Table2[#All],2,FALSE)</f>
        <v>24.035</v>
      </c>
      <c r="D1082">
        <f>VLOOKUP(Table2[[#This Row],[Customer ID]],Table2[#All],3,FALSE)</f>
        <v>8.5</v>
      </c>
      <c r="E1082" t="str">
        <f>VLOOKUP(Table2[[#This Row],[Customer ID]],Table2[#All],4,FALSE)</f>
        <v>No</v>
      </c>
      <c r="F1082" t="str">
        <f>VLOOKUP(Table2[[#This Row],[Customer ID]],Table2[#All],5,FALSE)</f>
        <v>No</v>
      </c>
      <c r="G1082" t="str">
        <f>VLOOKUP(Table2[[#This Row],[Customer ID]],Table2[#All],6,FALSE)</f>
        <v>No</v>
      </c>
      <c r="H1082">
        <f>VLOOKUP(Table2[[#This Row],[Customer ID]],Table2[#All],7,FALSE)</f>
        <v>0</v>
      </c>
      <c r="I1082" t="str">
        <f>VLOOKUP(Table2[[#This Row],[Customer ID]],Table2[#All],8,FALSE)</f>
        <v>No</v>
      </c>
      <c r="J1082" t="str">
        <f>VLOOKUP(Table2[[#This Row],[Customer ID]],Table2[#All],9,FALSE)</f>
        <v>Normalweight</v>
      </c>
      <c r="K1082" t="str">
        <f>VLOOKUP(Table2[[#This Row],[Customer ID]],Table2[#All],10,FALSE)</f>
        <v>Diabetes</v>
      </c>
    </row>
    <row r="1083" spans="1:11" ht="15.6" x14ac:dyDescent="0.3">
      <c r="A1083" s="1" t="s">
        <v>1289</v>
      </c>
      <c r="B1083" t="str">
        <f>VLOOKUP('Customer Names'!A1083,'Customer Names'!$A$1:$E$2336,4,FALSE)</f>
        <v>Mrs.  Lisa K.</v>
      </c>
      <c r="C1083">
        <f>VLOOKUP(Table2[[#This Row],[Customer ID]],Table2[#All],2,FALSE)</f>
        <v>30.55</v>
      </c>
      <c r="D1083">
        <f>VLOOKUP(Table2[[#This Row],[Customer ID]],Table2[#All],3,FALSE)</f>
        <v>5.89</v>
      </c>
      <c r="E1083" t="str">
        <f>VLOOKUP(Table2[[#This Row],[Customer ID]],Table2[#All],4,FALSE)</f>
        <v>No</v>
      </c>
      <c r="F1083" t="str">
        <f>VLOOKUP(Table2[[#This Row],[Customer ID]],Table2[#All],5,FALSE)</f>
        <v>No</v>
      </c>
      <c r="G1083" t="str">
        <f>VLOOKUP(Table2[[#This Row],[Customer ID]],Table2[#All],6,FALSE)</f>
        <v>Yes</v>
      </c>
      <c r="H1083">
        <f>VLOOKUP(Table2[[#This Row],[Customer ID]],Table2[#All],7,FALSE)</f>
        <v>1</v>
      </c>
      <c r="I1083" t="str">
        <f>VLOOKUP(Table2[[#This Row],[Customer ID]],Table2[#All],8,FALSE)</f>
        <v>No</v>
      </c>
      <c r="J1083" t="str">
        <f>VLOOKUP(Table2[[#This Row],[Customer ID]],Table2[#All],9,FALSE)</f>
        <v>Obesity</v>
      </c>
      <c r="K1083" t="str">
        <f>VLOOKUP(Table2[[#This Row],[Customer ID]],Table2[#All],10,FALSE)</f>
        <v>Prediabetes</v>
      </c>
    </row>
    <row r="1084" spans="1:11" ht="15.6" x14ac:dyDescent="0.3">
      <c r="A1084" s="1" t="s">
        <v>1288</v>
      </c>
      <c r="B1084" t="str">
        <f>VLOOKUP('Customer Names'!A1084,'Customer Names'!$A$1:$E$2336,4,FALSE)</f>
        <v>Mrs.  Kristine</v>
      </c>
      <c r="C1084">
        <f>VLOOKUP(Table2[[#This Row],[Customer ID]],Table2[#All],2,FALSE)</f>
        <v>28.81</v>
      </c>
      <c r="D1084">
        <f>VLOOKUP(Table2[[#This Row],[Customer ID]],Table2[#All],3,FALSE)</f>
        <v>8.76</v>
      </c>
      <c r="E1084" t="str">
        <f>VLOOKUP(Table2[[#This Row],[Customer ID]],Table2[#All],4,FALSE)</f>
        <v>No</v>
      </c>
      <c r="F1084" t="str">
        <f>VLOOKUP(Table2[[#This Row],[Customer ID]],Table2[#All],5,FALSE)</f>
        <v>No</v>
      </c>
      <c r="G1084" t="str">
        <f>VLOOKUP(Table2[[#This Row],[Customer ID]],Table2[#All],6,FALSE)</f>
        <v>No</v>
      </c>
      <c r="H1084">
        <f>VLOOKUP(Table2[[#This Row],[Customer ID]],Table2[#All],7,FALSE)</f>
        <v>2</v>
      </c>
      <c r="I1084" t="str">
        <f>VLOOKUP(Table2[[#This Row],[Customer ID]],Table2[#All],8,FALSE)</f>
        <v>No</v>
      </c>
      <c r="J1084" t="str">
        <f>VLOOKUP(Table2[[#This Row],[Customer ID]],Table2[#All],9,FALSE)</f>
        <v>Overweight</v>
      </c>
      <c r="K1084" t="str">
        <f>VLOOKUP(Table2[[#This Row],[Customer ID]],Table2[#All],10,FALSE)</f>
        <v>Diabetes</v>
      </c>
    </row>
    <row r="1085" spans="1:11" ht="15.6" x14ac:dyDescent="0.3">
      <c r="A1085" s="1" t="s">
        <v>1287</v>
      </c>
      <c r="B1085" t="str">
        <f>VLOOKUP('Customer Names'!A1085,'Customer Names'!$A$1:$E$2336,4,FALSE)</f>
        <v>Mr.  Paul A</v>
      </c>
      <c r="C1085">
        <f>VLOOKUP(Table2[[#This Row],[Customer ID]],Table2[#All],2,FALSE)</f>
        <v>31.66</v>
      </c>
      <c r="D1085">
        <f>VLOOKUP(Table2[[#This Row],[Customer ID]],Table2[#All],3,FALSE)</f>
        <v>4.1100000000000003</v>
      </c>
      <c r="E1085" t="str">
        <f>VLOOKUP(Table2[[#This Row],[Customer ID]],Table2[#All],4,FALSE)</f>
        <v>No</v>
      </c>
      <c r="F1085" t="str">
        <f>VLOOKUP(Table2[[#This Row],[Customer ID]],Table2[#All],5,FALSE)</f>
        <v>No</v>
      </c>
      <c r="G1085" t="str">
        <f>VLOOKUP(Table2[[#This Row],[Customer ID]],Table2[#All],6,FALSE)</f>
        <v>No</v>
      </c>
      <c r="H1085">
        <f>VLOOKUP(Table2[[#This Row],[Customer ID]],Table2[#All],7,FALSE)</f>
        <v>0</v>
      </c>
      <c r="I1085" t="str">
        <f>VLOOKUP(Table2[[#This Row],[Customer ID]],Table2[#All],8,FALSE)</f>
        <v>No</v>
      </c>
      <c r="J1085" t="str">
        <f>VLOOKUP(Table2[[#This Row],[Customer ID]],Table2[#All],9,FALSE)</f>
        <v>Obesity</v>
      </c>
      <c r="K1085" t="str">
        <f>VLOOKUP(Table2[[#This Row],[Customer ID]],Table2[#All],10,FALSE)</f>
        <v>Normal</v>
      </c>
    </row>
    <row r="1086" spans="1:11" ht="15.6" x14ac:dyDescent="0.3">
      <c r="A1086" s="1" t="s">
        <v>1286</v>
      </c>
      <c r="B1086" t="str">
        <f>VLOOKUP('Customer Names'!A1086,'Customer Names'!$A$1:$E$2336,4,FALSE)</f>
        <v>Mr.  Bryan</v>
      </c>
      <c r="C1086">
        <f>VLOOKUP(Table2[[#This Row],[Customer ID]],Table2[#All],2,FALSE)</f>
        <v>28.215</v>
      </c>
      <c r="D1086">
        <f>VLOOKUP(Table2[[#This Row],[Customer ID]],Table2[#All],3,FALSE)</f>
        <v>7.56</v>
      </c>
      <c r="E1086" t="str">
        <f>VLOOKUP(Table2[[#This Row],[Customer ID]],Table2[#All],4,FALSE)</f>
        <v>Yes</v>
      </c>
      <c r="F1086" t="str">
        <f>VLOOKUP(Table2[[#This Row],[Customer ID]],Table2[#All],5,FALSE)</f>
        <v>No</v>
      </c>
      <c r="G1086" t="str">
        <f>VLOOKUP(Table2[[#This Row],[Customer ID]],Table2[#All],6,FALSE)</f>
        <v>No</v>
      </c>
      <c r="H1086">
        <f>VLOOKUP(Table2[[#This Row],[Customer ID]],Table2[#All],7,FALSE)</f>
        <v>1</v>
      </c>
      <c r="I1086" t="str">
        <f>VLOOKUP(Table2[[#This Row],[Customer ID]],Table2[#All],8,FALSE)</f>
        <v>No</v>
      </c>
      <c r="J1086" t="str">
        <f>VLOOKUP(Table2[[#This Row],[Customer ID]],Table2[#All],9,FALSE)</f>
        <v>Overweight</v>
      </c>
      <c r="K1086" t="str">
        <f>VLOOKUP(Table2[[#This Row],[Customer ID]],Table2[#All],10,FALSE)</f>
        <v>Diabetes</v>
      </c>
    </row>
    <row r="1087" spans="1:11" ht="15.6" x14ac:dyDescent="0.3">
      <c r="A1087" s="1" t="s">
        <v>1285</v>
      </c>
      <c r="B1087" t="str">
        <f>VLOOKUP('Customer Names'!A1087,'Customer Names'!$A$1:$E$2336,4,FALSE)</f>
        <v>Mr.  Chris</v>
      </c>
      <c r="C1087">
        <f>VLOOKUP(Table2[[#This Row],[Customer ID]],Table2[#All],2,FALSE)</f>
        <v>26.12</v>
      </c>
      <c r="D1087">
        <f>VLOOKUP(Table2[[#This Row],[Customer ID]],Table2[#All],3,FALSE)</f>
        <v>4.17</v>
      </c>
      <c r="E1087" t="str">
        <f>VLOOKUP(Table2[[#This Row],[Customer ID]],Table2[#All],4,FALSE)</f>
        <v>Yes</v>
      </c>
      <c r="F1087" t="str">
        <f>VLOOKUP(Table2[[#This Row],[Customer ID]],Table2[#All],5,FALSE)</f>
        <v>No</v>
      </c>
      <c r="G1087" t="str">
        <f>VLOOKUP(Table2[[#This Row],[Customer ID]],Table2[#All],6,FALSE)</f>
        <v>Yes</v>
      </c>
      <c r="H1087">
        <f>VLOOKUP(Table2[[#This Row],[Customer ID]],Table2[#All],7,FALSE)</f>
        <v>1</v>
      </c>
      <c r="I1087" t="str">
        <f>VLOOKUP(Table2[[#This Row],[Customer ID]],Table2[#All],8,FALSE)</f>
        <v>No</v>
      </c>
      <c r="J1087" t="str">
        <f>VLOOKUP(Table2[[#This Row],[Customer ID]],Table2[#All],9,FALSE)</f>
        <v>Overweight</v>
      </c>
      <c r="K1087" t="str">
        <f>VLOOKUP(Table2[[#This Row],[Customer ID]],Table2[#All],10,FALSE)</f>
        <v>Normal</v>
      </c>
    </row>
    <row r="1088" spans="1:11" ht="15.6" x14ac:dyDescent="0.3">
      <c r="A1088" s="1" t="s">
        <v>1284</v>
      </c>
      <c r="B1088" t="str">
        <f>VLOOKUP('Customer Names'!A1088,'Customer Names'!$A$1:$E$2336,4,FALSE)</f>
        <v>Ms.  Milah B</v>
      </c>
      <c r="C1088">
        <f>VLOOKUP(Table2[[#This Row],[Customer ID]],Table2[#All],2,FALSE)</f>
        <v>36.630000000000003</v>
      </c>
      <c r="D1088">
        <f>VLOOKUP(Table2[[#This Row],[Customer ID]],Table2[#All],3,FALSE)</f>
        <v>11.42</v>
      </c>
      <c r="E1088" t="str">
        <f>VLOOKUP(Table2[[#This Row],[Customer ID]],Table2[#All],4,FALSE)</f>
        <v>No</v>
      </c>
      <c r="F1088" t="str">
        <f>VLOOKUP(Table2[[#This Row],[Customer ID]],Table2[#All],5,FALSE)</f>
        <v>No</v>
      </c>
      <c r="G1088" t="str">
        <f>VLOOKUP(Table2[[#This Row],[Customer ID]],Table2[#All],6,FALSE)</f>
        <v>No</v>
      </c>
      <c r="H1088">
        <f>VLOOKUP(Table2[[#This Row],[Customer ID]],Table2[#All],7,FALSE)</f>
        <v>2</v>
      </c>
      <c r="I1088" t="str">
        <f>VLOOKUP(Table2[[#This Row],[Customer ID]],Table2[#All],8,FALSE)</f>
        <v>No</v>
      </c>
      <c r="J1088" t="str">
        <f>VLOOKUP(Table2[[#This Row],[Customer ID]],Table2[#All],9,FALSE)</f>
        <v>Obesity</v>
      </c>
      <c r="K1088" t="str">
        <f>VLOOKUP(Table2[[#This Row],[Customer ID]],Table2[#All],10,FALSE)</f>
        <v>Diabetes</v>
      </c>
    </row>
    <row r="1089" spans="1:11" ht="15.6" x14ac:dyDescent="0.3">
      <c r="A1089" s="1" t="s">
        <v>1283</v>
      </c>
      <c r="B1089" t="str">
        <f>VLOOKUP('Customer Names'!A1089,'Customer Names'!$A$1:$E$2336,4,FALSE)</f>
        <v>Ms.  Annette M.</v>
      </c>
      <c r="C1089">
        <f>VLOOKUP(Table2[[#This Row],[Customer ID]],Table2[#All],2,FALSE)</f>
        <v>33.344999999999999</v>
      </c>
      <c r="D1089">
        <f>VLOOKUP(Table2[[#This Row],[Customer ID]],Table2[#All],3,FALSE)</f>
        <v>7.33</v>
      </c>
      <c r="E1089" t="str">
        <f>VLOOKUP(Table2[[#This Row],[Customer ID]],Table2[#All],4,FALSE)</f>
        <v>No</v>
      </c>
      <c r="F1089" t="str">
        <f>VLOOKUP(Table2[[#This Row],[Customer ID]],Table2[#All],5,FALSE)</f>
        <v>No</v>
      </c>
      <c r="G1089" t="str">
        <f>VLOOKUP(Table2[[#This Row],[Customer ID]],Table2[#All],6,FALSE)</f>
        <v>No</v>
      </c>
      <c r="H1089">
        <f>VLOOKUP(Table2[[#This Row],[Customer ID]],Table2[#All],7,FALSE)</f>
        <v>2</v>
      </c>
      <c r="I1089" t="str">
        <f>VLOOKUP(Table2[[#This Row],[Customer ID]],Table2[#All],8,FALSE)</f>
        <v>No</v>
      </c>
      <c r="J1089" t="str">
        <f>VLOOKUP(Table2[[#This Row],[Customer ID]],Table2[#All],9,FALSE)</f>
        <v>Obesity</v>
      </c>
      <c r="K1089" t="str">
        <f>VLOOKUP(Table2[[#This Row],[Customer ID]],Table2[#All],10,FALSE)</f>
        <v>Diabetes</v>
      </c>
    </row>
    <row r="1090" spans="1:11" ht="15.6" x14ac:dyDescent="0.3">
      <c r="A1090" s="1" t="s">
        <v>1282</v>
      </c>
      <c r="B1090" t="str">
        <f>VLOOKUP('Customer Names'!A1090,'Customer Names'!$A$1:$E$2336,4,FALSE)</f>
        <v>Mrs.  Yoko</v>
      </c>
      <c r="C1090">
        <f>VLOOKUP(Table2[[#This Row],[Customer ID]],Table2[#All],2,FALSE)</f>
        <v>27.11</v>
      </c>
      <c r="D1090">
        <f>VLOOKUP(Table2[[#This Row],[Customer ID]],Table2[#All],3,FALSE)</f>
        <v>6.7</v>
      </c>
      <c r="E1090" t="str">
        <f>VLOOKUP(Table2[[#This Row],[Customer ID]],Table2[#All],4,FALSE)</f>
        <v>No</v>
      </c>
      <c r="F1090" t="str">
        <f>VLOOKUP(Table2[[#This Row],[Customer ID]],Table2[#All],5,FALSE)</f>
        <v>No</v>
      </c>
      <c r="G1090" t="str">
        <f>VLOOKUP(Table2[[#This Row],[Customer ID]],Table2[#All],6,FALSE)</f>
        <v>No</v>
      </c>
      <c r="H1090">
        <f>VLOOKUP(Table2[[#This Row],[Customer ID]],Table2[#All],7,FALSE)</f>
        <v>0</v>
      </c>
      <c r="I1090" t="str">
        <f>VLOOKUP(Table2[[#This Row],[Customer ID]],Table2[#All],8,FALSE)</f>
        <v>No</v>
      </c>
      <c r="J1090" t="str">
        <f>VLOOKUP(Table2[[#This Row],[Customer ID]],Table2[#All],9,FALSE)</f>
        <v>Overweight</v>
      </c>
      <c r="K1090" t="str">
        <f>VLOOKUP(Table2[[#This Row],[Customer ID]],Table2[#All],10,FALSE)</f>
        <v>Diabetes</v>
      </c>
    </row>
    <row r="1091" spans="1:11" ht="15.6" x14ac:dyDescent="0.3">
      <c r="A1091" s="1" t="s">
        <v>1281</v>
      </c>
      <c r="B1091" t="str">
        <f>VLOOKUP('Customer Names'!A1091,'Customer Names'!$A$1:$E$2336,4,FALSE)</f>
        <v>Ms.  Laura</v>
      </c>
      <c r="C1091">
        <f>VLOOKUP(Table2[[#This Row],[Customer ID]],Table2[#All],2,FALSE)</f>
        <v>26.6</v>
      </c>
      <c r="D1091">
        <f>VLOOKUP(Table2[[#This Row],[Customer ID]],Table2[#All],3,FALSE)</f>
        <v>5.27</v>
      </c>
      <c r="E1091" t="str">
        <f>VLOOKUP(Table2[[#This Row],[Customer ID]],Table2[#All],4,FALSE)</f>
        <v>Yes</v>
      </c>
      <c r="F1091" t="str">
        <f>VLOOKUP(Table2[[#This Row],[Customer ID]],Table2[#All],5,FALSE)</f>
        <v>No</v>
      </c>
      <c r="G1091" t="str">
        <f>VLOOKUP(Table2[[#This Row],[Customer ID]],Table2[#All],6,FALSE)</f>
        <v>Yes</v>
      </c>
      <c r="H1091">
        <f>VLOOKUP(Table2[[#This Row],[Customer ID]],Table2[#All],7,FALSE)</f>
        <v>1</v>
      </c>
      <c r="I1091" t="str">
        <f>VLOOKUP(Table2[[#This Row],[Customer ID]],Table2[#All],8,FALSE)</f>
        <v>No</v>
      </c>
      <c r="J1091" t="str">
        <f>VLOOKUP(Table2[[#This Row],[Customer ID]],Table2[#All],9,FALSE)</f>
        <v>Overweight</v>
      </c>
      <c r="K1091" t="str">
        <f>VLOOKUP(Table2[[#This Row],[Customer ID]],Table2[#All],10,FALSE)</f>
        <v>Normal</v>
      </c>
    </row>
    <row r="1092" spans="1:11" ht="15.6" x14ac:dyDescent="0.3">
      <c r="A1092" s="1" t="s">
        <v>1280</v>
      </c>
      <c r="B1092" t="str">
        <f>VLOOKUP('Customer Names'!A1092,'Customer Names'!$A$1:$E$2336,4,FALSE)</f>
        <v>Ms.  Tess A.</v>
      </c>
      <c r="C1092">
        <f>VLOOKUP(Table2[[#This Row],[Customer ID]],Table2[#All],2,FALSE)</f>
        <v>30.41</v>
      </c>
      <c r="D1092">
        <f>VLOOKUP(Table2[[#This Row],[Customer ID]],Table2[#All],3,FALSE)</f>
        <v>7.72</v>
      </c>
      <c r="E1092" t="str">
        <f>VLOOKUP(Table2[[#This Row],[Customer ID]],Table2[#All],4,FALSE)</f>
        <v>No</v>
      </c>
      <c r="F1092" t="str">
        <f>VLOOKUP(Table2[[#This Row],[Customer ID]],Table2[#All],5,FALSE)</f>
        <v>No</v>
      </c>
      <c r="G1092" t="str">
        <f>VLOOKUP(Table2[[#This Row],[Customer ID]],Table2[#All],6,FALSE)</f>
        <v>No</v>
      </c>
      <c r="H1092">
        <f>VLOOKUP(Table2[[#This Row],[Customer ID]],Table2[#All],7,FALSE)</f>
        <v>0</v>
      </c>
      <c r="I1092" t="str">
        <f>VLOOKUP(Table2[[#This Row],[Customer ID]],Table2[#All],8,FALSE)</f>
        <v>No</v>
      </c>
      <c r="J1092" t="str">
        <f>VLOOKUP(Table2[[#This Row],[Customer ID]],Table2[#All],9,FALSE)</f>
        <v>Obesity</v>
      </c>
      <c r="K1092" t="str">
        <f>VLOOKUP(Table2[[#This Row],[Customer ID]],Table2[#All],10,FALSE)</f>
        <v>Diabetes</v>
      </c>
    </row>
    <row r="1093" spans="1:11" ht="15.6" x14ac:dyDescent="0.3">
      <c r="A1093" s="1" t="s">
        <v>1279</v>
      </c>
      <c r="B1093" t="str">
        <f>VLOOKUP('Customer Names'!A1093,'Customer Names'!$A$1:$E$2336,4,FALSE)</f>
        <v>Mr.  William G.</v>
      </c>
      <c r="C1093">
        <f>VLOOKUP(Table2[[#This Row],[Customer ID]],Table2[#All],2,FALSE)</f>
        <v>28.98</v>
      </c>
      <c r="D1093">
        <f>VLOOKUP(Table2[[#This Row],[Customer ID]],Table2[#All],3,FALSE)</f>
        <v>8.68</v>
      </c>
      <c r="E1093" t="str">
        <f>VLOOKUP(Table2[[#This Row],[Customer ID]],Table2[#All],4,FALSE)</f>
        <v>No</v>
      </c>
      <c r="F1093" t="str">
        <f>VLOOKUP(Table2[[#This Row],[Customer ID]],Table2[#All],5,FALSE)</f>
        <v>No</v>
      </c>
      <c r="G1093" t="str">
        <f>VLOOKUP(Table2[[#This Row],[Customer ID]],Table2[#All],6,FALSE)</f>
        <v>No</v>
      </c>
      <c r="H1093">
        <f>VLOOKUP(Table2[[#This Row],[Customer ID]],Table2[#All],7,FALSE)</f>
        <v>2</v>
      </c>
      <c r="I1093" t="str">
        <f>VLOOKUP(Table2[[#This Row],[Customer ID]],Table2[#All],8,FALSE)</f>
        <v>No</v>
      </c>
      <c r="J1093" t="str">
        <f>VLOOKUP(Table2[[#This Row],[Customer ID]],Table2[#All],9,FALSE)</f>
        <v>Overweight</v>
      </c>
      <c r="K1093" t="str">
        <f>VLOOKUP(Table2[[#This Row],[Customer ID]],Table2[#All],10,FALSE)</f>
        <v>Diabetes</v>
      </c>
    </row>
    <row r="1094" spans="1:11" ht="15.6" x14ac:dyDescent="0.3">
      <c r="A1094" s="1" t="s">
        <v>1278</v>
      </c>
      <c r="B1094" t="str">
        <f>VLOOKUP('Customer Names'!A1094,'Customer Names'!$A$1:$E$2336,4,FALSE)</f>
        <v>Ms.  Paige</v>
      </c>
      <c r="C1094">
        <f>VLOOKUP(Table2[[#This Row],[Customer ID]],Table2[#All],2,FALSE)</f>
        <v>31.24</v>
      </c>
      <c r="D1094">
        <f>VLOOKUP(Table2[[#This Row],[Customer ID]],Table2[#All],3,FALSE)</f>
        <v>9.8000000000000007</v>
      </c>
      <c r="E1094" t="str">
        <f>VLOOKUP(Table2[[#This Row],[Customer ID]],Table2[#All],4,FALSE)</f>
        <v>No</v>
      </c>
      <c r="F1094" t="str">
        <f>VLOOKUP(Table2[[#This Row],[Customer ID]],Table2[#All],5,FALSE)</f>
        <v>No</v>
      </c>
      <c r="G1094" t="str">
        <f>VLOOKUP(Table2[[#This Row],[Customer ID]],Table2[#All],6,FALSE)</f>
        <v>No</v>
      </c>
      <c r="H1094">
        <f>VLOOKUP(Table2[[#This Row],[Customer ID]],Table2[#All],7,FALSE)</f>
        <v>0</v>
      </c>
      <c r="I1094" t="str">
        <f>VLOOKUP(Table2[[#This Row],[Customer ID]],Table2[#All],8,FALSE)</f>
        <v>No</v>
      </c>
      <c r="J1094" t="str">
        <f>VLOOKUP(Table2[[#This Row],[Customer ID]],Table2[#All],9,FALSE)</f>
        <v>Obesity</v>
      </c>
      <c r="K1094" t="str">
        <f>VLOOKUP(Table2[[#This Row],[Customer ID]],Table2[#All],10,FALSE)</f>
        <v>Diabetes</v>
      </c>
    </row>
    <row r="1095" spans="1:11" ht="15.6" x14ac:dyDescent="0.3">
      <c r="A1095" s="1" t="s">
        <v>1277</v>
      </c>
      <c r="B1095" t="str">
        <f>VLOOKUP('Customer Names'!A1095,'Customer Names'!$A$1:$E$2336,4,FALSE)</f>
        <v>Mr.  Matthew J</v>
      </c>
      <c r="C1095">
        <f>VLOOKUP(Table2[[#This Row],[Customer ID]],Table2[#All],2,FALSE)</f>
        <v>31.54</v>
      </c>
      <c r="D1095">
        <f>VLOOKUP(Table2[[#This Row],[Customer ID]],Table2[#All],3,FALSE)</f>
        <v>4.4400000000000004</v>
      </c>
      <c r="E1095" t="str">
        <f>VLOOKUP(Table2[[#This Row],[Customer ID]],Table2[#All],4,FALSE)</f>
        <v>No</v>
      </c>
      <c r="F1095" t="str">
        <f>VLOOKUP(Table2[[#This Row],[Customer ID]],Table2[#All],5,FALSE)</f>
        <v>No</v>
      </c>
      <c r="G1095" t="str">
        <f>VLOOKUP(Table2[[#This Row],[Customer ID]],Table2[#All],6,FALSE)</f>
        <v>No</v>
      </c>
      <c r="H1095">
        <f>VLOOKUP(Table2[[#This Row],[Customer ID]],Table2[#All],7,FALSE)</f>
        <v>0</v>
      </c>
      <c r="I1095" t="str">
        <f>VLOOKUP(Table2[[#This Row],[Customer ID]],Table2[#All],8,FALSE)</f>
        <v>No</v>
      </c>
      <c r="J1095" t="str">
        <f>VLOOKUP(Table2[[#This Row],[Customer ID]],Table2[#All],9,FALSE)</f>
        <v>Obesity</v>
      </c>
      <c r="K1095" t="str">
        <f>VLOOKUP(Table2[[#This Row],[Customer ID]],Table2[#All],10,FALSE)</f>
        <v>Normal</v>
      </c>
    </row>
    <row r="1096" spans="1:11" ht="15.6" x14ac:dyDescent="0.3">
      <c r="A1096" s="1" t="s">
        <v>1276</v>
      </c>
      <c r="B1096" t="str">
        <f>VLOOKUP('Customer Names'!A1096,'Customer Names'!$A$1:$E$2336,4,FALSE)</f>
        <v>Mr.  Matthew</v>
      </c>
      <c r="C1096">
        <f>VLOOKUP(Table2[[#This Row],[Customer ID]],Table2[#All],2,FALSE)</f>
        <v>38.6</v>
      </c>
      <c r="D1096">
        <f>VLOOKUP(Table2[[#This Row],[Customer ID]],Table2[#All],3,FALSE)</f>
        <v>7.19</v>
      </c>
      <c r="E1096" t="str">
        <f>VLOOKUP(Table2[[#This Row],[Customer ID]],Table2[#All],4,FALSE)</f>
        <v>Yes</v>
      </c>
      <c r="F1096" t="str">
        <f>VLOOKUP(Table2[[#This Row],[Customer ID]],Table2[#All],5,FALSE)</f>
        <v>No</v>
      </c>
      <c r="G1096" t="str">
        <f>VLOOKUP(Table2[[#This Row],[Customer ID]],Table2[#All],6,FALSE)</f>
        <v>No</v>
      </c>
      <c r="H1096">
        <f>VLOOKUP(Table2[[#This Row],[Customer ID]],Table2[#All],7,FALSE)</f>
        <v>2</v>
      </c>
      <c r="I1096" t="str">
        <f>VLOOKUP(Table2[[#This Row],[Customer ID]],Table2[#All],8,FALSE)</f>
        <v>No</v>
      </c>
      <c r="J1096" t="str">
        <f>VLOOKUP(Table2[[#This Row],[Customer ID]],Table2[#All],9,FALSE)</f>
        <v>Obesity</v>
      </c>
      <c r="K1096" t="str">
        <f>VLOOKUP(Table2[[#This Row],[Customer ID]],Table2[#All],10,FALSE)</f>
        <v>Diabetes</v>
      </c>
    </row>
    <row r="1097" spans="1:11" ht="15.6" x14ac:dyDescent="0.3">
      <c r="A1097" s="1" t="s">
        <v>1275</v>
      </c>
      <c r="B1097" t="str">
        <f>VLOOKUP('Customer Names'!A1097,'Customer Names'!$A$1:$E$2336,4,FALSE)</f>
        <v>Mrs.  Maria</v>
      </c>
      <c r="C1097">
        <f>VLOOKUP(Table2[[#This Row],[Customer ID]],Table2[#All],2,FALSE)</f>
        <v>37.950000000000003</v>
      </c>
      <c r="D1097">
        <f>VLOOKUP(Table2[[#This Row],[Customer ID]],Table2[#All],3,FALSE)</f>
        <v>6.06</v>
      </c>
      <c r="E1097" t="str">
        <f>VLOOKUP(Table2[[#This Row],[Customer ID]],Table2[#All],4,FALSE)</f>
        <v>No</v>
      </c>
      <c r="F1097" t="str">
        <f>VLOOKUP(Table2[[#This Row],[Customer ID]],Table2[#All],5,FALSE)</f>
        <v>No</v>
      </c>
      <c r="G1097" t="str">
        <f>VLOOKUP(Table2[[#This Row],[Customer ID]],Table2[#All],6,FALSE)</f>
        <v>No</v>
      </c>
      <c r="H1097">
        <f>VLOOKUP(Table2[[#This Row],[Customer ID]],Table2[#All],7,FALSE)</f>
        <v>0</v>
      </c>
      <c r="I1097" t="str">
        <f>VLOOKUP(Table2[[#This Row],[Customer ID]],Table2[#All],8,FALSE)</f>
        <v>No</v>
      </c>
      <c r="J1097" t="str">
        <f>VLOOKUP(Table2[[#This Row],[Customer ID]],Table2[#All],9,FALSE)</f>
        <v>Obesity</v>
      </c>
      <c r="K1097" t="str">
        <f>VLOOKUP(Table2[[#This Row],[Customer ID]],Table2[#All],10,FALSE)</f>
        <v>Prediabetes</v>
      </c>
    </row>
    <row r="1098" spans="1:11" ht="15.6" x14ac:dyDescent="0.3">
      <c r="A1098" s="1" t="s">
        <v>1274</v>
      </c>
      <c r="B1098" t="str">
        <f>VLOOKUP('Customer Names'!A1098,'Customer Names'!$A$1:$E$2336,4,FALSE)</f>
        <v>Ms.  Stephanie D</v>
      </c>
      <c r="C1098">
        <f>VLOOKUP(Table2[[#This Row],[Customer ID]],Table2[#All],2,FALSE)</f>
        <v>38.97</v>
      </c>
      <c r="D1098">
        <f>VLOOKUP(Table2[[#This Row],[Customer ID]],Table2[#All],3,FALSE)</f>
        <v>5.12</v>
      </c>
      <c r="E1098" t="str">
        <f>VLOOKUP(Table2[[#This Row],[Customer ID]],Table2[#All],4,FALSE)</f>
        <v>No</v>
      </c>
      <c r="F1098" t="str">
        <f>VLOOKUP(Table2[[#This Row],[Customer ID]],Table2[#All],5,FALSE)</f>
        <v>No</v>
      </c>
      <c r="G1098" t="str">
        <f>VLOOKUP(Table2[[#This Row],[Customer ID]],Table2[#All],6,FALSE)</f>
        <v>No</v>
      </c>
      <c r="H1098">
        <f>VLOOKUP(Table2[[#This Row],[Customer ID]],Table2[#All],7,FALSE)</f>
        <v>0</v>
      </c>
      <c r="I1098" t="str">
        <f>VLOOKUP(Table2[[#This Row],[Customer ID]],Table2[#All],8,FALSE)</f>
        <v>No</v>
      </c>
      <c r="J1098" t="str">
        <f>VLOOKUP(Table2[[#This Row],[Customer ID]],Table2[#All],9,FALSE)</f>
        <v>Obesity</v>
      </c>
      <c r="K1098" t="str">
        <f>VLOOKUP(Table2[[#This Row],[Customer ID]],Table2[#All],10,FALSE)</f>
        <v>Normal</v>
      </c>
    </row>
    <row r="1099" spans="1:11" ht="15.6" x14ac:dyDescent="0.3">
      <c r="A1099" s="1" t="s">
        <v>1273</v>
      </c>
      <c r="B1099" t="str">
        <f>VLOOKUP('Customer Names'!A1099,'Customer Names'!$A$1:$E$2336,4,FALSE)</f>
        <v>Ms.  Tiffany</v>
      </c>
      <c r="C1099">
        <f>VLOOKUP(Table2[[#This Row],[Customer ID]],Table2[#All],2,FALSE)</f>
        <v>21.2</v>
      </c>
      <c r="D1099">
        <f>VLOOKUP(Table2[[#This Row],[Customer ID]],Table2[#All],3,FALSE)</f>
        <v>10.72</v>
      </c>
      <c r="E1099" t="str">
        <f>VLOOKUP(Table2[[#This Row],[Customer ID]],Table2[#All],4,FALSE)</f>
        <v>No</v>
      </c>
      <c r="F1099" t="str">
        <f>VLOOKUP(Table2[[#This Row],[Customer ID]],Table2[#All],5,FALSE)</f>
        <v>No</v>
      </c>
      <c r="G1099" t="str">
        <f>VLOOKUP(Table2[[#This Row],[Customer ID]],Table2[#All],6,FALSE)</f>
        <v>No</v>
      </c>
      <c r="H1099">
        <f>VLOOKUP(Table2[[#This Row],[Customer ID]],Table2[#All],7,FALSE)</f>
        <v>0</v>
      </c>
      <c r="I1099" t="str">
        <f>VLOOKUP(Table2[[#This Row],[Customer ID]],Table2[#All],8,FALSE)</f>
        <v>No</v>
      </c>
      <c r="J1099" t="str">
        <f>VLOOKUP(Table2[[#This Row],[Customer ID]],Table2[#All],9,FALSE)</f>
        <v>Normalweight</v>
      </c>
      <c r="K1099" t="str">
        <f>VLOOKUP(Table2[[#This Row],[Customer ID]],Table2[#All],10,FALSE)</f>
        <v>Diabetes</v>
      </c>
    </row>
    <row r="1100" spans="1:11" ht="15.6" x14ac:dyDescent="0.3">
      <c r="A1100" s="1" t="s">
        <v>1272</v>
      </c>
      <c r="B1100" t="str">
        <f>VLOOKUP('Customer Names'!A1100,'Customer Names'!$A$1:$E$2336,4,FALSE)</f>
        <v>Ms.  Sara M.</v>
      </c>
      <c r="C1100">
        <f>VLOOKUP(Table2[[#This Row],[Customer ID]],Table2[#All],2,FALSE)</f>
        <v>23.96</v>
      </c>
      <c r="D1100">
        <f>VLOOKUP(Table2[[#This Row],[Customer ID]],Table2[#All],3,FALSE)</f>
        <v>9.58</v>
      </c>
      <c r="E1100" t="str">
        <f>VLOOKUP(Table2[[#This Row],[Customer ID]],Table2[#All],4,FALSE)</f>
        <v>Yes</v>
      </c>
      <c r="F1100" t="str">
        <f>VLOOKUP(Table2[[#This Row],[Customer ID]],Table2[#All],5,FALSE)</f>
        <v>No</v>
      </c>
      <c r="G1100" t="str">
        <f>VLOOKUP(Table2[[#This Row],[Customer ID]],Table2[#All],6,FALSE)</f>
        <v>Yes</v>
      </c>
      <c r="H1100">
        <f>VLOOKUP(Table2[[#This Row],[Customer ID]],Table2[#All],7,FALSE)</f>
        <v>1</v>
      </c>
      <c r="I1100" t="str">
        <f>VLOOKUP(Table2[[#This Row],[Customer ID]],Table2[#All],8,FALSE)</f>
        <v>No</v>
      </c>
      <c r="J1100" t="str">
        <f>VLOOKUP(Table2[[#This Row],[Customer ID]],Table2[#All],9,FALSE)</f>
        <v>Normalweight</v>
      </c>
      <c r="K1100" t="str">
        <f>VLOOKUP(Table2[[#This Row],[Customer ID]],Table2[#All],10,FALSE)</f>
        <v>Diabetes</v>
      </c>
    </row>
    <row r="1101" spans="1:11" ht="15.6" x14ac:dyDescent="0.3">
      <c r="A1101" s="1" t="s">
        <v>1271</v>
      </c>
      <c r="B1101" t="str">
        <f>VLOOKUP('Customer Names'!A1101,'Customer Names'!$A$1:$E$2336,4,FALSE)</f>
        <v>Mr.  Scott A.</v>
      </c>
      <c r="C1101">
        <f>VLOOKUP(Table2[[#This Row],[Customer ID]],Table2[#All],2,FALSE)</f>
        <v>35.93</v>
      </c>
      <c r="D1101">
        <f>VLOOKUP(Table2[[#This Row],[Customer ID]],Table2[#All],3,FALSE)</f>
        <v>6.4</v>
      </c>
      <c r="E1101" t="str">
        <f>VLOOKUP(Table2[[#This Row],[Customer ID]],Table2[#All],4,FALSE)</f>
        <v>Yes</v>
      </c>
      <c r="F1101" t="str">
        <f>VLOOKUP(Table2[[#This Row],[Customer ID]],Table2[#All],5,FALSE)</f>
        <v>No</v>
      </c>
      <c r="G1101" t="str">
        <f>VLOOKUP(Table2[[#This Row],[Customer ID]],Table2[#All],6,FALSE)</f>
        <v>No</v>
      </c>
      <c r="H1101">
        <f>VLOOKUP(Table2[[#This Row],[Customer ID]],Table2[#All],7,FALSE)</f>
        <v>1</v>
      </c>
      <c r="I1101" t="str">
        <f>VLOOKUP(Table2[[#This Row],[Customer ID]],Table2[#All],8,FALSE)</f>
        <v>No</v>
      </c>
      <c r="J1101" t="str">
        <f>VLOOKUP(Table2[[#This Row],[Customer ID]],Table2[#All],9,FALSE)</f>
        <v>Obesity</v>
      </c>
      <c r="K1101" t="str">
        <f>VLOOKUP(Table2[[#This Row],[Customer ID]],Table2[#All],10,FALSE)</f>
        <v>Prediabetes</v>
      </c>
    </row>
    <row r="1102" spans="1:11" ht="15.6" x14ac:dyDescent="0.3">
      <c r="A1102" s="1" t="s">
        <v>1270</v>
      </c>
      <c r="B1102" t="str">
        <f>VLOOKUP('Customer Names'!A1102,'Customer Names'!$A$1:$E$2336,4,FALSE)</f>
        <v>Mrs.  Lauren</v>
      </c>
      <c r="C1102">
        <f>VLOOKUP(Table2[[#This Row],[Customer ID]],Table2[#All],2,FALSE)</f>
        <v>26.11</v>
      </c>
      <c r="D1102">
        <f>VLOOKUP(Table2[[#This Row],[Customer ID]],Table2[#All],3,FALSE)</f>
        <v>6.8</v>
      </c>
      <c r="E1102" t="str">
        <f>VLOOKUP(Table2[[#This Row],[Customer ID]],Table2[#All],4,FALSE)</f>
        <v>Yes</v>
      </c>
      <c r="F1102" t="str">
        <f>VLOOKUP(Table2[[#This Row],[Customer ID]],Table2[#All],5,FALSE)</f>
        <v>No</v>
      </c>
      <c r="G1102" t="str">
        <f>VLOOKUP(Table2[[#This Row],[Customer ID]],Table2[#All],6,FALSE)</f>
        <v>No</v>
      </c>
      <c r="H1102">
        <f>VLOOKUP(Table2[[#This Row],[Customer ID]],Table2[#All],7,FALSE)</f>
        <v>2</v>
      </c>
      <c r="I1102" t="str">
        <f>VLOOKUP(Table2[[#This Row],[Customer ID]],Table2[#All],8,FALSE)</f>
        <v>No</v>
      </c>
      <c r="J1102" t="str">
        <f>VLOOKUP(Table2[[#This Row],[Customer ID]],Table2[#All],9,FALSE)</f>
        <v>Overweight</v>
      </c>
      <c r="K1102" t="str">
        <f>VLOOKUP(Table2[[#This Row],[Customer ID]],Table2[#All],10,FALSE)</f>
        <v>Diabetes</v>
      </c>
    </row>
    <row r="1103" spans="1:11" ht="15.6" x14ac:dyDescent="0.3">
      <c r="A1103" s="1" t="s">
        <v>1269</v>
      </c>
      <c r="B1103" t="str">
        <f>VLOOKUP('Customer Names'!A1103,'Customer Names'!$A$1:$E$2336,4,FALSE)</f>
        <v>Mr.  Scott</v>
      </c>
      <c r="C1103">
        <f>VLOOKUP(Table2[[#This Row],[Customer ID]],Table2[#All],2,FALSE)</f>
        <v>32.299999999999997</v>
      </c>
      <c r="D1103">
        <f>VLOOKUP(Table2[[#This Row],[Customer ID]],Table2[#All],3,FALSE)</f>
        <v>9.48</v>
      </c>
      <c r="E1103" t="str">
        <f>VLOOKUP(Table2[[#This Row],[Customer ID]],Table2[#All],4,FALSE)</f>
        <v>No</v>
      </c>
      <c r="F1103" t="str">
        <f>VLOOKUP(Table2[[#This Row],[Customer ID]],Table2[#All],5,FALSE)</f>
        <v>No</v>
      </c>
      <c r="G1103" t="str">
        <f>VLOOKUP(Table2[[#This Row],[Customer ID]],Table2[#All],6,FALSE)</f>
        <v>No</v>
      </c>
      <c r="H1103">
        <f>VLOOKUP(Table2[[#This Row],[Customer ID]],Table2[#All],7,FALSE)</f>
        <v>2</v>
      </c>
      <c r="I1103" t="str">
        <f>VLOOKUP(Table2[[#This Row],[Customer ID]],Table2[#All],8,FALSE)</f>
        <v>No</v>
      </c>
      <c r="J1103" t="str">
        <f>VLOOKUP(Table2[[#This Row],[Customer ID]],Table2[#All],9,FALSE)</f>
        <v>Obesity</v>
      </c>
      <c r="K1103" t="str">
        <f>VLOOKUP(Table2[[#This Row],[Customer ID]],Table2[#All],10,FALSE)</f>
        <v>Diabetes</v>
      </c>
    </row>
    <row r="1104" spans="1:11" ht="15.6" x14ac:dyDescent="0.3">
      <c r="A1104" s="1" t="s">
        <v>1268</v>
      </c>
      <c r="B1104" t="str">
        <f>VLOOKUP('Customer Names'!A1104,'Customer Names'!$A$1:$E$2336,4,FALSE)</f>
        <v>Mr.  Brian A.</v>
      </c>
      <c r="C1104">
        <f>VLOOKUP(Table2[[#This Row],[Customer ID]],Table2[#All],2,FALSE)</f>
        <v>28.69</v>
      </c>
      <c r="D1104">
        <f>VLOOKUP(Table2[[#This Row],[Customer ID]],Table2[#All],3,FALSE)</f>
        <v>7.45</v>
      </c>
      <c r="E1104" t="str">
        <f>VLOOKUP(Table2[[#This Row],[Customer ID]],Table2[#All],4,FALSE)</f>
        <v>No</v>
      </c>
      <c r="F1104" t="str">
        <f>VLOOKUP(Table2[[#This Row],[Customer ID]],Table2[#All],5,FALSE)</f>
        <v>No</v>
      </c>
      <c r="G1104" t="str">
        <f>VLOOKUP(Table2[[#This Row],[Customer ID]],Table2[#All],6,FALSE)</f>
        <v>No</v>
      </c>
      <c r="H1104">
        <f>VLOOKUP(Table2[[#This Row],[Customer ID]],Table2[#All],7,FALSE)</f>
        <v>2</v>
      </c>
      <c r="I1104" t="str">
        <f>VLOOKUP(Table2[[#This Row],[Customer ID]],Table2[#All],8,FALSE)</f>
        <v>No</v>
      </c>
      <c r="J1104" t="str">
        <f>VLOOKUP(Table2[[#This Row],[Customer ID]],Table2[#All],9,FALSE)</f>
        <v>Overweight</v>
      </c>
      <c r="K1104" t="str">
        <f>VLOOKUP(Table2[[#This Row],[Customer ID]],Table2[#All],10,FALSE)</f>
        <v>Diabetes</v>
      </c>
    </row>
    <row r="1105" spans="1:11" ht="15.6" x14ac:dyDescent="0.3">
      <c r="A1105" s="1" t="s">
        <v>1267</v>
      </c>
      <c r="B1105" t="str">
        <f>VLOOKUP('Customer Names'!A1105,'Customer Names'!$A$1:$E$2336,4,FALSE)</f>
        <v>Ms.  Kaitlin R.</v>
      </c>
      <c r="C1105">
        <f>VLOOKUP(Table2[[#This Row],[Customer ID]],Table2[#All],2,FALSE)</f>
        <v>31.28</v>
      </c>
      <c r="D1105">
        <f>VLOOKUP(Table2[[#This Row],[Customer ID]],Table2[#All],3,FALSE)</f>
        <v>6.94</v>
      </c>
      <c r="E1105" t="str">
        <f>VLOOKUP(Table2[[#This Row],[Customer ID]],Table2[#All],4,FALSE)</f>
        <v>Yes</v>
      </c>
      <c r="F1105" t="str">
        <f>VLOOKUP(Table2[[#This Row],[Customer ID]],Table2[#All],5,FALSE)</f>
        <v>No</v>
      </c>
      <c r="G1105" t="str">
        <f>VLOOKUP(Table2[[#This Row],[Customer ID]],Table2[#All],6,FALSE)</f>
        <v>No</v>
      </c>
      <c r="H1105">
        <f>VLOOKUP(Table2[[#This Row],[Customer ID]],Table2[#All],7,FALSE)</f>
        <v>1</v>
      </c>
      <c r="I1105" t="str">
        <f>VLOOKUP(Table2[[#This Row],[Customer ID]],Table2[#All],8,FALSE)</f>
        <v>No</v>
      </c>
      <c r="J1105" t="str">
        <f>VLOOKUP(Table2[[#This Row],[Customer ID]],Table2[#All],9,FALSE)</f>
        <v>Obesity</v>
      </c>
      <c r="K1105" t="str">
        <f>VLOOKUP(Table2[[#This Row],[Customer ID]],Table2[#All],10,FALSE)</f>
        <v>Diabetes</v>
      </c>
    </row>
    <row r="1106" spans="1:11" ht="15.6" x14ac:dyDescent="0.3">
      <c r="A1106" s="1" t="s">
        <v>1266</v>
      </c>
      <c r="B1106" t="str">
        <f>VLOOKUP('Customer Names'!A1106,'Customer Names'!$A$1:$E$2336,4,FALSE)</f>
        <v>Mr.  Mohammad</v>
      </c>
      <c r="C1106">
        <f>VLOOKUP(Table2[[#This Row],[Customer ID]],Table2[#All],2,FALSE)</f>
        <v>30.21</v>
      </c>
      <c r="D1106">
        <f>VLOOKUP(Table2[[#This Row],[Customer ID]],Table2[#All],3,FALSE)</f>
        <v>7.83</v>
      </c>
      <c r="E1106" t="str">
        <f>VLOOKUP(Table2[[#This Row],[Customer ID]],Table2[#All],4,FALSE)</f>
        <v>No</v>
      </c>
      <c r="F1106" t="str">
        <f>VLOOKUP(Table2[[#This Row],[Customer ID]],Table2[#All],5,FALSE)</f>
        <v>No</v>
      </c>
      <c r="G1106" t="str">
        <f>VLOOKUP(Table2[[#This Row],[Customer ID]],Table2[#All],6,FALSE)</f>
        <v>No</v>
      </c>
      <c r="H1106">
        <f>VLOOKUP(Table2[[#This Row],[Customer ID]],Table2[#All],7,FALSE)</f>
        <v>0</v>
      </c>
      <c r="I1106" t="str">
        <f>VLOOKUP(Table2[[#This Row],[Customer ID]],Table2[#All],8,FALSE)</f>
        <v>No</v>
      </c>
      <c r="J1106" t="str">
        <f>VLOOKUP(Table2[[#This Row],[Customer ID]],Table2[#All],9,FALSE)</f>
        <v>Obesity</v>
      </c>
      <c r="K1106" t="str">
        <f>VLOOKUP(Table2[[#This Row],[Customer ID]],Table2[#All],10,FALSE)</f>
        <v>Diabetes</v>
      </c>
    </row>
    <row r="1107" spans="1:11" ht="15.6" x14ac:dyDescent="0.3">
      <c r="A1107" s="1" t="s">
        <v>1265</v>
      </c>
      <c r="B1107" t="str">
        <f>VLOOKUP('Customer Names'!A1107,'Customer Names'!$A$1:$E$2336,4,FALSE)</f>
        <v>Mr.  Charlie</v>
      </c>
      <c r="C1107">
        <f>VLOOKUP(Table2[[#This Row],[Customer ID]],Table2[#All],2,FALSE)</f>
        <v>38.28</v>
      </c>
      <c r="D1107">
        <f>VLOOKUP(Table2[[#This Row],[Customer ID]],Table2[#All],3,FALSE)</f>
        <v>10.17</v>
      </c>
      <c r="E1107" t="str">
        <f>VLOOKUP(Table2[[#This Row],[Customer ID]],Table2[#All],4,FALSE)</f>
        <v>Yes</v>
      </c>
      <c r="F1107" t="str">
        <f>VLOOKUP(Table2[[#This Row],[Customer ID]],Table2[#All],5,FALSE)</f>
        <v>No</v>
      </c>
      <c r="G1107" t="str">
        <f>VLOOKUP(Table2[[#This Row],[Customer ID]],Table2[#All],6,FALSE)</f>
        <v>No</v>
      </c>
      <c r="H1107">
        <f>VLOOKUP(Table2[[#This Row],[Customer ID]],Table2[#All],7,FALSE)</f>
        <v>0</v>
      </c>
      <c r="I1107" t="str">
        <f>VLOOKUP(Table2[[#This Row],[Customer ID]],Table2[#All],8,FALSE)</f>
        <v>No</v>
      </c>
      <c r="J1107" t="str">
        <f>VLOOKUP(Table2[[#This Row],[Customer ID]],Table2[#All],9,FALSE)</f>
        <v>Obesity</v>
      </c>
      <c r="K1107" t="str">
        <f>VLOOKUP(Table2[[#This Row],[Customer ID]],Table2[#All],10,FALSE)</f>
        <v>Diabetes</v>
      </c>
    </row>
    <row r="1108" spans="1:11" ht="15.6" x14ac:dyDescent="0.3">
      <c r="A1108" s="1" t="s">
        <v>1264</v>
      </c>
      <c r="B1108" t="str">
        <f>VLOOKUP('Customer Names'!A1108,'Customer Names'!$A$1:$E$2336,4,FALSE)</f>
        <v>Mr.  Brent</v>
      </c>
      <c r="C1108">
        <f>VLOOKUP(Table2[[#This Row],[Customer ID]],Table2[#All],2,FALSE)</f>
        <v>29.9</v>
      </c>
      <c r="D1108">
        <f>VLOOKUP(Table2[[#This Row],[Customer ID]],Table2[#All],3,FALSE)</f>
        <v>8.9600000000000009</v>
      </c>
      <c r="E1108" t="str">
        <f>VLOOKUP(Table2[[#This Row],[Customer ID]],Table2[#All],4,FALSE)</f>
        <v>Yes</v>
      </c>
      <c r="F1108" t="str">
        <f>VLOOKUP(Table2[[#This Row],[Customer ID]],Table2[#All],5,FALSE)</f>
        <v>No</v>
      </c>
      <c r="G1108" t="str">
        <f>VLOOKUP(Table2[[#This Row],[Customer ID]],Table2[#All],6,FALSE)</f>
        <v>No</v>
      </c>
      <c r="H1108">
        <f>VLOOKUP(Table2[[#This Row],[Customer ID]],Table2[#All],7,FALSE)</f>
        <v>0</v>
      </c>
      <c r="I1108" t="str">
        <f>VLOOKUP(Table2[[#This Row],[Customer ID]],Table2[#All],8,FALSE)</f>
        <v>No</v>
      </c>
      <c r="J1108" t="str">
        <f>VLOOKUP(Table2[[#This Row],[Customer ID]],Table2[#All],9,FALSE)</f>
        <v>Overweight</v>
      </c>
      <c r="K1108" t="str">
        <f>VLOOKUP(Table2[[#This Row],[Customer ID]],Table2[#All],10,FALSE)</f>
        <v>Diabetes</v>
      </c>
    </row>
    <row r="1109" spans="1:11" ht="15.6" x14ac:dyDescent="0.3">
      <c r="A1109" s="1" t="s">
        <v>1263</v>
      </c>
      <c r="B1109" t="str">
        <f>VLOOKUP('Customer Names'!A1109,'Customer Names'!$A$1:$E$2336,4,FALSE)</f>
        <v>Ms.  Kelli M</v>
      </c>
      <c r="C1109">
        <f>VLOOKUP(Table2[[#This Row],[Customer ID]],Table2[#All],2,FALSE)</f>
        <v>23.18</v>
      </c>
      <c r="D1109">
        <f>VLOOKUP(Table2[[#This Row],[Customer ID]],Table2[#All],3,FALSE)</f>
        <v>6.96</v>
      </c>
      <c r="E1109" t="str">
        <f>VLOOKUP(Table2[[#This Row],[Customer ID]],Table2[#All],4,FALSE)</f>
        <v>Yes</v>
      </c>
      <c r="F1109" t="str">
        <f>VLOOKUP(Table2[[#This Row],[Customer ID]],Table2[#All],5,FALSE)</f>
        <v>No</v>
      </c>
      <c r="G1109" t="str">
        <f>VLOOKUP(Table2[[#This Row],[Customer ID]],Table2[#All],6,FALSE)</f>
        <v>No</v>
      </c>
      <c r="H1109">
        <f>VLOOKUP(Table2[[#This Row],[Customer ID]],Table2[#All],7,FALSE)</f>
        <v>2</v>
      </c>
      <c r="I1109" t="str">
        <f>VLOOKUP(Table2[[#This Row],[Customer ID]],Table2[#All],8,FALSE)</f>
        <v>No</v>
      </c>
      <c r="J1109" t="str">
        <f>VLOOKUP(Table2[[#This Row],[Customer ID]],Table2[#All],9,FALSE)</f>
        <v>Normalweight</v>
      </c>
      <c r="K1109" t="str">
        <f>VLOOKUP(Table2[[#This Row],[Customer ID]],Table2[#All],10,FALSE)</f>
        <v>Diabetes</v>
      </c>
    </row>
    <row r="1110" spans="1:11" ht="15.6" x14ac:dyDescent="0.3">
      <c r="A1110" s="1" t="s">
        <v>1262</v>
      </c>
      <c r="B1110" t="str">
        <f>VLOOKUP('Customer Names'!A1110,'Customer Names'!$A$1:$E$2336,4,FALSE)</f>
        <v>Mrs.  Sheridan H</v>
      </c>
      <c r="C1110">
        <f>VLOOKUP(Table2[[#This Row],[Customer ID]],Table2[#All],2,FALSE)</f>
        <v>33.020000000000003</v>
      </c>
      <c r="D1110">
        <f>VLOOKUP(Table2[[#This Row],[Customer ID]],Table2[#All],3,FALSE)</f>
        <v>5.07</v>
      </c>
      <c r="E1110" t="str">
        <f>VLOOKUP(Table2[[#This Row],[Customer ID]],Table2[#All],4,FALSE)</f>
        <v>Yes</v>
      </c>
      <c r="F1110" t="str">
        <f>VLOOKUP(Table2[[#This Row],[Customer ID]],Table2[#All],5,FALSE)</f>
        <v>No</v>
      </c>
      <c r="G1110" t="str">
        <f>VLOOKUP(Table2[[#This Row],[Customer ID]],Table2[#All],6,FALSE)</f>
        <v>No</v>
      </c>
      <c r="H1110">
        <f>VLOOKUP(Table2[[#This Row],[Customer ID]],Table2[#All],7,FALSE)</f>
        <v>0</v>
      </c>
      <c r="I1110" t="str">
        <f>VLOOKUP(Table2[[#This Row],[Customer ID]],Table2[#All],8,FALSE)</f>
        <v>No</v>
      </c>
      <c r="J1110" t="str">
        <f>VLOOKUP(Table2[[#This Row],[Customer ID]],Table2[#All],9,FALSE)</f>
        <v>Obesity</v>
      </c>
      <c r="K1110" t="str">
        <f>VLOOKUP(Table2[[#This Row],[Customer ID]],Table2[#All],10,FALSE)</f>
        <v>Normal</v>
      </c>
    </row>
    <row r="1111" spans="1:11" ht="15.6" x14ac:dyDescent="0.3">
      <c r="A1111" s="1" t="s">
        <v>1261</v>
      </c>
      <c r="B1111" t="str">
        <f>VLOOKUP('Customer Names'!A1111,'Customer Names'!$A$1:$E$2336,4,FALSE)</f>
        <v>Mrs.  Sarah M.</v>
      </c>
      <c r="C1111">
        <f>VLOOKUP(Table2[[#This Row],[Customer ID]],Table2[#All],2,FALSE)</f>
        <v>27.29</v>
      </c>
      <c r="D1111">
        <f>VLOOKUP(Table2[[#This Row],[Customer ID]],Table2[#All],3,FALSE)</f>
        <v>5.85</v>
      </c>
      <c r="E1111" t="str">
        <f>VLOOKUP(Table2[[#This Row],[Customer ID]],Table2[#All],4,FALSE)</f>
        <v>No</v>
      </c>
      <c r="F1111" t="str">
        <f>VLOOKUP(Table2[[#This Row],[Customer ID]],Table2[#All],5,FALSE)</f>
        <v>No</v>
      </c>
      <c r="G1111" t="str">
        <f>VLOOKUP(Table2[[#This Row],[Customer ID]],Table2[#All],6,FALSE)</f>
        <v>No</v>
      </c>
      <c r="H1111">
        <f>VLOOKUP(Table2[[#This Row],[Customer ID]],Table2[#All],7,FALSE)</f>
        <v>2</v>
      </c>
      <c r="I1111" t="str">
        <f>VLOOKUP(Table2[[#This Row],[Customer ID]],Table2[#All],8,FALSE)</f>
        <v>No</v>
      </c>
      <c r="J1111" t="str">
        <f>VLOOKUP(Table2[[#This Row],[Customer ID]],Table2[#All],9,FALSE)</f>
        <v>Overweight</v>
      </c>
      <c r="K1111" t="str">
        <f>VLOOKUP(Table2[[#This Row],[Customer ID]],Table2[#All],10,FALSE)</f>
        <v>Prediabetes</v>
      </c>
    </row>
    <row r="1112" spans="1:11" ht="15.6" x14ac:dyDescent="0.3">
      <c r="A1112" s="1" t="s">
        <v>1260</v>
      </c>
      <c r="B1112" t="str">
        <f>VLOOKUP('Customer Names'!A1112,'Customer Names'!$A$1:$E$2336,4,FALSE)</f>
        <v>Ms.  Jennifer</v>
      </c>
      <c r="C1112">
        <f>VLOOKUP(Table2[[#This Row],[Customer ID]],Table2[#All],2,FALSE)</f>
        <v>23.18</v>
      </c>
      <c r="D1112">
        <f>VLOOKUP(Table2[[#This Row],[Customer ID]],Table2[#All],3,FALSE)</f>
        <v>10.56</v>
      </c>
      <c r="E1112" t="str">
        <f>VLOOKUP(Table2[[#This Row],[Customer ID]],Table2[#All],4,FALSE)</f>
        <v>No</v>
      </c>
      <c r="F1112" t="str">
        <f>VLOOKUP(Table2[[#This Row],[Customer ID]],Table2[#All],5,FALSE)</f>
        <v>No</v>
      </c>
      <c r="G1112" t="str">
        <f>VLOOKUP(Table2[[#This Row],[Customer ID]],Table2[#All],6,FALSE)</f>
        <v>No</v>
      </c>
      <c r="H1112">
        <f>VLOOKUP(Table2[[#This Row],[Customer ID]],Table2[#All],7,FALSE)</f>
        <v>2</v>
      </c>
      <c r="I1112" t="str">
        <f>VLOOKUP(Table2[[#This Row],[Customer ID]],Table2[#All],8,FALSE)</f>
        <v>No</v>
      </c>
      <c r="J1112" t="str">
        <f>VLOOKUP(Table2[[#This Row],[Customer ID]],Table2[#All],9,FALSE)</f>
        <v>Normalweight</v>
      </c>
      <c r="K1112" t="str">
        <f>VLOOKUP(Table2[[#This Row],[Customer ID]],Table2[#All],10,FALSE)</f>
        <v>Diabetes</v>
      </c>
    </row>
    <row r="1113" spans="1:11" ht="15.6" x14ac:dyDescent="0.3">
      <c r="A1113" s="1" t="s">
        <v>1259</v>
      </c>
      <c r="B1113" t="str">
        <f>VLOOKUP('Customer Names'!A1113,'Customer Names'!$A$1:$E$2336,4,FALSE)</f>
        <v>Mrs.  Laura J</v>
      </c>
      <c r="C1113">
        <f>VLOOKUP(Table2[[#This Row],[Customer ID]],Table2[#All],2,FALSE)</f>
        <v>32.659999999999997</v>
      </c>
      <c r="D1113">
        <f>VLOOKUP(Table2[[#This Row],[Customer ID]],Table2[#All],3,FALSE)</f>
        <v>8.92</v>
      </c>
      <c r="E1113" t="str">
        <f>VLOOKUP(Table2[[#This Row],[Customer ID]],Table2[#All],4,FALSE)</f>
        <v>Yes</v>
      </c>
      <c r="F1113" t="str">
        <f>VLOOKUP(Table2[[#This Row],[Customer ID]],Table2[#All],5,FALSE)</f>
        <v>No</v>
      </c>
      <c r="G1113" t="str">
        <f>VLOOKUP(Table2[[#This Row],[Customer ID]],Table2[#All],6,FALSE)</f>
        <v>No</v>
      </c>
      <c r="H1113">
        <f>VLOOKUP(Table2[[#This Row],[Customer ID]],Table2[#All],7,FALSE)</f>
        <v>0</v>
      </c>
      <c r="I1113" t="str">
        <f>VLOOKUP(Table2[[#This Row],[Customer ID]],Table2[#All],8,FALSE)</f>
        <v>No</v>
      </c>
      <c r="J1113" t="str">
        <f>VLOOKUP(Table2[[#This Row],[Customer ID]],Table2[#All],9,FALSE)</f>
        <v>Obesity</v>
      </c>
      <c r="K1113" t="str">
        <f>VLOOKUP(Table2[[#This Row],[Customer ID]],Table2[#All],10,FALSE)</f>
        <v>Diabetes</v>
      </c>
    </row>
    <row r="1114" spans="1:11" ht="15.6" x14ac:dyDescent="0.3">
      <c r="A1114" s="1" t="s">
        <v>1258</v>
      </c>
      <c r="B1114" t="str">
        <f>VLOOKUP('Customer Names'!A1114,'Customer Names'!$A$1:$E$2336,4,FALSE)</f>
        <v>Mr.  Thomas</v>
      </c>
      <c r="C1114">
        <f>VLOOKUP(Table2[[#This Row],[Customer ID]],Table2[#All],2,FALSE)</f>
        <v>30.78</v>
      </c>
      <c r="D1114">
        <f>VLOOKUP(Table2[[#This Row],[Customer ID]],Table2[#All],3,FALSE)</f>
        <v>8.6300000000000008</v>
      </c>
      <c r="E1114" t="str">
        <f>VLOOKUP(Table2[[#This Row],[Customer ID]],Table2[#All],4,FALSE)</f>
        <v>No</v>
      </c>
      <c r="F1114" t="str">
        <f>VLOOKUP(Table2[[#This Row],[Customer ID]],Table2[#All],5,FALSE)</f>
        <v>No</v>
      </c>
      <c r="G1114" t="str">
        <f>VLOOKUP(Table2[[#This Row],[Customer ID]],Table2[#All],6,FALSE)</f>
        <v>No</v>
      </c>
      <c r="H1114">
        <f>VLOOKUP(Table2[[#This Row],[Customer ID]],Table2[#All],7,FALSE)</f>
        <v>0</v>
      </c>
      <c r="I1114" t="str">
        <f>VLOOKUP(Table2[[#This Row],[Customer ID]],Table2[#All],8,FALSE)</f>
        <v>No</v>
      </c>
      <c r="J1114" t="str">
        <f>VLOOKUP(Table2[[#This Row],[Customer ID]],Table2[#All],9,FALSE)</f>
        <v>Obesity</v>
      </c>
      <c r="K1114" t="str">
        <f>VLOOKUP(Table2[[#This Row],[Customer ID]],Table2[#All],10,FALSE)</f>
        <v>Diabetes</v>
      </c>
    </row>
    <row r="1115" spans="1:11" ht="15.6" x14ac:dyDescent="0.3">
      <c r="A1115" s="1" t="s">
        <v>1257</v>
      </c>
      <c r="B1115" t="str">
        <f>VLOOKUP('Customer Names'!A1115,'Customer Names'!$A$1:$E$2336,4,FALSE)</f>
        <v>Ms.  Gisele</v>
      </c>
      <c r="C1115">
        <f>VLOOKUP(Table2[[#This Row],[Customer ID]],Table2[#All],2,FALSE)</f>
        <v>47.2</v>
      </c>
      <c r="D1115">
        <f>VLOOKUP(Table2[[#This Row],[Customer ID]],Table2[#All],3,FALSE)</f>
        <v>6.29</v>
      </c>
      <c r="E1115" t="str">
        <f>VLOOKUP(Table2[[#This Row],[Customer ID]],Table2[#All],4,FALSE)</f>
        <v>Yes</v>
      </c>
      <c r="F1115" t="str">
        <f>VLOOKUP(Table2[[#This Row],[Customer ID]],Table2[#All],5,FALSE)</f>
        <v>No</v>
      </c>
      <c r="G1115" t="str">
        <f>VLOOKUP(Table2[[#This Row],[Customer ID]],Table2[#All],6,FALSE)</f>
        <v>Yes</v>
      </c>
      <c r="H1115">
        <f>VLOOKUP(Table2[[#This Row],[Customer ID]],Table2[#All],7,FALSE)</f>
        <v>1</v>
      </c>
      <c r="I1115" t="str">
        <f>VLOOKUP(Table2[[#This Row],[Customer ID]],Table2[#All],8,FALSE)</f>
        <v>No</v>
      </c>
      <c r="J1115" t="str">
        <f>VLOOKUP(Table2[[#This Row],[Customer ID]],Table2[#All],9,FALSE)</f>
        <v>Obesity</v>
      </c>
      <c r="K1115" t="str">
        <f>VLOOKUP(Table2[[#This Row],[Customer ID]],Table2[#All],10,FALSE)</f>
        <v>Prediabetes</v>
      </c>
    </row>
    <row r="1116" spans="1:11" ht="15.6" x14ac:dyDescent="0.3">
      <c r="A1116" s="1" t="s">
        <v>1256</v>
      </c>
      <c r="B1116" t="str">
        <f>VLOOKUP('Customer Names'!A1116,'Customer Names'!$A$1:$E$2336,4,FALSE)</f>
        <v>Ms.  Myra L</v>
      </c>
      <c r="C1116">
        <f>VLOOKUP(Table2[[#This Row],[Customer ID]],Table2[#All],2,FALSE)</f>
        <v>31.6</v>
      </c>
      <c r="D1116">
        <f>VLOOKUP(Table2[[#This Row],[Customer ID]],Table2[#All],3,FALSE)</f>
        <v>5.75</v>
      </c>
      <c r="E1116" t="str">
        <f>VLOOKUP(Table2[[#This Row],[Customer ID]],Table2[#All],4,FALSE)</f>
        <v>No</v>
      </c>
      <c r="F1116" t="str">
        <f>VLOOKUP(Table2[[#This Row],[Customer ID]],Table2[#All],5,FALSE)</f>
        <v>No</v>
      </c>
      <c r="G1116" t="str">
        <f>VLOOKUP(Table2[[#This Row],[Customer ID]],Table2[#All],6,FALSE)</f>
        <v>No</v>
      </c>
      <c r="H1116">
        <f>VLOOKUP(Table2[[#This Row],[Customer ID]],Table2[#All],7,FALSE)</f>
        <v>2</v>
      </c>
      <c r="I1116" t="str">
        <f>VLOOKUP(Table2[[#This Row],[Customer ID]],Table2[#All],8,FALSE)</f>
        <v>No</v>
      </c>
      <c r="J1116" t="str">
        <f>VLOOKUP(Table2[[#This Row],[Customer ID]],Table2[#All],9,FALSE)</f>
        <v>Obesity</v>
      </c>
      <c r="K1116" t="str">
        <f>VLOOKUP(Table2[[#This Row],[Customer ID]],Table2[#All],10,FALSE)</f>
        <v>Prediabetes</v>
      </c>
    </row>
    <row r="1117" spans="1:11" ht="15.6" x14ac:dyDescent="0.3">
      <c r="A1117" s="1" t="s">
        <v>1255</v>
      </c>
      <c r="B1117" t="str">
        <f>VLOOKUP('Customer Names'!A1117,'Customer Names'!$A$1:$E$2336,4,FALSE)</f>
        <v>Ms.  Melissa M.</v>
      </c>
      <c r="C1117">
        <f>VLOOKUP(Table2[[#This Row],[Customer ID]],Table2[#All],2,FALSE)</f>
        <v>33.914999999999999</v>
      </c>
      <c r="D1117">
        <f>VLOOKUP(Table2[[#This Row],[Customer ID]],Table2[#All],3,FALSE)</f>
        <v>6.66</v>
      </c>
      <c r="E1117" t="str">
        <f>VLOOKUP(Table2[[#This Row],[Customer ID]],Table2[#All],4,FALSE)</f>
        <v>Yes</v>
      </c>
      <c r="F1117" t="str">
        <f>VLOOKUP(Table2[[#This Row],[Customer ID]],Table2[#All],5,FALSE)</f>
        <v>No</v>
      </c>
      <c r="G1117" t="str">
        <f>VLOOKUP(Table2[[#This Row],[Customer ID]],Table2[#All],6,FALSE)</f>
        <v>No</v>
      </c>
      <c r="H1117">
        <f>VLOOKUP(Table2[[#This Row],[Customer ID]],Table2[#All],7,FALSE)</f>
        <v>1</v>
      </c>
      <c r="I1117" t="str">
        <f>VLOOKUP(Table2[[#This Row],[Customer ID]],Table2[#All],8,FALSE)</f>
        <v>No</v>
      </c>
      <c r="J1117" t="str">
        <f>VLOOKUP(Table2[[#This Row],[Customer ID]],Table2[#All],9,FALSE)</f>
        <v>Obesity</v>
      </c>
      <c r="K1117" t="str">
        <f>VLOOKUP(Table2[[#This Row],[Customer ID]],Table2[#All],10,FALSE)</f>
        <v>Diabetes</v>
      </c>
    </row>
    <row r="1118" spans="1:11" ht="15.6" x14ac:dyDescent="0.3">
      <c r="A1118" s="1" t="s">
        <v>1254</v>
      </c>
      <c r="B1118" t="str">
        <f>VLOOKUP('Customer Names'!A1118,'Customer Names'!$A$1:$E$2336,4,FALSE)</f>
        <v>Ms.  Eleanor F.</v>
      </c>
      <c r="C1118">
        <f>VLOOKUP(Table2[[#This Row],[Customer ID]],Table2[#All],2,FALSE)</f>
        <v>23.54</v>
      </c>
      <c r="D1118">
        <f>VLOOKUP(Table2[[#This Row],[Customer ID]],Table2[#All],3,FALSE)</f>
        <v>5.0999999999999996</v>
      </c>
      <c r="E1118" t="str">
        <f>VLOOKUP(Table2[[#This Row],[Customer ID]],Table2[#All],4,FALSE)</f>
        <v>No</v>
      </c>
      <c r="F1118" t="str">
        <f>VLOOKUP(Table2[[#This Row],[Customer ID]],Table2[#All],5,FALSE)</f>
        <v>No</v>
      </c>
      <c r="G1118" t="str">
        <f>VLOOKUP(Table2[[#This Row],[Customer ID]],Table2[#All],6,FALSE)</f>
        <v>No</v>
      </c>
      <c r="H1118">
        <f>VLOOKUP(Table2[[#This Row],[Customer ID]],Table2[#All],7,FALSE)</f>
        <v>2</v>
      </c>
      <c r="I1118" t="str">
        <f>VLOOKUP(Table2[[#This Row],[Customer ID]],Table2[#All],8,FALSE)</f>
        <v>No</v>
      </c>
      <c r="J1118" t="str">
        <f>VLOOKUP(Table2[[#This Row],[Customer ID]],Table2[#All],9,FALSE)</f>
        <v>Normalweight</v>
      </c>
      <c r="K1118" t="str">
        <f>VLOOKUP(Table2[[#This Row],[Customer ID]],Table2[#All],10,FALSE)</f>
        <v>Normal</v>
      </c>
    </row>
    <row r="1119" spans="1:11" ht="15.6" x14ac:dyDescent="0.3">
      <c r="A1119" s="1" t="s">
        <v>1253</v>
      </c>
      <c r="B1119" t="str">
        <f>VLOOKUP('Customer Names'!A1119,'Customer Names'!$A$1:$E$2336,4,FALSE)</f>
        <v>Ms.  Elizabeth</v>
      </c>
      <c r="C1119">
        <f>VLOOKUP(Table2[[#This Row],[Customer ID]],Table2[#All],2,FALSE)</f>
        <v>27.074999999999999</v>
      </c>
      <c r="D1119">
        <f>VLOOKUP(Table2[[#This Row],[Customer ID]],Table2[#All],3,FALSE)</f>
        <v>4.41</v>
      </c>
      <c r="E1119" t="str">
        <f>VLOOKUP(Table2[[#This Row],[Customer ID]],Table2[#All],4,FALSE)</f>
        <v>No</v>
      </c>
      <c r="F1119" t="str">
        <f>VLOOKUP(Table2[[#This Row],[Customer ID]],Table2[#All],5,FALSE)</f>
        <v>No</v>
      </c>
      <c r="G1119" t="str">
        <f>VLOOKUP(Table2[[#This Row],[Customer ID]],Table2[#All],6,FALSE)</f>
        <v>No</v>
      </c>
      <c r="H1119">
        <f>VLOOKUP(Table2[[#This Row],[Customer ID]],Table2[#All],7,FALSE)</f>
        <v>2</v>
      </c>
      <c r="I1119" t="str">
        <f>VLOOKUP(Table2[[#This Row],[Customer ID]],Table2[#All],8,FALSE)</f>
        <v>No</v>
      </c>
      <c r="J1119" t="str">
        <f>VLOOKUP(Table2[[#This Row],[Customer ID]],Table2[#All],9,FALSE)</f>
        <v>Overweight</v>
      </c>
      <c r="K1119" t="str">
        <f>VLOOKUP(Table2[[#This Row],[Customer ID]],Table2[#All],10,FALSE)</f>
        <v>Normal</v>
      </c>
    </row>
    <row r="1120" spans="1:11" ht="15.6" x14ac:dyDescent="0.3">
      <c r="A1120" s="1" t="s">
        <v>1252</v>
      </c>
      <c r="B1120" t="str">
        <f>VLOOKUP('Customer Names'!A1120,'Customer Names'!$A$1:$E$2336,4,FALSE)</f>
        <v>Mr.  Kenneth</v>
      </c>
      <c r="C1120">
        <f>VLOOKUP(Table2[[#This Row],[Customer ID]],Table2[#All],2,FALSE)</f>
        <v>25.8</v>
      </c>
      <c r="D1120">
        <f>VLOOKUP(Table2[[#This Row],[Customer ID]],Table2[#All],3,FALSE)</f>
        <v>5.52</v>
      </c>
      <c r="E1120" t="str">
        <f>VLOOKUP(Table2[[#This Row],[Customer ID]],Table2[#All],4,FALSE)</f>
        <v>Yes</v>
      </c>
      <c r="F1120" t="str">
        <f>VLOOKUP(Table2[[#This Row],[Customer ID]],Table2[#All],5,FALSE)</f>
        <v>No</v>
      </c>
      <c r="G1120" t="str">
        <f>VLOOKUP(Table2[[#This Row],[Customer ID]],Table2[#All],6,FALSE)</f>
        <v>No</v>
      </c>
      <c r="H1120">
        <f>VLOOKUP(Table2[[#This Row],[Customer ID]],Table2[#All],7,FALSE)</f>
        <v>0</v>
      </c>
      <c r="I1120" t="str">
        <f>VLOOKUP(Table2[[#This Row],[Customer ID]],Table2[#All],8,FALSE)</f>
        <v>No</v>
      </c>
      <c r="J1120" t="str">
        <f>VLOOKUP(Table2[[#This Row],[Customer ID]],Table2[#All],9,FALSE)</f>
        <v>Overweight</v>
      </c>
      <c r="K1120" t="str">
        <f>VLOOKUP(Table2[[#This Row],[Customer ID]],Table2[#All],10,FALSE)</f>
        <v>Normal</v>
      </c>
    </row>
    <row r="1121" spans="1:11" ht="15.6" x14ac:dyDescent="0.3">
      <c r="A1121" s="1" t="s">
        <v>1251</v>
      </c>
      <c r="B1121" t="str">
        <f>VLOOKUP('Customer Names'!A1121,'Customer Names'!$A$1:$E$2336,4,FALSE)</f>
        <v>Mr.  Robert G.</v>
      </c>
      <c r="C1121">
        <f>VLOOKUP(Table2[[#This Row],[Customer ID]],Table2[#All],2,FALSE)</f>
        <v>36.1</v>
      </c>
      <c r="D1121">
        <f>VLOOKUP(Table2[[#This Row],[Customer ID]],Table2[#All],3,FALSE)</f>
        <v>4.62</v>
      </c>
      <c r="E1121" t="str">
        <f>VLOOKUP(Table2[[#This Row],[Customer ID]],Table2[#All],4,FALSE)</f>
        <v>Yes</v>
      </c>
      <c r="F1121" t="str">
        <f>VLOOKUP(Table2[[#This Row],[Customer ID]],Table2[#All],5,FALSE)</f>
        <v>No</v>
      </c>
      <c r="G1121" t="str">
        <f>VLOOKUP(Table2[[#This Row],[Customer ID]],Table2[#All],6,FALSE)</f>
        <v>Yes</v>
      </c>
      <c r="H1121">
        <f>VLOOKUP(Table2[[#This Row],[Customer ID]],Table2[#All],7,FALSE)</f>
        <v>1</v>
      </c>
      <c r="I1121" t="str">
        <f>VLOOKUP(Table2[[#This Row],[Customer ID]],Table2[#All],8,FALSE)</f>
        <v>No</v>
      </c>
      <c r="J1121" t="str">
        <f>VLOOKUP(Table2[[#This Row],[Customer ID]],Table2[#All],9,FALSE)</f>
        <v>Obesity</v>
      </c>
      <c r="K1121" t="str">
        <f>VLOOKUP(Table2[[#This Row],[Customer ID]],Table2[#All],10,FALSE)</f>
        <v>Normal</v>
      </c>
    </row>
    <row r="1122" spans="1:11" ht="15.6" x14ac:dyDescent="0.3">
      <c r="A1122" s="1" t="s">
        <v>1250</v>
      </c>
      <c r="B1122" t="str">
        <f>VLOOKUP('Customer Names'!A1122,'Customer Names'!$A$1:$E$2336,4,FALSE)</f>
        <v>Mr.  Thomas C.</v>
      </c>
      <c r="C1122">
        <f>VLOOKUP(Table2[[#This Row],[Customer ID]],Table2[#All],2,FALSE)</f>
        <v>30.495000000000001</v>
      </c>
      <c r="D1122">
        <f>VLOOKUP(Table2[[#This Row],[Customer ID]],Table2[#All],3,FALSE)</f>
        <v>5.74</v>
      </c>
      <c r="E1122" t="str">
        <f>VLOOKUP(Table2[[#This Row],[Customer ID]],Table2[#All],4,FALSE)</f>
        <v>Yes</v>
      </c>
      <c r="F1122" t="str">
        <f>VLOOKUP(Table2[[#This Row],[Customer ID]],Table2[#All],5,FALSE)</f>
        <v>No</v>
      </c>
      <c r="G1122" t="str">
        <f>VLOOKUP(Table2[[#This Row],[Customer ID]],Table2[#All],6,FALSE)</f>
        <v>Yes</v>
      </c>
      <c r="H1122">
        <f>VLOOKUP(Table2[[#This Row],[Customer ID]],Table2[#All],7,FALSE)</f>
        <v>1</v>
      </c>
      <c r="I1122" t="str">
        <f>VLOOKUP(Table2[[#This Row],[Customer ID]],Table2[#All],8,FALSE)</f>
        <v>No</v>
      </c>
      <c r="J1122" t="str">
        <f>VLOOKUP(Table2[[#This Row],[Customer ID]],Table2[#All],9,FALSE)</f>
        <v>Obesity</v>
      </c>
      <c r="K1122" t="str">
        <f>VLOOKUP(Table2[[#This Row],[Customer ID]],Table2[#All],10,FALSE)</f>
        <v>Prediabetes</v>
      </c>
    </row>
    <row r="1123" spans="1:11" ht="15.6" x14ac:dyDescent="0.3">
      <c r="A1123" s="1" t="s">
        <v>1249</v>
      </c>
      <c r="B1123" t="str">
        <f>VLOOKUP('Customer Names'!A1123,'Customer Names'!$A$1:$E$2336,4,FALSE)</f>
        <v>Mr.  Matthew J.</v>
      </c>
      <c r="C1123">
        <f>VLOOKUP(Table2[[#This Row],[Customer ID]],Table2[#All],2,FALSE)</f>
        <v>21.4</v>
      </c>
      <c r="D1123">
        <f>VLOOKUP(Table2[[#This Row],[Customer ID]],Table2[#All],3,FALSE)</f>
        <v>6.3</v>
      </c>
      <c r="E1123" t="str">
        <f>VLOOKUP(Table2[[#This Row],[Customer ID]],Table2[#All],4,FALSE)</f>
        <v>Yes</v>
      </c>
      <c r="F1123" t="str">
        <f>VLOOKUP(Table2[[#This Row],[Customer ID]],Table2[#All],5,FALSE)</f>
        <v>No</v>
      </c>
      <c r="G1123" t="str">
        <f>VLOOKUP(Table2[[#This Row],[Customer ID]],Table2[#All],6,FALSE)</f>
        <v>Yes</v>
      </c>
      <c r="H1123">
        <f>VLOOKUP(Table2[[#This Row],[Customer ID]],Table2[#All],7,FALSE)</f>
        <v>1</v>
      </c>
      <c r="I1123" t="str">
        <f>VLOOKUP(Table2[[#This Row],[Customer ID]],Table2[#All],8,FALSE)</f>
        <v>No</v>
      </c>
      <c r="J1123" t="str">
        <f>VLOOKUP(Table2[[#This Row],[Customer ID]],Table2[#All],9,FALSE)</f>
        <v>Normalweight</v>
      </c>
      <c r="K1123" t="str">
        <f>VLOOKUP(Table2[[#This Row],[Customer ID]],Table2[#All],10,FALSE)</f>
        <v>Prediabetes</v>
      </c>
    </row>
    <row r="1124" spans="1:11" ht="15.6" x14ac:dyDescent="0.3">
      <c r="A1124" s="1" t="s">
        <v>1248</v>
      </c>
      <c r="B1124" t="str">
        <f>VLOOKUP('Customer Names'!A1124,'Customer Names'!$A$1:$E$2336,4,FALSE)</f>
        <v>Ms.  Mallory D.</v>
      </c>
      <c r="C1124">
        <f>VLOOKUP(Table2[[#This Row],[Customer ID]],Table2[#All],2,FALSE)</f>
        <v>32.299999999999997</v>
      </c>
      <c r="D1124">
        <f>VLOOKUP(Table2[[#This Row],[Customer ID]],Table2[#All],3,FALSE)</f>
        <v>10.27</v>
      </c>
      <c r="E1124" t="str">
        <f>VLOOKUP(Table2[[#This Row],[Customer ID]],Table2[#All],4,FALSE)</f>
        <v>No</v>
      </c>
      <c r="F1124" t="str">
        <f>VLOOKUP(Table2[[#This Row],[Customer ID]],Table2[#All],5,FALSE)</f>
        <v>No</v>
      </c>
      <c r="G1124" t="str">
        <f>VLOOKUP(Table2[[#This Row],[Customer ID]],Table2[#All],6,FALSE)</f>
        <v>No</v>
      </c>
      <c r="H1124">
        <f>VLOOKUP(Table2[[#This Row],[Customer ID]],Table2[#All],7,FALSE)</f>
        <v>0</v>
      </c>
      <c r="I1124" t="str">
        <f>VLOOKUP(Table2[[#This Row],[Customer ID]],Table2[#All],8,FALSE)</f>
        <v>No</v>
      </c>
      <c r="J1124" t="str">
        <f>VLOOKUP(Table2[[#This Row],[Customer ID]],Table2[#All],9,FALSE)</f>
        <v>Obesity</v>
      </c>
      <c r="K1124" t="str">
        <f>VLOOKUP(Table2[[#This Row],[Customer ID]],Table2[#All],10,FALSE)</f>
        <v>Diabetes</v>
      </c>
    </row>
    <row r="1125" spans="1:11" ht="15.6" x14ac:dyDescent="0.3">
      <c r="A1125" s="1" t="s">
        <v>1247</v>
      </c>
      <c r="B1125" t="str">
        <f>VLOOKUP('Customer Names'!A1125,'Customer Names'!$A$1:$E$2336,4,FALSE)</f>
        <v>Mr.  Christopher D.</v>
      </c>
      <c r="C1125">
        <f>VLOOKUP(Table2[[#This Row],[Customer ID]],Table2[#All],2,FALSE)</f>
        <v>29.78</v>
      </c>
      <c r="D1125">
        <f>VLOOKUP(Table2[[#This Row],[Customer ID]],Table2[#All],3,FALSE)</f>
        <v>5.85</v>
      </c>
      <c r="E1125" t="str">
        <f>VLOOKUP(Table2[[#This Row],[Customer ID]],Table2[#All],4,FALSE)</f>
        <v>No</v>
      </c>
      <c r="F1125" t="str">
        <f>VLOOKUP(Table2[[#This Row],[Customer ID]],Table2[#All],5,FALSE)</f>
        <v>No</v>
      </c>
      <c r="G1125" t="str">
        <f>VLOOKUP(Table2[[#This Row],[Customer ID]],Table2[#All],6,FALSE)</f>
        <v>Yes</v>
      </c>
      <c r="H1125">
        <f>VLOOKUP(Table2[[#This Row],[Customer ID]],Table2[#All],7,FALSE)</f>
        <v>1</v>
      </c>
      <c r="I1125" t="str">
        <f>VLOOKUP(Table2[[#This Row],[Customer ID]],Table2[#All],8,FALSE)</f>
        <v>No</v>
      </c>
      <c r="J1125" t="str">
        <f>VLOOKUP(Table2[[#This Row],[Customer ID]],Table2[#All],9,FALSE)</f>
        <v>Overweight</v>
      </c>
      <c r="K1125" t="str">
        <f>VLOOKUP(Table2[[#This Row],[Customer ID]],Table2[#All],10,FALSE)</f>
        <v>Prediabetes</v>
      </c>
    </row>
    <row r="1126" spans="1:11" ht="15.6" x14ac:dyDescent="0.3">
      <c r="A1126" s="1" t="s">
        <v>1246</v>
      </c>
      <c r="B1126" t="str">
        <f>VLOOKUP('Customer Names'!A1126,'Customer Names'!$A$1:$E$2336,4,FALSE)</f>
        <v>Mrs.  Jamie</v>
      </c>
      <c r="C1126">
        <f>VLOOKUP(Table2[[#This Row],[Customer ID]],Table2[#All],2,FALSE)</f>
        <v>34.76</v>
      </c>
      <c r="D1126">
        <f>VLOOKUP(Table2[[#This Row],[Customer ID]],Table2[#All],3,FALSE)</f>
        <v>5.92</v>
      </c>
      <c r="E1126" t="str">
        <f>VLOOKUP(Table2[[#This Row],[Customer ID]],Table2[#All],4,FALSE)</f>
        <v>Yes</v>
      </c>
      <c r="F1126" t="str">
        <f>VLOOKUP(Table2[[#This Row],[Customer ID]],Table2[#All],5,FALSE)</f>
        <v>No</v>
      </c>
      <c r="G1126" t="str">
        <f>VLOOKUP(Table2[[#This Row],[Customer ID]],Table2[#All],6,FALSE)</f>
        <v>No</v>
      </c>
      <c r="H1126">
        <f>VLOOKUP(Table2[[#This Row],[Customer ID]],Table2[#All],7,FALSE)</f>
        <v>1</v>
      </c>
      <c r="I1126" t="str">
        <f>VLOOKUP(Table2[[#This Row],[Customer ID]],Table2[#All],8,FALSE)</f>
        <v>No</v>
      </c>
      <c r="J1126" t="str">
        <f>VLOOKUP(Table2[[#This Row],[Customer ID]],Table2[#All],9,FALSE)</f>
        <v>Obesity</v>
      </c>
      <c r="K1126" t="str">
        <f>VLOOKUP(Table2[[#This Row],[Customer ID]],Table2[#All],10,FALSE)</f>
        <v>Prediabetes</v>
      </c>
    </row>
    <row r="1127" spans="1:11" ht="15.6" x14ac:dyDescent="0.3">
      <c r="A1127" s="1" t="s">
        <v>1245</v>
      </c>
      <c r="B1127" t="str">
        <f>VLOOKUP('Customer Names'!A1127,'Customer Names'!$A$1:$E$2336,4,FALSE)</f>
        <v>Ms.  Ariell</v>
      </c>
      <c r="C1127">
        <f>VLOOKUP(Table2[[#This Row],[Customer ID]],Table2[#All],2,FALSE)</f>
        <v>18.335000000000001</v>
      </c>
      <c r="D1127">
        <f>VLOOKUP(Table2[[#This Row],[Customer ID]],Table2[#All],3,FALSE)</f>
        <v>10.01</v>
      </c>
      <c r="E1127" t="str">
        <f>VLOOKUP(Table2[[#This Row],[Customer ID]],Table2[#All],4,FALSE)</f>
        <v>Yes</v>
      </c>
      <c r="F1127" t="str">
        <f>VLOOKUP(Table2[[#This Row],[Customer ID]],Table2[#All],5,FALSE)</f>
        <v>No</v>
      </c>
      <c r="G1127" t="str">
        <f>VLOOKUP(Table2[[#This Row],[Customer ID]],Table2[#All],6,FALSE)</f>
        <v>No</v>
      </c>
      <c r="H1127">
        <f>VLOOKUP(Table2[[#This Row],[Customer ID]],Table2[#All],7,FALSE)</f>
        <v>2</v>
      </c>
      <c r="I1127" t="str">
        <f>VLOOKUP(Table2[[#This Row],[Customer ID]],Table2[#All],8,FALSE)</f>
        <v>No</v>
      </c>
      <c r="J1127" t="str">
        <f>VLOOKUP(Table2[[#This Row],[Customer ID]],Table2[#All],9,FALSE)</f>
        <v>Underweight</v>
      </c>
      <c r="K1127" t="str">
        <f>VLOOKUP(Table2[[#This Row],[Customer ID]],Table2[#All],10,FALSE)</f>
        <v>Diabetes</v>
      </c>
    </row>
    <row r="1128" spans="1:11" ht="15.6" x14ac:dyDescent="0.3">
      <c r="A1128" s="1" t="s">
        <v>1244</v>
      </c>
      <c r="B1128" t="str">
        <f>VLOOKUP('Customer Names'!A1128,'Customer Names'!$A$1:$E$2336,4,FALSE)</f>
        <v>Mr.  Christopher</v>
      </c>
      <c r="C1128">
        <f>VLOOKUP(Table2[[#This Row],[Customer ID]],Table2[#All],2,FALSE)</f>
        <v>32.299999999999997</v>
      </c>
      <c r="D1128">
        <f>VLOOKUP(Table2[[#This Row],[Customer ID]],Table2[#All],3,FALSE)</f>
        <v>9.59</v>
      </c>
      <c r="E1128" t="str">
        <f>VLOOKUP(Table2[[#This Row],[Customer ID]],Table2[#All],4,FALSE)</f>
        <v>No</v>
      </c>
      <c r="F1128" t="str">
        <f>VLOOKUP(Table2[[#This Row],[Customer ID]],Table2[#All],5,FALSE)</f>
        <v>No</v>
      </c>
      <c r="G1128" t="str">
        <f>VLOOKUP(Table2[[#This Row],[Customer ID]],Table2[#All],6,FALSE)</f>
        <v>No</v>
      </c>
      <c r="H1128">
        <f>VLOOKUP(Table2[[#This Row],[Customer ID]],Table2[#All],7,FALSE)</f>
        <v>0</v>
      </c>
      <c r="I1128" t="str">
        <f>VLOOKUP(Table2[[#This Row],[Customer ID]],Table2[#All],8,FALSE)</f>
        <v>No</v>
      </c>
      <c r="J1128" t="str">
        <f>VLOOKUP(Table2[[#This Row],[Customer ID]],Table2[#All],9,FALSE)</f>
        <v>Obesity</v>
      </c>
      <c r="K1128" t="str">
        <f>VLOOKUP(Table2[[#This Row],[Customer ID]],Table2[#All],10,FALSE)</f>
        <v>Diabetes</v>
      </c>
    </row>
    <row r="1129" spans="1:11" ht="15.6" x14ac:dyDescent="0.3">
      <c r="A1129" s="1" t="s">
        <v>1243</v>
      </c>
      <c r="B1129" t="str">
        <f>VLOOKUP('Customer Names'!A1129,'Customer Names'!$A$1:$E$2336,4,FALSE)</f>
        <v>Mr.  Ryan</v>
      </c>
      <c r="C1129">
        <f>VLOOKUP(Table2[[#This Row],[Customer ID]],Table2[#All],2,FALSE)</f>
        <v>27.74</v>
      </c>
      <c r="D1129">
        <f>VLOOKUP(Table2[[#This Row],[Customer ID]],Table2[#All],3,FALSE)</f>
        <v>10.37</v>
      </c>
      <c r="E1129" t="str">
        <f>VLOOKUP(Table2[[#This Row],[Customer ID]],Table2[#All],4,FALSE)</f>
        <v>No</v>
      </c>
      <c r="F1129" t="str">
        <f>VLOOKUP(Table2[[#This Row],[Customer ID]],Table2[#All],5,FALSE)</f>
        <v>No</v>
      </c>
      <c r="G1129" t="str">
        <f>VLOOKUP(Table2[[#This Row],[Customer ID]],Table2[#All],6,FALSE)</f>
        <v>No</v>
      </c>
      <c r="H1129">
        <f>VLOOKUP(Table2[[#This Row],[Customer ID]],Table2[#All],7,FALSE)</f>
        <v>0</v>
      </c>
      <c r="I1129" t="str">
        <f>VLOOKUP(Table2[[#This Row],[Customer ID]],Table2[#All],8,FALSE)</f>
        <v>No</v>
      </c>
      <c r="J1129" t="str">
        <f>VLOOKUP(Table2[[#This Row],[Customer ID]],Table2[#All],9,FALSE)</f>
        <v>Overweight</v>
      </c>
      <c r="K1129" t="str">
        <f>VLOOKUP(Table2[[#This Row],[Customer ID]],Table2[#All],10,FALSE)</f>
        <v>Diabetes</v>
      </c>
    </row>
    <row r="1130" spans="1:11" ht="15.6" x14ac:dyDescent="0.3">
      <c r="A1130" s="1" t="s">
        <v>1242</v>
      </c>
      <c r="B1130" t="str">
        <f>VLOOKUP('Customer Names'!A1130,'Customer Names'!$A$1:$E$2336,4,FALSE)</f>
        <v>Mr.  Thomas B.</v>
      </c>
      <c r="C1130">
        <f>VLOOKUP(Table2[[#This Row],[Customer ID]],Table2[#All],2,FALSE)</f>
        <v>24</v>
      </c>
      <c r="D1130">
        <f>VLOOKUP(Table2[[#This Row],[Customer ID]],Table2[#All],3,FALSE)</f>
        <v>4.01</v>
      </c>
      <c r="E1130" t="str">
        <f>VLOOKUP(Table2[[#This Row],[Customer ID]],Table2[#All],4,FALSE)</f>
        <v>Yes</v>
      </c>
      <c r="F1130" t="str">
        <f>VLOOKUP(Table2[[#This Row],[Customer ID]],Table2[#All],5,FALSE)</f>
        <v>No</v>
      </c>
      <c r="G1130" t="str">
        <f>VLOOKUP(Table2[[#This Row],[Customer ID]],Table2[#All],6,FALSE)</f>
        <v>No</v>
      </c>
      <c r="H1130">
        <f>VLOOKUP(Table2[[#This Row],[Customer ID]],Table2[#All],7,FALSE)</f>
        <v>1</v>
      </c>
      <c r="I1130" t="str">
        <f>VLOOKUP(Table2[[#This Row],[Customer ID]],Table2[#All],8,FALSE)</f>
        <v>No</v>
      </c>
      <c r="J1130" t="str">
        <f>VLOOKUP(Table2[[#This Row],[Customer ID]],Table2[#All],9,FALSE)</f>
        <v>Normalweight</v>
      </c>
      <c r="K1130" t="str">
        <f>VLOOKUP(Table2[[#This Row],[Customer ID]],Table2[#All],10,FALSE)</f>
        <v>Normal</v>
      </c>
    </row>
    <row r="1131" spans="1:11" ht="15.6" x14ac:dyDescent="0.3">
      <c r="A1131" s="1" t="s">
        <v>1241</v>
      </c>
      <c r="B1131" t="str">
        <f>VLOOKUP('Customer Names'!A1131,'Customer Names'!$A$1:$E$2336,4,FALSE)</f>
        <v>Ms.  Katie</v>
      </c>
      <c r="C1131">
        <f>VLOOKUP(Table2[[#This Row],[Customer ID]],Table2[#All],2,FALSE)</f>
        <v>31.78</v>
      </c>
      <c r="D1131">
        <f>VLOOKUP(Table2[[#This Row],[Customer ID]],Table2[#All],3,FALSE)</f>
        <v>4.24</v>
      </c>
      <c r="E1131" t="str">
        <f>VLOOKUP(Table2[[#This Row],[Customer ID]],Table2[#All],4,FALSE)</f>
        <v>Yes</v>
      </c>
      <c r="F1131" t="str">
        <f>VLOOKUP(Table2[[#This Row],[Customer ID]],Table2[#All],5,FALSE)</f>
        <v>No</v>
      </c>
      <c r="G1131" t="str">
        <f>VLOOKUP(Table2[[#This Row],[Customer ID]],Table2[#All],6,FALSE)</f>
        <v>Yes</v>
      </c>
      <c r="H1131">
        <f>VLOOKUP(Table2[[#This Row],[Customer ID]],Table2[#All],7,FALSE)</f>
        <v>1</v>
      </c>
      <c r="I1131" t="str">
        <f>VLOOKUP(Table2[[#This Row],[Customer ID]],Table2[#All],8,FALSE)</f>
        <v>No</v>
      </c>
      <c r="J1131" t="str">
        <f>VLOOKUP(Table2[[#This Row],[Customer ID]],Table2[#All],9,FALSE)</f>
        <v>Obesity</v>
      </c>
      <c r="K1131" t="str">
        <f>VLOOKUP(Table2[[#This Row],[Customer ID]],Table2[#All],10,FALSE)</f>
        <v>Normal</v>
      </c>
    </row>
    <row r="1132" spans="1:11" ht="15.6" x14ac:dyDescent="0.3">
      <c r="A1132" s="1" t="s">
        <v>1240</v>
      </c>
      <c r="B1132" t="str">
        <f>VLOOKUP('Customer Names'!A1132,'Customer Names'!$A$1:$E$2336,4,FALSE)</f>
        <v>Mrs.  Rachelle L</v>
      </c>
      <c r="C1132">
        <f>VLOOKUP(Table2[[#This Row],[Customer ID]],Table2[#All],2,FALSE)</f>
        <v>32.25</v>
      </c>
      <c r="D1132">
        <f>VLOOKUP(Table2[[#This Row],[Customer ID]],Table2[#All],3,FALSE)</f>
        <v>5.36</v>
      </c>
      <c r="E1132" t="str">
        <f>VLOOKUP(Table2[[#This Row],[Customer ID]],Table2[#All],4,FALSE)</f>
        <v>Yes</v>
      </c>
      <c r="F1132" t="str">
        <f>VLOOKUP(Table2[[#This Row],[Customer ID]],Table2[#All],5,FALSE)</f>
        <v>No</v>
      </c>
      <c r="G1132" t="str">
        <f>VLOOKUP(Table2[[#This Row],[Customer ID]],Table2[#All],6,FALSE)</f>
        <v>No</v>
      </c>
      <c r="H1132">
        <f>VLOOKUP(Table2[[#This Row],[Customer ID]],Table2[#All],7,FALSE)</f>
        <v>0</v>
      </c>
      <c r="I1132" t="str">
        <f>VLOOKUP(Table2[[#This Row],[Customer ID]],Table2[#All],8,FALSE)</f>
        <v>No</v>
      </c>
      <c r="J1132" t="str">
        <f>VLOOKUP(Table2[[#This Row],[Customer ID]],Table2[#All],9,FALSE)</f>
        <v>Obesity</v>
      </c>
      <c r="K1132" t="str">
        <f>VLOOKUP(Table2[[#This Row],[Customer ID]],Table2[#All],10,FALSE)</f>
        <v>Normal</v>
      </c>
    </row>
    <row r="1133" spans="1:11" ht="15.6" x14ac:dyDescent="0.3">
      <c r="A1133" s="1" t="s">
        <v>1239</v>
      </c>
      <c r="B1133" t="str">
        <f>VLOOKUP('Customer Names'!A1133,'Customer Names'!$A$1:$E$2336,4,FALSE)</f>
        <v>Ms.  Colleen</v>
      </c>
      <c r="C1133">
        <f>VLOOKUP(Table2[[#This Row],[Customer ID]],Table2[#All],2,FALSE)</f>
        <v>30.114999999999998</v>
      </c>
      <c r="D1133">
        <f>VLOOKUP(Table2[[#This Row],[Customer ID]],Table2[#All],3,FALSE)</f>
        <v>4.99</v>
      </c>
      <c r="E1133" t="str">
        <f>VLOOKUP(Table2[[#This Row],[Customer ID]],Table2[#All],4,FALSE)</f>
        <v>No</v>
      </c>
      <c r="F1133" t="str">
        <f>VLOOKUP(Table2[[#This Row],[Customer ID]],Table2[#All],5,FALSE)</f>
        <v>No</v>
      </c>
      <c r="G1133" t="str">
        <f>VLOOKUP(Table2[[#This Row],[Customer ID]],Table2[#All],6,FALSE)</f>
        <v>No</v>
      </c>
      <c r="H1133">
        <f>VLOOKUP(Table2[[#This Row],[Customer ID]],Table2[#All],7,FALSE)</f>
        <v>2</v>
      </c>
      <c r="I1133" t="str">
        <f>VLOOKUP(Table2[[#This Row],[Customer ID]],Table2[#All],8,FALSE)</f>
        <v>No</v>
      </c>
      <c r="J1133" t="str">
        <f>VLOOKUP(Table2[[#This Row],[Customer ID]],Table2[#All],9,FALSE)</f>
        <v>Obesity</v>
      </c>
      <c r="K1133" t="str">
        <f>VLOOKUP(Table2[[#This Row],[Customer ID]],Table2[#All],10,FALSE)</f>
        <v>Normal</v>
      </c>
    </row>
    <row r="1134" spans="1:11" ht="15.6" x14ac:dyDescent="0.3">
      <c r="A1134" s="1" t="s">
        <v>1238</v>
      </c>
      <c r="B1134" t="str">
        <f>VLOOKUP('Customer Names'!A1134,'Customer Names'!$A$1:$E$2336,4,FALSE)</f>
        <v>Mr.  Gregory A</v>
      </c>
      <c r="C1134">
        <f>VLOOKUP(Table2[[#This Row],[Customer ID]],Table2[#All],2,FALSE)</f>
        <v>22.41</v>
      </c>
      <c r="D1134">
        <f>VLOOKUP(Table2[[#This Row],[Customer ID]],Table2[#All],3,FALSE)</f>
        <v>8.68</v>
      </c>
      <c r="E1134" t="str">
        <f>VLOOKUP(Table2[[#This Row],[Customer ID]],Table2[#All],4,FALSE)</f>
        <v>No</v>
      </c>
      <c r="F1134" t="str">
        <f>VLOOKUP(Table2[[#This Row],[Customer ID]],Table2[#All],5,FALSE)</f>
        <v>No</v>
      </c>
      <c r="G1134" t="str">
        <f>VLOOKUP(Table2[[#This Row],[Customer ID]],Table2[#All],6,FALSE)</f>
        <v>No</v>
      </c>
      <c r="H1134">
        <f>VLOOKUP(Table2[[#This Row],[Customer ID]],Table2[#All],7,FALSE)</f>
        <v>0</v>
      </c>
      <c r="I1134" t="str">
        <f>VLOOKUP(Table2[[#This Row],[Customer ID]],Table2[#All],8,FALSE)</f>
        <v>No</v>
      </c>
      <c r="J1134" t="str">
        <f>VLOOKUP(Table2[[#This Row],[Customer ID]],Table2[#All],9,FALSE)</f>
        <v>Normalweight</v>
      </c>
      <c r="K1134" t="str">
        <f>VLOOKUP(Table2[[#This Row],[Customer ID]],Table2[#All],10,FALSE)</f>
        <v>Diabetes</v>
      </c>
    </row>
    <row r="1135" spans="1:11" ht="15.6" x14ac:dyDescent="0.3">
      <c r="A1135" s="1" t="s">
        <v>1237</v>
      </c>
      <c r="B1135" t="str">
        <f>VLOOKUP('Customer Names'!A1135,'Customer Names'!$A$1:$E$2336,4,FALSE)</f>
        <v>Ms.  Lara</v>
      </c>
      <c r="C1135">
        <f>VLOOKUP(Table2[[#This Row],[Customer ID]],Table2[#All],2,FALSE)</f>
        <v>45.72</v>
      </c>
      <c r="D1135">
        <f>VLOOKUP(Table2[[#This Row],[Customer ID]],Table2[#All],3,FALSE)</f>
        <v>4.2300000000000004</v>
      </c>
      <c r="E1135" t="str">
        <f>VLOOKUP(Table2[[#This Row],[Customer ID]],Table2[#All],4,FALSE)</f>
        <v>Yes</v>
      </c>
      <c r="F1135" t="str">
        <f>VLOOKUP(Table2[[#This Row],[Customer ID]],Table2[#All],5,FALSE)</f>
        <v>No</v>
      </c>
      <c r="G1135" t="str">
        <f>VLOOKUP(Table2[[#This Row],[Customer ID]],Table2[#All],6,FALSE)</f>
        <v>No</v>
      </c>
      <c r="H1135">
        <f>VLOOKUP(Table2[[#This Row],[Customer ID]],Table2[#All],7,FALSE)</f>
        <v>0</v>
      </c>
      <c r="I1135" t="str">
        <f>VLOOKUP(Table2[[#This Row],[Customer ID]],Table2[#All],8,FALSE)</f>
        <v>No</v>
      </c>
      <c r="J1135" t="str">
        <f>VLOOKUP(Table2[[#This Row],[Customer ID]],Table2[#All],9,FALSE)</f>
        <v>Obesity</v>
      </c>
      <c r="K1135" t="str">
        <f>VLOOKUP(Table2[[#This Row],[Customer ID]],Table2[#All],10,FALSE)</f>
        <v>Normal</v>
      </c>
    </row>
    <row r="1136" spans="1:11" ht="15.6" x14ac:dyDescent="0.3">
      <c r="A1136" s="1" t="s">
        <v>1236</v>
      </c>
      <c r="B1136" t="str">
        <f>VLOOKUP('Customer Names'!A1136,'Customer Names'!$A$1:$E$2336,4,FALSE)</f>
        <v>Ms.  Megan</v>
      </c>
      <c r="C1136">
        <f>VLOOKUP(Table2[[#This Row],[Customer ID]],Table2[#All],2,FALSE)</f>
        <v>25</v>
      </c>
      <c r="D1136">
        <f>VLOOKUP(Table2[[#This Row],[Customer ID]],Table2[#All],3,FALSE)</f>
        <v>5.32</v>
      </c>
      <c r="E1136" t="str">
        <f>VLOOKUP(Table2[[#This Row],[Customer ID]],Table2[#All],4,FALSE)</f>
        <v>Yes</v>
      </c>
      <c r="F1136" t="str">
        <f>VLOOKUP(Table2[[#This Row],[Customer ID]],Table2[#All],5,FALSE)</f>
        <v>No</v>
      </c>
      <c r="G1136" t="str">
        <f>VLOOKUP(Table2[[#This Row],[Customer ID]],Table2[#All],6,FALSE)</f>
        <v>No</v>
      </c>
      <c r="H1136">
        <f>VLOOKUP(Table2[[#This Row],[Customer ID]],Table2[#All],7,FALSE)</f>
        <v>2</v>
      </c>
      <c r="I1136" t="str">
        <f>VLOOKUP(Table2[[#This Row],[Customer ID]],Table2[#All],8,FALSE)</f>
        <v>No</v>
      </c>
      <c r="J1136" t="str">
        <f>VLOOKUP(Table2[[#This Row],[Customer ID]],Table2[#All],9,FALSE)</f>
        <v>Overweight</v>
      </c>
      <c r="K1136" t="str">
        <f>VLOOKUP(Table2[[#This Row],[Customer ID]],Table2[#All],10,FALSE)</f>
        <v>Normal</v>
      </c>
    </row>
    <row r="1137" spans="1:11" ht="15.6" x14ac:dyDescent="0.3">
      <c r="A1137" s="1" t="s">
        <v>1235</v>
      </c>
      <c r="B1137" t="str">
        <f>VLOOKUP('Customer Names'!A1137,'Customer Names'!$A$1:$E$2336,4,FALSE)</f>
        <v>Ms.  Sara</v>
      </c>
      <c r="C1137">
        <f>VLOOKUP(Table2[[#This Row],[Customer ID]],Table2[#All],2,FALSE)</f>
        <v>39.5</v>
      </c>
      <c r="D1137">
        <f>VLOOKUP(Table2[[#This Row],[Customer ID]],Table2[#All],3,FALSE)</f>
        <v>6.66</v>
      </c>
      <c r="E1137" t="str">
        <f>VLOOKUP(Table2[[#This Row],[Customer ID]],Table2[#All],4,FALSE)</f>
        <v>No</v>
      </c>
      <c r="F1137" t="str">
        <f>VLOOKUP(Table2[[#This Row],[Customer ID]],Table2[#All],5,FALSE)</f>
        <v>No</v>
      </c>
      <c r="G1137" t="str">
        <f>VLOOKUP(Table2[[#This Row],[Customer ID]],Table2[#All],6,FALSE)</f>
        <v>No</v>
      </c>
      <c r="H1137">
        <f>VLOOKUP(Table2[[#This Row],[Customer ID]],Table2[#All],7,FALSE)</f>
        <v>0</v>
      </c>
      <c r="I1137" t="str">
        <f>VLOOKUP(Table2[[#This Row],[Customer ID]],Table2[#All],8,FALSE)</f>
        <v>No</v>
      </c>
      <c r="J1137" t="str">
        <f>VLOOKUP(Table2[[#This Row],[Customer ID]],Table2[#All],9,FALSE)</f>
        <v>Obesity</v>
      </c>
      <c r="K1137" t="str">
        <f>VLOOKUP(Table2[[#This Row],[Customer ID]],Table2[#All],10,FALSE)</f>
        <v>Diabetes</v>
      </c>
    </row>
    <row r="1138" spans="1:11" ht="15.6" x14ac:dyDescent="0.3">
      <c r="A1138" s="1" t="s">
        <v>1234</v>
      </c>
      <c r="B1138" t="str">
        <f>VLOOKUP('Customer Names'!A1138,'Customer Names'!$A$1:$E$2336,4,FALSE)</f>
        <v>Ms.  Lucie J.</v>
      </c>
      <c r="C1138">
        <f>VLOOKUP(Table2[[#This Row],[Customer ID]],Table2[#All],2,FALSE)</f>
        <v>37.729999999999997</v>
      </c>
      <c r="D1138">
        <f>VLOOKUP(Table2[[#This Row],[Customer ID]],Table2[#All],3,FALSE)</f>
        <v>7.4</v>
      </c>
      <c r="E1138" t="str">
        <f>VLOOKUP(Table2[[#This Row],[Customer ID]],Table2[#All],4,FALSE)</f>
        <v>No</v>
      </c>
      <c r="F1138" t="str">
        <f>VLOOKUP(Table2[[#This Row],[Customer ID]],Table2[#All],5,FALSE)</f>
        <v>No</v>
      </c>
      <c r="G1138" t="str">
        <f>VLOOKUP(Table2[[#This Row],[Customer ID]],Table2[#All],6,FALSE)</f>
        <v>No</v>
      </c>
      <c r="H1138">
        <f>VLOOKUP(Table2[[#This Row],[Customer ID]],Table2[#All],7,FALSE)</f>
        <v>0</v>
      </c>
      <c r="I1138" t="str">
        <f>VLOOKUP(Table2[[#This Row],[Customer ID]],Table2[#All],8,FALSE)</f>
        <v>No</v>
      </c>
      <c r="J1138" t="str">
        <f>VLOOKUP(Table2[[#This Row],[Customer ID]],Table2[#All],9,FALSE)</f>
        <v>Obesity</v>
      </c>
      <c r="K1138" t="str">
        <f>VLOOKUP(Table2[[#This Row],[Customer ID]],Table2[#All],10,FALSE)</f>
        <v>Diabetes</v>
      </c>
    </row>
    <row r="1139" spans="1:11" ht="15.6" x14ac:dyDescent="0.3">
      <c r="A1139" s="1" t="s">
        <v>1233</v>
      </c>
      <c r="B1139" t="str">
        <f>VLOOKUP('Customer Names'!A1139,'Customer Names'!$A$1:$E$2336,4,FALSE)</f>
        <v>Ms.  Elizabeth S.</v>
      </c>
      <c r="C1139">
        <f>VLOOKUP(Table2[[#This Row],[Customer ID]],Table2[#All],2,FALSE)</f>
        <v>40.659999999999997</v>
      </c>
      <c r="D1139">
        <f>VLOOKUP(Table2[[#This Row],[Customer ID]],Table2[#All],3,FALSE)</f>
        <v>10.08</v>
      </c>
      <c r="E1139" t="str">
        <f>VLOOKUP(Table2[[#This Row],[Customer ID]],Table2[#All],4,FALSE)</f>
        <v>No</v>
      </c>
      <c r="F1139" t="str">
        <f>VLOOKUP(Table2[[#This Row],[Customer ID]],Table2[#All],5,FALSE)</f>
        <v>No</v>
      </c>
      <c r="G1139" t="str">
        <f>VLOOKUP(Table2[[#This Row],[Customer ID]],Table2[#All],6,FALSE)</f>
        <v>No</v>
      </c>
      <c r="H1139">
        <f>VLOOKUP(Table2[[#This Row],[Customer ID]],Table2[#All],7,FALSE)</f>
        <v>0</v>
      </c>
      <c r="I1139" t="str">
        <f>VLOOKUP(Table2[[#This Row],[Customer ID]],Table2[#All],8,FALSE)</f>
        <v>No</v>
      </c>
      <c r="J1139" t="str">
        <f>VLOOKUP(Table2[[#This Row],[Customer ID]],Table2[#All],9,FALSE)</f>
        <v>Obesity</v>
      </c>
      <c r="K1139" t="str">
        <f>VLOOKUP(Table2[[#This Row],[Customer ID]],Table2[#All],10,FALSE)</f>
        <v>Diabetes</v>
      </c>
    </row>
    <row r="1140" spans="1:11" ht="15.6" x14ac:dyDescent="0.3">
      <c r="A1140" s="1" t="s">
        <v>1232</v>
      </c>
      <c r="B1140" t="str">
        <f>VLOOKUP('Customer Names'!A1140,'Customer Names'!$A$1:$E$2336,4,FALSE)</f>
        <v>Ms.  Carma S</v>
      </c>
      <c r="C1140">
        <f>VLOOKUP(Table2[[#This Row],[Customer ID]],Table2[#All],2,FALSE)</f>
        <v>34.200000000000003</v>
      </c>
      <c r="D1140">
        <f>VLOOKUP(Table2[[#This Row],[Customer ID]],Table2[#All],3,FALSE)</f>
        <v>8.58</v>
      </c>
      <c r="E1140" t="str">
        <f>VLOOKUP(Table2[[#This Row],[Customer ID]],Table2[#All],4,FALSE)</f>
        <v>No</v>
      </c>
      <c r="F1140" t="str">
        <f>VLOOKUP(Table2[[#This Row],[Customer ID]],Table2[#All],5,FALSE)</f>
        <v>No</v>
      </c>
      <c r="G1140" t="str">
        <f>VLOOKUP(Table2[[#This Row],[Customer ID]],Table2[#All],6,FALSE)</f>
        <v>No</v>
      </c>
      <c r="H1140">
        <f>VLOOKUP(Table2[[#This Row],[Customer ID]],Table2[#All],7,FALSE)</f>
        <v>0</v>
      </c>
      <c r="I1140" t="str">
        <f>VLOOKUP(Table2[[#This Row],[Customer ID]],Table2[#All],8,FALSE)</f>
        <v>No</v>
      </c>
      <c r="J1140" t="str">
        <f>VLOOKUP(Table2[[#This Row],[Customer ID]],Table2[#All],9,FALSE)</f>
        <v>Obesity</v>
      </c>
      <c r="K1140" t="str">
        <f>VLOOKUP(Table2[[#This Row],[Customer ID]],Table2[#All],10,FALSE)</f>
        <v>Diabetes</v>
      </c>
    </row>
    <row r="1141" spans="1:11" ht="15.6" x14ac:dyDescent="0.3">
      <c r="A1141" s="1" t="s">
        <v>1231</v>
      </c>
      <c r="B1141" t="str">
        <f>VLOOKUP('Customer Names'!A1141,'Customer Names'!$A$1:$E$2336,4,FALSE)</f>
        <v>Mr.  Ryan</v>
      </c>
      <c r="C1141">
        <f>VLOOKUP(Table2[[#This Row],[Customer ID]],Table2[#All],2,FALSE)</f>
        <v>46.51</v>
      </c>
      <c r="D1141">
        <f>VLOOKUP(Table2[[#This Row],[Customer ID]],Table2[#All],3,FALSE)</f>
        <v>5.84</v>
      </c>
      <c r="E1141" t="str">
        <f>VLOOKUP(Table2[[#This Row],[Customer ID]],Table2[#All],4,FALSE)</f>
        <v>No</v>
      </c>
      <c r="F1141" t="str">
        <f>VLOOKUP(Table2[[#This Row],[Customer ID]],Table2[#All],5,FALSE)</f>
        <v>No</v>
      </c>
      <c r="G1141" t="str">
        <f>VLOOKUP(Table2[[#This Row],[Customer ID]],Table2[#All],6,FALSE)</f>
        <v>No</v>
      </c>
      <c r="H1141">
        <f>VLOOKUP(Table2[[#This Row],[Customer ID]],Table2[#All],7,FALSE)</f>
        <v>1</v>
      </c>
      <c r="I1141" t="str">
        <f>VLOOKUP(Table2[[#This Row],[Customer ID]],Table2[#All],8,FALSE)</f>
        <v>No</v>
      </c>
      <c r="J1141" t="str">
        <f>VLOOKUP(Table2[[#This Row],[Customer ID]],Table2[#All],9,FALSE)</f>
        <v>Obesity</v>
      </c>
      <c r="K1141" t="str">
        <f>VLOOKUP(Table2[[#This Row],[Customer ID]],Table2[#All],10,FALSE)</f>
        <v>Prediabetes</v>
      </c>
    </row>
    <row r="1142" spans="1:11" ht="15.6" x14ac:dyDescent="0.3">
      <c r="A1142" s="1" t="s">
        <v>1230</v>
      </c>
      <c r="B1142" t="str">
        <f>VLOOKUP('Customer Names'!A1142,'Customer Names'!$A$1:$E$2336,4,FALSE)</f>
        <v>Mr.  Daniel</v>
      </c>
      <c r="C1142">
        <f>VLOOKUP(Table2[[#This Row],[Customer ID]],Table2[#All],2,FALSE)</f>
        <v>28.88</v>
      </c>
      <c r="D1142">
        <f>VLOOKUP(Table2[[#This Row],[Customer ID]],Table2[#All],3,FALSE)</f>
        <v>4.8600000000000003</v>
      </c>
      <c r="E1142" t="str">
        <f>VLOOKUP(Table2[[#This Row],[Customer ID]],Table2[#All],4,FALSE)</f>
        <v>Yes</v>
      </c>
      <c r="F1142" t="str">
        <f>VLOOKUP(Table2[[#This Row],[Customer ID]],Table2[#All],5,FALSE)</f>
        <v>No</v>
      </c>
      <c r="G1142" t="str">
        <f>VLOOKUP(Table2[[#This Row],[Customer ID]],Table2[#All],6,FALSE)</f>
        <v>Yes</v>
      </c>
      <c r="H1142">
        <f>VLOOKUP(Table2[[#This Row],[Customer ID]],Table2[#All],7,FALSE)</f>
        <v>1</v>
      </c>
      <c r="I1142" t="str">
        <f>VLOOKUP(Table2[[#This Row],[Customer ID]],Table2[#All],8,FALSE)</f>
        <v>No</v>
      </c>
      <c r="J1142" t="str">
        <f>VLOOKUP(Table2[[#This Row],[Customer ID]],Table2[#All],9,FALSE)</f>
        <v>Overweight</v>
      </c>
      <c r="K1142" t="str">
        <f>VLOOKUP(Table2[[#This Row],[Customer ID]],Table2[#All],10,FALSE)</f>
        <v>Normal</v>
      </c>
    </row>
    <row r="1143" spans="1:11" ht="15.6" x14ac:dyDescent="0.3">
      <c r="A1143" s="1" t="s">
        <v>1229</v>
      </c>
      <c r="B1143" t="str">
        <f>VLOOKUP('Customer Names'!A1143,'Customer Names'!$A$1:$E$2336,4,FALSE)</f>
        <v>Ms.  Sarah</v>
      </c>
      <c r="C1143">
        <f>VLOOKUP(Table2[[#This Row],[Customer ID]],Table2[#All],2,FALSE)</f>
        <v>33.914999999999999</v>
      </c>
      <c r="D1143">
        <f>VLOOKUP(Table2[[#This Row],[Customer ID]],Table2[#All],3,FALSE)</f>
        <v>11.52</v>
      </c>
      <c r="E1143" t="str">
        <f>VLOOKUP(Table2[[#This Row],[Customer ID]],Table2[#All],4,FALSE)</f>
        <v>No</v>
      </c>
      <c r="F1143" t="str">
        <f>VLOOKUP(Table2[[#This Row],[Customer ID]],Table2[#All],5,FALSE)</f>
        <v>No</v>
      </c>
      <c r="G1143" t="str">
        <f>VLOOKUP(Table2[[#This Row],[Customer ID]],Table2[#All],6,FALSE)</f>
        <v>No</v>
      </c>
      <c r="H1143">
        <f>VLOOKUP(Table2[[#This Row],[Customer ID]],Table2[#All],7,FALSE)</f>
        <v>0</v>
      </c>
      <c r="I1143" t="str">
        <f>VLOOKUP(Table2[[#This Row],[Customer ID]],Table2[#All],8,FALSE)</f>
        <v>No</v>
      </c>
      <c r="J1143" t="str">
        <f>VLOOKUP(Table2[[#This Row],[Customer ID]],Table2[#All],9,FALSE)</f>
        <v>Obesity</v>
      </c>
      <c r="K1143" t="str">
        <f>VLOOKUP(Table2[[#This Row],[Customer ID]],Table2[#All],10,FALSE)</f>
        <v>Diabetes</v>
      </c>
    </row>
    <row r="1144" spans="1:11" ht="15.6" x14ac:dyDescent="0.3">
      <c r="A1144" s="1" t="s">
        <v>1228</v>
      </c>
      <c r="B1144" t="str">
        <f>VLOOKUP('Customer Names'!A1144,'Customer Names'!$A$1:$E$2336,4,FALSE)</f>
        <v>Mr.  Matthew J</v>
      </c>
      <c r="C1144">
        <f>VLOOKUP(Table2[[#This Row],[Customer ID]],Table2[#All],2,FALSE)</f>
        <v>24.32</v>
      </c>
      <c r="D1144">
        <f>VLOOKUP(Table2[[#This Row],[Customer ID]],Table2[#All],3,FALSE)</f>
        <v>6.15</v>
      </c>
      <c r="E1144" t="str">
        <f>VLOOKUP(Table2[[#This Row],[Customer ID]],Table2[#All],4,FALSE)</f>
        <v>Yes</v>
      </c>
      <c r="F1144" t="str">
        <f>VLOOKUP(Table2[[#This Row],[Customer ID]],Table2[#All],5,FALSE)</f>
        <v>No</v>
      </c>
      <c r="G1144" t="str">
        <f>VLOOKUP(Table2[[#This Row],[Customer ID]],Table2[#All],6,FALSE)</f>
        <v>Yes</v>
      </c>
      <c r="H1144">
        <f>VLOOKUP(Table2[[#This Row],[Customer ID]],Table2[#All],7,FALSE)</f>
        <v>1</v>
      </c>
      <c r="I1144" t="str">
        <f>VLOOKUP(Table2[[#This Row],[Customer ID]],Table2[#All],8,FALSE)</f>
        <v>No</v>
      </c>
      <c r="J1144" t="str">
        <f>VLOOKUP(Table2[[#This Row],[Customer ID]],Table2[#All],9,FALSE)</f>
        <v>Normalweight</v>
      </c>
      <c r="K1144" t="str">
        <f>VLOOKUP(Table2[[#This Row],[Customer ID]],Table2[#All],10,FALSE)</f>
        <v>Prediabetes</v>
      </c>
    </row>
    <row r="1145" spans="1:11" ht="15.6" x14ac:dyDescent="0.3">
      <c r="A1145" s="1" t="s">
        <v>1227</v>
      </c>
      <c r="B1145" t="str">
        <f>VLOOKUP('Customer Names'!A1145,'Customer Names'!$A$1:$E$2336,4,FALSE)</f>
        <v>Ms.  Francesca</v>
      </c>
      <c r="C1145">
        <f>VLOOKUP(Table2[[#This Row],[Customer ID]],Table2[#All],2,FALSE)</f>
        <v>25.8</v>
      </c>
      <c r="D1145">
        <f>VLOOKUP(Table2[[#This Row],[Customer ID]],Table2[#All],3,FALSE)</f>
        <v>9.94</v>
      </c>
      <c r="E1145" t="str">
        <f>VLOOKUP(Table2[[#This Row],[Customer ID]],Table2[#All],4,FALSE)</f>
        <v>No</v>
      </c>
      <c r="F1145" t="str">
        <f>VLOOKUP(Table2[[#This Row],[Customer ID]],Table2[#All],5,FALSE)</f>
        <v>No</v>
      </c>
      <c r="G1145" t="str">
        <f>VLOOKUP(Table2[[#This Row],[Customer ID]],Table2[#All],6,FALSE)</f>
        <v>No</v>
      </c>
      <c r="H1145">
        <f>VLOOKUP(Table2[[#This Row],[Customer ID]],Table2[#All],7,FALSE)</f>
        <v>0</v>
      </c>
      <c r="I1145" t="str">
        <f>VLOOKUP(Table2[[#This Row],[Customer ID]],Table2[#All],8,FALSE)</f>
        <v>No</v>
      </c>
      <c r="J1145" t="str">
        <f>VLOOKUP(Table2[[#This Row],[Customer ID]],Table2[#All],9,FALSE)</f>
        <v>Overweight</v>
      </c>
      <c r="K1145" t="str">
        <f>VLOOKUP(Table2[[#This Row],[Customer ID]],Table2[#All],10,FALSE)</f>
        <v>Diabetes</v>
      </c>
    </row>
    <row r="1146" spans="1:11" ht="15.6" x14ac:dyDescent="0.3">
      <c r="A1146" s="1" t="s">
        <v>1226</v>
      </c>
      <c r="B1146" t="str">
        <f>VLOOKUP('Customer Names'!A1146,'Customer Names'!$A$1:$E$2336,4,FALSE)</f>
        <v>Ms.  Nicole</v>
      </c>
      <c r="C1146">
        <f>VLOOKUP(Table2[[#This Row],[Customer ID]],Table2[#All],2,FALSE)</f>
        <v>21.56</v>
      </c>
      <c r="D1146">
        <f>VLOOKUP(Table2[[#This Row],[Customer ID]],Table2[#All],3,FALSE)</f>
        <v>10.56</v>
      </c>
      <c r="E1146" t="str">
        <f>VLOOKUP(Table2[[#This Row],[Customer ID]],Table2[#All],4,FALSE)</f>
        <v>No</v>
      </c>
      <c r="F1146" t="str">
        <f>VLOOKUP(Table2[[#This Row],[Customer ID]],Table2[#All],5,FALSE)</f>
        <v>No</v>
      </c>
      <c r="G1146" t="str">
        <f>VLOOKUP(Table2[[#This Row],[Customer ID]],Table2[#All],6,FALSE)</f>
        <v>No</v>
      </c>
      <c r="H1146">
        <f>VLOOKUP(Table2[[#This Row],[Customer ID]],Table2[#All],7,FALSE)</f>
        <v>0</v>
      </c>
      <c r="I1146" t="str">
        <f>VLOOKUP(Table2[[#This Row],[Customer ID]],Table2[#All],8,FALSE)</f>
        <v>No</v>
      </c>
      <c r="J1146" t="str">
        <f>VLOOKUP(Table2[[#This Row],[Customer ID]],Table2[#All],9,FALSE)</f>
        <v>Normalweight</v>
      </c>
      <c r="K1146" t="str">
        <f>VLOOKUP(Table2[[#This Row],[Customer ID]],Table2[#All],10,FALSE)</f>
        <v>Diabetes</v>
      </c>
    </row>
    <row r="1147" spans="1:11" ht="15.6" x14ac:dyDescent="0.3">
      <c r="A1147" s="1" t="s">
        <v>1225</v>
      </c>
      <c r="B1147" t="str">
        <f>VLOOKUP('Customer Names'!A1147,'Customer Names'!$A$1:$E$2336,4,FALSE)</f>
        <v>Mr.  Toshiyuki</v>
      </c>
      <c r="C1147">
        <f>VLOOKUP(Table2[[#This Row],[Customer ID]],Table2[#All],2,FALSE)</f>
        <v>31.6</v>
      </c>
      <c r="D1147">
        <f>VLOOKUP(Table2[[#This Row],[Customer ID]],Table2[#All],3,FALSE)</f>
        <v>6.79</v>
      </c>
      <c r="E1147" t="str">
        <f>VLOOKUP(Table2[[#This Row],[Customer ID]],Table2[#All],4,FALSE)</f>
        <v>No</v>
      </c>
      <c r="F1147" t="str">
        <f>VLOOKUP(Table2[[#This Row],[Customer ID]],Table2[#All],5,FALSE)</f>
        <v>No</v>
      </c>
      <c r="G1147" t="str">
        <f>VLOOKUP(Table2[[#This Row],[Customer ID]],Table2[#All],6,FALSE)</f>
        <v>No</v>
      </c>
      <c r="H1147">
        <f>VLOOKUP(Table2[[#This Row],[Customer ID]],Table2[#All],7,FALSE)</f>
        <v>0</v>
      </c>
      <c r="I1147" t="str">
        <f>VLOOKUP(Table2[[#This Row],[Customer ID]],Table2[#All],8,FALSE)</f>
        <v>No</v>
      </c>
      <c r="J1147" t="str">
        <f>VLOOKUP(Table2[[#This Row],[Customer ID]],Table2[#All],9,FALSE)</f>
        <v>Obesity</v>
      </c>
      <c r="K1147" t="str">
        <f>VLOOKUP(Table2[[#This Row],[Customer ID]],Table2[#All],10,FALSE)</f>
        <v>Diabetes</v>
      </c>
    </row>
    <row r="1148" spans="1:11" ht="15.6" x14ac:dyDescent="0.3">
      <c r="A1148" s="1" t="s">
        <v>1224</v>
      </c>
      <c r="B1148" t="str">
        <f>VLOOKUP('Customer Names'!A1148,'Customer Names'!$A$1:$E$2336,4,FALSE)</f>
        <v>Mr.  Tom L.</v>
      </c>
      <c r="C1148">
        <f>VLOOKUP(Table2[[#This Row],[Customer ID]],Table2[#All],2,FALSE)</f>
        <v>42.93</v>
      </c>
      <c r="D1148">
        <f>VLOOKUP(Table2[[#This Row],[Customer ID]],Table2[#All],3,FALSE)</f>
        <v>4.8</v>
      </c>
      <c r="E1148" t="str">
        <f>VLOOKUP(Table2[[#This Row],[Customer ID]],Table2[#All],4,FALSE)</f>
        <v>No</v>
      </c>
      <c r="F1148" t="str">
        <f>VLOOKUP(Table2[[#This Row],[Customer ID]],Table2[#All],5,FALSE)</f>
        <v>No</v>
      </c>
      <c r="G1148" t="str">
        <f>VLOOKUP(Table2[[#This Row],[Customer ID]],Table2[#All],6,FALSE)</f>
        <v>No</v>
      </c>
      <c r="H1148">
        <f>VLOOKUP(Table2[[#This Row],[Customer ID]],Table2[#All],7,FALSE)</f>
        <v>1</v>
      </c>
      <c r="I1148" t="str">
        <f>VLOOKUP(Table2[[#This Row],[Customer ID]],Table2[#All],8,FALSE)</f>
        <v>No</v>
      </c>
      <c r="J1148" t="str">
        <f>VLOOKUP(Table2[[#This Row],[Customer ID]],Table2[#All],9,FALSE)</f>
        <v>Obesity</v>
      </c>
      <c r="K1148" t="str">
        <f>VLOOKUP(Table2[[#This Row],[Customer ID]],Table2[#All],10,FALSE)</f>
        <v>Normal</v>
      </c>
    </row>
    <row r="1149" spans="1:11" ht="15.6" x14ac:dyDescent="0.3">
      <c r="A1149" s="1" t="s">
        <v>1223</v>
      </c>
      <c r="B1149" t="str">
        <f>VLOOKUP('Customer Names'!A1149,'Customer Names'!$A$1:$E$2336,4,FALSE)</f>
        <v>Mr.  Brian</v>
      </c>
      <c r="C1149">
        <f>VLOOKUP(Table2[[#This Row],[Customer ID]],Table2[#All],2,FALSE)</f>
        <v>26.72</v>
      </c>
      <c r="D1149">
        <f>VLOOKUP(Table2[[#This Row],[Customer ID]],Table2[#All],3,FALSE)</f>
        <v>5.75</v>
      </c>
      <c r="E1149" t="str">
        <f>VLOOKUP(Table2[[#This Row],[Customer ID]],Table2[#All],4,FALSE)</f>
        <v>No</v>
      </c>
      <c r="F1149" t="str">
        <f>VLOOKUP(Table2[[#This Row],[Customer ID]],Table2[#All],5,FALSE)</f>
        <v>No</v>
      </c>
      <c r="G1149" t="str">
        <f>VLOOKUP(Table2[[#This Row],[Customer ID]],Table2[#All],6,FALSE)</f>
        <v>No</v>
      </c>
      <c r="H1149">
        <f>VLOOKUP(Table2[[#This Row],[Customer ID]],Table2[#All],7,FALSE)</f>
        <v>2</v>
      </c>
      <c r="I1149" t="str">
        <f>VLOOKUP(Table2[[#This Row],[Customer ID]],Table2[#All],8,FALSE)</f>
        <v>No</v>
      </c>
      <c r="J1149" t="str">
        <f>VLOOKUP(Table2[[#This Row],[Customer ID]],Table2[#All],9,FALSE)</f>
        <v>Overweight</v>
      </c>
      <c r="K1149" t="str">
        <f>VLOOKUP(Table2[[#This Row],[Customer ID]],Table2[#All],10,FALSE)</f>
        <v>Prediabetes</v>
      </c>
    </row>
    <row r="1150" spans="1:11" ht="15.6" x14ac:dyDescent="0.3">
      <c r="A1150" s="1" t="s">
        <v>1222</v>
      </c>
      <c r="B1150" t="str">
        <f>VLOOKUP('Customer Names'!A1150,'Customer Names'!$A$1:$E$2336,4,FALSE)</f>
        <v>Mr.  Matthew</v>
      </c>
      <c r="C1150">
        <f>VLOOKUP(Table2[[#This Row],[Customer ID]],Table2[#All],2,FALSE)</f>
        <v>26.67</v>
      </c>
      <c r="D1150">
        <f>VLOOKUP(Table2[[#This Row],[Customer ID]],Table2[#All],3,FALSE)</f>
        <v>5.81</v>
      </c>
      <c r="E1150" t="str">
        <f>VLOOKUP(Table2[[#This Row],[Customer ID]],Table2[#All],4,FALSE)</f>
        <v>No</v>
      </c>
      <c r="F1150" t="str">
        <f>VLOOKUP(Table2[[#This Row],[Customer ID]],Table2[#All],5,FALSE)</f>
        <v>No</v>
      </c>
      <c r="G1150" t="str">
        <f>VLOOKUP(Table2[[#This Row],[Customer ID]],Table2[#All],6,FALSE)</f>
        <v>No</v>
      </c>
      <c r="H1150">
        <f>VLOOKUP(Table2[[#This Row],[Customer ID]],Table2[#All],7,FALSE)</f>
        <v>2</v>
      </c>
      <c r="I1150" t="str">
        <f>VLOOKUP(Table2[[#This Row],[Customer ID]],Table2[#All],8,FALSE)</f>
        <v>No</v>
      </c>
      <c r="J1150" t="str">
        <f>VLOOKUP(Table2[[#This Row],[Customer ID]],Table2[#All],9,FALSE)</f>
        <v>Overweight</v>
      </c>
      <c r="K1150" t="str">
        <f>VLOOKUP(Table2[[#This Row],[Customer ID]],Table2[#All],10,FALSE)</f>
        <v>Prediabetes</v>
      </c>
    </row>
    <row r="1151" spans="1:11" ht="15.6" x14ac:dyDescent="0.3">
      <c r="A1151" s="1" t="s">
        <v>1221</v>
      </c>
      <c r="B1151" t="str">
        <f>VLOOKUP('Customer Names'!A1151,'Customer Names'!$A$1:$E$2336,4,FALSE)</f>
        <v>Ms.  Julee</v>
      </c>
      <c r="C1151">
        <f>VLOOKUP(Table2[[#This Row],[Customer ID]],Table2[#All],2,FALSE)</f>
        <v>42.68</v>
      </c>
      <c r="D1151">
        <f>VLOOKUP(Table2[[#This Row],[Customer ID]],Table2[#All],3,FALSE)</f>
        <v>9.2799999999999994</v>
      </c>
      <c r="E1151" t="str">
        <f>VLOOKUP(Table2[[#This Row],[Customer ID]],Table2[#All],4,FALSE)</f>
        <v>No</v>
      </c>
      <c r="F1151" t="str">
        <f>VLOOKUP(Table2[[#This Row],[Customer ID]],Table2[#All],5,FALSE)</f>
        <v>No</v>
      </c>
      <c r="G1151" t="str">
        <f>VLOOKUP(Table2[[#This Row],[Customer ID]],Table2[#All],6,FALSE)</f>
        <v>No</v>
      </c>
      <c r="H1151">
        <f>VLOOKUP(Table2[[#This Row],[Customer ID]],Table2[#All],7,FALSE)</f>
        <v>2</v>
      </c>
      <c r="I1151" t="str">
        <f>VLOOKUP(Table2[[#This Row],[Customer ID]],Table2[#All],8,FALSE)</f>
        <v>No</v>
      </c>
      <c r="J1151" t="str">
        <f>VLOOKUP(Table2[[#This Row],[Customer ID]],Table2[#All],9,FALSE)</f>
        <v>Obesity</v>
      </c>
      <c r="K1151" t="str">
        <f>VLOOKUP(Table2[[#This Row],[Customer ID]],Table2[#All],10,FALSE)</f>
        <v>Diabetes</v>
      </c>
    </row>
    <row r="1152" spans="1:11" ht="15.6" x14ac:dyDescent="0.3">
      <c r="A1152" s="1" t="s">
        <v>1220</v>
      </c>
      <c r="B1152" t="str">
        <f>VLOOKUP('Customer Names'!A1152,'Customer Names'!$A$1:$E$2336,4,FALSE)</f>
        <v>Mr.  Christopher M.</v>
      </c>
      <c r="C1152">
        <f>VLOOKUP(Table2[[#This Row],[Customer ID]],Table2[#All],2,FALSE)</f>
        <v>24.31</v>
      </c>
      <c r="D1152">
        <f>VLOOKUP(Table2[[#This Row],[Customer ID]],Table2[#All],3,FALSE)</f>
        <v>6.37</v>
      </c>
      <c r="E1152" t="str">
        <f>VLOOKUP(Table2[[#This Row],[Customer ID]],Table2[#All],4,FALSE)</f>
        <v>No</v>
      </c>
      <c r="F1152" t="str">
        <f>VLOOKUP(Table2[[#This Row],[Customer ID]],Table2[#All],5,FALSE)</f>
        <v>No</v>
      </c>
      <c r="G1152" t="str">
        <f>VLOOKUP(Table2[[#This Row],[Customer ID]],Table2[#All],6,FALSE)</f>
        <v>No</v>
      </c>
      <c r="H1152">
        <f>VLOOKUP(Table2[[#This Row],[Customer ID]],Table2[#All],7,FALSE)</f>
        <v>0</v>
      </c>
      <c r="I1152" t="str">
        <f>VLOOKUP(Table2[[#This Row],[Customer ID]],Table2[#All],8,FALSE)</f>
        <v>No</v>
      </c>
      <c r="J1152" t="str">
        <f>VLOOKUP(Table2[[#This Row],[Customer ID]],Table2[#All],9,FALSE)</f>
        <v>Normalweight</v>
      </c>
      <c r="K1152" t="str">
        <f>VLOOKUP(Table2[[#This Row],[Customer ID]],Table2[#All],10,FALSE)</f>
        <v>Prediabetes</v>
      </c>
    </row>
    <row r="1153" spans="1:11" ht="15.6" x14ac:dyDescent="0.3">
      <c r="A1153" s="1" t="s">
        <v>1219</v>
      </c>
      <c r="B1153" t="str">
        <f>VLOOKUP('Customer Names'!A1153,'Customer Names'!$A$1:$E$2336,4,FALSE)</f>
        <v>Mr.  Ciaran</v>
      </c>
      <c r="C1153">
        <f>VLOOKUP(Table2[[#This Row],[Customer ID]],Table2[#All],2,FALSE)</f>
        <v>44.75</v>
      </c>
      <c r="D1153">
        <f>VLOOKUP(Table2[[#This Row],[Customer ID]],Table2[#All],3,FALSE)</f>
        <v>5.09</v>
      </c>
      <c r="E1153" t="str">
        <f>VLOOKUP(Table2[[#This Row],[Customer ID]],Table2[#All],4,FALSE)</f>
        <v>Yes</v>
      </c>
      <c r="F1153" t="str">
        <f>VLOOKUP(Table2[[#This Row],[Customer ID]],Table2[#All],5,FALSE)</f>
        <v>No</v>
      </c>
      <c r="G1153" t="str">
        <f>VLOOKUP(Table2[[#This Row],[Customer ID]],Table2[#All],6,FALSE)</f>
        <v>No</v>
      </c>
      <c r="H1153">
        <f>VLOOKUP(Table2[[#This Row],[Customer ID]],Table2[#All],7,FALSE)</f>
        <v>0</v>
      </c>
      <c r="I1153" t="str">
        <f>VLOOKUP(Table2[[#This Row],[Customer ID]],Table2[#All],8,FALSE)</f>
        <v>No</v>
      </c>
      <c r="J1153" t="str">
        <f>VLOOKUP(Table2[[#This Row],[Customer ID]],Table2[#All],9,FALSE)</f>
        <v>Obesity</v>
      </c>
      <c r="K1153" t="str">
        <f>VLOOKUP(Table2[[#This Row],[Customer ID]],Table2[#All],10,FALSE)</f>
        <v>Normal</v>
      </c>
    </row>
    <row r="1154" spans="1:11" ht="15.6" x14ac:dyDescent="0.3">
      <c r="A1154" s="1" t="s">
        <v>1218</v>
      </c>
      <c r="B1154" t="str">
        <f>VLOOKUP('Customer Names'!A1154,'Customer Names'!$A$1:$E$2336,4,FALSE)</f>
        <v>Ms.  Kara</v>
      </c>
      <c r="C1154">
        <f>VLOOKUP(Table2[[#This Row],[Customer ID]],Table2[#All],2,FALSE)</f>
        <v>30.78</v>
      </c>
      <c r="D1154">
        <f>VLOOKUP(Table2[[#This Row],[Customer ID]],Table2[#All],3,FALSE)</f>
        <v>7.94</v>
      </c>
      <c r="E1154" t="str">
        <f>VLOOKUP(Table2[[#This Row],[Customer ID]],Table2[#All],4,FALSE)</f>
        <v>No</v>
      </c>
      <c r="F1154" t="str">
        <f>VLOOKUP(Table2[[#This Row],[Customer ID]],Table2[#All],5,FALSE)</f>
        <v>No</v>
      </c>
      <c r="G1154" t="str">
        <f>VLOOKUP(Table2[[#This Row],[Customer ID]],Table2[#All],6,FALSE)</f>
        <v>No</v>
      </c>
      <c r="H1154">
        <f>VLOOKUP(Table2[[#This Row],[Customer ID]],Table2[#All],7,FALSE)</f>
        <v>2</v>
      </c>
      <c r="I1154" t="str">
        <f>VLOOKUP(Table2[[#This Row],[Customer ID]],Table2[#All],8,FALSE)</f>
        <v>No</v>
      </c>
      <c r="J1154" t="str">
        <f>VLOOKUP(Table2[[#This Row],[Customer ID]],Table2[#All],9,FALSE)</f>
        <v>Obesity</v>
      </c>
      <c r="K1154" t="str">
        <f>VLOOKUP(Table2[[#This Row],[Customer ID]],Table2[#All],10,FALSE)</f>
        <v>Diabetes</v>
      </c>
    </row>
    <row r="1155" spans="1:11" ht="15.6" x14ac:dyDescent="0.3">
      <c r="A1155" s="1" t="s">
        <v>1217</v>
      </c>
      <c r="B1155" t="str">
        <f>VLOOKUP('Customer Names'!A1155,'Customer Names'!$A$1:$E$2336,4,FALSE)</f>
        <v>Ms.  Makie</v>
      </c>
      <c r="C1155">
        <f>VLOOKUP(Table2[[#This Row],[Customer ID]],Table2[#All],2,FALSE)</f>
        <v>21.86</v>
      </c>
      <c r="D1155">
        <f>VLOOKUP(Table2[[#This Row],[Customer ID]],Table2[#All],3,FALSE)</f>
        <v>10.95</v>
      </c>
      <c r="E1155" t="str">
        <f>VLOOKUP(Table2[[#This Row],[Customer ID]],Table2[#All],4,FALSE)</f>
        <v>No</v>
      </c>
      <c r="F1155" t="str">
        <f>VLOOKUP(Table2[[#This Row],[Customer ID]],Table2[#All],5,FALSE)</f>
        <v>No</v>
      </c>
      <c r="G1155" t="str">
        <f>VLOOKUP(Table2[[#This Row],[Customer ID]],Table2[#All],6,FALSE)</f>
        <v>No</v>
      </c>
      <c r="H1155">
        <f>VLOOKUP(Table2[[#This Row],[Customer ID]],Table2[#All],7,FALSE)</f>
        <v>0</v>
      </c>
      <c r="I1155" t="str">
        <f>VLOOKUP(Table2[[#This Row],[Customer ID]],Table2[#All],8,FALSE)</f>
        <v>No</v>
      </c>
      <c r="J1155" t="str">
        <f>VLOOKUP(Table2[[#This Row],[Customer ID]],Table2[#All],9,FALSE)</f>
        <v>Normalweight</v>
      </c>
      <c r="K1155" t="str">
        <f>VLOOKUP(Table2[[#This Row],[Customer ID]],Table2[#All],10,FALSE)</f>
        <v>Diabetes</v>
      </c>
    </row>
    <row r="1156" spans="1:11" ht="15.6" x14ac:dyDescent="0.3">
      <c r="A1156" s="1" t="s">
        <v>1216</v>
      </c>
      <c r="B1156" t="str">
        <f>VLOOKUP('Customer Names'!A1156,'Customer Names'!$A$1:$E$2336,4,FALSE)</f>
        <v>Ms.  Emily E</v>
      </c>
      <c r="C1156">
        <f>VLOOKUP(Table2[[#This Row],[Customer ID]],Table2[#All],2,FALSE)</f>
        <v>49.09</v>
      </c>
      <c r="D1156">
        <f>VLOOKUP(Table2[[#This Row],[Customer ID]],Table2[#All],3,FALSE)</f>
        <v>6.3</v>
      </c>
      <c r="E1156" t="str">
        <f>VLOOKUP(Table2[[#This Row],[Customer ID]],Table2[#All],4,FALSE)</f>
        <v>Yes</v>
      </c>
      <c r="F1156" t="str">
        <f>VLOOKUP(Table2[[#This Row],[Customer ID]],Table2[#All],5,FALSE)</f>
        <v>No</v>
      </c>
      <c r="G1156" t="str">
        <f>VLOOKUP(Table2[[#This Row],[Customer ID]],Table2[#All],6,FALSE)</f>
        <v>No</v>
      </c>
      <c r="H1156">
        <f>VLOOKUP(Table2[[#This Row],[Customer ID]],Table2[#All],7,FALSE)</f>
        <v>0</v>
      </c>
      <c r="I1156" t="str">
        <f>VLOOKUP(Table2[[#This Row],[Customer ID]],Table2[#All],8,FALSE)</f>
        <v>No</v>
      </c>
      <c r="J1156" t="str">
        <f>VLOOKUP(Table2[[#This Row],[Customer ID]],Table2[#All],9,FALSE)</f>
        <v>Obesity</v>
      </c>
      <c r="K1156" t="str">
        <f>VLOOKUP(Table2[[#This Row],[Customer ID]],Table2[#All],10,FALSE)</f>
        <v>Prediabetes</v>
      </c>
    </row>
    <row r="1157" spans="1:11" ht="15.6" x14ac:dyDescent="0.3">
      <c r="A1157" s="1" t="s">
        <v>1215</v>
      </c>
      <c r="B1157" t="str">
        <f>VLOOKUP('Customer Names'!A1157,'Customer Names'!$A$1:$E$2336,4,FALSE)</f>
        <v>Mr.  Cary</v>
      </c>
      <c r="C1157">
        <f>VLOOKUP(Table2[[#This Row],[Customer ID]],Table2[#All],2,FALSE)</f>
        <v>47.74</v>
      </c>
      <c r="D1157">
        <f>VLOOKUP(Table2[[#This Row],[Customer ID]],Table2[#All],3,FALSE)</f>
        <v>8.0500000000000007</v>
      </c>
      <c r="E1157" t="str">
        <f>VLOOKUP(Table2[[#This Row],[Customer ID]],Table2[#All],4,FALSE)</f>
        <v>Yes</v>
      </c>
      <c r="F1157" t="str">
        <f>VLOOKUP(Table2[[#This Row],[Customer ID]],Table2[#All],5,FALSE)</f>
        <v>No</v>
      </c>
      <c r="G1157" t="str">
        <f>VLOOKUP(Table2[[#This Row],[Customer ID]],Table2[#All],6,FALSE)</f>
        <v>No</v>
      </c>
      <c r="H1157">
        <f>VLOOKUP(Table2[[#This Row],[Customer ID]],Table2[#All],7,FALSE)</f>
        <v>2</v>
      </c>
      <c r="I1157" t="str">
        <f>VLOOKUP(Table2[[#This Row],[Customer ID]],Table2[#All],8,FALSE)</f>
        <v>No</v>
      </c>
      <c r="J1157" t="str">
        <f>VLOOKUP(Table2[[#This Row],[Customer ID]],Table2[#All],9,FALSE)</f>
        <v>Obesity</v>
      </c>
      <c r="K1157" t="str">
        <f>VLOOKUP(Table2[[#This Row],[Customer ID]],Table2[#All],10,FALSE)</f>
        <v>Diabetes</v>
      </c>
    </row>
    <row r="1158" spans="1:11" ht="15.6" x14ac:dyDescent="0.3">
      <c r="A1158" s="1" t="s">
        <v>1214</v>
      </c>
      <c r="B1158" t="str">
        <f>VLOOKUP('Customer Names'!A1158,'Customer Names'!$A$1:$E$2336,4,FALSE)</f>
        <v>Mr.  Steven</v>
      </c>
      <c r="C1158">
        <f>VLOOKUP(Table2[[#This Row],[Customer ID]],Table2[#All],2,FALSE)</f>
        <v>30.2</v>
      </c>
      <c r="D1158">
        <f>VLOOKUP(Table2[[#This Row],[Customer ID]],Table2[#All],3,FALSE)</f>
        <v>9.8800000000000008</v>
      </c>
      <c r="E1158" t="str">
        <f>VLOOKUP(Table2[[#This Row],[Customer ID]],Table2[#All],4,FALSE)</f>
        <v>Yes</v>
      </c>
      <c r="F1158" t="str">
        <f>VLOOKUP(Table2[[#This Row],[Customer ID]],Table2[#All],5,FALSE)</f>
        <v>No</v>
      </c>
      <c r="G1158" t="str">
        <f>VLOOKUP(Table2[[#This Row],[Customer ID]],Table2[#All],6,FALSE)</f>
        <v>No</v>
      </c>
      <c r="H1158">
        <f>VLOOKUP(Table2[[#This Row],[Customer ID]],Table2[#All],7,FALSE)</f>
        <v>2</v>
      </c>
      <c r="I1158" t="str">
        <f>VLOOKUP(Table2[[#This Row],[Customer ID]],Table2[#All],8,FALSE)</f>
        <v>No</v>
      </c>
      <c r="J1158" t="str">
        <f>VLOOKUP(Table2[[#This Row],[Customer ID]],Table2[#All],9,FALSE)</f>
        <v>Obesity</v>
      </c>
      <c r="K1158" t="str">
        <f>VLOOKUP(Table2[[#This Row],[Customer ID]],Table2[#All],10,FALSE)</f>
        <v>Diabetes</v>
      </c>
    </row>
    <row r="1159" spans="1:11" ht="15.6" x14ac:dyDescent="0.3">
      <c r="A1159" s="1" t="s">
        <v>1213</v>
      </c>
      <c r="B1159" t="str">
        <f>VLOOKUP('Customer Names'!A1159,'Customer Names'!$A$1:$E$2336,4,FALSE)</f>
        <v>Mr.  Jose Antonio Sr.</v>
      </c>
      <c r="C1159">
        <f>VLOOKUP(Table2[[#This Row],[Customer ID]],Table2[#All],2,FALSE)</f>
        <v>33.25</v>
      </c>
      <c r="D1159">
        <f>VLOOKUP(Table2[[#This Row],[Customer ID]],Table2[#All],3,FALSE)</f>
        <v>7.42</v>
      </c>
      <c r="E1159" t="str">
        <f>VLOOKUP(Table2[[#This Row],[Customer ID]],Table2[#All],4,FALSE)</f>
        <v>Yes</v>
      </c>
      <c r="F1159" t="str">
        <f>VLOOKUP(Table2[[#This Row],[Customer ID]],Table2[#All],5,FALSE)</f>
        <v>No</v>
      </c>
      <c r="G1159" t="str">
        <f>VLOOKUP(Table2[[#This Row],[Customer ID]],Table2[#All],6,FALSE)</f>
        <v>No</v>
      </c>
      <c r="H1159">
        <f>VLOOKUP(Table2[[#This Row],[Customer ID]],Table2[#All],7,FALSE)</f>
        <v>2</v>
      </c>
      <c r="I1159" t="str">
        <f>VLOOKUP(Table2[[#This Row],[Customer ID]],Table2[#All],8,FALSE)</f>
        <v>No</v>
      </c>
      <c r="J1159" t="str">
        <f>VLOOKUP(Table2[[#This Row],[Customer ID]],Table2[#All],9,FALSE)</f>
        <v>Obesity</v>
      </c>
      <c r="K1159" t="str">
        <f>VLOOKUP(Table2[[#This Row],[Customer ID]],Table2[#All],10,FALSE)</f>
        <v>Diabetes</v>
      </c>
    </row>
    <row r="1160" spans="1:11" ht="15.6" x14ac:dyDescent="0.3">
      <c r="A1160" s="1" t="s">
        <v>1212</v>
      </c>
      <c r="B1160" t="str">
        <f>VLOOKUP('Customer Names'!A1160,'Customer Names'!$A$1:$E$2336,4,FALSE)</f>
        <v>Ms.  Tatiana</v>
      </c>
      <c r="C1160">
        <f>VLOOKUP(Table2[[#This Row],[Customer ID]],Table2[#All],2,FALSE)</f>
        <v>26.6</v>
      </c>
      <c r="D1160">
        <f>VLOOKUP(Table2[[#This Row],[Customer ID]],Table2[#All],3,FALSE)</f>
        <v>8.4499999999999993</v>
      </c>
      <c r="E1160" t="str">
        <f>VLOOKUP(Table2[[#This Row],[Customer ID]],Table2[#All],4,FALSE)</f>
        <v>Yes</v>
      </c>
      <c r="F1160" t="str">
        <f>VLOOKUP(Table2[[#This Row],[Customer ID]],Table2[#All],5,FALSE)</f>
        <v>No</v>
      </c>
      <c r="G1160" t="str">
        <f>VLOOKUP(Table2[[#This Row],[Customer ID]],Table2[#All],6,FALSE)</f>
        <v>No</v>
      </c>
      <c r="H1160">
        <f>VLOOKUP(Table2[[#This Row],[Customer ID]],Table2[#All],7,FALSE)</f>
        <v>1</v>
      </c>
      <c r="I1160" t="str">
        <f>VLOOKUP(Table2[[#This Row],[Customer ID]],Table2[#All],8,FALSE)</f>
        <v>No</v>
      </c>
      <c r="J1160" t="str">
        <f>VLOOKUP(Table2[[#This Row],[Customer ID]],Table2[#All],9,FALSE)</f>
        <v>Overweight</v>
      </c>
      <c r="K1160" t="str">
        <f>VLOOKUP(Table2[[#This Row],[Customer ID]],Table2[#All],10,FALSE)</f>
        <v>Diabetes</v>
      </c>
    </row>
    <row r="1161" spans="1:11" ht="15.6" x14ac:dyDescent="0.3">
      <c r="A1161" s="1" t="s">
        <v>1211</v>
      </c>
      <c r="B1161" t="str">
        <f>VLOOKUP('Customer Names'!A1161,'Customer Names'!$A$1:$E$2336,4,FALSE)</f>
        <v>Mr.  Dan T.</v>
      </c>
      <c r="C1161">
        <f>VLOOKUP(Table2[[#This Row],[Customer ID]],Table2[#All],2,FALSE)</f>
        <v>26.35</v>
      </c>
      <c r="D1161">
        <f>VLOOKUP(Table2[[#This Row],[Customer ID]],Table2[#All],3,FALSE)</f>
        <v>6.21</v>
      </c>
      <c r="E1161" t="str">
        <f>VLOOKUP(Table2[[#This Row],[Customer ID]],Table2[#All],4,FALSE)</f>
        <v>No</v>
      </c>
      <c r="F1161" t="str">
        <f>VLOOKUP(Table2[[#This Row],[Customer ID]],Table2[#All],5,FALSE)</f>
        <v>No</v>
      </c>
      <c r="G1161" t="str">
        <f>VLOOKUP(Table2[[#This Row],[Customer ID]],Table2[#All],6,FALSE)</f>
        <v>No</v>
      </c>
      <c r="H1161">
        <f>VLOOKUP(Table2[[#This Row],[Customer ID]],Table2[#All],7,FALSE)</f>
        <v>2</v>
      </c>
      <c r="I1161" t="str">
        <f>VLOOKUP(Table2[[#This Row],[Customer ID]],Table2[#All],8,FALSE)</f>
        <v>No</v>
      </c>
      <c r="J1161" t="str">
        <f>VLOOKUP(Table2[[#This Row],[Customer ID]],Table2[#All],9,FALSE)</f>
        <v>Overweight</v>
      </c>
      <c r="K1161" t="str">
        <f>VLOOKUP(Table2[[#This Row],[Customer ID]],Table2[#All],10,FALSE)</f>
        <v>Prediabetes</v>
      </c>
    </row>
    <row r="1162" spans="1:11" ht="15.6" x14ac:dyDescent="0.3">
      <c r="A1162" s="1" t="s">
        <v>1210</v>
      </c>
      <c r="B1162" t="str">
        <f>VLOOKUP('Customer Names'!A1162,'Customer Names'!$A$1:$E$2336,4,FALSE)</f>
        <v>Ms.  Liisa A.</v>
      </c>
      <c r="C1162">
        <f>VLOOKUP(Table2[[#This Row],[Customer ID]],Table2[#All],2,FALSE)</f>
        <v>39.994999999999997</v>
      </c>
      <c r="D1162">
        <f>VLOOKUP(Table2[[#This Row],[Customer ID]],Table2[#All],3,FALSE)</f>
        <v>4.6500000000000004</v>
      </c>
      <c r="E1162" t="str">
        <f>VLOOKUP(Table2[[#This Row],[Customer ID]],Table2[#All],4,FALSE)</f>
        <v>No</v>
      </c>
      <c r="F1162" t="str">
        <f>VLOOKUP(Table2[[#This Row],[Customer ID]],Table2[#All],5,FALSE)</f>
        <v>No</v>
      </c>
      <c r="G1162" t="str">
        <f>VLOOKUP(Table2[[#This Row],[Customer ID]],Table2[#All],6,FALSE)</f>
        <v>No</v>
      </c>
      <c r="H1162">
        <f>VLOOKUP(Table2[[#This Row],[Customer ID]],Table2[#All],7,FALSE)</f>
        <v>0</v>
      </c>
      <c r="I1162" t="str">
        <f>VLOOKUP(Table2[[#This Row],[Customer ID]],Table2[#All],8,FALSE)</f>
        <v>No</v>
      </c>
      <c r="J1162" t="str">
        <f>VLOOKUP(Table2[[#This Row],[Customer ID]],Table2[#All],9,FALSE)</f>
        <v>Obesity</v>
      </c>
      <c r="K1162" t="str">
        <f>VLOOKUP(Table2[[#This Row],[Customer ID]],Table2[#All],10,FALSE)</f>
        <v>Normal</v>
      </c>
    </row>
    <row r="1163" spans="1:11" ht="15.6" x14ac:dyDescent="0.3">
      <c r="A1163" s="1" t="s">
        <v>1209</v>
      </c>
      <c r="B1163" t="str">
        <f>VLOOKUP('Customer Names'!A1163,'Customer Names'!$A$1:$E$2336,4,FALSE)</f>
        <v>Ms.  Kathryn E.</v>
      </c>
      <c r="C1163">
        <f>VLOOKUP(Table2[[#This Row],[Customer ID]],Table2[#All],2,FALSE)</f>
        <v>22.92</v>
      </c>
      <c r="D1163">
        <f>VLOOKUP(Table2[[#This Row],[Customer ID]],Table2[#All],3,FALSE)</f>
        <v>5.87</v>
      </c>
      <c r="E1163" t="str">
        <f>VLOOKUP(Table2[[#This Row],[Customer ID]],Table2[#All],4,FALSE)</f>
        <v>Yes</v>
      </c>
      <c r="F1163" t="str">
        <f>VLOOKUP(Table2[[#This Row],[Customer ID]],Table2[#All],5,FALSE)</f>
        <v>No</v>
      </c>
      <c r="G1163" t="str">
        <f>VLOOKUP(Table2[[#This Row],[Customer ID]],Table2[#All],6,FALSE)</f>
        <v>No</v>
      </c>
      <c r="H1163">
        <f>VLOOKUP(Table2[[#This Row],[Customer ID]],Table2[#All],7,FALSE)</f>
        <v>1</v>
      </c>
      <c r="I1163" t="str">
        <f>VLOOKUP(Table2[[#This Row],[Customer ID]],Table2[#All],8,FALSE)</f>
        <v>No</v>
      </c>
      <c r="J1163" t="str">
        <f>VLOOKUP(Table2[[#This Row],[Customer ID]],Table2[#All],9,FALSE)</f>
        <v>Normalweight</v>
      </c>
      <c r="K1163" t="str">
        <f>VLOOKUP(Table2[[#This Row],[Customer ID]],Table2[#All],10,FALSE)</f>
        <v>Prediabetes</v>
      </c>
    </row>
    <row r="1164" spans="1:11" ht="15.6" x14ac:dyDescent="0.3">
      <c r="A1164" s="1" t="s">
        <v>1208</v>
      </c>
      <c r="B1164" t="str">
        <f>VLOOKUP('Customer Names'!A1164,'Customer Names'!$A$1:$E$2336,4,FALSE)</f>
        <v>Mr.  Maxwell</v>
      </c>
      <c r="C1164">
        <f>VLOOKUP(Table2[[#This Row],[Customer ID]],Table2[#All],2,FALSE)</f>
        <v>24.78</v>
      </c>
      <c r="D1164">
        <f>VLOOKUP(Table2[[#This Row],[Customer ID]],Table2[#All],3,FALSE)</f>
        <v>4.24</v>
      </c>
      <c r="E1164" t="str">
        <f>VLOOKUP(Table2[[#This Row],[Customer ID]],Table2[#All],4,FALSE)</f>
        <v>Yes</v>
      </c>
      <c r="F1164" t="str">
        <f>VLOOKUP(Table2[[#This Row],[Customer ID]],Table2[#All],5,FALSE)</f>
        <v>No</v>
      </c>
      <c r="G1164" t="str">
        <f>VLOOKUP(Table2[[#This Row],[Customer ID]],Table2[#All],6,FALSE)</f>
        <v>No</v>
      </c>
      <c r="H1164">
        <f>VLOOKUP(Table2[[#This Row],[Customer ID]],Table2[#All],7,FALSE)</f>
        <v>2</v>
      </c>
      <c r="I1164" t="str">
        <f>VLOOKUP(Table2[[#This Row],[Customer ID]],Table2[#All],8,FALSE)</f>
        <v>No</v>
      </c>
      <c r="J1164" t="str">
        <f>VLOOKUP(Table2[[#This Row],[Customer ID]],Table2[#All],9,FALSE)</f>
        <v>Normalweight</v>
      </c>
      <c r="K1164" t="str">
        <f>VLOOKUP(Table2[[#This Row],[Customer ID]],Table2[#All],10,FALSE)</f>
        <v>Normal</v>
      </c>
    </row>
    <row r="1165" spans="1:11" ht="15.6" x14ac:dyDescent="0.3">
      <c r="A1165" s="1" t="s">
        <v>1207</v>
      </c>
      <c r="B1165" t="str">
        <f>VLOOKUP('Customer Names'!A1165,'Customer Names'!$A$1:$E$2336,4,FALSE)</f>
        <v>Ms.  Pascale</v>
      </c>
      <c r="C1165">
        <f>VLOOKUP(Table2[[#This Row],[Customer ID]],Table2[#All],2,FALSE)</f>
        <v>34.07</v>
      </c>
      <c r="D1165">
        <f>VLOOKUP(Table2[[#This Row],[Customer ID]],Table2[#All],3,FALSE)</f>
        <v>7.81</v>
      </c>
      <c r="E1165" t="str">
        <f>VLOOKUP(Table2[[#This Row],[Customer ID]],Table2[#All],4,FALSE)</f>
        <v>Yes</v>
      </c>
      <c r="F1165" t="str">
        <f>VLOOKUP(Table2[[#This Row],[Customer ID]],Table2[#All],5,FALSE)</f>
        <v>No</v>
      </c>
      <c r="G1165" t="str">
        <f>VLOOKUP(Table2[[#This Row],[Customer ID]],Table2[#All],6,FALSE)</f>
        <v>No</v>
      </c>
      <c r="H1165">
        <f>VLOOKUP(Table2[[#This Row],[Customer ID]],Table2[#All],7,FALSE)</f>
        <v>0</v>
      </c>
      <c r="I1165" t="str">
        <f>VLOOKUP(Table2[[#This Row],[Customer ID]],Table2[#All],8,FALSE)</f>
        <v>No</v>
      </c>
      <c r="J1165" t="str">
        <f>VLOOKUP(Table2[[#This Row],[Customer ID]],Table2[#All],9,FALSE)</f>
        <v>Obesity</v>
      </c>
      <c r="K1165" t="str">
        <f>VLOOKUP(Table2[[#This Row],[Customer ID]],Table2[#All],10,FALSE)</f>
        <v>Diabetes</v>
      </c>
    </row>
    <row r="1166" spans="1:11" ht="15.6" x14ac:dyDescent="0.3">
      <c r="A1166" s="1" t="s">
        <v>1206</v>
      </c>
      <c r="B1166" t="str">
        <f>VLOOKUP('Customer Names'!A1166,'Customer Names'!$A$1:$E$2336,4,FALSE)</f>
        <v>Ms.  Becca</v>
      </c>
      <c r="C1166">
        <f>VLOOKUP(Table2[[#This Row],[Customer ID]],Table2[#All],2,FALSE)</f>
        <v>30.14</v>
      </c>
      <c r="D1166">
        <f>VLOOKUP(Table2[[#This Row],[Customer ID]],Table2[#All],3,FALSE)</f>
        <v>9.85</v>
      </c>
      <c r="E1166" t="str">
        <f>VLOOKUP(Table2[[#This Row],[Customer ID]],Table2[#All],4,FALSE)</f>
        <v>No</v>
      </c>
      <c r="F1166" t="str">
        <f>VLOOKUP(Table2[[#This Row],[Customer ID]],Table2[#All],5,FALSE)</f>
        <v>No</v>
      </c>
      <c r="G1166" t="str">
        <f>VLOOKUP(Table2[[#This Row],[Customer ID]],Table2[#All],6,FALSE)</f>
        <v>No</v>
      </c>
      <c r="H1166">
        <f>VLOOKUP(Table2[[#This Row],[Customer ID]],Table2[#All],7,FALSE)</f>
        <v>0</v>
      </c>
      <c r="I1166" t="str">
        <f>VLOOKUP(Table2[[#This Row],[Customer ID]],Table2[#All],8,FALSE)</f>
        <v>No</v>
      </c>
      <c r="J1166" t="str">
        <f>VLOOKUP(Table2[[#This Row],[Customer ID]],Table2[#All],9,FALSE)</f>
        <v>Obesity</v>
      </c>
      <c r="K1166" t="str">
        <f>VLOOKUP(Table2[[#This Row],[Customer ID]],Table2[#All],10,FALSE)</f>
        <v>Diabetes</v>
      </c>
    </row>
    <row r="1167" spans="1:11" ht="15.6" x14ac:dyDescent="0.3">
      <c r="A1167" s="1" t="s">
        <v>1205</v>
      </c>
      <c r="B1167" t="str">
        <f>VLOOKUP('Customer Names'!A1167,'Customer Names'!$A$1:$E$2336,4,FALSE)</f>
        <v>Ms.  Grace</v>
      </c>
      <c r="C1167">
        <f>VLOOKUP(Table2[[#This Row],[Customer ID]],Table2[#All],2,FALSE)</f>
        <v>18.05</v>
      </c>
      <c r="D1167">
        <f>VLOOKUP(Table2[[#This Row],[Customer ID]],Table2[#All],3,FALSE)</f>
        <v>6.94</v>
      </c>
      <c r="E1167" t="str">
        <f>VLOOKUP(Table2[[#This Row],[Customer ID]],Table2[#All],4,FALSE)</f>
        <v>No</v>
      </c>
      <c r="F1167" t="str">
        <f>VLOOKUP(Table2[[#This Row],[Customer ID]],Table2[#All],5,FALSE)</f>
        <v>No</v>
      </c>
      <c r="G1167" t="str">
        <f>VLOOKUP(Table2[[#This Row],[Customer ID]],Table2[#All],6,FALSE)</f>
        <v>No</v>
      </c>
      <c r="H1167">
        <f>VLOOKUP(Table2[[#This Row],[Customer ID]],Table2[#All],7,FALSE)</f>
        <v>0</v>
      </c>
      <c r="I1167" t="str">
        <f>VLOOKUP(Table2[[#This Row],[Customer ID]],Table2[#All],8,FALSE)</f>
        <v>No</v>
      </c>
      <c r="J1167" t="str">
        <f>VLOOKUP(Table2[[#This Row],[Customer ID]],Table2[#All],9,FALSE)</f>
        <v>Underweight</v>
      </c>
      <c r="K1167" t="str">
        <f>VLOOKUP(Table2[[#This Row],[Customer ID]],Table2[#All],10,FALSE)</f>
        <v>Diabetes</v>
      </c>
    </row>
    <row r="1168" spans="1:11" ht="15.6" x14ac:dyDescent="0.3">
      <c r="A1168" s="1" t="s">
        <v>1204</v>
      </c>
      <c r="B1168" t="str">
        <f>VLOOKUP('Customer Names'!A1168,'Customer Names'!$A$1:$E$2336,4,FALSE)</f>
        <v>Ms.  Samantha</v>
      </c>
      <c r="C1168">
        <f>VLOOKUP(Table2[[#This Row],[Customer ID]],Table2[#All],2,FALSE)</f>
        <v>37.4</v>
      </c>
      <c r="D1168">
        <f>VLOOKUP(Table2[[#This Row],[Customer ID]],Table2[#All],3,FALSE)</f>
        <v>11.3</v>
      </c>
      <c r="E1168" t="str">
        <f>VLOOKUP(Table2[[#This Row],[Customer ID]],Table2[#All],4,FALSE)</f>
        <v>Yes</v>
      </c>
      <c r="F1168" t="str">
        <f>VLOOKUP(Table2[[#This Row],[Customer ID]],Table2[#All],5,FALSE)</f>
        <v>No</v>
      </c>
      <c r="G1168" t="str">
        <f>VLOOKUP(Table2[[#This Row],[Customer ID]],Table2[#All],6,FALSE)</f>
        <v>No</v>
      </c>
      <c r="H1168">
        <f>VLOOKUP(Table2[[#This Row],[Customer ID]],Table2[#All],7,FALSE)</f>
        <v>2</v>
      </c>
      <c r="I1168" t="str">
        <f>VLOOKUP(Table2[[#This Row],[Customer ID]],Table2[#All],8,FALSE)</f>
        <v>No</v>
      </c>
      <c r="J1168" t="str">
        <f>VLOOKUP(Table2[[#This Row],[Customer ID]],Table2[#All],9,FALSE)</f>
        <v>Obesity</v>
      </c>
      <c r="K1168" t="str">
        <f>VLOOKUP(Table2[[#This Row],[Customer ID]],Table2[#All],10,FALSE)</f>
        <v>Diabetes</v>
      </c>
    </row>
    <row r="1169" spans="1:11" ht="15.6" x14ac:dyDescent="0.3">
      <c r="A1169" s="1" t="s">
        <v>1203</v>
      </c>
      <c r="B1169" t="str">
        <f>VLOOKUP('Customer Names'!A1169,'Customer Names'!$A$1:$E$2336,4,FALSE)</f>
        <v>Mrs.  Nicole R.</v>
      </c>
      <c r="C1169">
        <f>VLOOKUP(Table2[[#This Row],[Customer ID]],Table2[#All],2,FALSE)</f>
        <v>25.75</v>
      </c>
      <c r="D1169">
        <f>VLOOKUP(Table2[[#This Row],[Customer ID]],Table2[#All],3,FALSE)</f>
        <v>9.23</v>
      </c>
      <c r="E1169" t="str">
        <f>VLOOKUP(Table2[[#This Row],[Customer ID]],Table2[#All],4,FALSE)</f>
        <v>No</v>
      </c>
      <c r="F1169" t="str">
        <f>VLOOKUP(Table2[[#This Row],[Customer ID]],Table2[#All],5,FALSE)</f>
        <v>No</v>
      </c>
      <c r="G1169" t="str">
        <f>VLOOKUP(Table2[[#This Row],[Customer ID]],Table2[#All],6,FALSE)</f>
        <v>No</v>
      </c>
      <c r="H1169">
        <f>VLOOKUP(Table2[[#This Row],[Customer ID]],Table2[#All],7,FALSE)</f>
        <v>0</v>
      </c>
      <c r="I1169" t="str">
        <f>VLOOKUP(Table2[[#This Row],[Customer ID]],Table2[#All],8,FALSE)</f>
        <v>No</v>
      </c>
      <c r="J1169" t="str">
        <f>VLOOKUP(Table2[[#This Row],[Customer ID]],Table2[#All],9,FALSE)</f>
        <v>Overweight</v>
      </c>
      <c r="K1169" t="str">
        <f>VLOOKUP(Table2[[#This Row],[Customer ID]],Table2[#All],10,FALSE)</f>
        <v>Diabetes</v>
      </c>
    </row>
    <row r="1170" spans="1:11" ht="15.6" x14ac:dyDescent="0.3">
      <c r="A1170" s="1" t="s">
        <v>1202</v>
      </c>
      <c r="B1170" t="str">
        <f>VLOOKUP('Customer Names'!A1170,'Customer Names'!$A$1:$E$2336,4,FALSE)</f>
        <v>Mr.  David W</v>
      </c>
      <c r="C1170">
        <f>VLOOKUP(Table2[[#This Row],[Customer ID]],Table2[#All],2,FALSE)</f>
        <v>32.299999999999997</v>
      </c>
      <c r="D1170">
        <f>VLOOKUP(Table2[[#This Row],[Customer ID]],Table2[#All],3,FALSE)</f>
        <v>4.37</v>
      </c>
      <c r="E1170" t="str">
        <f>VLOOKUP(Table2[[#This Row],[Customer ID]],Table2[#All],4,FALSE)</f>
        <v>No</v>
      </c>
      <c r="F1170" t="str">
        <f>VLOOKUP(Table2[[#This Row],[Customer ID]],Table2[#All],5,FALSE)</f>
        <v>No</v>
      </c>
      <c r="G1170" t="str">
        <f>VLOOKUP(Table2[[#This Row],[Customer ID]],Table2[#All],6,FALSE)</f>
        <v>No</v>
      </c>
      <c r="H1170">
        <f>VLOOKUP(Table2[[#This Row],[Customer ID]],Table2[#All],7,FALSE)</f>
        <v>2</v>
      </c>
      <c r="I1170" t="str">
        <f>VLOOKUP(Table2[[#This Row],[Customer ID]],Table2[#All],8,FALSE)</f>
        <v>No</v>
      </c>
      <c r="J1170" t="str">
        <f>VLOOKUP(Table2[[#This Row],[Customer ID]],Table2[#All],9,FALSE)</f>
        <v>Obesity</v>
      </c>
      <c r="K1170" t="str">
        <f>VLOOKUP(Table2[[#This Row],[Customer ID]],Table2[#All],10,FALSE)</f>
        <v>Normal</v>
      </c>
    </row>
    <row r="1171" spans="1:11" ht="15.6" x14ac:dyDescent="0.3">
      <c r="A1171" s="1" t="s">
        <v>1201</v>
      </c>
      <c r="B1171" t="str">
        <f>VLOOKUP('Customer Names'!A1171,'Customer Names'!$A$1:$E$2336,4,FALSE)</f>
        <v>Mr.  Grant</v>
      </c>
      <c r="C1171">
        <f>VLOOKUP(Table2[[#This Row],[Customer ID]],Table2[#All],2,FALSE)</f>
        <v>28.61</v>
      </c>
      <c r="D1171">
        <f>VLOOKUP(Table2[[#This Row],[Customer ID]],Table2[#All],3,FALSE)</f>
        <v>5.76</v>
      </c>
      <c r="E1171" t="str">
        <f>VLOOKUP(Table2[[#This Row],[Customer ID]],Table2[#All],4,FALSE)</f>
        <v>No</v>
      </c>
      <c r="F1171" t="str">
        <f>VLOOKUP(Table2[[#This Row],[Customer ID]],Table2[#All],5,FALSE)</f>
        <v>No</v>
      </c>
      <c r="G1171" t="str">
        <f>VLOOKUP(Table2[[#This Row],[Customer ID]],Table2[#All],6,FALSE)</f>
        <v>Yes</v>
      </c>
      <c r="H1171">
        <f>VLOOKUP(Table2[[#This Row],[Customer ID]],Table2[#All],7,FALSE)</f>
        <v>1</v>
      </c>
      <c r="I1171" t="str">
        <f>VLOOKUP(Table2[[#This Row],[Customer ID]],Table2[#All],8,FALSE)</f>
        <v>No</v>
      </c>
      <c r="J1171" t="str">
        <f>VLOOKUP(Table2[[#This Row],[Customer ID]],Table2[#All],9,FALSE)</f>
        <v>Overweight</v>
      </c>
      <c r="K1171" t="str">
        <f>VLOOKUP(Table2[[#This Row],[Customer ID]],Table2[#All],10,FALSE)</f>
        <v>Prediabetes</v>
      </c>
    </row>
    <row r="1172" spans="1:11" ht="15.6" x14ac:dyDescent="0.3">
      <c r="A1172" s="1" t="s">
        <v>1200</v>
      </c>
      <c r="B1172" t="str">
        <f>VLOOKUP('Customer Names'!A1172,'Customer Names'!$A$1:$E$2336,4,FALSE)</f>
        <v>Mrs.  Sophia</v>
      </c>
      <c r="C1172">
        <f>VLOOKUP(Table2[[#This Row],[Customer ID]],Table2[#All],2,FALSE)</f>
        <v>45.41</v>
      </c>
      <c r="D1172">
        <f>VLOOKUP(Table2[[#This Row],[Customer ID]],Table2[#All],3,FALSE)</f>
        <v>4.96</v>
      </c>
      <c r="E1172" t="str">
        <f>VLOOKUP(Table2[[#This Row],[Customer ID]],Table2[#All],4,FALSE)</f>
        <v>No</v>
      </c>
      <c r="F1172" t="str">
        <f>VLOOKUP(Table2[[#This Row],[Customer ID]],Table2[#All],5,FALSE)</f>
        <v>No</v>
      </c>
      <c r="G1172" t="str">
        <f>VLOOKUP(Table2[[#This Row],[Customer ID]],Table2[#All],6,FALSE)</f>
        <v>No</v>
      </c>
      <c r="H1172">
        <f>VLOOKUP(Table2[[#This Row],[Customer ID]],Table2[#All],7,FALSE)</f>
        <v>1</v>
      </c>
      <c r="I1172" t="str">
        <f>VLOOKUP(Table2[[#This Row],[Customer ID]],Table2[#All],8,FALSE)</f>
        <v>No</v>
      </c>
      <c r="J1172" t="str">
        <f>VLOOKUP(Table2[[#This Row],[Customer ID]],Table2[#All],9,FALSE)</f>
        <v>Obesity</v>
      </c>
      <c r="K1172" t="str">
        <f>VLOOKUP(Table2[[#This Row],[Customer ID]],Table2[#All],10,FALSE)</f>
        <v>Normal</v>
      </c>
    </row>
    <row r="1173" spans="1:11" ht="15.6" x14ac:dyDescent="0.3">
      <c r="A1173" s="1" t="s">
        <v>1199</v>
      </c>
      <c r="B1173" t="str">
        <f>VLOOKUP('Customer Names'!A1173,'Customer Names'!$A$1:$E$2336,4,FALSE)</f>
        <v>Ms.  Christina</v>
      </c>
      <c r="C1173">
        <f>VLOOKUP(Table2[[#This Row],[Customer ID]],Table2[#All],2,FALSE)</f>
        <v>31.2</v>
      </c>
      <c r="D1173">
        <f>VLOOKUP(Table2[[#This Row],[Customer ID]],Table2[#All],3,FALSE)</f>
        <v>11.04</v>
      </c>
      <c r="E1173" t="str">
        <f>VLOOKUP(Table2[[#This Row],[Customer ID]],Table2[#All],4,FALSE)</f>
        <v>Yes</v>
      </c>
      <c r="F1173" t="str">
        <f>VLOOKUP(Table2[[#This Row],[Customer ID]],Table2[#All],5,FALSE)</f>
        <v>No</v>
      </c>
      <c r="G1173" t="str">
        <f>VLOOKUP(Table2[[#This Row],[Customer ID]],Table2[#All],6,FALSE)</f>
        <v>No</v>
      </c>
      <c r="H1173">
        <f>VLOOKUP(Table2[[#This Row],[Customer ID]],Table2[#All],7,FALSE)</f>
        <v>2</v>
      </c>
      <c r="I1173" t="str">
        <f>VLOOKUP(Table2[[#This Row],[Customer ID]],Table2[#All],8,FALSE)</f>
        <v>No</v>
      </c>
      <c r="J1173" t="str">
        <f>VLOOKUP(Table2[[#This Row],[Customer ID]],Table2[#All],9,FALSE)</f>
        <v>Obesity</v>
      </c>
      <c r="K1173" t="str">
        <f>VLOOKUP(Table2[[#This Row],[Customer ID]],Table2[#All],10,FALSE)</f>
        <v>Diabetes</v>
      </c>
    </row>
    <row r="1174" spans="1:11" ht="15.6" x14ac:dyDescent="0.3">
      <c r="A1174" s="1" t="s">
        <v>1198</v>
      </c>
      <c r="B1174" t="str">
        <f>VLOOKUP('Customer Names'!A1174,'Customer Names'!$A$1:$E$2336,4,FALSE)</f>
        <v>Mr.  Sam L.</v>
      </c>
      <c r="C1174">
        <f>VLOOKUP(Table2[[#This Row],[Customer ID]],Table2[#All],2,FALSE)</f>
        <v>29.83</v>
      </c>
      <c r="D1174">
        <f>VLOOKUP(Table2[[#This Row],[Customer ID]],Table2[#All],3,FALSE)</f>
        <v>7.81</v>
      </c>
      <c r="E1174" t="str">
        <f>VLOOKUP(Table2[[#This Row],[Customer ID]],Table2[#All],4,FALSE)</f>
        <v>Yes</v>
      </c>
      <c r="F1174" t="str">
        <f>VLOOKUP(Table2[[#This Row],[Customer ID]],Table2[#All],5,FALSE)</f>
        <v>No</v>
      </c>
      <c r="G1174" t="str">
        <f>VLOOKUP(Table2[[#This Row],[Customer ID]],Table2[#All],6,FALSE)</f>
        <v>No</v>
      </c>
      <c r="H1174">
        <f>VLOOKUP(Table2[[#This Row],[Customer ID]],Table2[#All],7,FALSE)</f>
        <v>1</v>
      </c>
      <c r="I1174" t="str">
        <f>VLOOKUP(Table2[[#This Row],[Customer ID]],Table2[#All],8,FALSE)</f>
        <v>No</v>
      </c>
      <c r="J1174" t="str">
        <f>VLOOKUP(Table2[[#This Row],[Customer ID]],Table2[#All],9,FALSE)</f>
        <v>Overweight</v>
      </c>
      <c r="K1174" t="str">
        <f>VLOOKUP(Table2[[#This Row],[Customer ID]],Table2[#All],10,FALSE)</f>
        <v>Diabetes</v>
      </c>
    </row>
    <row r="1175" spans="1:11" ht="15.6" x14ac:dyDescent="0.3">
      <c r="A1175" s="1" t="s">
        <v>1197</v>
      </c>
      <c r="B1175" t="str">
        <f>VLOOKUP('Customer Names'!A1175,'Customer Names'!$A$1:$E$2336,4,FALSE)</f>
        <v>Mrs.  Haley R.</v>
      </c>
      <c r="C1175">
        <f>VLOOKUP(Table2[[#This Row],[Customer ID]],Table2[#All],2,FALSE)</f>
        <v>29.06</v>
      </c>
      <c r="D1175">
        <f>VLOOKUP(Table2[[#This Row],[Customer ID]],Table2[#All],3,FALSE)</f>
        <v>4.55</v>
      </c>
      <c r="E1175" t="str">
        <f>VLOOKUP(Table2[[#This Row],[Customer ID]],Table2[#All],4,FALSE)</f>
        <v>No</v>
      </c>
      <c r="F1175" t="str">
        <f>VLOOKUP(Table2[[#This Row],[Customer ID]],Table2[#All],5,FALSE)</f>
        <v>No</v>
      </c>
      <c r="G1175" t="str">
        <f>VLOOKUP(Table2[[#This Row],[Customer ID]],Table2[#All],6,FALSE)</f>
        <v>No</v>
      </c>
      <c r="H1175">
        <f>VLOOKUP(Table2[[#This Row],[Customer ID]],Table2[#All],7,FALSE)</f>
        <v>0</v>
      </c>
      <c r="I1175" t="str">
        <f>VLOOKUP(Table2[[#This Row],[Customer ID]],Table2[#All],8,FALSE)</f>
        <v>No</v>
      </c>
      <c r="J1175" t="str">
        <f>VLOOKUP(Table2[[#This Row],[Customer ID]],Table2[#All],9,FALSE)</f>
        <v>Overweight</v>
      </c>
      <c r="K1175" t="str">
        <f>VLOOKUP(Table2[[#This Row],[Customer ID]],Table2[#All],10,FALSE)</f>
        <v>Normal</v>
      </c>
    </row>
    <row r="1176" spans="1:11" ht="15.6" x14ac:dyDescent="0.3">
      <c r="A1176" s="1" t="s">
        <v>1196</v>
      </c>
      <c r="B1176" t="str">
        <f>VLOOKUP('Customer Names'!A1176,'Customer Names'!$A$1:$E$2336,4,FALSE)</f>
        <v>Mr.  Ethan</v>
      </c>
      <c r="C1176">
        <f>VLOOKUP(Table2[[#This Row],[Customer ID]],Table2[#All],2,FALSE)</f>
        <v>27.454999999999998</v>
      </c>
      <c r="D1176">
        <f>VLOOKUP(Table2[[#This Row],[Customer ID]],Table2[#All],3,FALSE)</f>
        <v>6.13</v>
      </c>
      <c r="E1176" t="str">
        <f>VLOOKUP(Table2[[#This Row],[Customer ID]],Table2[#All],4,FALSE)</f>
        <v>No</v>
      </c>
      <c r="F1176" t="str">
        <f>VLOOKUP(Table2[[#This Row],[Customer ID]],Table2[#All],5,FALSE)</f>
        <v>No</v>
      </c>
      <c r="G1176" t="str">
        <f>VLOOKUP(Table2[[#This Row],[Customer ID]],Table2[#All],6,FALSE)</f>
        <v>No</v>
      </c>
      <c r="H1176">
        <f>VLOOKUP(Table2[[#This Row],[Customer ID]],Table2[#All],7,FALSE)</f>
        <v>2</v>
      </c>
      <c r="I1176" t="str">
        <f>VLOOKUP(Table2[[#This Row],[Customer ID]],Table2[#All],8,FALSE)</f>
        <v>No</v>
      </c>
      <c r="J1176" t="str">
        <f>VLOOKUP(Table2[[#This Row],[Customer ID]],Table2[#All],9,FALSE)</f>
        <v>Overweight</v>
      </c>
      <c r="K1176" t="str">
        <f>VLOOKUP(Table2[[#This Row],[Customer ID]],Table2[#All],10,FALSE)</f>
        <v>Prediabetes</v>
      </c>
    </row>
    <row r="1177" spans="1:11" ht="15.6" x14ac:dyDescent="0.3">
      <c r="A1177" s="1" t="s">
        <v>1195</v>
      </c>
      <c r="B1177" t="str">
        <f>VLOOKUP('Customer Names'!A1177,'Customer Names'!$A$1:$E$2336,4,FALSE)</f>
        <v>Mr.  Andrew W</v>
      </c>
      <c r="C1177">
        <f>VLOOKUP(Table2[[#This Row],[Customer ID]],Table2[#All],2,FALSE)</f>
        <v>23.01</v>
      </c>
      <c r="D1177">
        <f>VLOOKUP(Table2[[#This Row],[Customer ID]],Table2[#All],3,FALSE)</f>
        <v>6.04</v>
      </c>
      <c r="E1177" t="str">
        <f>VLOOKUP(Table2[[#This Row],[Customer ID]],Table2[#All],4,FALSE)</f>
        <v>Yes</v>
      </c>
      <c r="F1177" t="str">
        <f>VLOOKUP(Table2[[#This Row],[Customer ID]],Table2[#All],5,FALSE)</f>
        <v>No</v>
      </c>
      <c r="G1177" t="str">
        <f>VLOOKUP(Table2[[#This Row],[Customer ID]],Table2[#All],6,FALSE)</f>
        <v>No</v>
      </c>
      <c r="H1177">
        <f>VLOOKUP(Table2[[#This Row],[Customer ID]],Table2[#All],7,FALSE)</f>
        <v>1</v>
      </c>
      <c r="I1177" t="str">
        <f>VLOOKUP(Table2[[#This Row],[Customer ID]],Table2[#All],8,FALSE)</f>
        <v>No</v>
      </c>
      <c r="J1177" t="str">
        <f>VLOOKUP(Table2[[#This Row],[Customer ID]],Table2[#All],9,FALSE)</f>
        <v>Normalweight</v>
      </c>
      <c r="K1177" t="str">
        <f>VLOOKUP(Table2[[#This Row],[Customer ID]],Table2[#All],10,FALSE)</f>
        <v>Prediabetes</v>
      </c>
    </row>
    <row r="1178" spans="1:11" ht="15.6" x14ac:dyDescent="0.3">
      <c r="A1178" s="1" t="s">
        <v>1194</v>
      </c>
      <c r="B1178" t="str">
        <f>VLOOKUP('Customer Names'!A1178,'Customer Names'!$A$1:$E$2336,4,FALSE)</f>
        <v>Mr.  Mark G</v>
      </c>
      <c r="C1178">
        <f>VLOOKUP(Table2[[#This Row],[Customer ID]],Table2[#All],2,FALSE)</f>
        <v>31.39</v>
      </c>
      <c r="D1178">
        <f>VLOOKUP(Table2[[#This Row],[Customer ID]],Table2[#All],3,FALSE)</f>
        <v>8.85</v>
      </c>
      <c r="E1178" t="str">
        <f>VLOOKUP(Table2[[#This Row],[Customer ID]],Table2[#All],4,FALSE)</f>
        <v>Yes</v>
      </c>
      <c r="F1178" t="str">
        <f>VLOOKUP(Table2[[#This Row],[Customer ID]],Table2[#All],5,FALSE)</f>
        <v>No</v>
      </c>
      <c r="G1178" t="str">
        <f>VLOOKUP(Table2[[#This Row],[Customer ID]],Table2[#All],6,FALSE)</f>
        <v>No</v>
      </c>
      <c r="H1178">
        <f>VLOOKUP(Table2[[#This Row],[Customer ID]],Table2[#All],7,FALSE)</f>
        <v>0</v>
      </c>
      <c r="I1178" t="str">
        <f>VLOOKUP(Table2[[#This Row],[Customer ID]],Table2[#All],8,FALSE)</f>
        <v>No</v>
      </c>
      <c r="J1178" t="str">
        <f>VLOOKUP(Table2[[#This Row],[Customer ID]],Table2[#All],9,FALSE)</f>
        <v>Obesity</v>
      </c>
      <c r="K1178" t="str">
        <f>VLOOKUP(Table2[[#This Row],[Customer ID]],Table2[#All],10,FALSE)</f>
        <v>Diabetes</v>
      </c>
    </row>
    <row r="1179" spans="1:11" ht="15.6" x14ac:dyDescent="0.3">
      <c r="A1179" s="1" t="s">
        <v>1193</v>
      </c>
      <c r="B1179" t="str">
        <f>VLOOKUP('Customer Names'!A1179,'Customer Names'!$A$1:$E$2336,4,FALSE)</f>
        <v>Ms.  Kasey E.</v>
      </c>
      <c r="C1179">
        <f>VLOOKUP(Table2[[#This Row],[Customer ID]],Table2[#All],2,FALSE)</f>
        <v>34.770000000000003</v>
      </c>
      <c r="D1179">
        <f>VLOOKUP(Table2[[#This Row],[Customer ID]],Table2[#All],3,FALSE)</f>
        <v>10.54</v>
      </c>
      <c r="E1179" t="str">
        <f>VLOOKUP(Table2[[#This Row],[Customer ID]],Table2[#All],4,FALSE)</f>
        <v>No</v>
      </c>
      <c r="F1179" t="str">
        <f>VLOOKUP(Table2[[#This Row],[Customer ID]],Table2[#All],5,FALSE)</f>
        <v>No</v>
      </c>
      <c r="G1179" t="str">
        <f>VLOOKUP(Table2[[#This Row],[Customer ID]],Table2[#All],6,FALSE)</f>
        <v>No</v>
      </c>
      <c r="H1179">
        <f>VLOOKUP(Table2[[#This Row],[Customer ID]],Table2[#All],7,FALSE)</f>
        <v>2</v>
      </c>
      <c r="I1179" t="str">
        <f>VLOOKUP(Table2[[#This Row],[Customer ID]],Table2[#All],8,FALSE)</f>
        <v>No</v>
      </c>
      <c r="J1179" t="str">
        <f>VLOOKUP(Table2[[#This Row],[Customer ID]],Table2[#All],9,FALSE)</f>
        <v>Obesity</v>
      </c>
      <c r="K1179" t="str">
        <f>VLOOKUP(Table2[[#This Row],[Customer ID]],Table2[#All],10,FALSE)</f>
        <v>Diabetes</v>
      </c>
    </row>
    <row r="1180" spans="1:11" ht="15.6" x14ac:dyDescent="0.3">
      <c r="A1180" s="1" t="s">
        <v>1192</v>
      </c>
      <c r="B1180" t="str">
        <f>VLOOKUP('Customer Names'!A1180,'Customer Names'!$A$1:$E$2336,4,FALSE)</f>
        <v>Mr.  Jeff</v>
      </c>
      <c r="C1180">
        <f>VLOOKUP(Table2[[#This Row],[Customer ID]],Table2[#All],2,FALSE)</f>
        <v>24.48</v>
      </c>
      <c r="D1180">
        <f>VLOOKUP(Table2[[#This Row],[Customer ID]],Table2[#All],3,FALSE)</f>
        <v>4.37</v>
      </c>
      <c r="E1180" t="str">
        <f>VLOOKUP(Table2[[#This Row],[Customer ID]],Table2[#All],4,FALSE)</f>
        <v>Yes</v>
      </c>
      <c r="F1180" t="str">
        <f>VLOOKUP(Table2[[#This Row],[Customer ID]],Table2[#All],5,FALSE)</f>
        <v>No</v>
      </c>
      <c r="G1180" t="str">
        <f>VLOOKUP(Table2[[#This Row],[Customer ID]],Table2[#All],6,FALSE)</f>
        <v>No</v>
      </c>
      <c r="H1180">
        <f>VLOOKUP(Table2[[#This Row],[Customer ID]],Table2[#All],7,FALSE)</f>
        <v>2</v>
      </c>
      <c r="I1180" t="str">
        <f>VLOOKUP(Table2[[#This Row],[Customer ID]],Table2[#All],8,FALSE)</f>
        <v>No</v>
      </c>
      <c r="J1180" t="str">
        <f>VLOOKUP(Table2[[#This Row],[Customer ID]],Table2[#All],9,FALSE)</f>
        <v>Normalweight</v>
      </c>
      <c r="K1180" t="str">
        <f>VLOOKUP(Table2[[#This Row],[Customer ID]],Table2[#All],10,FALSE)</f>
        <v>Normal</v>
      </c>
    </row>
    <row r="1181" spans="1:11" ht="15.6" x14ac:dyDescent="0.3">
      <c r="A1181" s="1" t="s">
        <v>1191</v>
      </c>
      <c r="B1181" t="str">
        <f>VLOOKUP('Customer Names'!A1181,'Customer Names'!$A$1:$E$2336,4,FALSE)</f>
        <v>Ms.  Amy</v>
      </c>
      <c r="C1181">
        <f>VLOOKUP(Table2[[#This Row],[Customer ID]],Table2[#All],2,FALSE)</f>
        <v>22.61</v>
      </c>
      <c r="D1181">
        <f>VLOOKUP(Table2[[#This Row],[Customer ID]],Table2[#All],3,FALSE)</f>
        <v>9.6300000000000008</v>
      </c>
      <c r="E1181" t="str">
        <f>VLOOKUP(Table2[[#This Row],[Customer ID]],Table2[#All],4,FALSE)</f>
        <v>No</v>
      </c>
      <c r="F1181" t="str">
        <f>VLOOKUP(Table2[[#This Row],[Customer ID]],Table2[#All],5,FALSE)</f>
        <v>No</v>
      </c>
      <c r="G1181" t="str">
        <f>VLOOKUP(Table2[[#This Row],[Customer ID]],Table2[#All],6,FALSE)</f>
        <v>No</v>
      </c>
      <c r="H1181">
        <f>VLOOKUP(Table2[[#This Row],[Customer ID]],Table2[#All],7,FALSE)</f>
        <v>2</v>
      </c>
      <c r="I1181" t="str">
        <f>VLOOKUP(Table2[[#This Row],[Customer ID]],Table2[#All],8,FALSE)</f>
        <v>No</v>
      </c>
      <c r="J1181" t="str">
        <f>VLOOKUP(Table2[[#This Row],[Customer ID]],Table2[#All],9,FALSE)</f>
        <v>Normalweight</v>
      </c>
      <c r="K1181" t="str">
        <f>VLOOKUP(Table2[[#This Row],[Customer ID]],Table2[#All],10,FALSE)</f>
        <v>Diabetes</v>
      </c>
    </row>
    <row r="1182" spans="1:11" ht="15.6" x14ac:dyDescent="0.3">
      <c r="A1182" s="1" t="s">
        <v>1190</v>
      </c>
      <c r="B1182" t="str">
        <f>VLOOKUP('Customer Names'!A1182,'Customer Names'!$A$1:$E$2336,4,FALSE)</f>
        <v>Mr.  Adam</v>
      </c>
      <c r="C1182">
        <f>VLOOKUP(Table2[[#This Row],[Customer ID]],Table2[#All],2,FALSE)</f>
        <v>34.299999999999997</v>
      </c>
      <c r="D1182">
        <f>VLOOKUP(Table2[[#This Row],[Customer ID]],Table2[#All],3,FALSE)</f>
        <v>10.37</v>
      </c>
      <c r="E1182" t="str">
        <f>VLOOKUP(Table2[[#This Row],[Customer ID]],Table2[#All],4,FALSE)</f>
        <v>No</v>
      </c>
      <c r="F1182" t="str">
        <f>VLOOKUP(Table2[[#This Row],[Customer ID]],Table2[#All],5,FALSE)</f>
        <v>No</v>
      </c>
      <c r="G1182" t="str">
        <f>VLOOKUP(Table2[[#This Row],[Customer ID]],Table2[#All],6,FALSE)</f>
        <v>No</v>
      </c>
      <c r="H1182">
        <f>VLOOKUP(Table2[[#This Row],[Customer ID]],Table2[#All],7,FALSE)</f>
        <v>0</v>
      </c>
      <c r="I1182" t="str">
        <f>VLOOKUP(Table2[[#This Row],[Customer ID]],Table2[#All],8,FALSE)</f>
        <v>No</v>
      </c>
      <c r="J1182" t="str">
        <f>VLOOKUP(Table2[[#This Row],[Customer ID]],Table2[#All],9,FALSE)</f>
        <v>Obesity</v>
      </c>
      <c r="K1182" t="str">
        <f>VLOOKUP(Table2[[#This Row],[Customer ID]],Table2[#All],10,FALSE)</f>
        <v>Diabetes</v>
      </c>
    </row>
    <row r="1183" spans="1:11" ht="15.6" x14ac:dyDescent="0.3">
      <c r="A1183" s="1" t="s">
        <v>1189</v>
      </c>
      <c r="B1183" t="str">
        <f>VLOOKUP('Customer Names'!A1183,'Customer Names'!$A$1:$E$2336,4,FALSE)</f>
        <v>Ms.  Kristin M</v>
      </c>
      <c r="C1183">
        <f>VLOOKUP(Table2[[#This Row],[Customer ID]],Table2[#All],2,FALSE)</f>
        <v>46.09</v>
      </c>
      <c r="D1183">
        <f>VLOOKUP(Table2[[#This Row],[Customer ID]],Table2[#All],3,FALSE)</f>
        <v>5.44</v>
      </c>
      <c r="E1183" t="str">
        <f>VLOOKUP(Table2[[#This Row],[Customer ID]],Table2[#All],4,FALSE)</f>
        <v>No</v>
      </c>
      <c r="F1183" t="str">
        <f>VLOOKUP(Table2[[#This Row],[Customer ID]],Table2[#All],5,FALSE)</f>
        <v>No</v>
      </c>
      <c r="G1183" t="str">
        <f>VLOOKUP(Table2[[#This Row],[Customer ID]],Table2[#All],6,FALSE)</f>
        <v>No</v>
      </c>
      <c r="H1183">
        <f>VLOOKUP(Table2[[#This Row],[Customer ID]],Table2[#All],7,FALSE)</f>
        <v>2</v>
      </c>
      <c r="I1183" t="str">
        <f>VLOOKUP(Table2[[#This Row],[Customer ID]],Table2[#All],8,FALSE)</f>
        <v>No</v>
      </c>
      <c r="J1183" t="str">
        <f>VLOOKUP(Table2[[#This Row],[Customer ID]],Table2[#All],9,FALSE)</f>
        <v>Obesity</v>
      </c>
      <c r="K1183" t="str">
        <f>VLOOKUP(Table2[[#This Row],[Customer ID]],Table2[#All],10,FALSE)</f>
        <v>Normal</v>
      </c>
    </row>
    <row r="1184" spans="1:11" ht="15.6" x14ac:dyDescent="0.3">
      <c r="A1184" s="1" t="s">
        <v>1188</v>
      </c>
      <c r="B1184" t="str">
        <f>VLOOKUP('Customer Names'!A1184,'Customer Names'!$A$1:$E$2336,4,FALSE)</f>
        <v>Ms.  Mary-Lynn B.</v>
      </c>
      <c r="C1184">
        <f>VLOOKUP(Table2[[#This Row],[Customer ID]],Table2[#All],2,FALSE)</f>
        <v>44.744999999999997</v>
      </c>
      <c r="D1184">
        <f>VLOOKUP(Table2[[#This Row],[Customer ID]],Table2[#All],3,FALSE)</f>
        <v>5.19</v>
      </c>
      <c r="E1184" t="str">
        <f>VLOOKUP(Table2[[#This Row],[Customer ID]],Table2[#All],4,FALSE)</f>
        <v>No</v>
      </c>
      <c r="F1184" t="str">
        <f>VLOOKUP(Table2[[#This Row],[Customer ID]],Table2[#All],5,FALSE)</f>
        <v>No</v>
      </c>
      <c r="G1184" t="str">
        <f>VLOOKUP(Table2[[#This Row],[Customer ID]],Table2[#All],6,FALSE)</f>
        <v>No</v>
      </c>
      <c r="H1184">
        <f>VLOOKUP(Table2[[#This Row],[Customer ID]],Table2[#All],7,FALSE)</f>
        <v>2</v>
      </c>
      <c r="I1184" t="str">
        <f>VLOOKUP(Table2[[#This Row],[Customer ID]],Table2[#All],8,FALSE)</f>
        <v>No</v>
      </c>
      <c r="J1184" t="str">
        <f>VLOOKUP(Table2[[#This Row],[Customer ID]],Table2[#All],9,FALSE)</f>
        <v>Obesity</v>
      </c>
      <c r="K1184" t="str">
        <f>VLOOKUP(Table2[[#This Row],[Customer ID]],Table2[#All],10,FALSE)</f>
        <v>Normal</v>
      </c>
    </row>
    <row r="1185" spans="1:11" ht="15.6" x14ac:dyDescent="0.3">
      <c r="A1185" s="1" t="s">
        <v>1187</v>
      </c>
      <c r="B1185" t="str">
        <f>VLOOKUP('Customer Names'!A1185,'Customer Names'!$A$1:$E$2336,4,FALSE)</f>
        <v>Mrs.  Jamie A</v>
      </c>
      <c r="C1185">
        <f>VLOOKUP(Table2[[#This Row],[Customer ID]],Table2[#All],2,FALSE)</f>
        <v>26.33</v>
      </c>
      <c r="D1185">
        <f>VLOOKUP(Table2[[#This Row],[Customer ID]],Table2[#All],3,FALSE)</f>
        <v>11.8</v>
      </c>
      <c r="E1185" t="str">
        <f>VLOOKUP(Table2[[#This Row],[Customer ID]],Table2[#All],4,FALSE)</f>
        <v>Yes</v>
      </c>
      <c r="F1185" t="str">
        <f>VLOOKUP(Table2[[#This Row],[Customer ID]],Table2[#All],5,FALSE)</f>
        <v>No</v>
      </c>
      <c r="G1185" t="str">
        <f>VLOOKUP(Table2[[#This Row],[Customer ID]],Table2[#All],6,FALSE)</f>
        <v>No</v>
      </c>
      <c r="H1185">
        <f>VLOOKUP(Table2[[#This Row],[Customer ID]],Table2[#All],7,FALSE)</f>
        <v>1</v>
      </c>
      <c r="I1185" t="str">
        <f>VLOOKUP(Table2[[#This Row],[Customer ID]],Table2[#All],8,FALSE)</f>
        <v>No</v>
      </c>
      <c r="J1185" t="str">
        <f>VLOOKUP(Table2[[#This Row],[Customer ID]],Table2[#All],9,FALSE)</f>
        <v>Overweight</v>
      </c>
      <c r="K1185" t="str">
        <f>VLOOKUP(Table2[[#This Row],[Customer ID]],Table2[#All],10,FALSE)</f>
        <v>Diabetes</v>
      </c>
    </row>
    <row r="1186" spans="1:11" ht="15.6" x14ac:dyDescent="0.3">
      <c r="A1186" s="1" t="s">
        <v>1186</v>
      </c>
      <c r="B1186" t="str">
        <f>VLOOKUP('Customer Names'!A1186,'Customer Names'!$A$1:$E$2336,4,FALSE)</f>
        <v>Mr.  Jeffrey A.</v>
      </c>
      <c r="C1186">
        <f>VLOOKUP(Table2[[#This Row],[Customer ID]],Table2[#All],2,FALSE)</f>
        <v>26.6</v>
      </c>
      <c r="D1186">
        <f>VLOOKUP(Table2[[#This Row],[Customer ID]],Table2[#All],3,FALSE)</f>
        <v>8.3800000000000008</v>
      </c>
      <c r="E1186" t="str">
        <f>VLOOKUP(Table2[[#This Row],[Customer ID]],Table2[#All],4,FALSE)</f>
        <v>No</v>
      </c>
      <c r="F1186" t="str">
        <f>VLOOKUP(Table2[[#This Row],[Customer ID]],Table2[#All],5,FALSE)</f>
        <v>No</v>
      </c>
      <c r="G1186" t="str">
        <f>VLOOKUP(Table2[[#This Row],[Customer ID]],Table2[#All],6,FALSE)</f>
        <v>No</v>
      </c>
      <c r="H1186">
        <f>VLOOKUP(Table2[[#This Row],[Customer ID]],Table2[#All],7,FALSE)</f>
        <v>2</v>
      </c>
      <c r="I1186" t="str">
        <f>VLOOKUP(Table2[[#This Row],[Customer ID]],Table2[#All],8,FALSE)</f>
        <v>No</v>
      </c>
      <c r="J1186" t="str">
        <f>VLOOKUP(Table2[[#This Row],[Customer ID]],Table2[#All],9,FALSE)</f>
        <v>Overweight</v>
      </c>
      <c r="K1186" t="str">
        <f>VLOOKUP(Table2[[#This Row],[Customer ID]],Table2[#All],10,FALSE)</f>
        <v>Diabetes</v>
      </c>
    </row>
    <row r="1187" spans="1:11" ht="15.6" x14ac:dyDescent="0.3">
      <c r="A1187" s="1" t="s">
        <v>1185</v>
      </c>
      <c r="B1187" t="str">
        <f>VLOOKUP('Customer Names'!A1187,'Customer Names'!$A$1:$E$2336,4,FALSE)</f>
        <v>Ms.  Nicole</v>
      </c>
      <c r="C1187">
        <f>VLOOKUP(Table2[[#This Row],[Customer ID]],Table2[#All],2,FALSE)</f>
        <v>27.5</v>
      </c>
      <c r="D1187">
        <f>VLOOKUP(Table2[[#This Row],[Customer ID]],Table2[#All],3,FALSE)</f>
        <v>7.58</v>
      </c>
      <c r="E1187" t="str">
        <f>VLOOKUP(Table2[[#This Row],[Customer ID]],Table2[#All],4,FALSE)</f>
        <v>No</v>
      </c>
      <c r="F1187" t="str">
        <f>VLOOKUP(Table2[[#This Row],[Customer ID]],Table2[#All],5,FALSE)</f>
        <v>No</v>
      </c>
      <c r="G1187" t="str">
        <f>VLOOKUP(Table2[[#This Row],[Customer ID]],Table2[#All],6,FALSE)</f>
        <v>No</v>
      </c>
      <c r="H1187">
        <f>VLOOKUP(Table2[[#This Row],[Customer ID]],Table2[#All],7,FALSE)</f>
        <v>0</v>
      </c>
      <c r="I1187" t="str">
        <f>VLOOKUP(Table2[[#This Row],[Customer ID]],Table2[#All],8,FALSE)</f>
        <v>No</v>
      </c>
      <c r="J1187" t="str">
        <f>VLOOKUP(Table2[[#This Row],[Customer ID]],Table2[#All],9,FALSE)</f>
        <v>Overweight</v>
      </c>
      <c r="K1187" t="str">
        <f>VLOOKUP(Table2[[#This Row],[Customer ID]],Table2[#All],10,FALSE)</f>
        <v>Diabetes</v>
      </c>
    </row>
    <row r="1188" spans="1:11" ht="15.6" x14ac:dyDescent="0.3">
      <c r="A1188" s="1" t="s">
        <v>1184</v>
      </c>
      <c r="B1188" t="str">
        <f>VLOOKUP('Customer Names'!A1188,'Customer Names'!$A$1:$E$2336,4,FALSE)</f>
        <v>Ms.  Audrey</v>
      </c>
      <c r="C1188">
        <f>VLOOKUP(Table2[[#This Row],[Customer ID]],Table2[#All],2,FALSE)</f>
        <v>41.55</v>
      </c>
      <c r="D1188">
        <f>VLOOKUP(Table2[[#This Row],[Customer ID]],Table2[#All],3,FALSE)</f>
        <v>4.6100000000000003</v>
      </c>
      <c r="E1188" t="str">
        <f>VLOOKUP(Table2[[#This Row],[Customer ID]],Table2[#All],4,FALSE)</f>
        <v>No</v>
      </c>
      <c r="F1188" t="str">
        <f>VLOOKUP(Table2[[#This Row],[Customer ID]],Table2[#All],5,FALSE)</f>
        <v>No</v>
      </c>
      <c r="G1188" t="str">
        <f>VLOOKUP(Table2[[#This Row],[Customer ID]],Table2[#All],6,FALSE)</f>
        <v>No</v>
      </c>
      <c r="H1188">
        <f>VLOOKUP(Table2[[#This Row],[Customer ID]],Table2[#All],7,FALSE)</f>
        <v>1</v>
      </c>
      <c r="I1188" t="str">
        <f>VLOOKUP(Table2[[#This Row],[Customer ID]],Table2[#All],8,FALSE)</f>
        <v>No</v>
      </c>
      <c r="J1188" t="str">
        <f>VLOOKUP(Table2[[#This Row],[Customer ID]],Table2[#All],9,FALSE)</f>
        <v>Obesity</v>
      </c>
      <c r="K1188" t="str">
        <f>VLOOKUP(Table2[[#This Row],[Customer ID]],Table2[#All],10,FALSE)</f>
        <v>Normal</v>
      </c>
    </row>
    <row r="1189" spans="1:11" ht="15.6" x14ac:dyDescent="0.3">
      <c r="A1189" s="1" t="s">
        <v>1183</v>
      </c>
      <c r="B1189" t="str">
        <f>VLOOKUP('Customer Names'!A1189,'Customer Names'!$A$1:$E$2336,4,FALSE)</f>
        <v>Mr.  Jacob</v>
      </c>
      <c r="C1189">
        <f>VLOOKUP(Table2[[#This Row],[Customer ID]],Table2[#All],2,FALSE)</f>
        <v>41.47</v>
      </c>
      <c r="D1189">
        <f>VLOOKUP(Table2[[#This Row],[Customer ID]],Table2[#All],3,FALSE)</f>
        <v>4.7</v>
      </c>
      <c r="E1189" t="str">
        <f>VLOOKUP(Table2[[#This Row],[Customer ID]],Table2[#All],4,FALSE)</f>
        <v>Yes</v>
      </c>
      <c r="F1189" t="str">
        <f>VLOOKUP(Table2[[#This Row],[Customer ID]],Table2[#All],5,FALSE)</f>
        <v>No</v>
      </c>
      <c r="G1189" t="str">
        <f>VLOOKUP(Table2[[#This Row],[Customer ID]],Table2[#All],6,FALSE)</f>
        <v>Yes</v>
      </c>
      <c r="H1189">
        <f>VLOOKUP(Table2[[#This Row],[Customer ID]],Table2[#All],7,FALSE)</f>
        <v>1</v>
      </c>
      <c r="I1189" t="str">
        <f>VLOOKUP(Table2[[#This Row],[Customer ID]],Table2[#All],8,FALSE)</f>
        <v>No</v>
      </c>
      <c r="J1189" t="str">
        <f>VLOOKUP(Table2[[#This Row],[Customer ID]],Table2[#All],9,FALSE)</f>
        <v>Obesity</v>
      </c>
      <c r="K1189" t="str">
        <f>VLOOKUP(Table2[[#This Row],[Customer ID]],Table2[#All],10,FALSE)</f>
        <v>Normal</v>
      </c>
    </row>
    <row r="1190" spans="1:11" ht="15.6" x14ac:dyDescent="0.3">
      <c r="A1190" s="1" t="s">
        <v>1182</v>
      </c>
      <c r="B1190" t="str">
        <f>VLOOKUP('Customer Names'!A1190,'Customer Names'!$A$1:$E$2336,4,FALSE)</f>
        <v>Mr.  Daniel S</v>
      </c>
      <c r="C1190">
        <f>VLOOKUP(Table2[[#This Row],[Customer ID]],Table2[#All],2,FALSE)</f>
        <v>24.795000000000002</v>
      </c>
      <c r="D1190">
        <f>VLOOKUP(Table2[[#This Row],[Customer ID]],Table2[#All],3,FALSE)</f>
        <v>6.05</v>
      </c>
      <c r="E1190" t="str">
        <f>VLOOKUP(Table2[[#This Row],[Customer ID]],Table2[#All],4,FALSE)</f>
        <v>Yes</v>
      </c>
      <c r="F1190" t="str">
        <f>VLOOKUP(Table2[[#This Row],[Customer ID]],Table2[#All],5,FALSE)</f>
        <v>No</v>
      </c>
      <c r="G1190" t="str">
        <f>VLOOKUP(Table2[[#This Row],[Customer ID]],Table2[#All],6,FALSE)</f>
        <v>No</v>
      </c>
      <c r="H1190">
        <f>VLOOKUP(Table2[[#This Row],[Customer ID]],Table2[#All],7,FALSE)</f>
        <v>0</v>
      </c>
      <c r="I1190" t="str">
        <f>VLOOKUP(Table2[[#This Row],[Customer ID]],Table2[#All],8,FALSE)</f>
        <v>No</v>
      </c>
      <c r="J1190" t="str">
        <f>VLOOKUP(Table2[[#This Row],[Customer ID]],Table2[#All],9,FALSE)</f>
        <v>Normalweight</v>
      </c>
      <c r="K1190" t="str">
        <f>VLOOKUP(Table2[[#This Row],[Customer ID]],Table2[#All],10,FALSE)</f>
        <v>Prediabetes</v>
      </c>
    </row>
    <row r="1191" spans="1:11" ht="15.6" x14ac:dyDescent="0.3">
      <c r="A1191" s="1" t="s">
        <v>1181</v>
      </c>
      <c r="B1191" t="str">
        <f>VLOOKUP('Customer Names'!A1191,'Customer Names'!$A$1:$E$2336,4,FALSE)</f>
        <v>Mr.  Marc C.</v>
      </c>
      <c r="C1191">
        <f>VLOOKUP(Table2[[#This Row],[Customer ID]],Table2[#All],2,FALSE)</f>
        <v>29.48</v>
      </c>
      <c r="D1191">
        <f>VLOOKUP(Table2[[#This Row],[Customer ID]],Table2[#All],3,FALSE)</f>
        <v>5.63</v>
      </c>
      <c r="E1191" t="str">
        <f>VLOOKUP(Table2[[#This Row],[Customer ID]],Table2[#All],4,FALSE)</f>
        <v>Yes</v>
      </c>
      <c r="F1191" t="str">
        <f>VLOOKUP(Table2[[#This Row],[Customer ID]],Table2[#All],5,FALSE)</f>
        <v>No</v>
      </c>
      <c r="G1191" t="str">
        <f>VLOOKUP(Table2[[#This Row],[Customer ID]],Table2[#All],6,FALSE)</f>
        <v>Yes</v>
      </c>
      <c r="H1191">
        <f>VLOOKUP(Table2[[#This Row],[Customer ID]],Table2[#All],7,FALSE)</f>
        <v>1</v>
      </c>
      <c r="I1191" t="str">
        <f>VLOOKUP(Table2[[#This Row],[Customer ID]],Table2[#All],8,FALSE)</f>
        <v>No</v>
      </c>
      <c r="J1191" t="str">
        <f>VLOOKUP(Table2[[#This Row],[Customer ID]],Table2[#All],9,FALSE)</f>
        <v>Overweight</v>
      </c>
      <c r="K1191" t="str">
        <f>VLOOKUP(Table2[[#This Row],[Customer ID]],Table2[#All],10,FALSE)</f>
        <v>Normal</v>
      </c>
    </row>
    <row r="1192" spans="1:11" ht="15.6" x14ac:dyDescent="0.3">
      <c r="A1192" s="1" t="s">
        <v>1180</v>
      </c>
      <c r="B1192" t="str">
        <f>VLOOKUP('Customer Names'!A1192,'Customer Names'!$A$1:$E$2336,4,FALSE)</f>
        <v>Mr.  Mark S</v>
      </c>
      <c r="C1192">
        <f>VLOOKUP(Table2[[#This Row],[Customer ID]],Table2[#All],2,FALSE)</f>
        <v>28.09</v>
      </c>
      <c r="D1192">
        <f>VLOOKUP(Table2[[#This Row],[Customer ID]],Table2[#All],3,FALSE)</f>
        <v>6.06</v>
      </c>
      <c r="E1192" t="str">
        <f>VLOOKUP(Table2[[#This Row],[Customer ID]],Table2[#All],4,FALSE)</f>
        <v>No</v>
      </c>
      <c r="F1192" t="str">
        <f>VLOOKUP(Table2[[#This Row],[Customer ID]],Table2[#All],5,FALSE)</f>
        <v>No</v>
      </c>
      <c r="G1192" t="str">
        <f>VLOOKUP(Table2[[#This Row],[Customer ID]],Table2[#All],6,FALSE)</f>
        <v>Yes</v>
      </c>
      <c r="H1192">
        <f>VLOOKUP(Table2[[#This Row],[Customer ID]],Table2[#All],7,FALSE)</f>
        <v>1</v>
      </c>
      <c r="I1192" t="str">
        <f>VLOOKUP(Table2[[#This Row],[Customer ID]],Table2[#All],8,FALSE)</f>
        <v>No</v>
      </c>
      <c r="J1192" t="str">
        <f>VLOOKUP(Table2[[#This Row],[Customer ID]],Table2[#All],9,FALSE)</f>
        <v>Overweight</v>
      </c>
      <c r="K1192" t="str">
        <f>VLOOKUP(Table2[[#This Row],[Customer ID]],Table2[#All],10,FALSE)</f>
        <v>Prediabetes</v>
      </c>
    </row>
    <row r="1193" spans="1:11" ht="15.6" x14ac:dyDescent="0.3">
      <c r="A1193" s="1" t="s">
        <v>1179</v>
      </c>
      <c r="B1193" t="str">
        <f>VLOOKUP('Customer Names'!A1193,'Customer Names'!$A$1:$E$2336,4,FALSE)</f>
        <v>Mr.  Dan</v>
      </c>
      <c r="C1193">
        <f>VLOOKUP(Table2[[#This Row],[Customer ID]],Table2[#All],2,FALSE)</f>
        <v>32.729999999999997</v>
      </c>
      <c r="D1193">
        <f>VLOOKUP(Table2[[#This Row],[Customer ID]],Table2[#All],3,FALSE)</f>
        <v>5.19</v>
      </c>
      <c r="E1193" t="str">
        <f>VLOOKUP(Table2[[#This Row],[Customer ID]],Table2[#All],4,FALSE)</f>
        <v>No</v>
      </c>
      <c r="F1193" t="str">
        <f>VLOOKUP(Table2[[#This Row],[Customer ID]],Table2[#All],5,FALSE)</f>
        <v>No</v>
      </c>
      <c r="G1193" t="str">
        <f>VLOOKUP(Table2[[#This Row],[Customer ID]],Table2[#All],6,FALSE)</f>
        <v>No</v>
      </c>
      <c r="H1193">
        <f>VLOOKUP(Table2[[#This Row],[Customer ID]],Table2[#All],7,FALSE)</f>
        <v>1</v>
      </c>
      <c r="I1193" t="str">
        <f>VLOOKUP(Table2[[#This Row],[Customer ID]],Table2[#All],8,FALSE)</f>
        <v>No</v>
      </c>
      <c r="J1193" t="str">
        <f>VLOOKUP(Table2[[#This Row],[Customer ID]],Table2[#All],9,FALSE)</f>
        <v>Obesity</v>
      </c>
      <c r="K1193" t="str">
        <f>VLOOKUP(Table2[[#This Row],[Customer ID]],Table2[#All],10,FALSE)</f>
        <v>Normal</v>
      </c>
    </row>
    <row r="1194" spans="1:11" ht="15.6" x14ac:dyDescent="0.3">
      <c r="A1194" s="1" t="s">
        <v>1178</v>
      </c>
      <c r="B1194" t="str">
        <f>VLOOKUP('Customer Names'!A1194,'Customer Names'!$A$1:$E$2336,4,FALSE)</f>
        <v>Ms.  Gabriela</v>
      </c>
      <c r="C1194">
        <f>VLOOKUP(Table2[[#This Row],[Customer ID]],Table2[#All],2,FALSE)</f>
        <v>27.36</v>
      </c>
      <c r="D1194">
        <f>VLOOKUP(Table2[[#This Row],[Customer ID]],Table2[#All],3,FALSE)</f>
        <v>8.9600000000000009</v>
      </c>
      <c r="E1194" t="str">
        <f>VLOOKUP(Table2[[#This Row],[Customer ID]],Table2[#All],4,FALSE)</f>
        <v>No</v>
      </c>
      <c r="F1194" t="str">
        <f>VLOOKUP(Table2[[#This Row],[Customer ID]],Table2[#All],5,FALSE)</f>
        <v>No</v>
      </c>
      <c r="G1194" t="str">
        <f>VLOOKUP(Table2[[#This Row],[Customer ID]],Table2[#All],6,FALSE)</f>
        <v>No</v>
      </c>
      <c r="H1194">
        <f>VLOOKUP(Table2[[#This Row],[Customer ID]],Table2[#All],7,FALSE)</f>
        <v>0</v>
      </c>
      <c r="I1194" t="str">
        <f>VLOOKUP(Table2[[#This Row],[Customer ID]],Table2[#All],8,FALSE)</f>
        <v>No</v>
      </c>
      <c r="J1194" t="str">
        <f>VLOOKUP(Table2[[#This Row],[Customer ID]],Table2[#All],9,FALSE)</f>
        <v>Overweight</v>
      </c>
      <c r="K1194" t="str">
        <f>VLOOKUP(Table2[[#This Row],[Customer ID]],Table2[#All],10,FALSE)</f>
        <v>Diabetes</v>
      </c>
    </row>
    <row r="1195" spans="1:11" ht="15.6" x14ac:dyDescent="0.3">
      <c r="A1195" s="1" t="s">
        <v>1177</v>
      </c>
      <c r="B1195" t="str">
        <f>VLOOKUP('Customer Names'!A1195,'Customer Names'!$A$1:$E$2336,4,FALSE)</f>
        <v>Ms.  Amanda</v>
      </c>
      <c r="C1195">
        <f>VLOOKUP(Table2[[#This Row],[Customer ID]],Table2[#All],2,FALSE)</f>
        <v>27.265000000000001</v>
      </c>
      <c r="D1195">
        <f>VLOOKUP(Table2[[#This Row],[Customer ID]],Table2[#All],3,FALSE)</f>
        <v>11.39</v>
      </c>
      <c r="E1195" t="str">
        <f>VLOOKUP(Table2[[#This Row],[Customer ID]],Table2[#All],4,FALSE)</f>
        <v>No</v>
      </c>
      <c r="F1195" t="str">
        <f>VLOOKUP(Table2[[#This Row],[Customer ID]],Table2[#All],5,FALSE)</f>
        <v>No</v>
      </c>
      <c r="G1195" t="str">
        <f>VLOOKUP(Table2[[#This Row],[Customer ID]],Table2[#All],6,FALSE)</f>
        <v>No</v>
      </c>
      <c r="H1195">
        <f>VLOOKUP(Table2[[#This Row],[Customer ID]],Table2[#All],7,FALSE)</f>
        <v>0</v>
      </c>
      <c r="I1195" t="str">
        <f>VLOOKUP(Table2[[#This Row],[Customer ID]],Table2[#All],8,FALSE)</f>
        <v>No</v>
      </c>
      <c r="J1195" t="str">
        <f>VLOOKUP(Table2[[#This Row],[Customer ID]],Table2[#All],9,FALSE)</f>
        <v>Overweight</v>
      </c>
      <c r="K1195" t="str">
        <f>VLOOKUP(Table2[[#This Row],[Customer ID]],Table2[#All],10,FALSE)</f>
        <v>Diabetes</v>
      </c>
    </row>
    <row r="1196" spans="1:11" ht="15.6" x14ac:dyDescent="0.3">
      <c r="A1196" s="1" t="s">
        <v>1176</v>
      </c>
      <c r="B1196" t="str">
        <f>VLOOKUP('Customer Names'!A1196,'Customer Names'!$A$1:$E$2336,4,FALSE)</f>
        <v>Ms.  Dara</v>
      </c>
      <c r="C1196">
        <f>VLOOKUP(Table2[[#This Row],[Customer ID]],Table2[#All],2,FALSE)</f>
        <v>48.07</v>
      </c>
      <c r="D1196">
        <f>VLOOKUP(Table2[[#This Row],[Customer ID]],Table2[#All],3,FALSE)</f>
        <v>4.0599999999999996</v>
      </c>
      <c r="E1196" t="str">
        <f>VLOOKUP(Table2[[#This Row],[Customer ID]],Table2[#All],4,FALSE)</f>
        <v>Yes</v>
      </c>
      <c r="F1196" t="str">
        <f>VLOOKUP(Table2[[#This Row],[Customer ID]],Table2[#All],5,FALSE)</f>
        <v>No</v>
      </c>
      <c r="G1196" t="str">
        <f>VLOOKUP(Table2[[#This Row],[Customer ID]],Table2[#All],6,FALSE)</f>
        <v>No</v>
      </c>
      <c r="H1196">
        <f>VLOOKUP(Table2[[#This Row],[Customer ID]],Table2[#All],7,FALSE)</f>
        <v>0</v>
      </c>
      <c r="I1196" t="str">
        <f>VLOOKUP(Table2[[#This Row],[Customer ID]],Table2[#All],8,FALSE)</f>
        <v>No</v>
      </c>
      <c r="J1196" t="str">
        <f>VLOOKUP(Table2[[#This Row],[Customer ID]],Table2[#All],9,FALSE)</f>
        <v>Obesity</v>
      </c>
      <c r="K1196" t="str">
        <f>VLOOKUP(Table2[[#This Row],[Customer ID]],Table2[#All],10,FALSE)</f>
        <v>Normal</v>
      </c>
    </row>
    <row r="1197" spans="1:11" ht="15.6" x14ac:dyDescent="0.3">
      <c r="A1197" s="1" t="s">
        <v>1175</v>
      </c>
      <c r="B1197" t="str">
        <f>VLOOKUP('Customer Names'!A1197,'Customer Names'!$A$1:$E$2336,4,FALSE)</f>
        <v>Ms.  Rachelle R</v>
      </c>
      <c r="C1197">
        <f>VLOOKUP(Table2[[#This Row],[Customer ID]],Table2[#All],2,FALSE)</f>
        <v>30.8</v>
      </c>
      <c r="D1197">
        <f>VLOOKUP(Table2[[#This Row],[Customer ID]],Table2[#All],3,FALSE)</f>
        <v>5.23</v>
      </c>
      <c r="E1197" t="str">
        <f>VLOOKUP(Table2[[#This Row],[Customer ID]],Table2[#All],4,FALSE)</f>
        <v>Yes</v>
      </c>
      <c r="F1197" t="str">
        <f>VLOOKUP(Table2[[#This Row],[Customer ID]],Table2[#All],5,FALSE)</f>
        <v>No</v>
      </c>
      <c r="G1197" t="str">
        <f>VLOOKUP(Table2[[#This Row],[Customer ID]],Table2[#All],6,FALSE)</f>
        <v>No</v>
      </c>
      <c r="H1197">
        <f>VLOOKUP(Table2[[#This Row],[Customer ID]],Table2[#All],7,FALSE)</f>
        <v>0</v>
      </c>
      <c r="I1197" t="str">
        <f>VLOOKUP(Table2[[#This Row],[Customer ID]],Table2[#All],8,FALSE)</f>
        <v>No</v>
      </c>
      <c r="J1197" t="str">
        <f>VLOOKUP(Table2[[#This Row],[Customer ID]],Table2[#All],9,FALSE)</f>
        <v>Obesity</v>
      </c>
      <c r="K1197" t="str">
        <f>VLOOKUP(Table2[[#This Row],[Customer ID]],Table2[#All],10,FALSE)</f>
        <v>Normal</v>
      </c>
    </row>
    <row r="1198" spans="1:11" ht="15.6" x14ac:dyDescent="0.3">
      <c r="A1198" s="1" t="s">
        <v>1174</v>
      </c>
      <c r="B1198" t="str">
        <f>VLOOKUP('Customer Names'!A1198,'Customer Names'!$A$1:$E$2336,4,FALSE)</f>
        <v>Ms.  Brenda J</v>
      </c>
      <c r="C1198">
        <f>VLOOKUP(Table2[[#This Row],[Customer ID]],Table2[#All],2,FALSE)</f>
        <v>32.299999999999997</v>
      </c>
      <c r="D1198">
        <f>VLOOKUP(Table2[[#This Row],[Customer ID]],Table2[#All],3,FALSE)</f>
        <v>5.05</v>
      </c>
      <c r="E1198" t="str">
        <f>VLOOKUP(Table2[[#This Row],[Customer ID]],Table2[#All],4,FALSE)</f>
        <v>Yes</v>
      </c>
      <c r="F1198" t="str">
        <f>VLOOKUP(Table2[[#This Row],[Customer ID]],Table2[#All],5,FALSE)</f>
        <v>No</v>
      </c>
      <c r="G1198" t="str">
        <f>VLOOKUP(Table2[[#This Row],[Customer ID]],Table2[#All],6,FALSE)</f>
        <v>No</v>
      </c>
      <c r="H1198">
        <f>VLOOKUP(Table2[[#This Row],[Customer ID]],Table2[#All],7,FALSE)</f>
        <v>0</v>
      </c>
      <c r="I1198" t="str">
        <f>VLOOKUP(Table2[[#This Row],[Customer ID]],Table2[#All],8,FALSE)</f>
        <v>No</v>
      </c>
      <c r="J1198" t="str">
        <f>VLOOKUP(Table2[[#This Row],[Customer ID]],Table2[#All],9,FALSE)</f>
        <v>Obesity</v>
      </c>
      <c r="K1198" t="str">
        <f>VLOOKUP(Table2[[#This Row],[Customer ID]],Table2[#All],10,FALSE)</f>
        <v>Normal</v>
      </c>
    </row>
    <row r="1199" spans="1:11" ht="15.6" x14ac:dyDescent="0.3">
      <c r="A1199" s="1" t="s">
        <v>1173</v>
      </c>
      <c r="B1199" t="str">
        <f>VLOOKUP('Customer Names'!A1199,'Customer Names'!$A$1:$E$2336,4,FALSE)</f>
        <v>Mr.  Tim</v>
      </c>
      <c r="C1199">
        <f>VLOOKUP(Table2[[#This Row],[Customer ID]],Table2[#All],2,FALSE)</f>
        <v>39.700000000000003</v>
      </c>
      <c r="D1199">
        <f>VLOOKUP(Table2[[#This Row],[Customer ID]],Table2[#All],3,FALSE)</f>
        <v>7.34</v>
      </c>
      <c r="E1199" t="str">
        <f>VLOOKUP(Table2[[#This Row],[Customer ID]],Table2[#All],4,FALSE)</f>
        <v>No</v>
      </c>
      <c r="F1199" t="str">
        <f>VLOOKUP(Table2[[#This Row],[Customer ID]],Table2[#All],5,FALSE)</f>
        <v>No</v>
      </c>
      <c r="G1199" t="str">
        <f>VLOOKUP(Table2[[#This Row],[Customer ID]],Table2[#All],6,FALSE)</f>
        <v>No</v>
      </c>
      <c r="H1199">
        <f>VLOOKUP(Table2[[#This Row],[Customer ID]],Table2[#All],7,FALSE)</f>
        <v>0</v>
      </c>
      <c r="I1199" t="str">
        <f>VLOOKUP(Table2[[#This Row],[Customer ID]],Table2[#All],8,FALSE)</f>
        <v>No</v>
      </c>
      <c r="J1199" t="str">
        <f>VLOOKUP(Table2[[#This Row],[Customer ID]],Table2[#All],9,FALSE)</f>
        <v>Obesity</v>
      </c>
      <c r="K1199" t="str">
        <f>VLOOKUP(Table2[[#This Row],[Customer ID]],Table2[#All],10,FALSE)</f>
        <v>Diabetes</v>
      </c>
    </row>
    <row r="1200" spans="1:11" ht="15.6" x14ac:dyDescent="0.3">
      <c r="A1200" s="1" t="s">
        <v>1172</v>
      </c>
      <c r="B1200" t="str">
        <f>VLOOKUP('Customer Names'!A1200,'Customer Names'!$A$1:$E$2336,4,FALSE)</f>
        <v>Mr.  Sylvain</v>
      </c>
      <c r="C1200">
        <f>VLOOKUP(Table2[[#This Row],[Customer ID]],Table2[#All],2,FALSE)</f>
        <v>35.97</v>
      </c>
      <c r="D1200">
        <f>VLOOKUP(Table2[[#This Row],[Customer ID]],Table2[#All],3,FALSE)</f>
        <v>8.1300000000000008</v>
      </c>
      <c r="E1200" t="str">
        <f>VLOOKUP(Table2[[#This Row],[Customer ID]],Table2[#All],4,FALSE)</f>
        <v>No</v>
      </c>
      <c r="F1200" t="str">
        <f>VLOOKUP(Table2[[#This Row],[Customer ID]],Table2[#All],5,FALSE)</f>
        <v>No</v>
      </c>
      <c r="G1200" t="str">
        <f>VLOOKUP(Table2[[#This Row],[Customer ID]],Table2[#All],6,FALSE)</f>
        <v>No</v>
      </c>
      <c r="H1200">
        <f>VLOOKUP(Table2[[#This Row],[Customer ID]],Table2[#All],7,FALSE)</f>
        <v>0</v>
      </c>
      <c r="I1200" t="str">
        <f>VLOOKUP(Table2[[#This Row],[Customer ID]],Table2[#All],8,FALSE)</f>
        <v>No</v>
      </c>
      <c r="J1200" t="str">
        <f>VLOOKUP(Table2[[#This Row],[Customer ID]],Table2[#All],9,FALSE)</f>
        <v>Obesity</v>
      </c>
      <c r="K1200" t="str">
        <f>VLOOKUP(Table2[[#This Row],[Customer ID]],Table2[#All],10,FALSE)</f>
        <v>Diabetes</v>
      </c>
    </row>
    <row r="1201" spans="1:11" ht="15.6" x14ac:dyDescent="0.3">
      <c r="A1201" s="1" t="s">
        <v>1171</v>
      </c>
      <c r="B1201" t="str">
        <f>VLOOKUP('Customer Names'!A1201,'Customer Names'!$A$1:$E$2336,4,FALSE)</f>
        <v>Mrs.  Lisa M</v>
      </c>
      <c r="C1201">
        <f>VLOOKUP(Table2[[#This Row],[Customer ID]],Table2[#All],2,FALSE)</f>
        <v>25.86</v>
      </c>
      <c r="D1201">
        <f>VLOOKUP(Table2[[#This Row],[Customer ID]],Table2[#All],3,FALSE)</f>
        <v>6.68</v>
      </c>
      <c r="E1201" t="str">
        <f>VLOOKUP(Table2[[#This Row],[Customer ID]],Table2[#All],4,FALSE)</f>
        <v>Yes</v>
      </c>
      <c r="F1201" t="str">
        <f>VLOOKUP(Table2[[#This Row],[Customer ID]],Table2[#All],5,FALSE)</f>
        <v>No</v>
      </c>
      <c r="G1201" t="str">
        <f>VLOOKUP(Table2[[#This Row],[Customer ID]],Table2[#All],6,FALSE)</f>
        <v>No</v>
      </c>
      <c r="H1201">
        <f>VLOOKUP(Table2[[#This Row],[Customer ID]],Table2[#All],7,FALSE)</f>
        <v>1</v>
      </c>
      <c r="I1201" t="str">
        <f>VLOOKUP(Table2[[#This Row],[Customer ID]],Table2[#All],8,FALSE)</f>
        <v>No</v>
      </c>
      <c r="J1201" t="str">
        <f>VLOOKUP(Table2[[#This Row],[Customer ID]],Table2[#All],9,FALSE)</f>
        <v>Overweight</v>
      </c>
      <c r="K1201" t="str">
        <f>VLOOKUP(Table2[[#This Row],[Customer ID]],Table2[#All],10,FALSE)</f>
        <v>Diabetes</v>
      </c>
    </row>
    <row r="1202" spans="1:11" ht="15.6" x14ac:dyDescent="0.3">
      <c r="A1202" s="1" t="s">
        <v>1170</v>
      </c>
      <c r="B1202" t="str">
        <f>VLOOKUP('Customer Names'!A1202,'Customer Names'!$A$1:$E$2336,4,FALSE)</f>
        <v>Mr.  Ryan</v>
      </c>
      <c r="C1202">
        <f>VLOOKUP(Table2[[#This Row],[Customer ID]],Table2[#All],2,FALSE)</f>
        <v>30.03</v>
      </c>
      <c r="D1202">
        <f>VLOOKUP(Table2[[#This Row],[Customer ID]],Table2[#All],3,FALSE)</f>
        <v>11.51</v>
      </c>
      <c r="E1202" t="str">
        <f>VLOOKUP(Table2[[#This Row],[Customer ID]],Table2[#All],4,FALSE)</f>
        <v>No</v>
      </c>
      <c r="F1202" t="str">
        <f>VLOOKUP(Table2[[#This Row],[Customer ID]],Table2[#All],5,FALSE)</f>
        <v>No</v>
      </c>
      <c r="G1202" t="str">
        <f>VLOOKUP(Table2[[#This Row],[Customer ID]],Table2[#All],6,FALSE)</f>
        <v>No</v>
      </c>
      <c r="H1202">
        <f>VLOOKUP(Table2[[#This Row],[Customer ID]],Table2[#All],7,FALSE)</f>
        <v>0</v>
      </c>
      <c r="I1202" t="str">
        <f>VLOOKUP(Table2[[#This Row],[Customer ID]],Table2[#All],8,FALSE)</f>
        <v>No</v>
      </c>
      <c r="J1202" t="str">
        <f>VLOOKUP(Table2[[#This Row],[Customer ID]],Table2[#All],9,FALSE)</f>
        <v>Obesity</v>
      </c>
      <c r="K1202" t="str">
        <f>VLOOKUP(Table2[[#This Row],[Customer ID]],Table2[#All],10,FALSE)</f>
        <v>Diabetes</v>
      </c>
    </row>
    <row r="1203" spans="1:11" ht="15.6" x14ac:dyDescent="0.3">
      <c r="A1203" s="1" t="s">
        <v>1169</v>
      </c>
      <c r="B1203" t="str">
        <f>VLOOKUP('Customer Names'!A1203,'Customer Names'!$A$1:$E$2336,4,FALSE)</f>
        <v>Mrs.  Kaitlin M</v>
      </c>
      <c r="C1203">
        <f>VLOOKUP(Table2[[#This Row],[Customer ID]],Table2[#All],2,FALSE)</f>
        <v>25.76</v>
      </c>
      <c r="D1203">
        <f>VLOOKUP(Table2[[#This Row],[Customer ID]],Table2[#All],3,FALSE)</f>
        <v>6.02</v>
      </c>
      <c r="E1203" t="str">
        <f>VLOOKUP(Table2[[#This Row],[Customer ID]],Table2[#All],4,FALSE)</f>
        <v>Yes</v>
      </c>
      <c r="F1203" t="str">
        <f>VLOOKUP(Table2[[#This Row],[Customer ID]],Table2[#All],5,FALSE)</f>
        <v>No</v>
      </c>
      <c r="G1203" t="str">
        <f>VLOOKUP(Table2[[#This Row],[Customer ID]],Table2[#All],6,FALSE)</f>
        <v>Yes</v>
      </c>
      <c r="H1203">
        <f>VLOOKUP(Table2[[#This Row],[Customer ID]],Table2[#All],7,FALSE)</f>
        <v>1</v>
      </c>
      <c r="I1203" t="str">
        <f>VLOOKUP(Table2[[#This Row],[Customer ID]],Table2[#All],8,FALSE)</f>
        <v>No</v>
      </c>
      <c r="J1203" t="str">
        <f>VLOOKUP(Table2[[#This Row],[Customer ID]],Table2[#All],9,FALSE)</f>
        <v>Overweight</v>
      </c>
      <c r="K1203" t="str">
        <f>VLOOKUP(Table2[[#This Row],[Customer ID]],Table2[#All],10,FALSE)</f>
        <v>Prediabetes</v>
      </c>
    </row>
    <row r="1204" spans="1:11" ht="15.6" x14ac:dyDescent="0.3">
      <c r="A1204" s="1" t="s">
        <v>1168</v>
      </c>
      <c r="B1204" t="str">
        <f>VLOOKUP('Customer Names'!A1204,'Customer Names'!$A$1:$E$2336,4,FALSE)</f>
        <v>Mr.  William R.</v>
      </c>
      <c r="C1204">
        <f>VLOOKUP(Table2[[#This Row],[Customer ID]],Table2[#All],2,FALSE)</f>
        <v>22.42</v>
      </c>
      <c r="D1204">
        <f>VLOOKUP(Table2[[#This Row],[Customer ID]],Table2[#All],3,FALSE)</f>
        <v>7.96</v>
      </c>
      <c r="E1204" t="str">
        <f>VLOOKUP(Table2[[#This Row],[Customer ID]],Table2[#All],4,FALSE)</f>
        <v>No</v>
      </c>
      <c r="F1204" t="str">
        <f>VLOOKUP(Table2[[#This Row],[Customer ID]],Table2[#All],5,FALSE)</f>
        <v>No</v>
      </c>
      <c r="G1204" t="str">
        <f>VLOOKUP(Table2[[#This Row],[Customer ID]],Table2[#All],6,FALSE)</f>
        <v>No</v>
      </c>
      <c r="H1204">
        <f>VLOOKUP(Table2[[#This Row],[Customer ID]],Table2[#All],7,FALSE)</f>
        <v>0</v>
      </c>
      <c r="I1204" t="str">
        <f>VLOOKUP(Table2[[#This Row],[Customer ID]],Table2[#All],8,FALSE)</f>
        <v>No</v>
      </c>
      <c r="J1204" t="str">
        <f>VLOOKUP(Table2[[#This Row],[Customer ID]],Table2[#All],9,FALSE)</f>
        <v>Normalweight</v>
      </c>
      <c r="K1204" t="str">
        <f>VLOOKUP(Table2[[#This Row],[Customer ID]],Table2[#All],10,FALSE)</f>
        <v>Diabetes</v>
      </c>
    </row>
    <row r="1205" spans="1:11" ht="15.6" x14ac:dyDescent="0.3">
      <c r="A1205" s="1" t="s">
        <v>1167</v>
      </c>
      <c r="B1205" t="str">
        <f>VLOOKUP('Customer Names'!A1205,'Customer Names'!$A$1:$E$2336,4,FALSE)</f>
        <v>Mr.  Bruce</v>
      </c>
      <c r="C1205">
        <f>VLOOKUP(Table2[[#This Row],[Customer ID]],Table2[#All],2,FALSE)</f>
        <v>33.18</v>
      </c>
      <c r="D1205">
        <f>VLOOKUP(Table2[[#This Row],[Customer ID]],Table2[#All],3,FALSE)</f>
        <v>6.01</v>
      </c>
      <c r="E1205" t="str">
        <f>VLOOKUP(Table2[[#This Row],[Customer ID]],Table2[#All],4,FALSE)</f>
        <v>Yes</v>
      </c>
      <c r="F1205" t="str">
        <f>VLOOKUP(Table2[[#This Row],[Customer ID]],Table2[#All],5,FALSE)</f>
        <v>No</v>
      </c>
      <c r="G1205" t="str">
        <f>VLOOKUP(Table2[[#This Row],[Customer ID]],Table2[#All],6,FALSE)</f>
        <v>No</v>
      </c>
      <c r="H1205">
        <f>VLOOKUP(Table2[[#This Row],[Customer ID]],Table2[#All],7,FALSE)</f>
        <v>1</v>
      </c>
      <c r="I1205" t="str">
        <f>VLOOKUP(Table2[[#This Row],[Customer ID]],Table2[#All],8,FALSE)</f>
        <v>No</v>
      </c>
      <c r="J1205" t="str">
        <f>VLOOKUP(Table2[[#This Row],[Customer ID]],Table2[#All],9,FALSE)</f>
        <v>Obesity</v>
      </c>
      <c r="K1205" t="str">
        <f>VLOOKUP(Table2[[#This Row],[Customer ID]],Table2[#All],10,FALSE)</f>
        <v>Prediabetes</v>
      </c>
    </row>
    <row r="1206" spans="1:11" ht="15.6" x14ac:dyDescent="0.3">
      <c r="A1206" s="1" t="s">
        <v>1166</v>
      </c>
      <c r="B1206" t="str">
        <f>VLOOKUP('Customer Names'!A1206,'Customer Names'!$A$1:$E$2336,4,FALSE)</f>
        <v>Mrs.  Veronica</v>
      </c>
      <c r="C1206">
        <f>VLOOKUP(Table2[[#This Row],[Customer ID]],Table2[#All],2,FALSE)</f>
        <v>43.04</v>
      </c>
      <c r="D1206">
        <f>VLOOKUP(Table2[[#This Row],[Customer ID]],Table2[#All],3,FALSE)</f>
        <v>5.9</v>
      </c>
      <c r="E1206" t="str">
        <f>VLOOKUP(Table2[[#This Row],[Customer ID]],Table2[#All],4,FALSE)</f>
        <v>Yes</v>
      </c>
      <c r="F1206" t="str">
        <f>VLOOKUP(Table2[[#This Row],[Customer ID]],Table2[#All],5,FALSE)</f>
        <v>No</v>
      </c>
      <c r="G1206" t="str">
        <f>VLOOKUP(Table2[[#This Row],[Customer ID]],Table2[#All],6,FALSE)</f>
        <v>No</v>
      </c>
      <c r="H1206">
        <f>VLOOKUP(Table2[[#This Row],[Customer ID]],Table2[#All],7,FALSE)</f>
        <v>0</v>
      </c>
      <c r="I1206" t="str">
        <f>VLOOKUP(Table2[[#This Row],[Customer ID]],Table2[#All],8,FALSE)</f>
        <v>No</v>
      </c>
      <c r="J1206" t="str">
        <f>VLOOKUP(Table2[[#This Row],[Customer ID]],Table2[#All],9,FALSE)</f>
        <v>Obesity</v>
      </c>
      <c r="K1206" t="str">
        <f>VLOOKUP(Table2[[#This Row],[Customer ID]],Table2[#All],10,FALSE)</f>
        <v>Prediabetes</v>
      </c>
    </row>
    <row r="1207" spans="1:11" ht="15.6" x14ac:dyDescent="0.3">
      <c r="A1207" s="1" t="s">
        <v>1165</v>
      </c>
      <c r="B1207" t="str">
        <f>VLOOKUP('Customer Names'!A1207,'Customer Names'!$A$1:$E$2336,4,FALSE)</f>
        <v>Mr.  Warren</v>
      </c>
      <c r="C1207">
        <f>VLOOKUP(Table2[[#This Row],[Customer ID]],Table2[#All],2,FALSE)</f>
        <v>34.15</v>
      </c>
      <c r="D1207">
        <f>VLOOKUP(Table2[[#This Row],[Customer ID]],Table2[#All],3,FALSE)</f>
        <v>4.49</v>
      </c>
      <c r="E1207" t="str">
        <f>VLOOKUP(Table2[[#This Row],[Customer ID]],Table2[#All],4,FALSE)</f>
        <v>Yes</v>
      </c>
      <c r="F1207" t="str">
        <f>VLOOKUP(Table2[[#This Row],[Customer ID]],Table2[#All],5,FALSE)</f>
        <v>No</v>
      </c>
      <c r="G1207" t="str">
        <f>VLOOKUP(Table2[[#This Row],[Customer ID]],Table2[#All],6,FALSE)</f>
        <v>No</v>
      </c>
      <c r="H1207">
        <f>VLOOKUP(Table2[[#This Row],[Customer ID]],Table2[#All],7,FALSE)</f>
        <v>1</v>
      </c>
      <c r="I1207" t="str">
        <f>VLOOKUP(Table2[[#This Row],[Customer ID]],Table2[#All],8,FALSE)</f>
        <v>No</v>
      </c>
      <c r="J1207" t="str">
        <f>VLOOKUP(Table2[[#This Row],[Customer ID]],Table2[#All],9,FALSE)</f>
        <v>Obesity</v>
      </c>
      <c r="K1207" t="str">
        <f>VLOOKUP(Table2[[#This Row],[Customer ID]],Table2[#All],10,FALSE)</f>
        <v>Normal</v>
      </c>
    </row>
    <row r="1208" spans="1:11" ht="15.6" x14ac:dyDescent="0.3">
      <c r="A1208" s="1" t="s">
        <v>1164</v>
      </c>
      <c r="B1208" t="str">
        <f>VLOOKUP('Customer Names'!A1208,'Customer Names'!$A$1:$E$2336,4,FALSE)</f>
        <v>Mrs.  Daniela</v>
      </c>
      <c r="C1208">
        <f>VLOOKUP(Table2[[#This Row],[Customer ID]],Table2[#All],2,FALSE)</f>
        <v>25.78</v>
      </c>
      <c r="D1208">
        <f>VLOOKUP(Table2[[#This Row],[Customer ID]],Table2[#All],3,FALSE)</f>
        <v>6.25</v>
      </c>
      <c r="E1208" t="str">
        <f>VLOOKUP(Table2[[#This Row],[Customer ID]],Table2[#All],4,FALSE)</f>
        <v>No</v>
      </c>
      <c r="F1208" t="str">
        <f>VLOOKUP(Table2[[#This Row],[Customer ID]],Table2[#All],5,FALSE)</f>
        <v>No</v>
      </c>
      <c r="G1208" t="str">
        <f>VLOOKUP(Table2[[#This Row],[Customer ID]],Table2[#All],6,FALSE)</f>
        <v>No</v>
      </c>
      <c r="H1208">
        <f>VLOOKUP(Table2[[#This Row],[Customer ID]],Table2[#All],7,FALSE)</f>
        <v>0</v>
      </c>
      <c r="I1208" t="str">
        <f>VLOOKUP(Table2[[#This Row],[Customer ID]],Table2[#All],8,FALSE)</f>
        <v>No</v>
      </c>
      <c r="J1208" t="str">
        <f>VLOOKUP(Table2[[#This Row],[Customer ID]],Table2[#All],9,FALSE)</f>
        <v>Overweight</v>
      </c>
      <c r="K1208" t="str">
        <f>VLOOKUP(Table2[[#This Row],[Customer ID]],Table2[#All],10,FALSE)</f>
        <v>Prediabetes</v>
      </c>
    </row>
    <row r="1209" spans="1:11" ht="15.6" x14ac:dyDescent="0.3">
      <c r="A1209" s="1" t="s">
        <v>1163</v>
      </c>
      <c r="B1209" t="str">
        <f>VLOOKUP('Customer Names'!A1209,'Customer Names'!$A$1:$E$2336,4,FALSE)</f>
        <v>Ms.  Deirdre A</v>
      </c>
      <c r="C1209">
        <f>VLOOKUP(Table2[[#This Row],[Customer ID]],Table2[#All],2,FALSE)</f>
        <v>21.02</v>
      </c>
      <c r="D1209">
        <f>VLOOKUP(Table2[[#This Row],[Customer ID]],Table2[#All],3,FALSE)</f>
        <v>9.6199999999999992</v>
      </c>
      <c r="E1209" t="str">
        <f>VLOOKUP(Table2[[#This Row],[Customer ID]],Table2[#All],4,FALSE)</f>
        <v>Yes</v>
      </c>
      <c r="F1209" t="str">
        <f>VLOOKUP(Table2[[#This Row],[Customer ID]],Table2[#All],5,FALSE)</f>
        <v>No</v>
      </c>
      <c r="G1209" t="str">
        <f>VLOOKUP(Table2[[#This Row],[Customer ID]],Table2[#All],6,FALSE)</f>
        <v>Yes</v>
      </c>
      <c r="H1209">
        <f>VLOOKUP(Table2[[#This Row],[Customer ID]],Table2[#All],7,FALSE)</f>
        <v>1</v>
      </c>
      <c r="I1209" t="str">
        <f>VLOOKUP(Table2[[#This Row],[Customer ID]],Table2[#All],8,FALSE)</f>
        <v>No</v>
      </c>
      <c r="J1209" t="str">
        <f>VLOOKUP(Table2[[#This Row],[Customer ID]],Table2[#All],9,FALSE)</f>
        <v>Normalweight</v>
      </c>
      <c r="K1209" t="str">
        <f>VLOOKUP(Table2[[#This Row],[Customer ID]],Table2[#All],10,FALSE)</f>
        <v>Diabetes</v>
      </c>
    </row>
    <row r="1210" spans="1:11" ht="15.6" x14ac:dyDescent="0.3">
      <c r="A1210" s="1" t="s">
        <v>1162</v>
      </c>
      <c r="B1210" t="str">
        <f>VLOOKUP('Customer Names'!A1210,'Customer Names'!$A$1:$E$2336,4,FALSE)</f>
        <v>Mr.  Mathias</v>
      </c>
      <c r="C1210">
        <f>VLOOKUP(Table2[[#This Row],[Customer ID]],Table2[#All],2,FALSE)</f>
        <v>37.51</v>
      </c>
      <c r="D1210">
        <f>VLOOKUP(Table2[[#This Row],[Customer ID]],Table2[#All],3,FALSE)</f>
        <v>11.06</v>
      </c>
      <c r="E1210" t="str">
        <f>VLOOKUP(Table2[[#This Row],[Customer ID]],Table2[#All],4,FALSE)</f>
        <v>No</v>
      </c>
      <c r="F1210" t="str">
        <f>VLOOKUP(Table2[[#This Row],[Customer ID]],Table2[#All],5,FALSE)</f>
        <v>No</v>
      </c>
      <c r="G1210" t="str">
        <f>VLOOKUP(Table2[[#This Row],[Customer ID]],Table2[#All],6,FALSE)</f>
        <v>No</v>
      </c>
      <c r="H1210">
        <f>VLOOKUP(Table2[[#This Row],[Customer ID]],Table2[#All],7,FALSE)</f>
        <v>2</v>
      </c>
      <c r="I1210" t="str">
        <f>VLOOKUP(Table2[[#This Row],[Customer ID]],Table2[#All],8,FALSE)</f>
        <v>No</v>
      </c>
      <c r="J1210" t="str">
        <f>VLOOKUP(Table2[[#This Row],[Customer ID]],Table2[#All],9,FALSE)</f>
        <v>Obesity</v>
      </c>
      <c r="K1210" t="str">
        <f>VLOOKUP(Table2[[#This Row],[Customer ID]],Table2[#All],10,FALSE)</f>
        <v>Diabetes</v>
      </c>
    </row>
    <row r="1211" spans="1:11" ht="15.6" x14ac:dyDescent="0.3">
      <c r="A1211" s="1" t="s">
        <v>1161</v>
      </c>
      <c r="B1211" t="str">
        <f>VLOOKUP('Customer Names'!A1211,'Customer Names'!$A$1:$E$2336,4,FALSE)</f>
        <v>Mr.  Matthew</v>
      </c>
      <c r="C1211">
        <f>VLOOKUP(Table2[[#This Row],[Customer ID]],Table2[#All],2,FALSE)</f>
        <v>25.745000000000001</v>
      </c>
      <c r="D1211">
        <f>VLOOKUP(Table2[[#This Row],[Customer ID]],Table2[#All],3,FALSE)</f>
        <v>6.11</v>
      </c>
      <c r="E1211" t="str">
        <f>VLOOKUP(Table2[[#This Row],[Customer ID]],Table2[#All],4,FALSE)</f>
        <v>Yes</v>
      </c>
      <c r="F1211" t="str">
        <f>VLOOKUP(Table2[[#This Row],[Customer ID]],Table2[#All],5,FALSE)</f>
        <v>No</v>
      </c>
      <c r="G1211" t="str">
        <f>VLOOKUP(Table2[[#This Row],[Customer ID]],Table2[#All],6,FALSE)</f>
        <v>No</v>
      </c>
      <c r="H1211">
        <f>VLOOKUP(Table2[[#This Row],[Customer ID]],Table2[#All],7,FALSE)</f>
        <v>0</v>
      </c>
      <c r="I1211" t="str">
        <f>VLOOKUP(Table2[[#This Row],[Customer ID]],Table2[#All],8,FALSE)</f>
        <v>No</v>
      </c>
      <c r="J1211" t="str">
        <f>VLOOKUP(Table2[[#This Row],[Customer ID]],Table2[#All],9,FALSE)</f>
        <v>Overweight</v>
      </c>
      <c r="K1211" t="str">
        <f>VLOOKUP(Table2[[#This Row],[Customer ID]],Table2[#All],10,FALSE)</f>
        <v>Prediabetes</v>
      </c>
    </row>
    <row r="1212" spans="1:11" ht="15.6" x14ac:dyDescent="0.3">
      <c r="A1212" s="1" t="s">
        <v>1160</v>
      </c>
      <c r="B1212" t="str">
        <f>VLOOKUP('Customer Names'!A1212,'Customer Names'!$A$1:$E$2336,4,FALSE)</f>
        <v>Mr.  Kurt</v>
      </c>
      <c r="C1212">
        <f>VLOOKUP(Table2[[#This Row],[Customer ID]],Table2[#All],2,FALSE)</f>
        <v>31.35</v>
      </c>
      <c r="D1212">
        <f>VLOOKUP(Table2[[#This Row],[Customer ID]],Table2[#All],3,FALSE)</f>
        <v>11.49</v>
      </c>
      <c r="E1212" t="str">
        <f>VLOOKUP(Table2[[#This Row],[Customer ID]],Table2[#All],4,FALSE)</f>
        <v>No</v>
      </c>
      <c r="F1212" t="str">
        <f>VLOOKUP(Table2[[#This Row],[Customer ID]],Table2[#All],5,FALSE)</f>
        <v>No</v>
      </c>
      <c r="G1212" t="str">
        <f>VLOOKUP(Table2[[#This Row],[Customer ID]],Table2[#All],6,FALSE)</f>
        <v>No</v>
      </c>
      <c r="H1212">
        <f>VLOOKUP(Table2[[#This Row],[Customer ID]],Table2[#All],7,FALSE)</f>
        <v>2</v>
      </c>
      <c r="I1212" t="str">
        <f>VLOOKUP(Table2[[#This Row],[Customer ID]],Table2[#All],8,FALSE)</f>
        <v>No</v>
      </c>
      <c r="J1212" t="str">
        <f>VLOOKUP(Table2[[#This Row],[Customer ID]],Table2[#All],9,FALSE)</f>
        <v>Obesity</v>
      </c>
      <c r="K1212" t="str">
        <f>VLOOKUP(Table2[[#This Row],[Customer ID]],Table2[#All],10,FALSE)</f>
        <v>Diabetes</v>
      </c>
    </row>
    <row r="1213" spans="1:11" ht="15.6" x14ac:dyDescent="0.3">
      <c r="A1213" s="1" t="s">
        <v>1159</v>
      </c>
      <c r="B1213" t="str">
        <f>VLOOKUP('Customer Names'!A1213,'Customer Names'!$A$1:$E$2336,4,FALSE)</f>
        <v>Mr.  Samuel</v>
      </c>
      <c r="C1213">
        <f>VLOOKUP(Table2[[#This Row],[Customer ID]],Table2[#All],2,FALSE)</f>
        <v>29.83</v>
      </c>
      <c r="D1213">
        <f>VLOOKUP(Table2[[#This Row],[Customer ID]],Table2[#All],3,FALSE)</f>
        <v>8.68</v>
      </c>
      <c r="E1213" t="str">
        <f>VLOOKUP(Table2[[#This Row],[Customer ID]],Table2[#All],4,FALSE)</f>
        <v>No</v>
      </c>
      <c r="F1213" t="str">
        <f>VLOOKUP(Table2[[#This Row],[Customer ID]],Table2[#All],5,FALSE)</f>
        <v>No</v>
      </c>
      <c r="G1213" t="str">
        <f>VLOOKUP(Table2[[#This Row],[Customer ID]],Table2[#All],6,FALSE)</f>
        <v>No</v>
      </c>
      <c r="H1213">
        <f>VLOOKUP(Table2[[#This Row],[Customer ID]],Table2[#All],7,FALSE)</f>
        <v>2</v>
      </c>
      <c r="I1213" t="str">
        <f>VLOOKUP(Table2[[#This Row],[Customer ID]],Table2[#All],8,FALSE)</f>
        <v>No</v>
      </c>
      <c r="J1213" t="str">
        <f>VLOOKUP(Table2[[#This Row],[Customer ID]],Table2[#All],9,FALSE)</f>
        <v>Overweight</v>
      </c>
      <c r="K1213" t="str">
        <f>VLOOKUP(Table2[[#This Row],[Customer ID]],Table2[#All],10,FALSE)</f>
        <v>Diabetes</v>
      </c>
    </row>
    <row r="1214" spans="1:11" ht="15.6" x14ac:dyDescent="0.3">
      <c r="A1214" s="1" t="s">
        <v>1158</v>
      </c>
      <c r="B1214" t="str">
        <f>VLOOKUP('Customer Names'!A1214,'Customer Names'!$A$1:$E$2336,4,FALSE)</f>
        <v>Mrs.  Emily</v>
      </c>
      <c r="C1214">
        <f>VLOOKUP(Table2[[#This Row],[Customer ID]],Table2[#All],2,FALSE)</f>
        <v>25.49</v>
      </c>
      <c r="D1214">
        <f>VLOOKUP(Table2[[#This Row],[Customer ID]],Table2[#All],3,FALSE)</f>
        <v>5.68</v>
      </c>
      <c r="E1214" t="str">
        <f>VLOOKUP(Table2[[#This Row],[Customer ID]],Table2[#All],4,FALSE)</f>
        <v>Yes</v>
      </c>
      <c r="F1214" t="str">
        <f>VLOOKUP(Table2[[#This Row],[Customer ID]],Table2[#All],5,FALSE)</f>
        <v>No</v>
      </c>
      <c r="G1214" t="str">
        <f>VLOOKUP(Table2[[#This Row],[Customer ID]],Table2[#All],6,FALSE)</f>
        <v>Yes</v>
      </c>
      <c r="H1214">
        <f>VLOOKUP(Table2[[#This Row],[Customer ID]],Table2[#All],7,FALSE)</f>
        <v>1</v>
      </c>
      <c r="I1214" t="str">
        <f>VLOOKUP(Table2[[#This Row],[Customer ID]],Table2[#All],8,FALSE)</f>
        <v>No</v>
      </c>
      <c r="J1214" t="str">
        <f>VLOOKUP(Table2[[#This Row],[Customer ID]],Table2[#All],9,FALSE)</f>
        <v>Overweight</v>
      </c>
      <c r="K1214" t="str">
        <f>VLOOKUP(Table2[[#This Row],[Customer ID]],Table2[#All],10,FALSE)</f>
        <v>Normal</v>
      </c>
    </row>
    <row r="1215" spans="1:11" ht="15.6" x14ac:dyDescent="0.3">
      <c r="A1215" s="1" t="s">
        <v>1157</v>
      </c>
      <c r="B1215" t="str">
        <f>VLOOKUP('Customer Names'!A1215,'Customer Names'!$A$1:$E$2336,4,FALSE)</f>
        <v>Ms.  Tiffany</v>
      </c>
      <c r="C1215">
        <f>VLOOKUP(Table2[[#This Row],[Customer ID]],Table2[#All],2,FALSE)</f>
        <v>34.1</v>
      </c>
      <c r="D1215">
        <f>VLOOKUP(Table2[[#This Row],[Customer ID]],Table2[#All],3,FALSE)</f>
        <v>8.4499999999999993</v>
      </c>
      <c r="E1215" t="str">
        <f>VLOOKUP(Table2[[#This Row],[Customer ID]],Table2[#All],4,FALSE)</f>
        <v>No</v>
      </c>
      <c r="F1215" t="str">
        <f>VLOOKUP(Table2[[#This Row],[Customer ID]],Table2[#All],5,FALSE)</f>
        <v>No</v>
      </c>
      <c r="G1215" t="str">
        <f>VLOOKUP(Table2[[#This Row],[Customer ID]],Table2[#All],6,FALSE)</f>
        <v>No</v>
      </c>
      <c r="H1215">
        <f>VLOOKUP(Table2[[#This Row],[Customer ID]],Table2[#All],7,FALSE)</f>
        <v>0</v>
      </c>
      <c r="I1215" t="str">
        <f>VLOOKUP(Table2[[#This Row],[Customer ID]],Table2[#All],8,FALSE)</f>
        <v>No</v>
      </c>
      <c r="J1215" t="str">
        <f>VLOOKUP(Table2[[#This Row],[Customer ID]],Table2[#All],9,FALSE)</f>
        <v>Obesity</v>
      </c>
      <c r="K1215" t="str">
        <f>VLOOKUP(Table2[[#This Row],[Customer ID]],Table2[#All],10,FALSE)</f>
        <v>Diabetes</v>
      </c>
    </row>
    <row r="1216" spans="1:11" ht="15.6" x14ac:dyDescent="0.3">
      <c r="A1216" s="1" t="s">
        <v>1156</v>
      </c>
      <c r="B1216" t="str">
        <f>VLOOKUP('Customer Names'!A1216,'Customer Names'!$A$1:$E$2336,4,FALSE)</f>
        <v>Mr.  Alex F</v>
      </c>
      <c r="C1216">
        <f>VLOOKUP(Table2[[#This Row],[Customer ID]],Table2[#All],2,FALSE)</f>
        <v>25.84</v>
      </c>
      <c r="D1216">
        <f>VLOOKUP(Table2[[#This Row],[Customer ID]],Table2[#All],3,FALSE)</f>
        <v>8.51</v>
      </c>
      <c r="E1216" t="str">
        <f>VLOOKUP(Table2[[#This Row],[Customer ID]],Table2[#All],4,FALSE)</f>
        <v>No</v>
      </c>
      <c r="F1216" t="str">
        <f>VLOOKUP(Table2[[#This Row],[Customer ID]],Table2[#All],5,FALSE)</f>
        <v>No</v>
      </c>
      <c r="G1216" t="str">
        <f>VLOOKUP(Table2[[#This Row],[Customer ID]],Table2[#All],6,FALSE)</f>
        <v>No</v>
      </c>
      <c r="H1216">
        <f>VLOOKUP(Table2[[#This Row],[Customer ID]],Table2[#All],7,FALSE)</f>
        <v>2</v>
      </c>
      <c r="I1216" t="str">
        <f>VLOOKUP(Table2[[#This Row],[Customer ID]],Table2[#All],8,FALSE)</f>
        <v>No</v>
      </c>
      <c r="J1216" t="str">
        <f>VLOOKUP(Table2[[#This Row],[Customer ID]],Table2[#All],9,FALSE)</f>
        <v>Overweight</v>
      </c>
      <c r="K1216" t="str">
        <f>VLOOKUP(Table2[[#This Row],[Customer ID]],Table2[#All],10,FALSE)</f>
        <v>Diabetes</v>
      </c>
    </row>
    <row r="1217" spans="1:11" ht="15.6" x14ac:dyDescent="0.3">
      <c r="A1217" s="1" t="s">
        <v>1155</v>
      </c>
      <c r="B1217" t="str">
        <f>VLOOKUP('Customer Names'!A1217,'Customer Names'!$A$1:$E$2336,4,FALSE)</f>
        <v>Ms.  Alice</v>
      </c>
      <c r="C1217">
        <f>VLOOKUP(Table2[[#This Row],[Customer ID]],Table2[#All],2,FALSE)</f>
        <v>20.6</v>
      </c>
      <c r="D1217">
        <f>VLOOKUP(Table2[[#This Row],[Customer ID]],Table2[#All],3,FALSE)</f>
        <v>7.62</v>
      </c>
      <c r="E1217" t="str">
        <f>VLOOKUP(Table2[[#This Row],[Customer ID]],Table2[#All],4,FALSE)</f>
        <v>No</v>
      </c>
      <c r="F1217" t="str">
        <f>VLOOKUP(Table2[[#This Row],[Customer ID]],Table2[#All],5,FALSE)</f>
        <v>No</v>
      </c>
      <c r="G1217" t="str">
        <f>VLOOKUP(Table2[[#This Row],[Customer ID]],Table2[#All],6,FALSE)</f>
        <v>No</v>
      </c>
      <c r="H1217">
        <f>VLOOKUP(Table2[[#This Row],[Customer ID]],Table2[#All],7,FALSE)</f>
        <v>0</v>
      </c>
      <c r="I1217" t="str">
        <f>VLOOKUP(Table2[[#This Row],[Customer ID]],Table2[#All],8,FALSE)</f>
        <v>No</v>
      </c>
      <c r="J1217" t="str">
        <f>VLOOKUP(Table2[[#This Row],[Customer ID]],Table2[#All],9,FALSE)</f>
        <v>Normalweight</v>
      </c>
      <c r="K1217" t="str">
        <f>VLOOKUP(Table2[[#This Row],[Customer ID]],Table2[#All],10,FALSE)</f>
        <v>Diabetes</v>
      </c>
    </row>
    <row r="1218" spans="1:11" ht="15.6" x14ac:dyDescent="0.3">
      <c r="A1218" s="1" t="s">
        <v>1154</v>
      </c>
      <c r="B1218" t="str">
        <f>VLOOKUP('Customer Names'!A1218,'Customer Names'!$A$1:$E$2336,4,FALSE)</f>
        <v>Ms.  Allison M.</v>
      </c>
      <c r="C1218">
        <f>VLOOKUP(Table2[[#This Row],[Customer ID]],Table2[#All],2,FALSE)</f>
        <v>28.88</v>
      </c>
      <c r="D1218">
        <f>VLOOKUP(Table2[[#This Row],[Customer ID]],Table2[#All],3,FALSE)</f>
        <v>10.18</v>
      </c>
      <c r="E1218" t="str">
        <f>VLOOKUP(Table2[[#This Row],[Customer ID]],Table2[#All],4,FALSE)</f>
        <v>No</v>
      </c>
      <c r="F1218" t="str">
        <f>VLOOKUP(Table2[[#This Row],[Customer ID]],Table2[#All],5,FALSE)</f>
        <v>No</v>
      </c>
      <c r="G1218" t="str">
        <f>VLOOKUP(Table2[[#This Row],[Customer ID]],Table2[#All],6,FALSE)</f>
        <v>No</v>
      </c>
      <c r="H1218">
        <f>VLOOKUP(Table2[[#This Row],[Customer ID]],Table2[#All],7,FALSE)</f>
        <v>0</v>
      </c>
      <c r="I1218" t="str">
        <f>VLOOKUP(Table2[[#This Row],[Customer ID]],Table2[#All],8,FALSE)</f>
        <v>No</v>
      </c>
      <c r="J1218" t="str">
        <f>VLOOKUP(Table2[[#This Row],[Customer ID]],Table2[#All],9,FALSE)</f>
        <v>Overweight</v>
      </c>
      <c r="K1218" t="str">
        <f>VLOOKUP(Table2[[#This Row],[Customer ID]],Table2[#All],10,FALSE)</f>
        <v>Diabetes</v>
      </c>
    </row>
    <row r="1219" spans="1:11" ht="15.6" x14ac:dyDescent="0.3">
      <c r="A1219" s="1" t="s">
        <v>1153</v>
      </c>
      <c r="B1219" t="str">
        <f>VLOOKUP('Customer Names'!A1219,'Customer Names'!$A$1:$E$2336,4,FALSE)</f>
        <v>Mr.  Johannes Fiskerstand</v>
      </c>
      <c r="C1219">
        <f>VLOOKUP(Table2[[#This Row],[Customer ID]],Table2[#All],2,FALSE)</f>
        <v>28.24</v>
      </c>
      <c r="D1219">
        <f>VLOOKUP(Table2[[#This Row],[Customer ID]],Table2[#All],3,FALSE)</f>
        <v>5.36</v>
      </c>
      <c r="E1219" t="str">
        <f>VLOOKUP(Table2[[#This Row],[Customer ID]],Table2[#All],4,FALSE)</f>
        <v>No</v>
      </c>
      <c r="F1219" t="str">
        <f>VLOOKUP(Table2[[#This Row],[Customer ID]],Table2[#All],5,FALSE)</f>
        <v>No</v>
      </c>
      <c r="G1219" t="str">
        <f>VLOOKUP(Table2[[#This Row],[Customer ID]],Table2[#All],6,FALSE)</f>
        <v>No</v>
      </c>
      <c r="H1219">
        <f>VLOOKUP(Table2[[#This Row],[Customer ID]],Table2[#All],7,FALSE)</f>
        <v>0</v>
      </c>
      <c r="I1219" t="str">
        <f>VLOOKUP(Table2[[#This Row],[Customer ID]],Table2[#All],8,FALSE)</f>
        <v>No</v>
      </c>
      <c r="J1219" t="str">
        <f>VLOOKUP(Table2[[#This Row],[Customer ID]],Table2[#All],9,FALSE)</f>
        <v>Overweight</v>
      </c>
      <c r="K1219" t="str">
        <f>VLOOKUP(Table2[[#This Row],[Customer ID]],Table2[#All],10,FALSE)</f>
        <v>Normal</v>
      </c>
    </row>
    <row r="1220" spans="1:11" ht="15.6" x14ac:dyDescent="0.3">
      <c r="A1220" s="1" t="s">
        <v>1152</v>
      </c>
      <c r="B1220" t="str">
        <f>VLOOKUP('Customer Names'!A1220,'Customer Names'!$A$1:$E$2336,4,FALSE)</f>
        <v>Mr.  Stephen</v>
      </c>
      <c r="C1220">
        <f>VLOOKUP(Table2[[#This Row],[Customer ID]],Table2[#All],2,FALSE)</f>
        <v>25.46</v>
      </c>
      <c r="D1220">
        <f>VLOOKUP(Table2[[#This Row],[Customer ID]],Table2[#All],3,FALSE)</f>
        <v>11.78</v>
      </c>
      <c r="E1220" t="str">
        <f>VLOOKUP(Table2[[#This Row],[Customer ID]],Table2[#All],4,FALSE)</f>
        <v>Yes</v>
      </c>
      <c r="F1220" t="str">
        <f>VLOOKUP(Table2[[#This Row],[Customer ID]],Table2[#All],5,FALSE)</f>
        <v>No</v>
      </c>
      <c r="G1220" t="str">
        <f>VLOOKUP(Table2[[#This Row],[Customer ID]],Table2[#All],6,FALSE)</f>
        <v>No</v>
      </c>
      <c r="H1220">
        <f>VLOOKUP(Table2[[#This Row],[Customer ID]],Table2[#All],7,FALSE)</f>
        <v>1</v>
      </c>
      <c r="I1220" t="str">
        <f>VLOOKUP(Table2[[#This Row],[Customer ID]],Table2[#All],8,FALSE)</f>
        <v>No</v>
      </c>
      <c r="J1220" t="str">
        <f>VLOOKUP(Table2[[#This Row],[Customer ID]],Table2[#All],9,FALSE)</f>
        <v>Overweight</v>
      </c>
      <c r="K1220" t="str">
        <f>VLOOKUP(Table2[[#This Row],[Customer ID]],Table2[#All],10,FALSE)</f>
        <v>Diabetes</v>
      </c>
    </row>
    <row r="1221" spans="1:11" ht="15.6" x14ac:dyDescent="0.3">
      <c r="A1221" s="1" t="s">
        <v>1151</v>
      </c>
      <c r="B1221" t="str">
        <f>VLOOKUP('Customer Names'!A1221,'Customer Names'!$A$1:$E$2336,4,FALSE)</f>
        <v>Mr.  Jon M</v>
      </c>
      <c r="C1221">
        <f>VLOOKUP(Table2[[#This Row],[Customer ID]],Table2[#All],2,FALSE)</f>
        <v>29.64</v>
      </c>
      <c r="D1221">
        <f>VLOOKUP(Table2[[#This Row],[Customer ID]],Table2[#All],3,FALSE)</f>
        <v>10.82</v>
      </c>
      <c r="E1221" t="str">
        <f>VLOOKUP(Table2[[#This Row],[Customer ID]],Table2[#All],4,FALSE)</f>
        <v>Yes</v>
      </c>
      <c r="F1221" t="str">
        <f>VLOOKUP(Table2[[#This Row],[Customer ID]],Table2[#All],5,FALSE)</f>
        <v>No</v>
      </c>
      <c r="G1221" t="str">
        <f>VLOOKUP(Table2[[#This Row],[Customer ID]],Table2[#All],6,FALSE)</f>
        <v>No</v>
      </c>
      <c r="H1221">
        <f>VLOOKUP(Table2[[#This Row],[Customer ID]],Table2[#All],7,FALSE)</f>
        <v>0</v>
      </c>
      <c r="I1221" t="str">
        <f>VLOOKUP(Table2[[#This Row],[Customer ID]],Table2[#All],8,FALSE)</f>
        <v>No</v>
      </c>
      <c r="J1221" t="str">
        <f>VLOOKUP(Table2[[#This Row],[Customer ID]],Table2[#All],9,FALSE)</f>
        <v>Overweight</v>
      </c>
      <c r="K1221" t="str">
        <f>VLOOKUP(Table2[[#This Row],[Customer ID]],Table2[#All],10,FALSE)</f>
        <v>Diabetes</v>
      </c>
    </row>
    <row r="1222" spans="1:11" ht="15.6" x14ac:dyDescent="0.3">
      <c r="A1222" s="1" t="s">
        <v>1150</v>
      </c>
      <c r="B1222" t="str">
        <f>VLOOKUP('Customer Names'!A1222,'Customer Names'!$A$1:$E$2336,4,FALSE)</f>
        <v>Mr.  Fasil</v>
      </c>
      <c r="C1222">
        <f>VLOOKUP(Table2[[#This Row],[Customer ID]],Table2[#All],2,FALSE)</f>
        <v>31.27</v>
      </c>
      <c r="D1222">
        <f>VLOOKUP(Table2[[#This Row],[Customer ID]],Table2[#All],3,FALSE)</f>
        <v>7.73</v>
      </c>
      <c r="E1222" t="str">
        <f>VLOOKUP(Table2[[#This Row],[Customer ID]],Table2[#All],4,FALSE)</f>
        <v>Yes</v>
      </c>
      <c r="F1222" t="str">
        <f>VLOOKUP(Table2[[#This Row],[Customer ID]],Table2[#All],5,FALSE)</f>
        <v>No</v>
      </c>
      <c r="G1222" t="str">
        <f>VLOOKUP(Table2[[#This Row],[Customer ID]],Table2[#All],6,FALSE)</f>
        <v>No</v>
      </c>
      <c r="H1222">
        <f>VLOOKUP(Table2[[#This Row],[Customer ID]],Table2[#All],7,FALSE)</f>
        <v>1</v>
      </c>
      <c r="I1222" t="str">
        <f>VLOOKUP(Table2[[#This Row],[Customer ID]],Table2[#All],8,FALSE)</f>
        <v>No</v>
      </c>
      <c r="J1222" t="str">
        <f>VLOOKUP(Table2[[#This Row],[Customer ID]],Table2[#All],9,FALSE)</f>
        <v>Obesity</v>
      </c>
      <c r="K1222" t="str">
        <f>VLOOKUP(Table2[[#This Row],[Customer ID]],Table2[#All],10,FALSE)</f>
        <v>Diabetes</v>
      </c>
    </row>
    <row r="1223" spans="1:11" ht="15.6" x14ac:dyDescent="0.3">
      <c r="A1223" s="1" t="s">
        <v>1149</v>
      </c>
      <c r="B1223" t="str">
        <f>VLOOKUP('Customer Names'!A1223,'Customer Names'!$A$1:$E$2336,4,FALSE)</f>
        <v>Ms.  Megan C.</v>
      </c>
      <c r="C1223">
        <f>VLOOKUP(Table2[[#This Row],[Customer ID]],Table2[#All],2,FALSE)</f>
        <v>19.95</v>
      </c>
      <c r="D1223">
        <f>VLOOKUP(Table2[[#This Row],[Customer ID]],Table2[#All],3,FALSE)</f>
        <v>6.24</v>
      </c>
      <c r="E1223" t="str">
        <f>VLOOKUP(Table2[[#This Row],[Customer ID]],Table2[#All],4,FALSE)</f>
        <v>Yes</v>
      </c>
      <c r="F1223" t="str">
        <f>VLOOKUP(Table2[[#This Row],[Customer ID]],Table2[#All],5,FALSE)</f>
        <v>No</v>
      </c>
      <c r="G1223" t="str">
        <f>VLOOKUP(Table2[[#This Row],[Customer ID]],Table2[#All],6,FALSE)</f>
        <v>No</v>
      </c>
      <c r="H1223">
        <f>VLOOKUP(Table2[[#This Row],[Customer ID]],Table2[#All],7,FALSE)</f>
        <v>0</v>
      </c>
      <c r="I1223" t="str">
        <f>VLOOKUP(Table2[[#This Row],[Customer ID]],Table2[#All],8,FALSE)</f>
        <v>No</v>
      </c>
      <c r="J1223" t="str">
        <f>VLOOKUP(Table2[[#This Row],[Customer ID]],Table2[#All],9,FALSE)</f>
        <v>Normalweight</v>
      </c>
      <c r="K1223" t="str">
        <f>VLOOKUP(Table2[[#This Row],[Customer ID]],Table2[#All],10,FALSE)</f>
        <v>Prediabetes</v>
      </c>
    </row>
    <row r="1224" spans="1:11" ht="15.6" x14ac:dyDescent="0.3">
      <c r="A1224" s="1" t="s">
        <v>1148</v>
      </c>
      <c r="B1224" t="str">
        <f>VLOOKUP('Customer Names'!A1224,'Customer Names'!$A$1:$E$2336,4,FALSE)</f>
        <v>Ms.  Lisa J.</v>
      </c>
      <c r="C1224">
        <f>VLOOKUP(Table2[[#This Row],[Customer ID]],Table2[#All],2,FALSE)</f>
        <v>21.3</v>
      </c>
      <c r="D1224">
        <f>VLOOKUP(Table2[[#This Row],[Customer ID]],Table2[#All],3,FALSE)</f>
        <v>10.42</v>
      </c>
      <c r="E1224" t="str">
        <f>VLOOKUP(Table2[[#This Row],[Customer ID]],Table2[#All],4,FALSE)</f>
        <v>No</v>
      </c>
      <c r="F1224" t="str">
        <f>VLOOKUP(Table2[[#This Row],[Customer ID]],Table2[#All],5,FALSE)</f>
        <v>No</v>
      </c>
      <c r="G1224" t="str">
        <f>VLOOKUP(Table2[[#This Row],[Customer ID]],Table2[#All],6,FALSE)</f>
        <v>No</v>
      </c>
      <c r="H1224">
        <f>VLOOKUP(Table2[[#This Row],[Customer ID]],Table2[#All],7,FALSE)</f>
        <v>2</v>
      </c>
      <c r="I1224" t="str">
        <f>VLOOKUP(Table2[[#This Row],[Customer ID]],Table2[#All],8,FALSE)</f>
        <v>No</v>
      </c>
      <c r="J1224" t="str">
        <f>VLOOKUP(Table2[[#This Row],[Customer ID]],Table2[#All],9,FALSE)</f>
        <v>Normalweight</v>
      </c>
      <c r="K1224" t="str">
        <f>VLOOKUP(Table2[[#This Row],[Customer ID]],Table2[#All],10,FALSE)</f>
        <v>Diabetes</v>
      </c>
    </row>
    <row r="1225" spans="1:11" ht="15.6" x14ac:dyDescent="0.3">
      <c r="A1225" s="1" t="s">
        <v>1147</v>
      </c>
      <c r="B1225" t="str">
        <f>VLOOKUP('Customer Names'!A1225,'Customer Names'!$A$1:$E$2336,4,FALSE)</f>
        <v>Mr.  Doron P</v>
      </c>
      <c r="C1225">
        <f>VLOOKUP(Table2[[#This Row],[Customer ID]],Table2[#All],2,FALSE)</f>
        <v>31.635000000000002</v>
      </c>
      <c r="D1225">
        <f>VLOOKUP(Table2[[#This Row],[Customer ID]],Table2[#All],3,FALSE)</f>
        <v>11.11</v>
      </c>
      <c r="E1225" t="str">
        <f>VLOOKUP(Table2[[#This Row],[Customer ID]],Table2[#All],4,FALSE)</f>
        <v>No</v>
      </c>
      <c r="F1225" t="str">
        <f>VLOOKUP(Table2[[#This Row],[Customer ID]],Table2[#All],5,FALSE)</f>
        <v>No</v>
      </c>
      <c r="G1225" t="str">
        <f>VLOOKUP(Table2[[#This Row],[Customer ID]],Table2[#All],6,FALSE)</f>
        <v>No</v>
      </c>
      <c r="H1225">
        <f>VLOOKUP(Table2[[#This Row],[Customer ID]],Table2[#All],7,FALSE)</f>
        <v>0</v>
      </c>
      <c r="I1225" t="str">
        <f>VLOOKUP(Table2[[#This Row],[Customer ID]],Table2[#All],8,FALSE)</f>
        <v>No</v>
      </c>
      <c r="J1225" t="str">
        <f>VLOOKUP(Table2[[#This Row],[Customer ID]],Table2[#All],9,FALSE)</f>
        <v>Obesity</v>
      </c>
      <c r="K1225" t="str">
        <f>VLOOKUP(Table2[[#This Row],[Customer ID]],Table2[#All],10,FALSE)</f>
        <v>Diabetes</v>
      </c>
    </row>
    <row r="1226" spans="1:11" ht="15.6" x14ac:dyDescent="0.3">
      <c r="A1226" s="1" t="s">
        <v>1146</v>
      </c>
      <c r="B1226" t="str">
        <f>VLOOKUP('Customer Names'!A1226,'Customer Names'!$A$1:$E$2336,4,FALSE)</f>
        <v>Ms.  Katharina</v>
      </c>
      <c r="C1226">
        <f>VLOOKUP(Table2[[#This Row],[Customer ID]],Table2[#All],2,FALSE)</f>
        <v>23.9</v>
      </c>
      <c r="D1226">
        <f>VLOOKUP(Table2[[#This Row],[Customer ID]],Table2[#All],3,FALSE)</f>
        <v>7.67</v>
      </c>
      <c r="E1226" t="str">
        <f>VLOOKUP(Table2[[#This Row],[Customer ID]],Table2[#All],4,FALSE)</f>
        <v>Yes</v>
      </c>
      <c r="F1226" t="str">
        <f>VLOOKUP(Table2[[#This Row],[Customer ID]],Table2[#All],5,FALSE)</f>
        <v>No</v>
      </c>
      <c r="G1226" t="str">
        <f>VLOOKUP(Table2[[#This Row],[Customer ID]],Table2[#All],6,FALSE)</f>
        <v>No</v>
      </c>
      <c r="H1226">
        <f>VLOOKUP(Table2[[#This Row],[Customer ID]],Table2[#All],7,FALSE)</f>
        <v>2</v>
      </c>
      <c r="I1226" t="str">
        <f>VLOOKUP(Table2[[#This Row],[Customer ID]],Table2[#All],8,FALSE)</f>
        <v>No</v>
      </c>
      <c r="J1226" t="str">
        <f>VLOOKUP(Table2[[#This Row],[Customer ID]],Table2[#All],9,FALSE)</f>
        <v>Normalweight</v>
      </c>
      <c r="K1226" t="str">
        <f>VLOOKUP(Table2[[#This Row],[Customer ID]],Table2[#All],10,FALSE)</f>
        <v>Diabetes</v>
      </c>
    </row>
    <row r="1227" spans="1:11" ht="15.6" x14ac:dyDescent="0.3">
      <c r="A1227" s="1" t="s">
        <v>1145</v>
      </c>
      <c r="B1227" t="str">
        <f>VLOOKUP('Customer Names'!A1227,'Customer Names'!$A$1:$E$2336,4,FALSE)</f>
        <v>Mr.  Carl</v>
      </c>
      <c r="C1227">
        <f>VLOOKUP(Table2[[#This Row],[Customer ID]],Table2[#All],2,FALSE)</f>
        <v>34.15</v>
      </c>
      <c r="D1227">
        <f>VLOOKUP(Table2[[#This Row],[Customer ID]],Table2[#All],3,FALSE)</f>
        <v>6.15</v>
      </c>
      <c r="E1227" t="str">
        <f>VLOOKUP(Table2[[#This Row],[Customer ID]],Table2[#All],4,FALSE)</f>
        <v>No</v>
      </c>
      <c r="F1227" t="str">
        <f>VLOOKUP(Table2[[#This Row],[Customer ID]],Table2[#All],5,FALSE)</f>
        <v>No</v>
      </c>
      <c r="G1227" t="str">
        <f>VLOOKUP(Table2[[#This Row],[Customer ID]],Table2[#All],6,FALSE)</f>
        <v>No</v>
      </c>
      <c r="H1227">
        <f>VLOOKUP(Table2[[#This Row],[Customer ID]],Table2[#All],7,FALSE)</f>
        <v>0</v>
      </c>
      <c r="I1227" t="str">
        <f>VLOOKUP(Table2[[#This Row],[Customer ID]],Table2[#All],8,FALSE)</f>
        <v>No</v>
      </c>
      <c r="J1227" t="str">
        <f>VLOOKUP(Table2[[#This Row],[Customer ID]],Table2[#All],9,FALSE)</f>
        <v>Obesity</v>
      </c>
      <c r="K1227" t="str">
        <f>VLOOKUP(Table2[[#This Row],[Customer ID]],Table2[#All],10,FALSE)</f>
        <v>Prediabetes</v>
      </c>
    </row>
    <row r="1228" spans="1:11" ht="15.6" x14ac:dyDescent="0.3">
      <c r="A1228" s="1" t="s">
        <v>1144</v>
      </c>
      <c r="B1228" t="str">
        <f>VLOOKUP('Customer Names'!A1228,'Customer Names'!$A$1:$E$2336,4,FALSE)</f>
        <v>Ms.  Kelsey J.</v>
      </c>
      <c r="C1228">
        <f>VLOOKUP(Table2[[#This Row],[Customer ID]],Table2[#All],2,FALSE)</f>
        <v>28.71</v>
      </c>
      <c r="D1228">
        <f>VLOOKUP(Table2[[#This Row],[Customer ID]],Table2[#All],3,FALSE)</f>
        <v>5.71</v>
      </c>
      <c r="E1228" t="str">
        <f>VLOOKUP(Table2[[#This Row],[Customer ID]],Table2[#All],4,FALSE)</f>
        <v>No</v>
      </c>
      <c r="F1228" t="str">
        <f>VLOOKUP(Table2[[#This Row],[Customer ID]],Table2[#All],5,FALSE)</f>
        <v>No</v>
      </c>
      <c r="G1228" t="str">
        <f>VLOOKUP(Table2[[#This Row],[Customer ID]],Table2[#All],6,FALSE)</f>
        <v>No</v>
      </c>
      <c r="H1228">
        <f>VLOOKUP(Table2[[#This Row],[Customer ID]],Table2[#All],7,FALSE)</f>
        <v>0</v>
      </c>
      <c r="I1228" t="str">
        <f>VLOOKUP(Table2[[#This Row],[Customer ID]],Table2[#All],8,FALSE)</f>
        <v>No</v>
      </c>
      <c r="J1228" t="str">
        <f>VLOOKUP(Table2[[#This Row],[Customer ID]],Table2[#All],9,FALSE)</f>
        <v>Overweight</v>
      </c>
      <c r="K1228" t="str">
        <f>VLOOKUP(Table2[[#This Row],[Customer ID]],Table2[#All],10,FALSE)</f>
        <v>Prediabetes</v>
      </c>
    </row>
    <row r="1229" spans="1:11" ht="15.6" x14ac:dyDescent="0.3">
      <c r="A1229" s="1" t="s">
        <v>1143</v>
      </c>
      <c r="B1229" t="str">
        <f>VLOOKUP('Customer Names'!A1229,'Customer Names'!$A$1:$E$2336,4,FALSE)</f>
        <v>Mr.  Stephen A.</v>
      </c>
      <c r="C1229">
        <f>VLOOKUP(Table2[[#This Row],[Customer ID]],Table2[#All],2,FALSE)</f>
        <v>36.700000000000003</v>
      </c>
      <c r="D1229">
        <f>VLOOKUP(Table2[[#This Row],[Customer ID]],Table2[#All],3,FALSE)</f>
        <v>8.6999999999999993</v>
      </c>
      <c r="E1229" t="str">
        <f>VLOOKUP(Table2[[#This Row],[Customer ID]],Table2[#All],4,FALSE)</f>
        <v>Yes</v>
      </c>
      <c r="F1229" t="str">
        <f>VLOOKUP(Table2[[#This Row],[Customer ID]],Table2[#All],5,FALSE)</f>
        <v>No</v>
      </c>
      <c r="G1229" t="str">
        <f>VLOOKUP(Table2[[#This Row],[Customer ID]],Table2[#All],6,FALSE)</f>
        <v>No</v>
      </c>
      <c r="H1229">
        <f>VLOOKUP(Table2[[#This Row],[Customer ID]],Table2[#All],7,FALSE)</f>
        <v>2</v>
      </c>
      <c r="I1229" t="str">
        <f>VLOOKUP(Table2[[#This Row],[Customer ID]],Table2[#All],8,FALSE)</f>
        <v>No</v>
      </c>
      <c r="J1229" t="str">
        <f>VLOOKUP(Table2[[#This Row],[Customer ID]],Table2[#All],9,FALSE)</f>
        <v>Obesity</v>
      </c>
      <c r="K1229" t="str">
        <f>VLOOKUP(Table2[[#This Row],[Customer ID]],Table2[#All],10,FALSE)</f>
        <v>Diabetes</v>
      </c>
    </row>
    <row r="1230" spans="1:11" ht="15.6" x14ac:dyDescent="0.3">
      <c r="A1230" s="1" t="s">
        <v>1142</v>
      </c>
      <c r="B1230" t="str">
        <f>VLOOKUP('Customer Names'!A1230,'Customer Names'!$A$1:$E$2336,4,FALSE)</f>
        <v>Mr.  Dan</v>
      </c>
      <c r="C1230">
        <f>VLOOKUP(Table2[[#This Row],[Customer ID]],Table2[#All],2,FALSE)</f>
        <v>34.1</v>
      </c>
      <c r="D1230">
        <f>VLOOKUP(Table2[[#This Row],[Customer ID]],Table2[#All],3,FALSE)</f>
        <v>9.0399999999999991</v>
      </c>
      <c r="E1230" t="str">
        <f>VLOOKUP(Table2[[#This Row],[Customer ID]],Table2[#All],4,FALSE)</f>
        <v>Yes</v>
      </c>
      <c r="F1230" t="str">
        <f>VLOOKUP(Table2[[#This Row],[Customer ID]],Table2[#All],5,FALSE)</f>
        <v>No</v>
      </c>
      <c r="G1230" t="str">
        <f>VLOOKUP(Table2[[#This Row],[Customer ID]],Table2[#All],6,FALSE)</f>
        <v>No</v>
      </c>
      <c r="H1230">
        <f>VLOOKUP(Table2[[#This Row],[Customer ID]],Table2[#All],7,FALSE)</f>
        <v>2</v>
      </c>
      <c r="I1230" t="str">
        <f>VLOOKUP(Table2[[#This Row],[Customer ID]],Table2[#All],8,FALSE)</f>
        <v>No</v>
      </c>
      <c r="J1230" t="str">
        <f>VLOOKUP(Table2[[#This Row],[Customer ID]],Table2[#All],9,FALSE)</f>
        <v>Obesity</v>
      </c>
      <c r="K1230" t="str">
        <f>VLOOKUP(Table2[[#This Row],[Customer ID]],Table2[#All],10,FALSE)</f>
        <v>Diabetes</v>
      </c>
    </row>
    <row r="1231" spans="1:11" ht="15.6" x14ac:dyDescent="0.3">
      <c r="A1231" s="1" t="s">
        <v>1141</v>
      </c>
      <c r="B1231" t="str">
        <f>VLOOKUP('Customer Names'!A1231,'Customer Names'!$A$1:$E$2336,4,FALSE)</f>
        <v>Ms.  Katie C</v>
      </c>
      <c r="C1231">
        <f>VLOOKUP(Table2[[#This Row],[Customer ID]],Table2[#All],2,FALSE)</f>
        <v>25.7</v>
      </c>
      <c r="D1231">
        <f>VLOOKUP(Table2[[#This Row],[Customer ID]],Table2[#All],3,FALSE)</f>
        <v>5.61</v>
      </c>
      <c r="E1231" t="str">
        <f>VLOOKUP(Table2[[#This Row],[Customer ID]],Table2[#All],4,FALSE)</f>
        <v>No</v>
      </c>
      <c r="F1231" t="str">
        <f>VLOOKUP(Table2[[#This Row],[Customer ID]],Table2[#All],5,FALSE)</f>
        <v>No</v>
      </c>
      <c r="G1231" t="str">
        <f>VLOOKUP(Table2[[#This Row],[Customer ID]],Table2[#All],6,FALSE)</f>
        <v>No</v>
      </c>
      <c r="H1231">
        <f>VLOOKUP(Table2[[#This Row],[Customer ID]],Table2[#All],7,FALSE)</f>
        <v>0</v>
      </c>
      <c r="I1231" t="str">
        <f>VLOOKUP(Table2[[#This Row],[Customer ID]],Table2[#All],8,FALSE)</f>
        <v>No</v>
      </c>
      <c r="J1231" t="str">
        <f>VLOOKUP(Table2[[#This Row],[Customer ID]],Table2[#All],9,FALSE)</f>
        <v>Overweight</v>
      </c>
      <c r="K1231" t="str">
        <f>VLOOKUP(Table2[[#This Row],[Customer ID]],Table2[#All],10,FALSE)</f>
        <v>Normal</v>
      </c>
    </row>
    <row r="1232" spans="1:11" ht="15.6" x14ac:dyDescent="0.3">
      <c r="A1232" s="1" t="s">
        <v>1140</v>
      </c>
      <c r="B1232" t="str">
        <f>VLOOKUP('Customer Names'!A1232,'Customer Names'!$A$1:$E$2336,4,FALSE)</f>
        <v>Ms.  Melissa K</v>
      </c>
      <c r="C1232">
        <f>VLOOKUP(Table2[[#This Row],[Customer ID]],Table2[#All],2,FALSE)</f>
        <v>21.68</v>
      </c>
      <c r="D1232">
        <f>VLOOKUP(Table2[[#This Row],[Customer ID]],Table2[#All],3,FALSE)</f>
        <v>8.1199999999999992</v>
      </c>
      <c r="E1232" t="str">
        <f>VLOOKUP(Table2[[#This Row],[Customer ID]],Table2[#All],4,FALSE)</f>
        <v>No</v>
      </c>
      <c r="F1232" t="str">
        <f>VLOOKUP(Table2[[#This Row],[Customer ID]],Table2[#All],5,FALSE)</f>
        <v>No</v>
      </c>
      <c r="G1232" t="str">
        <f>VLOOKUP(Table2[[#This Row],[Customer ID]],Table2[#All],6,FALSE)</f>
        <v>No</v>
      </c>
      <c r="H1232">
        <f>VLOOKUP(Table2[[#This Row],[Customer ID]],Table2[#All],7,FALSE)</f>
        <v>0</v>
      </c>
      <c r="I1232" t="str">
        <f>VLOOKUP(Table2[[#This Row],[Customer ID]],Table2[#All],8,FALSE)</f>
        <v>No</v>
      </c>
      <c r="J1232" t="str">
        <f>VLOOKUP(Table2[[#This Row],[Customer ID]],Table2[#All],9,FALSE)</f>
        <v>Normalweight</v>
      </c>
      <c r="K1232" t="str">
        <f>VLOOKUP(Table2[[#This Row],[Customer ID]],Table2[#All],10,FALSE)</f>
        <v>Diabetes</v>
      </c>
    </row>
    <row r="1233" spans="1:11" ht="15.6" x14ac:dyDescent="0.3">
      <c r="A1233" s="1" t="s">
        <v>1139</v>
      </c>
      <c r="B1233" t="str">
        <f>VLOOKUP('Customer Names'!A1233,'Customer Names'!$A$1:$E$2336,4,FALSE)</f>
        <v>Ms.  Kara H</v>
      </c>
      <c r="C1233">
        <f>VLOOKUP(Table2[[#This Row],[Customer ID]],Table2[#All],2,FALSE)</f>
        <v>25.175000000000001</v>
      </c>
      <c r="D1233">
        <f>VLOOKUP(Table2[[#This Row],[Customer ID]],Table2[#All],3,FALSE)</f>
        <v>4.74</v>
      </c>
      <c r="E1233" t="str">
        <f>VLOOKUP(Table2[[#This Row],[Customer ID]],Table2[#All],4,FALSE)</f>
        <v>No</v>
      </c>
      <c r="F1233" t="str">
        <f>VLOOKUP(Table2[[#This Row],[Customer ID]],Table2[#All],5,FALSE)</f>
        <v>No</v>
      </c>
      <c r="G1233" t="str">
        <f>VLOOKUP(Table2[[#This Row],[Customer ID]],Table2[#All],6,FALSE)</f>
        <v>No</v>
      </c>
      <c r="H1233">
        <f>VLOOKUP(Table2[[#This Row],[Customer ID]],Table2[#All],7,FALSE)</f>
        <v>0</v>
      </c>
      <c r="I1233" t="str">
        <f>VLOOKUP(Table2[[#This Row],[Customer ID]],Table2[#All],8,FALSE)</f>
        <v>No</v>
      </c>
      <c r="J1233" t="str">
        <f>VLOOKUP(Table2[[#This Row],[Customer ID]],Table2[#All],9,FALSE)</f>
        <v>Overweight</v>
      </c>
      <c r="K1233" t="str">
        <f>VLOOKUP(Table2[[#This Row],[Customer ID]],Table2[#All],10,FALSE)</f>
        <v>Normal</v>
      </c>
    </row>
    <row r="1234" spans="1:11" ht="15.6" x14ac:dyDescent="0.3">
      <c r="A1234" s="1" t="s">
        <v>1138</v>
      </c>
      <c r="B1234" t="str">
        <f>VLOOKUP('Customer Names'!A1234,'Customer Names'!$A$1:$E$2336,4,FALSE)</f>
        <v>Mr.  Juan Carlos</v>
      </c>
      <c r="C1234">
        <f>VLOOKUP(Table2[[#This Row],[Customer ID]],Table2[#All],2,FALSE)</f>
        <v>44.77</v>
      </c>
      <c r="D1234">
        <f>VLOOKUP(Table2[[#This Row],[Customer ID]],Table2[#All],3,FALSE)</f>
        <v>4.0599999999999996</v>
      </c>
      <c r="E1234" t="str">
        <f>VLOOKUP(Table2[[#This Row],[Customer ID]],Table2[#All],4,FALSE)</f>
        <v>No</v>
      </c>
      <c r="F1234" t="str">
        <f>VLOOKUP(Table2[[#This Row],[Customer ID]],Table2[#All],5,FALSE)</f>
        <v>No</v>
      </c>
      <c r="G1234" t="str">
        <f>VLOOKUP(Table2[[#This Row],[Customer ID]],Table2[#All],6,FALSE)</f>
        <v>No</v>
      </c>
      <c r="H1234">
        <f>VLOOKUP(Table2[[#This Row],[Customer ID]],Table2[#All],7,FALSE)</f>
        <v>2</v>
      </c>
      <c r="I1234" t="str">
        <f>VLOOKUP(Table2[[#This Row],[Customer ID]],Table2[#All],8,FALSE)</f>
        <v>No</v>
      </c>
      <c r="J1234" t="str">
        <f>VLOOKUP(Table2[[#This Row],[Customer ID]],Table2[#All],9,FALSE)</f>
        <v>Obesity</v>
      </c>
      <c r="K1234" t="str">
        <f>VLOOKUP(Table2[[#This Row],[Customer ID]],Table2[#All],10,FALSE)</f>
        <v>Normal</v>
      </c>
    </row>
    <row r="1235" spans="1:11" ht="15.6" x14ac:dyDescent="0.3">
      <c r="A1235" s="1" t="s">
        <v>1137</v>
      </c>
      <c r="B1235" t="str">
        <f>VLOOKUP('Customer Names'!A1235,'Customer Names'!$A$1:$E$2336,4,FALSE)</f>
        <v>Mr.  John III</v>
      </c>
      <c r="C1235">
        <f>VLOOKUP(Table2[[#This Row],[Customer ID]],Table2[#All],2,FALSE)</f>
        <v>37.07</v>
      </c>
      <c r="D1235">
        <f>VLOOKUP(Table2[[#This Row],[Customer ID]],Table2[#All],3,FALSE)</f>
        <v>5.69</v>
      </c>
      <c r="E1235" t="str">
        <f>VLOOKUP(Table2[[#This Row],[Customer ID]],Table2[#All],4,FALSE)</f>
        <v>No</v>
      </c>
      <c r="F1235" t="str">
        <f>VLOOKUP(Table2[[#This Row],[Customer ID]],Table2[#All],5,FALSE)</f>
        <v>No</v>
      </c>
      <c r="G1235" t="str">
        <f>VLOOKUP(Table2[[#This Row],[Customer ID]],Table2[#All],6,FALSE)</f>
        <v>No</v>
      </c>
      <c r="H1235">
        <f>VLOOKUP(Table2[[#This Row],[Customer ID]],Table2[#All],7,FALSE)</f>
        <v>2</v>
      </c>
      <c r="I1235" t="str">
        <f>VLOOKUP(Table2[[#This Row],[Customer ID]],Table2[#All],8,FALSE)</f>
        <v>No</v>
      </c>
      <c r="J1235" t="str">
        <f>VLOOKUP(Table2[[#This Row],[Customer ID]],Table2[#All],9,FALSE)</f>
        <v>Obesity</v>
      </c>
      <c r="K1235" t="str">
        <f>VLOOKUP(Table2[[#This Row],[Customer ID]],Table2[#All],10,FALSE)</f>
        <v>Normal</v>
      </c>
    </row>
    <row r="1236" spans="1:11" ht="15.6" x14ac:dyDescent="0.3">
      <c r="A1236" s="1" t="s">
        <v>1136</v>
      </c>
      <c r="B1236" t="str">
        <f>VLOOKUP('Customer Names'!A1236,'Customer Names'!$A$1:$E$2336,4,FALSE)</f>
        <v>Mrs.  Sarah M</v>
      </c>
      <c r="C1236">
        <f>VLOOKUP(Table2[[#This Row],[Customer ID]],Table2[#All],2,FALSE)</f>
        <v>39.799999999999997</v>
      </c>
      <c r="D1236">
        <f>VLOOKUP(Table2[[#This Row],[Customer ID]],Table2[#All],3,FALSE)</f>
        <v>5.66</v>
      </c>
      <c r="E1236" t="str">
        <f>VLOOKUP(Table2[[#This Row],[Customer ID]],Table2[#All],4,FALSE)</f>
        <v>No</v>
      </c>
      <c r="F1236" t="str">
        <f>VLOOKUP(Table2[[#This Row],[Customer ID]],Table2[#All],5,FALSE)</f>
        <v>No</v>
      </c>
      <c r="G1236" t="str">
        <f>VLOOKUP(Table2[[#This Row],[Customer ID]],Table2[#All],6,FALSE)</f>
        <v>Yes</v>
      </c>
      <c r="H1236">
        <f>VLOOKUP(Table2[[#This Row],[Customer ID]],Table2[#All],7,FALSE)</f>
        <v>1</v>
      </c>
      <c r="I1236" t="str">
        <f>VLOOKUP(Table2[[#This Row],[Customer ID]],Table2[#All],8,FALSE)</f>
        <v>No</v>
      </c>
      <c r="J1236" t="str">
        <f>VLOOKUP(Table2[[#This Row],[Customer ID]],Table2[#All],9,FALSE)</f>
        <v>Obesity</v>
      </c>
      <c r="K1236" t="str">
        <f>VLOOKUP(Table2[[#This Row],[Customer ID]],Table2[#All],10,FALSE)</f>
        <v>Normal</v>
      </c>
    </row>
    <row r="1237" spans="1:11" ht="15.6" x14ac:dyDescent="0.3">
      <c r="A1237" s="1" t="s">
        <v>1135</v>
      </c>
      <c r="B1237" t="str">
        <f>VLOOKUP('Customer Names'!A1237,'Customer Names'!$A$1:$E$2336,4,FALSE)</f>
        <v>Mrs.  Kristin C</v>
      </c>
      <c r="C1237">
        <f>VLOOKUP(Table2[[#This Row],[Customer ID]],Table2[#All],2,FALSE)</f>
        <v>26.36</v>
      </c>
      <c r="D1237">
        <f>VLOOKUP(Table2[[#This Row],[Customer ID]],Table2[#All],3,FALSE)</f>
        <v>4.32</v>
      </c>
      <c r="E1237" t="str">
        <f>VLOOKUP(Table2[[#This Row],[Customer ID]],Table2[#All],4,FALSE)</f>
        <v>No</v>
      </c>
      <c r="F1237" t="str">
        <f>VLOOKUP(Table2[[#This Row],[Customer ID]],Table2[#All],5,FALSE)</f>
        <v>No</v>
      </c>
      <c r="G1237" t="str">
        <f>VLOOKUP(Table2[[#This Row],[Customer ID]],Table2[#All],6,FALSE)</f>
        <v>Yes</v>
      </c>
      <c r="H1237">
        <f>VLOOKUP(Table2[[#This Row],[Customer ID]],Table2[#All],7,FALSE)</f>
        <v>1</v>
      </c>
      <c r="I1237" t="str">
        <f>VLOOKUP(Table2[[#This Row],[Customer ID]],Table2[#All],8,FALSE)</f>
        <v>No</v>
      </c>
      <c r="J1237" t="str">
        <f>VLOOKUP(Table2[[#This Row],[Customer ID]],Table2[#All],9,FALSE)</f>
        <v>Overweight</v>
      </c>
      <c r="K1237" t="str">
        <f>VLOOKUP(Table2[[#This Row],[Customer ID]],Table2[#All],10,FALSE)</f>
        <v>Normal</v>
      </c>
    </row>
    <row r="1238" spans="1:11" ht="15.6" x14ac:dyDescent="0.3">
      <c r="A1238" s="1" t="s">
        <v>1134</v>
      </c>
      <c r="B1238" t="str">
        <f>VLOOKUP('Customer Names'!A1238,'Customer Names'!$A$1:$E$2336,4,FALSE)</f>
        <v>Ms.  Casey M.</v>
      </c>
      <c r="C1238">
        <f>VLOOKUP(Table2[[#This Row],[Customer ID]],Table2[#All],2,FALSE)</f>
        <v>29.925000000000001</v>
      </c>
      <c r="D1238">
        <f>VLOOKUP(Table2[[#This Row],[Customer ID]],Table2[#All],3,FALSE)</f>
        <v>8.2899999999999991</v>
      </c>
      <c r="E1238" t="str">
        <f>VLOOKUP(Table2[[#This Row],[Customer ID]],Table2[#All],4,FALSE)</f>
        <v>No</v>
      </c>
      <c r="F1238" t="str">
        <f>VLOOKUP(Table2[[#This Row],[Customer ID]],Table2[#All],5,FALSE)</f>
        <v>No</v>
      </c>
      <c r="G1238" t="str">
        <f>VLOOKUP(Table2[[#This Row],[Customer ID]],Table2[#All],6,FALSE)</f>
        <v>No</v>
      </c>
      <c r="H1238">
        <f>VLOOKUP(Table2[[#This Row],[Customer ID]],Table2[#All],7,FALSE)</f>
        <v>2</v>
      </c>
      <c r="I1238" t="str">
        <f>VLOOKUP(Table2[[#This Row],[Customer ID]],Table2[#All],8,FALSE)</f>
        <v>No</v>
      </c>
      <c r="J1238" t="str">
        <f>VLOOKUP(Table2[[#This Row],[Customer ID]],Table2[#All],9,FALSE)</f>
        <v>Overweight</v>
      </c>
      <c r="K1238" t="str">
        <f>VLOOKUP(Table2[[#This Row],[Customer ID]],Table2[#All],10,FALSE)</f>
        <v>Diabetes</v>
      </c>
    </row>
    <row r="1239" spans="1:11" ht="15.6" x14ac:dyDescent="0.3">
      <c r="A1239" s="1" t="s">
        <v>1133</v>
      </c>
      <c r="B1239" t="str">
        <f>VLOOKUP('Customer Names'!A1239,'Customer Names'!$A$1:$E$2336,4,FALSE)</f>
        <v>Mr.  Samuel</v>
      </c>
      <c r="C1239">
        <f>VLOOKUP(Table2[[#This Row],[Customer ID]],Table2[#All],2,FALSE)</f>
        <v>37.29</v>
      </c>
      <c r="D1239">
        <f>VLOOKUP(Table2[[#This Row],[Customer ID]],Table2[#All],3,FALSE)</f>
        <v>10.46</v>
      </c>
      <c r="E1239" t="str">
        <f>VLOOKUP(Table2[[#This Row],[Customer ID]],Table2[#All],4,FALSE)</f>
        <v>No</v>
      </c>
      <c r="F1239" t="str">
        <f>VLOOKUP(Table2[[#This Row],[Customer ID]],Table2[#All],5,FALSE)</f>
        <v>No</v>
      </c>
      <c r="G1239" t="str">
        <f>VLOOKUP(Table2[[#This Row],[Customer ID]],Table2[#All],6,FALSE)</f>
        <v>No</v>
      </c>
      <c r="H1239">
        <f>VLOOKUP(Table2[[#This Row],[Customer ID]],Table2[#All],7,FALSE)</f>
        <v>0</v>
      </c>
      <c r="I1239" t="str">
        <f>VLOOKUP(Table2[[#This Row],[Customer ID]],Table2[#All],8,FALSE)</f>
        <v>No</v>
      </c>
      <c r="J1239" t="str">
        <f>VLOOKUP(Table2[[#This Row],[Customer ID]],Table2[#All],9,FALSE)</f>
        <v>Obesity</v>
      </c>
      <c r="K1239" t="str">
        <f>VLOOKUP(Table2[[#This Row],[Customer ID]],Table2[#All],10,FALSE)</f>
        <v>Diabetes</v>
      </c>
    </row>
    <row r="1240" spans="1:11" ht="15.6" x14ac:dyDescent="0.3">
      <c r="A1240" s="1" t="s">
        <v>1132</v>
      </c>
      <c r="B1240" t="str">
        <f>VLOOKUP('Customer Names'!A1240,'Customer Names'!$A$1:$E$2336,4,FALSE)</f>
        <v>Mr.  Braulio</v>
      </c>
      <c r="C1240">
        <f>VLOOKUP(Table2[[#This Row],[Customer ID]],Table2[#All],2,FALSE)</f>
        <v>30.2</v>
      </c>
      <c r="D1240">
        <f>VLOOKUP(Table2[[#This Row],[Customer ID]],Table2[#All],3,FALSE)</f>
        <v>11.96</v>
      </c>
      <c r="E1240" t="str">
        <f>VLOOKUP(Table2[[#This Row],[Customer ID]],Table2[#All],4,FALSE)</f>
        <v>No</v>
      </c>
      <c r="F1240" t="str">
        <f>VLOOKUP(Table2[[#This Row],[Customer ID]],Table2[#All],5,FALSE)</f>
        <v>No</v>
      </c>
      <c r="G1240" t="str">
        <f>VLOOKUP(Table2[[#This Row],[Customer ID]],Table2[#All],6,FALSE)</f>
        <v>No</v>
      </c>
      <c r="H1240">
        <f>VLOOKUP(Table2[[#This Row],[Customer ID]],Table2[#All],7,FALSE)</f>
        <v>0</v>
      </c>
      <c r="I1240" t="str">
        <f>VLOOKUP(Table2[[#This Row],[Customer ID]],Table2[#All],8,FALSE)</f>
        <v>No</v>
      </c>
      <c r="J1240" t="str">
        <f>VLOOKUP(Table2[[#This Row],[Customer ID]],Table2[#All],9,FALSE)</f>
        <v>Obesity</v>
      </c>
      <c r="K1240" t="str">
        <f>VLOOKUP(Table2[[#This Row],[Customer ID]],Table2[#All],10,FALSE)</f>
        <v>Diabetes</v>
      </c>
    </row>
    <row r="1241" spans="1:11" ht="15.6" x14ac:dyDescent="0.3">
      <c r="A1241" s="1" t="s">
        <v>1131</v>
      </c>
      <c r="B1241" t="str">
        <f>VLOOKUP('Customer Names'!A1241,'Customer Names'!$A$1:$E$2336,4,FALSE)</f>
        <v>Ms.  Anne-Marie</v>
      </c>
      <c r="C1241">
        <f>VLOOKUP(Table2[[#This Row],[Customer ID]],Table2[#All],2,FALSE)</f>
        <v>24.225000000000001</v>
      </c>
      <c r="D1241">
        <f>VLOOKUP(Table2[[#This Row],[Customer ID]],Table2[#All],3,FALSE)</f>
        <v>4.25</v>
      </c>
      <c r="E1241" t="str">
        <f>VLOOKUP(Table2[[#This Row],[Customer ID]],Table2[#All],4,FALSE)</f>
        <v>Yes</v>
      </c>
      <c r="F1241" t="str">
        <f>VLOOKUP(Table2[[#This Row],[Customer ID]],Table2[#All],5,FALSE)</f>
        <v>No</v>
      </c>
      <c r="G1241" t="str">
        <f>VLOOKUP(Table2[[#This Row],[Customer ID]],Table2[#All],6,FALSE)</f>
        <v>Yes</v>
      </c>
      <c r="H1241">
        <f>VLOOKUP(Table2[[#This Row],[Customer ID]],Table2[#All],7,FALSE)</f>
        <v>1</v>
      </c>
      <c r="I1241" t="str">
        <f>VLOOKUP(Table2[[#This Row],[Customer ID]],Table2[#All],8,FALSE)</f>
        <v>No</v>
      </c>
      <c r="J1241" t="str">
        <f>VLOOKUP(Table2[[#This Row],[Customer ID]],Table2[#All],9,FALSE)</f>
        <v>Normalweight</v>
      </c>
      <c r="K1241" t="str">
        <f>VLOOKUP(Table2[[#This Row],[Customer ID]],Table2[#All],10,FALSE)</f>
        <v>Normal</v>
      </c>
    </row>
    <row r="1242" spans="1:11" ht="15.6" x14ac:dyDescent="0.3">
      <c r="A1242" s="1" t="s">
        <v>1130</v>
      </c>
      <c r="B1242" t="str">
        <f>VLOOKUP('Customer Names'!A1242,'Customer Names'!$A$1:$E$2336,4,FALSE)</f>
        <v>Mr.  Samuel K.</v>
      </c>
      <c r="C1242">
        <f>VLOOKUP(Table2[[#This Row],[Customer ID]],Table2[#All],2,FALSE)</f>
        <v>31.445</v>
      </c>
      <c r="D1242">
        <f>VLOOKUP(Table2[[#This Row],[Customer ID]],Table2[#All],3,FALSE)</f>
        <v>8.33</v>
      </c>
      <c r="E1242" t="str">
        <f>VLOOKUP(Table2[[#This Row],[Customer ID]],Table2[#All],4,FALSE)</f>
        <v>No</v>
      </c>
      <c r="F1242" t="str">
        <f>VLOOKUP(Table2[[#This Row],[Customer ID]],Table2[#All],5,FALSE)</f>
        <v>No</v>
      </c>
      <c r="G1242" t="str">
        <f>VLOOKUP(Table2[[#This Row],[Customer ID]],Table2[#All],6,FALSE)</f>
        <v>No</v>
      </c>
      <c r="H1242">
        <f>VLOOKUP(Table2[[#This Row],[Customer ID]],Table2[#All],7,FALSE)</f>
        <v>0</v>
      </c>
      <c r="I1242" t="str">
        <f>VLOOKUP(Table2[[#This Row],[Customer ID]],Table2[#All],8,FALSE)</f>
        <v>No</v>
      </c>
      <c r="J1242" t="str">
        <f>VLOOKUP(Table2[[#This Row],[Customer ID]],Table2[#All],9,FALSE)</f>
        <v>Obesity</v>
      </c>
      <c r="K1242" t="str">
        <f>VLOOKUP(Table2[[#This Row],[Customer ID]],Table2[#All],10,FALSE)</f>
        <v>Diabetes</v>
      </c>
    </row>
    <row r="1243" spans="1:11" ht="15.6" x14ac:dyDescent="0.3">
      <c r="A1243" s="1" t="s">
        <v>1129</v>
      </c>
      <c r="B1243" t="str">
        <f>VLOOKUP('Customer Names'!A1243,'Customer Names'!$A$1:$E$2336,4,FALSE)</f>
        <v>Mrs.  Yuki</v>
      </c>
      <c r="C1243">
        <f>VLOOKUP(Table2[[#This Row],[Customer ID]],Table2[#All],2,FALSE)</f>
        <v>38.880000000000003</v>
      </c>
      <c r="D1243">
        <f>VLOOKUP(Table2[[#This Row],[Customer ID]],Table2[#All],3,FALSE)</f>
        <v>4.29</v>
      </c>
      <c r="E1243" t="str">
        <f>VLOOKUP(Table2[[#This Row],[Customer ID]],Table2[#All],4,FALSE)</f>
        <v>No</v>
      </c>
      <c r="F1243" t="str">
        <f>VLOOKUP(Table2[[#This Row],[Customer ID]],Table2[#All],5,FALSE)</f>
        <v>No</v>
      </c>
      <c r="G1243" t="str">
        <f>VLOOKUP(Table2[[#This Row],[Customer ID]],Table2[#All],6,FALSE)</f>
        <v>No</v>
      </c>
      <c r="H1243">
        <f>VLOOKUP(Table2[[#This Row],[Customer ID]],Table2[#All],7,FALSE)</f>
        <v>1</v>
      </c>
      <c r="I1243" t="str">
        <f>VLOOKUP(Table2[[#This Row],[Customer ID]],Table2[#All],8,FALSE)</f>
        <v>No</v>
      </c>
      <c r="J1243" t="str">
        <f>VLOOKUP(Table2[[#This Row],[Customer ID]],Table2[#All],9,FALSE)</f>
        <v>Obesity</v>
      </c>
      <c r="K1243" t="str">
        <f>VLOOKUP(Table2[[#This Row],[Customer ID]],Table2[#All],10,FALSE)</f>
        <v>Normal</v>
      </c>
    </row>
    <row r="1244" spans="1:11" ht="15.6" x14ac:dyDescent="0.3">
      <c r="A1244" s="1" t="s">
        <v>1128</v>
      </c>
      <c r="B1244" t="str">
        <f>VLOOKUP('Customer Names'!A1244,'Customer Names'!$A$1:$E$2336,4,FALSE)</f>
        <v>Mr.  Rafer</v>
      </c>
      <c r="C1244">
        <f>VLOOKUP(Table2[[#This Row],[Customer ID]],Table2[#All],2,FALSE)</f>
        <v>43.89</v>
      </c>
      <c r="D1244">
        <f>VLOOKUP(Table2[[#This Row],[Customer ID]],Table2[#All],3,FALSE)</f>
        <v>6.32</v>
      </c>
      <c r="E1244" t="str">
        <f>VLOOKUP(Table2[[#This Row],[Customer ID]],Table2[#All],4,FALSE)</f>
        <v>Yes</v>
      </c>
      <c r="F1244" t="str">
        <f>VLOOKUP(Table2[[#This Row],[Customer ID]],Table2[#All],5,FALSE)</f>
        <v>No</v>
      </c>
      <c r="G1244" t="str">
        <f>VLOOKUP(Table2[[#This Row],[Customer ID]],Table2[#All],6,FALSE)</f>
        <v>No</v>
      </c>
      <c r="H1244">
        <f>VLOOKUP(Table2[[#This Row],[Customer ID]],Table2[#All],7,FALSE)</f>
        <v>0</v>
      </c>
      <c r="I1244" t="str">
        <f>VLOOKUP(Table2[[#This Row],[Customer ID]],Table2[#All],8,FALSE)</f>
        <v>No</v>
      </c>
      <c r="J1244" t="str">
        <f>VLOOKUP(Table2[[#This Row],[Customer ID]],Table2[#All],9,FALSE)</f>
        <v>Obesity</v>
      </c>
      <c r="K1244" t="str">
        <f>VLOOKUP(Table2[[#This Row],[Customer ID]],Table2[#All],10,FALSE)</f>
        <v>Prediabetes</v>
      </c>
    </row>
    <row r="1245" spans="1:11" ht="15.6" x14ac:dyDescent="0.3">
      <c r="A1245" s="1" t="s">
        <v>1127</v>
      </c>
      <c r="B1245" t="str">
        <f>VLOOKUP('Customer Names'!A1245,'Customer Names'!$A$1:$E$2336,4,FALSE)</f>
        <v>Ms.  Claire</v>
      </c>
      <c r="C1245">
        <f>VLOOKUP(Table2[[#This Row],[Customer ID]],Table2[#All],2,FALSE)</f>
        <v>25.6</v>
      </c>
      <c r="D1245">
        <f>VLOOKUP(Table2[[#This Row],[Customer ID]],Table2[#All],3,FALSE)</f>
        <v>5.65</v>
      </c>
      <c r="E1245" t="str">
        <f>VLOOKUP(Table2[[#This Row],[Customer ID]],Table2[#All],4,FALSE)</f>
        <v>No</v>
      </c>
      <c r="F1245" t="str">
        <f>VLOOKUP(Table2[[#This Row],[Customer ID]],Table2[#All],5,FALSE)</f>
        <v>No</v>
      </c>
      <c r="G1245" t="str">
        <f>VLOOKUP(Table2[[#This Row],[Customer ID]],Table2[#All],6,FALSE)</f>
        <v>No</v>
      </c>
      <c r="H1245">
        <f>VLOOKUP(Table2[[#This Row],[Customer ID]],Table2[#All],7,FALSE)</f>
        <v>2</v>
      </c>
      <c r="I1245" t="str">
        <f>VLOOKUP(Table2[[#This Row],[Customer ID]],Table2[#All],8,FALSE)</f>
        <v>No</v>
      </c>
      <c r="J1245" t="str">
        <f>VLOOKUP(Table2[[#This Row],[Customer ID]],Table2[#All],9,FALSE)</f>
        <v>Overweight</v>
      </c>
      <c r="K1245" t="str">
        <f>VLOOKUP(Table2[[#This Row],[Customer ID]],Table2[#All],10,FALSE)</f>
        <v>Normal</v>
      </c>
    </row>
    <row r="1246" spans="1:11" ht="15.6" x14ac:dyDescent="0.3">
      <c r="A1246" s="1" t="s">
        <v>1126</v>
      </c>
      <c r="B1246" t="str">
        <f>VLOOKUP('Customer Names'!A1246,'Customer Names'!$A$1:$E$2336,4,FALSE)</f>
        <v>Ms.  Erynn J.</v>
      </c>
      <c r="C1246">
        <f>VLOOKUP(Table2[[#This Row],[Customer ID]],Table2[#All],2,FALSE)</f>
        <v>29.545000000000002</v>
      </c>
      <c r="D1246">
        <f>VLOOKUP(Table2[[#This Row],[Customer ID]],Table2[#All],3,FALSE)</f>
        <v>8.41</v>
      </c>
      <c r="E1246" t="str">
        <f>VLOOKUP(Table2[[#This Row],[Customer ID]],Table2[#All],4,FALSE)</f>
        <v>Yes</v>
      </c>
      <c r="F1246" t="str">
        <f>VLOOKUP(Table2[[#This Row],[Customer ID]],Table2[#All],5,FALSE)</f>
        <v>No</v>
      </c>
      <c r="G1246" t="str">
        <f>VLOOKUP(Table2[[#This Row],[Customer ID]],Table2[#All],6,FALSE)</f>
        <v>No</v>
      </c>
      <c r="H1246">
        <f>VLOOKUP(Table2[[#This Row],[Customer ID]],Table2[#All],7,FALSE)</f>
        <v>1</v>
      </c>
      <c r="I1246" t="str">
        <f>VLOOKUP(Table2[[#This Row],[Customer ID]],Table2[#All],8,FALSE)</f>
        <v>No</v>
      </c>
      <c r="J1246" t="str">
        <f>VLOOKUP(Table2[[#This Row],[Customer ID]],Table2[#All],9,FALSE)</f>
        <v>Overweight</v>
      </c>
      <c r="K1246" t="str">
        <f>VLOOKUP(Table2[[#This Row],[Customer ID]],Table2[#All],10,FALSE)</f>
        <v>Diabetes</v>
      </c>
    </row>
    <row r="1247" spans="1:11" ht="15.6" x14ac:dyDescent="0.3">
      <c r="A1247" s="1" t="s">
        <v>1125</v>
      </c>
      <c r="B1247" t="str">
        <f>VLOOKUP('Customer Names'!A1247,'Customer Names'!$A$1:$E$2336,4,FALSE)</f>
        <v>Mr.  Mahesh</v>
      </c>
      <c r="C1247">
        <f>VLOOKUP(Table2[[#This Row],[Customer ID]],Table2[#All],2,FALSE)</f>
        <v>23.25</v>
      </c>
      <c r="D1247">
        <f>VLOOKUP(Table2[[#This Row],[Customer ID]],Table2[#All],3,FALSE)</f>
        <v>11.96</v>
      </c>
      <c r="E1247" t="str">
        <f>VLOOKUP(Table2[[#This Row],[Customer ID]],Table2[#All],4,FALSE)</f>
        <v>Yes</v>
      </c>
      <c r="F1247" t="str">
        <f>VLOOKUP(Table2[[#This Row],[Customer ID]],Table2[#All],5,FALSE)</f>
        <v>No</v>
      </c>
      <c r="G1247" t="str">
        <f>VLOOKUP(Table2[[#This Row],[Customer ID]],Table2[#All],6,FALSE)</f>
        <v>No</v>
      </c>
      <c r="H1247">
        <f>VLOOKUP(Table2[[#This Row],[Customer ID]],Table2[#All],7,FALSE)</f>
        <v>0</v>
      </c>
      <c r="I1247" t="str">
        <f>VLOOKUP(Table2[[#This Row],[Customer ID]],Table2[#All],8,FALSE)</f>
        <v>No</v>
      </c>
      <c r="J1247" t="str">
        <f>VLOOKUP(Table2[[#This Row],[Customer ID]],Table2[#All],9,FALSE)</f>
        <v>Normalweight</v>
      </c>
      <c r="K1247" t="str">
        <f>VLOOKUP(Table2[[#This Row],[Customer ID]],Table2[#All],10,FALSE)</f>
        <v>Diabetes</v>
      </c>
    </row>
    <row r="1248" spans="1:11" ht="15.6" x14ac:dyDescent="0.3">
      <c r="A1248" s="1" t="s">
        <v>1124</v>
      </c>
      <c r="B1248" t="str">
        <f>VLOOKUP('Customer Names'!A1248,'Customer Names'!$A$1:$E$2336,4,FALSE)</f>
        <v>Mr.  Stanley</v>
      </c>
      <c r="C1248">
        <f>VLOOKUP(Table2[[#This Row],[Customer ID]],Table2[#All],2,FALSE)</f>
        <v>43.95</v>
      </c>
      <c r="D1248">
        <f>VLOOKUP(Table2[[#This Row],[Customer ID]],Table2[#All],3,FALSE)</f>
        <v>5.17</v>
      </c>
      <c r="E1248" t="str">
        <f>VLOOKUP(Table2[[#This Row],[Customer ID]],Table2[#All],4,FALSE)</f>
        <v>Yes</v>
      </c>
      <c r="F1248" t="str">
        <f>VLOOKUP(Table2[[#This Row],[Customer ID]],Table2[#All],5,FALSE)</f>
        <v>No</v>
      </c>
      <c r="G1248" t="str">
        <f>VLOOKUP(Table2[[#This Row],[Customer ID]],Table2[#All],6,FALSE)</f>
        <v>Yes</v>
      </c>
      <c r="H1248">
        <f>VLOOKUP(Table2[[#This Row],[Customer ID]],Table2[#All],7,FALSE)</f>
        <v>1</v>
      </c>
      <c r="I1248" t="str">
        <f>VLOOKUP(Table2[[#This Row],[Customer ID]],Table2[#All],8,FALSE)</f>
        <v>No</v>
      </c>
      <c r="J1248" t="str">
        <f>VLOOKUP(Table2[[#This Row],[Customer ID]],Table2[#All],9,FALSE)</f>
        <v>Obesity</v>
      </c>
      <c r="K1248" t="str">
        <f>VLOOKUP(Table2[[#This Row],[Customer ID]],Table2[#All],10,FALSE)</f>
        <v>Normal</v>
      </c>
    </row>
    <row r="1249" spans="1:11" ht="15.6" x14ac:dyDescent="0.3">
      <c r="A1249" s="1" t="s">
        <v>1123</v>
      </c>
      <c r="B1249" t="str">
        <f>VLOOKUP('Customer Names'!A1249,'Customer Names'!$A$1:$E$2336,4,FALSE)</f>
        <v>Mr.  Gregory</v>
      </c>
      <c r="C1249">
        <f>VLOOKUP(Table2[[#This Row],[Customer ID]],Table2[#All],2,FALSE)</f>
        <v>21.85</v>
      </c>
      <c r="D1249">
        <f>VLOOKUP(Table2[[#This Row],[Customer ID]],Table2[#All],3,FALSE)</f>
        <v>8.76</v>
      </c>
      <c r="E1249" t="str">
        <f>VLOOKUP(Table2[[#This Row],[Customer ID]],Table2[#All],4,FALSE)</f>
        <v>No</v>
      </c>
      <c r="F1249" t="str">
        <f>VLOOKUP(Table2[[#This Row],[Customer ID]],Table2[#All],5,FALSE)</f>
        <v>No</v>
      </c>
      <c r="G1249" t="str">
        <f>VLOOKUP(Table2[[#This Row],[Customer ID]],Table2[#All],6,FALSE)</f>
        <v>No</v>
      </c>
      <c r="H1249">
        <f>VLOOKUP(Table2[[#This Row],[Customer ID]],Table2[#All],7,FALSE)</f>
        <v>0</v>
      </c>
      <c r="I1249" t="str">
        <f>VLOOKUP(Table2[[#This Row],[Customer ID]],Table2[#All],8,FALSE)</f>
        <v>No</v>
      </c>
      <c r="J1249" t="str">
        <f>VLOOKUP(Table2[[#This Row],[Customer ID]],Table2[#All],9,FALSE)</f>
        <v>Normalweight</v>
      </c>
      <c r="K1249" t="str">
        <f>VLOOKUP(Table2[[#This Row],[Customer ID]],Table2[#All],10,FALSE)</f>
        <v>Diabetes</v>
      </c>
    </row>
    <row r="1250" spans="1:11" ht="15.6" x14ac:dyDescent="0.3">
      <c r="A1250" s="1" t="s">
        <v>1122</v>
      </c>
      <c r="B1250" t="str">
        <f>VLOOKUP('Customer Names'!A1250,'Customer Names'!$A$1:$E$2336,4,FALSE)</f>
        <v>Mr.  Eric</v>
      </c>
      <c r="C1250">
        <f>VLOOKUP(Table2[[#This Row],[Customer ID]],Table2[#All],2,FALSE)</f>
        <v>25.73</v>
      </c>
      <c r="D1250">
        <f>VLOOKUP(Table2[[#This Row],[Customer ID]],Table2[#All],3,FALSE)</f>
        <v>7.99</v>
      </c>
      <c r="E1250" t="str">
        <f>VLOOKUP(Table2[[#This Row],[Customer ID]],Table2[#All],4,FALSE)</f>
        <v>No</v>
      </c>
      <c r="F1250" t="str">
        <f>VLOOKUP(Table2[[#This Row],[Customer ID]],Table2[#All],5,FALSE)</f>
        <v>No</v>
      </c>
      <c r="G1250" t="str">
        <f>VLOOKUP(Table2[[#This Row],[Customer ID]],Table2[#All],6,FALSE)</f>
        <v>No</v>
      </c>
      <c r="H1250">
        <f>VLOOKUP(Table2[[#This Row],[Customer ID]],Table2[#All],7,FALSE)</f>
        <v>2</v>
      </c>
      <c r="I1250" t="str">
        <f>VLOOKUP(Table2[[#This Row],[Customer ID]],Table2[#All],8,FALSE)</f>
        <v>No</v>
      </c>
      <c r="J1250" t="str">
        <f>VLOOKUP(Table2[[#This Row],[Customer ID]],Table2[#All],9,FALSE)</f>
        <v>Overweight</v>
      </c>
      <c r="K1250" t="str">
        <f>VLOOKUP(Table2[[#This Row],[Customer ID]],Table2[#All],10,FALSE)</f>
        <v>Diabetes</v>
      </c>
    </row>
    <row r="1251" spans="1:11" ht="15.6" x14ac:dyDescent="0.3">
      <c r="A1251" s="1" t="s">
        <v>1121</v>
      </c>
      <c r="B1251" t="str">
        <f>VLOOKUP('Customer Names'!A1251,'Customer Names'!$A$1:$E$2336,4,FALSE)</f>
        <v>Ms.  Rachel M</v>
      </c>
      <c r="C1251">
        <f>VLOOKUP(Table2[[#This Row],[Customer ID]],Table2[#All],2,FALSE)</f>
        <v>32.229999999999997</v>
      </c>
      <c r="D1251">
        <f>VLOOKUP(Table2[[#This Row],[Customer ID]],Table2[#All],3,FALSE)</f>
        <v>8.59</v>
      </c>
      <c r="E1251" t="str">
        <f>VLOOKUP(Table2[[#This Row],[Customer ID]],Table2[#All],4,FALSE)</f>
        <v>No</v>
      </c>
      <c r="F1251" t="str">
        <f>VLOOKUP(Table2[[#This Row],[Customer ID]],Table2[#All],5,FALSE)</f>
        <v>No</v>
      </c>
      <c r="G1251" t="str">
        <f>VLOOKUP(Table2[[#This Row],[Customer ID]],Table2[#All],6,FALSE)</f>
        <v>No</v>
      </c>
      <c r="H1251">
        <f>VLOOKUP(Table2[[#This Row],[Customer ID]],Table2[#All],7,FALSE)</f>
        <v>0</v>
      </c>
      <c r="I1251" t="str">
        <f>VLOOKUP(Table2[[#This Row],[Customer ID]],Table2[#All],8,FALSE)</f>
        <v>No</v>
      </c>
      <c r="J1251" t="str">
        <f>VLOOKUP(Table2[[#This Row],[Customer ID]],Table2[#All],9,FALSE)</f>
        <v>Obesity</v>
      </c>
      <c r="K1251" t="str">
        <f>VLOOKUP(Table2[[#This Row],[Customer ID]],Table2[#All],10,FALSE)</f>
        <v>Diabetes</v>
      </c>
    </row>
    <row r="1252" spans="1:11" ht="15.6" x14ac:dyDescent="0.3">
      <c r="A1252" s="1" t="s">
        <v>1120</v>
      </c>
      <c r="B1252" t="str">
        <f>VLOOKUP('Customer Names'!A1252,'Customer Names'!$A$1:$E$2336,4,FALSE)</f>
        <v>Mr.  Fritz</v>
      </c>
      <c r="C1252">
        <f>VLOOKUP(Table2[[#This Row],[Customer ID]],Table2[#All],2,FALSE)</f>
        <v>32.204999999999998</v>
      </c>
      <c r="D1252">
        <f>VLOOKUP(Table2[[#This Row],[Customer ID]],Table2[#All],3,FALSE)</f>
        <v>6.14</v>
      </c>
      <c r="E1252" t="str">
        <f>VLOOKUP(Table2[[#This Row],[Customer ID]],Table2[#All],4,FALSE)</f>
        <v>No</v>
      </c>
      <c r="F1252" t="str">
        <f>VLOOKUP(Table2[[#This Row],[Customer ID]],Table2[#All],5,FALSE)</f>
        <v>No</v>
      </c>
      <c r="G1252" t="str">
        <f>VLOOKUP(Table2[[#This Row],[Customer ID]],Table2[#All],6,FALSE)</f>
        <v>No</v>
      </c>
      <c r="H1252">
        <f>VLOOKUP(Table2[[#This Row],[Customer ID]],Table2[#All],7,FALSE)</f>
        <v>2</v>
      </c>
      <c r="I1252" t="str">
        <f>VLOOKUP(Table2[[#This Row],[Customer ID]],Table2[#All],8,FALSE)</f>
        <v>No</v>
      </c>
      <c r="J1252" t="str">
        <f>VLOOKUP(Table2[[#This Row],[Customer ID]],Table2[#All],9,FALSE)</f>
        <v>Obesity</v>
      </c>
      <c r="K1252" t="str">
        <f>VLOOKUP(Table2[[#This Row],[Customer ID]],Table2[#All],10,FALSE)</f>
        <v>Prediabetes</v>
      </c>
    </row>
    <row r="1253" spans="1:11" ht="15.6" x14ac:dyDescent="0.3">
      <c r="A1253" s="1" t="s">
        <v>1119</v>
      </c>
      <c r="B1253" t="str">
        <f>VLOOKUP('Customer Names'!A1253,'Customer Names'!$A$1:$E$2336,4,FALSE)</f>
        <v>Mr.  Brad</v>
      </c>
      <c r="C1253">
        <f>VLOOKUP(Table2[[#This Row],[Customer ID]],Table2[#All],2,FALSE)</f>
        <v>26.41</v>
      </c>
      <c r="D1253">
        <f>VLOOKUP(Table2[[#This Row],[Customer ID]],Table2[#All],3,FALSE)</f>
        <v>4.08</v>
      </c>
      <c r="E1253" t="str">
        <f>VLOOKUP(Table2[[#This Row],[Customer ID]],Table2[#All],4,FALSE)</f>
        <v>No</v>
      </c>
      <c r="F1253" t="str">
        <f>VLOOKUP(Table2[[#This Row],[Customer ID]],Table2[#All],5,FALSE)</f>
        <v>No</v>
      </c>
      <c r="G1253" t="str">
        <f>VLOOKUP(Table2[[#This Row],[Customer ID]],Table2[#All],6,FALSE)</f>
        <v>No</v>
      </c>
      <c r="H1253">
        <f>VLOOKUP(Table2[[#This Row],[Customer ID]],Table2[#All],7,FALSE)</f>
        <v>2</v>
      </c>
      <c r="I1253" t="str">
        <f>VLOOKUP(Table2[[#This Row],[Customer ID]],Table2[#All],8,FALSE)</f>
        <v>No</v>
      </c>
      <c r="J1253" t="str">
        <f>VLOOKUP(Table2[[#This Row],[Customer ID]],Table2[#All],9,FALSE)</f>
        <v>Overweight</v>
      </c>
      <c r="K1253" t="str">
        <f>VLOOKUP(Table2[[#This Row],[Customer ID]],Table2[#All],10,FALSE)</f>
        <v>Normal</v>
      </c>
    </row>
    <row r="1254" spans="1:11" ht="15.6" x14ac:dyDescent="0.3">
      <c r="A1254" s="1" t="s">
        <v>1118</v>
      </c>
      <c r="B1254" t="str">
        <f>VLOOKUP('Customer Names'!A1254,'Customer Names'!$A$1:$E$2336,4,FALSE)</f>
        <v>Ms.  Claire M</v>
      </c>
      <c r="C1254">
        <f>VLOOKUP(Table2[[#This Row],[Customer ID]],Table2[#All],2,FALSE)</f>
        <v>30.2</v>
      </c>
      <c r="D1254">
        <f>VLOOKUP(Table2[[#This Row],[Customer ID]],Table2[#All],3,FALSE)</f>
        <v>6.25</v>
      </c>
      <c r="E1254" t="str">
        <f>VLOOKUP(Table2[[#This Row],[Customer ID]],Table2[#All],4,FALSE)</f>
        <v>Yes</v>
      </c>
      <c r="F1254" t="str">
        <f>VLOOKUP(Table2[[#This Row],[Customer ID]],Table2[#All],5,FALSE)</f>
        <v>No</v>
      </c>
      <c r="G1254" t="str">
        <f>VLOOKUP(Table2[[#This Row],[Customer ID]],Table2[#All],6,FALSE)</f>
        <v>No</v>
      </c>
      <c r="H1254">
        <f>VLOOKUP(Table2[[#This Row],[Customer ID]],Table2[#All],7,FALSE)</f>
        <v>0</v>
      </c>
      <c r="I1254" t="str">
        <f>VLOOKUP(Table2[[#This Row],[Customer ID]],Table2[#All],8,FALSE)</f>
        <v>No</v>
      </c>
      <c r="J1254" t="str">
        <f>VLOOKUP(Table2[[#This Row],[Customer ID]],Table2[#All],9,FALSE)</f>
        <v>Obesity</v>
      </c>
      <c r="K1254" t="str">
        <f>VLOOKUP(Table2[[#This Row],[Customer ID]],Table2[#All],10,FALSE)</f>
        <v>Prediabetes</v>
      </c>
    </row>
    <row r="1255" spans="1:11" ht="15.6" x14ac:dyDescent="0.3">
      <c r="A1255" s="1" t="s">
        <v>1117</v>
      </c>
      <c r="B1255" t="str">
        <f>VLOOKUP('Customer Names'!A1255,'Customer Names'!$A$1:$E$2336,4,FALSE)</f>
        <v>Mrs.  Jennifer</v>
      </c>
      <c r="C1255">
        <f>VLOOKUP(Table2[[#This Row],[Customer ID]],Table2[#All],2,FALSE)</f>
        <v>31.26</v>
      </c>
      <c r="D1255">
        <f>VLOOKUP(Table2[[#This Row],[Customer ID]],Table2[#All],3,FALSE)</f>
        <v>5.94</v>
      </c>
      <c r="E1255" t="str">
        <f>VLOOKUP(Table2[[#This Row],[Customer ID]],Table2[#All],4,FALSE)</f>
        <v>Yes</v>
      </c>
      <c r="F1255" t="str">
        <f>VLOOKUP(Table2[[#This Row],[Customer ID]],Table2[#All],5,FALSE)</f>
        <v>No</v>
      </c>
      <c r="G1255" t="str">
        <f>VLOOKUP(Table2[[#This Row],[Customer ID]],Table2[#All],6,FALSE)</f>
        <v>No</v>
      </c>
      <c r="H1255">
        <f>VLOOKUP(Table2[[#This Row],[Customer ID]],Table2[#All],7,FALSE)</f>
        <v>1</v>
      </c>
      <c r="I1255" t="str">
        <f>VLOOKUP(Table2[[#This Row],[Customer ID]],Table2[#All],8,FALSE)</f>
        <v>No</v>
      </c>
      <c r="J1255" t="str">
        <f>VLOOKUP(Table2[[#This Row],[Customer ID]],Table2[#All],9,FALSE)</f>
        <v>Obesity</v>
      </c>
      <c r="K1255" t="str">
        <f>VLOOKUP(Table2[[#This Row],[Customer ID]],Table2[#All],10,FALSE)</f>
        <v>Prediabetes</v>
      </c>
    </row>
    <row r="1256" spans="1:11" ht="15.6" x14ac:dyDescent="0.3">
      <c r="A1256" s="1" t="s">
        <v>1116</v>
      </c>
      <c r="B1256" t="str">
        <f>VLOOKUP('Customer Names'!A1256,'Customer Names'!$A$1:$E$2336,4,FALSE)</f>
        <v>Ms.  Maria S.</v>
      </c>
      <c r="C1256">
        <f>VLOOKUP(Table2[[#This Row],[Customer ID]],Table2[#All],2,FALSE)</f>
        <v>33.725000000000001</v>
      </c>
      <c r="D1256">
        <f>VLOOKUP(Table2[[#This Row],[Customer ID]],Table2[#All],3,FALSE)</f>
        <v>6.45</v>
      </c>
      <c r="E1256" t="str">
        <f>VLOOKUP(Table2[[#This Row],[Customer ID]],Table2[#All],4,FALSE)</f>
        <v>Yes</v>
      </c>
      <c r="F1256" t="str">
        <f>VLOOKUP(Table2[[#This Row],[Customer ID]],Table2[#All],5,FALSE)</f>
        <v>No</v>
      </c>
      <c r="G1256" t="str">
        <f>VLOOKUP(Table2[[#This Row],[Customer ID]],Table2[#All],6,FALSE)</f>
        <v>No</v>
      </c>
      <c r="H1256">
        <f>VLOOKUP(Table2[[#This Row],[Customer ID]],Table2[#All],7,FALSE)</f>
        <v>0</v>
      </c>
      <c r="I1256" t="str">
        <f>VLOOKUP(Table2[[#This Row],[Customer ID]],Table2[#All],8,FALSE)</f>
        <v>No</v>
      </c>
      <c r="J1256" t="str">
        <f>VLOOKUP(Table2[[#This Row],[Customer ID]],Table2[#All],9,FALSE)</f>
        <v>Obesity</v>
      </c>
      <c r="K1256" t="str">
        <f>VLOOKUP(Table2[[#This Row],[Customer ID]],Table2[#All],10,FALSE)</f>
        <v>Prediabetes</v>
      </c>
    </row>
    <row r="1257" spans="1:11" ht="15.6" x14ac:dyDescent="0.3">
      <c r="A1257" s="1" t="s">
        <v>1115</v>
      </c>
      <c r="B1257" t="str">
        <f>VLOOKUP('Customer Names'!A1257,'Customer Names'!$A$1:$E$2336,4,FALSE)</f>
        <v>Ms.  Katherine E</v>
      </c>
      <c r="C1257">
        <f>VLOOKUP(Table2[[#This Row],[Customer ID]],Table2[#All],2,FALSE)</f>
        <v>28.9</v>
      </c>
      <c r="D1257">
        <f>VLOOKUP(Table2[[#This Row],[Customer ID]],Table2[#All],3,FALSE)</f>
        <v>5.74</v>
      </c>
      <c r="E1257" t="str">
        <f>VLOOKUP(Table2[[#This Row],[Customer ID]],Table2[#All],4,FALSE)</f>
        <v>Yes</v>
      </c>
      <c r="F1257" t="str">
        <f>VLOOKUP(Table2[[#This Row],[Customer ID]],Table2[#All],5,FALSE)</f>
        <v>No</v>
      </c>
      <c r="G1257" t="str">
        <f>VLOOKUP(Table2[[#This Row],[Customer ID]],Table2[#All],6,FALSE)</f>
        <v>No</v>
      </c>
      <c r="H1257">
        <f>VLOOKUP(Table2[[#This Row],[Customer ID]],Table2[#All],7,FALSE)</f>
        <v>0</v>
      </c>
      <c r="I1257" t="str">
        <f>VLOOKUP(Table2[[#This Row],[Customer ID]],Table2[#All],8,FALSE)</f>
        <v>No</v>
      </c>
      <c r="J1257" t="str">
        <f>VLOOKUP(Table2[[#This Row],[Customer ID]],Table2[#All],9,FALSE)</f>
        <v>Overweight</v>
      </c>
      <c r="K1257" t="str">
        <f>VLOOKUP(Table2[[#This Row],[Customer ID]],Table2[#All],10,FALSE)</f>
        <v>Prediabetes</v>
      </c>
    </row>
    <row r="1258" spans="1:11" ht="15.6" x14ac:dyDescent="0.3">
      <c r="A1258" s="1" t="s">
        <v>1114</v>
      </c>
      <c r="B1258" t="str">
        <f>VLOOKUP('Customer Names'!A1258,'Customer Names'!$A$1:$E$2336,4,FALSE)</f>
        <v>Mr.  Michael</v>
      </c>
      <c r="C1258">
        <f>VLOOKUP(Table2[[#This Row],[Customer ID]],Table2[#All],2,FALSE)</f>
        <v>45.69</v>
      </c>
      <c r="D1258">
        <f>VLOOKUP(Table2[[#This Row],[Customer ID]],Table2[#All],3,FALSE)</f>
        <v>4.43</v>
      </c>
      <c r="E1258" t="str">
        <f>VLOOKUP(Table2[[#This Row],[Customer ID]],Table2[#All],4,FALSE)</f>
        <v>Yes</v>
      </c>
      <c r="F1258" t="str">
        <f>VLOOKUP(Table2[[#This Row],[Customer ID]],Table2[#All],5,FALSE)</f>
        <v>No</v>
      </c>
      <c r="G1258" t="str">
        <f>VLOOKUP(Table2[[#This Row],[Customer ID]],Table2[#All],6,FALSE)</f>
        <v>No</v>
      </c>
      <c r="H1258">
        <f>VLOOKUP(Table2[[#This Row],[Customer ID]],Table2[#All],7,FALSE)</f>
        <v>0</v>
      </c>
      <c r="I1258" t="str">
        <f>VLOOKUP(Table2[[#This Row],[Customer ID]],Table2[#All],8,FALSE)</f>
        <v>No</v>
      </c>
      <c r="J1258" t="str">
        <f>VLOOKUP(Table2[[#This Row],[Customer ID]],Table2[#All],9,FALSE)</f>
        <v>Obesity</v>
      </c>
      <c r="K1258" t="str">
        <f>VLOOKUP(Table2[[#This Row],[Customer ID]],Table2[#All],10,FALSE)</f>
        <v>Normal</v>
      </c>
    </row>
    <row r="1259" spans="1:11" ht="15.6" x14ac:dyDescent="0.3">
      <c r="A1259" s="1" t="s">
        <v>1113</v>
      </c>
      <c r="B1259" t="str">
        <f>VLOOKUP('Customer Names'!A1259,'Customer Names'!$A$1:$E$2336,4,FALSE)</f>
        <v>Ms.  Roxanne</v>
      </c>
      <c r="C1259">
        <f>VLOOKUP(Table2[[#This Row],[Customer ID]],Table2[#All],2,FALSE)</f>
        <v>21.03</v>
      </c>
      <c r="D1259">
        <f>VLOOKUP(Table2[[#This Row],[Customer ID]],Table2[#All],3,FALSE)</f>
        <v>6.5</v>
      </c>
      <c r="E1259" t="str">
        <f>VLOOKUP(Table2[[#This Row],[Customer ID]],Table2[#All],4,FALSE)</f>
        <v>No</v>
      </c>
      <c r="F1259" t="str">
        <f>VLOOKUP(Table2[[#This Row],[Customer ID]],Table2[#All],5,FALSE)</f>
        <v>No</v>
      </c>
      <c r="G1259" t="str">
        <f>VLOOKUP(Table2[[#This Row],[Customer ID]],Table2[#All],6,FALSE)</f>
        <v>No</v>
      </c>
      <c r="H1259">
        <f>VLOOKUP(Table2[[#This Row],[Customer ID]],Table2[#All],7,FALSE)</f>
        <v>0</v>
      </c>
      <c r="I1259" t="str">
        <f>VLOOKUP(Table2[[#This Row],[Customer ID]],Table2[#All],8,FALSE)</f>
        <v>No</v>
      </c>
      <c r="J1259" t="str">
        <f>VLOOKUP(Table2[[#This Row],[Customer ID]],Table2[#All],9,FALSE)</f>
        <v>Normalweight</v>
      </c>
      <c r="K1259" t="str">
        <f>VLOOKUP(Table2[[#This Row],[Customer ID]],Table2[#All],10,FALSE)</f>
        <v>Diabetes</v>
      </c>
    </row>
    <row r="1260" spans="1:11" ht="15.6" x14ac:dyDescent="0.3">
      <c r="A1260" s="1" t="s">
        <v>1112</v>
      </c>
      <c r="B1260" t="str">
        <f>VLOOKUP('Customer Names'!A1260,'Customer Names'!$A$1:$E$2336,4,FALSE)</f>
        <v>Mr.  Israel</v>
      </c>
      <c r="C1260">
        <f>VLOOKUP(Table2[[#This Row],[Customer ID]],Table2[#All],2,FALSE)</f>
        <v>37</v>
      </c>
      <c r="D1260">
        <f>VLOOKUP(Table2[[#This Row],[Customer ID]],Table2[#All],3,FALSE)</f>
        <v>8.75</v>
      </c>
      <c r="E1260" t="str">
        <f>VLOOKUP(Table2[[#This Row],[Customer ID]],Table2[#All],4,FALSE)</f>
        <v>No</v>
      </c>
      <c r="F1260" t="str">
        <f>VLOOKUP(Table2[[#This Row],[Customer ID]],Table2[#All],5,FALSE)</f>
        <v>No</v>
      </c>
      <c r="G1260" t="str">
        <f>VLOOKUP(Table2[[#This Row],[Customer ID]],Table2[#All],6,FALSE)</f>
        <v>No</v>
      </c>
      <c r="H1260">
        <f>VLOOKUP(Table2[[#This Row],[Customer ID]],Table2[#All],7,FALSE)</f>
        <v>0</v>
      </c>
      <c r="I1260" t="str">
        <f>VLOOKUP(Table2[[#This Row],[Customer ID]],Table2[#All],8,FALSE)</f>
        <v>No</v>
      </c>
      <c r="J1260" t="str">
        <f>VLOOKUP(Table2[[#This Row],[Customer ID]],Table2[#All],9,FALSE)</f>
        <v>Obesity</v>
      </c>
      <c r="K1260" t="str">
        <f>VLOOKUP(Table2[[#This Row],[Customer ID]],Table2[#All],10,FALSE)</f>
        <v>Diabetes</v>
      </c>
    </row>
    <row r="1261" spans="1:11" ht="15.6" x14ac:dyDescent="0.3">
      <c r="A1261" s="1" t="s">
        <v>1111</v>
      </c>
      <c r="B1261" t="str">
        <f>VLOOKUP('Customer Names'!A1261,'Customer Names'!$A$1:$E$2336,4,FALSE)</f>
        <v>Mr.  Samalya</v>
      </c>
      <c r="C1261">
        <f>VLOOKUP(Table2[[#This Row],[Customer ID]],Table2[#All],2,FALSE)</f>
        <v>25.4</v>
      </c>
      <c r="D1261">
        <f>VLOOKUP(Table2[[#This Row],[Customer ID]],Table2[#All],3,FALSE)</f>
        <v>11.96</v>
      </c>
      <c r="E1261" t="str">
        <f>VLOOKUP(Table2[[#This Row],[Customer ID]],Table2[#All],4,FALSE)</f>
        <v>No</v>
      </c>
      <c r="F1261" t="str">
        <f>VLOOKUP(Table2[[#This Row],[Customer ID]],Table2[#All],5,FALSE)</f>
        <v>No</v>
      </c>
      <c r="G1261" t="str">
        <f>VLOOKUP(Table2[[#This Row],[Customer ID]],Table2[#All],6,FALSE)</f>
        <v>No</v>
      </c>
      <c r="H1261">
        <f>VLOOKUP(Table2[[#This Row],[Customer ID]],Table2[#All],7,FALSE)</f>
        <v>0</v>
      </c>
      <c r="I1261" t="str">
        <f>VLOOKUP(Table2[[#This Row],[Customer ID]],Table2[#All],8,FALSE)</f>
        <v>No</v>
      </c>
      <c r="J1261" t="str">
        <f>VLOOKUP(Table2[[#This Row],[Customer ID]],Table2[#All],9,FALSE)</f>
        <v>Overweight</v>
      </c>
      <c r="K1261" t="str">
        <f>VLOOKUP(Table2[[#This Row],[Customer ID]],Table2[#All],10,FALSE)</f>
        <v>Diabetes</v>
      </c>
    </row>
    <row r="1262" spans="1:11" ht="15.6" x14ac:dyDescent="0.3">
      <c r="A1262" s="1" t="s">
        <v>1110</v>
      </c>
      <c r="B1262" t="str">
        <f>VLOOKUP('Customer Names'!A1262,'Customer Names'!$A$1:$E$2336,4,FALSE)</f>
        <v>Mr.  Peter</v>
      </c>
      <c r="C1262">
        <f>VLOOKUP(Table2[[#This Row],[Customer ID]],Table2[#All],2,FALSE)</f>
        <v>32.299999999999997</v>
      </c>
      <c r="D1262">
        <f>VLOOKUP(Table2[[#This Row],[Customer ID]],Table2[#All],3,FALSE)</f>
        <v>10.54</v>
      </c>
      <c r="E1262" t="str">
        <f>VLOOKUP(Table2[[#This Row],[Customer ID]],Table2[#All],4,FALSE)</f>
        <v>No</v>
      </c>
      <c r="F1262" t="str">
        <f>VLOOKUP(Table2[[#This Row],[Customer ID]],Table2[#All],5,FALSE)</f>
        <v>No</v>
      </c>
      <c r="G1262" t="str">
        <f>VLOOKUP(Table2[[#This Row],[Customer ID]],Table2[#All],6,FALSE)</f>
        <v>No</v>
      </c>
      <c r="H1262">
        <f>VLOOKUP(Table2[[#This Row],[Customer ID]],Table2[#All],7,FALSE)</f>
        <v>0</v>
      </c>
      <c r="I1262" t="str">
        <f>VLOOKUP(Table2[[#This Row],[Customer ID]],Table2[#All],8,FALSE)</f>
        <v>No</v>
      </c>
      <c r="J1262" t="str">
        <f>VLOOKUP(Table2[[#This Row],[Customer ID]],Table2[#All],9,FALSE)</f>
        <v>Obesity</v>
      </c>
      <c r="K1262" t="str">
        <f>VLOOKUP(Table2[[#This Row],[Customer ID]],Table2[#All],10,FALSE)</f>
        <v>Diabetes</v>
      </c>
    </row>
    <row r="1263" spans="1:11" ht="15.6" x14ac:dyDescent="0.3">
      <c r="A1263" s="1" t="s">
        <v>1109</v>
      </c>
      <c r="B1263" t="str">
        <f>VLOOKUP('Customer Names'!A1263,'Customer Names'!$A$1:$E$2336,4,FALSE)</f>
        <v>Ms.  Alicia</v>
      </c>
      <c r="C1263">
        <f>VLOOKUP(Table2[[#This Row],[Customer ID]],Table2[#All],2,FALSE)</f>
        <v>23.94</v>
      </c>
      <c r="D1263">
        <f>VLOOKUP(Table2[[#This Row],[Customer ID]],Table2[#All],3,FALSE)</f>
        <v>4.54</v>
      </c>
      <c r="E1263" t="str">
        <f>VLOOKUP(Table2[[#This Row],[Customer ID]],Table2[#All],4,FALSE)</f>
        <v>Yes</v>
      </c>
      <c r="F1263" t="str">
        <f>VLOOKUP(Table2[[#This Row],[Customer ID]],Table2[#All],5,FALSE)</f>
        <v>No</v>
      </c>
      <c r="G1263" t="str">
        <f>VLOOKUP(Table2[[#This Row],[Customer ID]],Table2[#All],6,FALSE)</f>
        <v>Yes</v>
      </c>
      <c r="H1263">
        <f>VLOOKUP(Table2[[#This Row],[Customer ID]],Table2[#All],7,FALSE)</f>
        <v>1</v>
      </c>
      <c r="I1263" t="str">
        <f>VLOOKUP(Table2[[#This Row],[Customer ID]],Table2[#All],8,FALSE)</f>
        <v>No</v>
      </c>
      <c r="J1263" t="str">
        <f>VLOOKUP(Table2[[#This Row],[Customer ID]],Table2[#All],9,FALSE)</f>
        <v>Normalweight</v>
      </c>
      <c r="K1263" t="str">
        <f>VLOOKUP(Table2[[#This Row],[Customer ID]],Table2[#All],10,FALSE)</f>
        <v>Normal</v>
      </c>
    </row>
    <row r="1264" spans="1:11" ht="15.6" x14ac:dyDescent="0.3">
      <c r="A1264" s="1" t="s">
        <v>1108</v>
      </c>
      <c r="B1264" t="str">
        <f>VLOOKUP('Customer Names'!A1264,'Customer Names'!$A$1:$E$2336,4,FALSE)</f>
        <v>Ms.  Sarah K.</v>
      </c>
      <c r="C1264">
        <f>VLOOKUP(Table2[[#This Row],[Customer ID]],Table2[#All],2,FALSE)</f>
        <v>46.4</v>
      </c>
      <c r="D1264">
        <f>VLOOKUP(Table2[[#This Row],[Customer ID]],Table2[#All],3,FALSE)</f>
        <v>5.71</v>
      </c>
      <c r="E1264" t="str">
        <f>VLOOKUP(Table2[[#This Row],[Customer ID]],Table2[#All],4,FALSE)</f>
        <v>No</v>
      </c>
      <c r="F1264" t="str">
        <f>VLOOKUP(Table2[[#This Row],[Customer ID]],Table2[#All],5,FALSE)</f>
        <v>No</v>
      </c>
      <c r="G1264" t="str">
        <f>VLOOKUP(Table2[[#This Row],[Customer ID]],Table2[#All],6,FALSE)</f>
        <v>No</v>
      </c>
      <c r="H1264">
        <f>VLOOKUP(Table2[[#This Row],[Customer ID]],Table2[#All],7,FALSE)</f>
        <v>0</v>
      </c>
      <c r="I1264" t="str">
        <f>VLOOKUP(Table2[[#This Row],[Customer ID]],Table2[#All],8,FALSE)</f>
        <v>No</v>
      </c>
      <c r="J1264" t="str">
        <f>VLOOKUP(Table2[[#This Row],[Customer ID]],Table2[#All],9,FALSE)</f>
        <v>Obesity</v>
      </c>
      <c r="K1264" t="str">
        <f>VLOOKUP(Table2[[#This Row],[Customer ID]],Table2[#All],10,FALSE)</f>
        <v>Prediabetes</v>
      </c>
    </row>
    <row r="1265" spans="1:11" ht="15.6" x14ac:dyDescent="0.3">
      <c r="A1265" s="1" t="s">
        <v>1107</v>
      </c>
      <c r="B1265" t="str">
        <f>VLOOKUP('Customer Names'!A1265,'Customer Names'!$A$1:$E$2336,4,FALSE)</f>
        <v>Mr.  Guomin</v>
      </c>
      <c r="C1265">
        <f>VLOOKUP(Table2[[#This Row],[Customer ID]],Table2[#All],2,FALSE)</f>
        <v>40.375</v>
      </c>
      <c r="D1265">
        <f>VLOOKUP(Table2[[#This Row],[Customer ID]],Table2[#All],3,FALSE)</f>
        <v>6.25</v>
      </c>
      <c r="E1265" t="str">
        <f>VLOOKUP(Table2[[#This Row],[Customer ID]],Table2[#All],4,FALSE)</f>
        <v>Yes</v>
      </c>
      <c r="F1265" t="str">
        <f>VLOOKUP(Table2[[#This Row],[Customer ID]],Table2[#All],5,FALSE)</f>
        <v>No</v>
      </c>
      <c r="G1265" t="str">
        <f>VLOOKUP(Table2[[#This Row],[Customer ID]],Table2[#All],6,FALSE)</f>
        <v>No</v>
      </c>
      <c r="H1265">
        <f>VLOOKUP(Table2[[#This Row],[Customer ID]],Table2[#All],7,FALSE)</f>
        <v>0</v>
      </c>
      <c r="I1265" t="str">
        <f>VLOOKUP(Table2[[#This Row],[Customer ID]],Table2[#All],8,FALSE)</f>
        <v>No</v>
      </c>
      <c r="J1265" t="str">
        <f>VLOOKUP(Table2[[#This Row],[Customer ID]],Table2[#All],9,FALSE)</f>
        <v>Obesity</v>
      </c>
      <c r="K1265" t="str">
        <f>VLOOKUP(Table2[[#This Row],[Customer ID]],Table2[#All],10,FALSE)</f>
        <v>Prediabetes</v>
      </c>
    </row>
    <row r="1266" spans="1:11" ht="15.6" x14ac:dyDescent="0.3">
      <c r="A1266" s="1" t="s">
        <v>1106</v>
      </c>
      <c r="B1266" t="str">
        <f>VLOOKUP('Customer Names'!A1266,'Customer Names'!$A$1:$E$2336,4,FALSE)</f>
        <v>Mr.  Javier</v>
      </c>
      <c r="C1266">
        <f>VLOOKUP(Table2[[#This Row],[Customer ID]],Table2[#All],2,FALSE)</f>
        <v>28.7</v>
      </c>
      <c r="D1266">
        <f>VLOOKUP(Table2[[#This Row],[Customer ID]],Table2[#All],3,FALSE)</f>
        <v>9.4700000000000006</v>
      </c>
      <c r="E1266" t="str">
        <f>VLOOKUP(Table2[[#This Row],[Customer ID]],Table2[#All],4,FALSE)</f>
        <v>No</v>
      </c>
      <c r="F1266" t="str">
        <f>VLOOKUP(Table2[[#This Row],[Customer ID]],Table2[#All],5,FALSE)</f>
        <v>No</v>
      </c>
      <c r="G1266" t="str">
        <f>VLOOKUP(Table2[[#This Row],[Customer ID]],Table2[#All],6,FALSE)</f>
        <v>No</v>
      </c>
      <c r="H1266">
        <f>VLOOKUP(Table2[[#This Row],[Customer ID]],Table2[#All],7,FALSE)</f>
        <v>2</v>
      </c>
      <c r="I1266" t="str">
        <f>VLOOKUP(Table2[[#This Row],[Customer ID]],Table2[#All],8,FALSE)</f>
        <v>No</v>
      </c>
      <c r="J1266" t="str">
        <f>VLOOKUP(Table2[[#This Row],[Customer ID]],Table2[#All],9,FALSE)</f>
        <v>Overweight</v>
      </c>
      <c r="K1266" t="str">
        <f>VLOOKUP(Table2[[#This Row],[Customer ID]],Table2[#All],10,FALSE)</f>
        <v>Diabetes</v>
      </c>
    </row>
    <row r="1267" spans="1:11" ht="15.6" x14ac:dyDescent="0.3">
      <c r="A1267" s="1" t="s">
        <v>1105</v>
      </c>
      <c r="B1267" t="str">
        <f>VLOOKUP('Customer Names'!A1267,'Customer Names'!$A$1:$E$2336,4,FALSE)</f>
        <v>Mr.  Matt</v>
      </c>
      <c r="C1267">
        <f>VLOOKUP(Table2[[#This Row],[Customer ID]],Table2[#All],2,FALSE)</f>
        <v>26.63</v>
      </c>
      <c r="D1267">
        <f>VLOOKUP(Table2[[#This Row],[Customer ID]],Table2[#All],3,FALSE)</f>
        <v>5.7</v>
      </c>
      <c r="E1267" t="str">
        <f>VLOOKUP(Table2[[#This Row],[Customer ID]],Table2[#All],4,FALSE)</f>
        <v>No</v>
      </c>
      <c r="F1267" t="str">
        <f>VLOOKUP(Table2[[#This Row],[Customer ID]],Table2[#All],5,FALSE)</f>
        <v>No</v>
      </c>
      <c r="G1267" t="str">
        <f>VLOOKUP(Table2[[#This Row],[Customer ID]],Table2[#All],6,FALSE)</f>
        <v>No</v>
      </c>
      <c r="H1267">
        <f>VLOOKUP(Table2[[#This Row],[Customer ID]],Table2[#All],7,FALSE)</f>
        <v>0</v>
      </c>
      <c r="I1267" t="str">
        <f>VLOOKUP(Table2[[#This Row],[Customer ID]],Table2[#All],8,FALSE)</f>
        <v>No</v>
      </c>
      <c r="J1267" t="str">
        <f>VLOOKUP(Table2[[#This Row],[Customer ID]],Table2[#All],9,FALSE)</f>
        <v>Overweight</v>
      </c>
      <c r="K1267" t="str">
        <f>VLOOKUP(Table2[[#This Row],[Customer ID]],Table2[#All],10,FALSE)</f>
        <v>Prediabetes</v>
      </c>
    </row>
    <row r="1268" spans="1:11" ht="15.6" x14ac:dyDescent="0.3">
      <c r="A1268" s="1" t="s">
        <v>1104</v>
      </c>
      <c r="B1268" t="str">
        <f>VLOOKUP('Customer Names'!A1268,'Customer Names'!$A$1:$E$2336,4,FALSE)</f>
        <v>Mr.  Thomas S</v>
      </c>
      <c r="C1268">
        <f>VLOOKUP(Table2[[#This Row],[Customer ID]],Table2[#All],2,FALSE)</f>
        <v>22.515000000000001</v>
      </c>
      <c r="D1268">
        <f>VLOOKUP(Table2[[#This Row],[Customer ID]],Table2[#All],3,FALSE)</f>
        <v>11.18</v>
      </c>
      <c r="E1268" t="str">
        <f>VLOOKUP(Table2[[#This Row],[Customer ID]],Table2[#All],4,FALSE)</f>
        <v>No</v>
      </c>
      <c r="F1268" t="str">
        <f>VLOOKUP(Table2[[#This Row],[Customer ID]],Table2[#All],5,FALSE)</f>
        <v>No</v>
      </c>
      <c r="G1268" t="str">
        <f>VLOOKUP(Table2[[#This Row],[Customer ID]],Table2[#All],6,FALSE)</f>
        <v>No</v>
      </c>
      <c r="H1268">
        <f>VLOOKUP(Table2[[#This Row],[Customer ID]],Table2[#All],7,FALSE)</f>
        <v>2</v>
      </c>
      <c r="I1268" t="str">
        <f>VLOOKUP(Table2[[#This Row],[Customer ID]],Table2[#All],8,FALSE)</f>
        <v>No</v>
      </c>
      <c r="J1268" t="str">
        <f>VLOOKUP(Table2[[#This Row],[Customer ID]],Table2[#All],9,FALSE)</f>
        <v>Normalweight</v>
      </c>
      <c r="K1268" t="str">
        <f>VLOOKUP(Table2[[#This Row],[Customer ID]],Table2[#All],10,FALSE)</f>
        <v>Diabetes</v>
      </c>
    </row>
    <row r="1269" spans="1:11" ht="15.6" x14ac:dyDescent="0.3">
      <c r="A1269" s="1" t="s">
        <v>1103</v>
      </c>
      <c r="B1269" t="str">
        <f>VLOOKUP('Customer Names'!A1269,'Customer Names'!$A$1:$E$2336,4,FALSE)</f>
        <v>Ms.  Martha Patricia</v>
      </c>
      <c r="C1269">
        <f>VLOOKUP(Table2[[#This Row],[Customer ID]],Table2[#All],2,FALSE)</f>
        <v>36.575000000000003</v>
      </c>
      <c r="D1269">
        <f>VLOOKUP(Table2[[#This Row],[Customer ID]],Table2[#All],3,FALSE)</f>
        <v>10.98</v>
      </c>
      <c r="E1269" t="str">
        <f>VLOOKUP(Table2[[#This Row],[Customer ID]],Table2[#All],4,FALSE)</f>
        <v>No</v>
      </c>
      <c r="F1269" t="str">
        <f>VLOOKUP(Table2[[#This Row],[Customer ID]],Table2[#All],5,FALSE)</f>
        <v>No</v>
      </c>
      <c r="G1269" t="str">
        <f>VLOOKUP(Table2[[#This Row],[Customer ID]],Table2[#All],6,FALSE)</f>
        <v>No</v>
      </c>
      <c r="H1269">
        <f>VLOOKUP(Table2[[#This Row],[Customer ID]],Table2[#All],7,FALSE)</f>
        <v>0</v>
      </c>
      <c r="I1269" t="str">
        <f>VLOOKUP(Table2[[#This Row],[Customer ID]],Table2[#All],8,FALSE)</f>
        <v>No</v>
      </c>
      <c r="J1269" t="str">
        <f>VLOOKUP(Table2[[#This Row],[Customer ID]],Table2[#All],9,FALSE)</f>
        <v>Obesity</v>
      </c>
      <c r="K1269" t="str">
        <f>VLOOKUP(Table2[[#This Row],[Customer ID]],Table2[#All],10,FALSE)</f>
        <v>Diabetes</v>
      </c>
    </row>
    <row r="1270" spans="1:11" ht="15.6" x14ac:dyDescent="0.3">
      <c r="A1270" s="1" t="s">
        <v>1102</v>
      </c>
      <c r="B1270" t="str">
        <f>VLOOKUP('Customer Names'!A1270,'Customer Names'!$A$1:$E$2336,4,FALSE)</f>
        <v>Ms.  Alicia</v>
      </c>
      <c r="C1270">
        <f>VLOOKUP(Table2[[#This Row],[Customer ID]],Table2[#All],2,FALSE)</f>
        <v>23.66</v>
      </c>
      <c r="D1270">
        <f>VLOOKUP(Table2[[#This Row],[Customer ID]],Table2[#All],3,FALSE)</f>
        <v>5.1100000000000003</v>
      </c>
      <c r="E1270" t="str">
        <f>VLOOKUP(Table2[[#This Row],[Customer ID]],Table2[#All],4,FALSE)</f>
        <v>Yes</v>
      </c>
      <c r="F1270" t="str">
        <f>VLOOKUP(Table2[[#This Row],[Customer ID]],Table2[#All],5,FALSE)</f>
        <v>No</v>
      </c>
      <c r="G1270" t="str">
        <f>VLOOKUP(Table2[[#This Row],[Customer ID]],Table2[#All],6,FALSE)</f>
        <v>Yes</v>
      </c>
      <c r="H1270">
        <f>VLOOKUP(Table2[[#This Row],[Customer ID]],Table2[#All],7,FALSE)</f>
        <v>1</v>
      </c>
      <c r="I1270" t="str">
        <f>VLOOKUP(Table2[[#This Row],[Customer ID]],Table2[#All],8,FALSE)</f>
        <v>No</v>
      </c>
      <c r="J1270" t="str">
        <f>VLOOKUP(Table2[[#This Row],[Customer ID]],Table2[#All],9,FALSE)</f>
        <v>Normalweight</v>
      </c>
      <c r="K1270" t="str">
        <f>VLOOKUP(Table2[[#This Row],[Customer ID]],Table2[#All],10,FALSE)</f>
        <v>Normal</v>
      </c>
    </row>
    <row r="1271" spans="1:11" ht="15.6" x14ac:dyDescent="0.3">
      <c r="A1271" s="1" t="s">
        <v>1101</v>
      </c>
      <c r="B1271" t="str">
        <f>VLOOKUP('Customer Names'!A1271,'Customer Names'!$A$1:$E$2336,4,FALSE)</f>
        <v>Ms.  Jennifer V.</v>
      </c>
      <c r="C1271">
        <f>VLOOKUP(Table2[[#This Row],[Customer ID]],Table2[#All],2,FALSE)</f>
        <v>18.62</v>
      </c>
      <c r="D1271">
        <f>VLOOKUP(Table2[[#This Row],[Customer ID]],Table2[#All],3,FALSE)</f>
        <v>10.24</v>
      </c>
      <c r="E1271" t="str">
        <f>VLOOKUP(Table2[[#This Row],[Customer ID]],Table2[#All],4,FALSE)</f>
        <v>No</v>
      </c>
      <c r="F1271" t="str">
        <f>VLOOKUP(Table2[[#This Row],[Customer ID]],Table2[#All],5,FALSE)</f>
        <v>No</v>
      </c>
      <c r="G1271" t="str">
        <f>VLOOKUP(Table2[[#This Row],[Customer ID]],Table2[#All],6,FALSE)</f>
        <v>No</v>
      </c>
      <c r="H1271">
        <f>VLOOKUP(Table2[[#This Row],[Customer ID]],Table2[#All],7,FALSE)</f>
        <v>0</v>
      </c>
      <c r="I1271" t="str">
        <f>VLOOKUP(Table2[[#This Row],[Customer ID]],Table2[#All],8,FALSE)</f>
        <v>No</v>
      </c>
      <c r="J1271" t="str">
        <f>VLOOKUP(Table2[[#This Row],[Customer ID]],Table2[#All],9,FALSE)</f>
        <v>Normalweight</v>
      </c>
      <c r="K1271" t="str">
        <f>VLOOKUP(Table2[[#This Row],[Customer ID]],Table2[#All],10,FALSE)</f>
        <v>Diabetes</v>
      </c>
    </row>
    <row r="1272" spans="1:11" ht="15.6" x14ac:dyDescent="0.3">
      <c r="A1272" s="1" t="s">
        <v>1100</v>
      </c>
      <c r="B1272" t="str">
        <f>VLOOKUP('Customer Names'!A1272,'Customer Names'!$A$1:$E$2336,4,FALSE)</f>
        <v>Mr.  Michael W.</v>
      </c>
      <c r="C1272">
        <f>VLOOKUP(Table2[[#This Row],[Customer ID]],Table2[#All],2,FALSE)</f>
        <v>19.190000000000001</v>
      </c>
      <c r="D1272">
        <f>VLOOKUP(Table2[[#This Row],[Customer ID]],Table2[#All],3,FALSE)</f>
        <v>7.71</v>
      </c>
      <c r="E1272" t="str">
        <f>VLOOKUP(Table2[[#This Row],[Customer ID]],Table2[#All],4,FALSE)</f>
        <v>Yes</v>
      </c>
      <c r="F1272" t="str">
        <f>VLOOKUP(Table2[[#This Row],[Customer ID]],Table2[#All],5,FALSE)</f>
        <v>No</v>
      </c>
      <c r="G1272" t="str">
        <f>VLOOKUP(Table2[[#This Row],[Customer ID]],Table2[#All],6,FALSE)</f>
        <v>No</v>
      </c>
      <c r="H1272">
        <f>VLOOKUP(Table2[[#This Row],[Customer ID]],Table2[#All],7,FALSE)</f>
        <v>1</v>
      </c>
      <c r="I1272" t="str">
        <f>VLOOKUP(Table2[[#This Row],[Customer ID]],Table2[#All],8,FALSE)</f>
        <v>No</v>
      </c>
      <c r="J1272" t="str">
        <f>VLOOKUP(Table2[[#This Row],[Customer ID]],Table2[#All],9,FALSE)</f>
        <v>Normalweight</v>
      </c>
      <c r="K1272" t="str">
        <f>VLOOKUP(Table2[[#This Row],[Customer ID]],Table2[#All],10,FALSE)</f>
        <v>Diabetes</v>
      </c>
    </row>
    <row r="1273" spans="1:11" ht="15.6" x14ac:dyDescent="0.3">
      <c r="A1273" s="1" t="s">
        <v>1099</v>
      </c>
      <c r="B1273" t="str">
        <f>VLOOKUP('Customer Names'!A1273,'Customer Names'!$A$1:$E$2336,4,FALSE)</f>
        <v>Mr.  Eddie C</v>
      </c>
      <c r="C1273">
        <f>VLOOKUP(Table2[[#This Row],[Customer ID]],Table2[#All],2,FALSE)</f>
        <v>27.5</v>
      </c>
      <c r="D1273">
        <f>VLOOKUP(Table2[[#This Row],[Customer ID]],Table2[#All],3,FALSE)</f>
        <v>6.03</v>
      </c>
      <c r="E1273" t="str">
        <f>VLOOKUP(Table2[[#This Row],[Customer ID]],Table2[#All],4,FALSE)</f>
        <v>No</v>
      </c>
      <c r="F1273" t="str">
        <f>VLOOKUP(Table2[[#This Row],[Customer ID]],Table2[#All],5,FALSE)</f>
        <v>No</v>
      </c>
      <c r="G1273" t="str">
        <f>VLOOKUP(Table2[[#This Row],[Customer ID]],Table2[#All],6,FALSE)</f>
        <v>No</v>
      </c>
      <c r="H1273">
        <f>VLOOKUP(Table2[[#This Row],[Customer ID]],Table2[#All],7,FALSE)</f>
        <v>0</v>
      </c>
      <c r="I1273" t="str">
        <f>VLOOKUP(Table2[[#This Row],[Customer ID]],Table2[#All],8,FALSE)</f>
        <v>No</v>
      </c>
      <c r="J1273" t="str">
        <f>VLOOKUP(Table2[[#This Row],[Customer ID]],Table2[#All],9,FALSE)</f>
        <v>Overweight</v>
      </c>
      <c r="K1273" t="str">
        <f>VLOOKUP(Table2[[#This Row],[Customer ID]],Table2[#All],10,FALSE)</f>
        <v>Prediabetes</v>
      </c>
    </row>
    <row r="1274" spans="1:11" ht="15.6" x14ac:dyDescent="0.3">
      <c r="A1274" s="1" t="s">
        <v>1098</v>
      </c>
      <c r="B1274" t="str">
        <f>VLOOKUP('Customer Names'!A1274,'Customer Names'!$A$1:$E$2336,4,FALSE)</f>
        <v>Mr.  Maxime M</v>
      </c>
      <c r="C1274">
        <f>VLOOKUP(Table2[[#This Row],[Customer ID]],Table2[#All],2,FALSE)</f>
        <v>27.36</v>
      </c>
      <c r="D1274">
        <f>VLOOKUP(Table2[[#This Row],[Customer ID]],Table2[#All],3,FALSE)</f>
        <v>5.96</v>
      </c>
      <c r="E1274" t="str">
        <f>VLOOKUP(Table2[[#This Row],[Customer ID]],Table2[#All],4,FALSE)</f>
        <v>No</v>
      </c>
      <c r="F1274" t="str">
        <f>VLOOKUP(Table2[[#This Row],[Customer ID]],Table2[#All],5,FALSE)</f>
        <v>No</v>
      </c>
      <c r="G1274" t="str">
        <f>VLOOKUP(Table2[[#This Row],[Customer ID]],Table2[#All],6,FALSE)</f>
        <v>Yes</v>
      </c>
      <c r="H1274">
        <f>VLOOKUP(Table2[[#This Row],[Customer ID]],Table2[#All],7,FALSE)</f>
        <v>1</v>
      </c>
      <c r="I1274" t="str">
        <f>VLOOKUP(Table2[[#This Row],[Customer ID]],Table2[#All],8,FALSE)</f>
        <v>No</v>
      </c>
      <c r="J1274" t="str">
        <f>VLOOKUP(Table2[[#This Row],[Customer ID]],Table2[#All],9,FALSE)</f>
        <v>Overweight</v>
      </c>
      <c r="K1274" t="str">
        <f>VLOOKUP(Table2[[#This Row],[Customer ID]],Table2[#All],10,FALSE)</f>
        <v>Prediabetes</v>
      </c>
    </row>
    <row r="1275" spans="1:11" ht="15.6" x14ac:dyDescent="0.3">
      <c r="A1275" s="1" t="s">
        <v>1097</v>
      </c>
      <c r="B1275" t="str">
        <f>VLOOKUP('Customer Names'!A1275,'Customer Names'!$A$1:$E$2336,4,FALSE)</f>
        <v>Mr.  Mark D</v>
      </c>
      <c r="C1275">
        <f>VLOOKUP(Table2[[#This Row],[Customer ID]],Table2[#All],2,FALSE)</f>
        <v>20.350000000000001</v>
      </c>
      <c r="D1275">
        <f>VLOOKUP(Table2[[#This Row],[Customer ID]],Table2[#All],3,FALSE)</f>
        <v>4.16</v>
      </c>
      <c r="E1275" t="str">
        <f>VLOOKUP(Table2[[#This Row],[Customer ID]],Table2[#All],4,FALSE)</f>
        <v>No</v>
      </c>
      <c r="F1275" t="str">
        <f>VLOOKUP(Table2[[#This Row],[Customer ID]],Table2[#All],5,FALSE)</f>
        <v>No</v>
      </c>
      <c r="G1275" t="str">
        <f>VLOOKUP(Table2[[#This Row],[Customer ID]],Table2[#All],6,FALSE)</f>
        <v>No</v>
      </c>
      <c r="H1275">
        <f>VLOOKUP(Table2[[#This Row],[Customer ID]],Table2[#All],7,FALSE)</f>
        <v>0</v>
      </c>
      <c r="I1275" t="str">
        <f>VLOOKUP(Table2[[#This Row],[Customer ID]],Table2[#All],8,FALSE)</f>
        <v>No</v>
      </c>
      <c r="J1275" t="str">
        <f>VLOOKUP(Table2[[#This Row],[Customer ID]],Table2[#All],9,FALSE)</f>
        <v>Normalweight</v>
      </c>
      <c r="K1275" t="str">
        <f>VLOOKUP(Table2[[#This Row],[Customer ID]],Table2[#All],10,FALSE)</f>
        <v>Normal</v>
      </c>
    </row>
    <row r="1276" spans="1:11" ht="15.6" x14ac:dyDescent="0.3">
      <c r="A1276" s="1" t="s">
        <v>1096</v>
      </c>
      <c r="B1276" t="str">
        <f>VLOOKUP('Customer Names'!A1276,'Customer Names'!$A$1:$E$2336,4,FALSE)</f>
        <v>Mr.  Adam</v>
      </c>
      <c r="C1276">
        <f>VLOOKUP(Table2[[#This Row],[Customer ID]],Table2[#All],2,FALSE)</f>
        <v>24.035</v>
      </c>
      <c r="D1276">
        <f>VLOOKUP(Table2[[#This Row],[Customer ID]],Table2[#All],3,FALSE)</f>
        <v>6.11</v>
      </c>
      <c r="E1276" t="str">
        <f>VLOOKUP(Table2[[#This Row],[Customer ID]],Table2[#All],4,FALSE)</f>
        <v>No</v>
      </c>
      <c r="F1276" t="str">
        <f>VLOOKUP(Table2[[#This Row],[Customer ID]],Table2[#All],5,FALSE)</f>
        <v>No</v>
      </c>
      <c r="G1276" t="str">
        <f>VLOOKUP(Table2[[#This Row],[Customer ID]],Table2[#All],6,FALSE)</f>
        <v>No</v>
      </c>
      <c r="H1276">
        <f>VLOOKUP(Table2[[#This Row],[Customer ID]],Table2[#All],7,FALSE)</f>
        <v>0</v>
      </c>
      <c r="I1276" t="str">
        <f>VLOOKUP(Table2[[#This Row],[Customer ID]],Table2[#All],8,FALSE)</f>
        <v>No</v>
      </c>
      <c r="J1276" t="str">
        <f>VLOOKUP(Table2[[#This Row],[Customer ID]],Table2[#All],9,FALSE)</f>
        <v>Normalweight</v>
      </c>
      <c r="K1276" t="str">
        <f>VLOOKUP(Table2[[#This Row],[Customer ID]],Table2[#All],10,FALSE)</f>
        <v>Prediabetes</v>
      </c>
    </row>
    <row r="1277" spans="1:11" ht="15.6" x14ac:dyDescent="0.3">
      <c r="A1277" s="1" t="s">
        <v>1095</v>
      </c>
      <c r="B1277" t="str">
        <f>VLOOKUP('Customer Names'!A1277,'Customer Names'!$A$1:$E$2336,4,FALSE)</f>
        <v>Mr.  Justin M</v>
      </c>
      <c r="C1277">
        <f>VLOOKUP(Table2[[#This Row],[Customer ID]],Table2[#All],2,FALSE)</f>
        <v>23.56</v>
      </c>
      <c r="D1277">
        <f>VLOOKUP(Table2[[#This Row],[Customer ID]],Table2[#All],3,FALSE)</f>
        <v>5.97</v>
      </c>
      <c r="E1277" t="str">
        <f>VLOOKUP(Table2[[#This Row],[Customer ID]],Table2[#All],4,FALSE)</f>
        <v>No</v>
      </c>
      <c r="F1277" t="str">
        <f>VLOOKUP(Table2[[#This Row],[Customer ID]],Table2[#All],5,FALSE)</f>
        <v>No</v>
      </c>
      <c r="G1277" t="str">
        <f>VLOOKUP(Table2[[#This Row],[Customer ID]],Table2[#All],6,FALSE)</f>
        <v>No</v>
      </c>
      <c r="H1277">
        <f>VLOOKUP(Table2[[#This Row],[Customer ID]],Table2[#All],7,FALSE)</f>
        <v>0</v>
      </c>
      <c r="I1277" t="str">
        <f>VLOOKUP(Table2[[#This Row],[Customer ID]],Table2[#All],8,FALSE)</f>
        <v>No</v>
      </c>
      <c r="J1277" t="str">
        <f>VLOOKUP(Table2[[#This Row],[Customer ID]],Table2[#All],9,FALSE)</f>
        <v>Normalweight</v>
      </c>
      <c r="K1277" t="str">
        <f>VLOOKUP(Table2[[#This Row],[Customer ID]],Table2[#All],10,FALSE)</f>
        <v>Prediabetes</v>
      </c>
    </row>
    <row r="1278" spans="1:11" ht="15.6" x14ac:dyDescent="0.3">
      <c r="A1278" s="1" t="s">
        <v>1094</v>
      </c>
      <c r="B1278" t="str">
        <f>VLOOKUP('Customer Names'!A1278,'Customer Names'!$A$1:$E$2336,4,FALSE)</f>
        <v>Ms.  Svetlana V.</v>
      </c>
      <c r="C1278">
        <f>VLOOKUP(Table2[[#This Row],[Customer ID]],Table2[#All],2,FALSE)</f>
        <v>27.17</v>
      </c>
      <c r="D1278">
        <f>VLOOKUP(Table2[[#This Row],[Customer ID]],Table2[#All],3,FALSE)</f>
        <v>10.81</v>
      </c>
      <c r="E1278" t="str">
        <f>VLOOKUP(Table2[[#This Row],[Customer ID]],Table2[#All],4,FALSE)</f>
        <v>No</v>
      </c>
      <c r="F1278" t="str">
        <f>VLOOKUP(Table2[[#This Row],[Customer ID]],Table2[#All],5,FALSE)</f>
        <v>No</v>
      </c>
      <c r="G1278" t="str">
        <f>VLOOKUP(Table2[[#This Row],[Customer ID]],Table2[#All],6,FALSE)</f>
        <v>No</v>
      </c>
      <c r="H1278">
        <f>VLOOKUP(Table2[[#This Row],[Customer ID]],Table2[#All],7,FALSE)</f>
        <v>2</v>
      </c>
      <c r="I1278" t="str">
        <f>VLOOKUP(Table2[[#This Row],[Customer ID]],Table2[#All],8,FALSE)</f>
        <v>No</v>
      </c>
      <c r="J1278" t="str">
        <f>VLOOKUP(Table2[[#This Row],[Customer ID]],Table2[#All],9,FALSE)</f>
        <v>Overweight</v>
      </c>
      <c r="K1278" t="str">
        <f>VLOOKUP(Table2[[#This Row],[Customer ID]],Table2[#All],10,FALSE)</f>
        <v>Diabetes</v>
      </c>
    </row>
    <row r="1279" spans="1:11" ht="15.6" x14ac:dyDescent="0.3">
      <c r="A1279" s="1" t="s">
        <v>1093</v>
      </c>
      <c r="B1279" t="str">
        <f>VLOOKUP('Customer Names'!A1279,'Customer Names'!$A$1:$E$2336,4,FALSE)</f>
        <v>Ms.  Jana L</v>
      </c>
      <c r="C1279">
        <f>VLOOKUP(Table2[[#This Row],[Customer ID]],Table2[#All],2,FALSE)</f>
        <v>34.32</v>
      </c>
      <c r="D1279">
        <f>VLOOKUP(Table2[[#This Row],[Customer ID]],Table2[#All],3,FALSE)</f>
        <v>5.7</v>
      </c>
      <c r="E1279" t="str">
        <f>VLOOKUP(Table2[[#This Row],[Customer ID]],Table2[#All],4,FALSE)</f>
        <v>Yes</v>
      </c>
      <c r="F1279" t="str">
        <f>VLOOKUP(Table2[[#This Row],[Customer ID]],Table2[#All],5,FALSE)</f>
        <v>No</v>
      </c>
      <c r="G1279" t="str">
        <f>VLOOKUP(Table2[[#This Row],[Customer ID]],Table2[#All],6,FALSE)</f>
        <v>Yes</v>
      </c>
      <c r="H1279">
        <f>VLOOKUP(Table2[[#This Row],[Customer ID]],Table2[#All],7,FALSE)</f>
        <v>1</v>
      </c>
      <c r="I1279" t="str">
        <f>VLOOKUP(Table2[[#This Row],[Customer ID]],Table2[#All],8,FALSE)</f>
        <v>No</v>
      </c>
      <c r="J1279" t="str">
        <f>VLOOKUP(Table2[[#This Row],[Customer ID]],Table2[#All],9,FALSE)</f>
        <v>Obesity</v>
      </c>
      <c r="K1279" t="str">
        <f>VLOOKUP(Table2[[#This Row],[Customer ID]],Table2[#All],10,FALSE)</f>
        <v>Prediabetes</v>
      </c>
    </row>
    <row r="1280" spans="1:11" ht="15.6" x14ac:dyDescent="0.3">
      <c r="A1280" s="1" t="s">
        <v>1092</v>
      </c>
      <c r="B1280" t="str">
        <f>VLOOKUP('Customer Names'!A1280,'Customer Names'!$A$1:$E$2336,4,FALSE)</f>
        <v>Ms.  Laura</v>
      </c>
      <c r="C1280">
        <f>VLOOKUP(Table2[[#This Row],[Customer ID]],Table2[#All],2,FALSE)</f>
        <v>23.87</v>
      </c>
      <c r="D1280">
        <f>VLOOKUP(Table2[[#This Row],[Customer ID]],Table2[#All],3,FALSE)</f>
        <v>4.7699999999999996</v>
      </c>
      <c r="E1280" t="str">
        <f>VLOOKUP(Table2[[#This Row],[Customer ID]],Table2[#All],4,FALSE)</f>
        <v>Yes</v>
      </c>
      <c r="F1280" t="str">
        <f>VLOOKUP(Table2[[#This Row],[Customer ID]],Table2[#All],5,FALSE)</f>
        <v>No</v>
      </c>
      <c r="G1280" t="str">
        <f>VLOOKUP(Table2[[#This Row],[Customer ID]],Table2[#All],6,FALSE)</f>
        <v>Yes</v>
      </c>
      <c r="H1280">
        <f>VLOOKUP(Table2[[#This Row],[Customer ID]],Table2[#All],7,FALSE)</f>
        <v>1</v>
      </c>
      <c r="I1280" t="str">
        <f>VLOOKUP(Table2[[#This Row],[Customer ID]],Table2[#All],8,FALSE)</f>
        <v>No</v>
      </c>
      <c r="J1280" t="str">
        <f>VLOOKUP(Table2[[#This Row],[Customer ID]],Table2[#All],9,FALSE)</f>
        <v>Normalweight</v>
      </c>
      <c r="K1280" t="str">
        <f>VLOOKUP(Table2[[#This Row],[Customer ID]],Table2[#All],10,FALSE)</f>
        <v>Normal</v>
      </c>
    </row>
    <row r="1281" spans="1:11" ht="15.6" x14ac:dyDescent="0.3">
      <c r="A1281" s="1" t="s">
        <v>1091</v>
      </c>
      <c r="B1281" t="str">
        <f>VLOOKUP('Customer Names'!A1281,'Customer Names'!$A$1:$E$2336,4,FALSE)</f>
        <v>Mr.  Torrey C III</v>
      </c>
      <c r="C1281">
        <f>VLOOKUP(Table2[[#This Row],[Customer ID]],Table2[#All],2,FALSE)</f>
        <v>30.15</v>
      </c>
      <c r="D1281">
        <f>VLOOKUP(Table2[[#This Row],[Customer ID]],Table2[#All],3,FALSE)</f>
        <v>4.25</v>
      </c>
      <c r="E1281" t="str">
        <f>VLOOKUP(Table2[[#This Row],[Customer ID]],Table2[#All],4,FALSE)</f>
        <v>No</v>
      </c>
      <c r="F1281" t="str">
        <f>VLOOKUP(Table2[[#This Row],[Customer ID]],Table2[#All],5,FALSE)</f>
        <v>No</v>
      </c>
      <c r="G1281" t="str">
        <f>VLOOKUP(Table2[[#This Row],[Customer ID]],Table2[#All],6,FALSE)</f>
        <v>No</v>
      </c>
      <c r="H1281">
        <f>VLOOKUP(Table2[[#This Row],[Customer ID]],Table2[#All],7,FALSE)</f>
        <v>1</v>
      </c>
      <c r="I1281" t="str">
        <f>VLOOKUP(Table2[[#This Row],[Customer ID]],Table2[#All],8,FALSE)</f>
        <v>No</v>
      </c>
      <c r="J1281" t="str">
        <f>VLOOKUP(Table2[[#This Row],[Customer ID]],Table2[#All],9,FALSE)</f>
        <v>Obesity</v>
      </c>
      <c r="K1281" t="str">
        <f>VLOOKUP(Table2[[#This Row],[Customer ID]],Table2[#All],10,FALSE)</f>
        <v>Normal</v>
      </c>
    </row>
    <row r="1282" spans="1:11" ht="15.6" x14ac:dyDescent="0.3">
      <c r="A1282" s="1" t="s">
        <v>1090</v>
      </c>
      <c r="B1282" t="str">
        <f>VLOOKUP('Customer Names'!A1282,'Customer Names'!$A$1:$E$2336,4,FALSE)</f>
        <v>Mr.  Paul</v>
      </c>
      <c r="C1282">
        <f>VLOOKUP(Table2[[#This Row],[Customer ID]],Table2[#All],2,FALSE)</f>
        <v>26.36</v>
      </c>
      <c r="D1282">
        <f>VLOOKUP(Table2[[#This Row],[Customer ID]],Table2[#All],3,FALSE)</f>
        <v>5.52</v>
      </c>
      <c r="E1282" t="str">
        <f>VLOOKUP(Table2[[#This Row],[Customer ID]],Table2[#All],4,FALSE)</f>
        <v>No</v>
      </c>
      <c r="F1282" t="str">
        <f>VLOOKUP(Table2[[#This Row],[Customer ID]],Table2[#All],5,FALSE)</f>
        <v>No</v>
      </c>
      <c r="G1282" t="str">
        <f>VLOOKUP(Table2[[#This Row],[Customer ID]],Table2[#All],6,FALSE)</f>
        <v>No</v>
      </c>
      <c r="H1282">
        <f>VLOOKUP(Table2[[#This Row],[Customer ID]],Table2[#All],7,FALSE)</f>
        <v>0</v>
      </c>
      <c r="I1282" t="str">
        <f>VLOOKUP(Table2[[#This Row],[Customer ID]],Table2[#All],8,FALSE)</f>
        <v>No</v>
      </c>
      <c r="J1282" t="str">
        <f>VLOOKUP(Table2[[#This Row],[Customer ID]],Table2[#All],9,FALSE)</f>
        <v>Overweight</v>
      </c>
      <c r="K1282" t="str">
        <f>VLOOKUP(Table2[[#This Row],[Customer ID]],Table2[#All],10,FALSE)</f>
        <v>Normal</v>
      </c>
    </row>
    <row r="1283" spans="1:11" ht="15.6" x14ac:dyDescent="0.3">
      <c r="A1283" s="1" t="s">
        <v>1089</v>
      </c>
      <c r="B1283" t="str">
        <f>VLOOKUP('Customer Names'!A1283,'Customer Names'!$A$1:$E$2336,4,FALSE)</f>
        <v>Ms.  Jennifer D.</v>
      </c>
      <c r="C1283">
        <f>VLOOKUP(Table2[[#This Row],[Customer ID]],Table2[#All],2,FALSE)</f>
        <v>45.32</v>
      </c>
      <c r="D1283">
        <f>VLOOKUP(Table2[[#This Row],[Customer ID]],Table2[#All],3,FALSE)</f>
        <v>6.53</v>
      </c>
      <c r="E1283" t="str">
        <f>VLOOKUP(Table2[[#This Row],[Customer ID]],Table2[#All],4,FALSE)</f>
        <v>Yes</v>
      </c>
      <c r="F1283" t="str">
        <f>VLOOKUP(Table2[[#This Row],[Customer ID]],Table2[#All],5,FALSE)</f>
        <v>No</v>
      </c>
      <c r="G1283" t="str">
        <f>VLOOKUP(Table2[[#This Row],[Customer ID]],Table2[#All],6,FALSE)</f>
        <v>No</v>
      </c>
      <c r="H1283">
        <f>VLOOKUP(Table2[[#This Row],[Customer ID]],Table2[#All],7,FALSE)</f>
        <v>1</v>
      </c>
      <c r="I1283" t="str">
        <f>VLOOKUP(Table2[[#This Row],[Customer ID]],Table2[#All],8,FALSE)</f>
        <v>No</v>
      </c>
      <c r="J1283" t="str">
        <f>VLOOKUP(Table2[[#This Row],[Customer ID]],Table2[#All],9,FALSE)</f>
        <v>Obesity</v>
      </c>
      <c r="K1283" t="str">
        <f>VLOOKUP(Table2[[#This Row],[Customer ID]],Table2[#All],10,FALSE)</f>
        <v>Diabetes</v>
      </c>
    </row>
    <row r="1284" spans="1:11" ht="15.6" x14ac:dyDescent="0.3">
      <c r="A1284" s="1" t="s">
        <v>1088</v>
      </c>
      <c r="B1284" t="str">
        <f>VLOOKUP('Customer Names'!A1284,'Customer Names'!$A$1:$E$2336,4,FALSE)</f>
        <v>Mr.  Erik</v>
      </c>
      <c r="C1284">
        <f>VLOOKUP(Table2[[#This Row],[Customer ID]],Table2[#All],2,FALSE)</f>
        <v>31.93</v>
      </c>
      <c r="D1284">
        <f>VLOOKUP(Table2[[#This Row],[Customer ID]],Table2[#All],3,FALSE)</f>
        <v>4.82</v>
      </c>
      <c r="E1284" t="str">
        <f>VLOOKUP(Table2[[#This Row],[Customer ID]],Table2[#All],4,FALSE)</f>
        <v>Yes</v>
      </c>
      <c r="F1284" t="str">
        <f>VLOOKUP(Table2[[#This Row],[Customer ID]],Table2[#All],5,FALSE)</f>
        <v>No</v>
      </c>
      <c r="G1284" t="str">
        <f>VLOOKUP(Table2[[#This Row],[Customer ID]],Table2[#All],6,FALSE)</f>
        <v>No</v>
      </c>
      <c r="H1284">
        <f>VLOOKUP(Table2[[#This Row],[Customer ID]],Table2[#All],7,FALSE)</f>
        <v>1</v>
      </c>
      <c r="I1284" t="str">
        <f>VLOOKUP(Table2[[#This Row],[Customer ID]],Table2[#All],8,FALSE)</f>
        <v>No</v>
      </c>
      <c r="J1284" t="str">
        <f>VLOOKUP(Table2[[#This Row],[Customer ID]],Table2[#All],9,FALSE)</f>
        <v>Obesity</v>
      </c>
      <c r="K1284" t="str">
        <f>VLOOKUP(Table2[[#This Row],[Customer ID]],Table2[#All],10,FALSE)</f>
        <v>Normal</v>
      </c>
    </row>
    <row r="1285" spans="1:11" ht="15.6" x14ac:dyDescent="0.3">
      <c r="A1285" s="1" t="s">
        <v>1087</v>
      </c>
      <c r="B1285" t="str">
        <f>VLOOKUP('Customer Names'!A1285,'Customer Names'!$A$1:$E$2336,4,FALSE)</f>
        <v>Ms.  Lana J</v>
      </c>
      <c r="C1285">
        <f>VLOOKUP(Table2[[#This Row],[Customer ID]],Table2[#All],2,FALSE)</f>
        <v>36</v>
      </c>
      <c r="D1285">
        <f>VLOOKUP(Table2[[#This Row],[Customer ID]],Table2[#All],3,FALSE)</f>
        <v>11.94</v>
      </c>
      <c r="E1285" t="str">
        <f>VLOOKUP(Table2[[#This Row],[Customer ID]],Table2[#All],4,FALSE)</f>
        <v>Yes</v>
      </c>
      <c r="F1285" t="str">
        <f>VLOOKUP(Table2[[#This Row],[Customer ID]],Table2[#All],5,FALSE)</f>
        <v>No</v>
      </c>
      <c r="G1285" t="str">
        <f>VLOOKUP(Table2[[#This Row],[Customer ID]],Table2[#All],6,FALSE)</f>
        <v>No</v>
      </c>
      <c r="H1285">
        <f>VLOOKUP(Table2[[#This Row],[Customer ID]],Table2[#All],7,FALSE)</f>
        <v>1</v>
      </c>
      <c r="I1285" t="str">
        <f>VLOOKUP(Table2[[#This Row],[Customer ID]],Table2[#All],8,FALSE)</f>
        <v>No</v>
      </c>
      <c r="J1285" t="str">
        <f>VLOOKUP(Table2[[#This Row],[Customer ID]],Table2[#All],9,FALSE)</f>
        <v>Obesity</v>
      </c>
      <c r="K1285" t="str">
        <f>VLOOKUP(Table2[[#This Row],[Customer ID]],Table2[#All],10,FALSE)</f>
        <v>Diabetes</v>
      </c>
    </row>
    <row r="1286" spans="1:11" ht="15.6" x14ac:dyDescent="0.3">
      <c r="A1286" s="1" t="s">
        <v>1086</v>
      </c>
      <c r="B1286" t="str">
        <f>VLOOKUP('Customer Names'!A1286,'Customer Names'!$A$1:$E$2336,4,FALSE)</f>
        <v>Ms.  Rebecca E</v>
      </c>
      <c r="C1286">
        <f>VLOOKUP(Table2[[#This Row],[Customer ID]],Table2[#All],2,FALSE)</f>
        <v>32</v>
      </c>
      <c r="D1286">
        <f>VLOOKUP(Table2[[#This Row],[Customer ID]],Table2[#All],3,FALSE)</f>
        <v>7.85</v>
      </c>
      <c r="E1286" t="str">
        <f>VLOOKUP(Table2[[#This Row],[Customer ID]],Table2[#All],4,FALSE)</f>
        <v>Yes</v>
      </c>
      <c r="F1286" t="str">
        <f>VLOOKUP(Table2[[#This Row],[Customer ID]],Table2[#All],5,FALSE)</f>
        <v>No</v>
      </c>
      <c r="G1286" t="str">
        <f>VLOOKUP(Table2[[#This Row],[Customer ID]],Table2[#All],6,FALSE)</f>
        <v>No</v>
      </c>
      <c r="H1286">
        <f>VLOOKUP(Table2[[#This Row],[Customer ID]],Table2[#All],7,FALSE)</f>
        <v>1</v>
      </c>
      <c r="I1286" t="str">
        <f>VLOOKUP(Table2[[#This Row],[Customer ID]],Table2[#All],8,FALSE)</f>
        <v>No</v>
      </c>
      <c r="J1286" t="str">
        <f>VLOOKUP(Table2[[#This Row],[Customer ID]],Table2[#All],9,FALSE)</f>
        <v>Obesity</v>
      </c>
      <c r="K1286" t="str">
        <f>VLOOKUP(Table2[[#This Row],[Customer ID]],Table2[#All],10,FALSE)</f>
        <v>Diabetes</v>
      </c>
    </row>
    <row r="1287" spans="1:11" ht="15.6" x14ac:dyDescent="0.3">
      <c r="A1287" s="1" t="s">
        <v>1085</v>
      </c>
      <c r="B1287" t="str">
        <f>VLOOKUP('Customer Names'!A1287,'Customer Names'!$A$1:$E$2336,4,FALSE)</f>
        <v>Ms.  Katie M.</v>
      </c>
      <c r="C1287">
        <f>VLOOKUP(Table2[[#This Row],[Customer ID]],Table2[#All],2,FALSE)</f>
        <v>29.37</v>
      </c>
      <c r="D1287">
        <f>VLOOKUP(Table2[[#This Row],[Customer ID]],Table2[#All],3,FALSE)</f>
        <v>8.01</v>
      </c>
      <c r="E1287" t="str">
        <f>VLOOKUP(Table2[[#This Row],[Customer ID]],Table2[#All],4,FALSE)</f>
        <v>Yes</v>
      </c>
      <c r="F1287" t="str">
        <f>VLOOKUP(Table2[[#This Row],[Customer ID]],Table2[#All],5,FALSE)</f>
        <v>No</v>
      </c>
      <c r="G1287" t="str">
        <f>VLOOKUP(Table2[[#This Row],[Customer ID]],Table2[#All],6,FALSE)</f>
        <v>No</v>
      </c>
      <c r="H1287">
        <f>VLOOKUP(Table2[[#This Row],[Customer ID]],Table2[#All],7,FALSE)</f>
        <v>1</v>
      </c>
      <c r="I1287" t="str">
        <f>VLOOKUP(Table2[[#This Row],[Customer ID]],Table2[#All],8,FALSE)</f>
        <v>No</v>
      </c>
      <c r="J1287" t="str">
        <f>VLOOKUP(Table2[[#This Row],[Customer ID]],Table2[#All],9,FALSE)</f>
        <v>Overweight</v>
      </c>
      <c r="K1287" t="str">
        <f>VLOOKUP(Table2[[#This Row],[Customer ID]],Table2[#All],10,FALSE)</f>
        <v>Diabetes</v>
      </c>
    </row>
    <row r="1288" spans="1:11" ht="15.6" x14ac:dyDescent="0.3">
      <c r="A1288" s="1" t="s">
        <v>1084</v>
      </c>
      <c r="B1288" t="str">
        <f>VLOOKUP('Customer Names'!A1288,'Customer Names'!$A$1:$E$2336,4,FALSE)</f>
        <v>Ms.  Elizabeth A.</v>
      </c>
      <c r="C1288">
        <f>VLOOKUP(Table2[[#This Row],[Customer ID]],Table2[#All],2,FALSE)</f>
        <v>23.6</v>
      </c>
      <c r="D1288">
        <f>VLOOKUP(Table2[[#This Row],[Customer ID]],Table2[#All],3,FALSE)</f>
        <v>7.4</v>
      </c>
      <c r="E1288" t="str">
        <f>VLOOKUP(Table2[[#This Row],[Customer ID]],Table2[#All],4,FALSE)</f>
        <v>Yes</v>
      </c>
      <c r="F1288" t="str">
        <f>VLOOKUP(Table2[[#This Row],[Customer ID]],Table2[#All],5,FALSE)</f>
        <v>No</v>
      </c>
      <c r="G1288" t="str">
        <f>VLOOKUP(Table2[[#This Row],[Customer ID]],Table2[#All],6,FALSE)</f>
        <v>No</v>
      </c>
      <c r="H1288">
        <f>VLOOKUP(Table2[[#This Row],[Customer ID]],Table2[#All],7,FALSE)</f>
        <v>1</v>
      </c>
      <c r="I1288" t="str">
        <f>VLOOKUP(Table2[[#This Row],[Customer ID]],Table2[#All],8,FALSE)</f>
        <v>No</v>
      </c>
      <c r="J1288" t="str">
        <f>VLOOKUP(Table2[[#This Row],[Customer ID]],Table2[#All],9,FALSE)</f>
        <v>Normalweight</v>
      </c>
      <c r="K1288" t="str">
        <f>VLOOKUP(Table2[[#This Row],[Customer ID]],Table2[#All],10,FALSE)</f>
        <v>Diabetes</v>
      </c>
    </row>
    <row r="1289" spans="1:11" ht="15.6" x14ac:dyDescent="0.3">
      <c r="A1289" s="1" t="s">
        <v>1083</v>
      </c>
      <c r="B1289" t="str">
        <f>VLOOKUP('Customer Names'!A1289,'Customer Names'!$A$1:$E$2336,4,FALSE)</f>
        <v>Ms.  Sarah</v>
      </c>
      <c r="C1289">
        <f>VLOOKUP(Table2[[#This Row],[Customer ID]],Table2[#All],2,FALSE)</f>
        <v>33.155000000000001</v>
      </c>
      <c r="D1289">
        <f>VLOOKUP(Table2[[#This Row],[Customer ID]],Table2[#All],3,FALSE)</f>
        <v>8.3800000000000008</v>
      </c>
      <c r="E1289" t="str">
        <f>VLOOKUP(Table2[[#This Row],[Customer ID]],Table2[#All],4,FALSE)</f>
        <v>Yes</v>
      </c>
      <c r="F1289" t="str">
        <f>VLOOKUP(Table2[[#This Row],[Customer ID]],Table2[#All],5,FALSE)</f>
        <v>No</v>
      </c>
      <c r="G1289" t="str">
        <f>VLOOKUP(Table2[[#This Row],[Customer ID]],Table2[#All],6,FALSE)</f>
        <v>No</v>
      </c>
      <c r="H1289">
        <f>VLOOKUP(Table2[[#This Row],[Customer ID]],Table2[#All],7,FALSE)</f>
        <v>0</v>
      </c>
      <c r="I1289" t="str">
        <f>VLOOKUP(Table2[[#This Row],[Customer ID]],Table2[#All],8,FALSE)</f>
        <v>No</v>
      </c>
      <c r="J1289" t="str">
        <f>VLOOKUP(Table2[[#This Row],[Customer ID]],Table2[#All],9,FALSE)</f>
        <v>Obesity</v>
      </c>
      <c r="K1289" t="str">
        <f>VLOOKUP(Table2[[#This Row],[Customer ID]],Table2[#All],10,FALSE)</f>
        <v>Diabetes</v>
      </c>
    </row>
    <row r="1290" spans="1:11" ht="15.6" x14ac:dyDescent="0.3">
      <c r="A1290" s="1" t="s">
        <v>1082</v>
      </c>
      <c r="B1290" t="str">
        <f>VLOOKUP('Customer Names'!A1290,'Customer Names'!$A$1:$E$2336,4,FALSE)</f>
        <v>Ms.  Annie J.</v>
      </c>
      <c r="C1290">
        <f>VLOOKUP(Table2[[#This Row],[Customer ID]],Table2[#All],2,FALSE)</f>
        <v>24.32</v>
      </c>
      <c r="D1290">
        <f>VLOOKUP(Table2[[#This Row],[Customer ID]],Table2[#All],3,FALSE)</f>
        <v>11.56</v>
      </c>
      <c r="E1290" t="str">
        <f>VLOOKUP(Table2[[#This Row],[Customer ID]],Table2[#All],4,FALSE)</f>
        <v>Yes</v>
      </c>
      <c r="F1290" t="str">
        <f>VLOOKUP(Table2[[#This Row],[Customer ID]],Table2[#All],5,FALSE)</f>
        <v>No</v>
      </c>
      <c r="G1290" t="str">
        <f>VLOOKUP(Table2[[#This Row],[Customer ID]],Table2[#All],6,FALSE)</f>
        <v>No</v>
      </c>
      <c r="H1290">
        <f>VLOOKUP(Table2[[#This Row],[Customer ID]],Table2[#All],7,FALSE)</f>
        <v>1</v>
      </c>
      <c r="I1290" t="str">
        <f>VLOOKUP(Table2[[#This Row],[Customer ID]],Table2[#All],8,FALSE)</f>
        <v>No</v>
      </c>
      <c r="J1290" t="str">
        <f>VLOOKUP(Table2[[#This Row],[Customer ID]],Table2[#All],9,FALSE)</f>
        <v>Normalweight</v>
      </c>
      <c r="K1290" t="str">
        <f>VLOOKUP(Table2[[#This Row],[Customer ID]],Table2[#All],10,FALSE)</f>
        <v>Diabetes</v>
      </c>
    </row>
    <row r="1291" spans="1:11" ht="15.6" x14ac:dyDescent="0.3">
      <c r="A1291" s="1" t="s">
        <v>1081</v>
      </c>
      <c r="B1291" t="str">
        <f>VLOOKUP('Customer Names'!A1291,'Customer Names'!$A$1:$E$2336,4,FALSE)</f>
        <v>Ms.  Annie</v>
      </c>
      <c r="C1291">
        <f>VLOOKUP(Table2[[#This Row],[Customer ID]],Table2[#All],2,FALSE)</f>
        <v>36.299999999999997</v>
      </c>
      <c r="D1291">
        <f>VLOOKUP(Table2[[#This Row],[Customer ID]],Table2[#All],3,FALSE)</f>
        <v>4.6100000000000003</v>
      </c>
      <c r="E1291" t="str">
        <f>VLOOKUP(Table2[[#This Row],[Customer ID]],Table2[#All],4,FALSE)</f>
        <v>No</v>
      </c>
      <c r="F1291" t="str">
        <f>VLOOKUP(Table2[[#This Row],[Customer ID]],Table2[#All],5,FALSE)</f>
        <v>No</v>
      </c>
      <c r="G1291" t="str">
        <f>VLOOKUP(Table2[[#This Row],[Customer ID]],Table2[#All],6,FALSE)</f>
        <v>No</v>
      </c>
      <c r="H1291">
        <f>VLOOKUP(Table2[[#This Row],[Customer ID]],Table2[#All],7,FALSE)</f>
        <v>0</v>
      </c>
      <c r="I1291" t="str">
        <f>VLOOKUP(Table2[[#This Row],[Customer ID]],Table2[#All],8,FALSE)</f>
        <v>No</v>
      </c>
      <c r="J1291" t="str">
        <f>VLOOKUP(Table2[[#This Row],[Customer ID]],Table2[#All],9,FALSE)</f>
        <v>Obesity</v>
      </c>
      <c r="K1291" t="str">
        <f>VLOOKUP(Table2[[#This Row],[Customer ID]],Table2[#All],10,FALSE)</f>
        <v>Normal</v>
      </c>
    </row>
    <row r="1292" spans="1:11" ht="15.6" x14ac:dyDescent="0.3">
      <c r="A1292" s="1" t="s">
        <v>1080</v>
      </c>
      <c r="B1292" t="str">
        <f>VLOOKUP('Customer Names'!A1292,'Customer Names'!$A$1:$E$2336,4,FALSE)</f>
        <v>Ms.  Lindsey</v>
      </c>
      <c r="C1292">
        <f>VLOOKUP(Table2[[#This Row],[Customer ID]],Table2[#All],2,FALSE)</f>
        <v>34.4</v>
      </c>
      <c r="D1292">
        <f>VLOOKUP(Table2[[#This Row],[Customer ID]],Table2[#All],3,FALSE)</f>
        <v>4.95</v>
      </c>
      <c r="E1292" t="str">
        <f>VLOOKUP(Table2[[#This Row],[Customer ID]],Table2[#All],4,FALSE)</f>
        <v>No</v>
      </c>
      <c r="F1292" t="str">
        <f>VLOOKUP(Table2[[#This Row],[Customer ID]],Table2[#All],5,FALSE)</f>
        <v>No</v>
      </c>
      <c r="G1292" t="str">
        <f>VLOOKUP(Table2[[#This Row],[Customer ID]],Table2[#All],6,FALSE)</f>
        <v>Yes</v>
      </c>
      <c r="H1292">
        <f>VLOOKUP(Table2[[#This Row],[Customer ID]],Table2[#All],7,FALSE)</f>
        <v>1</v>
      </c>
      <c r="I1292" t="str">
        <f>VLOOKUP(Table2[[#This Row],[Customer ID]],Table2[#All],8,FALSE)</f>
        <v>No</v>
      </c>
      <c r="J1292" t="str">
        <f>VLOOKUP(Table2[[#This Row],[Customer ID]],Table2[#All],9,FALSE)</f>
        <v>Obesity</v>
      </c>
      <c r="K1292" t="str">
        <f>VLOOKUP(Table2[[#This Row],[Customer ID]],Table2[#All],10,FALSE)</f>
        <v>Normal</v>
      </c>
    </row>
    <row r="1293" spans="1:11" ht="15.6" x14ac:dyDescent="0.3">
      <c r="A1293" s="1" t="s">
        <v>1079</v>
      </c>
      <c r="B1293" t="str">
        <f>VLOOKUP('Customer Names'!A1293,'Customer Names'!$A$1:$E$2336,4,FALSE)</f>
        <v>Ms.  Laura</v>
      </c>
      <c r="C1293">
        <f>VLOOKUP(Table2[[#This Row],[Customer ID]],Table2[#All],2,FALSE)</f>
        <v>30.9</v>
      </c>
      <c r="D1293">
        <f>VLOOKUP(Table2[[#This Row],[Customer ID]],Table2[#All],3,FALSE)</f>
        <v>5.04</v>
      </c>
      <c r="E1293" t="str">
        <f>VLOOKUP(Table2[[#This Row],[Customer ID]],Table2[#All],4,FALSE)</f>
        <v>No</v>
      </c>
      <c r="F1293" t="str">
        <f>VLOOKUP(Table2[[#This Row],[Customer ID]],Table2[#All],5,FALSE)</f>
        <v>No</v>
      </c>
      <c r="G1293" t="str">
        <f>VLOOKUP(Table2[[#This Row],[Customer ID]],Table2[#All],6,FALSE)</f>
        <v>No</v>
      </c>
      <c r="H1293">
        <f>VLOOKUP(Table2[[#This Row],[Customer ID]],Table2[#All],7,FALSE)</f>
        <v>0</v>
      </c>
      <c r="I1293" t="str">
        <f>VLOOKUP(Table2[[#This Row],[Customer ID]],Table2[#All],8,FALSE)</f>
        <v>No</v>
      </c>
      <c r="J1293" t="str">
        <f>VLOOKUP(Table2[[#This Row],[Customer ID]],Table2[#All],9,FALSE)</f>
        <v>Obesity</v>
      </c>
      <c r="K1293" t="str">
        <f>VLOOKUP(Table2[[#This Row],[Customer ID]],Table2[#All],10,FALSE)</f>
        <v>Normal</v>
      </c>
    </row>
    <row r="1294" spans="1:11" ht="15.6" x14ac:dyDescent="0.3">
      <c r="A1294" s="1" t="s">
        <v>1078</v>
      </c>
      <c r="B1294" t="str">
        <f>VLOOKUP('Customer Names'!A1294,'Customer Names'!$A$1:$E$2336,4,FALSE)</f>
        <v>Ms.  Amy T</v>
      </c>
      <c r="C1294">
        <f>VLOOKUP(Table2[[#This Row],[Customer ID]],Table2[#All],2,FALSE)</f>
        <v>28.6</v>
      </c>
      <c r="D1294">
        <f>VLOOKUP(Table2[[#This Row],[Customer ID]],Table2[#All],3,FALSE)</f>
        <v>5.42</v>
      </c>
      <c r="E1294" t="str">
        <f>VLOOKUP(Table2[[#This Row],[Customer ID]],Table2[#All],4,FALSE)</f>
        <v>No</v>
      </c>
      <c r="F1294" t="str">
        <f>VLOOKUP(Table2[[#This Row],[Customer ID]],Table2[#All],5,FALSE)</f>
        <v>No</v>
      </c>
      <c r="G1294" t="str">
        <f>VLOOKUP(Table2[[#This Row],[Customer ID]],Table2[#All],6,FALSE)</f>
        <v>No</v>
      </c>
      <c r="H1294">
        <f>VLOOKUP(Table2[[#This Row],[Customer ID]],Table2[#All],7,FALSE)</f>
        <v>0</v>
      </c>
      <c r="I1294" t="str">
        <f>VLOOKUP(Table2[[#This Row],[Customer ID]],Table2[#All],8,FALSE)</f>
        <v>No</v>
      </c>
      <c r="J1294" t="str">
        <f>VLOOKUP(Table2[[#This Row],[Customer ID]],Table2[#All],9,FALSE)</f>
        <v>Overweight</v>
      </c>
      <c r="K1294" t="str">
        <f>VLOOKUP(Table2[[#This Row],[Customer ID]],Table2[#All],10,FALSE)</f>
        <v>Normal</v>
      </c>
    </row>
    <row r="1295" spans="1:11" ht="15.6" x14ac:dyDescent="0.3">
      <c r="A1295" s="1" t="s">
        <v>1077</v>
      </c>
      <c r="B1295" t="str">
        <f>VLOOKUP('Customer Names'!A1295,'Customer Names'!$A$1:$E$2336,4,FALSE)</f>
        <v>Ms.  Katarina D</v>
      </c>
      <c r="C1295">
        <f>VLOOKUP(Table2[[#This Row],[Customer ID]],Table2[#All],2,FALSE)</f>
        <v>27.83</v>
      </c>
      <c r="D1295">
        <f>VLOOKUP(Table2[[#This Row],[Customer ID]],Table2[#All],3,FALSE)</f>
        <v>5.39</v>
      </c>
      <c r="E1295" t="str">
        <f>VLOOKUP(Table2[[#This Row],[Customer ID]],Table2[#All],4,FALSE)</f>
        <v>No</v>
      </c>
      <c r="F1295" t="str">
        <f>VLOOKUP(Table2[[#This Row],[Customer ID]],Table2[#All],5,FALSE)</f>
        <v>No</v>
      </c>
      <c r="G1295" t="str">
        <f>VLOOKUP(Table2[[#This Row],[Customer ID]],Table2[#All],6,FALSE)</f>
        <v>No</v>
      </c>
      <c r="H1295">
        <f>VLOOKUP(Table2[[#This Row],[Customer ID]],Table2[#All],7,FALSE)</f>
        <v>0</v>
      </c>
      <c r="I1295" t="str">
        <f>VLOOKUP(Table2[[#This Row],[Customer ID]],Table2[#All],8,FALSE)</f>
        <v>No</v>
      </c>
      <c r="J1295" t="str">
        <f>VLOOKUP(Table2[[#This Row],[Customer ID]],Table2[#All],9,FALSE)</f>
        <v>Overweight</v>
      </c>
      <c r="K1295" t="str">
        <f>VLOOKUP(Table2[[#This Row],[Customer ID]],Table2[#All],10,FALSE)</f>
        <v>Normal</v>
      </c>
    </row>
    <row r="1296" spans="1:11" ht="15.6" x14ac:dyDescent="0.3">
      <c r="A1296" s="1" t="s">
        <v>1076</v>
      </c>
      <c r="B1296" t="str">
        <f>VLOOKUP('Customer Names'!A1296,'Customer Names'!$A$1:$E$2336,4,FALSE)</f>
        <v>Mr.  B.j.</v>
      </c>
      <c r="C1296">
        <f>VLOOKUP(Table2[[#This Row],[Customer ID]],Table2[#All],2,FALSE)</f>
        <v>39.64</v>
      </c>
      <c r="D1296">
        <f>VLOOKUP(Table2[[#This Row],[Customer ID]],Table2[#All],3,FALSE)</f>
        <v>6</v>
      </c>
      <c r="E1296" t="str">
        <f>VLOOKUP(Table2[[#This Row],[Customer ID]],Table2[#All],4,FALSE)</f>
        <v>No</v>
      </c>
      <c r="F1296" t="str">
        <f>VLOOKUP(Table2[[#This Row],[Customer ID]],Table2[#All],5,FALSE)</f>
        <v>No</v>
      </c>
      <c r="G1296" t="str">
        <f>VLOOKUP(Table2[[#This Row],[Customer ID]],Table2[#All],6,FALSE)</f>
        <v>Yes</v>
      </c>
      <c r="H1296">
        <f>VLOOKUP(Table2[[#This Row],[Customer ID]],Table2[#All],7,FALSE)</f>
        <v>1</v>
      </c>
      <c r="I1296" t="str">
        <f>VLOOKUP(Table2[[#This Row],[Customer ID]],Table2[#All],8,FALSE)</f>
        <v>No</v>
      </c>
      <c r="J1296" t="str">
        <f>VLOOKUP(Table2[[#This Row],[Customer ID]],Table2[#All],9,FALSE)</f>
        <v>Obesity</v>
      </c>
      <c r="K1296" t="str">
        <f>VLOOKUP(Table2[[#This Row],[Customer ID]],Table2[#All],10,FALSE)</f>
        <v>Prediabetes</v>
      </c>
    </row>
    <row r="1297" spans="1:11" ht="15.6" x14ac:dyDescent="0.3">
      <c r="A1297" s="1" t="s">
        <v>1075</v>
      </c>
      <c r="B1297" t="str">
        <f>VLOOKUP('Customer Names'!A1297,'Customer Names'!$A$1:$E$2336,4,FALSE)</f>
        <v>Ms.  Alison</v>
      </c>
      <c r="C1297">
        <f>VLOOKUP(Table2[[#This Row],[Customer ID]],Table2[#All],2,FALSE)</f>
        <v>38.479999999999997</v>
      </c>
      <c r="D1297">
        <f>VLOOKUP(Table2[[#This Row],[Customer ID]],Table2[#All],3,FALSE)</f>
        <v>6.02</v>
      </c>
      <c r="E1297" t="str">
        <f>VLOOKUP(Table2[[#This Row],[Customer ID]],Table2[#All],4,FALSE)</f>
        <v>No</v>
      </c>
      <c r="F1297" t="str">
        <f>VLOOKUP(Table2[[#This Row],[Customer ID]],Table2[#All],5,FALSE)</f>
        <v>No</v>
      </c>
      <c r="G1297" t="str">
        <f>VLOOKUP(Table2[[#This Row],[Customer ID]],Table2[#All],6,FALSE)</f>
        <v>No</v>
      </c>
      <c r="H1297">
        <f>VLOOKUP(Table2[[#This Row],[Customer ID]],Table2[#All],7,FALSE)</f>
        <v>1</v>
      </c>
      <c r="I1297" t="str">
        <f>VLOOKUP(Table2[[#This Row],[Customer ID]],Table2[#All],8,FALSE)</f>
        <v>No</v>
      </c>
      <c r="J1297" t="str">
        <f>VLOOKUP(Table2[[#This Row],[Customer ID]],Table2[#All],9,FALSE)</f>
        <v>Obesity</v>
      </c>
      <c r="K1297" t="str">
        <f>VLOOKUP(Table2[[#This Row],[Customer ID]],Table2[#All],10,FALSE)</f>
        <v>Prediabetes</v>
      </c>
    </row>
    <row r="1298" spans="1:11" ht="15.6" x14ac:dyDescent="0.3">
      <c r="A1298" s="1" t="s">
        <v>1074</v>
      </c>
      <c r="B1298" t="str">
        <f>VLOOKUP('Customer Names'!A1298,'Customer Names'!$A$1:$E$2336,4,FALSE)</f>
        <v>Mr.  Neil K.</v>
      </c>
      <c r="C1298">
        <f>VLOOKUP(Table2[[#This Row],[Customer ID]],Table2[#All],2,FALSE)</f>
        <v>36.200000000000003</v>
      </c>
      <c r="D1298">
        <f>VLOOKUP(Table2[[#This Row],[Customer ID]],Table2[#All],3,FALSE)</f>
        <v>4.62</v>
      </c>
      <c r="E1298" t="str">
        <f>VLOOKUP(Table2[[#This Row],[Customer ID]],Table2[#All],4,FALSE)</f>
        <v>No</v>
      </c>
      <c r="F1298" t="str">
        <f>VLOOKUP(Table2[[#This Row],[Customer ID]],Table2[#All],5,FALSE)</f>
        <v>No</v>
      </c>
      <c r="G1298" t="str">
        <f>VLOOKUP(Table2[[#This Row],[Customer ID]],Table2[#All],6,FALSE)</f>
        <v>No</v>
      </c>
      <c r="H1298">
        <f>VLOOKUP(Table2[[#This Row],[Customer ID]],Table2[#All],7,FALSE)</f>
        <v>2</v>
      </c>
      <c r="I1298" t="str">
        <f>VLOOKUP(Table2[[#This Row],[Customer ID]],Table2[#All],8,FALSE)</f>
        <v>No</v>
      </c>
      <c r="J1298" t="str">
        <f>VLOOKUP(Table2[[#This Row],[Customer ID]],Table2[#All],9,FALSE)</f>
        <v>Obesity</v>
      </c>
      <c r="K1298" t="str">
        <f>VLOOKUP(Table2[[#This Row],[Customer ID]],Table2[#All],10,FALSE)</f>
        <v>Normal</v>
      </c>
    </row>
    <row r="1299" spans="1:11" ht="15.6" x14ac:dyDescent="0.3">
      <c r="A1299" s="1" t="s">
        <v>1073</v>
      </c>
      <c r="B1299" t="str">
        <f>VLOOKUP('Customer Names'!A1299,'Customer Names'!$A$1:$E$2336,4,FALSE)</f>
        <v>Mrs.  Anne Hunter</v>
      </c>
      <c r="C1299">
        <f>VLOOKUP(Table2[[#This Row],[Customer ID]],Table2[#All],2,FALSE)</f>
        <v>27.13</v>
      </c>
      <c r="D1299">
        <f>VLOOKUP(Table2[[#This Row],[Customer ID]],Table2[#All],3,FALSE)</f>
        <v>5.59</v>
      </c>
      <c r="E1299" t="str">
        <f>VLOOKUP(Table2[[#This Row],[Customer ID]],Table2[#All],4,FALSE)</f>
        <v>No</v>
      </c>
      <c r="F1299" t="str">
        <f>VLOOKUP(Table2[[#This Row],[Customer ID]],Table2[#All],5,FALSE)</f>
        <v>No</v>
      </c>
      <c r="G1299" t="str">
        <f>VLOOKUP(Table2[[#This Row],[Customer ID]],Table2[#All],6,FALSE)</f>
        <v>No</v>
      </c>
      <c r="H1299">
        <f>VLOOKUP(Table2[[#This Row],[Customer ID]],Table2[#All],7,FALSE)</f>
        <v>1</v>
      </c>
      <c r="I1299" t="str">
        <f>VLOOKUP(Table2[[#This Row],[Customer ID]],Table2[#All],8,FALSE)</f>
        <v>No</v>
      </c>
      <c r="J1299" t="str">
        <f>VLOOKUP(Table2[[#This Row],[Customer ID]],Table2[#All],9,FALSE)</f>
        <v>Overweight</v>
      </c>
      <c r="K1299" t="str">
        <f>VLOOKUP(Table2[[#This Row],[Customer ID]],Table2[#All],10,FALSE)</f>
        <v>Normal</v>
      </c>
    </row>
    <row r="1300" spans="1:11" ht="15.6" x14ac:dyDescent="0.3">
      <c r="A1300" s="1" t="s">
        <v>1072</v>
      </c>
      <c r="B1300" t="str">
        <f>VLOOKUP('Customer Names'!A1300,'Customer Names'!$A$1:$E$2336,4,FALSE)</f>
        <v>Ms.  Sandra</v>
      </c>
      <c r="C1300">
        <f>VLOOKUP(Table2[[#This Row],[Customer ID]],Table2[#All],2,FALSE)</f>
        <v>20.75</v>
      </c>
      <c r="D1300">
        <f>VLOOKUP(Table2[[#This Row],[Customer ID]],Table2[#All],3,FALSE)</f>
        <v>5.18</v>
      </c>
      <c r="E1300" t="str">
        <f>VLOOKUP(Table2[[#This Row],[Customer ID]],Table2[#All],4,FALSE)</f>
        <v>Yes</v>
      </c>
      <c r="F1300" t="str">
        <f>VLOOKUP(Table2[[#This Row],[Customer ID]],Table2[#All],5,FALSE)</f>
        <v>No</v>
      </c>
      <c r="G1300" t="str">
        <f>VLOOKUP(Table2[[#This Row],[Customer ID]],Table2[#All],6,FALSE)</f>
        <v>No</v>
      </c>
      <c r="H1300">
        <f>VLOOKUP(Table2[[#This Row],[Customer ID]],Table2[#All],7,FALSE)</f>
        <v>2</v>
      </c>
      <c r="I1300" t="str">
        <f>VLOOKUP(Table2[[#This Row],[Customer ID]],Table2[#All],8,FALSE)</f>
        <v>No</v>
      </c>
      <c r="J1300" t="str">
        <f>VLOOKUP(Table2[[#This Row],[Customer ID]],Table2[#All],9,FALSE)</f>
        <v>Normalweight</v>
      </c>
      <c r="K1300" t="str">
        <f>VLOOKUP(Table2[[#This Row],[Customer ID]],Table2[#All],10,FALSE)</f>
        <v>Normal</v>
      </c>
    </row>
    <row r="1301" spans="1:11" ht="15.6" x14ac:dyDescent="0.3">
      <c r="A1301" s="1" t="s">
        <v>1071</v>
      </c>
      <c r="B1301" t="str">
        <f>VLOOKUP('Customer Names'!A1301,'Customer Names'!$A$1:$E$2336,4,FALSE)</f>
        <v>Mr.  Robert</v>
      </c>
      <c r="C1301">
        <f>VLOOKUP(Table2[[#This Row],[Customer ID]],Table2[#All],2,FALSE)</f>
        <v>26.6</v>
      </c>
      <c r="D1301">
        <f>VLOOKUP(Table2[[#This Row],[Customer ID]],Table2[#All],3,FALSE)</f>
        <v>6.29</v>
      </c>
      <c r="E1301" t="str">
        <f>VLOOKUP(Table2[[#This Row],[Customer ID]],Table2[#All],4,FALSE)</f>
        <v>No</v>
      </c>
      <c r="F1301" t="str">
        <f>VLOOKUP(Table2[[#This Row],[Customer ID]],Table2[#All],5,FALSE)</f>
        <v>No</v>
      </c>
      <c r="G1301" t="str">
        <f>VLOOKUP(Table2[[#This Row],[Customer ID]],Table2[#All],6,FALSE)</f>
        <v>No</v>
      </c>
      <c r="H1301">
        <f>VLOOKUP(Table2[[#This Row],[Customer ID]],Table2[#All],7,FALSE)</f>
        <v>2</v>
      </c>
      <c r="I1301" t="str">
        <f>VLOOKUP(Table2[[#This Row],[Customer ID]],Table2[#All],8,FALSE)</f>
        <v>No</v>
      </c>
      <c r="J1301" t="str">
        <f>VLOOKUP(Table2[[#This Row],[Customer ID]],Table2[#All],9,FALSE)</f>
        <v>Overweight</v>
      </c>
      <c r="K1301" t="str">
        <f>VLOOKUP(Table2[[#This Row],[Customer ID]],Table2[#All],10,FALSE)</f>
        <v>Prediabetes</v>
      </c>
    </row>
    <row r="1302" spans="1:11" ht="15.6" x14ac:dyDescent="0.3">
      <c r="A1302" s="1" t="s">
        <v>1070</v>
      </c>
      <c r="B1302" t="str">
        <f>VLOOKUP('Customer Names'!A1302,'Customer Names'!$A$1:$E$2336,4,FALSE)</f>
        <v>Mr.  Rodney</v>
      </c>
      <c r="C1302">
        <f>VLOOKUP(Table2[[#This Row],[Customer ID]],Table2[#All],2,FALSE)</f>
        <v>25.3</v>
      </c>
      <c r="D1302">
        <f>VLOOKUP(Table2[[#This Row],[Customer ID]],Table2[#All],3,FALSE)</f>
        <v>4.49</v>
      </c>
      <c r="E1302" t="str">
        <f>VLOOKUP(Table2[[#This Row],[Customer ID]],Table2[#All],4,FALSE)</f>
        <v>No</v>
      </c>
      <c r="F1302" t="str">
        <f>VLOOKUP(Table2[[#This Row],[Customer ID]],Table2[#All],5,FALSE)</f>
        <v>No</v>
      </c>
      <c r="G1302" t="str">
        <f>VLOOKUP(Table2[[#This Row],[Customer ID]],Table2[#All],6,FALSE)</f>
        <v>No</v>
      </c>
      <c r="H1302">
        <f>VLOOKUP(Table2[[#This Row],[Customer ID]],Table2[#All],7,FALSE)</f>
        <v>2</v>
      </c>
      <c r="I1302" t="str">
        <f>VLOOKUP(Table2[[#This Row],[Customer ID]],Table2[#All],8,FALSE)</f>
        <v>No</v>
      </c>
      <c r="J1302" t="str">
        <f>VLOOKUP(Table2[[#This Row],[Customer ID]],Table2[#All],9,FALSE)</f>
        <v>Overweight</v>
      </c>
      <c r="K1302" t="str">
        <f>VLOOKUP(Table2[[#This Row],[Customer ID]],Table2[#All],10,FALSE)</f>
        <v>Normal</v>
      </c>
    </row>
    <row r="1303" spans="1:11" ht="15.6" x14ac:dyDescent="0.3">
      <c r="A1303" s="1" t="s">
        <v>1069</v>
      </c>
      <c r="B1303" t="str">
        <f>VLOOKUP('Customer Names'!A1303,'Customer Names'!$A$1:$E$2336,4,FALSE)</f>
        <v>Mr.  Carl R</v>
      </c>
      <c r="C1303">
        <f>VLOOKUP(Table2[[#This Row],[Customer ID]],Table2[#All],2,FALSE)</f>
        <v>18.84</v>
      </c>
      <c r="D1303">
        <f>VLOOKUP(Table2[[#This Row],[Customer ID]],Table2[#All],3,FALSE)</f>
        <v>11.82</v>
      </c>
      <c r="E1303" t="str">
        <f>VLOOKUP(Table2[[#This Row],[Customer ID]],Table2[#All],4,FALSE)</f>
        <v>Yes</v>
      </c>
      <c r="F1303" t="str">
        <f>VLOOKUP(Table2[[#This Row],[Customer ID]],Table2[#All],5,FALSE)</f>
        <v>No</v>
      </c>
      <c r="G1303" t="str">
        <f>VLOOKUP(Table2[[#This Row],[Customer ID]],Table2[#All],6,FALSE)</f>
        <v>Yes</v>
      </c>
      <c r="H1303">
        <f>VLOOKUP(Table2[[#This Row],[Customer ID]],Table2[#All],7,FALSE)</f>
        <v>1</v>
      </c>
      <c r="I1303" t="str">
        <f>VLOOKUP(Table2[[#This Row],[Customer ID]],Table2[#All],8,FALSE)</f>
        <v>No</v>
      </c>
      <c r="J1303" t="str">
        <f>VLOOKUP(Table2[[#This Row],[Customer ID]],Table2[#All],9,FALSE)</f>
        <v>Normalweight</v>
      </c>
      <c r="K1303" t="str">
        <f>VLOOKUP(Table2[[#This Row],[Customer ID]],Table2[#All],10,FALSE)</f>
        <v>Diabetes</v>
      </c>
    </row>
    <row r="1304" spans="1:11" ht="15.6" x14ac:dyDescent="0.3">
      <c r="A1304" s="1" t="s">
        <v>1068</v>
      </c>
      <c r="B1304" t="str">
        <f>VLOOKUP('Customer Names'!A1304,'Customer Names'!$A$1:$E$2336,4,FALSE)</f>
        <v>Mr.  Maximilian</v>
      </c>
      <c r="C1304">
        <f>VLOOKUP(Table2[[#This Row],[Customer ID]],Table2[#All],2,FALSE)</f>
        <v>19.57</v>
      </c>
      <c r="D1304">
        <f>VLOOKUP(Table2[[#This Row],[Customer ID]],Table2[#All],3,FALSE)</f>
        <v>7.41</v>
      </c>
      <c r="E1304" t="str">
        <f>VLOOKUP(Table2[[#This Row],[Customer ID]],Table2[#All],4,FALSE)</f>
        <v>Yes</v>
      </c>
      <c r="F1304" t="str">
        <f>VLOOKUP(Table2[[#This Row],[Customer ID]],Table2[#All],5,FALSE)</f>
        <v>No</v>
      </c>
      <c r="G1304" t="str">
        <f>VLOOKUP(Table2[[#This Row],[Customer ID]],Table2[#All],6,FALSE)</f>
        <v>No</v>
      </c>
      <c r="H1304">
        <f>VLOOKUP(Table2[[#This Row],[Customer ID]],Table2[#All],7,FALSE)</f>
        <v>1</v>
      </c>
      <c r="I1304" t="str">
        <f>VLOOKUP(Table2[[#This Row],[Customer ID]],Table2[#All],8,FALSE)</f>
        <v>No</v>
      </c>
      <c r="J1304" t="str">
        <f>VLOOKUP(Table2[[#This Row],[Customer ID]],Table2[#All],9,FALSE)</f>
        <v>Normalweight</v>
      </c>
      <c r="K1304" t="str">
        <f>VLOOKUP(Table2[[#This Row],[Customer ID]],Table2[#All],10,FALSE)</f>
        <v>Diabetes</v>
      </c>
    </row>
    <row r="1305" spans="1:11" ht="15.6" x14ac:dyDescent="0.3">
      <c r="A1305" s="1" t="s">
        <v>1067</v>
      </c>
      <c r="B1305" t="str">
        <f>VLOOKUP('Customer Names'!A1305,'Customer Names'!$A$1:$E$2336,4,FALSE)</f>
        <v>Mr.  Erik</v>
      </c>
      <c r="C1305">
        <f>VLOOKUP(Table2[[#This Row],[Customer ID]],Table2[#All],2,FALSE)</f>
        <v>30.495000000000001</v>
      </c>
      <c r="D1305">
        <f>VLOOKUP(Table2[[#This Row],[Customer ID]],Table2[#All],3,FALSE)</f>
        <v>5.97</v>
      </c>
      <c r="E1305" t="str">
        <f>VLOOKUP(Table2[[#This Row],[Customer ID]],Table2[#All],4,FALSE)</f>
        <v>No</v>
      </c>
      <c r="F1305" t="str">
        <f>VLOOKUP(Table2[[#This Row],[Customer ID]],Table2[#All],5,FALSE)</f>
        <v>No</v>
      </c>
      <c r="G1305" t="str">
        <f>VLOOKUP(Table2[[#This Row],[Customer ID]],Table2[#All],6,FALSE)</f>
        <v>No</v>
      </c>
      <c r="H1305">
        <f>VLOOKUP(Table2[[#This Row],[Customer ID]],Table2[#All],7,FALSE)</f>
        <v>0</v>
      </c>
      <c r="I1305" t="str">
        <f>VLOOKUP(Table2[[#This Row],[Customer ID]],Table2[#All],8,FALSE)</f>
        <v>No</v>
      </c>
      <c r="J1305" t="str">
        <f>VLOOKUP(Table2[[#This Row],[Customer ID]],Table2[#All],9,FALSE)</f>
        <v>Obesity</v>
      </c>
      <c r="K1305" t="str">
        <f>VLOOKUP(Table2[[#This Row],[Customer ID]],Table2[#All],10,FALSE)</f>
        <v>Prediabetes</v>
      </c>
    </row>
    <row r="1306" spans="1:11" ht="15.6" x14ac:dyDescent="0.3">
      <c r="A1306" s="1" t="s">
        <v>1066</v>
      </c>
      <c r="B1306" t="str">
        <f>VLOOKUP('Customer Names'!A1306,'Customer Names'!$A$1:$E$2336,4,FALSE)</f>
        <v>Mr.  Christopher</v>
      </c>
      <c r="C1306">
        <f>VLOOKUP(Table2[[#This Row],[Customer ID]],Table2[#All],2,FALSE)</f>
        <v>30.114999999999998</v>
      </c>
      <c r="D1306">
        <f>VLOOKUP(Table2[[#This Row],[Customer ID]],Table2[#All],3,FALSE)</f>
        <v>5.74</v>
      </c>
      <c r="E1306" t="str">
        <f>VLOOKUP(Table2[[#This Row],[Customer ID]],Table2[#All],4,FALSE)</f>
        <v>No</v>
      </c>
      <c r="F1306" t="str">
        <f>VLOOKUP(Table2[[#This Row],[Customer ID]],Table2[#All],5,FALSE)</f>
        <v>No</v>
      </c>
      <c r="G1306" t="str">
        <f>VLOOKUP(Table2[[#This Row],[Customer ID]],Table2[#All],6,FALSE)</f>
        <v>Yes</v>
      </c>
      <c r="H1306">
        <f>VLOOKUP(Table2[[#This Row],[Customer ID]],Table2[#All],7,FALSE)</f>
        <v>1</v>
      </c>
      <c r="I1306" t="str">
        <f>VLOOKUP(Table2[[#This Row],[Customer ID]],Table2[#All],8,FALSE)</f>
        <v>No</v>
      </c>
      <c r="J1306" t="str">
        <f>VLOOKUP(Table2[[#This Row],[Customer ID]],Table2[#All],9,FALSE)</f>
        <v>Obesity</v>
      </c>
      <c r="K1306" t="str">
        <f>VLOOKUP(Table2[[#This Row],[Customer ID]],Table2[#All],10,FALSE)</f>
        <v>Prediabetes</v>
      </c>
    </row>
    <row r="1307" spans="1:11" ht="15.6" x14ac:dyDescent="0.3">
      <c r="A1307" s="1" t="s">
        <v>1065</v>
      </c>
      <c r="B1307" t="str">
        <f>VLOOKUP('Customer Names'!A1307,'Customer Names'!$A$1:$E$2336,4,FALSE)</f>
        <v>Mr.  Eirik</v>
      </c>
      <c r="C1307">
        <f>VLOOKUP(Table2[[#This Row],[Customer ID]],Table2[#All],2,FALSE)</f>
        <v>24.78</v>
      </c>
      <c r="D1307">
        <f>VLOOKUP(Table2[[#This Row],[Customer ID]],Table2[#All],3,FALSE)</f>
        <v>9.85</v>
      </c>
      <c r="E1307" t="str">
        <f>VLOOKUP(Table2[[#This Row],[Customer ID]],Table2[#All],4,FALSE)</f>
        <v>No</v>
      </c>
      <c r="F1307" t="str">
        <f>VLOOKUP(Table2[[#This Row],[Customer ID]],Table2[#All],5,FALSE)</f>
        <v>No</v>
      </c>
      <c r="G1307" t="str">
        <f>VLOOKUP(Table2[[#This Row],[Customer ID]],Table2[#All],6,FALSE)</f>
        <v>No</v>
      </c>
      <c r="H1307">
        <f>VLOOKUP(Table2[[#This Row],[Customer ID]],Table2[#All],7,FALSE)</f>
        <v>0</v>
      </c>
      <c r="I1307" t="str">
        <f>VLOOKUP(Table2[[#This Row],[Customer ID]],Table2[#All],8,FALSE)</f>
        <v>No</v>
      </c>
      <c r="J1307" t="str">
        <f>VLOOKUP(Table2[[#This Row],[Customer ID]],Table2[#All],9,FALSE)</f>
        <v>Normalweight</v>
      </c>
      <c r="K1307" t="str">
        <f>VLOOKUP(Table2[[#This Row],[Customer ID]],Table2[#All],10,FALSE)</f>
        <v>Diabetes</v>
      </c>
    </row>
    <row r="1308" spans="1:11" ht="15.6" x14ac:dyDescent="0.3">
      <c r="A1308" s="1" t="s">
        <v>1064</v>
      </c>
      <c r="B1308" t="str">
        <f>VLOOKUP('Customer Names'!A1308,'Customer Names'!$A$1:$E$2336,4,FALSE)</f>
        <v>Mr.  Rik</v>
      </c>
      <c r="C1308">
        <f>VLOOKUP(Table2[[#This Row],[Customer ID]],Table2[#All],2,FALSE)</f>
        <v>24.77</v>
      </c>
      <c r="D1308">
        <f>VLOOKUP(Table2[[#This Row],[Customer ID]],Table2[#All],3,FALSE)</f>
        <v>7.59</v>
      </c>
      <c r="E1308" t="str">
        <f>VLOOKUP(Table2[[#This Row],[Customer ID]],Table2[#All],4,FALSE)</f>
        <v>No</v>
      </c>
      <c r="F1308" t="str">
        <f>VLOOKUP(Table2[[#This Row],[Customer ID]],Table2[#All],5,FALSE)</f>
        <v>No</v>
      </c>
      <c r="G1308" t="str">
        <f>VLOOKUP(Table2[[#This Row],[Customer ID]],Table2[#All],6,FALSE)</f>
        <v>No</v>
      </c>
      <c r="H1308">
        <f>VLOOKUP(Table2[[#This Row],[Customer ID]],Table2[#All],7,FALSE)</f>
        <v>0</v>
      </c>
      <c r="I1308" t="str">
        <f>VLOOKUP(Table2[[#This Row],[Customer ID]],Table2[#All],8,FALSE)</f>
        <v>No</v>
      </c>
      <c r="J1308" t="str">
        <f>VLOOKUP(Table2[[#This Row],[Customer ID]],Table2[#All],9,FALSE)</f>
        <v>Normalweight</v>
      </c>
      <c r="K1308" t="str">
        <f>VLOOKUP(Table2[[#This Row],[Customer ID]],Table2[#All],10,FALSE)</f>
        <v>Diabetes</v>
      </c>
    </row>
    <row r="1309" spans="1:11" ht="15.6" x14ac:dyDescent="0.3">
      <c r="A1309" s="1" t="s">
        <v>1063</v>
      </c>
      <c r="B1309" t="str">
        <f>VLOOKUP('Customer Names'!A1309,'Customer Names'!$A$1:$E$2336,4,FALSE)</f>
        <v>Mr.  Matthew R</v>
      </c>
      <c r="C1309">
        <f>VLOOKUP(Table2[[#This Row],[Customer ID]],Table2[#All],2,FALSE)</f>
        <v>16.579999999999998</v>
      </c>
      <c r="D1309">
        <f>VLOOKUP(Table2[[#This Row],[Customer ID]],Table2[#All],3,FALSE)</f>
        <v>6.98</v>
      </c>
      <c r="E1309" t="str">
        <f>VLOOKUP(Table2[[#This Row],[Customer ID]],Table2[#All],4,FALSE)</f>
        <v>Yes</v>
      </c>
      <c r="F1309" t="str">
        <f>VLOOKUP(Table2[[#This Row],[Customer ID]],Table2[#All],5,FALSE)</f>
        <v>No</v>
      </c>
      <c r="G1309" t="str">
        <f>VLOOKUP(Table2[[#This Row],[Customer ID]],Table2[#All],6,FALSE)</f>
        <v>Yes</v>
      </c>
      <c r="H1309">
        <f>VLOOKUP(Table2[[#This Row],[Customer ID]],Table2[#All],7,FALSE)</f>
        <v>1</v>
      </c>
      <c r="I1309" t="str">
        <f>VLOOKUP(Table2[[#This Row],[Customer ID]],Table2[#All],8,FALSE)</f>
        <v>No</v>
      </c>
      <c r="J1309" t="str">
        <f>VLOOKUP(Table2[[#This Row],[Customer ID]],Table2[#All],9,FALSE)</f>
        <v>Underweight</v>
      </c>
      <c r="K1309" t="str">
        <f>VLOOKUP(Table2[[#This Row],[Customer ID]],Table2[#All],10,FALSE)</f>
        <v>Diabetes</v>
      </c>
    </row>
    <row r="1310" spans="1:11" ht="15.6" x14ac:dyDescent="0.3">
      <c r="A1310" s="1" t="s">
        <v>1062</v>
      </c>
      <c r="B1310" t="str">
        <f>VLOOKUP('Customer Names'!A1310,'Customer Names'!$A$1:$E$2336,4,FALSE)</f>
        <v>Mr.  Daniel G</v>
      </c>
      <c r="C1310">
        <f>VLOOKUP(Table2[[#This Row],[Customer ID]],Table2[#All],2,FALSE)</f>
        <v>38.17</v>
      </c>
      <c r="D1310">
        <f>VLOOKUP(Table2[[#This Row],[Customer ID]],Table2[#All],3,FALSE)</f>
        <v>4.7300000000000004</v>
      </c>
      <c r="E1310" t="str">
        <f>VLOOKUP(Table2[[#This Row],[Customer ID]],Table2[#All],4,FALSE)</f>
        <v>Yes</v>
      </c>
      <c r="F1310" t="str">
        <f>VLOOKUP(Table2[[#This Row],[Customer ID]],Table2[#All],5,FALSE)</f>
        <v>No</v>
      </c>
      <c r="G1310" t="str">
        <f>VLOOKUP(Table2[[#This Row],[Customer ID]],Table2[#All],6,FALSE)</f>
        <v>No</v>
      </c>
      <c r="H1310">
        <f>VLOOKUP(Table2[[#This Row],[Customer ID]],Table2[#All],7,FALSE)</f>
        <v>0</v>
      </c>
      <c r="I1310" t="str">
        <f>VLOOKUP(Table2[[#This Row],[Customer ID]],Table2[#All],8,FALSE)</f>
        <v>No</v>
      </c>
      <c r="J1310" t="str">
        <f>VLOOKUP(Table2[[#This Row],[Customer ID]],Table2[#All],9,FALSE)</f>
        <v>Obesity</v>
      </c>
      <c r="K1310" t="str">
        <f>VLOOKUP(Table2[[#This Row],[Customer ID]],Table2[#All],10,FALSE)</f>
        <v>Normal</v>
      </c>
    </row>
    <row r="1311" spans="1:11" ht="15.6" x14ac:dyDescent="0.3">
      <c r="A1311" s="1" t="s">
        <v>1061</v>
      </c>
      <c r="B1311" t="str">
        <f>VLOOKUP('Customer Names'!A1311,'Customer Names'!$A$1:$E$2336,4,FALSE)</f>
        <v>Mr.  Yannick</v>
      </c>
      <c r="C1311">
        <f>VLOOKUP(Table2[[#This Row],[Customer ID]],Table2[#All],2,FALSE)</f>
        <v>39.424999999999997</v>
      </c>
      <c r="D1311">
        <f>VLOOKUP(Table2[[#This Row],[Customer ID]],Table2[#All],3,FALSE)</f>
        <v>4.76</v>
      </c>
      <c r="E1311" t="str">
        <f>VLOOKUP(Table2[[#This Row],[Customer ID]],Table2[#All],4,FALSE)</f>
        <v>Yes</v>
      </c>
      <c r="F1311" t="str">
        <f>VLOOKUP(Table2[[#This Row],[Customer ID]],Table2[#All],5,FALSE)</f>
        <v>No</v>
      </c>
      <c r="G1311" t="str">
        <f>VLOOKUP(Table2[[#This Row],[Customer ID]],Table2[#All],6,FALSE)</f>
        <v>No</v>
      </c>
      <c r="H1311">
        <f>VLOOKUP(Table2[[#This Row],[Customer ID]],Table2[#All],7,FALSE)</f>
        <v>0</v>
      </c>
      <c r="I1311" t="str">
        <f>VLOOKUP(Table2[[#This Row],[Customer ID]],Table2[#All],8,FALSE)</f>
        <v>No</v>
      </c>
      <c r="J1311" t="str">
        <f>VLOOKUP(Table2[[#This Row],[Customer ID]],Table2[#All],9,FALSE)</f>
        <v>Obesity</v>
      </c>
      <c r="K1311" t="str">
        <f>VLOOKUP(Table2[[#This Row],[Customer ID]],Table2[#All],10,FALSE)</f>
        <v>Normal</v>
      </c>
    </row>
    <row r="1312" spans="1:11" ht="15.6" x14ac:dyDescent="0.3">
      <c r="A1312" s="1" t="s">
        <v>1060</v>
      </c>
      <c r="B1312" t="str">
        <f>VLOOKUP('Customer Names'!A1312,'Customer Names'!$A$1:$E$2336,4,FALSE)</f>
        <v>Mr.  Sean R</v>
      </c>
      <c r="C1312">
        <f>VLOOKUP(Table2[[#This Row],[Customer ID]],Table2[#All],2,FALSE)</f>
        <v>33.44</v>
      </c>
      <c r="D1312">
        <f>VLOOKUP(Table2[[#This Row],[Customer ID]],Table2[#All],3,FALSE)</f>
        <v>6.24</v>
      </c>
      <c r="E1312" t="str">
        <f>VLOOKUP(Table2[[#This Row],[Customer ID]],Table2[#All],4,FALSE)</f>
        <v>Yes</v>
      </c>
      <c r="F1312" t="str">
        <f>VLOOKUP(Table2[[#This Row],[Customer ID]],Table2[#All],5,FALSE)</f>
        <v>No</v>
      </c>
      <c r="G1312" t="str">
        <f>VLOOKUP(Table2[[#This Row],[Customer ID]],Table2[#All],6,FALSE)</f>
        <v>No</v>
      </c>
      <c r="H1312">
        <f>VLOOKUP(Table2[[#This Row],[Customer ID]],Table2[#All],7,FALSE)</f>
        <v>0</v>
      </c>
      <c r="I1312" t="str">
        <f>VLOOKUP(Table2[[#This Row],[Customer ID]],Table2[#All],8,FALSE)</f>
        <v>No</v>
      </c>
      <c r="J1312" t="str">
        <f>VLOOKUP(Table2[[#This Row],[Customer ID]],Table2[#All],9,FALSE)</f>
        <v>Obesity</v>
      </c>
      <c r="K1312" t="str">
        <f>VLOOKUP(Table2[[#This Row],[Customer ID]],Table2[#All],10,FALSE)</f>
        <v>Prediabetes</v>
      </c>
    </row>
    <row r="1313" spans="1:11" ht="15.6" x14ac:dyDescent="0.3">
      <c r="A1313" s="1" t="s">
        <v>1059</v>
      </c>
      <c r="B1313" t="str">
        <f>VLOOKUP('Customer Names'!A1313,'Customer Names'!$A$1:$E$2336,4,FALSE)</f>
        <v>Mr.  Peter</v>
      </c>
      <c r="C1313">
        <f>VLOOKUP(Table2[[#This Row],[Customer ID]],Table2[#All],2,FALSE)</f>
        <v>33.344999999999999</v>
      </c>
      <c r="D1313">
        <f>VLOOKUP(Table2[[#This Row],[Customer ID]],Table2[#All],3,FALSE)</f>
        <v>5.44</v>
      </c>
      <c r="E1313" t="str">
        <f>VLOOKUP(Table2[[#This Row],[Customer ID]],Table2[#All],4,FALSE)</f>
        <v>Yes</v>
      </c>
      <c r="F1313" t="str">
        <f>VLOOKUP(Table2[[#This Row],[Customer ID]],Table2[#All],5,FALSE)</f>
        <v>No</v>
      </c>
      <c r="G1313" t="str">
        <f>VLOOKUP(Table2[[#This Row],[Customer ID]],Table2[#All],6,FALSE)</f>
        <v>No</v>
      </c>
      <c r="H1313">
        <f>VLOOKUP(Table2[[#This Row],[Customer ID]],Table2[#All],7,FALSE)</f>
        <v>0</v>
      </c>
      <c r="I1313" t="str">
        <f>VLOOKUP(Table2[[#This Row],[Customer ID]],Table2[#All],8,FALSE)</f>
        <v>No</v>
      </c>
      <c r="J1313" t="str">
        <f>VLOOKUP(Table2[[#This Row],[Customer ID]],Table2[#All],9,FALSE)</f>
        <v>Obesity</v>
      </c>
      <c r="K1313" t="str">
        <f>VLOOKUP(Table2[[#This Row],[Customer ID]],Table2[#All],10,FALSE)</f>
        <v>Normal</v>
      </c>
    </row>
    <row r="1314" spans="1:11" ht="15.6" x14ac:dyDescent="0.3">
      <c r="A1314" s="1" t="s">
        <v>1058</v>
      </c>
      <c r="B1314" t="str">
        <f>VLOOKUP('Customer Names'!A1314,'Customer Names'!$A$1:$E$2336,4,FALSE)</f>
        <v>Ms.  Sara A.</v>
      </c>
      <c r="C1314">
        <f>VLOOKUP(Table2[[#This Row],[Customer ID]],Table2[#All],2,FALSE)</f>
        <v>38.79</v>
      </c>
      <c r="D1314">
        <f>VLOOKUP(Table2[[#This Row],[Customer ID]],Table2[#All],3,FALSE)</f>
        <v>5.08</v>
      </c>
      <c r="E1314" t="str">
        <f>VLOOKUP(Table2[[#This Row],[Customer ID]],Table2[#All],4,FALSE)</f>
        <v>No</v>
      </c>
      <c r="F1314" t="str">
        <f>VLOOKUP(Table2[[#This Row],[Customer ID]],Table2[#All],5,FALSE)</f>
        <v>No</v>
      </c>
      <c r="G1314" t="str">
        <f>VLOOKUP(Table2[[#This Row],[Customer ID]],Table2[#All],6,FALSE)</f>
        <v>Yes</v>
      </c>
      <c r="H1314">
        <f>VLOOKUP(Table2[[#This Row],[Customer ID]],Table2[#All],7,FALSE)</f>
        <v>1</v>
      </c>
      <c r="I1314" t="str">
        <f>VLOOKUP(Table2[[#This Row],[Customer ID]],Table2[#All],8,FALSE)</f>
        <v>No</v>
      </c>
      <c r="J1314" t="str">
        <f>VLOOKUP(Table2[[#This Row],[Customer ID]],Table2[#All],9,FALSE)</f>
        <v>Obesity</v>
      </c>
      <c r="K1314" t="str">
        <f>VLOOKUP(Table2[[#This Row],[Customer ID]],Table2[#All],10,FALSE)</f>
        <v>Normal</v>
      </c>
    </row>
    <row r="1315" spans="1:11" ht="15.6" x14ac:dyDescent="0.3">
      <c r="A1315" s="1" t="s">
        <v>1057</v>
      </c>
      <c r="B1315" t="str">
        <f>VLOOKUP('Customer Names'!A1315,'Customer Names'!$A$1:$E$2336,4,FALSE)</f>
        <v>Ms.  Erin C.</v>
      </c>
      <c r="C1315">
        <f>VLOOKUP(Table2[[#This Row],[Customer ID]],Table2[#All],2,FALSE)</f>
        <v>30.684999999999999</v>
      </c>
      <c r="D1315">
        <f>VLOOKUP(Table2[[#This Row],[Customer ID]],Table2[#All],3,FALSE)</f>
        <v>4.87</v>
      </c>
      <c r="E1315" t="str">
        <f>VLOOKUP(Table2[[#This Row],[Customer ID]],Table2[#All],4,FALSE)</f>
        <v>No</v>
      </c>
      <c r="F1315" t="str">
        <f>VLOOKUP(Table2[[#This Row],[Customer ID]],Table2[#All],5,FALSE)</f>
        <v>No</v>
      </c>
      <c r="G1315" t="str">
        <f>VLOOKUP(Table2[[#This Row],[Customer ID]],Table2[#All],6,FALSE)</f>
        <v>Yes</v>
      </c>
      <c r="H1315">
        <f>VLOOKUP(Table2[[#This Row],[Customer ID]],Table2[#All],7,FALSE)</f>
        <v>1</v>
      </c>
      <c r="I1315" t="str">
        <f>VLOOKUP(Table2[[#This Row],[Customer ID]],Table2[#All],8,FALSE)</f>
        <v>No</v>
      </c>
      <c r="J1315" t="str">
        <f>VLOOKUP(Table2[[#This Row],[Customer ID]],Table2[#All],9,FALSE)</f>
        <v>Obesity</v>
      </c>
      <c r="K1315" t="str">
        <f>VLOOKUP(Table2[[#This Row],[Customer ID]],Table2[#All],10,FALSE)</f>
        <v>Normal</v>
      </c>
    </row>
    <row r="1316" spans="1:11" ht="15.6" x14ac:dyDescent="0.3">
      <c r="A1316" s="1" t="s">
        <v>1056</v>
      </c>
      <c r="B1316" t="str">
        <f>VLOOKUP('Customer Names'!A1316,'Customer Names'!$A$1:$E$2336,4,FALSE)</f>
        <v>Mr.  Thibaud</v>
      </c>
      <c r="C1316">
        <f>VLOOKUP(Table2[[#This Row],[Customer ID]],Table2[#All],2,FALSE)</f>
        <v>22.135000000000002</v>
      </c>
      <c r="D1316">
        <f>VLOOKUP(Table2[[#This Row],[Customer ID]],Table2[#All],3,FALSE)</f>
        <v>8.17</v>
      </c>
      <c r="E1316" t="str">
        <f>VLOOKUP(Table2[[#This Row],[Customer ID]],Table2[#All],4,FALSE)</f>
        <v>No</v>
      </c>
      <c r="F1316" t="str">
        <f>VLOOKUP(Table2[[#This Row],[Customer ID]],Table2[#All],5,FALSE)</f>
        <v>No</v>
      </c>
      <c r="G1316" t="str">
        <f>VLOOKUP(Table2[[#This Row],[Customer ID]],Table2[#All],6,FALSE)</f>
        <v>No</v>
      </c>
      <c r="H1316">
        <f>VLOOKUP(Table2[[#This Row],[Customer ID]],Table2[#All],7,FALSE)</f>
        <v>0</v>
      </c>
      <c r="I1316" t="str">
        <f>VLOOKUP(Table2[[#This Row],[Customer ID]],Table2[#All],8,FALSE)</f>
        <v>No</v>
      </c>
      <c r="J1316" t="str">
        <f>VLOOKUP(Table2[[#This Row],[Customer ID]],Table2[#All],9,FALSE)</f>
        <v>Normalweight</v>
      </c>
      <c r="K1316" t="str">
        <f>VLOOKUP(Table2[[#This Row],[Customer ID]],Table2[#All],10,FALSE)</f>
        <v>Diabetes</v>
      </c>
    </row>
    <row r="1317" spans="1:11" ht="15.6" x14ac:dyDescent="0.3">
      <c r="A1317" s="1" t="s">
        <v>1055</v>
      </c>
      <c r="B1317" t="str">
        <f>VLOOKUP('Customer Names'!A1317,'Customer Names'!$A$1:$E$2336,4,FALSE)</f>
        <v>Ms.  Lisa</v>
      </c>
      <c r="C1317">
        <f>VLOOKUP(Table2[[#This Row],[Customer ID]],Table2[#All],2,FALSE)</f>
        <v>33.33</v>
      </c>
      <c r="D1317">
        <f>VLOOKUP(Table2[[#This Row],[Customer ID]],Table2[#All],3,FALSE)</f>
        <v>7.61</v>
      </c>
      <c r="E1317" t="str">
        <f>VLOOKUP(Table2[[#This Row],[Customer ID]],Table2[#All],4,FALSE)</f>
        <v>No</v>
      </c>
      <c r="F1317" t="str">
        <f>VLOOKUP(Table2[[#This Row],[Customer ID]],Table2[#All],5,FALSE)</f>
        <v>No</v>
      </c>
      <c r="G1317" t="str">
        <f>VLOOKUP(Table2[[#This Row],[Customer ID]],Table2[#All],6,FALSE)</f>
        <v>No</v>
      </c>
      <c r="H1317">
        <f>VLOOKUP(Table2[[#This Row],[Customer ID]],Table2[#All],7,FALSE)</f>
        <v>0</v>
      </c>
      <c r="I1317" t="str">
        <f>VLOOKUP(Table2[[#This Row],[Customer ID]],Table2[#All],8,FALSE)</f>
        <v>No</v>
      </c>
      <c r="J1317" t="str">
        <f>VLOOKUP(Table2[[#This Row],[Customer ID]],Table2[#All],9,FALSE)</f>
        <v>Obesity</v>
      </c>
      <c r="K1317" t="str">
        <f>VLOOKUP(Table2[[#This Row],[Customer ID]],Table2[#All],10,FALSE)</f>
        <v>Diabetes</v>
      </c>
    </row>
    <row r="1318" spans="1:11" ht="15.6" x14ac:dyDescent="0.3">
      <c r="A1318" s="1" t="s">
        <v>1054</v>
      </c>
      <c r="B1318" t="str">
        <f>VLOOKUP('Customer Names'!A1318,'Customer Names'!$A$1:$E$2336,4,FALSE)</f>
        <v>Ms.  Gretchen K.</v>
      </c>
      <c r="C1318">
        <f>VLOOKUP(Table2[[#This Row],[Customer ID]],Table2[#All],2,FALSE)</f>
        <v>31.13</v>
      </c>
      <c r="D1318">
        <f>VLOOKUP(Table2[[#This Row],[Customer ID]],Table2[#All],3,FALSE)</f>
        <v>10.1</v>
      </c>
      <c r="E1318" t="str">
        <f>VLOOKUP(Table2[[#This Row],[Customer ID]],Table2[#All],4,FALSE)</f>
        <v>No</v>
      </c>
      <c r="F1318" t="str">
        <f>VLOOKUP(Table2[[#This Row],[Customer ID]],Table2[#All],5,FALSE)</f>
        <v>No</v>
      </c>
      <c r="G1318" t="str">
        <f>VLOOKUP(Table2[[#This Row],[Customer ID]],Table2[#All],6,FALSE)</f>
        <v>No</v>
      </c>
      <c r="H1318">
        <f>VLOOKUP(Table2[[#This Row],[Customer ID]],Table2[#All],7,FALSE)</f>
        <v>0</v>
      </c>
      <c r="I1318" t="str">
        <f>VLOOKUP(Table2[[#This Row],[Customer ID]],Table2[#All],8,FALSE)</f>
        <v>No</v>
      </c>
      <c r="J1318" t="str">
        <f>VLOOKUP(Table2[[#This Row],[Customer ID]],Table2[#All],9,FALSE)</f>
        <v>Obesity</v>
      </c>
      <c r="K1318" t="str">
        <f>VLOOKUP(Table2[[#This Row],[Customer ID]],Table2[#All],10,FALSE)</f>
        <v>Diabetes</v>
      </c>
    </row>
    <row r="1319" spans="1:11" ht="15.6" x14ac:dyDescent="0.3">
      <c r="A1319" s="1" t="s">
        <v>1053</v>
      </c>
      <c r="B1319" t="str">
        <f>VLOOKUP('Customer Names'!A1319,'Customer Names'!$A$1:$E$2336,4,FALSE)</f>
        <v>Ms.  Martina</v>
      </c>
      <c r="C1319">
        <f>VLOOKUP(Table2[[#This Row],[Customer ID]],Table2[#All],2,FALSE)</f>
        <v>28.9</v>
      </c>
      <c r="D1319">
        <f>VLOOKUP(Table2[[#This Row],[Customer ID]],Table2[#All],3,FALSE)</f>
        <v>11.24</v>
      </c>
      <c r="E1319" t="str">
        <f>VLOOKUP(Table2[[#This Row],[Customer ID]],Table2[#All],4,FALSE)</f>
        <v>No</v>
      </c>
      <c r="F1319" t="str">
        <f>VLOOKUP(Table2[[#This Row],[Customer ID]],Table2[#All],5,FALSE)</f>
        <v>No</v>
      </c>
      <c r="G1319" t="str">
        <f>VLOOKUP(Table2[[#This Row],[Customer ID]],Table2[#All],6,FALSE)</f>
        <v>No</v>
      </c>
      <c r="H1319">
        <f>VLOOKUP(Table2[[#This Row],[Customer ID]],Table2[#All],7,FALSE)</f>
        <v>0</v>
      </c>
      <c r="I1319" t="str">
        <f>VLOOKUP(Table2[[#This Row],[Customer ID]],Table2[#All],8,FALSE)</f>
        <v>No</v>
      </c>
      <c r="J1319" t="str">
        <f>VLOOKUP(Table2[[#This Row],[Customer ID]],Table2[#All],9,FALSE)</f>
        <v>Overweight</v>
      </c>
      <c r="K1319" t="str">
        <f>VLOOKUP(Table2[[#This Row],[Customer ID]],Table2[#All],10,FALSE)</f>
        <v>Diabetes</v>
      </c>
    </row>
    <row r="1320" spans="1:11" ht="15.6" x14ac:dyDescent="0.3">
      <c r="A1320" s="1" t="s">
        <v>1052</v>
      </c>
      <c r="B1320" t="str">
        <f>VLOOKUP('Customer Names'!A1320,'Customer Names'!$A$1:$E$2336,4,FALSE)</f>
        <v>Mr.  Dustin J</v>
      </c>
      <c r="C1320">
        <f>VLOOKUP(Table2[[#This Row],[Customer ID]],Table2[#All],2,FALSE)</f>
        <v>43.31</v>
      </c>
      <c r="D1320">
        <f>VLOOKUP(Table2[[#This Row],[Customer ID]],Table2[#All],3,FALSE)</f>
        <v>6.1</v>
      </c>
      <c r="E1320" t="str">
        <f>VLOOKUP(Table2[[#This Row],[Customer ID]],Table2[#All],4,FALSE)</f>
        <v>Yes</v>
      </c>
      <c r="F1320" t="str">
        <f>VLOOKUP(Table2[[#This Row],[Customer ID]],Table2[#All],5,FALSE)</f>
        <v>yes</v>
      </c>
      <c r="G1320" t="str">
        <f>VLOOKUP(Table2[[#This Row],[Customer ID]],Table2[#All],6,FALSE)</f>
        <v>No</v>
      </c>
      <c r="H1320">
        <f>VLOOKUP(Table2[[#This Row],[Customer ID]],Table2[#All],7,FALSE)</f>
        <v>1</v>
      </c>
      <c r="I1320" t="str">
        <f>VLOOKUP(Table2[[#This Row],[Customer ID]],Table2[#All],8,FALSE)</f>
        <v>No</v>
      </c>
      <c r="J1320" t="str">
        <f>VLOOKUP(Table2[[#This Row],[Customer ID]],Table2[#All],9,FALSE)</f>
        <v>Obesity</v>
      </c>
      <c r="K1320" t="str">
        <f>VLOOKUP(Table2[[#This Row],[Customer ID]],Table2[#All],10,FALSE)</f>
        <v>Prediabetes</v>
      </c>
    </row>
    <row r="1321" spans="1:11" ht="15.6" x14ac:dyDescent="0.3">
      <c r="A1321" s="1" t="s">
        <v>1051</v>
      </c>
      <c r="B1321" t="str">
        <f>VLOOKUP('Customer Names'!A1321,'Customer Names'!$A$1:$E$2336,4,FALSE)</f>
        <v>Ms.  Kelsey</v>
      </c>
      <c r="C1321">
        <f>VLOOKUP(Table2[[#This Row],[Customer ID]],Table2[#All],2,FALSE)</f>
        <v>22.8</v>
      </c>
      <c r="D1321">
        <f>VLOOKUP(Table2[[#This Row],[Customer ID]],Table2[#All],3,FALSE)</f>
        <v>6.98</v>
      </c>
      <c r="E1321" t="str">
        <f>VLOOKUP(Table2[[#This Row],[Customer ID]],Table2[#All],4,FALSE)</f>
        <v>No</v>
      </c>
      <c r="F1321" t="str">
        <f>VLOOKUP(Table2[[#This Row],[Customer ID]],Table2[#All],5,FALSE)</f>
        <v>No</v>
      </c>
      <c r="G1321" t="str">
        <f>VLOOKUP(Table2[[#This Row],[Customer ID]],Table2[#All],6,FALSE)</f>
        <v>No</v>
      </c>
      <c r="H1321">
        <f>VLOOKUP(Table2[[#This Row],[Customer ID]],Table2[#All],7,FALSE)</f>
        <v>0</v>
      </c>
      <c r="I1321" t="str">
        <f>VLOOKUP(Table2[[#This Row],[Customer ID]],Table2[#All],8,FALSE)</f>
        <v>No</v>
      </c>
      <c r="J1321" t="str">
        <f>VLOOKUP(Table2[[#This Row],[Customer ID]],Table2[#All],9,FALSE)</f>
        <v>Normalweight</v>
      </c>
      <c r="K1321" t="str">
        <f>VLOOKUP(Table2[[#This Row],[Customer ID]],Table2[#All],10,FALSE)</f>
        <v>Diabetes</v>
      </c>
    </row>
    <row r="1322" spans="1:11" ht="15.6" x14ac:dyDescent="0.3">
      <c r="A1322" s="1" t="s">
        <v>1050</v>
      </c>
      <c r="B1322" t="str">
        <f>VLOOKUP('Customer Names'!A1322,'Customer Names'!$A$1:$E$2336,4,FALSE)</f>
        <v>Mr.  Daniel V.</v>
      </c>
      <c r="C1322">
        <f>VLOOKUP(Table2[[#This Row],[Customer ID]],Table2[#All],2,FALSE)</f>
        <v>19.09</v>
      </c>
      <c r="D1322">
        <f>VLOOKUP(Table2[[#This Row],[Customer ID]],Table2[#All],3,FALSE)</f>
        <v>4</v>
      </c>
      <c r="E1322" t="str">
        <f>VLOOKUP(Table2[[#This Row],[Customer ID]],Table2[#All],4,FALSE)</f>
        <v>Yes</v>
      </c>
      <c r="F1322" t="str">
        <f>VLOOKUP(Table2[[#This Row],[Customer ID]],Table2[#All],5,FALSE)</f>
        <v>No</v>
      </c>
      <c r="G1322" t="str">
        <f>VLOOKUP(Table2[[#This Row],[Customer ID]],Table2[#All],6,FALSE)</f>
        <v>No</v>
      </c>
      <c r="H1322">
        <f>VLOOKUP(Table2[[#This Row],[Customer ID]],Table2[#All],7,FALSE)</f>
        <v>1</v>
      </c>
      <c r="I1322" t="str">
        <f>VLOOKUP(Table2[[#This Row],[Customer ID]],Table2[#All],8,FALSE)</f>
        <v>No</v>
      </c>
      <c r="J1322" t="str">
        <f>VLOOKUP(Table2[[#This Row],[Customer ID]],Table2[#All],9,FALSE)</f>
        <v>Normalweight</v>
      </c>
      <c r="K1322" t="str">
        <f>VLOOKUP(Table2[[#This Row],[Customer ID]],Table2[#All],10,FALSE)</f>
        <v>Normal</v>
      </c>
    </row>
    <row r="1323" spans="1:11" ht="15.6" x14ac:dyDescent="0.3">
      <c r="A1323" s="1" t="s">
        <v>1049</v>
      </c>
      <c r="B1323" t="str">
        <f>VLOOKUP('Customer Names'!A1323,'Customer Names'!$A$1:$E$2336,4,FALSE)</f>
        <v>Ms.  Saeger</v>
      </c>
      <c r="C1323">
        <f>VLOOKUP(Table2[[#This Row],[Customer ID]],Table2[#All],2,FALSE)</f>
        <v>23.37</v>
      </c>
      <c r="D1323">
        <f>VLOOKUP(Table2[[#This Row],[Customer ID]],Table2[#All],3,FALSE)</f>
        <v>4.2300000000000004</v>
      </c>
      <c r="E1323" t="str">
        <f>VLOOKUP(Table2[[#This Row],[Customer ID]],Table2[#All],4,FALSE)</f>
        <v>No</v>
      </c>
      <c r="F1323" t="str">
        <f>VLOOKUP(Table2[[#This Row],[Customer ID]],Table2[#All],5,FALSE)</f>
        <v>No</v>
      </c>
      <c r="G1323" t="str">
        <f>VLOOKUP(Table2[[#This Row],[Customer ID]],Table2[#All],6,FALSE)</f>
        <v>No</v>
      </c>
      <c r="H1323">
        <f>VLOOKUP(Table2[[#This Row],[Customer ID]],Table2[#All],7,FALSE)</f>
        <v>0</v>
      </c>
      <c r="I1323" t="str">
        <f>VLOOKUP(Table2[[#This Row],[Customer ID]],Table2[#All],8,FALSE)</f>
        <v>No</v>
      </c>
      <c r="J1323" t="str">
        <f>VLOOKUP(Table2[[#This Row],[Customer ID]],Table2[#All],9,FALSE)</f>
        <v>Normalweight</v>
      </c>
      <c r="K1323" t="str">
        <f>VLOOKUP(Table2[[#This Row],[Customer ID]],Table2[#All],10,FALSE)</f>
        <v>Normal</v>
      </c>
    </row>
    <row r="1324" spans="1:11" ht="15.6" x14ac:dyDescent="0.3">
      <c r="A1324" s="1" t="s">
        <v>1048</v>
      </c>
      <c r="B1324" t="str">
        <f>VLOOKUP('Customer Names'!A1324,'Customer Names'!$A$1:$E$2336,4,FALSE)</f>
        <v>Ms.  Buzunesh</v>
      </c>
      <c r="C1324">
        <f>VLOOKUP(Table2[[#This Row],[Customer ID]],Table2[#All],2,FALSE)</f>
        <v>33.44</v>
      </c>
      <c r="D1324">
        <f>VLOOKUP(Table2[[#This Row],[Customer ID]],Table2[#All],3,FALSE)</f>
        <v>4.72</v>
      </c>
      <c r="E1324" t="str">
        <f>VLOOKUP(Table2[[#This Row],[Customer ID]],Table2[#All],4,FALSE)</f>
        <v>Yes</v>
      </c>
      <c r="F1324" t="str">
        <f>VLOOKUP(Table2[[#This Row],[Customer ID]],Table2[#All],5,FALSE)</f>
        <v>No</v>
      </c>
      <c r="G1324" t="str">
        <f>VLOOKUP(Table2[[#This Row],[Customer ID]],Table2[#All],6,FALSE)</f>
        <v>No</v>
      </c>
      <c r="H1324">
        <f>VLOOKUP(Table2[[#This Row],[Customer ID]],Table2[#All],7,FALSE)</f>
        <v>0</v>
      </c>
      <c r="I1324" t="str">
        <f>VLOOKUP(Table2[[#This Row],[Customer ID]],Table2[#All],8,FALSE)</f>
        <v>No</v>
      </c>
      <c r="J1324" t="str">
        <f>VLOOKUP(Table2[[#This Row],[Customer ID]],Table2[#All],9,FALSE)</f>
        <v>Obesity</v>
      </c>
      <c r="K1324" t="str">
        <f>VLOOKUP(Table2[[#This Row],[Customer ID]],Table2[#All],10,FALSE)</f>
        <v>Normal</v>
      </c>
    </row>
    <row r="1325" spans="1:11" ht="15.6" x14ac:dyDescent="0.3">
      <c r="A1325" s="1" t="s">
        <v>1047</v>
      </c>
      <c r="B1325" t="str">
        <f>VLOOKUP('Customer Names'!A1325,'Customer Names'!$A$1:$E$2336,4,FALSE)</f>
        <v>Ms.  Mirte</v>
      </c>
      <c r="C1325">
        <f>VLOOKUP(Table2[[#This Row],[Customer ID]],Table2[#All],2,FALSE)</f>
        <v>28.05</v>
      </c>
      <c r="D1325">
        <f>VLOOKUP(Table2[[#This Row],[Customer ID]],Table2[#All],3,FALSE)</f>
        <v>5.63</v>
      </c>
      <c r="E1325" t="str">
        <f>VLOOKUP(Table2[[#This Row],[Customer ID]],Table2[#All],4,FALSE)</f>
        <v>Yes</v>
      </c>
      <c r="F1325" t="str">
        <f>VLOOKUP(Table2[[#This Row],[Customer ID]],Table2[#All],5,FALSE)</f>
        <v>No</v>
      </c>
      <c r="G1325" t="str">
        <f>VLOOKUP(Table2[[#This Row],[Customer ID]],Table2[#All],6,FALSE)</f>
        <v>No</v>
      </c>
      <c r="H1325">
        <f>VLOOKUP(Table2[[#This Row],[Customer ID]],Table2[#All],7,FALSE)</f>
        <v>0</v>
      </c>
      <c r="I1325" t="str">
        <f>VLOOKUP(Table2[[#This Row],[Customer ID]],Table2[#All],8,FALSE)</f>
        <v>No</v>
      </c>
      <c r="J1325" t="str">
        <f>VLOOKUP(Table2[[#This Row],[Customer ID]],Table2[#All],9,FALSE)</f>
        <v>Overweight</v>
      </c>
      <c r="K1325" t="str">
        <f>VLOOKUP(Table2[[#This Row],[Customer ID]],Table2[#All],10,FALSE)</f>
        <v>Normal</v>
      </c>
    </row>
    <row r="1326" spans="1:11" ht="15.6" x14ac:dyDescent="0.3">
      <c r="A1326" s="1" t="s">
        <v>1046</v>
      </c>
      <c r="B1326" t="str">
        <f>VLOOKUP('Customer Names'!A1326,'Customer Names'!$A$1:$E$2336,4,FALSE)</f>
        <v>Ms.  Megan</v>
      </c>
      <c r="C1326">
        <f>VLOOKUP(Table2[[#This Row],[Customer ID]],Table2[#All],2,FALSE)</f>
        <v>27.72</v>
      </c>
      <c r="D1326">
        <f>VLOOKUP(Table2[[#This Row],[Customer ID]],Table2[#All],3,FALSE)</f>
        <v>5.83</v>
      </c>
      <c r="E1326" t="str">
        <f>VLOOKUP(Table2[[#This Row],[Customer ID]],Table2[#All],4,FALSE)</f>
        <v>Yes</v>
      </c>
      <c r="F1326" t="str">
        <f>VLOOKUP(Table2[[#This Row],[Customer ID]],Table2[#All],5,FALSE)</f>
        <v>No</v>
      </c>
      <c r="G1326" t="str">
        <f>VLOOKUP(Table2[[#This Row],[Customer ID]],Table2[#All],6,FALSE)</f>
        <v>No</v>
      </c>
      <c r="H1326">
        <f>VLOOKUP(Table2[[#This Row],[Customer ID]],Table2[#All],7,FALSE)</f>
        <v>0</v>
      </c>
      <c r="I1326" t="str">
        <f>VLOOKUP(Table2[[#This Row],[Customer ID]],Table2[#All],8,FALSE)</f>
        <v>No</v>
      </c>
      <c r="J1326" t="str">
        <f>VLOOKUP(Table2[[#This Row],[Customer ID]],Table2[#All],9,FALSE)</f>
        <v>Overweight</v>
      </c>
      <c r="K1326" t="str">
        <f>VLOOKUP(Table2[[#This Row],[Customer ID]],Table2[#All],10,FALSE)</f>
        <v>Prediabetes</v>
      </c>
    </row>
    <row r="1327" spans="1:11" ht="15.6" x14ac:dyDescent="0.3">
      <c r="A1327" s="1" t="s">
        <v>1045</v>
      </c>
      <c r="B1327" t="str">
        <f>VLOOKUP('Customer Names'!A1327,'Customer Names'!$A$1:$E$2336,4,FALSE)</f>
        <v>Ms.  Kerry A.</v>
      </c>
      <c r="C1327">
        <f>VLOOKUP(Table2[[#This Row],[Customer ID]],Table2[#All],2,FALSE)</f>
        <v>29.81</v>
      </c>
      <c r="D1327">
        <f>VLOOKUP(Table2[[#This Row],[Customer ID]],Table2[#All],3,FALSE)</f>
        <v>9.23</v>
      </c>
      <c r="E1327" t="str">
        <f>VLOOKUP(Table2[[#This Row],[Customer ID]],Table2[#All],4,FALSE)</f>
        <v>No</v>
      </c>
      <c r="F1327" t="str">
        <f>VLOOKUP(Table2[[#This Row],[Customer ID]],Table2[#All],5,FALSE)</f>
        <v>No</v>
      </c>
      <c r="G1327" t="str">
        <f>VLOOKUP(Table2[[#This Row],[Customer ID]],Table2[#All],6,FALSE)</f>
        <v>No</v>
      </c>
      <c r="H1327">
        <f>VLOOKUP(Table2[[#This Row],[Customer ID]],Table2[#All],7,FALSE)</f>
        <v>0</v>
      </c>
      <c r="I1327" t="str">
        <f>VLOOKUP(Table2[[#This Row],[Customer ID]],Table2[#All],8,FALSE)</f>
        <v>No</v>
      </c>
      <c r="J1327" t="str">
        <f>VLOOKUP(Table2[[#This Row],[Customer ID]],Table2[#All],9,FALSE)</f>
        <v>Overweight</v>
      </c>
      <c r="K1327" t="str">
        <f>VLOOKUP(Table2[[#This Row],[Customer ID]],Table2[#All],10,FALSE)</f>
        <v>Diabetes</v>
      </c>
    </row>
    <row r="1328" spans="1:11" ht="15.6" x14ac:dyDescent="0.3">
      <c r="A1328" s="1" t="s">
        <v>1044</v>
      </c>
      <c r="B1328" t="str">
        <f>VLOOKUP('Customer Names'!A1328,'Customer Names'!$A$1:$E$2336,4,FALSE)</f>
        <v>Ms.  Kristin</v>
      </c>
      <c r="C1328">
        <f>VLOOKUP(Table2[[#This Row],[Customer ID]],Table2[#All],2,FALSE)</f>
        <v>23.98</v>
      </c>
      <c r="D1328">
        <f>VLOOKUP(Table2[[#This Row],[Customer ID]],Table2[#All],3,FALSE)</f>
        <v>9.89</v>
      </c>
      <c r="E1328" t="str">
        <f>VLOOKUP(Table2[[#This Row],[Customer ID]],Table2[#All],4,FALSE)</f>
        <v>No</v>
      </c>
      <c r="F1328" t="str">
        <f>VLOOKUP(Table2[[#This Row],[Customer ID]],Table2[#All],5,FALSE)</f>
        <v>No</v>
      </c>
      <c r="G1328" t="str">
        <f>VLOOKUP(Table2[[#This Row],[Customer ID]],Table2[#All],6,FALSE)</f>
        <v>No</v>
      </c>
      <c r="H1328">
        <f>VLOOKUP(Table2[[#This Row],[Customer ID]],Table2[#All],7,FALSE)</f>
        <v>0</v>
      </c>
      <c r="I1328" t="str">
        <f>VLOOKUP(Table2[[#This Row],[Customer ID]],Table2[#All],8,FALSE)</f>
        <v>No</v>
      </c>
      <c r="J1328" t="str">
        <f>VLOOKUP(Table2[[#This Row],[Customer ID]],Table2[#All],9,FALSE)</f>
        <v>Normalweight</v>
      </c>
      <c r="K1328" t="str">
        <f>VLOOKUP(Table2[[#This Row],[Customer ID]],Table2[#All],10,FALSE)</f>
        <v>Diabetes</v>
      </c>
    </row>
    <row r="1329" spans="1:11" ht="15.6" x14ac:dyDescent="0.3">
      <c r="A1329" s="1" t="s">
        <v>1043</v>
      </c>
      <c r="B1329" t="str">
        <f>VLOOKUP('Customer Names'!A1329,'Customer Names'!$A$1:$E$2336,4,FALSE)</f>
        <v>Mr.  Christopher R.</v>
      </c>
      <c r="C1329">
        <f>VLOOKUP(Table2[[#This Row],[Customer ID]],Table2[#All],2,FALSE)</f>
        <v>17.34</v>
      </c>
      <c r="D1329">
        <f>VLOOKUP(Table2[[#This Row],[Customer ID]],Table2[#All],3,FALSE)</f>
        <v>12</v>
      </c>
      <c r="E1329" t="str">
        <f>VLOOKUP(Table2[[#This Row],[Customer ID]],Table2[#All],4,FALSE)</f>
        <v>No</v>
      </c>
      <c r="F1329" t="str">
        <f>VLOOKUP(Table2[[#This Row],[Customer ID]],Table2[#All],5,FALSE)</f>
        <v>No</v>
      </c>
      <c r="G1329" t="str">
        <f>VLOOKUP(Table2[[#This Row],[Customer ID]],Table2[#All],6,FALSE)</f>
        <v>No</v>
      </c>
      <c r="H1329">
        <f>VLOOKUP(Table2[[#This Row],[Customer ID]],Table2[#All],7,FALSE)</f>
        <v>0</v>
      </c>
      <c r="I1329" t="str">
        <f>VLOOKUP(Table2[[#This Row],[Customer ID]],Table2[#All],8,FALSE)</f>
        <v>No</v>
      </c>
      <c r="J1329" t="str">
        <f>VLOOKUP(Table2[[#This Row],[Customer ID]],Table2[#All],9,FALSE)</f>
        <v>Underweight</v>
      </c>
      <c r="K1329" t="str">
        <f>VLOOKUP(Table2[[#This Row],[Customer ID]],Table2[#All],10,FALSE)</f>
        <v>Diabetes</v>
      </c>
    </row>
    <row r="1330" spans="1:11" ht="15.6" x14ac:dyDescent="0.3">
      <c r="A1330" s="1" t="s">
        <v>1042</v>
      </c>
      <c r="B1330" t="str">
        <f>VLOOKUP('Customer Names'!A1330,'Customer Names'!$A$1:$E$2336,4,FALSE)</f>
        <v>Mrs.  Elizabeth A</v>
      </c>
      <c r="C1330">
        <f>VLOOKUP(Table2[[#This Row],[Customer ID]],Table2[#All],2,FALSE)</f>
        <v>40.39</v>
      </c>
      <c r="D1330">
        <f>VLOOKUP(Table2[[#This Row],[Customer ID]],Table2[#All],3,FALSE)</f>
        <v>4.24</v>
      </c>
      <c r="E1330" t="str">
        <f>VLOOKUP(Table2[[#This Row],[Customer ID]],Table2[#All],4,FALSE)</f>
        <v>Yes</v>
      </c>
      <c r="F1330" t="str">
        <f>VLOOKUP(Table2[[#This Row],[Customer ID]],Table2[#All],5,FALSE)</f>
        <v>No</v>
      </c>
      <c r="G1330" t="str">
        <f>VLOOKUP(Table2[[#This Row],[Customer ID]],Table2[#All],6,FALSE)</f>
        <v>Yes</v>
      </c>
      <c r="H1330">
        <f>VLOOKUP(Table2[[#This Row],[Customer ID]],Table2[#All],7,FALSE)</f>
        <v>1</v>
      </c>
      <c r="I1330" t="str">
        <f>VLOOKUP(Table2[[#This Row],[Customer ID]],Table2[#All],8,FALSE)</f>
        <v>No</v>
      </c>
      <c r="J1330" t="str">
        <f>VLOOKUP(Table2[[#This Row],[Customer ID]],Table2[#All],9,FALSE)</f>
        <v>Obesity</v>
      </c>
      <c r="K1330" t="str">
        <f>VLOOKUP(Table2[[#This Row],[Customer ID]],Table2[#All],10,FALSE)</f>
        <v>Normal</v>
      </c>
    </row>
    <row r="1331" spans="1:11" ht="15.6" x14ac:dyDescent="0.3">
      <c r="A1331" s="1" t="s">
        <v>1041</v>
      </c>
      <c r="B1331" t="str">
        <f>VLOOKUP('Customer Names'!A1331,'Customer Names'!$A$1:$E$2336,4,FALSE)</f>
        <v>Mr.  Andrew</v>
      </c>
      <c r="C1331">
        <f>VLOOKUP(Table2[[#This Row],[Customer ID]],Table2[#All],2,FALSE)</f>
        <v>25.96</v>
      </c>
      <c r="D1331">
        <f>VLOOKUP(Table2[[#This Row],[Customer ID]],Table2[#All],3,FALSE)</f>
        <v>4.68</v>
      </c>
      <c r="E1331" t="str">
        <f>VLOOKUP(Table2[[#This Row],[Customer ID]],Table2[#All],4,FALSE)</f>
        <v>Yes</v>
      </c>
      <c r="F1331" t="str">
        <f>VLOOKUP(Table2[[#This Row],[Customer ID]],Table2[#All],5,FALSE)</f>
        <v>No</v>
      </c>
      <c r="G1331" t="str">
        <f>VLOOKUP(Table2[[#This Row],[Customer ID]],Table2[#All],6,FALSE)</f>
        <v>Yes</v>
      </c>
      <c r="H1331">
        <f>VLOOKUP(Table2[[#This Row],[Customer ID]],Table2[#All],7,FALSE)</f>
        <v>1</v>
      </c>
      <c r="I1331" t="str">
        <f>VLOOKUP(Table2[[#This Row],[Customer ID]],Table2[#All],8,FALSE)</f>
        <v>No</v>
      </c>
      <c r="J1331" t="str">
        <f>VLOOKUP(Table2[[#This Row],[Customer ID]],Table2[#All],9,FALSE)</f>
        <v>Overweight</v>
      </c>
      <c r="K1331" t="str">
        <f>VLOOKUP(Table2[[#This Row],[Customer ID]],Table2[#All],10,FALSE)</f>
        <v>Normal</v>
      </c>
    </row>
    <row r="1332" spans="1:11" ht="15.6" x14ac:dyDescent="0.3">
      <c r="A1332" s="1" t="s">
        <v>1040</v>
      </c>
      <c r="B1332" t="str">
        <f>VLOOKUP('Customer Names'!A1332,'Customer Names'!$A$1:$E$2336,4,FALSE)</f>
        <v>Ms.  Dawn M.</v>
      </c>
      <c r="C1332">
        <f>VLOOKUP(Table2[[#This Row],[Customer ID]],Table2[#All],2,FALSE)</f>
        <v>17.68</v>
      </c>
      <c r="D1332">
        <f>VLOOKUP(Table2[[#This Row],[Customer ID]],Table2[#All],3,FALSE)</f>
        <v>8.57</v>
      </c>
      <c r="E1332" t="str">
        <f>VLOOKUP(Table2[[#This Row],[Customer ID]],Table2[#All],4,FALSE)</f>
        <v>Yes</v>
      </c>
      <c r="F1332" t="str">
        <f>VLOOKUP(Table2[[#This Row],[Customer ID]],Table2[#All],5,FALSE)</f>
        <v>No</v>
      </c>
      <c r="G1332" t="str">
        <f>VLOOKUP(Table2[[#This Row],[Customer ID]],Table2[#All],6,FALSE)</f>
        <v>Yes</v>
      </c>
      <c r="H1332">
        <f>VLOOKUP(Table2[[#This Row],[Customer ID]],Table2[#All],7,FALSE)</f>
        <v>1</v>
      </c>
      <c r="I1332" t="str">
        <f>VLOOKUP(Table2[[#This Row],[Customer ID]],Table2[#All],8,FALSE)</f>
        <v>No</v>
      </c>
      <c r="J1332" t="str">
        <f>VLOOKUP(Table2[[#This Row],[Customer ID]],Table2[#All],9,FALSE)</f>
        <v>Underweight</v>
      </c>
      <c r="K1332" t="str">
        <f>VLOOKUP(Table2[[#This Row],[Customer ID]],Table2[#All],10,FALSE)</f>
        <v>Diabetes</v>
      </c>
    </row>
    <row r="1333" spans="1:11" ht="15.6" x14ac:dyDescent="0.3">
      <c r="A1333" s="1" t="s">
        <v>1039</v>
      </c>
      <c r="B1333" t="str">
        <f>VLOOKUP('Customer Names'!A1333,'Customer Names'!$A$1:$E$2336,4,FALSE)</f>
        <v>Mr.  Jonathan P</v>
      </c>
      <c r="C1333">
        <f>VLOOKUP(Table2[[#This Row],[Customer ID]],Table2[#All],2,FALSE)</f>
        <v>30.875</v>
      </c>
      <c r="D1333">
        <f>VLOOKUP(Table2[[#This Row],[Customer ID]],Table2[#All],3,FALSE)</f>
        <v>4.0999999999999996</v>
      </c>
      <c r="E1333" t="str">
        <f>VLOOKUP(Table2[[#This Row],[Customer ID]],Table2[#All],4,FALSE)</f>
        <v>No</v>
      </c>
      <c r="F1333" t="str">
        <f>VLOOKUP(Table2[[#This Row],[Customer ID]],Table2[#All],5,FALSE)</f>
        <v>No</v>
      </c>
      <c r="G1333" t="str">
        <f>VLOOKUP(Table2[[#This Row],[Customer ID]],Table2[#All],6,FALSE)</f>
        <v>No</v>
      </c>
      <c r="H1333">
        <f>VLOOKUP(Table2[[#This Row],[Customer ID]],Table2[#All],7,FALSE)</f>
        <v>0</v>
      </c>
      <c r="I1333" t="str">
        <f>VLOOKUP(Table2[[#This Row],[Customer ID]],Table2[#All],8,FALSE)</f>
        <v>No</v>
      </c>
      <c r="J1333" t="str">
        <f>VLOOKUP(Table2[[#This Row],[Customer ID]],Table2[#All],9,FALSE)</f>
        <v>Obesity</v>
      </c>
      <c r="K1333" t="str">
        <f>VLOOKUP(Table2[[#This Row],[Customer ID]],Table2[#All],10,FALSE)</f>
        <v>Normal</v>
      </c>
    </row>
    <row r="1334" spans="1:11" ht="15.6" x14ac:dyDescent="0.3">
      <c r="A1334" s="1" t="s">
        <v>1038</v>
      </c>
      <c r="B1334" t="str">
        <f>VLOOKUP('Customer Names'!A1334,'Customer Names'!$A$1:$E$2336,4,FALSE)</f>
        <v>Mrs.  Gina</v>
      </c>
      <c r="C1334">
        <f>VLOOKUP(Table2[[#This Row],[Customer ID]],Table2[#All],2,FALSE)</f>
        <v>30.81</v>
      </c>
      <c r="D1334">
        <f>VLOOKUP(Table2[[#This Row],[Customer ID]],Table2[#All],3,FALSE)</f>
        <v>4.49</v>
      </c>
      <c r="E1334" t="str">
        <f>VLOOKUP(Table2[[#This Row],[Customer ID]],Table2[#All],4,FALSE)</f>
        <v>No</v>
      </c>
      <c r="F1334" t="str">
        <f>VLOOKUP(Table2[[#This Row],[Customer ID]],Table2[#All],5,FALSE)</f>
        <v>No</v>
      </c>
      <c r="G1334" t="str">
        <f>VLOOKUP(Table2[[#This Row],[Customer ID]],Table2[#All],6,FALSE)</f>
        <v>No</v>
      </c>
      <c r="H1334">
        <f>VLOOKUP(Table2[[#This Row],[Customer ID]],Table2[#All],7,FALSE)</f>
        <v>0</v>
      </c>
      <c r="I1334" t="str">
        <f>VLOOKUP(Table2[[#This Row],[Customer ID]],Table2[#All],8,FALSE)</f>
        <v>No</v>
      </c>
      <c r="J1334" t="str">
        <f>VLOOKUP(Table2[[#This Row],[Customer ID]],Table2[#All],9,FALSE)</f>
        <v>Obesity</v>
      </c>
      <c r="K1334" t="str">
        <f>VLOOKUP(Table2[[#This Row],[Customer ID]],Table2[#All],10,FALSE)</f>
        <v>Normal</v>
      </c>
    </row>
    <row r="1335" spans="1:11" ht="15.6" x14ac:dyDescent="0.3">
      <c r="A1335" s="1" t="s">
        <v>1037</v>
      </c>
      <c r="B1335" t="str">
        <f>VLOOKUP('Customer Names'!A1335,'Customer Names'!$A$1:$E$2336,4,FALSE)</f>
        <v>Mr.  Dino</v>
      </c>
      <c r="C1335">
        <f>VLOOKUP(Table2[[#This Row],[Customer ID]],Table2[#All],2,FALSE)</f>
        <v>36.85</v>
      </c>
      <c r="D1335">
        <f>VLOOKUP(Table2[[#This Row],[Customer ID]],Table2[#All],3,FALSE)</f>
        <v>8.8000000000000007</v>
      </c>
      <c r="E1335" t="str">
        <f>VLOOKUP(Table2[[#This Row],[Customer ID]],Table2[#All],4,FALSE)</f>
        <v>No</v>
      </c>
      <c r="F1335" t="str">
        <f>VLOOKUP(Table2[[#This Row],[Customer ID]],Table2[#All],5,FALSE)</f>
        <v>No</v>
      </c>
      <c r="G1335" t="str">
        <f>VLOOKUP(Table2[[#This Row],[Customer ID]],Table2[#All],6,FALSE)</f>
        <v>No</v>
      </c>
      <c r="H1335">
        <f>VLOOKUP(Table2[[#This Row],[Customer ID]],Table2[#All],7,FALSE)</f>
        <v>2</v>
      </c>
      <c r="I1335" t="str">
        <f>VLOOKUP(Table2[[#This Row],[Customer ID]],Table2[#All],8,FALSE)</f>
        <v>No</v>
      </c>
      <c r="J1335" t="str">
        <f>VLOOKUP(Table2[[#This Row],[Customer ID]],Table2[#All],9,FALSE)</f>
        <v>Obesity</v>
      </c>
      <c r="K1335" t="str">
        <f>VLOOKUP(Table2[[#This Row],[Customer ID]],Table2[#All],10,FALSE)</f>
        <v>Diabetes</v>
      </c>
    </row>
    <row r="1336" spans="1:11" ht="15.6" x14ac:dyDescent="0.3">
      <c r="A1336" s="1" t="s">
        <v>1036</v>
      </c>
      <c r="B1336" t="str">
        <f>VLOOKUP('Customer Names'!A1336,'Customer Names'!$A$1:$E$2336,4,FALSE)</f>
        <v>Mr.  Jan</v>
      </c>
      <c r="C1336">
        <f>VLOOKUP(Table2[[#This Row],[Customer ID]],Table2[#All],2,FALSE)</f>
        <v>35.86</v>
      </c>
      <c r="D1336">
        <f>VLOOKUP(Table2[[#This Row],[Customer ID]],Table2[#All],3,FALSE)</f>
        <v>7.93</v>
      </c>
      <c r="E1336" t="str">
        <f>VLOOKUP(Table2[[#This Row],[Customer ID]],Table2[#All],4,FALSE)</f>
        <v>No</v>
      </c>
      <c r="F1336" t="str">
        <f>VLOOKUP(Table2[[#This Row],[Customer ID]],Table2[#All],5,FALSE)</f>
        <v>No</v>
      </c>
      <c r="G1336" t="str">
        <f>VLOOKUP(Table2[[#This Row],[Customer ID]],Table2[#All],6,FALSE)</f>
        <v>No</v>
      </c>
      <c r="H1336">
        <f>VLOOKUP(Table2[[#This Row],[Customer ID]],Table2[#All],7,FALSE)</f>
        <v>2</v>
      </c>
      <c r="I1336" t="str">
        <f>VLOOKUP(Table2[[#This Row],[Customer ID]],Table2[#All],8,FALSE)</f>
        <v>No</v>
      </c>
      <c r="J1336" t="str">
        <f>VLOOKUP(Table2[[#This Row],[Customer ID]],Table2[#All],9,FALSE)</f>
        <v>Obesity</v>
      </c>
      <c r="K1336" t="str">
        <f>VLOOKUP(Table2[[#This Row],[Customer ID]],Table2[#All],10,FALSE)</f>
        <v>Diabetes</v>
      </c>
    </row>
    <row r="1337" spans="1:11" ht="15.6" x14ac:dyDescent="0.3">
      <c r="A1337" s="1" t="s">
        <v>1035</v>
      </c>
      <c r="B1337" t="str">
        <f>VLOOKUP('Customer Names'!A1337,'Customer Names'!$A$1:$E$2336,4,FALSE)</f>
        <v>Mr.  Jonathan E.</v>
      </c>
      <c r="C1337">
        <f>VLOOKUP(Table2[[#This Row],[Customer ID]],Table2[#All],2,FALSE)</f>
        <v>30.3</v>
      </c>
      <c r="D1337">
        <f>VLOOKUP(Table2[[#This Row],[Customer ID]],Table2[#All],3,FALSE)</f>
        <v>9.4499999999999993</v>
      </c>
      <c r="E1337" t="str">
        <f>VLOOKUP(Table2[[#This Row],[Customer ID]],Table2[#All],4,FALSE)</f>
        <v>No</v>
      </c>
      <c r="F1337" t="str">
        <f>VLOOKUP(Table2[[#This Row],[Customer ID]],Table2[#All],5,FALSE)</f>
        <v>No</v>
      </c>
      <c r="G1337" t="str">
        <f>VLOOKUP(Table2[[#This Row],[Customer ID]],Table2[#All],6,FALSE)</f>
        <v>No</v>
      </c>
      <c r="H1337">
        <f>VLOOKUP(Table2[[#This Row],[Customer ID]],Table2[#All],7,FALSE)</f>
        <v>2</v>
      </c>
      <c r="I1337" t="str">
        <f>VLOOKUP(Table2[[#This Row],[Customer ID]],Table2[#All],8,FALSE)</f>
        <v>No</v>
      </c>
      <c r="J1337" t="str">
        <f>VLOOKUP(Table2[[#This Row],[Customer ID]],Table2[#All],9,FALSE)</f>
        <v>Obesity</v>
      </c>
      <c r="K1337" t="str">
        <f>VLOOKUP(Table2[[#This Row],[Customer ID]],Table2[#All],10,FALSE)</f>
        <v>Diabetes</v>
      </c>
    </row>
    <row r="1338" spans="1:11" ht="15.6" x14ac:dyDescent="0.3">
      <c r="A1338" s="1" t="s">
        <v>1034</v>
      </c>
      <c r="B1338" t="str">
        <f>VLOOKUP('Customer Names'!A1338,'Customer Names'!$A$1:$E$2336,4,FALSE)</f>
        <v>Mr.  Mark A</v>
      </c>
      <c r="C1338">
        <f>VLOOKUP(Table2[[#This Row],[Customer ID]],Table2[#All],2,FALSE)</f>
        <v>32.015000000000001</v>
      </c>
      <c r="D1338">
        <f>VLOOKUP(Table2[[#This Row],[Customer ID]],Table2[#All],3,FALSE)</f>
        <v>7.67</v>
      </c>
      <c r="E1338" t="str">
        <f>VLOOKUP(Table2[[#This Row],[Customer ID]],Table2[#All],4,FALSE)</f>
        <v>No</v>
      </c>
      <c r="F1338" t="str">
        <f>VLOOKUP(Table2[[#This Row],[Customer ID]],Table2[#All],5,FALSE)</f>
        <v>No</v>
      </c>
      <c r="G1338" t="str">
        <f>VLOOKUP(Table2[[#This Row],[Customer ID]],Table2[#All],6,FALSE)</f>
        <v>No</v>
      </c>
      <c r="H1338">
        <f>VLOOKUP(Table2[[#This Row],[Customer ID]],Table2[#All],7,FALSE)</f>
        <v>0</v>
      </c>
      <c r="I1338" t="str">
        <f>VLOOKUP(Table2[[#This Row],[Customer ID]],Table2[#All],8,FALSE)</f>
        <v>No</v>
      </c>
      <c r="J1338" t="str">
        <f>VLOOKUP(Table2[[#This Row],[Customer ID]],Table2[#All],9,FALSE)</f>
        <v>Obesity</v>
      </c>
      <c r="K1338" t="str">
        <f>VLOOKUP(Table2[[#This Row],[Customer ID]],Table2[#All],10,FALSE)</f>
        <v>Diabetes</v>
      </c>
    </row>
    <row r="1339" spans="1:11" ht="15.6" x14ac:dyDescent="0.3">
      <c r="A1339" s="1" t="s">
        <v>1033</v>
      </c>
      <c r="B1339" t="str">
        <f>VLOOKUP('Customer Names'!A1339,'Customer Names'!$A$1:$E$2336,4,FALSE)</f>
        <v>Mrs.  Mary</v>
      </c>
      <c r="C1339">
        <f>VLOOKUP(Table2[[#This Row],[Customer ID]],Table2[#All],2,FALSE)</f>
        <v>25.06</v>
      </c>
      <c r="D1339">
        <f>VLOOKUP(Table2[[#This Row],[Customer ID]],Table2[#All],3,FALSE)</f>
        <v>10.53</v>
      </c>
      <c r="E1339" t="str">
        <f>VLOOKUP(Table2[[#This Row],[Customer ID]],Table2[#All],4,FALSE)</f>
        <v>No</v>
      </c>
      <c r="F1339" t="str">
        <f>VLOOKUP(Table2[[#This Row],[Customer ID]],Table2[#All],5,FALSE)</f>
        <v>No</v>
      </c>
      <c r="G1339" t="str">
        <f>VLOOKUP(Table2[[#This Row],[Customer ID]],Table2[#All],6,FALSE)</f>
        <v>No</v>
      </c>
      <c r="H1339">
        <f>VLOOKUP(Table2[[#This Row],[Customer ID]],Table2[#All],7,FALSE)</f>
        <v>2</v>
      </c>
      <c r="I1339" t="str">
        <f>VLOOKUP(Table2[[#This Row],[Customer ID]],Table2[#All],8,FALSE)</f>
        <v>No</v>
      </c>
      <c r="J1339" t="str">
        <f>VLOOKUP(Table2[[#This Row],[Customer ID]],Table2[#All],9,FALSE)</f>
        <v>Overweight</v>
      </c>
      <c r="K1339" t="str">
        <f>VLOOKUP(Table2[[#This Row],[Customer ID]],Table2[#All],10,FALSE)</f>
        <v>Diabetes</v>
      </c>
    </row>
    <row r="1340" spans="1:11" ht="15.6" x14ac:dyDescent="0.3">
      <c r="A1340" s="1" t="s">
        <v>1032</v>
      </c>
      <c r="B1340" t="str">
        <f>VLOOKUP('Customer Names'!A1340,'Customer Names'!$A$1:$E$2336,4,FALSE)</f>
        <v>Mr.  Samuel</v>
      </c>
      <c r="C1340">
        <f>VLOOKUP(Table2[[#This Row],[Customer ID]],Table2[#All],2,FALSE)</f>
        <v>18.829999999999998</v>
      </c>
      <c r="D1340">
        <f>VLOOKUP(Table2[[#This Row],[Customer ID]],Table2[#All],3,FALSE)</f>
        <v>10.08</v>
      </c>
      <c r="E1340" t="str">
        <f>VLOOKUP(Table2[[#This Row],[Customer ID]],Table2[#All],4,FALSE)</f>
        <v>Yes</v>
      </c>
      <c r="F1340" t="str">
        <f>VLOOKUP(Table2[[#This Row],[Customer ID]],Table2[#All],5,FALSE)</f>
        <v>No</v>
      </c>
      <c r="G1340" t="str">
        <f>VLOOKUP(Table2[[#This Row],[Customer ID]],Table2[#All],6,FALSE)</f>
        <v>No</v>
      </c>
      <c r="H1340">
        <f>VLOOKUP(Table2[[#This Row],[Customer ID]],Table2[#All],7,FALSE)</f>
        <v>0</v>
      </c>
      <c r="I1340" t="str">
        <f>VLOOKUP(Table2[[#This Row],[Customer ID]],Table2[#All],8,FALSE)</f>
        <v>No</v>
      </c>
      <c r="J1340" t="str">
        <f>VLOOKUP(Table2[[#This Row],[Customer ID]],Table2[#All],9,FALSE)</f>
        <v>Normalweight</v>
      </c>
      <c r="K1340" t="str">
        <f>VLOOKUP(Table2[[#This Row],[Customer ID]],Table2[#All],10,FALSE)</f>
        <v>Diabetes</v>
      </c>
    </row>
    <row r="1341" spans="1:11" ht="15.6" x14ac:dyDescent="0.3">
      <c r="A1341" s="1" t="s">
        <v>1031</v>
      </c>
      <c r="B1341" t="str">
        <f>VLOOKUP('Customer Names'!A1341,'Customer Names'!$A$1:$E$2336,4,FALSE)</f>
        <v>Mr.  Stan J</v>
      </c>
      <c r="C1341">
        <f>VLOOKUP(Table2[[#This Row],[Customer ID]],Table2[#All],2,FALSE)</f>
        <v>47.52</v>
      </c>
      <c r="D1341">
        <f>VLOOKUP(Table2[[#This Row],[Customer ID]],Table2[#All],3,FALSE)</f>
        <v>11.39</v>
      </c>
      <c r="E1341" t="str">
        <f>VLOOKUP(Table2[[#This Row],[Customer ID]],Table2[#All],4,FALSE)</f>
        <v>Yes</v>
      </c>
      <c r="F1341" t="str">
        <f>VLOOKUP(Table2[[#This Row],[Customer ID]],Table2[#All],5,FALSE)</f>
        <v>No</v>
      </c>
      <c r="G1341" t="str">
        <f>VLOOKUP(Table2[[#This Row],[Customer ID]],Table2[#All],6,FALSE)</f>
        <v>No</v>
      </c>
      <c r="H1341">
        <f>VLOOKUP(Table2[[#This Row],[Customer ID]],Table2[#All],7,FALSE)</f>
        <v>1</v>
      </c>
      <c r="I1341" t="str">
        <f>VLOOKUP(Table2[[#This Row],[Customer ID]],Table2[#All],8,FALSE)</f>
        <v>No</v>
      </c>
      <c r="J1341" t="str">
        <f>VLOOKUP(Table2[[#This Row],[Customer ID]],Table2[#All],9,FALSE)</f>
        <v>Obesity</v>
      </c>
      <c r="K1341" t="str">
        <f>VLOOKUP(Table2[[#This Row],[Customer ID]],Table2[#All],10,FALSE)</f>
        <v>Diabetes</v>
      </c>
    </row>
    <row r="1342" spans="1:11" ht="15.6" x14ac:dyDescent="0.3">
      <c r="A1342" s="1" t="s">
        <v>1030</v>
      </c>
      <c r="B1342" t="str">
        <f>VLOOKUP('Customer Names'!A1342,'Customer Names'!$A$1:$E$2336,4,FALSE)</f>
        <v>Mrs.  Jessica L.</v>
      </c>
      <c r="C1342">
        <f>VLOOKUP(Table2[[#This Row],[Customer ID]],Table2[#All],2,FALSE)</f>
        <v>37.82</v>
      </c>
      <c r="D1342">
        <f>VLOOKUP(Table2[[#This Row],[Customer ID]],Table2[#All],3,FALSE)</f>
        <v>6.36</v>
      </c>
      <c r="E1342" t="str">
        <f>VLOOKUP(Table2[[#This Row],[Customer ID]],Table2[#All],4,FALSE)</f>
        <v>No</v>
      </c>
      <c r="F1342" t="str">
        <f>VLOOKUP(Table2[[#This Row],[Customer ID]],Table2[#All],5,FALSE)</f>
        <v>No</v>
      </c>
      <c r="G1342" t="str">
        <f>VLOOKUP(Table2[[#This Row],[Customer ID]],Table2[#All],6,FALSE)</f>
        <v>No</v>
      </c>
      <c r="H1342">
        <f>VLOOKUP(Table2[[#This Row],[Customer ID]],Table2[#All],7,FALSE)</f>
        <v>0</v>
      </c>
      <c r="I1342" t="str">
        <f>VLOOKUP(Table2[[#This Row],[Customer ID]],Table2[#All],8,FALSE)</f>
        <v>No</v>
      </c>
      <c r="J1342" t="str">
        <f>VLOOKUP(Table2[[#This Row],[Customer ID]],Table2[#All],9,FALSE)</f>
        <v>Obesity</v>
      </c>
      <c r="K1342" t="str">
        <f>VLOOKUP(Table2[[#This Row],[Customer ID]],Table2[#All],10,FALSE)</f>
        <v>Prediabetes</v>
      </c>
    </row>
    <row r="1343" spans="1:11" ht="15.6" x14ac:dyDescent="0.3">
      <c r="A1343" s="1" t="s">
        <v>1029</v>
      </c>
      <c r="B1343" t="str">
        <f>VLOOKUP('Customer Names'!A1343,'Customer Names'!$A$1:$E$2336,4,FALSE)</f>
        <v>Ms.  Krysta</v>
      </c>
      <c r="C1343">
        <f>VLOOKUP(Table2[[#This Row],[Customer ID]],Table2[#All],2,FALSE)</f>
        <v>44.16</v>
      </c>
      <c r="D1343">
        <f>VLOOKUP(Table2[[#This Row],[Customer ID]],Table2[#All],3,FALSE)</f>
        <v>5.31</v>
      </c>
      <c r="E1343" t="str">
        <f>VLOOKUP(Table2[[#This Row],[Customer ID]],Table2[#All],4,FALSE)</f>
        <v>Yes</v>
      </c>
      <c r="F1343" t="str">
        <f>VLOOKUP(Table2[[#This Row],[Customer ID]],Table2[#All],5,FALSE)</f>
        <v>No</v>
      </c>
      <c r="G1343" t="str">
        <f>VLOOKUP(Table2[[#This Row],[Customer ID]],Table2[#All],6,FALSE)</f>
        <v>No</v>
      </c>
      <c r="H1343">
        <f>VLOOKUP(Table2[[#This Row],[Customer ID]],Table2[#All],7,FALSE)</f>
        <v>0</v>
      </c>
      <c r="I1343" t="str">
        <f>VLOOKUP(Table2[[#This Row],[Customer ID]],Table2[#All],8,FALSE)</f>
        <v>No</v>
      </c>
      <c r="J1343" t="str">
        <f>VLOOKUP(Table2[[#This Row],[Customer ID]],Table2[#All],9,FALSE)</f>
        <v>Obesity</v>
      </c>
      <c r="K1343" t="str">
        <f>VLOOKUP(Table2[[#This Row],[Customer ID]],Table2[#All],10,FALSE)</f>
        <v>Normal</v>
      </c>
    </row>
    <row r="1344" spans="1:11" ht="15.6" x14ac:dyDescent="0.3">
      <c r="A1344" s="1" t="s">
        <v>1028</v>
      </c>
      <c r="B1344" t="str">
        <f>VLOOKUP('Customer Names'!A1344,'Customer Names'!$A$1:$E$2336,4,FALSE)</f>
        <v>Mrs.  Natascia</v>
      </c>
      <c r="C1344">
        <f>VLOOKUP(Table2[[#This Row],[Customer ID]],Table2[#All],2,FALSE)</f>
        <v>37.049999999999997</v>
      </c>
      <c r="D1344">
        <f>VLOOKUP(Table2[[#This Row],[Customer ID]],Table2[#All],3,FALSE)</f>
        <v>4.74</v>
      </c>
      <c r="E1344" t="str">
        <f>VLOOKUP(Table2[[#This Row],[Customer ID]],Table2[#All],4,FALSE)</f>
        <v>No</v>
      </c>
      <c r="F1344" t="str">
        <f>VLOOKUP(Table2[[#This Row],[Customer ID]],Table2[#All],5,FALSE)</f>
        <v>No</v>
      </c>
      <c r="G1344" t="str">
        <f>VLOOKUP(Table2[[#This Row],[Customer ID]],Table2[#All],6,FALSE)</f>
        <v>Yes</v>
      </c>
      <c r="H1344">
        <f>VLOOKUP(Table2[[#This Row],[Customer ID]],Table2[#All],7,FALSE)</f>
        <v>1</v>
      </c>
      <c r="I1344" t="str">
        <f>VLOOKUP(Table2[[#This Row],[Customer ID]],Table2[#All],8,FALSE)</f>
        <v>No</v>
      </c>
      <c r="J1344" t="str">
        <f>VLOOKUP(Table2[[#This Row],[Customer ID]],Table2[#All],9,FALSE)</f>
        <v>Obesity</v>
      </c>
      <c r="K1344" t="str">
        <f>VLOOKUP(Table2[[#This Row],[Customer ID]],Table2[#All],10,FALSE)</f>
        <v>Normal</v>
      </c>
    </row>
    <row r="1345" spans="1:11" ht="15.6" x14ac:dyDescent="0.3">
      <c r="A1345" s="1" t="s">
        <v>1027</v>
      </c>
      <c r="B1345" t="str">
        <f>VLOOKUP('Customer Names'!A1345,'Customer Names'!$A$1:$E$2336,4,FALSE)</f>
        <v>Ms.  Jenny</v>
      </c>
      <c r="C1345">
        <f>VLOOKUP(Table2[[#This Row],[Customer ID]],Table2[#All],2,FALSE)</f>
        <v>18.66</v>
      </c>
      <c r="D1345">
        <f>VLOOKUP(Table2[[#This Row],[Customer ID]],Table2[#All],3,FALSE)</f>
        <v>11.35</v>
      </c>
      <c r="E1345" t="str">
        <f>VLOOKUP(Table2[[#This Row],[Customer ID]],Table2[#All],4,FALSE)</f>
        <v>No</v>
      </c>
      <c r="F1345" t="str">
        <f>VLOOKUP(Table2[[#This Row],[Customer ID]],Table2[#All],5,FALSE)</f>
        <v>No</v>
      </c>
      <c r="G1345" t="str">
        <f>VLOOKUP(Table2[[#This Row],[Customer ID]],Table2[#All],6,FALSE)</f>
        <v>No</v>
      </c>
      <c r="H1345">
        <f>VLOOKUP(Table2[[#This Row],[Customer ID]],Table2[#All],7,FALSE)</f>
        <v>0</v>
      </c>
      <c r="I1345" t="str">
        <f>VLOOKUP(Table2[[#This Row],[Customer ID]],Table2[#All],8,FALSE)</f>
        <v>No</v>
      </c>
      <c r="J1345" t="str">
        <f>VLOOKUP(Table2[[#This Row],[Customer ID]],Table2[#All],9,FALSE)</f>
        <v>Normalweight</v>
      </c>
      <c r="K1345" t="str">
        <f>VLOOKUP(Table2[[#This Row],[Customer ID]],Table2[#All],10,FALSE)</f>
        <v>Diabetes</v>
      </c>
    </row>
    <row r="1346" spans="1:11" ht="15.6" x14ac:dyDescent="0.3">
      <c r="A1346" s="1" t="s">
        <v>1026</v>
      </c>
      <c r="B1346" t="str">
        <f>VLOOKUP('Customer Names'!A1346,'Customer Names'!$A$1:$E$2336,4,FALSE)</f>
        <v>Mr.  Brian</v>
      </c>
      <c r="C1346">
        <f>VLOOKUP(Table2[[#This Row],[Customer ID]],Table2[#All],2,FALSE)</f>
        <v>36.200000000000003</v>
      </c>
      <c r="D1346">
        <f>VLOOKUP(Table2[[#This Row],[Customer ID]],Table2[#All],3,FALSE)</f>
        <v>6.81</v>
      </c>
      <c r="E1346" t="str">
        <f>VLOOKUP(Table2[[#This Row],[Customer ID]],Table2[#All],4,FALSE)</f>
        <v>Yes</v>
      </c>
      <c r="F1346" t="str">
        <f>VLOOKUP(Table2[[#This Row],[Customer ID]],Table2[#All],5,FALSE)</f>
        <v>No</v>
      </c>
      <c r="G1346" t="str">
        <f>VLOOKUP(Table2[[#This Row],[Customer ID]],Table2[#All],6,FALSE)</f>
        <v>No</v>
      </c>
      <c r="H1346">
        <f>VLOOKUP(Table2[[#This Row],[Customer ID]],Table2[#All],7,FALSE)</f>
        <v>1</v>
      </c>
      <c r="I1346" t="str">
        <f>VLOOKUP(Table2[[#This Row],[Customer ID]],Table2[#All],8,FALSE)</f>
        <v>No</v>
      </c>
      <c r="J1346" t="str">
        <f>VLOOKUP(Table2[[#This Row],[Customer ID]],Table2[#All],9,FALSE)</f>
        <v>Obesity</v>
      </c>
      <c r="K1346" t="str">
        <f>VLOOKUP(Table2[[#This Row],[Customer ID]],Table2[#All],10,FALSE)</f>
        <v>Diabetes</v>
      </c>
    </row>
    <row r="1347" spans="1:11" ht="15.6" x14ac:dyDescent="0.3">
      <c r="A1347" s="1" t="s">
        <v>1025</v>
      </c>
      <c r="B1347" t="str">
        <f>VLOOKUP('Customer Names'!A1347,'Customer Names'!$A$1:$E$2336,4,FALSE)</f>
        <v>Ms.  Monica</v>
      </c>
      <c r="C1347">
        <f>VLOOKUP(Table2[[#This Row],[Customer ID]],Table2[#All],2,FALSE)</f>
        <v>18.87</v>
      </c>
      <c r="D1347">
        <f>VLOOKUP(Table2[[#This Row],[Customer ID]],Table2[#All],3,FALSE)</f>
        <v>8.06</v>
      </c>
      <c r="E1347" t="str">
        <f>VLOOKUP(Table2[[#This Row],[Customer ID]],Table2[#All],4,FALSE)</f>
        <v>No</v>
      </c>
      <c r="F1347" t="str">
        <f>VLOOKUP(Table2[[#This Row],[Customer ID]],Table2[#All],5,FALSE)</f>
        <v>No</v>
      </c>
      <c r="G1347" t="str">
        <f>VLOOKUP(Table2[[#This Row],[Customer ID]],Table2[#All],6,FALSE)</f>
        <v>No</v>
      </c>
      <c r="H1347">
        <f>VLOOKUP(Table2[[#This Row],[Customer ID]],Table2[#All],7,FALSE)</f>
        <v>0</v>
      </c>
      <c r="I1347" t="str">
        <f>VLOOKUP(Table2[[#This Row],[Customer ID]],Table2[#All],8,FALSE)</f>
        <v>No</v>
      </c>
      <c r="J1347" t="str">
        <f>VLOOKUP(Table2[[#This Row],[Customer ID]],Table2[#All],9,FALSE)</f>
        <v>Normalweight</v>
      </c>
      <c r="K1347" t="str">
        <f>VLOOKUP(Table2[[#This Row],[Customer ID]],Table2[#All],10,FALSE)</f>
        <v>Diabetes</v>
      </c>
    </row>
    <row r="1348" spans="1:11" ht="15.6" x14ac:dyDescent="0.3">
      <c r="A1348" s="1" t="s">
        <v>1024</v>
      </c>
      <c r="B1348" t="str">
        <f>VLOOKUP('Customer Names'!A1348,'Customer Names'!$A$1:$E$2336,4,FALSE)</f>
        <v>Mr.  Tyler</v>
      </c>
      <c r="C1348">
        <f>VLOOKUP(Table2[[#This Row],[Customer ID]],Table2[#All],2,FALSE)</f>
        <v>32.299999999999997</v>
      </c>
      <c r="D1348">
        <f>VLOOKUP(Table2[[#This Row],[Customer ID]],Table2[#All],3,FALSE)</f>
        <v>6.74</v>
      </c>
      <c r="E1348" t="str">
        <f>VLOOKUP(Table2[[#This Row],[Customer ID]],Table2[#All],4,FALSE)</f>
        <v>Yes</v>
      </c>
      <c r="F1348" t="str">
        <f>VLOOKUP(Table2[[#This Row],[Customer ID]],Table2[#All],5,FALSE)</f>
        <v>No</v>
      </c>
      <c r="G1348" t="str">
        <f>VLOOKUP(Table2[[#This Row],[Customer ID]],Table2[#All],6,FALSE)</f>
        <v>No</v>
      </c>
      <c r="H1348">
        <f>VLOOKUP(Table2[[#This Row],[Customer ID]],Table2[#All],7,FALSE)</f>
        <v>1</v>
      </c>
      <c r="I1348" t="str">
        <f>VLOOKUP(Table2[[#This Row],[Customer ID]],Table2[#All],8,FALSE)</f>
        <v>No</v>
      </c>
      <c r="J1348" t="str">
        <f>VLOOKUP(Table2[[#This Row],[Customer ID]],Table2[#All],9,FALSE)</f>
        <v>Obesity</v>
      </c>
      <c r="K1348" t="str">
        <f>VLOOKUP(Table2[[#This Row],[Customer ID]],Table2[#All],10,FALSE)</f>
        <v>Diabetes</v>
      </c>
    </row>
    <row r="1349" spans="1:11" ht="15.6" x14ac:dyDescent="0.3">
      <c r="A1349" s="1" t="s">
        <v>1023</v>
      </c>
      <c r="B1349" t="str">
        <f>VLOOKUP('Customer Names'!A1349,'Customer Names'!$A$1:$E$2336,4,FALSE)</f>
        <v>Ms.  Kelly C</v>
      </c>
      <c r="C1349">
        <f>VLOOKUP(Table2[[#This Row],[Customer ID]],Table2[#All],2,FALSE)</f>
        <v>22.64</v>
      </c>
      <c r="D1349">
        <f>VLOOKUP(Table2[[#This Row],[Customer ID]],Table2[#All],3,FALSE)</f>
        <v>6.54</v>
      </c>
      <c r="E1349" t="str">
        <f>VLOOKUP(Table2[[#This Row],[Customer ID]],Table2[#All],4,FALSE)</f>
        <v>Yes</v>
      </c>
      <c r="F1349" t="str">
        <f>VLOOKUP(Table2[[#This Row],[Customer ID]],Table2[#All],5,FALSE)</f>
        <v>No</v>
      </c>
      <c r="G1349" t="str">
        <f>VLOOKUP(Table2[[#This Row],[Customer ID]],Table2[#All],6,FALSE)</f>
        <v>No</v>
      </c>
      <c r="H1349">
        <f>VLOOKUP(Table2[[#This Row],[Customer ID]],Table2[#All],7,FALSE)</f>
        <v>2</v>
      </c>
      <c r="I1349" t="str">
        <f>VLOOKUP(Table2[[#This Row],[Customer ID]],Table2[#All],8,FALSE)</f>
        <v>No</v>
      </c>
      <c r="J1349" t="str">
        <f>VLOOKUP(Table2[[#This Row],[Customer ID]],Table2[#All],9,FALSE)</f>
        <v>Normalweight</v>
      </c>
      <c r="K1349" t="str">
        <f>VLOOKUP(Table2[[#This Row],[Customer ID]],Table2[#All],10,FALSE)</f>
        <v>Diabetes</v>
      </c>
    </row>
    <row r="1350" spans="1:11" ht="15.6" x14ac:dyDescent="0.3">
      <c r="A1350" s="1" t="s">
        <v>1022</v>
      </c>
      <c r="B1350" t="str">
        <f>VLOOKUP('Customer Names'!A1350,'Customer Names'!$A$1:$E$2336,4,FALSE)</f>
        <v>Mrs.  Emily</v>
      </c>
      <c r="C1350">
        <f>VLOOKUP(Table2[[#This Row],[Customer ID]],Table2[#All],2,FALSE)</f>
        <v>28.69</v>
      </c>
      <c r="D1350">
        <f>VLOOKUP(Table2[[#This Row],[Customer ID]],Table2[#All],3,FALSE)</f>
        <v>5.4</v>
      </c>
      <c r="E1350" t="str">
        <f>VLOOKUP(Table2[[#This Row],[Customer ID]],Table2[#All],4,FALSE)</f>
        <v>No</v>
      </c>
      <c r="F1350" t="str">
        <f>VLOOKUP(Table2[[#This Row],[Customer ID]],Table2[#All],5,FALSE)</f>
        <v>No</v>
      </c>
      <c r="G1350" t="str">
        <f>VLOOKUP(Table2[[#This Row],[Customer ID]],Table2[#All],6,FALSE)</f>
        <v>No</v>
      </c>
      <c r="H1350">
        <f>VLOOKUP(Table2[[#This Row],[Customer ID]],Table2[#All],7,FALSE)</f>
        <v>0</v>
      </c>
      <c r="I1350" t="str">
        <f>VLOOKUP(Table2[[#This Row],[Customer ID]],Table2[#All],8,FALSE)</f>
        <v>No</v>
      </c>
      <c r="J1350" t="str">
        <f>VLOOKUP(Table2[[#This Row],[Customer ID]],Table2[#All],9,FALSE)</f>
        <v>Overweight</v>
      </c>
      <c r="K1350" t="str">
        <f>VLOOKUP(Table2[[#This Row],[Customer ID]],Table2[#All],10,FALSE)</f>
        <v>Normal</v>
      </c>
    </row>
    <row r="1351" spans="1:11" ht="15.6" x14ac:dyDescent="0.3">
      <c r="A1351" s="1" t="s">
        <v>1021</v>
      </c>
      <c r="B1351" t="str">
        <f>VLOOKUP('Customer Names'!A1351,'Customer Names'!$A$1:$E$2336,4,FALSE)</f>
        <v>Mr.  James V</v>
      </c>
      <c r="C1351">
        <f>VLOOKUP(Table2[[#This Row],[Customer ID]],Table2[#All],2,FALSE)</f>
        <v>28.16</v>
      </c>
      <c r="D1351">
        <f>VLOOKUP(Table2[[#This Row],[Customer ID]],Table2[#All],3,FALSE)</f>
        <v>5.58</v>
      </c>
      <c r="E1351" t="str">
        <f>VLOOKUP(Table2[[#This Row],[Customer ID]],Table2[#All],4,FALSE)</f>
        <v>Yes</v>
      </c>
      <c r="F1351" t="str">
        <f>VLOOKUP(Table2[[#This Row],[Customer ID]],Table2[#All],5,FALSE)</f>
        <v>No</v>
      </c>
      <c r="G1351" t="str">
        <f>VLOOKUP(Table2[[#This Row],[Customer ID]],Table2[#All],6,FALSE)</f>
        <v>No</v>
      </c>
      <c r="H1351">
        <f>VLOOKUP(Table2[[#This Row],[Customer ID]],Table2[#All],7,FALSE)</f>
        <v>0</v>
      </c>
      <c r="I1351" t="str">
        <f>VLOOKUP(Table2[[#This Row],[Customer ID]],Table2[#All],8,FALSE)</f>
        <v>No</v>
      </c>
      <c r="J1351" t="str">
        <f>VLOOKUP(Table2[[#This Row],[Customer ID]],Table2[#All],9,FALSE)</f>
        <v>Overweight</v>
      </c>
      <c r="K1351" t="str">
        <f>VLOOKUP(Table2[[#This Row],[Customer ID]],Table2[#All],10,FALSE)</f>
        <v>Normal</v>
      </c>
    </row>
    <row r="1352" spans="1:11" ht="15.6" x14ac:dyDescent="0.3">
      <c r="A1352" s="1" t="s">
        <v>1020</v>
      </c>
      <c r="B1352" t="str">
        <f>VLOOKUP('Customer Names'!A1352,'Customer Names'!$A$1:$E$2336,4,FALSE)</f>
        <v>Ms.  Angie</v>
      </c>
      <c r="C1352">
        <f>VLOOKUP(Table2[[#This Row],[Customer ID]],Table2[#All],2,FALSE)</f>
        <v>45.54</v>
      </c>
      <c r="D1352">
        <f>VLOOKUP(Table2[[#This Row],[Customer ID]],Table2[#All],3,FALSE)</f>
        <v>5.84</v>
      </c>
      <c r="E1352" t="str">
        <f>VLOOKUP(Table2[[#This Row],[Customer ID]],Table2[#All],4,FALSE)</f>
        <v>No</v>
      </c>
      <c r="F1352" t="str">
        <f>VLOOKUP(Table2[[#This Row],[Customer ID]],Table2[#All],5,FALSE)</f>
        <v>No</v>
      </c>
      <c r="G1352" t="str">
        <f>VLOOKUP(Table2[[#This Row],[Customer ID]],Table2[#All],6,FALSE)</f>
        <v>Yes</v>
      </c>
      <c r="H1352">
        <f>VLOOKUP(Table2[[#This Row],[Customer ID]],Table2[#All],7,FALSE)</f>
        <v>1</v>
      </c>
      <c r="I1352" t="str">
        <f>VLOOKUP(Table2[[#This Row],[Customer ID]],Table2[#All],8,FALSE)</f>
        <v>No</v>
      </c>
      <c r="J1352" t="str">
        <f>VLOOKUP(Table2[[#This Row],[Customer ID]],Table2[#All],9,FALSE)</f>
        <v>Obesity</v>
      </c>
      <c r="K1352" t="str">
        <f>VLOOKUP(Table2[[#This Row],[Customer ID]],Table2[#All],10,FALSE)</f>
        <v>Prediabetes</v>
      </c>
    </row>
    <row r="1353" spans="1:11" ht="15.6" x14ac:dyDescent="0.3">
      <c r="A1353" s="1" t="s">
        <v>1019</v>
      </c>
      <c r="B1353" t="str">
        <f>VLOOKUP('Customer Names'!A1353,'Customer Names'!$A$1:$E$2336,4,FALSE)</f>
        <v>Mr.  Michael J.</v>
      </c>
      <c r="C1353">
        <f>VLOOKUP(Table2[[#This Row],[Customer ID]],Table2[#All],2,FALSE)</f>
        <v>28.7</v>
      </c>
      <c r="D1353">
        <f>VLOOKUP(Table2[[#This Row],[Customer ID]],Table2[#All],3,FALSE)</f>
        <v>4.2</v>
      </c>
      <c r="E1353" t="str">
        <f>VLOOKUP(Table2[[#This Row],[Customer ID]],Table2[#All],4,FALSE)</f>
        <v>No</v>
      </c>
      <c r="F1353" t="str">
        <f>VLOOKUP(Table2[[#This Row],[Customer ID]],Table2[#All],5,FALSE)</f>
        <v>No</v>
      </c>
      <c r="G1353" t="str">
        <f>VLOOKUP(Table2[[#This Row],[Customer ID]],Table2[#All],6,FALSE)</f>
        <v>No</v>
      </c>
      <c r="H1353">
        <f>VLOOKUP(Table2[[#This Row],[Customer ID]],Table2[#All],7,FALSE)</f>
        <v>0</v>
      </c>
      <c r="I1353" t="str">
        <f>VLOOKUP(Table2[[#This Row],[Customer ID]],Table2[#All],8,FALSE)</f>
        <v>No</v>
      </c>
      <c r="J1353" t="str">
        <f>VLOOKUP(Table2[[#This Row],[Customer ID]],Table2[#All],9,FALSE)</f>
        <v>Overweight</v>
      </c>
      <c r="K1353" t="str">
        <f>VLOOKUP(Table2[[#This Row],[Customer ID]],Table2[#All],10,FALSE)</f>
        <v>Normal</v>
      </c>
    </row>
    <row r="1354" spans="1:11" ht="15.6" x14ac:dyDescent="0.3">
      <c r="A1354" s="1" t="s">
        <v>1018</v>
      </c>
      <c r="B1354" t="str">
        <f>VLOOKUP('Customer Names'!A1354,'Customer Names'!$A$1:$E$2336,4,FALSE)</f>
        <v>Ms.  Sabina</v>
      </c>
      <c r="C1354">
        <f>VLOOKUP(Table2[[#This Row],[Customer ID]],Table2[#All],2,FALSE)</f>
        <v>27.74</v>
      </c>
      <c r="D1354">
        <f>VLOOKUP(Table2[[#This Row],[Customer ID]],Table2[#All],3,FALSE)</f>
        <v>6.06</v>
      </c>
      <c r="E1354" t="str">
        <f>VLOOKUP(Table2[[#This Row],[Customer ID]],Table2[#All],4,FALSE)</f>
        <v>Yes</v>
      </c>
      <c r="F1354" t="str">
        <f>VLOOKUP(Table2[[#This Row],[Customer ID]],Table2[#All],5,FALSE)</f>
        <v>No</v>
      </c>
      <c r="G1354" t="str">
        <f>VLOOKUP(Table2[[#This Row],[Customer ID]],Table2[#All],6,FALSE)</f>
        <v>No</v>
      </c>
      <c r="H1354">
        <f>VLOOKUP(Table2[[#This Row],[Customer ID]],Table2[#All],7,FALSE)</f>
        <v>0</v>
      </c>
      <c r="I1354" t="str">
        <f>VLOOKUP(Table2[[#This Row],[Customer ID]],Table2[#All],8,FALSE)</f>
        <v>No</v>
      </c>
      <c r="J1354" t="str">
        <f>VLOOKUP(Table2[[#This Row],[Customer ID]],Table2[#All],9,FALSE)</f>
        <v>Overweight</v>
      </c>
      <c r="K1354" t="str">
        <f>VLOOKUP(Table2[[#This Row],[Customer ID]],Table2[#All],10,FALSE)</f>
        <v>Prediabetes</v>
      </c>
    </row>
    <row r="1355" spans="1:11" ht="15.6" x14ac:dyDescent="0.3">
      <c r="A1355" s="1" t="s">
        <v>1017</v>
      </c>
      <c r="B1355" t="str">
        <f>VLOOKUP('Customer Names'!A1355,'Customer Names'!$A$1:$E$2336,4,FALSE)</f>
        <v>Ms.  Amy C</v>
      </c>
      <c r="C1355">
        <f>VLOOKUP(Table2[[#This Row],[Customer ID]],Table2[#All],2,FALSE)</f>
        <v>36.954999999999998</v>
      </c>
      <c r="D1355">
        <f>VLOOKUP(Table2[[#This Row],[Customer ID]],Table2[#All],3,FALSE)</f>
        <v>7.57</v>
      </c>
      <c r="E1355" t="str">
        <f>VLOOKUP(Table2[[#This Row],[Customer ID]],Table2[#All],4,FALSE)</f>
        <v>No</v>
      </c>
      <c r="F1355" t="str">
        <f>VLOOKUP(Table2[[#This Row],[Customer ID]],Table2[#All],5,FALSE)</f>
        <v>No</v>
      </c>
      <c r="G1355" t="str">
        <f>VLOOKUP(Table2[[#This Row],[Customer ID]],Table2[#All],6,FALSE)</f>
        <v>No</v>
      </c>
      <c r="H1355">
        <f>VLOOKUP(Table2[[#This Row],[Customer ID]],Table2[#All],7,FALSE)</f>
        <v>0</v>
      </c>
      <c r="I1355" t="str">
        <f>VLOOKUP(Table2[[#This Row],[Customer ID]],Table2[#All],8,FALSE)</f>
        <v>No</v>
      </c>
      <c r="J1355" t="str">
        <f>VLOOKUP(Table2[[#This Row],[Customer ID]],Table2[#All],9,FALSE)</f>
        <v>Obesity</v>
      </c>
      <c r="K1355" t="str">
        <f>VLOOKUP(Table2[[#This Row],[Customer ID]],Table2[#All],10,FALSE)</f>
        <v>Diabetes</v>
      </c>
    </row>
    <row r="1356" spans="1:11" ht="15.6" x14ac:dyDescent="0.3">
      <c r="A1356" s="1" t="s">
        <v>1016</v>
      </c>
      <c r="B1356" t="str">
        <f>VLOOKUP('Customer Names'!A1356,'Customer Names'!$A$1:$E$2336,4,FALSE)</f>
        <v>Ms.  Victoria U</v>
      </c>
      <c r="C1356">
        <f>VLOOKUP(Table2[[#This Row],[Customer ID]],Table2[#All],2,FALSE)</f>
        <v>30.69</v>
      </c>
      <c r="D1356">
        <f>VLOOKUP(Table2[[#This Row],[Customer ID]],Table2[#All],3,FALSE)</f>
        <v>6.15</v>
      </c>
      <c r="E1356" t="str">
        <f>VLOOKUP(Table2[[#This Row],[Customer ID]],Table2[#All],4,FALSE)</f>
        <v>No</v>
      </c>
      <c r="F1356" t="str">
        <f>VLOOKUP(Table2[[#This Row],[Customer ID]],Table2[#All],5,FALSE)</f>
        <v>No</v>
      </c>
      <c r="G1356" t="str">
        <f>VLOOKUP(Table2[[#This Row],[Customer ID]],Table2[#All],6,FALSE)</f>
        <v>No</v>
      </c>
      <c r="H1356">
        <f>VLOOKUP(Table2[[#This Row],[Customer ID]],Table2[#All],7,FALSE)</f>
        <v>0</v>
      </c>
      <c r="I1356" t="str">
        <f>VLOOKUP(Table2[[#This Row],[Customer ID]],Table2[#All],8,FALSE)</f>
        <v>No</v>
      </c>
      <c r="J1356" t="str">
        <f>VLOOKUP(Table2[[#This Row],[Customer ID]],Table2[#All],9,FALSE)</f>
        <v>Obesity</v>
      </c>
      <c r="K1356" t="str">
        <f>VLOOKUP(Table2[[#This Row],[Customer ID]],Table2[#All],10,FALSE)</f>
        <v>Prediabetes</v>
      </c>
    </row>
    <row r="1357" spans="1:11" ht="15.6" x14ac:dyDescent="0.3">
      <c r="A1357" s="1" t="s">
        <v>1015</v>
      </c>
      <c r="B1357" t="str">
        <f>VLOOKUP('Customer Names'!A1357,'Customer Names'!$A$1:$E$2336,4,FALSE)</f>
        <v>Ms.  Amelia B</v>
      </c>
      <c r="C1357">
        <f>VLOOKUP(Table2[[#This Row],[Customer ID]],Table2[#All],2,FALSE)</f>
        <v>24.984999999999999</v>
      </c>
      <c r="D1357">
        <f>VLOOKUP(Table2[[#This Row],[Customer ID]],Table2[#All],3,FALSE)</f>
        <v>4.5599999999999996</v>
      </c>
      <c r="E1357" t="str">
        <f>VLOOKUP(Table2[[#This Row],[Customer ID]],Table2[#All],4,FALSE)</f>
        <v>No</v>
      </c>
      <c r="F1357" t="str">
        <f>VLOOKUP(Table2[[#This Row],[Customer ID]],Table2[#All],5,FALSE)</f>
        <v>No</v>
      </c>
      <c r="G1357" t="str">
        <f>VLOOKUP(Table2[[#This Row],[Customer ID]],Table2[#All],6,FALSE)</f>
        <v>No</v>
      </c>
      <c r="H1357">
        <f>VLOOKUP(Table2[[#This Row],[Customer ID]],Table2[#All],7,FALSE)</f>
        <v>0</v>
      </c>
      <c r="I1357" t="str">
        <f>VLOOKUP(Table2[[#This Row],[Customer ID]],Table2[#All],8,FALSE)</f>
        <v>No</v>
      </c>
      <c r="J1357" t="str">
        <f>VLOOKUP(Table2[[#This Row],[Customer ID]],Table2[#All],9,FALSE)</f>
        <v>Normalweight</v>
      </c>
      <c r="K1357" t="str">
        <f>VLOOKUP(Table2[[#This Row],[Customer ID]],Table2[#All],10,FALSE)</f>
        <v>Normal</v>
      </c>
    </row>
    <row r="1358" spans="1:11" ht="15.6" x14ac:dyDescent="0.3">
      <c r="A1358" s="1" t="s">
        <v>1014</v>
      </c>
      <c r="B1358" t="str">
        <f>VLOOKUP('Customer Names'!A1358,'Customer Names'!$A$1:$E$2336,4,FALSE)</f>
        <v>Ms.  Jackie J</v>
      </c>
      <c r="C1358">
        <f>VLOOKUP(Table2[[#This Row],[Customer ID]],Table2[#All],2,FALSE)</f>
        <v>39.42</v>
      </c>
      <c r="D1358">
        <f>VLOOKUP(Table2[[#This Row],[Customer ID]],Table2[#All],3,FALSE)</f>
        <v>4.72</v>
      </c>
      <c r="E1358" t="str">
        <f>VLOOKUP(Table2[[#This Row],[Customer ID]],Table2[#All],4,FALSE)</f>
        <v>Yes</v>
      </c>
      <c r="F1358" t="str">
        <f>VLOOKUP(Table2[[#This Row],[Customer ID]],Table2[#All],5,FALSE)</f>
        <v>No</v>
      </c>
      <c r="G1358" t="str">
        <f>VLOOKUP(Table2[[#This Row],[Customer ID]],Table2[#All],6,FALSE)</f>
        <v>No</v>
      </c>
      <c r="H1358">
        <f>VLOOKUP(Table2[[#This Row],[Customer ID]],Table2[#All],7,FALSE)</f>
        <v>1</v>
      </c>
      <c r="I1358" t="str">
        <f>VLOOKUP(Table2[[#This Row],[Customer ID]],Table2[#All],8,FALSE)</f>
        <v>No</v>
      </c>
      <c r="J1358" t="str">
        <f>VLOOKUP(Table2[[#This Row],[Customer ID]],Table2[#All],9,FALSE)</f>
        <v>Obesity</v>
      </c>
      <c r="K1358" t="str">
        <f>VLOOKUP(Table2[[#This Row],[Customer ID]],Table2[#All],10,FALSE)</f>
        <v>Normal</v>
      </c>
    </row>
    <row r="1359" spans="1:11" ht="15.6" x14ac:dyDescent="0.3">
      <c r="A1359" s="1" t="s">
        <v>1013</v>
      </c>
      <c r="B1359" t="str">
        <f>VLOOKUP('Customer Names'!A1359,'Customer Names'!$A$1:$E$2336,4,FALSE)</f>
        <v>Mr.  Justin</v>
      </c>
      <c r="C1359">
        <f>VLOOKUP(Table2[[#This Row],[Customer ID]],Table2[#All],2,FALSE)</f>
        <v>16.8</v>
      </c>
      <c r="D1359">
        <f>VLOOKUP(Table2[[#This Row],[Customer ID]],Table2[#All],3,FALSE)</f>
        <v>7.98</v>
      </c>
      <c r="E1359" t="str">
        <f>VLOOKUP(Table2[[#This Row],[Customer ID]],Table2[#All],4,FALSE)</f>
        <v>No</v>
      </c>
      <c r="F1359" t="str">
        <f>VLOOKUP(Table2[[#This Row],[Customer ID]],Table2[#All],5,FALSE)</f>
        <v>No</v>
      </c>
      <c r="G1359" t="str">
        <f>VLOOKUP(Table2[[#This Row],[Customer ID]],Table2[#All],6,FALSE)</f>
        <v>No</v>
      </c>
      <c r="H1359">
        <f>VLOOKUP(Table2[[#This Row],[Customer ID]],Table2[#All],7,FALSE)</f>
        <v>0</v>
      </c>
      <c r="I1359" t="str">
        <f>VLOOKUP(Table2[[#This Row],[Customer ID]],Table2[#All],8,FALSE)</f>
        <v>No</v>
      </c>
      <c r="J1359" t="str">
        <f>VLOOKUP(Table2[[#This Row],[Customer ID]],Table2[#All],9,FALSE)</f>
        <v>Underweight</v>
      </c>
      <c r="K1359" t="str">
        <f>VLOOKUP(Table2[[#This Row],[Customer ID]],Table2[#All],10,FALSE)</f>
        <v>Diabetes</v>
      </c>
    </row>
    <row r="1360" spans="1:11" ht="15.6" x14ac:dyDescent="0.3">
      <c r="A1360" s="1" t="s">
        <v>1012</v>
      </c>
      <c r="B1360" t="str">
        <f>VLOOKUP('Customer Names'!A1360,'Customer Names'!$A$1:$E$2336,4,FALSE)</f>
        <v>Ms.  Kerry</v>
      </c>
      <c r="C1360">
        <f>VLOOKUP(Table2[[#This Row],[Customer ID]],Table2[#All],2,FALSE)</f>
        <v>23.274999999999999</v>
      </c>
      <c r="D1360">
        <f>VLOOKUP(Table2[[#This Row],[Customer ID]],Table2[#All],3,FALSE)</f>
        <v>6.26</v>
      </c>
      <c r="E1360" t="str">
        <f>VLOOKUP(Table2[[#This Row],[Customer ID]],Table2[#All],4,FALSE)</f>
        <v>Yes</v>
      </c>
      <c r="F1360" t="str">
        <f>VLOOKUP(Table2[[#This Row],[Customer ID]],Table2[#All],5,FALSE)</f>
        <v>No</v>
      </c>
      <c r="G1360" t="str">
        <f>VLOOKUP(Table2[[#This Row],[Customer ID]],Table2[#All],6,FALSE)</f>
        <v>Yes</v>
      </c>
      <c r="H1360">
        <f>VLOOKUP(Table2[[#This Row],[Customer ID]],Table2[#All],7,FALSE)</f>
        <v>1</v>
      </c>
      <c r="I1360" t="str">
        <f>VLOOKUP(Table2[[#This Row],[Customer ID]],Table2[#All],8,FALSE)</f>
        <v>No</v>
      </c>
      <c r="J1360" t="str">
        <f>VLOOKUP(Table2[[#This Row],[Customer ID]],Table2[#All],9,FALSE)</f>
        <v>Normalweight</v>
      </c>
      <c r="K1360" t="str">
        <f>VLOOKUP(Table2[[#This Row],[Customer ID]],Table2[#All],10,FALSE)</f>
        <v>Prediabetes</v>
      </c>
    </row>
    <row r="1361" spans="1:11" ht="15.6" x14ac:dyDescent="0.3">
      <c r="A1361" s="1" t="s">
        <v>1011</v>
      </c>
      <c r="B1361" t="str">
        <f>VLOOKUP('Customer Names'!A1361,'Customer Names'!$A$1:$E$2336,4,FALSE)</f>
        <v>Ms.  Cindy G.</v>
      </c>
      <c r="C1361">
        <f>VLOOKUP(Table2[[#This Row],[Customer ID]],Table2[#All],2,FALSE)</f>
        <v>22.8</v>
      </c>
      <c r="D1361">
        <f>VLOOKUP(Table2[[#This Row],[Customer ID]],Table2[#All],3,FALSE)</f>
        <v>4.29</v>
      </c>
      <c r="E1361" t="str">
        <f>VLOOKUP(Table2[[#This Row],[Customer ID]],Table2[#All],4,FALSE)</f>
        <v>Yes</v>
      </c>
      <c r="F1361" t="str">
        <f>VLOOKUP(Table2[[#This Row],[Customer ID]],Table2[#All],5,FALSE)</f>
        <v>No</v>
      </c>
      <c r="G1361" t="str">
        <f>VLOOKUP(Table2[[#This Row],[Customer ID]],Table2[#All],6,FALSE)</f>
        <v>Yes</v>
      </c>
      <c r="H1361">
        <f>VLOOKUP(Table2[[#This Row],[Customer ID]],Table2[#All],7,FALSE)</f>
        <v>1</v>
      </c>
      <c r="I1361" t="str">
        <f>VLOOKUP(Table2[[#This Row],[Customer ID]],Table2[#All],8,FALSE)</f>
        <v>No</v>
      </c>
      <c r="J1361" t="str">
        <f>VLOOKUP(Table2[[#This Row],[Customer ID]],Table2[#All],9,FALSE)</f>
        <v>Normalweight</v>
      </c>
      <c r="K1361" t="str">
        <f>VLOOKUP(Table2[[#This Row],[Customer ID]],Table2[#All],10,FALSE)</f>
        <v>Normal</v>
      </c>
    </row>
    <row r="1362" spans="1:11" ht="15.6" x14ac:dyDescent="0.3">
      <c r="A1362" s="1" t="s">
        <v>1010</v>
      </c>
      <c r="B1362" t="str">
        <f>VLOOKUP('Customer Names'!A1362,'Customer Names'!$A$1:$E$2336,4,FALSE)</f>
        <v>Mr.  Gennaro</v>
      </c>
      <c r="C1362">
        <f>VLOOKUP(Table2[[#This Row],[Customer ID]],Table2[#All],2,FALSE)</f>
        <v>24.3</v>
      </c>
      <c r="D1362">
        <f>VLOOKUP(Table2[[#This Row],[Customer ID]],Table2[#All],3,FALSE)</f>
        <v>5.43</v>
      </c>
      <c r="E1362" t="str">
        <f>VLOOKUP(Table2[[#This Row],[Customer ID]],Table2[#All],4,FALSE)</f>
        <v>No</v>
      </c>
      <c r="F1362" t="str">
        <f>VLOOKUP(Table2[[#This Row],[Customer ID]],Table2[#All],5,FALSE)</f>
        <v>No</v>
      </c>
      <c r="G1362" t="str">
        <f>VLOOKUP(Table2[[#This Row],[Customer ID]],Table2[#All],6,FALSE)</f>
        <v>No</v>
      </c>
      <c r="H1362">
        <f>VLOOKUP(Table2[[#This Row],[Customer ID]],Table2[#All],7,FALSE)</f>
        <v>2</v>
      </c>
      <c r="I1362" t="str">
        <f>VLOOKUP(Table2[[#This Row],[Customer ID]],Table2[#All],8,FALSE)</f>
        <v>No</v>
      </c>
      <c r="J1362" t="str">
        <f>VLOOKUP(Table2[[#This Row],[Customer ID]],Table2[#All],9,FALSE)</f>
        <v>Normalweight</v>
      </c>
      <c r="K1362" t="str">
        <f>VLOOKUP(Table2[[#This Row],[Customer ID]],Table2[#All],10,FALSE)</f>
        <v>Normal</v>
      </c>
    </row>
    <row r="1363" spans="1:11" ht="15.6" x14ac:dyDescent="0.3">
      <c r="A1363" s="1" t="s">
        <v>1009</v>
      </c>
      <c r="B1363" t="str">
        <f>VLOOKUP('Customer Names'!A1363,'Customer Names'!$A$1:$E$2336,4,FALSE)</f>
        <v>Mr.  Terry</v>
      </c>
      <c r="C1363">
        <f>VLOOKUP(Table2[[#This Row],[Customer ID]],Table2[#All],2,FALSE)</f>
        <v>25.13</v>
      </c>
      <c r="D1363">
        <f>VLOOKUP(Table2[[#This Row],[Customer ID]],Table2[#All],3,FALSE)</f>
        <v>8</v>
      </c>
      <c r="E1363" t="str">
        <f>VLOOKUP(Table2[[#This Row],[Customer ID]],Table2[#All],4,FALSE)</f>
        <v>Yes</v>
      </c>
      <c r="F1363" t="str">
        <f>VLOOKUP(Table2[[#This Row],[Customer ID]],Table2[#All],5,FALSE)</f>
        <v>No</v>
      </c>
      <c r="G1363" t="str">
        <f>VLOOKUP(Table2[[#This Row],[Customer ID]],Table2[#All],6,FALSE)</f>
        <v>No</v>
      </c>
      <c r="H1363">
        <f>VLOOKUP(Table2[[#This Row],[Customer ID]],Table2[#All],7,FALSE)</f>
        <v>1</v>
      </c>
      <c r="I1363" t="str">
        <f>VLOOKUP(Table2[[#This Row],[Customer ID]],Table2[#All],8,FALSE)</f>
        <v>No</v>
      </c>
      <c r="J1363" t="str">
        <f>VLOOKUP(Table2[[#This Row],[Customer ID]],Table2[#All],9,FALSE)</f>
        <v>Overweight</v>
      </c>
      <c r="K1363" t="str">
        <f>VLOOKUP(Table2[[#This Row],[Customer ID]],Table2[#All],10,FALSE)</f>
        <v>Diabetes</v>
      </c>
    </row>
    <row r="1364" spans="1:11" ht="15.6" x14ac:dyDescent="0.3">
      <c r="A1364" s="1" t="s">
        <v>1008</v>
      </c>
      <c r="B1364" t="str">
        <f>VLOOKUP('Customer Names'!A1364,'Customer Names'!$A$1:$E$2336,4,FALSE)</f>
        <v>Mr.  Patrick J</v>
      </c>
      <c r="C1364">
        <f>VLOOKUP(Table2[[#This Row],[Customer ID]],Table2[#All],2,FALSE)</f>
        <v>22.72</v>
      </c>
      <c r="D1364">
        <f>VLOOKUP(Table2[[#This Row],[Customer ID]],Table2[#All],3,FALSE)</f>
        <v>9.9600000000000009</v>
      </c>
      <c r="E1364" t="str">
        <f>VLOOKUP(Table2[[#This Row],[Customer ID]],Table2[#All],4,FALSE)</f>
        <v>Yes</v>
      </c>
      <c r="F1364" t="str">
        <f>VLOOKUP(Table2[[#This Row],[Customer ID]],Table2[#All],5,FALSE)</f>
        <v>No</v>
      </c>
      <c r="G1364" t="str">
        <f>VLOOKUP(Table2[[#This Row],[Customer ID]],Table2[#All],6,FALSE)</f>
        <v>No</v>
      </c>
      <c r="H1364">
        <f>VLOOKUP(Table2[[#This Row],[Customer ID]],Table2[#All],7,FALSE)</f>
        <v>2</v>
      </c>
      <c r="I1364" t="str">
        <f>VLOOKUP(Table2[[#This Row],[Customer ID]],Table2[#All],8,FALSE)</f>
        <v>No</v>
      </c>
      <c r="J1364" t="str">
        <f>VLOOKUP(Table2[[#This Row],[Customer ID]],Table2[#All],9,FALSE)</f>
        <v>Normalweight</v>
      </c>
      <c r="K1364" t="str">
        <f>VLOOKUP(Table2[[#This Row],[Customer ID]],Table2[#All],10,FALSE)</f>
        <v>Diabetes</v>
      </c>
    </row>
    <row r="1365" spans="1:11" ht="15.6" x14ac:dyDescent="0.3">
      <c r="A1365" s="1" t="s">
        <v>1007</v>
      </c>
      <c r="B1365" t="str">
        <f>VLOOKUP('Customer Names'!A1365,'Customer Names'!$A$1:$E$2336,4,FALSE)</f>
        <v>Ms.  Keara</v>
      </c>
      <c r="C1365">
        <f>VLOOKUP(Table2[[#This Row],[Customer ID]],Table2[#All],2,FALSE)</f>
        <v>32.6</v>
      </c>
      <c r="D1365">
        <f>VLOOKUP(Table2[[#This Row],[Customer ID]],Table2[#All],3,FALSE)</f>
        <v>6.8</v>
      </c>
      <c r="E1365" t="str">
        <f>VLOOKUP(Table2[[#This Row],[Customer ID]],Table2[#All],4,FALSE)</f>
        <v>Yes</v>
      </c>
      <c r="F1365" t="str">
        <f>VLOOKUP(Table2[[#This Row],[Customer ID]],Table2[#All],5,FALSE)</f>
        <v>No</v>
      </c>
      <c r="G1365" t="str">
        <f>VLOOKUP(Table2[[#This Row],[Customer ID]],Table2[#All],6,FALSE)</f>
        <v>No</v>
      </c>
      <c r="H1365">
        <f>VLOOKUP(Table2[[#This Row],[Customer ID]],Table2[#All],7,FALSE)</f>
        <v>0</v>
      </c>
      <c r="I1365" t="str">
        <f>VLOOKUP(Table2[[#This Row],[Customer ID]],Table2[#All],8,FALSE)</f>
        <v>No</v>
      </c>
      <c r="J1365" t="str">
        <f>VLOOKUP(Table2[[#This Row],[Customer ID]],Table2[#All],9,FALSE)</f>
        <v>Obesity</v>
      </c>
      <c r="K1365" t="str">
        <f>VLOOKUP(Table2[[#This Row],[Customer ID]],Table2[#All],10,FALSE)</f>
        <v>Diabetes</v>
      </c>
    </row>
    <row r="1366" spans="1:11" ht="15.6" x14ac:dyDescent="0.3">
      <c r="A1366" s="1" t="s">
        <v>1006</v>
      </c>
      <c r="B1366" t="str">
        <f>VLOOKUP('Customer Names'!A1366,'Customer Names'!$A$1:$E$2336,4,FALSE)</f>
        <v>Ms.  Nicole</v>
      </c>
      <c r="C1366">
        <f>VLOOKUP(Table2[[#This Row],[Customer ID]],Table2[#All],2,FALSE)</f>
        <v>17.28</v>
      </c>
      <c r="D1366">
        <f>VLOOKUP(Table2[[#This Row],[Customer ID]],Table2[#All],3,FALSE)</f>
        <v>6.22</v>
      </c>
      <c r="E1366" t="str">
        <f>VLOOKUP(Table2[[#This Row],[Customer ID]],Table2[#All],4,FALSE)</f>
        <v>Yes</v>
      </c>
      <c r="F1366" t="str">
        <f>VLOOKUP(Table2[[#This Row],[Customer ID]],Table2[#All],5,FALSE)</f>
        <v>No</v>
      </c>
      <c r="G1366" t="str">
        <f>VLOOKUP(Table2[[#This Row],[Customer ID]],Table2[#All],6,FALSE)</f>
        <v>No</v>
      </c>
      <c r="H1366">
        <f>VLOOKUP(Table2[[#This Row],[Customer ID]],Table2[#All],7,FALSE)</f>
        <v>2</v>
      </c>
      <c r="I1366" t="str">
        <f>VLOOKUP(Table2[[#This Row],[Customer ID]],Table2[#All],8,FALSE)</f>
        <v>No</v>
      </c>
      <c r="J1366" t="str">
        <f>VLOOKUP(Table2[[#This Row],[Customer ID]],Table2[#All],9,FALSE)</f>
        <v>Underweight</v>
      </c>
      <c r="K1366" t="str">
        <f>VLOOKUP(Table2[[#This Row],[Customer ID]],Table2[#All],10,FALSE)</f>
        <v>Prediabetes</v>
      </c>
    </row>
    <row r="1367" spans="1:11" ht="15.6" x14ac:dyDescent="0.3">
      <c r="A1367" s="1" t="s">
        <v>1005</v>
      </c>
      <c r="B1367" t="str">
        <f>VLOOKUP('Customer Names'!A1367,'Customer Names'!$A$1:$E$2336,4,FALSE)</f>
        <v>Mrs.  Katena</v>
      </c>
      <c r="C1367">
        <f>VLOOKUP(Table2[[#This Row],[Customer ID]],Table2[#All],2,FALSE)</f>
        <v>27.92</v>
      </c>
      <c r="D1367">
        <f>VLOOKUP(Table2[[#This Row],[Customer ID]],Table2[#All],3,FALSE)</f>
        <v>5.79</v>
      </c>
      <c r="E1367" t="str">
        <f>VLOOKUP(Table2[[#This Row],[Customer ID]],Table2[#All],4,FALSE)</f>
        <v>No</v>
      </c>
      <c r="F1367" t="str">
        <f>VLOOKUP(Table2[[#This Row],[Customer ID]],Table2[#All],5,FALSE)</f>
        <v>No</v>
      </c>
      <c r="G1367" t="str">
        <f>VLOOKUP(Table2[[#This Row],[Customer ID]],Table2[#All],6,FALSE)</f>
        <v>No</v>
      </c>
      <c r="H1367">
        <f>VLOOKUP(Table2[[#This Row],[Customer ID]],Table2[#All],7,FALSE)</f>
        <v>1</v>
      </c>
      <c r="I1367" t="str">
        <f>VLOOKUP(Table2[[#This Row],[Customer ID]],Table2[#All],8,FALSE)</f>
        <v>No</v>
      </c>
      <c r="J1367" t="str">
        <f>VLOOKUP(Table2[[#This Row],[Customer ID]],Table2[#All],9,FALSE)</f>
        <v>Overweight</v>
      </c>
      <c r="K1367" t="str">
        <f>VLOOKUP(Table2[[#This Row],[Customer ID]],Table2[#All],10,FALSE)</f>
        <v>Prediabetes</v>
      </c>
    </row>
    <row r="1368" spans="1:11" ht="15.6" x14ac:dyDescent="0.3">
      <c r="A1368" s="1" t="s">
        <v>1004</v>
      </c>
      <c r="B1368" t="str">
        <f>VLOOKUP('Customer Names'!A1368,'Customer Names'!$A$1:$E$2336,4,FALSE)</f>
        <v>Ms.  Bean K.</v>
      </c>
      <c r="C1368">
        <f>VLOOKUP(Table2[[#This Row],[Customer ID]],Table2[#All],2,FALSE)</f>
        <v>38.284999999999997</v>
      </c>
      <c r="D1368">
        <f>VLOOKUP(Table2[[#This Row],[Customer ID]],Table2[#All],3,FALSE)</f>
        <v>5.41</v>
      </c>
      <c r="E1368" t="str">
        <f>VLOOKUP(Table2[[#This Row],[Customer ID]],Table2[#All],4,FALSE)</f>
        <v>No</v>
      </c>
      <c r="F1368" t="str">
        <f>VLOOKUP(Table2[[#This Row],[Customer ID]],Table2[#All],5,FALSE)</f>
        <v>No</v>
      </c>
      <c r="G1368" t="str">
        <f>VLOOKUP(Table2[[#This Row],[Customer ID]],Table2[#All],6,FALSE)</f>
        <v>No</v>
      </c>
      <c r="H1368">
        <f>VLOOKUP(Table2[[#This Row],[Customer ID]],Table2[#All],7,FALSE)</f>
        <v>0</v>
      </c>
      <c r="I1368" t="str">
        <f>VLOOKUP(Table2[[#This Row],[Customer ID]],Table2[#All],8,FALSE)</f>
        <v>No</v>
      </c>
      <c r="J1368" t="str">
        <f>VLOOKUP(Table2[[#This Row],[Customer ID]],Table2[#All],9,FALSE)</f>
        <v>Obesity</v>
      </c>
      <c r="K1368" t="str">
        <f>VLOOKUP(Table2[[#This Row],[Customer ID]],Table2[#All],10,FALSE)</f>
        <v>Normal</v>
      </c>
    </row>
    <row r="1369" spans="1:11" ht="15.6" x14ac:dyDescent="0.3">
      <c r="A1369" s="1" t="s">
        <v>1003</v>
      </c>
      <c r="B1369" t="str">
        <f>VLOOKUP('Customer Names'!A1369,'Customer Names'!$A$1:$E$2336,4,FALSE)</f>
        <v>Mr.  Brian</v>
      </c>
      <c r="C1369">
        <f>VLOOKUP(Table2[[#This Row],[Customer ID]],Table2[#All],2,FALSE)</f>
        <v>16.48</v>
      </c>
      <c r="D1369">
        <f>VLOOKUP(Table2[[#This Row],[Customer ID]],Table2[#All],3,FALSE)</f>
        <v>11.05</v>
      </c>
      <c r="E1369" t="str">
        <f>VLOOKUP(Table2[[#This Row],[Customer ID]],Table2[#All],4,FALSE)</f>
        <v>No</v>
      </c>
      <c r="F1369" t="str">
        <f>VLOOKUP(Table2[[#This Row],[Customer ID]],Table2[#All],5,FALSE)</f>
        <v>No</v>
      </c>
      <c r="G1369" t="str">
        <f>VLOOKUP(Table2[[#This Row],[Customer ID]],Table2[#All],6,FALSE)</f>
        <v>No</v>
      </c>
      <c r="H1369">
        <f>VLOOKUP(Table2[[#This Row],[Customer ID]],Table2[#All],7,FALSE)</f>
        <v>0</v>
      </c>
      <c r="I1369" t="str">
        <f>VLOOKUP(Table2[[#This Row],[Customer ID]],Table2[#All],8,FALSE)</f>
        <v>No</v>
      </c>
      <c r="J1369" t="str">
        <f>VLOOKUP(Table2[[#This Row],[Customer ID]],Table2[#All],9,FALSE)</f>
        <v>Underweight</v>
      </c>
      <c r="K1369" t="str">
        <f>VLOOKUP(Table2[[#This Row],[Customer ID]],Table2[#All],10,FALSE)</f>
        <v>Diabetes</v>
      </c>
    </row>
    <row r="1370" spans="1:11" ht="15.6" x14ac:dyDescent="0.3">
      <c r="A1370" s="1" t="s">
        <v>1002</v>
      </c>
      <c r="B1370" t="str">
        <f>VLOOKUP('Customer Names'!A1370,'Customer Names'!$A$1:$E$2336,4,FALSE)</f>
        <v>Mr.  Jan-Patrick</v>
      </c>
      <c r="C1370">
        <f>VLOOKUP(Table2[[#This Row],[Customer ID]],Table2[#All],2,FALSE)</f>
        <v>38.57</v>
      </c>
      <c r="D1370">
        <f>VLOOKUP(Table2[[#This Row],[Customer ID]],Table2[#All],3,FALSE)</f>
        <v>6.27</v>
      </c>
      <c r="E1370" t="str">
        <f>VLOOKUP(Table2[[#This Row],[Customer ID]],Table2[#All],4,FALSE)</f>
        <v>No</v>
      </c>
      <c r="F1370" t="str">
        <f>VLOOKUP(Table2[[#This Row],[Customer ID]],Table2[#All],5,FALSE)</f>
        <v>No</v>
      </c>
      <c r="G1370" t="str">
        <f>VLOOKUP(Table2[[#This Row],[Customer ID]],Table2[#All],6,FALSE)</f>
        <v>No</v>
      </c>
      <c r="H1370">
        <f>VLOOKUP(Table2[[#This Row],[Customer ID]],Table2[#All],7,FALSE)</f>
        <v>0</v>
      </c>
      <c r="I1370" t="str">
        <f>VLOOKUP(Table2[[#This Row],[Customer ID]],Table2[#All],8,FALSE)</f>
        <v>No</v>
      </c>
      <c r="J1370" t="str">
        <f>VLOOKUP(Table2[[#This Row],[Customer ID]],Table2[#All],9,FALSE)</f>
        <v>Obesity</v>
      </c>
      <c r="K1370" t="str">
        <f>VLOOKUP(Table2[[#This Row],[Customer ID]],Table2[#All],10,FALSE)</f>
        <v>Prediabetes</v>
      </c>
    </row>
    <row r="1371" spans="1:11" ht="15.6" x14ac:dyDescent="0.3">
      <c r="A1371" s="1" t="s">
        <v>1001</v>
      </c>
      <c r="B1371" t="str">
        <f>VLOOKUP('Customer Names'!A1371,'Customer Names'!$A$1:$E$2336,4,FALSE)</f>
        <v>Mr.  Jesse J</v>
      </c>
      <c r="C1371">
        <f>VLOOKUP(Table2[[#This Row],[Customer ID]],Table2[#All],2,FALSE)</f>
        <v>43.85</v>
      </c>
      <c r="D1371">
        <f>VLOOKUP(Table2[[#This Row],[Customer ID]],Table2[#All],3,FALSE)</f>
        <v>4.7699999999999996</v>
      </c>
      <c r="E1371" t="str">
        <f>VLOOKUP(Table2[[#This Row],[Customer ID]],Table2[#All],4,FALSE)</f>
        <v>Yes</v>
      </c>
      <c r="F1371" t="str">
        <f>VLOOKUP(Table2[[#This Row],[Customer ID]],Table2[#All],5,FALSE)</f>
        <v>No</v>
      </c>
      <c r="G1371" t="str">
        <f>VLOOKUP(Table2[[#This Row],[Customer ID]],Table2[#All],6,FALSE)</f>
        <v>No</v>
      </c>
      <c r="H1371">
        <f>VLOOKUP(Table2[[#This Row],[Customer ID]],Table2[#All],7,FALSE)</f>
        <v>0</v>
      </c>
      <c r="I1371" t="str">
        <f>VLOOKUP(Table2[[#This Row],[Customer ID]],Table2[#All],8,FALSE)</f>
        <v>No</v>
      </c>
      <c r="J1371" t="str">
        <f>VLOOKUP(Table2[[#This Row],[Customer ID]],Table2[#All],9,FALSE)</f>
        <v>Obesity</v>
      </c>
      <c r="K1371" t="str">
        <f>VLOOKUP(Table2[[#This Row],[Customer ID]],Table2[#All],10,FALSE)</f>
        <v>Normal</v>
      </c>
    </row>
    <row r="1372" spans="1:11" ht="15.6" x14ac:dyDescent="0.3">
      <c r="A1372" s="1" t="s">
        <v>1000</v>
      </c>
      <c r="B1372" t="str">
        <f>VLOOKUP('Customer Names'!A1372,'Customer Names'!$A$1:$E$2336,4,FALSE)</f>
        <v>Ms.  Lindsey M</v>
      </c>
      <c r="C1372">
        <f>VLOOKUP(Table2[[#This Row],[Customer ID]],Table2[#All],2,FALSE)</f>
        <v>30.11</v>
      </c>
      <c r="D1372">
        <f>VLOOKUP(Table2[[#This Row],[Customer ID]],Table2[#All],3,FALSE)</f>
        <v>4.08</v>
      </c>
      <c r="E1372" t="str">
        <f>VLOOKUP(Table2[[#This Row],[Customer ID]],Table2[#All],4,FALSE)</f>
        <v>No</v>
      </c>
      <c r="F1372" t="str">
        <f>VLOOKUP(Table2[[#This Row],[Customer ID]],Table2[#All],5,FALSE)</f>
        <v>No</v>
      </c>
      <c r="G1372" t="str">
        <f>VLOOKUP(Table2[[#This Row],[Customer ID]],Table2[#All],6,FALSE)</f>
        <v>No</v>
      </c>
      <c r="H1372">
        <f>VLOOKUP(Table2[[#This Row],[Customer ID]],Table2[#All],7,FALSE)</f>
        <v>0</v>
      </c>
      <c r="I1372" t="str">
        <f>VLOOKUP(Table2[[#This Row],[Customer ID]],Table2[#All],8,FALSE)</f>
        <v>No</v>
      </c>
      <c r="J1372" t="str">
        <f>VLOOKUP(Table2[[#This Row],[Customer ID]],Table2[#All],9,FALSE)</f>
        <v>Obesity</v>
      </c>
      <c r="K1372" t="str">
        <f>VLOOKUP(Table2[[#This Row],[Customer ID]],Table2[#All],10,FALSE)</f>
        <v>Normal</v>
      </c>
    </row>
    <row r="1373" spans="1:11" ht="15.6" x14ac:dyDescent="0.3">
      <c r="A1373" s="1" t="s">
        <v>999</v>
      </c>
      <c r="B1373" t="str">
        <f>VLOOKUP('Customer Names'!A1373,'Customer Names'!$A$1:$E$2336,4,FALSE)</f>
        <v>Ms.  Marguerite K.</v>
      </c>
      <c r="C1373">
        <f>VLOOKUP(Table2[[#This Row],[Customer ID]],Table2[#All],2,FALSE)</f>
        <v>31.59</v>
      </c>
      <c r="D1373">
        <f>VLOOKUP(Table2[[#This Row],[Customer ID]],Table2[#All],3,FALSE)</f>
        <v>6.01</v>
      </c>
      <c r="E1373" t="str">
        <f>VLOOKUP(Table2[[#This Row],[Customer ID]],Table2[#All],4,FALSE)</f>
        <v>No</v>
      </c>
      <c r="F1373" t="str">
        <f>VLOOKUP(Table2[[#This Row],[Customer ID]],Table2[#All],5,FALSE)</f>
        <v>No</v>
      </c>
      <c r="G1373" t="str">
        <f>VLOOKUP(Table2[[#This Row],[Customer ID]],Table2[#All],6,FALSE)</f>
        <v>No</v>
      </c>
      <c r="H1373">
        <f>VLOOKUP(Table2[[#This Row],[Customer ID]],Table2[#All],7,FALSE)</f>
        <v>0</v>
      </c>
      <c r="I1373" t="str">
        <f>VLOOKUP(Table2[[#This Row],[Customer ID]],Table2[#All],8,FALSE)</f>
        <v>No</v>
      </c>
      <c r="J1373" t="str">
        <f>VLOOKUP(Table2[[#This Row],[Customer ID]],Table2[#All],9,FALSE)</f>
        <v>Obesity</v>
      </c>
      <c r="K1373" t="str">
        <f>VLOOKUP(Table2[[#This Row],[Customer ID]],Table2[#All],10,FALSE)</f>
        <v>Prediabetes</v>
      </c>
    </row>
    <row r="1374" spans="1:11" ht="15.6" x14ac:dyDescent="0.3">
      <c r="A1374" s="1" t="s">
        <v>998</v>
      </c>
      <c r="B1374" t="str">
        <f>VLOOKUP('Customer Names'!A1374,'Customer Names'!$A$1:$E$2336,4,FALSE)</f>
        <v>Mr.  Travis</v>
      </c>
      <c r="C1374">
        <f>VLOOKUP(Table2[[#This Row],[Customer ID]],Table2[#All],2,FALSE)</f>
        <v>40.15</v>
      </c>
      <c r="D1374">
        <f>VLOOKUP(Table2[[#This Row],[Customer ID]],Table2[#All],3,FALSE)</f>
        <v>11.84</v>
      </c>
      <c r="E1374" t="str">
        <f>VLOOKUP(Table2[[#This Row],[Customer ID]],Table2[#All],4,FALSE)</f>
        <v>No</v>
      </c>
      <c r="F1374" t="str">
        <f>VLOOKUP(Table2[[#This Row],[Customer ID]],Table2[#All],5,FALSE)</f>
        <v>No</v>
      </c>
      <c r="G1374" t="str">
        <f>VLOOKUP(Table2[[#This Row],[Customer ID]],Table2[#All],6,FALSE)</f>
        <v>No</v>
      </c>
      <c r="H1374">
        <f>VLOOKUP(Table2[[#This Row],[Customer ID]],Table2[#All],7,FALSE)</f>
        <v>0</v>
      </c>
      <c r="I1374" t="str">
        <f>VLOOKUP(Table2[[#This Row],[Customer ID]],Table2[#All],8,FALSE)</f>
        <v>No</v>
      </c>
      <c r="J1374" t="str">
        <f>VLOOKUP(Table2[[#This Row],[Customer ID]],Table2[#All],9,FALSE)</f>
        <v>Obesity</v>
      </c>
      <c r="K1374" t="str">
        <f>VLOOKUP(Table2[[#This Row],[Customer ID]],Table2[#All],10,FALSE)</f>
        <v>Diabetes</v>
      </c>
    </row>
    <row r="1375" spans="1:11" ht="15.6" x14ac:dyDescent="0.3">
      <c r="A1375" s="1" t="s">
        <v>997</v>
      </c>
      <c r="B1375" t="str">
        <f>VLOOKUP('Customer Names'!A1375,'Customer Names'!$A$1:$E$2336,4,FALSE)</f>
        <v>Mr.  Ricky</v>
      </c>
      <c r="C1375">
        <f>VLOOKUP(Table2[[#This Row],[Customer ID]],Table2[#All],2,FALSE)</f>
        <v>40.700000000000003</v>
      </c>
      <c r="D1375">
        <f>VLOOKUP(Table2[[#This Row],[Customer ID]],Table2[#All],3,FALSE)</f>
        <v>6.27</v>
      </c>
      <c r="E1375" t="str">
        <f>VLOOKUP(Table2[[#This Row],[Customer ID]],Table2[#All],4,FALSE)</f>
        <v>Yes</v>
      </c>
      <c r="F1375" t="str">
        <f>VLOOKUP(Table2[[#This Row],[Customer ID]],Table2[#All],5,FALSE)</f>
        <v>No</v>
      </c>
      <c r="G1375" t="str">
        <f>VLOOKUP(Table2[[#This Row],[Customer ID]],Table2[#All],6,FALSE)</f>
        <v>Yes</v>
      </c>
      <c r="H1375">
        <f>VLOOKUP(Table2[[#This Row],[Customer ID]],Table2[#All],7,FALSE)</f>
        <v>1</v>
      </c>
      <c r="I1375" t="str">
        <f>VLOOKUP(Table2[[#This Row],[Customer ID]],Table2[#All],8,FALSE)</f>
        <v>No</v>
      </c>
      <c r="J1375" t="str">
        <f>VLOOKUP(Table2[[#This Row],[Customer ID]],Table2[#All],9,FALSE)</f>
        <v>Obesity</v>
      </c>
      <c r="K1375" t="str">
        <f>VLOOKUP(Table2[[#This Row],[Customer ID]],Table2[#All],10,FALSE)</f>
        <v>Prediabetes</v>
      </c>
    </row>
    <row r="1376" spans="1:11" ht="15.6" x14ac:dyDescent="0.3">
      <c r="A1376" s="1" t="s">
        <v>996</v>
      </c>
      <c r="B1376" t="str">
        <f>VLOOKUP('Customer Names'!A1376,'Customer Names'!$A$1:$E$2336,4,FALSE)</f>
        <v>Mrs.  Colleen L.</v>
      </c>
      <c r="C1376">
        <f>VLOOKUP(Table2[[#This Row],[Customer ID]],Table2[#All],2,FALSE)</f>
        <v>40.76</v>
      </c>
      <c r="D1376">
        <f>VLOOKUP(Table2[[#This Row],[Customer ID]],Table2[#All],3,FALSE)</f>
        <v>5.28</v>
      </c>
      <c r="E1376" t="str">
        <f>VLOOKUP(Table2[[#This Row],[Customer ID]],Table2[#All],4,FALSE)</f>
        <v>No</v>
      </c>
      <c r="F1376" t="str">
        <f>VLOOKUP(Table2[[#This Row],[Customer ID]],Table2[#All],5,FALSE)</f>
        <v>No</v>
      </c>
      <c r="G1376" t="str">
        <f>VLOOKUP(Table2[[#This Row],[Customer ID]],Table2[#All],6,FALSE)</f>
        <v>No</v>
      </c>
      <c r="H1376">
        <f>VLOOKUP(Table2[[#This Row],[Customer ID]],Table2[#All],7,FALSE)</f>
        <v>0</v>
      </c>
      <c r="I1376" t="str">
        <f>VLOOKUP(Table2[[#This Row],[Customer ID]],Table2[#All],8,FALSE)</f>
        <v>No</v>
      </c>
      <c r="J1376" t="str">
        <f>VLOOKUP(Table2[[#This Row],[Customer ID]],Table2[#All],9,FALSE)</f>
        <v>Obesity</v>
      </c>
      <c r="K1376" t="str">
        <f>VLOOKUP(Table2[[#This Row],[Customer ID]],Table2[#All],10,FALSE)</f>
        <v>Normal</v>
      </c>
    </row>
    <row r="1377" spans="1:11" ht="15.6" x14ac:dyDescent="0.3">
      <c r="A1377" s="1" t="s">
        <v>995</v>
      </c>
      <c r="B1377" t="str">
        <f>VLOOKUP('Customer Names'!A1377,'Customer Names'!$A$1:$E$2336,4,FALSE)</f>
        <v>Mr.  Charlie A</v>
      </c>
      <c r="C1377">
        <f>VLOOKUP(Table2[[#This Row],[Customer ID]],Table2[#All],2,FALSE)</f>
        <v>29.7</v>
      </c>
      <c r="D1377">
        <f>VLOOKUP(Table2[[#This Row],[Customer ID]],Table2[#All],3,FALSE)</f>
        <v>7.03</v>
      </c>
      <c r="E1377" t="str">
        <f>VLOOKUP(Table2[[#This Row],[Customer ID]],Table2[#All],4,FALSE)</f>
        <v>No</v>
      </c>
      <c r="F1377" t="str">
        <f>VLOOKUP(Table2[[#This Row],[Customer ID]],Table2[#All],5,FALSE)</f>
        <v>No</v>
      </c>
      <c r="G1377" t="str">
        <f>VLOOKUP(Table2[[#This Row],[Customer ID]],Table2[#All],6,FALSE)</f>
        <v>No</v>
      </c>
      <c r="H1377">
        <f>VLOOKUP(Table2[[#This Row],[Customer ID]],Table2[#All],7,FALSE)</f>
        <v>0</v>
      </c>
      <c r="I1377" t="str">
        <f>VLOOKUP(Table2[[#This Row],[Customer ID]],Table2[#All],8,FALSE)</f>
        <v>No</v>
      </c>
      <c r="J1377" t="str">
        <f>VLOOKUP(Table2[[#This Row],[Customer ID]],Table2[#All],9,FALSE)</f>
        <v>Overweight</v>
      </c>
      <c r="K1377" t="str">
        <f>VLOOKUP(Table2[[#This Row],[Customer ID]],Table2[#All],10,FALSE)</f>
        <v>Diabetes</v>
      </c>
    </row>
    <row r="1378" spans="1:11" ht="15.6" x14ac:dyDescent="0.3">
      <c r="A1378" s="1" t="s">
        <v>994</v>
      </c>
      <c r="B1378" t="str">
        <f>VLOOKUP('Customer Names'!A1378,'Customer Names'!$A$1:$E$2336,4,FALSE)</f>
        <v>Mr.  Rick</v>
      </c>
      <c r="C1378">
        <f>VLOOKUP(Table2[[#This Row],[Customer ID]],Table2[#All],2,FALSE)</f>
        <v>40.58</v>
      </c>
      <c r="D1378">
        <f>VLOOKUP(Table2[[#This Row],[Customer ID]],Table2[#All],3,FALSE)</f>
        <v>5.32</v>
      </c>
      <c r="E1378" t="str">
        <f>VLOOKUP(Table2[[#This Row],[Customer ID]],Table2[#All],4,FALSE)</f>
        <v>Yes</v>
      </c>
      <c r="F1378" t="str">
        <f>VLOOKUP(Table2[[#This Row],[Customer ID]],Table2[#All],5,FALSE)</f>
        <v>No</v>
      </c>
      <c r="G1378" t="str">
        <f>VLOOKUP(Table2[[#This Row],[Customer ID]],Table2[#All],6,FALSE)</f>
        <v>Yes</v>
      </c>
      <c r="H1378">
        <f>VLOOKUP(Table2[[#This Row],[Customer ID]],Table2[#All],7,FALSE)</f>
        <v>1</v>
      </c>
      <c r="I1378" t="str">
        <f>VLOOKUP(Table2[[#This Row],[Customer ID]],Table2[#All],8,FALSE)</f>
        <v>No</v>
      </c>
      <c r="J1378" t="str">
        <f>VLOOKUP(Table2[[#This Row],[Customer ID]],Table2[#All],9,FALSE)</f>
        <v>Obesity</v>
      </c>
      <c r="K1378" t="str">
        <f>VLOOKUP(Table2[[#This Row],[Customer ID]],Table2[#All],10,FALSE)</f>
        <v>Normal</v>
      </c>
    </row>
    <row r="1379" spans="1:11" ht="15.6" x14ac:dyDescent="0.3">
      <c r="A1379" s="1" t="s">
        <v>993</v>
      </c>
      <c r="B1379" t="str">
        <f>VLOOKUP('Customer Names'!A1379,'Customer Names'!$A$1:$E$2336,4,FALSE)</f>
        <v>Ms.  Lauren C</v>
      </c>
      <c r="C1379">
        <f>VLOOKUP(Table2[[#This Row],[Customer ID]],Table2[#All],2,FALSE)</f>
        <v>33.06</v>
      </c>
      <c r="D1379">
        <f>VLOOKUP(Table2[[#This Row],[Customer ID]],Table2[#All],3,FALSE)</f>
        <v>9.59</v>
      </c>
      <c r="E1379" t="str">
        <f>VLOOKUP(Table2[[#This Row],[Customer ID]],Table2[#All],4,FALSE)</f>
        <v>Yes</v>
      </c>
      <c r="F1379" t="str">
        <f>VLOOKUP(Table2[[#This Row],[Customer ID]],Table2[#All],5,FALSE)</f>
        <v>No</v>
      </c>
      <c r="G1379" t="str">
        <f>VLOOKUP(Table2[[#This Row],[Customer ID]],Table2[#All],6,FALSE)</f>
        <v>No</v>
      </c>
      <c r="H1379">
        <f>VLOOKUP(Table2[[#This Row],[Customer ID]],Table2[#All],7,FALSE)</f>
        <v>0</v>
      </c>
      <c r="I1379" t="str">
        <f>VLOOKUP(Table2[[#This Row],[Customer ID]],Table2[#All],8,FALSE)</f>
        <v>No</v>
      </c>
      <c r="J1379" t="str">
        <f>VLOOKUP(Table2[[#This Row],[Customer ID]],Table2[#All],9,FALSE)</f>
        <v>Obesity</v>
      </c>
      <c r="K1379" t="str">
        <f>VLOOKUP(Table2[[#This Row],[Customer ID]],Table2[#All],10,FALSE)</f>
        <v>Diabetes</v>
      </c>
    </row>
    <row r="1380" spans="1:11" ht="15.6" x14ac:dyDescent="0.3">
      <c r="A1380" s="1" t="s">
        <v>992</v>
      </c>
      <c r="B1380" t="str">
        <f>VLOOKUP('Customer Names'!A1380,'Customer Names'!$A$1:$E$2336,4,FALSE)</f>
        <v>Mr.  Daniel</v>
      </c>
      <c r="C1380">
        <f>VLOOKUP(Table2[[#This Row],[Customer ID]],Table2[#All],2,FALSE)</f>
        <v>26.62</v>
      </c>
      <c r="D1380">
        <f>VLOOKUP(Table2[[#This Row],[Customer ID]],Table2[#All],3,FALSE)</f>
        <v>6.15</v>
      </c>
      <c r="E1380" t="str">
        <f>VLOOKUP(Table2[[#This Row],[Customer ID]],Table2[#All],4,FALSE)</f>
        <v>Yes</v>
      </c>
      <c r="F1380" t="str">
        <f>VLOOKUP(Table2[[#This Row],[Customer ID]],Table2[#All],5,FALSE)</f>
        <v>No</v>
      </c>
      <c r="G1380" t="str">
        <f>VLOOKUP(Table2[[#This Row],[Customer ID]],Table2[#All],6,FALSE)</f>
        <v>No</v>
      </c>
      <c r="H1380">
        <f>VLOOKUP(Table2[[#This Row],[Customer ID]],Table2[#All],7,FALSE)</f>
        <v>0</v>
      </c>
      <c r="I1380" t="str">
        <f>VLOOKUP(Table2[[#This Row],[Customer ID]],Table2[#All],8,FALSE)</f>
        <v>No</v>
      </c>
      <c r="J1380" t="str">
        <f>VLOOKUP(Table2[[#This Row],[Customer ID]],Table2[#All],9,FALSE)</f>
        <v>Overweight</v>
      </c>
      <c r="K1380" t="str">
        <f>VLOOKUP(Table2[[#This Row],[Customer ID]],Table2[#All],10,FALSE)</f>
        <v>Prediabetes</v>
      </c>
    </row>
    <row r="1381" spans="1:11" ht="15.6" x14ac:dyDescent="0.3">
      <c r="A1381" s="1" t="s">
        <v>991</v>
      </c>
      <c r="B1381" t="str">
        <f>VLOOKUP('Customer Names'!A1381,'Customer Names'!$A$1:$E$2336,4,FALSE)</f>
        <v>Mr.  Jaime</v>
      </c>
      <c r="C1381">
        <f>VLOOKUP(Table2[[#This Row],[Customer ID]],Table2[#All],2,FALSE)</f>
        <v>37.1</v>
      </c>
      <c r="D1381">
        <f>VLOOKUP(Table2[[#This Row],[Customer ID]],Table2[#All],3,FALSE)</f>
        <v>11.08</v>
      </c>
      <c r="E1381" t="str">
        <f>VLOOKUP(Table2[[#This Row],[Customer ID]],Table2[#All],4,FALSE)</f>
        <v>No</v>
      </c>
      <c r="F1381" t="str">
        <f>VLOOKUP(Table2[[#This Row],[Customer ID]],Table2[#All],5,FALSE)</f>
        <v>No</v>
      </c>
      <c r="G1381" t="str">
        <f>VLOOKUP(Table2[[#This Row],[Customer ID]],Table2[#All],6,FALSE)</f>
        <v>No</v>
      </c>
      <c r="H1381">
        <f>VLOOKUP(Table2[[#This Row],[Customer ID]],Table2[#All],7,FALSE)</f>
        <v>0</v>
      </c>
      <c r="I1381" t="str">
        <f>VLOOKUP(Table2[[#This Row],[Customer ID]],Table2[#All],8,FALSE)</f>
        <v>No</v>
      </c>
      <c r="J1381" t="str">
        <f>VLOOKUP(Table2[[#This Row],[Customer ID]],Table2[#All],9,FALSE)</f>
        <v>Obesity</v>
      </c>
      <c r="K1381" t="str">
        <f>VLOOKUP(Table2[[#This Row],[Customer ID]],Table2[#All],10,FALSE)</f>
        <v>Diabetes</v>
      </c>
    </row>
    <row r="1382" spans="1:11" ht="15.6" x14ac:dyDescent="0.3">
      <c r="A1382" s="1" t="s">
        <v>990</v>
      </c>
      <c r="B1382" t="str">
        <f>VLOOKUP('Customer Names'!A1382,'Customer Names'!$A$1:$E$2336,4,FALSE)</f>
        <v>Mr.  Erik R</v>
      </c>
      <c r="C1382">
        <f>VLOOKUP(Table2[[#This Row],[Customer ID]],Table2[#All],2,FALSE)</f>
        <v>18.28</v>
      </c>
      <c r="D1382">
        <f>VLOOKUP(Table2[[#This Row],[Customer ID]],Table2[#All],3,FALSE)</f>
        <v>7.95</v>
      </c>
      <c r="E1382" t="str">
        <f>VLOOKUP(Table2[[#This Row],[Customer ID]],Table2[#All],4,FALSE)</f>
        <v>No</v>
      </c>
      <c r="F1382" t="str">
        <f>VLOOKUP(Table2[[#This Row],[Customer ID]],Table2[#All],5,FALSE)</f>
        <v>No</v>
      </c>
      <c r="G1382" t="str">
        <f>VLOOKUP(Table2[[#This Row],[Customer ID]],Table2[#All],6,FALSE)</f>
        <v>No</v>
      </c>
      <c r="H1382">
        <f>VLOOKUP(Table2[[#This Row],[Customer ID]],Table2[#All],7,FALSE)</f>
        <v>0</v>
      </c>
      <c r="I1382" t="str">
        <f>VLOOKUP(Table2[[#This Row],[Customer ID]],Table2[#All],8,FALSE)</f>
        <v>No</v>
      </c>
      <c r="J1382" t="str">
        <f>VLOOKUP(Table2[[#This Row],[Customer ID]],Table2[#All],9,FALSE)</f>
        <v>Underweight</v>
      </c>
      <c r="K1382" t="str">
        <f>VLOOKUP(Table2[[#This Row],[Customer ID]],Table2[#All],10,FALSE)</f>
        <v>Diabetes</v>
      </c>
    </row>
    <row r="1383" spans="1:11" ht="15.6" x14ac:dyDescent="0.3">
      <c r="A1383" s="1" t="s">
        <v>989</v>
      </c>
      <c r="B1383" t="str">
        <f>VLOOKUP('Customer Names'!A1383,'Customer Names'!$A$1:$E$2336,4,FALSE)</f>
        <v>Ms.  Katie</v>
      </c>
      <c r="C1383">
        <f>VLOOKUP(Table2[[#This Row],[Customer ID]],Table2[#All],2,FALSE)</f>
        <v>35.814999999999998</v>
      </c>
      <c r="D1383">
        <f>VLOOKUP(Table2[[#This Row],[Customer ID]],Table2[#All],3,FALSE)</f>
        <v>6.23</v>
      </c>
      <c r="E1383" t="str">
        <f>VLOOKUP(Table2[[#This Row],[Customer ID]],Table2[#All],4,FALSE)</f>
        <v>No</v>
      </c>
      <c r="F1383" t="str">
        <f>VLOOKUP(Table2[[#This Row],[Customer ID]],Table2[#All],5,FALSE)</f>
        <v>No</v>
      </c>
      <c r="G1383" t="str">
        <f>VLOOKUP(Table2[[#This Row],[Customer ID]],Table2[#All],6,FALSE)</f>
        <v>No</v>
      </c>
      <c r="H1383">
        <f>VLOOKUP(Table2[[#This Row],[Customer ID]],Table2[#All],7,FALSE)</f>
        <v>0</v>
      </c>
      <c r="I1383" t="str">
        <f>VLOOKUP(Table2[[#This Row],[Customer ID]],Table2[#All],8,FALSE)</f>
        <v>No</v>
      </c>
      <c r="J1383" t="str">
        <f>VLOOKUP(Table2[[#This Row],[Customer ID]],Table2[#All],9,FALSE)</f>
        <v>Obesity</v>
      </c>
      <c r="K1383" t="str">
        <f>VLOOKUP(Table2[[#This Row],[Customer ID]],Table2[#All],10,FALSE)</f>
        <v>Prediabetes</v>
      </c>
    </row>
    <row r="1384" spans="1:11" ht="15.6" x14ac:dyDescent="0.3">
      <c r="A1384" s="1" t="s">
        <v>988</v>
      </c>
      <c r="B1384" t="str">
        <f>VLOOKUP('Customer Names'!A1384,'Customer Names'!$A$1:$E$2336,4,FALSE)</f>
        <v>Mr.  Thomas A</v>
      </c>
      <c r="C1384">
        <f>VLOOKUP(Table2[[#This Row],[Customer ID]],Table2[#All],2,FALSE)</f>
        <v>30.69</v>
      </c>
      <c r="D1384">
        <f>VLOOKUP(Table2[[#This Row],[Customer ID]],Table2[#All],3,FALSE)</f>
        <v>6.5</v>
      </c>
      <c r="E1384" t="str">
        <f>VLOOKUP(Table2[[#This Row],[Customer ID]],Table2[#All],4,FALSE)</f>
        <v>No</v>
      </c>
      <c r="F1384" t="str">
        <f>VLOOKUP(Table2[[#This Row],[Customer ID]],Table2[#All],5,FALSE)</f>
        <v>No</v>
      </c>
      <c r="G1384" t="str">
        <f>VLOOKUP(Table2[[#This Row],[Customer ID]],Table2[#All],6,FALSE)</f>
        <v>No</v>
      </c>
      <c r="H1384">
        <f>VLOOKUP(Table2[[#This Row],[Customer ID]],Table2[#All],7,FALSE)</f>
        <v>0</v>
      </c>
      <c r="I1384" t="str">
        <f>VLOOKUP(Table2[[#This Row],[Customer ID]],Table2[#All],8,FALSE)</f>
        <v>No</v>
      </c>
      <c r="J1384" t="str">
        <f>VLOOKUP(Table2[[#This Row],[Customer ID]],Table2[#All],9,FALSE)</f>
        <v>Obesity</v>
      </c>
      <c r="K1384" t="str">
        <f>VLOOKUP(Table2[[#This Row],[Customer ID]],Table2[#All],10,FALSE)</f>
        <v>Diabetes</v>
      </c>
    </row>
    <row r="1385" spans="1:11" ht="15.6" x14ac:dyDescent="0.3">
      <c r="A1385" s="1" t="s">
        <v>987</v>
      </c>
      <c r="B1385" t="str">
        <f>VLOOKUP('Customer Names'!A1385,'Customer Names'!$A$1:$E$2336,4,FALSE)</f>
        <v>Mr.  Jean-Marc</v>
      </c>
      <c r="C1385">
        <f>VLOOKUP(Table2[[#This Row],[Customer ID]],Table2[#All],2,FALSE)</f>
        <v>26.125</v>
      </c>
      <c r="D1385">
        <f>VLOOKUP(Table2[[#This Row],[Customer ID]],Table2[#All],3,FALSE)</f>
        <v>5.22</v>
      </c>
      <c r="E1385" t="str">
        <f>VLOOKUP(Table2[[#This Row],[Customer ID]],Table2[#All],4,FALSE)</f>
        <v>No</v>
      </c>
      <c r="F1385" t="str">
        <f>VLOOKUP(Table2[[#This Row],[Customer ID]],Table2[#All],5,FALSE)</f>
        <v>No</v>
      </c>
      <c r="G1385" t="str">
        <f>VLOOKUP(Table2[[#This Row],[Customer ID]],Table2[#All],6,FALSE)</f>
        <v>No</v>
      </c>
      <c r="H1385">
        <f>VLOOKUP(Table2[[#This Row],[Customer ID]],Table2[#All],7,FALSE)</f>
        <v>0</v>
      </c>
      <c r="I1385" t="str">
        <f>VLOOKUP(Table2[[#This Row],[Customer ID]],Table2[#All],8,FALSE)</f>
        <v>No</v>
      </c>
      <c r="J1385" t="str">
        <f>VLOOKUP(Table2[[#This Row],[Customer ID]],Table2[#All],9,FALSE)</f>
        <v>Overweight</v>
      </c>
      <c r="K1385" t="str">
        <f>VLOOKUP(Table2[[#This Row],[Customer ID]],Table2[#All],10,FALSE)</f>
        <v>Normal</v>
      </c>
    </row>
    <row r="1386" spans="1:11" ht="15.6" x14ac:dyDescent="0.3">
      <c r="A1386" s="1" t="s">
        <v>986</v>
      </c>
      <c r="B1386" t="str">
        <f>VLOOKUP('Customer Names'!A1386,'Customer Names'!$A$1:$E$2336,4,FALSE)</f>
        <v>Ms.  Kerry L</v>
      </c>
      <c r="C1386">
        <f>VLOOKUP(Table2[[#This Row],[Customer ID]],Table2[#All],2,FALSE)</f>
        <v>34.58</v>
      </c>
      <c r="D1386">
        <f>VLOOKUP(Table2[[#This Row],[Customer ID]],Table2[#All],3,FALSE)</f>
        <v>6.3</v>
      </c>
      <c r="E1386" t="str">
        <f>VLOOKUP(Table2[[#This Row],[Customer ID]],Table2[#All],4,FALSE)</f>
        <v>No</v>
      </c>
      <c r="F1386" t="str">
        <f>VLOOKUP(Table2[[#This Row],[Customer ID]],Table2[#All],5,FALSE)</f>
        <v>No</v>
      </c>
      <c r="G1386" t="str">
        <f>VLOOKUP(Table2[[#This Row],[Customer ID]],Table2[#All],6,FALSE)</f>
        <v>Yes</v>
      </c>
      <c r="H1386">
        <f>VLOOKUP(Table2[[#This Row],[Customer ID]],Table2[#All],7,FALSE)</f>
        <v>1</v>
      </c>
      <c r="I1386" t="str">
        <f>VLOOKUP(Table2[[#This Row],[Customer ID]],Table2[#All],8,FALSE)</f>
        <v>No</v>
      </c>
      <c r="J1386" t="str">
        <f>VLOOKUP(Table2[[#This Row],[Customer ID]],Table2[#All],9,FALSE)</f>
        <v>Obesity</v>
      </c>
      <c r="K1386" t="str">
        <f>VLOOKUP(Table2[[#This Row],[Customer ID]],Table2[#All],10,FALSE)</f>
        <v>Prediabetes</v>
      </c>
    </row>
    <row r="1387" spans="1:11" ht="15.6" x14ac:dyDescent="0.3">
      <c r="A1387" s="1" t="s">
        <v>985</v>
      </c>
      <c r="B1387" t="str">
        <f>VLOOKUP('Customer Names'!A1387,'Customer Names'!$A$1:$E$2336,4,FALSE)</f>
        <v>Mr.  Ulrich</v>
      </c>
      <c r="C1387">
        <f>VLOOKUP(Table2[[#This Row],[Customer ID]],Table2[#All],2,FALSE)</f>
        <v>27.4</v>
      </c>
      <c r="D1387">
        <f>VLOOKUP(Table2[[#This Row],[Customer ID]],Table2[#All],3,FALSE)</f>
        <v>8.84</v>
      </c>
      <c r="E1387" t="str">
        <f>VLOOKUP(Table2[[#This Row],[Customer ID]],Table2[#All],4,FALSE)</f>
        <v>No</v>
      </c>
      <c r="F1387" t="str">
        <f>VLOOKUP(Table2[[#This Row],[Customer ID]],Table2[#All],5,FALSE)</f>
        <v>No</v>
      </c>
      <c r="G1387" t="str">
        <f>VLOOKUP(Table2[[#This Row],[Customer ID]],Table2[#All],6,FALSE)</f>
        <v>No</v>
      </c>
      <c r="H1387">
        <f>VLOOKUP(Table2[[#This Row],[Customer ID]],Table2[#All],7,FALSE)</f>
        <v>0</v>
      </c>
      <c r="I1387" t="str">
        <f>VLOOKUP(Table2[[#This Row],[Customer ID]],Table2[#All],8,FALSE)</f>
        <v>No</v>
      </c>
      <c r="J1387" t="str">
        <f>VLOOKUP(Table2[[#This Row],[Customer ID]],Table2[#All],9,FALSE)</f>
        <v>Overweight</v>
      </c>
      <c r="K1387" t="str">
        <f>VLOOKUP(Table2[[#This Row],[Customer ID]],Table2[#All],10,FALSE)</f>
        <v>Diabetes</v>
      </c>
    </row>
    <row r="1388" spans="1:11" ht="15.6" x14ac:dyDescent="0.3">
      <c r="A1388" s="1" t="s">
        <v>984</v>
      </c>
      <c r="B1388" t="str">
        <f>VLOOKUP('Customer Names'!A1388,'Customer Names'!$A$1:$E$2336,4,FALSE)</f>
        <v>Mr.  Justin P</v>
      </c>
      <c r="C1388">
        <f>VLOOKUP(Table2[[#This Row],[Customer ID]],Table2[#All],2,FALSE)</f>
        <v>27.53</v>
      </c>
      <c r="D1388">
        <f>VLOOKUP(Table2[[#This Row],[Customer ID]],Table2[#All],3,FALSE)</f>
        <v>4.1100000000000003</v>
      </c>
      <c r="E1388" t="str">
        <f>VLOOKUP(Table2[[#This Row],[Customer ID]],Table2[#All],4,FALSE)</f>
        <v>No</v>
      </c>
      <c r="F1388" t="str">
        <f>VLOOKUP(Table2[[#This Row],[Customer ID]],Table2[#All],5,FALSE)</f>
        <v>No</v>
      </c>
      <c r="G1388" t="str">
        <f>VLOOKUP(Table2[[#This Row],[Customer ID]],Table2[#All],6,FALSE)</f>
        <v>No</v>
      </c>
      <c r="H1388">
        <f>VLOOKUP(Table2[[#This Row],[Customer ID]],Table2[#All],7,FALSE)</f>
        <v>1</v>
      </c>
      <c r="I1388" t="str">
        <f>VLOOKUP(Table2[[#This Row],[Customer ID]],Table2[#All],8,FALSE)</f>
        <v>No</v>
      </c>
      <c r="J1388" t="str">
        <f>VLOOKUP(Table2[[#This Row],[Customer ID]],Table2[#All],9,FALSE)</f>
        <v>Overweight</v>
      </c>
      <c r="K1388" t="str">
        <f>VLOOKUP(Table2[[#This Row],[Customer ID]],Table2[#All],10,FALSE)</f>
        <v>Normal</v>
      </c>
    </row>
    <row r="1389" spans="1:11" ht="15.6" x14ac:dyDescent="0.3">
      <c r="A1389" s="1" t="s">
        <v>983</v>
      </c>
      <c r="B1389" t="str">
        <f>VLOOKUP('Customer Names'!A1389,'Customer Names'!$A$1:$E$2336,4,FALSE)</f>
        <v>Ms.  Hannah E.</v>
      </c>
      <c r="C1389">
        <f>VLOOKUP(Table2[[#This Row],[Customer ID]],Table2[#All],2,FALSE)</f>
        <v>33</v>
      </c>
      <c r="D1389">
        <f>VLOOKUP(Table2[[#This Row],[Customer ID]],Table2[#All],3,FALSE)</f>
        <v>4.57</v>
      </c>
      <c r="E1389" t="str">
        <f>VLOOKUP(Table2[[#This Row],[Customer ID]],Table2[#All],4,FALSE)</f>
        <v>No</v>
      </c>
      <c r="F1389" t="str">
        <f>VLOOKUP(Table2[[#This Row],[Customer ID]],Table2[#All],5,FALSE)</f>
        <v>No</v>
      </c>
      <c r="G1389" t="str">
        <f>VLOOKUP(Table2[[#This Row],[Customer ID]],Table2[#All],6,FALSE)</f>
        <v>No</v>
      </c>
      <c r="H1389">
        <f>VLOOKUP(Table2[[#This Row],[Customer ID]],Table2[#All],7,FALSE)</f>
        <v>0</v>
      </c>
      <c r="I1389" t="str">
        <f>VLOOKUP(Table2[[#This Row],[Customer ID]],Table2[#All],8,FALSE)</f>
        <v>No</v>
      </c>
      <c r="J1389" t="str">
        <f>VLOOKUP(Table2[[#This Row],[Customer ID]],Table2[#All],9,FALSE)</f>
        <v>Obesity</v>
      </c>
      <c r="K1389" t="str">
        <f>VLOOKUP(Table2[[#This Row],[Customer ID]],Table2[#All],10,FALSE)</f>
        <v>Normal</v>
      </c>
    </row>
    <row r="1390" spans="1:11" ht="15.6" x14ac:dyDescent="0.3">
      <c r="A1390" s="1" t="s">
        <v>982</v>
      </c>
      <c r="B1390" t="str">
        <f>VLOOKUP('Customer Names'!A1390,'Customer Names'!$A$1:$E$2336,4,FALSE)</f>
        <v>Mr.  David</v>
      </c>
      <c r="C1390">
        <f>VLOOKUP(Table2[[#This Row],[Customer ID]],Table2[#All],2,FALSE)</f>
        <v>25.78</v>
      </c>
      <c r="D1390">
        <f>VLOOKUP(Table2[[#This Row],[Customer ID]],Table2[#All],3,FALSE)</f>
        <v>11.06</v>
      </c>
      <c r="E1390" t="str">
        <f>VLOOKUP(Table2[[#This Row],[Customer ID]],Table2[#All],4,FALSE)</f>
        <v>Yes</v>
      </c>
      <c r="F1390" t="str">
        <f>VLOOKUP(Table2[[#This Row],[Customer ID]],Table2[#All],5,FALSE)</f>
        <v>No</v>
      </c>
      <c r="G1390" t="str">
        <f>VLOOKUP(Table2[[#This Row],[Customer ID]],Table2[#All],6,FALSE)</f>
        <v>No</v>
      </c>
      <c r="H1390">
        <f>VLOOKUP(Table2[[#This Row],[Customer ID]],Table2[#All],7,FALSE)</f>
        <v>0</v>
      </c>
      <c r="I1390" t="str">
        <f>VLOOKUP(Table2[[#This Row],[Customer ID]],Table2[#All],8,FALSE)</f>
        <v>No</v>
      </c>
      <c r="J1390" t="str">
        <f>VLOOKUP(Table2[[#This Row],[Customer ID]],Table2[#All],9,FALSE)</f>
        <v>Overweight</v>
      </c>
      <c r="K1390" t="str">
        <f>VLOOKUP(Table2[[#This Row],[Customer ID]],Table2[#All],10,FALSE)</f>
        <v>Diabetes</v>
      </c>
    </row>
    <row r="1391" spans="1:11" ht="15.6" x14ac:dyDescent="0.3">
      <c r="A1391" s="1" t="s">
        <v>981</v>
      </c>
      <c r="B1391" t="str">
        <f>VLOOKUP('Customer Names'!A1391,'Customer Names'!$A$1:$E$2336,4,FALSE)</f>
        <v>Mr.  Jim</v>
      </c>
      <c r="C1391">
        <f>VLOOKUP(Table2[[#This Row],[Customer ID]],Table2[#All],2,FALSE)</f>
        <v>22.66</v>
      </c>
      <c r="D1391">
        <f>VLOOKUP(Table2[[#This Row],[Customer ID]],Table2[#All],3,FALSE)</f>
        <v>10.68</v>
      </c>
      <c r="E1391" t="str">
        <f>VLOOKUP(Table2[[#This Row],[Customer ID]],Table2[#All],4,FALSE)</f>
        <v>No</v>
      </c>
      <c r="F1391" t="str">
        <f>VLOOKUP(Table2[[#This Row],[Customer ID]],Table2[#All],5,FALSE)</f>
        <v>No</v>
      </c>
      <c r="G1391" t="str">
        <f>VLOOKUP(Table2[[#This Row],[Customer ID]],Table2[#All],6,FALSE)</f>
        <v>No</v>
      </c>
      <c r="H1391">
        <f>VLOOKUP(Table2[[#This Row],[Customer ID]],Table2[#All],7,FALSE)</f>
        <v>0</v>
      </c>
      <c r="I1391" t="str">
        <f>VLOOKUP(Table2[[#This Row],[Customer ID]],Table2[#All],8,FALSE)</f>
        <v>No</v>
      </c>
      <c r="J1391" t="str">
        <f>VLOOKUP(Table2[[#This Row],[Customer ID]],Table2[#All],9,FALSE)</f>
        <v>Normalweight</v>
      </c>
      <c r="K1391" t="str">
        <f>VLOOKUP(Table2[[#This Row],[Customer ID]],Table2[#All],10,FALSE)</f>
        <v>Diabetes</v>
      </c>
    </row>
    <row r="1392" spans="1:11" ht="15.6" x14ac:dyDescent="0.3">
      <c r="A1392" s="1" t="s">
        <v>980</v>
      </c>
      <c r="B1392" t="str">
        <f>VLOOKUP('Customer Names'!A1392,'Customer Names'!$A$1:$E$2336,4,FALSE)</f>
        <v>Mr.  Joseph P</v>
      </c>
      <c r="C1392">
        <f>VLOOKUP(Table2[[#This Row],[Customer ID]],Table2[#All],2,FALSE)</f>
        <v>38.81</v>
      </c>
      <c r="D1392">
        <f>VLOOKUP(Table2[[#This Row],[Customer ID]],Table2[#All],3,FALSE)</f>
        <v>6.14</v>
      </c>
      <c r="E1392" t="str">
        <f>VLOOKUP(Table2[[#This Row],[Customer ID]],Table2[#All],4,FALSE)</f>
        <v>Yes</v>
      </c>
      <c r="F1392" t="str">
        <f>VLOOKUP(Table2[[#This Row],[Customer ID]],Table2[#All],5,FALSE)</f>
        <v>No</v>
      </c>
      <c r="G1392" t="str">
        <f>VLOOKUP(Table2[[#This Row],[Customer ID]],Table2[#All],6,FALSE)</f>
        <v>No</v>
      </c>
      <c r="H1392">
        <f>VLOOKUP(Table2[[#This Row],[Customer ID]],Table2[#All],7,FALSE)</f>
        <v>1</v>
      </c>
      <c r="I1392" t="str">
        <f>VLOOKUP(Table2[[#This Row],[Customer ID]],Table2[#All],8,FALSE)</f>
        <v>No</v>
      </c>
      <c r="J1392" t="str">
        <f>VLOOKUP(Table2[[#This Row],[Customer ID]],Table2[#All],9,FALSE)</f>
        <v>Obesity</v>
      </c>
      <c r="K1392" t="str">
        <f>VLOOKUP(Table2[[#This Row],[Customer ID]],Table2[#All],10,FALSE)</f>
        <v>Prediabetes</v>
      </c>
    </row>
    <row r="1393" spans="1:11" ht="15.6" x14ac:dyDescent="0.3">
      <c r="A1393" s="1" t="s">
        <v>979</v>
      </c>
      <c r="B1393" t="str">
        <f>VLOOKUP('Customer Names'!A1393,'Customer Names'!$A$1:$E$2336,4,FALSE)</f>
        <v>Mr.  Michael</v>
      </c>
      <c r="C1393">
        <f>VLOOKUP(Table2[[#This Row],[Customer ID]],Table2[#All],2,FALSE)</f>
        <v>38.51</v>
      </c>
      <c r="D1393">
        <f>VLOOKUP(Table2[[#This Row],[Customer ID]],Table2[#All],3,FALSE)</f>
        <v>5.45</v>
      </c>
      <c r="E1393" t="str">
        <f>VLOOKUP(Table2[[#This Row],[Customer ID]],Table2[#All],4,FALSE)</f>
        <v>Yes</v>
      </c>
      <c r="F1393" t="str">
        <f>VLOOKUP(Table2[[#This Row],[Customer ID]],Table2[#All],5,FALSE)</f>
        <v>No</v>
      </c>
      <c r="G1393" t="str">
        <f>VLOOKUP(Table2[[#This Row],[Customer ID]],Table2[#All],6,FALSE)</f>
        <v>No</v>
      </c>
      <c r="H1393">
        <f>VLOOKUP(Table2[[#This Row],[Customer ID]],Table2[#All],7,FALSE)</f>
        <v>0</v>
      </c>
      <c r="I1393" t="str">
        <f>VLOOKUP(Table2[[#This Row],[Customer ID]],Table2[#All],8,FALSE)</f>
        <v>No</v>
      </c>
      <c r="J1393" t="str">
        <f>VLOOKUP(Table2[[#This Row],[Customer ID]],Table2[#All],9,FALSE)</f>
        <v>Obesity</v>
      </c>
      <c r="K1393" t="str">
        <f>VLOOKUP(Table2[[#This Row],[Customer ID]],Table2[#All],10,FALSE)</f>
        <v>Normal</v>
      </c>
    </row>
    <row r="1394" spans="1:11" ht="15.6" x14ac:dyDescent="0.3">
      <c r="A1394" s="1" t="s">
        <v>978</v>
      </c>
      <c r="B1394" t="str">
        <f>VLOOKUP('Customer Names'!A1394,'Customer Names'!$A$1:$E$2336,4,FALSE)</f>
        <v>Ms.  Gina M</v>
      </c>
      <c r="C1394">
        <f>VLOOKUP(Table2[[#This Row],[Customer ID]],Table2[#All],2,FALSE)</f>
        <v>22.98</v>
      </c>
      <c r="D1394">
        <f>VLOOKUP(Table2[[#This Row],[Customer ID]],Table2[#All],3,FALSE)</f>
        <v>6.14</v>
      </c>
      <c r="E1394" t="str">
        <f>VLOOKUP(Table2[[#This Row],[Customer ID]],Table2[#All],4,FALSE)</f>
        <v>Yes</v>
      </c>
      <c r="F1394" t="str">
        <f>VLOOKUP(Table2[[#This Row],[Customer ID]],Table2[#All],5,FALSE)</f>
        <v>No</v>
      </c>
      <c r="G1394" t="str">
        <f>VLOOKUP(Table2[[#This Row],[Customer ID]],Table2[#All],6,FALSE)</f>
        <v>No</v>
      </c>
      <c r="H1394">
        <f>VLOOKUP(Table2[[#This Row],[Customer ID]],Table2[#All],7,FALSE)</f>
        <v>0</v>
      </c>
      <c r="I1394" t="str">
        <f>VLOOKUP(Table2[[#This Row],[Customer ID]],Table2[#All],8,FALSE)</f>
        <v>No</v>
      </c>
      <c r="J1394" t="str">
        <f>VLOOKUP(Table2[[#This Row],[Customer ID]],Table2[#All],9,FALSE)</f>
        <v>Normalweight</v>
      </c>
      <c r="K1394" t="str">
        <f>VLOOKUP(Table2[[#This Row],[Customer ID]],Table2[#All],10,FALSE)</f>
        <v>Prediabetes</v>
      </c>
    </row>
    <row r="1395" spans="1:11" ht="15.6" x14ac:dyDescent="0.3">
      <c r="A1395" s="1" t="s">
        <v>977</v>
      </c>
      <c r="B1395" t="str">
        <f>VLOOKUP('Customer Names'!A1395,'Customer Names'!$A$1:$E$2336,4,FALSE)</f>
        <v>Ms.  Shantel C.</v>
      </c>
      <c r="C1395">
        <f>VLOOKUP(Table2[[#This Row],[Customer ID]],Table2[#All],2,FALSE)</f>
        <v>15.65</v>
      </c>
      <c r="D1395">
        <f>VLOOKUP(Table2[[#This Row],[Customer ID]],Table2[#All],3,FALSE)</f>
        <v>7.85</v>
      </c>
      <c r="E1395" t="str">
        <f>VLOOKUP(Table2[[#This Row],[Customer ID]],Table2[#All],4,FALSE)</f>
        <v>No</v>
      </c>
      <c r="F1395" t="str">
        <f>VLOOKUP(Table2[[#This Row],[Customer ID]],Table2[#All],5,FALSE)</f>
        <v>No</v>
      </c>
      <c r="G1395" t="str">
        <f>VLOOKUP(Table2[[#This Row],[Customer ID]],Table2[#All],6,FALSE)</f>
        <v>No</v>
      </c>
      <c r="H1395">
        <f>VLOOKUP(Table2[[#This Row],[Customer ID]],Table2[#All],7,FALSE)</f>
        <v>0</v>
      </c>
      <c r="I1395" t="str">
        <f>VLOOKUP(Table2[[#This Row],[Customer ID]],Table2[#All],8,FALSE)</f>
        <v>No</v>
      </c>
      <c r="J1395" t="str">
        <f>VLOOKUP(Table2[[#This Row],[Customer ID]],Table2[#All],9,FALSE)</f>
        <v>Underweight</v>
      </c>
      <c r="K1395" t="str">
        <f>VLOOKUP(Table2[[#This Row],[Customer ID]],Table2[#All],10,FALSE)</f>
        <v>Diabetes</v>
      </c>
    </row>
    <row r="1396" spans="1:11" ht="15.6" x14ac:dyDescent="0.3">
      <c r="A1396" s="1" t="s">
        <v>976</v>
      </c>
      <c r="B1396" t="str">
        <f>VLOOKUP('Customer Names'!A1396,'Customer Names'!$A$1:$E$2336,4,FALSE)</f>
        <v>Mr.  Brian</v>
      </c>
      <c r="C1396">
        <f>VLOOKUP(Table2[[#This Row],[Customer ID]],Table2[#All],2,FALSE)</f>
        <v>39.97</v>
      </c>
      <c r="D1396">
        <f>VLOOKUP(Table2[[#This Row],[Customer ID]],Table2[#All],3,FALSE)</f>
        <v>4.09</v>
      </c>
      <c r="E1396" t="str">
        <f>VLOOKUP(Table2[[#This Row],[Customer ID]],Table2[#All],4,FALSE)</f>
        <v>No</v>
      </c>
      <c r="F1396" t="str">
        <f>VLOOKUP(Table2[[#This Row],[Customer ID]],Table2[#All],5,FALSE)</f>
        <v>No</v>
      </c>
      <c r="G1396" t="str">
        <f>VLOOKUP(Table2[[#This Row],[Customer ID]],Table2[#All],6,FALSE)</f>
        <v>No</v>
      </c>
      <c r="H1396">
        <f>VLOOKUP(Table2[[#This Row],[Customer ID]],Table2[#All],7,FALSE)</f>
        <v>1</v>
      </c>
      <c r="I1396" t="str">
        <f>VLOOKUP(Table2[[#This Row],[Customer ID]],Table2[#All],8,FALSE)</f>
        <v>No</v>
      </c>
      <c r="J1396" t="str">
        <f>VLOOKUP(Table2[[#This Row],[Customer ID]],Table2[#All],9,FALSE)</f>
        <v>Obesity</v>
      </c>
      <c r="K1396" t="str">
        <f>VLOOKUP(Table2[[#This Row],[Customer ID]],Table2[#All],10,FALSE)</f>
        <v>Normal</v>
      </c>
    </row>
    <row r="1397" spans="1:11" ht="15.6" x14ac:dyDescent="0.3">
      <c r="A1397" s="1" t="s">
        <v>975</v>
      </c>
      <c r="B1397" t="str">
        <f>VLOOKUP('Customer Names'!A1397,'Customer Names'!$A$1:$E$2336,4,FALSE)</f>
        <v>Mr.  Brian</v>
      </c>
      <c r="C1397">
        <f>VLOOKUP(Table2[[#This Row],[Customer ID]],Table2[#All],2,FALSE)</f>
        <v>37.22</v>
      </c>
      <c r="D1397">
        <f>VLOOKUP(Table2[[#This Row],[Customer ID]],Table2[#All],3,FALSE)</f>
        <v>4.62</v>
      </c>
      <c r="E1397" t="str">
        <f>VLOOKUP(Table2[[#This Row],[Customer ID]],Table2[#All],4,FALSE)</f>
        <v>No</v>
      </c>
      <c r="F1397" t="str">
        <f>VLOOKUP(Table2[[#This Row],[Customer ID]],Table2[#All],5,FALSE)</f>
        <v>No</v>
      </c>
      <c r="G1397" t="str">
        <f>VLOOKUP(Table2[[#This Row],[Customer ID]],Table2[#All],6,FALSE)</f>
        <v>Yes</v>
      </c>
      <c r="H1397">
        <f>VLOOKUP(Table2[[#This Row],[Customer ID]],Table2[#All],7,FALSE)</f>
        <v>1</v>
      </c>
      <c r="I1397" t="str">
        <f>VLOOKUP(Table2[[#This Row],[Customer ID]],Table2[#All],8,FALSE)</f>
        <v>No</v>
      </c>
      <c r="J1397" t="str">
        <f>VLOOKUP(Table2[[#This Row],[Customer ID]],Table2[#All],9,FALSE)</f>
        <v>Obesity</v>
      </c>
      <c r="K1397" t="str">
        <f>VLOOKUP(Table2[[#This Row],[Customer ID]],Table2[#All],10,FALSE)</f>
        <v>Normal</v>
      </c>
    </row>
    <row r="1398" spans="1:11" ht="15.6" x14ac:dyDescent="0.3">
      <c r="A1398" s="1" t="s">
        <v>974</v>
      </c>
      <c r="B1398" t="str">
        <f>VLOOKUP('Customer Names'!A1398,'Customer Names'!$A$1:$E$2336,4,FALSE)</f>
        <v>Ms.  Jessica R</v>
      </c>
      <c r="C1398">
        <f>VLOOKUP(Table2[[#This Row],[Customer ID]],Table2[#All],2,FALSE)</f>
        <v>41.325000000000003</v>
      </c>
      <c r="D1398">
        <f>VLOOKUP(Table2[[#This Row],[Customer ID]],Table2[#All],3,FALSE)</f>
        <v>5.77</v>
      </c>
      <c r="E1398" t="str">
        <f>VLOOKUP(Table2[[#This Row],[Customer ID]],Table2[#All],4,FALSE)</f>
        <v>No</v>
      </c>
      <c r="F1398" t="str">
        <f>VLOOKUP(Table2[[#This Row],[Customer ID]],Table2[#All],5,FALSE)</f>
        <v>No</v>
      </c>
      <c r="G1398" t="str">
        <f>VLOOKUP(Table2[[#This Row],[Customer ID]],Table2[#All],6,FALSE)</f>
        <v>No</v>
      </c>
      <c r="H1398">
        <f>VLOOKUP(Table2[[#This Row],[Customer ID]],Table2[#All],7,FALSE)</f>
        <v>0</v>
      </c>
      <c r="I1398" t="str">
        <f>VLOOKUP(Table2[[#This Row],[Customer ID]],Table2[#All],8,FALSE)</f>
        <v>No</v>
      </c>
      <c r="J1398" t="str">
        <f>VLOOKUP(Table2[[#This Row],[Customer ID]],Table2[#All],9,FALSE)</f>
        <v>Obesity</v>
      </c>
      <c r="K1398" t="str">
        <f>VLOOKUP(Table2[[#This Row],[Customer ID]],Table2[#All],10,FALSE)</f>
        <v>Prediabetes</v>
      </c>
    </row>
    <row r="1399" spans="1:11" ht="15.6" x14ac:dyDescent="0.3">
      <c r="A1399" s="1" t="s">
        <v>973</v>
      </c>
      <c r="B1399" t="str">
        <f>VLOOKUP('Customer Names'!A1399,'Customer Names'!$A$1:$E$2336,4,FALSE)</f>
        <v>Mrs.  Robyn</v>
      </c>
      <c r="C1399">
        <f>VLOOKUP(Table2[[#This Row],[Customer ID]],Table2[#All],2,FALSE)</f>
        <v>40.31</v>
      </c>
      <c r="D1399">
        <f>VLOOKUP(Table2[[#This Row],[Customer ID]],Table2[#All],3,FALSE)</f>
        <v>5.84</v>
      </c>
      <c r="E1399" t="str">
        <f>VLOOKUP(Table2[[#This Row],[Customer ID]],Table2[#All],4,FALSE)</f>
        <v>No</v>
      </c>
      <c r="F1399" t="str">
        <f>VLOOKUP(Table2[[#This Row],[Customer ID]],Table2[#All],5,FALSE)</f>
        <v>No</v>
      </c>
      <c r="G1399" t="str">
        <f>VLOOKUP(Table2[[#This Row],[Customer ID]],Table2[#All],6,FALSE)</f>
        <v>No</v>
      </c>
      <c r="H1399">
        <f>VLOOKUP(Table2[[#This Row],[Customer ID]],Table2[#All],7,FALSE)</f>
        <v>0</v>
      </c>
      <c r="I1399" t="str">
        <f>VLOOKUP(Table2[[#This Row],[Customer ID]],Table2[#All],8,FALSE)</f>
        <v>No</v>
      </c>
      <c r="J1399" t="str">
        <f>VLOOKUP(Table2[[#This Row],[Customer ID]],Table2[#All],9,FALSE)</f>
        <v>Obesity</v>
      </c>
      <c r="K1399" t="str">
        <f>VLOOKUP(Table2[[#This Row],[Customer ID]],Table2[#All],10,FALSE)</f>
        <v>Prediabetes</v>
      </c>
    </row>
    <row r="1400" spans="1:11" ht="15.6" x14ac:dyDescent="0.3">
      <c r="A1400" s="1" t="s">
        <v>972</v>
      </c>
      <c r="B1400" t="str">
        <f>VLOOKUP('Customer Names'!A1400,'Customer Names'!$A$1:$E$2336,4,FALSE)</f>
        <v>Ms.  Ashley</v>
      </c>
      <c r="C1400">
        <f>VLOOKUP(Table2[[#This Row],[Customer ID]],Table2[#All],2,FALSE)</f>
        <v>29.48</v>
      </c>
      <c r="D1400">
        <f>VLOOKUP(Table2[[#This Row],[Customer ID]],Table2[#All],3,FALSE)</f>
        <v>4.91</v>
      </c>
      <c r="E1400" t="str">
        <f>VLOOKUP(Table2[[#This Row],[Customer ID]],Table2[#All],4,FALSE)</f>
        <v>No</v>
      </c>
      <c r="F1400" t="str">
        <f>VLOOKUP(Table2[[#This Row],[Customer ID]],Table2[#All],5,FALSE)</f>
        <v>No</v>
      </c>
      <c r="G1400" t="str">
        <f>VLOOKUP(Table2[[#This Row],[Customer ID]],Table2[#All],6,FALSE)</f>
        <v>No</v>
      </c>
      <c r="H1400">
        <f>VLOOKUP(Table2[[#This Row],[Customer ID]],Table2[#All],7,FALSE)</f>
        <v>0</v>
      </c>
      <c r="I1400" t="str">
        <f>VLOOKUP(Table2[[#This Row],[Customer ID]],Table2[#All],8,FALSE)</f>
        <v>No</v>
      </c>
      <c r="J1400" t="str">
        <f>VLOOKUP(Table2[[#This Row],[Customer ID]],Table2[#All],9,FALSE)</f>
        <v>Overweight</v>
      </c>
      <c r="K1400" t="str">
        <f>VLOOKUP(Table2[[#This Row],[Customer ID]],Table2[#All],10,FALSE)</f>
        <v>Normal</v>
      </c>
    </row>
    <row r="1401" spans="1:11" ht="15.6" x14ac:dyDescent="0.3">
      <c r="A1401" s="1" t="s">
        <v>971</v>
      </c>
      <c r="B1401" t="str">
        <f>VLOOKUP('Customer Names'!A1401,'Customer Names'!$A$1:$E$2336,4,FALSE)</f>
        <v>Ms.  Dana</v>
      </c>
      <c r="C1401">
        <f>VLOOKUP(Table2[[#This Row],[Customer ID]],Table2[#All],2,FALSE)</f>
        <v>33.155000000000001</v>
      </c>
      <c r="D1401">
        <f>VLOOKUP(Table2[[#This Row],[Customer ID]],Table2[#All],3,FALSE)</f>
        <v>5.07</v>
      </c>
      <c r="E1401" t="str">
        <f>VLOOKUP(Table2[[#This Row],[Customer ID]],Table2[#All],4,FALSE)</f>
        <v>No</v>
      </c>
      <c r="F1401" t="str">
        <f>VLOOKUP(Table2[[#This Row],[Customer ID]],Table2[#All],5,FALSE)</f>
        <v>No</v>
      </c>
      <c r="G1401" t="str">
        <f>VLOOKUP(Table2[[#This Row],[Customer ID]],Table2[#All],6,FALSE)</f>
        <v>No</v>
      </c>
      <c r="H1401">
        <f>VLOOKUP(Table2[[#This Row],[Customer ID]],Table2[#All],7,FALSE)</f>
        <v>0</v>
      </c>
      <c r="I1401" t="str">
        <f>VLOOKUP(Table2[[#This Row],[Customer ID]],Table2[#All],8,FALSE)</f>
        <v>No</v>
      </c>
      <c r="J1401" t="str">
        <f>VLOOKUP(Table2[[#This Row],[Customer ID]],Table2[#All],9,FALSE)</f>
        <v>Obesity</v>
      </c>
      <c r="K1401" t="str">
        <f>VLOOKUP(Table2[[#This Row],[Customer ID]],Table2[#All],10,FALSE)</f>
        <v>Normal</v>
      </c>
    </row>
    <row r="1402" spans="1:11" ht="15.6" x14ac:dyDescent="0.3">
      <c r="A1402" s="1" t="s">
        <v>970</v>
      </c>
      <c r="B1402" t="str">
        <f>VLOOKUP('Customer Names'!A1402,'Customer Names'!$A$1:$E$2336,4,FALSE)</f>
        <v>Ms.  Jessica F.</v>
      </c>
      <c r="C1402">
        <f>VLOOKUP(Table2[[#This Row],[Customer ID]],Table2[#All],2,FALSE)</f>
        <v>42.85</v>
      </c>
      <c r="D1402">
        <f>VLOOKUP(Table2[[#This Row],[Customer ID]],Table2[#All],3,FALSE)</f>
        <v>5.81</v>
      </c>
      <c r="E1402" t="str">
        <f>VLOOKUP(Table2[[#This Row],[Customer ID]],Table2[#All],4,FALSE)</f>
        <v>Yes</v>
      </c>
      <c r="F1402" t="str">
        <f>VLOOKUP(Table2[[#This Row],[Customer ID]],Table2[#All],5,FALSE)</f>
        <v>No</v>
      </c>
      <c r="G1402" t="str">
        <f>VLOOKUP(Table2[[#This Row],[Customer ID]],Table2[#All],6,FALSE)</f>
        <v>No</v>
      </c>
      <c r="H1402">
        <f>VLOOKUP(Table2[[#This Row],[Customer ID]],Table2[#All],7,FALSE)</f>
        <v>0</v>
      </c>
      <c r="I1402" t="str">
        <f>VLOOKUP(Table2[[#This Row],[Customer ID]],Table2[#All],8,FALSE)</f>
        <v>No</v>
      </c>
      <c r="J1402" t="str">
        <f>VLOOKUP(Table2[[#This Row],[Customer ID]],Table2[#All],9,FALSE)</f>
        <v>Obesity</v>
      </c>
      <c r="K1402" t="str">
        <f>VLOOKUP(Table2[[#This Row],[Customer ID]],Table2[#All],10,FALSE)</f>
        <v>Prediabetes</v>
      </c>
    </row>
    <row r="1403" spans="1:11" ht="15.6" x14ac:dyDescent="0.3">
      <c r="A1403" s="1" t="s">
        <v>969</v>
      </c>
      <c r="B1403" t="str">
        <f>VLOOKUP('Customer Names'!A1403,'Customer Names'!$A$1:$E$2336,4,FALSE)</f>
        <v>Ms.  Lindsey</v>
      </c>
      <c r="C1403">
        <f>VLOOKUP(Table2[[#This Row],[Customer ID]],Table2[#All],2,FALSE)</f>
        <v>32.340000000000003</v>
      </c>
      <c r="D1403">
        <f>VLOOKUP(Table2[[#This Row],[Customer ID]],Table2[#All],3,FALSE)</f>
        <v>11.2</v>
      </c>
      <c r="E1403" t="str">
        <f>VLOOKUP(Table2[[#This Row],[Customer ID]],Table2[#All],4,FALSE)</f>
        <v>No</v>
      </c>
      <c r="F1403" t="str">
        <f>VLOOKUP(Table2[[#This Row],[Customer ID]],Table2[#All],5,FALSE)</f>
        <v>No</v>
      </c>
      <c r="G1403" t="str">
        <f>VLOOKUP(Table2[[#This Row],[Customer ID]],Table2[#All],6,FALSE)</f>
        <v>No</v>
      </c>
      <c r="H1403">
        <f>VLOOKUP(Table2[[#This Row],[Customer ID]],Table2[#All],7,FALSE)</f>
        <v>0</v>
      </c>
      <c r="I1403" t="str">
        <f>VLOOKUP(Table2[[#This Row],[Customer ID]],Table2[#All],8,FALSE)</f>
        <v>No</v>
      </c>
      <c r="J1403" t="str">
        <f>VLOOKUP(Table2[[#This Row],[Customer ID]],Table2[#All],9,FALSE)</f>
        <v>Obesity</v>
      </c>
      <c r="K1403" t="str">
        <f>VLOOKUP(Table2[[#This Row],[Customer ID]],Table2[#All],10,FALSE)</f>
        <v>Diabetes</v>
      </c>
    </row>
    <row r="1404" spans="1:11" ht="15.6" x14ac:dyDescent="0.3">
      <c r="A1404" s="1" t="s">
        <v>968</v>
      </c>
      <c r="B1404" t="str">
        <f>VLOOKUP('Customer Names'!A1404,'Customer Names'!$A$1:$E$2336,4,FALSE)</f>
        <v>Ms.  Kelly A</v>
      </c>
      <c r="C1404">
        <f>VLOOKUP(Table2[[#This Row],[Customer ID]],Table2[#All],2,FALSE)</f>
        <v>27.5</v>
      </c>
      <c r="D1404">
        <f>VLOOKUP(Table2[[#This Row],[Customer ID]],Table2[#All],3,FALSE)</f>
        <v>10.75</v>
      </c>
      <c r="E1404" t="str">
        <f>VLOOKUP(Table2[[#This Row],[Customer ID]],Table2[#All],4,FALSE)</f>
        <v>No</v>
      </c>
      <c r="F1404" t="str">
        <f>VLOOKUP(Table2[[#This Row],[Customer ID]],Table2[#All],5,FALSE)</f>
        <v>No</v>
      </c>
      <c r="G1404" t="str">
        <f>VLOOKUP(Table2[[#This Row],[Customer ID]],Table2[#All],6,FALSE)</f>
        <v>No</v>
      </c>
      <c r="H1404">
        <f>VLOOKUP(Table2[[#This Row],[Customer ID]],Table2[#All],7,FALSE)</f>
        <v>0</v>
      </c>
      <c r="I1404" t="str">
        <f>VLOOKUP(Table2[[#This Row],[Customer ID]],Table2[#All],8,FALSE)</f>
        <v>No</v>
      </c>
      <c r="J1404" t="str">
        <f>VLOOKUP(Table2[[#This Row],[Customer ID]],Table2[#All],9,FALSE)</f>
        <v>Overweight</v>
      </c>
      <c r="K1404" t="str">
        <f>VLOOKUP(Table2[[#This Row],[Customer ID]],Table2[#All],10,FALSE)</f>
        <v>Diabetes</v>
      </c>
    </row>
    <row r="1405" spans="1:11" ht="15.6" x14ac:dyDescent="0.3">
      <c r="A1405" s="1" t="s">
        <v>967</v>
      </c>
      <c r="B1405" t="str">
        <f>VLOOKUP('Customer Names'!A1405,'Customer Names'!$A$1:$E$2336,4,FALSE)</f>
        <v>Ms.  Brooke E</v>
      </c>
      <c r="C1405">
        <f>VLOOKUP(Table2[[#This Row],[Customer ID]],Table2[#All],2,FALSE)</f>
        <v>25.8</v>
      </c>
      <c r="D1405">
        <f>VLOOKUP(Table2[[#This Row],[Customer ID]],Table2[#All],3,FALSE)</f>
        <v>7.8</v>
      </c>
      <c r="E1405" t="str">
        <f>VLOOKUP(Table2[[#This Row],[Customer ID]],Table2[#All],4,FALSE)</f>
        <v>No</v>
      </c>
      <c r="F1405" t="str">
        <f>VLOOKUP(Table2[[#This Row],[Customer ID]],Table2[#All],5,FALSE)</f>
        <v>No</v>
      </c>
      <c r="G1405" t="str">
        <f>VLOOKUP(Table2[[#This Row],[Customer ID]],Table2[#All],6,FALSE)</f>
        <v>No</v>
      </c>
      <c r="H1405">
        <f>VLOOKUP(Table2[[#This Row],[Customer ID]],Table2[#All],7,FALSE)</f>
        <v>0</v>
      </c>
      <c r="I1405" t="str">
        <f>VLOOKUP(Table2[[#This Row],[Customer ID]],Table2[#All],8,FALSE)</f>
        <v>No</v>
      </c>
      <c r="J1405" t="str">
        <f>VLOOKUP(Table2[[#This Row],[Customer ID]],Table2[#All],9,FALSE)</f>
        <v>Overweight</v>
      </c>
      <c r="K1405" t="str">
        <f>VLOOKUP(Table2[[#This Row],[Customer ID]],Table2[#All],10,FALSE)</f>
        <v>Diabetes</v>
      </c>
    </row>
    <row r="1406" spans="1:11" ht="15.6" x14ac:dyDescent="0.3">
      <c r="A1406" s="1" t="s">
        <v>966</v>
      </c>
      <c r="B1406" t="str">
        <f>VLOOKUP('Customer Names'!A1406,'Customer Names'!$A$1:$E$2336,4,FALSE)</f>
        <v>Ms.  Katelyn E.</v>
      </c>
      <c r="C1406">
        <f>VLOOKUP(Table2[[#This Row],[Customer ID]],Table2[#All],2,FALSE)</f>
        <v>25</v>
      </c>
      <c r="D1406">
        <f>VLOOKUP(Table2[[#This Row],[Customer ID]],Table2[#All],3,FALSE)</f>
        <v>7.04</v>
      </c>
      <c r="E1406" t="str">
        <f>VLOOKUP(Table2[[#This Row],[Customer ID]],Table2[#All],4,FALSE)</f>
        <v>No</v>
      </c>
      <c r="F1406" t="str">
        <f>VLOOKUP(Table2[[#This Row],[Customer ID]],Table2[#All],5,FALSE)</f>
        <v>No</v>
      </c>
      <c r="G1406" t="str">
        <f>VLOOKUP(Table2[[#This Row],[Customer ID]],Table2[#All],6,FALSE)</f>
        <v>No</v>
      </c>
      <c r="H1406">
        <f>VLOOKUP(Table2[[#This Row],[Customer ID]],Table2[#All],7,FALSE)</f>
        <v>0</v>
      </c>
      <c r="I1406" t="str">
        <f>VLOOKUP(Table2[[#This Row],[Customer ID]],Table2[#All],8,FALSE)</f>
        <v>No</v>
      </c>
      <c r="J1406" t="str">
        <f>VLOOKUP(Table2[[#This Row],[Customer ID]],Table2[#All],9,FALSE)</f>
        <v>Overweight</v>
      </c>
      <c r="K1406" t="str">
        <f>VLOOKUP(Table2[[#This Row],[Customer ID]],Table2[#All],10,FALSE)</f>
        <v>Diabetes</v>
      </c>
    </row>
    <row r="1407" spans="1:11" ht="15.6" x14ac:dyDescent="0.3">
      <c r="A1407" s="1" t="s">
        <v>965</v>
      </c>
      <c r="B1407" t="str">
        <f>VLOOKUP('Customer Names'!A1407,'Customer Names'!$A$1:$E$2336,4,FALSE)</f>
        <v>Mr.  Adam</v>
      </c>
      <c r="C1407">
        <f>VLOOKUP(Table2[[#This Row],[Customer ID]],Table2[#All],2,FALSE)</f>
        <v>41.2</v>
      </c>
      <c r="D1407">
        <f>VLOOKUP(Table2[[#This Row],[Customer ID]],Table2[#All],3,FALSE)</f>
        <v>4.18</v>
      </c>
      <c r="E1407" t="str">
        <f>VLOOKUP(Table2[[#This Row],[Customer ID]],Table2[#All],4,FALSE)</f>
        <v>Yes</v>
      </c>
      <c r="F1407" t="str">
        <f>VLOOKUP(Table2[[#This Row],[Customer ID]],Table2[#All],5,FALSE)</f>
        <v>No</v>
      </c>
      <c r="G1407" t="str">
        <f>VLOOKUP(Table2[[#This Row],[Customer ID]],Table2[#All],6,FALSE)</f>
        <v>No</v>
      </c>
      <c r="H1407">
        <f>VLOOKUP(Table2[[#This Row],[Customer ID]],Table2[#All],7,FALSE)</f>
        <v>0</v>
      </c>
      <c r="I1407" t="str">
        <f>VLOOKUP(Table2[[#This Row],[Customer ID]],Table2[#All],8,FALSE)</f>
        <v>No</v>
      </c>
      <c r="J1407" t="str">
        <f>VLOOKUP(Table2[[#This Row],[Customer ID]],Table2[#All],9,FALSE)</f>
        <v>Obesity</v>
      </c>
      <c r="K1407" t="str">
        <f>VLOOKUP(Table2[[#This Row],[Customer ID]],Table2[#All],10,FALSE)</f>
        <v>Normal</v>
      </c>
    </row>
    <row r="1408" spans="1:11" ht="15.6" x14ac:dyDescent="0.3">
      <c r="A1408" s="1" t="s">
        <v>964</v>
      </c>
      <c r="B1408" t="str">
        <f>VLOOKUP('Customer Names'!A1408,'Customer Names'!$A$1:$E$2336,4,FALSE)</f>
        <v>Ms.  Dana</v>
      </c>
      <c r="C1408">
        <f>VLOOKUP(Table2[[#This Row],[Customer ID]],Table2[#All],2,FALSE)</f>
        <v>17.78</v>
      </c>
      <c r="D1408">
        <f>VLOOKUP(Table2[[#This Row],[Customer ID]],Table2[#All],3,FALSE)</f>
        <v>8.19</v>
      </c>
      <c r="E1408" t="str">
        <f>VLOOKUP(Table2[[#This Row],[Customer ID]],Table2[#All],4,FALSE)</f>
        <v>No</v>
      </c>
      <c r="F1408" t="str">
        <f>VLOOKUP(Table2[[#This Row],[Customer ID]],Table2[#All],5,FALSE)</f>
        <v>No</v>
      </c>
      <c r="G1408" t="str">
        <f>VLOOKUP(Table2[[#This Row],[Customer ID]],Table2[#All],6,FALSE)</f>
        <v>No</v>
      </c>
      <c r="H1408">
        <f>VLOOKUP(Table2[[#This Row],[Customer ID]],Table2[#All],7,FALSE)</f>
        <v>0</v>
      </c>
      <c r="I1408" t="str">
        <f>VLOOKUP(Table2[[#This Row],[Customer ID]],Table2[#All],8,FALSE)</f>
        <v>No</v>
      </c>
      <c r="J1408" t="str">
        <f>VLOOKUP(Table2[[#This Row],[Customer ID]],Table2[#All],9,FALSE)</f>
        <v>Underweight</v>
      </c>
      <c r="K1408" t="str">
        <f>VLOOKUP(Table2[[#This Row],[Customer ID]],Table2[#All],10,FALSE)</f>
        <v>Diabetes</v>
      </c>
    </row>
    <row r="1409" spans="1:11" ht="15.6" x14ac:dyDescent="0.3">
      <c r="A1409" s="1" t="s">
        <v>963</v>
      </c>
      <c r="B1409" t="str">
        <f>VLOOKUP('Customer Names'!A1409,'Customer Names'!$A$1:$E$2336,4,FALSE)</f>
        <v>Mr.  Eric W</v>
      </c>
      <c r="C1409">
        <f>VLOOKUP(Table2[[#This Row],[Customer ID]],Table2[#All],2,FALSE)</f>
        <v>40.119999999999997</v>
      </c>
      <c r="D1409">
        <f>VLOOKUP(Table2[[#This Row],[Customer ID]],Table2[#All],3,FALSE)</f>
        <v>6.22</v>
      </c>
      <c r="E1409" t="str">
        <f>VLOOKUP(Table2[[#This Row],[Customer ID]],Table2[#All],4,FALSE)</f>
        <v>Yes</v>
      </c>
      <c r="F1409" t="str">
        <f>VLOOKUP(Table2[[#This Row],[Customer ID]],Table2[#All],5,FALSE)</f>
        <v>No</v>
      </c>
      <c r="G1409" t="str">
        <f>VLOOKUP(Table2[[#This Row],[Customer ID]],Table2[#All],6,FALSE)</f>
        <v>Yes</v>
      </c>
      <c r="H1409">
        <f>VLOOKUP(Table2[[#This Row],[Customer ID]],Table2[#All],7,FALSE)</f>
        <v>1</v>
      </c>
      <c r="I1409" t="str">
        <f>VLOOKUP(Table2[[#This Row],[Customer ID]],Table2[#All],8,FALSE)</f>
        <v>No</v>
      </c>
      <c r="J1409" t="str">
        <f>VLOOKUP(Table2[[#This Row],[Customer ID]],Table2[#All],9,FALSE)</f>
        <v>Obesity</v>
      </c>
      <c r="K1409" t="str">
        <f>VLOOKUP(Table2[[#This Row],[Customer ID]],Table2[#All],10,FALSE)</f>
        <v>Prediabetes</v>
      </c>
    </row>
    <row r="1410" spans="1:11" ht="15.6" x14ac:dyDescent="0.3">
      <c r="A1410" s="1" t="s">
        <v>962</v>
      </c>
      <c r="B1410" t="str">
        <f>VLOOKUP('Customer Names'!A1410,'Customer Names'!$A$1:$E$2336,4,FALSE)</f>
        <v>Mr.  Matthew D</v>
      </c>
      <c r="C1410">
        <f>VLOOKUP(Table2[[#This Row],[Customer ID]],Table2[#All],2,FALSE)</f>
        <v>19.350000000000001</v>
      </c>
      <c r="D1410">
        <f>VLOOKUP(Table2[[#This Row],[Customer ID]],Table2[#All],3,FALSE)</f>
        <v>8.2200000000000006</v>
      </c>
      <c r="E1410" t="str">
        <f>VLOOKUP(Table2[[#This Row],[Customer ID]],Table2[#All],4,FALSE)</f>
        <v>Yes</v>
      </c>
      <c r="F1410" t="str">
        <f>VLOOKUP(Table2[[#This Row],[Customer ID]],Table2[#All],5,FALSE)</f>
        <v>No</v>
      </c>
      <c r="G1410" t="str">
        <f>VLOOKUP(Table2[[#This Row],[Customer ID]],Table2[#All],6,FALSE)</f>
        <v>No</v>
      </c>
      <c r="H1410">
        <f>VLOOKUP(Table2[[#This Row],[Customer ID]],Table2[#All],7,FALSE)</f>
        <v>0</v>
      </c>
      <c r="I1410" t="str">
        <f>VLOOKUP(Table2[[#This Row],[Customer ID]],Table2[#All],8,FALSE)</f>
        <v>No</v>
      </c>
      <c r="J1410" t="str">
        <f>VLOOKUP(Table2[[#This Row],[Customer ID]],Table2[#All],9,FALSE)</f>
        <v>Normalweight</v>
      </c>
      <c r="K1410" t="str">
        <f>VLOOKUP(Table2[[#This Row],[Customer ID]],Table2[#All],10,FALSE)</f>
        <v>Diabetes</v>
      </c>
    </row>
    <row r="1411" spans="1:11" ht="15.6" x14ac:dyDescent="0.3">
      <c r="A1411" s="1" t="s">
        <v>961</v>
      </c>
      <c r="B1411" t="str">
        <f>VLOOKUP('Customer Names'!A1411,'Customer Names'!$A$1:$E$2336,4,FALSE)</f>
        <v>Mr.  Eoghan</v>
      </c>
      <c r="C1411">
        <f>VLOOKUP(Table2[[#This Row],[Customer ID]],Table2[#All],2,FALSE)</f>
        <v>36.69</v>
      </c>
      <c r="D1411">
        <f>VLOOKUP(Table2[[#This Row],[Customer ID]],Table2[#All],3,FALSE)</f>
        <v>6.15</v>
      </c>
      <c r="E1411" t="str">
        <f>VLOOKUP(Table2[[#This Row],[Customer ID]],Table2[#All],4,FALSE)</f>
        <v>No</v>
      </c>
      <c r="F1411" t="str">
        <f>VLOOKUP(Table2[[#This Row],[Customer ID]],Table2[#All],5,FALSE)</f>
        <v>No</v>
      </c>
      <c r="G1411" t="str">
        <f>VLOOKUP(Table2[[#This Row],[Customer ID]],Table2[#All],6,FALSE)</f>
        <v>No</v>
      </c>
      <c r="H1411">
        <f>VLOOKUP(Table2[[#This Row],[Customer ID]],Table2[#All],7,FALSE)</f>
        <v>0</v>
      </c>
      <c r="I1411" t="str">
        <f>VLOOKUP(Table2[[#This Row],[Customer ID]],Table2[#All],8,FALSE)</f>
        <v>No</v>
      </c>
      <c r="J1411" t="str">
        <f>VLOOKUP(Table2[[#This Row],[Customer ID]],Table2[#All],9,FALSE)</f>
        <v>Obesity</v>
      </c>
      <c r="K1411" t="str">
        <f>VLOOKUP(Table2[[#This Row],[Customer ID]],Table2[#All],10,FALSE)</f>
        <v>Prediabetes</v>
      </c>
    </row>
    <row r="1412" spans="1:11" ht="15.6" x14ac:dyDescent="0.3">
      <c r="A1412" s="1" t="s">
        <v>960</v>
      </c>
      <c r="B1412" t="str">
        <f>VLOOKUP('Customer Names'!A1412,'Customer Names'!$A$1:$E$2336,4,FALSE)</f>
        <v>Ms.  Pamela W</v>
      </c>
      <c r="C1412">
        <f>VLOOKUP(Table2[[#This Row],[Customer ID]],Table2[#All],2,FALSE)</f>
        <v>28.51</v>
      </c>
      <c r="D1412">
        <f>VLOOKUP(Table2[[#This Row],[Customer ID]],Table2[#All],3,FALSE)</f>
        <v>5.65</v>
      </c>
      <c r="E1412" t="str">
        <f>VLOOKUP(Table2[[#This Row],[Customer ID]],Table2[#All],4,FALSE)</f>
        <v>Yes</v>
      </c>
      <c r="F1412" t="str">
        <f>VLOOKUP(Table2[[#This Row],[Customer ID]],Table2[#All],5,FALSE)</f>
        <v>No</v>
      </c>
      <c r="G1412" t="str">
        <f>VLOOKUP(Table2[[#This Row],[Customer ID]],Table2[#All],6,FALSE)</f>
        <v>No</v>
      </c>
      <c r="H1412">
        <f>VLOOKUP(Table2[[#This Row],[Customer ID]],Table2[#All],7,FALSE)</f>
        <v>1</v>
      </c>
      <c r="I1412" t="str">
        <f>VLOOKUP(Table2[[#This Row],[Customer ID]],Table2[#All],8,FALSE)</f>
        <v>No</v>
      </c>
      <c r="J1412" t="str">
        <f>VLOOKUP(Table2[[#This Row],[Customer ID]],Table2[#All],9,FALSE)</f>
        <v>Overweight</v>
      </c>
      <c r="K1412" t="str">
        <f>VLOOKUP(Table2[[#This Row],[Customer ID]],Table2[#All],10,FALSE)</f>
        <v>Normal</v>
      </c>
    </row>
    <row r="1413" spans="1:11" ht="15.6" x14ac:dyDescent="0.3">
      <c r="A1413" s="1" t="s">
        <v>959</v>
      </c>
      <c r="B1413" t="str">
        <f>VLOOKUP('Customer Names'!A1413,'Customer Names'!$A$1:$E$2336,4,FALSE)</f>
        <v>Ms.  Lindsey M.</v>
      </c>
      <c r="C1413">
        <f>VLOOKUP(Table2[[#This Row],[Customer ID]],Table2[#All],2,FALSE)</f>
        <v>30.21</v>
      </c>
      <c r="D1413">
        <f>VLOOKUP(Table2[[#This Row],[Customer ID]],Table2[#All],3,FALSE)</f>
        <v>5.5</v>
      </c>
      <c r="E1413" t="str">
        <f>VLOOKUP(Table2[[#This Row],[Customer ID]],Table2[#All],4,FALSE)</f>
        <v>No</v>
      </c>
      <c r="F1413" t="str">
        <f>VLOOKUP(Table2[[#This Row],[Customer ID]],Table2[#All],5,FALSE)</f>
        <v>No</v>
      </c>
      <c r="G1413" t="str">
        <f>VLOOKUP(Table2[[#This Row],[Customer ID]],Table2[#All],6,FALSE)</f>
        <v>No</v>
      </c>
      <c r="H1413">
        <f>VLOOKUP(Table2[[#This Row],[Customer ID]],Table2[#All],7,FALSE)</f>
        <v>1</v>
      </c>
      <c r="I1413" t="str">
        <f>VLOOKUP(Table2[[#This Row],[Customer ID]],Table2[#All],8,FALSE)</f>
        <v>No</v>
      </c>
      <c r="J1413" t="str">
        <f>VLOOKUP(Table2[[#This Row],[Customer ID]],Table2[#All],9,FALSE)</f>
        <v>Obesity</v>
      </c>
      <c r="K1413" t="str">
        <f>VLOOKUP(Table2[[#This Row],[Customer ID]],Table2[#All],10,FALSE)</f>
        <v>Normal</v>
      </c>
    </row>
    <row r="1414" spans="1:11" ht="15.6" x14ac:dyDescent="0.3">
      <c r="A1414" s="1" t="s">
        <v>958</v>
      </c>
      <c r="B1414" t="str">
        <f>VLOOKUP('Customer Names'!A1414,'Customer Names'!$A$1:$E$2336,4,FALSE)</f>
        <v>Ms.  Kassie</v>
      </c>
      <c r="C1414">
        <f>VLOOKUP(Table2[[#This Row],[Customer ID]],Table2[#All],2,FALSE)</f>
        <v>24.33</v>
      </c>
      <c r="D1414">
        <f>VLOOKUP(Table2[[#This Row],[Customer ID]],Table2[#All],3,FALSE)</f>
        <v>8</v>
      </c>
      <c r="E1414" t="str">
        <f>VLOOKUP(Table2[[#This Row],[Customer ID]],Table2[#All],4,FALSE)</f>
        <v>No</v>
      </c>
      <c r="F1414" t="str">
        <f>VLOOKUP(Table2[[#This Row],[Customer ID]],Table2[#All],5,FALSE)</f>
        <v>No</v>
      </c>
      <c r="G1414" t="str">
        <f>VLOOKUP(Table2[[#This Row],[Customer ID]],Table2[#All],6,FALSE)</f>
        <v>No</v>
      </c>
      <c r="H1414">
        <f>VLOOKUP(Table2[[#This Row],[Customer ID]],Table2[#All],7,FALSE)</f>
        <v>0</v>
      </c>
      <c r="I1414" t="str">
        <f>VLOOKUP(Table2[[#This Row],[Customer ID]],Table2[#All],8,FALSE)</f>
        <v>No</v>
      </c>
      <c r="J1414" t="str">
        <f>VLOOKUP(Table2[[#This Row],[Customer ID]],Table2[#All],9,FALSE)</f>
        <v>Normalweight</v>
      </c>
      <c r="K1414" t="str">
        <f>VLOOKUP(Table2[[#This Row],[Customer ID]],Table2[#All],10,FALSE)</f>
        <v>Diabetes</v>
      </c>
    </row>
    <row r="1415" spans="1:11" ht="15.6" x14ac:dyDescent="0.3">
      <c r="A1415" s="1" t="s">
        <v>957</v>
      </c>
      <c r="B1415" t="str">
        <f>VLOOKUP('Customer Names'!A1415,'Customer Names'!$A$1:$E$2336,4,FALSE)</f>
        <v>Mr.  Matthew</v>
      </c>
      <c r="C1415">
        <f>VLOOKUP(Table2[[#This Row],[Customer ID]],Table2[#All],2,FALSE)</f>
        <v>19.855</v>
      </c>
      <c r="D1415">
        <f>VLOOKUP(Table2[[#This Row],[Customer ID]],Table2[#All],3,FALSE)</f>
        <v>5.71</v>
      </c>
      <c r="E1415" t="str">
        <f>VLOOKUP(Table2[[#This Row],[Customer ID]],Table2[#All],4,FALSE)</f>
        <v>Yes</v>
      </c>
      <c r="F1415" t="str">
        <f>VLOOKUP(Table2[[#This Row],[Customer ID]],Table2[#All],5,FALSE)</f>
        <v>No</v>
      </c>
      <c r="G1415" t="str">
        <f>VLOOKUP(Table2[[#This Row],[Customer ID]],Table2[#All],6,FALSE)</f>
        <v>No</v>
      </c>
      <c r="H1415">
        <f>VLOOKUP(Table2[[#This Row],[Customer ID]],Table2[#All],7,FALSE)</f>
        <v>0</v>
      </c>
      <c r="I1415" t="str">
        <f>VLOOKUP(Table2[[#This Row],[Customer ID]],Table2[#All],8,FALSE)</f>
        <v>No</v>
      </c>
      <c r="J1415" t="str">
        <f>VLOOKUP(Table2[[#This Row],[Customer ID]],Table2[#All],9,FALSE)</f>
        <v>Normalweight</v>
      </c>
      <c r="K1415" t="str">
        <f>VLOOKUP(Table2[[#This Row],[Customer ID]],Table2[#All],10,FALSE)</f>
        <v>Prediabetes</v>
      </c>
    </row>
    <row r="1416" spans="1:11" ht="15.6" x14ac:dyDescent="0.3">
      <c r="A1416" s="1" t="s">
        <v>956</v>
      </c>
      <c r="B1416" t="str">
        <f>VLOOKUP('Customer Names'!A1416,'Customer Names'!$A$1:$E$2336,4,FALSE)</f>
        <v>Mr.  Ruben Dario</v>
      </c>
      <c r="C1416">
        <f>VLOOKUP(Table2[[#This Row],[Customer ID]],Table2[#All],2,FALSE)</f>
        <v>25.364999999999998</v>
      </c>
      <c r="D1416">
        <f>VLOOKUP(Table2[[#This Row],[Customer ID]],Table2[#All],3,FALSE)</f>
        <v>11.71</v>
      </c>
      <c r="E1416" t="str">
        <f>VLOOKUP(Table2[[#This Row],[Customer ID]],Table2[#All],4,FALSE)</f>
        <v>No</v>
      </c>
      <c r="F1416" t="str">
        <f>VLOOKUP(Table2[[#This Row],[Customer ID]],Table2[#All],5,FALSE)</f>
        <v>No</v>
      </c>
      <c r="G1416" t="str">
        <f>VLOOKUP(Table2[[#This Row],[Customer ID]],Table2[#All],6,FALSE)</f>
        <v>No</v>
      </c>
      <c r="H1416">
        <f>VLOOKUP(Table2[[#This Row],[Customer ID]],Table2[#All],7,FALSE)</f>
        <v>0</v>
      </c>
      <c r="I1416" t="str">
        <f>VLOOKUP(Table2[[#This Row],[Customer ID]],Table2[#All],8,FALSE)</f>
        <v>No</v>
      </c>
      <c r="J1416" t="str">
        <f>VLOOKUP(Table2[[#This Row],[Customer ID]],Table2[#All],9,FALSE)</f>
        <v>Overweight</v>
      </c>
      <c r="K1416" t="str">
        <f>VLOOKUP(Table2[[#This Row],[Customer ID]],Table2[#All],10,FALSE)</f>
        <v>Diabetes</v>
      </c>
    </row>
    <row r="1417" spans="1:11" ht="15.6" x14ac:dyDescent="0.3">
      <c r="A1417" s="1" t="s">
        <v>955</v>
      </c>
      <c r="B1417" t="str">
        <f>VLOOKUP('Customer Names'!A1417,'Customer Names'!$A$1:$E$2336,4,FALSE)</f>
        <v>Mr.  Kevin</v>
      </c>
      <c r="C1417">
        <f>VLOOKUP(Table2[[#This Row],[Customer ID]],Table2[#All],2,FALSE)</f>
        <v>29.6</v>
      </c>
      <c r="D1417">
        <f>VLOOKUP(Table2[[#This Row],[Customer ID]],Table2[#All],3,FALSE)</f>
        <v>6.17</v>
      </c>
      <c r="E1417" t="str">
        <f>VLOOKUP(Table2[[#This Row],[Customer ID]],Table2[#All],4,FALSE)</f>
        <v>Yes</v>
      </c>
      <c r="F1417" t="str">
        <f>VLOOKUP(Table2[[#This Row],[Customer ID]],Table2[#All],5,FALSE)</f>
        <v>No</v>
      </c>
      <c r="G1417" t="str">
        <f>VLOOKUP(Table2[[#This Row],[Customer ID]],Table2[#All],6,FALSE)</f>
        <v>Yes</v>
      </c>
      <c r="H1417">
        <f>VLOOKUP(Table2[[#This Row],[Customer ID]],Table2[#All],7,FALSE)</f>
        <v>1</v>
      </c>
      <c r="I1417" t="str">
        <f>VLOOKUP(Table2[[#This Row],[Customer ID]],Table2[#All],8,FALSE)</f>
        <v>No</v>
      </c>
      <c r="J1417" t="str">
        <f>VLOOKUP(Table2[[#This Row],[Customer ID]],Table2[#All],9,FALSE)</f>
        <v>Overweight</v>
      </c>
      <c r="K1417" t="str">
        <f>VLOOKUP(Table2[[#This Row],[Customer ID]],Table2[#All],10,FALSE)</f>
        <v>Prediabetes</v>
      </c>
    </row>
    <row r="1418" spans="1:11" ht="15.6" x14ac:dyDescent="0.3">
      <c r="A1418" s="1" t="s">
        <v>954</v>
      </c>
      <c r="B1418" t="str">
        <f>VLOOKUP('Customer Names'!A1418,'Customer Names'!$A$1:$E$2336,4,FALSE)</f>
        <v>Ms.  Lindsay M</v>
      </c>
      <c r="C1418">
        <f>VLOOKUP(Table2[[#This Row],[Customer ID]],Table2[#All],2,FALSE)</f>
        <v>39.43</v>
      </c>
      <c r="D1418">
        <f>VLOOKUP(Table2[[#This Row],[Customer ID]],Table2[#All],3,FALSE)</f>
        <v>6.1</v>
      </c>
      <c r="E1418" t="str">
        <f>VLOOKUP(Table2[[#This Row],[Customer ID]],Table2[#All],4,FALSE)</f>
        <v>Yes</v>
      </c>
      <c r="F1418" t="str">
        <f>VLOOKUP(Table2[[#This Row],[Customer ID]],Table2[#All],5,FALSE)</f>
        <v>No</v>
      </c>
      <c r="G1418" t="str">
        <f>VLOOKUP(Table2[[#This Row],[Customer ID]],Table2[#All],6,FALSE)</f>
        <v>Yes</v>
      </c>
      <c r="H1418">
        <f>VLOOKUP(Table2[[#This Row],[Customer ID]],Table2[#All],7,FALSE)</f>
        <v>1</v>
      </c>
      <c r="I1418" t="str">
        <f>VLOOKUP(Table2[[#This Row],[Customer ID]],Table2[#All],8,FALSE)</f>
        <v>No</v>
      </c>
      <c r="J1418" t="str">
        <f>VLOOKUP(Table2[[#This Row],[Customer ID]],Table2[#All],9,FALSE)</f>
        <v>Obesity</v>
      </c>
      <c r="K1418" t="str">
        <f>VLOOKUP(Table2[[#This Row],[Customer ID]],Table2[#All],10,FALSE)</f>
        <v>Prediabetes</v>
      </c>
    </row>
    <row r="1419" spans="1:11" ht="15.6" x14ac:dyDescent="0.3">
      <c r="A1419" s="1" t="s">
        <v>953</v>
      </c>
      <c r="B1419" t="str">
        <f>VLOOKUP('Customer Names'!A1419,'Customer Names'!$A$1:$E$2336,4,FALSE)</f>
        <v>Mrs.  Amanda</v>
      </c>
      <c r="C1419">
        <f>VLOOKUP(Table2[[#This Row],[Customer ID]],Table2[#All],2,FALSE)</f>
        <v>27.34</v>
      </c>
      <c r="D1419">
        <f>VLOOKUP(Table2[[#This Row],[Customer ID]],Table2[#All],3,FALSE)</f>
        <v>5.19</v>
      </c>
      <c r="E1419" t="str">
        <f>VLOOKUP(Table2[[#This Row],[Customer ID]],Table2[#All],4,FALSE)</f>
        <v>Yes</v>
      </c>
      <c r="F1419" t="str">
        <f>VLOOKUP(Table2[[#This Row],[Customer ID]],Table2[#All],5,FALSE)</f>
        <v>No</v>
      </c>
      <c r="G1419" t="str">
        <f>VLOOKUP(Table2[[#This Row],[Customer ID]],Table2[#All],6,FALSE)</f>
        <v>No</v>
      </c>
      <c r="H1419">
        <f>VLOOKUP(Table2[[#This Row],[Customer ID]],Table2[#All],7,FALSE)</f>
        <v>1</v>
      </c>
      <c r="I1419" t="str">
        <f>VLOOKUP(Table2[[#This Row],[Customer ID]],Table2[#All],8,FALSE)</f>
        <v>No</v>
      </c>
      <c r="J1419" t="str">
        <f>VLOOKUP(Table2[[#This Row],[Customer ID]],Table2[#All],9,FALSE)</f>
        <v>Overweight</v>
      </c>
      <c r="K1419" t="str">
        <f>VLOOKUP(Table2[[#This Row],[Customer ID]],Table2[#All],10,FALSE)</f>
        <v>Normal</v>
      </c>
    </row>
    <row r="1420" spans="1:11" ht="15.6" x14ac:dyDescent="0.3">
      <c r="A1420" s="1" t="s">
        <v>952</v>
      </c>
      <c r="B1420" t="str">
        <f>VLOOKUP('Customer Names'!A1420,'Customer Names'!$A$1:$E$2336,4,FALSE)</f>
        <v>Mr.  James</v>
      </c>
      <c r="C1420">
        <f>VLOOKUP(Table2[[#This Row],[Customer ID]],Table2[#All],2,FALSE)</f>
        <v>39.01</v>
      </c>
      <c r="D1420">
        <f>VLOOKUP(Table2[[#This Row],[Customer ID]],Table2[#All],3,FALSE)</f>
        <v>5.37</v>
      </c>
      <c r="E1420" t="str">
        <f>VLOOKUP(Table2[[#This Row],[Customer ID]],Table2[#All],4,FALSE)</f>
        <v>Yes</v>
      </c>
      <c r="F1420" t="str">
        <f>VLOOKUP(Table2[[#This Row],[Customer ID]],Table2[#All],5,FALSE)</f>
        <v>No</v>
      </c>
      <c r="G1420" t="str">
        <f>VLOOKUP(Table2[[#This Row],[Customer ID]],Table2[#All],6,FALSE)</f>
        <v>No</v>
      </c>
      <c r="H1420">
        <f>VLOOKUP(Table2[[#This Row],[Customer ID]],Table2[#All],7,FALSE)</f>
        <v>0</v>
      </c>
      <c r="I1420" t="str">
        <f>VLOOKUP(Table2[[#This Row],[Customer ID]],Table2[#All],8,FALSE)</f>
        <v>No</v>
      </c>
      <c r="J1420" t="str">
        <f>VLOOKUP(Table2[[#This Row],[Customer ID]],Table2[#All],9,FALSE)</f>
        <v>Obesity</v>
      </c>
      <c r="K1420" t="str">
        <f>VLOOKUP(Table2[[#This Row],[Customer ID]],Table2[#All],10,FALSE)</f>
        <v>Normal</v>
      </c>
    </row>
    <row r="1421" spans="1:11" ht="15.6" x14ac:dyDescent="0.3">
      <c r="A1421" s="1" t="s">
        <v>951</v>
      </c>
      <c r="B1421" t="str">
        <f>VLOOKUP('Customer Names'!A1421,'Customer Names'!$A$1:$E$2336,4,FALSE)</f>
        <v>Mr.  Samuel H.</v>
      </c>
      <c r="C1421">
        <f>VLOOKUP(Table2[[#This Row],[Customer ID]],Table2[#All],2,FALSE)</f>
        <v>18.989999999999998</v>
      </c>
      <c r="D1421">
        <f>VLOOKUP(Table2[[#This Row],[Customer ID]],Table2[#All],3,FALSE)</f>
        <v>10.82</v>
      </c>
      <c r="E1421" t="str">
        <f>VLOOKUP(Table2[[#This Row],[Customer ID]],Table2[#All],4,FALSE)</f>
        <v>Yes</v>
      </c>
      <c r="F1421" t="str">
        <f>VLOOKUP(Table2[[#This Row],[Customer ID]],Table2[#All],5,FALSE)</f>
        <v>No</v>
      </c>
      <c r="G1421" t="str">
        <f>VLOOKUP(Table2[[#This Row],[Customer ID]],Table2[#All],6,FALSE)</f>
        <v>No</v>
      </c>
      <c r="H1421">
        <f>VLOOKUP(Table2[[#This Row],[Customer ID]],Table2[#All],7,FALSE)</f>
        <v>0</v>
      </c>
      <c r="I1421" t="str">
        <f>VLOOKUP(Table2[[#This Row],[Customer ID]],Table2[#All],8,FALSE)</f>
        <v>No</v>
      </c>
      <c r="J1421" t="str">
        <f>VLOOKUP(Table2[[#This Row],[Customer ID]],Table2[#All],9,FALSE)</f>
        <v>Normalweight</v>
      </c>
      <c r="K1421" t="str">
        <f>VLOOKUP(Table2[[#This Row],[Customer ID]],Table2[#All],10,FALSE)</f>
        <v>Diabetes</v>
      </c>
    </row>
    <row r="1422" spans="1:11" ht="15.6" x14ac:dyDescent="0.3">
      <c r="A1422" s="1" t="s">
        <v>950</v>
      </c>
      <c r="B1422" t="str">
        <f>VLOOKUP('Customer Names'!A1422,'Customer Names'!$A$1:$E$2336,4,FALSE)</f>
        <v>Ms.  Jenni</v>
      </c>
      <c r="C1422">
        <f>VLOOKUP(Table2[[#This Row],[Customer ID]],Table2[#All],2,FALSE)</f>
        <v>42.3</v>
      </c>
      <c r="D1422">
        <f>VLOOKUP(Table2[[#This Row],[Customer ID]],Table2[#All],3,FALSE)</f>
        <v>6.06</v>
      </c>
      <c r="E1422" t="str">
        <f>VLOOKUP(Table2[[#This Row],[Customer ID]],Table2[#All],4,FALSE)</f>
        <v>Yes</v>
      </c>
      <c r="F1422" t="str">
        <f>VLOOKUP(Table2[[#This Row],[Customer ID]],Table2[#All],5,FALSE)</f>
        <v>No</v>
      </c>
      <c r="G1422" t="str">
        <f>VLOOKUP(Table2[[#This Row],[Customer ID]],Table2[#All],6,FALSE)</f>
        <v>No</v>
      </c>
      <c r="H1422">
        <f>VLOOKUP(Table2[[#This Row],[Customer ID]],Table2[#All],7,FALSE)</f>
        <v>0</v>
      </c>
      <c r="I1422" t="str">
        <f>VLOOKUP(Table2[[#This Row],[Customer ID]],Table2[#All],8,FALSE)</f>
        <v>No</v>
      </c>
      <c r="J1422" t="str">
        <f>VLOOKUP(Table2[[#This Row],[Customer ID]],Table2[#All],9,FALSE)</f>
        <v>Obesity</v>
      </c>
      <c r="K1422" t="str">
        <f>VLOOKUP(Table2[[#This Row],[Customer ID]],Table2[#All],10,FALSE)</f>
        <v>Prediabetes</v>
      </c>
    </row>
    <row r="1423" spans="1:11" ht="15.6" x14ac:dyDescent="0.3">
      <c r="A1423" s="1" t="s">
        <v>949</v>
      </c>
      <c r="B1423" t="str">
        <f>VLOOKUP('Customer Names'!A1423,'Customer Names'!$A$1:$E$2336,4,FALSE)</f>
        <v>Mr.  Estuardo F</v>
      </c>
      <c r="C1423">
        <f>VLOOKUP(Table2[[#This Row],[Customer ID]],Table2[#All],2,FALSE)</f>
        <v>39.805</v>
      </c>
      <c r="D1423">
        <f>VLOOKUP(Table2[[#This Row],[Customer ID]],Table2[#All],3,FALSE)</f>
        <v>5.91</v>
      </c>
      <c r="E1423" t="str">
        <f>VLOOKUP(Table2[[#This Row],[Customer ID]],Table2[#All],4,FALSE)</f>
        <v>No</v>
      </c>
      <c r="F1423" t="str">
        <f>VLOOKUP(Table2[[#This Row],[Customer ID]],Table2[#All],5,FALSE)</f>
        <v>No</v>
      </c>
      <c r="G1423" t="str">
        <f>VLOOKUP(Table2[[#This Row],[Customer ID]],Table2[#All],6,FALSE)</f>
        <v>No</v>
      </c>
      <c r="H1423">
        <f>VLOOKUP(Table2[[#This Row],[Customer ID]],Table2[#All],7,FALSE)</f>
        <v>0</v>
      </c>
      <c r="I1423" t="str">
        <f>VLOOKUP(Table2[[#This Row],[Customer ID]],Table2[#All],8,FALSE)</f>
        <v>No</v>
      </c>
      <c r="J1423" t="str">
        <f>VLOOKUP(Table2[[#This Row],[Customer ID]],Table2[#All],9,FALSE)</f>
        <v>Obesity</v>
      </c>
      <c r="K1423" t="str">
        <f>VLOOKUP(Table2[[#This Row],[Customer ID]],Table2[#All],10,FALSE)</f>
        <v>Prediabetes</v>
      </c>
    </row>
    <row r="1424" spans="1:11" ht="15.6" x14ac:dyDescent="0.3">
      <c r="A1424" s="1" t="s">
        <v>948</v>
      </c>
      <c r="B1424" t="str">
        <f>VLOOKUP('Customer Names'!A1424,'Customer Names'!$A$1:$E$2336,4,FALSE)</f>
        <v>Mr.  Brett</v>
      </c>
      <c r="C1424">
        <f>VLOOKUP(Table2[[#This Row],[Customer ID]],Table2[#All],2,FALSE)</f>
        <v>33.700000000000003</v>
      </c>
      <c r="D1424">
        <f>VLOOKUP(Table2[[#This Row],[Customer ID]],Table2[#All],3,FALSE)</f>
        <v>5.87</v>
      </c>
      <c r="E1424" t="str">
        <f>VLOOKUP(Table2[[#This Row],[Customer ID]],Table2[#All],4,FALSE)</f>
        <v>No</v>
      </c>
      <c r="F1424" t="str">
        <f>VLOOKUP(Table2[[#This Row],[Customer ID]],Table2[#All],5,FALSE)</f>
        <v>No</v>
      </c>
      <c r="G1424" t="str">
        <f>VLOOKUP(Table2[[#This Row],[Customer ID]],Table2[#All],6,FALSE)</f>
        <v>No</v>
      </c>
      <c r="H1424">
        <f>VLOOKUP(Table2[[#This Row],[Customer ID]],Table2[#All],7,FALSE)</f>
        <v>0</v>
      </c>
      <c r="I1424" t="str">
        <f>VLOOKUP(Table2[[#This Row],[Customer ID]],Table2[#All],8,FALSE)</f>
        <v>No</v>
      </c>
      <c r="J1424" t="str">
        <f>VLOOKUP(Table2[[#This Row],[Customer ID]],Table2[#All],9,FALSE)</f>
        <v>Obesity</v>
      </c>
      <c r="K1424" t="str">
        <f>VLOOKUP(Table2[[#This Row],[Customer ID]],Table2[#All],10,FALSE)</f>
        <v>Prediabetes</v>
      </c>
    </row>
    <row r="1425" spans="1:11" ht="15.6" x14ac:dyDescent="0.3">
      <c r="A1425" s="1" t="s">
        <v>947</v>
      </c>
      <c r="B1425" t="str">
        <f>VLOOKUP('Customer Names'!A1425,'Customer Names'!$A$1:$E$2336,4,FALSE)</f>
        <v>Ms.  Sharon E.</v>
      </c>
      <c r="C1425">
        <f>VLOOKUP(Table2[[#This Row],[Customer ID]],Table2[#All],2,FALSE)</f>
        <v>36.195</v>
      </c>
      <c r="D1425">
        <f>VLOOKUP(Table2[[#This Row],[Customer ID]],Table2[#All],3,FALSE)</f>
        <v>6.22</v>
      </c>
      <c r="E1425" t="str">
        <f>VLOOKUP(Table2[[#This Row],[Customer ID]],Table2[#All],4,FALSE)</f>
        <v>No</v>
      </c>
      <c r="F1425" t="str">
        <f>VLOOKUP(Table2[[#This Row],[Customer ID]],Table2[#All],5,FALSE)</f>
        <v>No</v>
      </c>
      <c r="G1425" t="str">
        <f>VLOOKUP(Table2[[#This Row],[Customer ID]],Table2[#All],6,FALSE)</f>
        <v>No</v>
      </c>
      <c r="H1425">
        <f>VLOOKUP(Table2[[#This Row],[Customer ID]],Table2[#All],7,FALSE)</f>
        <v>0</v>
      </c>
      <c r="I1425" t="str">
        <f>VLOOKUP(Table2[[#This Row],[Customer ID]],Table2[#All],8,FALSE)</f>
        <v>No</v>
      </c>
      <c r="J1425" t="str">
        <f>VLOOKUP(Table2[[#This Row],[Customer ID]],Table2[#All],9,FALSE)</f>
        <v>Obesity</v>
      </c>
      <c r="K1425" t="str">
        <f>VLOOKUP(Table2[[#This Row],[Customer ID]],Table2[#All],10,FALSE)</f>
        <v>Prediabetes</v>
      </c>
    </row>
    <row r="1426" spans="1:11" ht="15.6" x14ac:dyDescent="0.3">
      <c r="A1426" s="1" t="s">
        <v>946</v>
      </c>
      <c r="B1426" t="str">
        <f>VLOOKUP('Customer Names'!A1426,'Customer Names'!$A$1:$E$2336,4,FALSE)</f>
        <v>Mr.  Jacob W√¶ver</v>
      </c>
      <c r="C1426">
        <f>VLOOKUP(Table2[[#This Row],[Customer ID]],Table2[#All],2,FALSE)</f>
        <v>32.6</v>
      </c>
      <c r="D1426">
        <f>VLOOKUP(Table2[[#This Row],[Customer ID]],Table2[#All],3,FALSE)</f>
        <v>5.73</v>
      </c>
      <c r="E1426" t="str">
        <f>VLOOKUP(Table2[[#This Row],[Customer ID]],Table2[#All],4,FALSE)</f>
        <v>No</v>
      </c>
      <c r="F1426" t="str">
        <f>VLOOKUP(Table2[[#This Row],[Customer ID]],Table2[#All],5,FALSE)</f>
        <v>No</v>
      </c>
      <c r="G1426" t="str">
        <f>VLOOKUP(Table2[[#This Row],[Customer ID]],Table2[#All],6,FALSE)</f>
        <v>Yes</v>
      </c>
      <c r="H1426">
        <f>VLOOKUP(Table2[[#This Row],[Customer ID]],Table2[#All],7,FALSE)</f>
        <v>1</v>
      </c>
      <c r="I1426" t="str">
        <f>VLOOKUP(Table2[[#This Row],[Customer ID]],Table2[#All],8,FALSE)</f>
        <v>No</v>
      </c>
      <c r="J1426" t="str">
        <f>VLOOKUP(Table2[[#This Row],[Customer ID]],Table2[#All],9,FALSE)</f>
        <v>Obesity</v>
      </c>
      <c r="K1426" t="str">
        <f>VLOOKUP(Table2[[#This Row],[Customer ID]],Table2[#All],10,FALSE)</f>
        <v>Prediabetes</v>
      </c>
    </row>
    <row r="1427" spans="1:11" ht="15.6" x14ac:dyDescent="0.3">
      <c r="A1427" s="1" t="s">
        <v>945</v>
      </c>
      <c r="B1427" t="str">
        <f>VLOOKUP('Customer Names'!A1427,'Customer Names'!$A$1:$E$2336,4,FALSE)</f>
        <v>Mr.  Scott</v>
      </c>
      <c r="C1427">
        <f>VLOOKUP(Table2[[#This Row],[Customer ID]],Table2[#All],2,FALSE)</f>
        <v>30.2</v>
      </c>
      <c r="D1427">
        <f>VLOOKUP(Table2[[#This Row],[Customer ID]],Table2[#All],3,FALSE)</f>
        <v>5.7</v>
      </c>
      <c r="E1427" t="str">
        <f>VLOOKUP(Table2[[#This Row],[Customer ID]],Table2[#All],4,FALSE)</f>
        <v>No</v>
      </c>
      <c r="F1427" t="str">
        <f>VLOOKUP(Table2[[#This Row],[Customer ID]],Table2[#All],5,FALSE)</f>
        <v>No</v>
      </c>
      <c r="G1427" t="str">
        <f>VLOOKUP(Table2[[#This Row],[Customer ID]],Table2[#All],6,FALSE)</f>
        <v>No</v>
      </c>
      <c r="H1427">
        <f>VLOOKUP(Table2[[#This Row],[Customer ID]],Table2[#All],7,FALSE)</f>
        <v>0</v>
      </c>
      <c r="I1427" t="str">
        <f>VLOOKUP(Table2[[#This Row],[Customer ID]],Table2[#All],8,FALSE)</f>
        <v>No</v>
      </c>
      <c r="J1427" t="str">
        <f>VLOOKUP(Table2[[#This Row],[Customer ID]],Table2[#All],9,FALSE)</f>
        <v>Obesity</v>
      </c>
      <c r="K1427" t="str">
        <f>VLOOKUP(Table2[[#This Row],[Customer ID]],Table2[#All],10,FALSE)</f>
        <v>Prediabetes</v>
      </c>
    </row>
    <row r="1428" spans="1:11" ht="15.6" x14ac:dyDescent="0.3">
      <c r="A1428" s="1" t="s">
        <v>944</v>
      </c>
      <c r="B1428" t="str">
        <f>VLOOKUP('Customer Names'!A1428,'Customer Names'!$A$1:$E$2336,4,FALSE)</f>
        <v>Ms.  Brooke S.</v>
      </c>
      <c r="C1428">
        <f>VLOOKUP(Table2[[#This Row],[Customer ID]],Table2[#All],2,FALSE)</f>
        <v>27.645</v>
      </c>
      <c r="D1428">
        <f>VLOOKUP(Table2[[#This Row],[Customer ID]],Table2[#All],3,FALSE)</f>
        <v>9.91</v>
      </c>
      <c r="E1428" t="str">
        <f>VLOOKUP(Table2[[#This Row],[Customer ID]],Table2[#All],4,FALSE)</f>
        <v>No</v>
      </c>
      <c r="F1428" t="str">
        <f>VLOOKUP(Table2[[#This Row],[Customer ID]],Table2[#All],5,FALSE)</f>
        <v>No</v>
      </c>
      <c r="G1428" t="str">
        <f>VLOOKUP(Table2[[#This Row],[Customer ID]],Table2[#All],6,FALSE)</f>
        <v>No</v>
      </c>
      <c r="H1428">
        <f>VLOOKUP(Table2[[#This Row],[Customer ID]],Table2[#All],7,FALSE)</f>
        <v>0</v>
      </c>
      <c r="I1428" t="str">
        <f>VLOOKUP(Table2[[#This Row],[Customer ID]],Table2[#All],8,FALSE)</f>
        <v>No</v>
      </c>
      <c r="J1428" t="str">
        <f>VLOOKUP(Table2[[#This Row],[Customer ID]],Table2[#All],9,FALSE)</f>
        <v>Overweight</v>
      </c>
      <c r="K1428" t="str">
        <f>VLOOKUP(Table2[[#This Row],[Customer ID]],Table2[#All],10,FALSE)</f>
        <v>Diabetes</v>
      </c>
    </row>
    <row r="1429" spans="1:11" ht="15.6" x14ac:dyDescent="0.3">
      <c r="A1429" s="1" t="s">
        <v>943</v>
      </c>
      <c r="B1429" t="str">
        <f>VLOOKUP('Customer Names'!A1429,'Customer Names'!$A$1:$E$2336,4,FALSE)</f>
        <v>Ms.  Kaye A.</v>
      </c>
      <c r="C1429">
        <f>VLOOKUP(Table2[[#This Row],[Customer ID]],Table2[#All],2,FALSE)</f>
        <v>26.41</v>
      </c>
      <c r="D1429">
        <f>VLOOKUP(Table2[[#This Row],[Customer ID]],Table2[#All],3,FALSE)</f>
        <v>11.4</v>
      </c>
      <c r="E1429" t="str">
        <f>VLOOKUP(Table2[[#This Row],[Customer ID]],Table2[#All],4,FALSE)</f>
        <v>No</v>
      </c>
      <c r="F1429" t="str">
        <f>VLOOKUP(Table2[[#This Row],[Customer ID]],Table2[#All],5,FALSE)</f>
        <v>No</v>
      </c>
      <c r="G1429" t="str">
        <f>VLOOKUP(Table2[[#This Row],[Customer ID]],Table2[#All],6,FALSE)</f>
        <v>No</v>
      </c>
      <c r="H1429">
        <f>VLOOKUP(Table2[[#This Row],[Customer ID]],Table2[#All],7,FALSE)</f>
        <v>0</v>
      </c>
      <c r="I1429" t="str">
        <f>VLOOKUP(Table2[[#This Row],[Customer ID]],Table2[#All],8,FALSE)</f>
        <v>No</v>
      </c>
      <c r="J1429" t="str">
        <f>VLOOKUP(Table2[[#This Row],[Customer ID]],Table2[#All],9,FALSE)</f>
        <v>Overweight</v>
      </c>
      <c r="K1429" t="str">
        <f>VLOOKUP(Table2[[#This Row],[Customer ID]],Table2[#All],10,FALSE)</f>
        <v>Diabetes</v>
      </c>
    </row>
    <row r="1430" spans="1:11" ht="15.6" x14ac:dyDescent="0.3">
      <c r="A1430" s="1" t="s">
        <v>942</v>
      </c>
      <c r="B1430" t="str">
        <f>VLOOKUP('Customer Names'!A1430,'Customer Names'!$A$1:$E$2336,4,FALSE)</f>
        <v>Ms.  Carolyn</v>
      </c>
      <c r="C1430">
        <f>VLOOKUP(Table2[[#This Row],[Customer ID]],Table2[#All],2,FALSE)</f>
        <v>34.1</v>
      </c>
      <c r="D1430">
        <f>VLOOKUP(Table2[[#This Row],[Customer ID]],Table2[#All],3,FALSE)</f>
        <v>6.29</v>
      </c>
      <c r="E1430" t="str">
        <f>VLOOKUP(Table2[[#This Row],[Customer ID]],Table2[#All],4,FALSE)</f>
        <v>Yes</v>
      </c>
      <c r="F1430" t="str">
        <f>VLOOKUP(Table2[[#This Row],[Customer ID]],Table2[#All],5,FALSE)</f>
        <v>No</v>
      </c>
      <c r="G1430" t="str">
        <f>VLOOKUP(Table2[[#This Row],[Customer ID]],Table2[#All],6,FALSE)</f>
        <v>Yes</v>
      </c>
      <c r="H1430">
        <f>VLOOKUP(Table2[[#This Row],[Customer ID]],Table2[#All],7,FALSE)</f>
        <v>1</v>
      </c>
      <c r="I1430" t="str">
        <f>VLOOKUP(Table2[[#This Row],[Customer ID]],Table2[#All],8,FALSE)</f>
        <v>No</v>
      </c>
      <c r="J1430" t="str">
        <f>VLOOKUP(Table2[[#This Row],[Customer ID]],Table2[#All],9,FALSE)</f>
        <v>Obesity</v>
      </c>
      <c r="K1430" t="str">
        <f>VLOOKUP(Table2[[#This Row],[Customer ID]],Table2[#All],10,FALSE)</f>
        <v>Prediabetes</v>
      </c>
    </row>
    <row r="1431" spans="1:11" ht="15.6" x14ac:dyDescent="0.3">
      <c r="A1431" s="1" t="s">
        <v>941</v>
      </c>
      <c r="B1431" t="str">
        <f>VLOOKUP('Customer Names'!A1431,'Customer Names'!$A$1:$E$2336,4,FALSE)</f>
        <v>Mr.  Daniel C.</v>
      </c>
      <c r="C1431">
        <f>VLOOKUP(Table2[[#This Row],[Customer ID]],Table2[#All],2,FALSE)</f>
        <v>17.3</v>
      </c>
      <c r="D1431">
        <f>VLOOKUP(Table2[[#This Row],[Customer ID]],Table2[#All],3,FALSE)</f>
        <v>9.2799999999999994</v>
      </c>
      <c r="E1431" t="str">
        <f>VLOOKUP(Table2[[#This Row],[Customer ID]],Table2[#All],4,FALSE)</f>
        <v>No</v>
      </c>
      <c r="F1431" t="str">
        <f>VLOOKUP(Table2[[#This Row],[Customer ID]],Table2[#All],5,FALSE)</f>
        <v>No</v>
      </c>
      <c r="G1431" t="str">
        <f>VLOOKUP(Table2[[#This Row],[Customer ID]],Table2[#All],6,FALSE)</f>
        <v>No</v>
      </c>
      <c r="H1431">
        <f>VLOOKUP(Table2[[#This Row],[Customer ID]],Table2[#All],7,FALSE)</f>
        <v>0</v>
      </c>
      <c r="I1431" t="str">
        <f>VLOOKUP(Table2[[#This Row],[Customer ID]],Table2[#All],8,FALSE)</f>
        <v>No</v>
      </c>
      <c r="J1431" t="str">
        <f>VLOOKUP(Table2[[#This Row],[Customer ID]],Table2[#All],9,FALSE)</f>
        <v>Underweight</v>
      </c>
      <c r="K1431" t="str">
        <f>VLOOKUP(Table2[[#This Row],[Customer ID]],Table2[#All],10,FALSE)</f>
        <v>Diabetes</v>
      </c>
    </row>
    <row r="1432" spans="1:11" ht="15.6" x14ac:dyDescent="0.3">
      <c r="A1432" s="1" t="s">
        <v>940</v>
      </c>
      <c r="B1432" t="str">
        <f>VLOOKUP('Customer Names'!A1432,'Customer Names'!$A$1:$E$2336,4,FALSE)</f>
        <v>Mrs.  Laurie A</v>
      </c>
      <c r="C1432">
        <f>VLOOKUP(Table2[[#This Row],[Customer ID]],Table2[#All],2,FALSE)</f>
        <v>35.020000000000003</v>
      </c>
      <c r="D1432">
        <f>VLOOKUP(Table2[[#This Row],[Customer ID]],Table2[#All],3,FALSE)</f>
        <v>4.78</v>
      </c>
      <c r="E1432" t="str">
        <f>VLOOKUP(Table2[[#This Row],[Customer ID]],Table2[#All],4,FALSE)</f>
        <v>No</v>
      </c>
      <c r="F1432" t="str">
        <f>VLOOKUP(Table2[[#This Row],[Customer ID]],Table2[#All],5,FALSE)</f>
        <v>No</v>
      </c>
      <c r="G1432" t="str">
        <f>VLOOKUP(Table2[[#This Row],[Customer ID]],Table2[#All],6,FALSE)</f>
        <v>Yes</v>
      </c>
      <c r="H1432">
        <f>VLOOKUP(Table2[[#This Row],[Customer ID]],Table2[#All],7,FALSE)</f>
        <v>1</v>
      </c>
      <c r="I1432" t="str">
        <f>VLOOKUP(Table2[[#This Row],[Customer ID]],Table2[#All],8,FALSE)</f>
        <v>No</v>
      </c>
      <c r="J1432" t="str">
        <f>VLOOKUP(Table2[[#This Row],[Customer ID]],Table2[#All],9,FALSE)</f>
        <v>Obesity</v>
      </c>
      <c r="K1432" t="str">
        <f>VLOOKUP(Table2[[#This Row],[Customer ID]],Table2[#All],10,FALSE)</f>
        <v>Normal</v>
      </c>
    </row>
    <row r="1433" spans="1:11" ht="15.6" x14ac:dyDescent="0.3">
      <c r="A1433" s="1" t="s">
        <v>939</v>
      </c>
      <c r="B1433" t="str">
        <f>VLOOKUP('Customer Names'!A1433,'Customer Names'!$A$1:$E$2336,4,FALSE)</f>
        <v>Ms.  Nicole</v>
      </c>
      <c r="C1433">
        <f>VLOOKUP(Table2[[#This Row],[Customer ID]],Table2[#All],2,FALSE)</f>
        <v>37.1</v>
      </c>
      <c r="D1433">
        <f>VLOOKUP(Table2[[#This Row],[Customer ID]],Table2[#All],3,FALSE)</f>
        <v>8.8699999999999992</v>
      </c>
      <c r="E1433" t="str">
        <f>VLOOKUP(Table2[[#This Row],[Customer ID]],Table2[#All],4,FALSE)</f>
        <v>Yes</v>
      </c>
      <c r="F1433" t="str">
        <f>VLOOKUP(Table2[[#This Row],[Customer ID]],Table2[#All],5,FALSE)</f>
        <v>No</v>
      </c>
      <c r="G1433" t="str">
        <f>VLOOKUP(Table2[[#This Row],[Customer ID]],Table2[#All],6,FALSE)</f>
        <v>No</v>
      </c>
      <c r="H1433">
        <f>VLOOKUP(Table2[[#This Row],[Customer ID]],Table2[#All],7,FALSE)</f>
        <v>0</v>
      </c>
      <c r="I1433" t="str">
        <f>VLOOKUP(Table2[[#This Row],[Customer ID]],Table2[#All],8,FALSE)</f>
        <v>No</v>
      </c>
      <c r="J1433" t="str">
        <f>VLOOKUP(Table2[[#This Row],[Customer ID]],Table2[#All],9,FALSE)</f>
        <v>Obesity</v>
      </c>
      <c r="K1433" t="str">
        <f>VLOOKUP(Table2[[#This Row],[Customer ID]],Table2[#All],10,FALSE)</f>
        <v>Diabetes</v>
      </c>
    </row>
    <row r="1434" spans="1:11" ht="15.6" x14ac:dyDescent="0.3">
      <c r="A1434" s="1" t="s">
        <v>938</v>
      </c>
      <c r="B1434" t="str">
        <f>VLOOKUP('Customer Names'!A1434,'Customer Names'!$A$1:$E$2336,4,FALSE)</f>
        <v>Ms.  Shelby</v>
      </c>
      <c r="C1434">
        <f>VLOOKUP(Table2[[#This Row],[Customer ID]],Table2[#All],2,FALSE)</f>
        <v>16.79</v>
      </c>
      <c r="D1434">
        <f>VLOOKUP(Table2[[#This Row],[Customer ID]],Table2[#All],3,FALSE)</f>
        <v>11.4</v>
      </c>
      <c r="E1434" t="str">
        <f>VLOOKUP(Table2[[#This Row],[Customer ID]],Table2[#All],4,FALSE)</f>
        <v>No</v>
      </c>
      <c r="F1434" t="str">
        <f>VLOOKUP(Table2[[#This Row],[Customer ID]],Table2[#All],5,FALSE)</f>
        <v>No</v>
      </c>
      <c r="G1434" t="str">
        <f>VLOOKUP(Table2[[#This Row],[Customer ID]],Table2[#All],6,FALSE)</f>
        <v>No</v>
      </c>
      <c r="H1434">
        <f>VLOOKUP(Table2[[#This Row],[Customer ID]],Table2[#All],7,FALSE)</f>
        <v>0</v>
      </c>
      <c r="I1434" t="str">
        <f>VLOOKUP(Table2[[#This Row],[Customer ID]],Table2[#All],8,FALSE)</f>
        <v>No</v>
      </c>
      <c r="J1434" t="str">
        <f>VLOOKUP(Table2[[#This Row],[Customer ID]],Table2[#All],9,FALSE)</f>
        <v>Underweight</v>
      </c>
      <c r="K1434" t="str">
        <f>VLOOKUP(Table2[[#This Row],[Customer ID]],Table2[#All],10,FALSE)</f>
        <v>Diabetes</v>
      </c>
    </row>
    <row r="1435" spans="1:11" ht="15.6" x14ac:dyDescent="0.3">
      <c r="A1435" s="1" t="s">
        <v>937</v>
      </c>
      <c r="B1435" t="str">
        <f>VLOOKUP('Customer Names'!A1435,'Customer Names'!$A$1:$E$2336,4,FALSE)</f>
        <v>Ms.  Allison</v>
      </c>
      <c r="C1435">
        <f>VLOOKUP(Table2[[#This Row],[Customer ID]],Table2[#All],2,FALSE)</f>
        <v>31.635000000000002</v>
      </c>
      <c r="D1435">
        <f>VLOOKUP(Table2[[#This Row],[Customer ID]],Table2[#All],3,FALSE)</f>
        <v>9.1300000000000008</v>
      </c>
      <c r="E1435" t="str">
        <f>VLOOKUP(Table2[[#This Row],[Customer ID]],Table2[#All],4,FALSE)</f>
        <v>Yes</v>
      </c>
      <c r="F1435" t="str">
        <f>VLOOKUP(Table2[[#This Row],[Customer ID]],Table2[#All],5,FALSE)</f>
        <v>No</v>
      </c>
      <c r="G1435" t="str">
        <f>VLOOKUP(Table2[[#This Row],[Customer ID]],Table2[#All],6,FALSE)</f>
        <v>No</v>
      </c>
      <c r="H1435">
        <f>VLOOKUP(Table2[[#This Row],[Customer ID]],Table2[#All],7,FALSE)</f>
        <v>0</v>
      </c>
      <c r="I1435" t="str">
        <f>VLOOKUP(Table2[[#This Row],[Customer ID]],Table2[#All],8,FALSE)</f>
        <v>No</v>
      </c>
      <c r="J1435" t="str">
        <f>VLOOKUP(Table2[[#This Row],[Customer ID]],Table2[#All],9,FALSE)</f>
        <v>Obesity</v>
      </c>
      <c r="K1435" t="str">
        <f>VLOOKUP(Table2[[#This Row],[Customer ID]],Table2[#All],10,FALSE)</f>
        <v>Diabetes</v>
      </c>
    </row>
    <row r="1436" spans="1:11" ht="15.6" x14ac:dyDescent="0.3">
      <c r="A1436" s="1" t="s">
        <v>936</v>
      </c>
      <c r="B1436" t="str">
        <f>VLOOKUP('Customer Names'!A1436,'Customer Names'!$A$1:$E$2336,4,FALSE)</f>
        <v>Ms.  Leticia</v>
      </c>
      <c r="C1436">
        <f>VLOOKUP(Table2[[#This Row],[Customer ID]],Table2[#All],2,FALSE)</f>
        <v>24.19</v>
      </c>
      <c r="D1436">
        <f>VLOOKUP(Table2[[#This Row],[Customer ID]],Table2[#All],3,FALSE)</f>
        <v>6.22</v>
      </c>
      <c r="E1436" t="str">
        <f>VLOOKUP(Table2[[#This Row],[Customer ID]],Table2[#All],4,FALSE)</f>
        <v>Yes</v>
      </c>
      <c r="F1436" t="str">
        <f>VLOOKUP(Table2[[#This Row],[Customer ID]],Table2[#All],5,FALSE)</f>
        <v>No</v>
      </c>
      <c r="G1436" t="str">
        <f>VLOOKUP(Table2[[#This Row],[Customer ID]],Table2[#All],6,FALSE)</f>
        <v>Yes</v>
      </c>
      <c r="H1436">
        <f>VLOOKUP(Table2[[#This Row],[Customer ID]],Table2[#All],7,FALSE)</f>
        <v>1</v>
      </c>
      <c r="I1436" t="str">
        <f>VLOOKUP(Table2[[#This Row],[Customer ID]],Table2[#All],8,FALSE)</f>
        <v>No</v>
      </c>
      <c r="J1436" t="str">
        <f>VLOOKUP(Table2[[#This Row],[Customer ID]],Table2[#All],9,FALSE)</f>
        <v>Normalweight</v>
      </c>
      <c r="K1436" t="str">
        <f>VLOOKUP(Table2[[#This Row],[Customer ID]],Table2[#All],10,FALSE)</f>
        <v>Prediabetes</v>
      </c>
    </row>
    <row r="1437" spans="1:11" ht="15.6" x14ac:dyDescent="0.3">
      <c r="A1437" s="1" t="s">
        <v>935</v>
      </c>
      <c r="B1437" t="str">
        <f>VLOOKUP('Customer Names'!A1437,'Customer Names'!$A$1:$E$2336,4,FALSE)</f>
        <v>Mr.  John S.</v>
      </c>
      <c r="C1437">
        <f>VLOOKUP(Table2[[#This Row],[Customer ID]],Table2[#All],2,FALSE)</f>
        <v>35.29</v>
      </c>
      <c r="D1437">
        <f>VLOOKUP(Table2[[#This Row],[Customer ID]],Table2[#All],3,FALSE)</f>
        <v>5.9</v>
      </c>
      <c r="E1437" t="str">
        <f>VLOOKUP(Table2[[#This Row],[Customer ID]],Table2[#All],4,FALSE)</f>
        <v>No</v>
      </c>
      <c r="F1437" t="str">
        <f>VLOOKUP(Table2[[#This Row],[Customer ID]],Table2[#All],5,FALSE)</f>
        <v>No</v>
      </c>
      <c r="G1437" t="str">
        <f>VLOOKUP(Table2[[#This Row],[Customer ID]],Table2[#All],6,FALSE)</f>
        <v>Yes</v>
      </c>
      <c r="H1437">
        <f>VLOOKUP(Table2[[#This Row],[Customer ID]],Table2[#All],7,FALSE)</f>
        <v>1</v>
      </c>
      <c r="I1437" t="str">
        <f>VLOOKUP(Table2[[#This Row],[Customer ID]],Table2[#All],8,FALSE)</f>
        <v>No</v>
      </c>
      <c r="J1437" t="str">
        <f>VLOOKUP(Table2[[#This Row],[Customer ID]],Table2[#All],9,FALSE)</f>
        <v>Obesity</v>
      </c>
      <c r="K1437" t="str">
        <f>VLOOKUP(Table2[[#This Row],[Customer ID]],Table2[#All],10,FALSE)</f>
        <v>Prediabetes</v>
      </c>
    </row>
    <row r="1438" spans="1:11" ht="15.6" x14ac:dyDescent="0.3">
      <c r="A1438" s="1" t="s">
        <v>934</v>
      </c>
      <c r="B1438" t="str">
        <f>VLOOKUP('Customer Names'!A1438,'Customer Names'!$A$1:$E$2336,4,FALSE)</f>
        <v>Ms.  April</v>
      </c>
      <c r="C1438">
        <f>VLOOKUP(Table2[[#This Row],[Customer ID]],Table2[#All],2,FALSE)</f>
        <v>35.299999999999997</v>
      </c>
      <c r="D1438">
        <f>VLOOKUP(Table2[[#This Row],[Customer ID]],Table2[#All],3,FALSE)</f>
        <v>4.45</v>
      </c>
      <c r="E1438" t="str">
        <f>VLOOKUP(Table2[[#This Row],[Customer ID]],Table2[#All],4,FALSE)</f>
        <v>No</v>
      </c>
      <c r="F1438" t="str">
        <f>VLOOKUP(Table2[[#This Row],[Customer ID]],Table2[#All],5,FALSE)</f>
        <v>No</v>
      </c>
      <c r="G1438" t="str">
        <f>VLOOKUP(Table2[[#This Row],[Customer ID]],Table2[#All],6,FALSE)</f>
        <v>No</v>
      </c>
      <c r="H1438">
        <f>VLOOKUP(Table2[[#This Row],[Customer ID]],Table2[#All],7,FALSE)</f>
        <v>0</v>
      </c>
      <c r="I1438" t="str">
        <f>VLOOKUP(Table2[[#This Row],[Customer ID]],Table2[#All],8,FALSE)</f>
        <v>No</v>
      </c>
      <c r="J1438" t="str">
        <f>VLOOKUP(Table2[[#This Row],[Customer ID]],Table2[#All],9,FALSE)</f>
        <v>Obesity</v>
      </c>
      <c r="K1438" t="str">
        <f>VLOOKUP(Table2[[#This Row],[Customer ID]],Table2[#All],10,FALSE)</f>
        <v>Normal</v>
      </c>
    </row>
    <row r="1439" spans="1:11" ht="15.6" x14ac:dyDescent="0.3">
      <c r="A1439" s="1" t="s">
        <v>933</v>
      </c>
      <c r="B1439" t="str">
        <f>VLOOKUP('Customer Names'!A1439,'Customer Names'!$A$1:$E$2336,4,FALSE)</f>
        <v>Ms.  Ashley N.</v>
      </c>
      <c r="C1439">
        <f>VLOOKUP(Table2[[#This Row],[Customer ID]],Table2[#All],2,FALSE)</f>
        <v>35.64</v>
      </c>
      <c r="D1439">
        <f>VLOOKUP(Table2[[#This Row],[Customer ID]],Table2[#All],3,FALSE)</f>
        <v>6.17</v>
      </c>
      <c r="E1439" t="str">
        <f>VLOOKUP(Table2[[#This Row],[Customer ID]],Table2[#All],4,FALSE)</f>
        <v>No</v>
      </c>
      <c r="F1439" t="str">
        <f>VLOOKUP(Table2[[#This Row],[Customer ID]],Table2[#All],5,FALSE)</f>
        <v>No</v>
      </c>
      <c r="G1439" t="str">
        <f>VLOOKUP(Table2[[#This Row],[Customer ID]],Table2[#All],6,FALSE)</f>
        <v>Yes</v>
      </c>
      <c r="H1439">
        <f>VLOOKUP(Table2[[#This Row],[Customer ID]],Table2[#All],7,FALSE)</f>
        <v>1</v>
      </c>
      <c r="I1439" t="str">
        <f>VLOOKUP(Table2[[#This Row],[Customer ID]],Table2[#All],8,FALSE)</f>
        <v>No</v>
      </c>
      <c r="J1439" t="str">
        <f>VLOOKUP(Table2[[#This Row],[Customer ID]],Table2[#All],9,FALSE)</f>
        <v>Obesity</v>
      </c>
      <c r="K1439" t="str">
        <f>VLOOKUP(Table2[[#This Row],[Customer ID]],Table2[#All],10,FALSE)</f>
        <v>Prediabetes</v>
      </c>
    </row>
    <row r="1440" spans="1:11" ht="15.6" x14ac:dyDescent="0.3">
      <c r="A1440" s="1" t="s">
        <v>932</v>
      </c>
      <c r="B1440" t="str">
        <f>VLOOKUP('Customer Names'!A1440,'Customer Names'!$A$1:$E$2336,4,FALSE)</f>
        <v>Ms.  Madeleine</v>
      </c>
      <c r="C1440">
        <f>VLOOKUP(Table2[[#This Row],[Customer ID]],Table2[#All],2,FALSE)</f>
        <v>33.1</v>
      </c>
      <c r="D1440">
        <f>VLOOKUP(Table2[[#This Row],[Customer ID]],Table2[#All],3,FALSE)</f>
        <v>4.93</v>
      </c>
      <c r="E1440" t="str">
        <f>VLOOKUP(Table2[[#This Row],[Customer ID]],Table2[#All],4,FALSE)</f>
        <v>No</v>
      </c>
      <c r="F1440" t="str">
        <f>VLOOKUP(Table2[[#This Row],[Customer ID]],Table2[#All],5,FALSE)</f>
        <v>No</v>
      </c>
      <c r="G1440" t="str">
        <f>VLOOKUP(Table2[[#This Row],[Customer ID]],Table2[#All],6,FALSE)</f>
        <v>No</v>
      </c>
      <c r="H1440">
        <f>VLOOKUP(Table2[[#This Row],[Customer ID]],Table2[#All],7,FALSE)</f>
        <v>0</v>
      </c>
      <c r="I1440" t="str">
        <f>VLOOKUP(Table2[[#This Row],[Customer ID]],Table2[#All],8,FALSE)</f>
        <v>No</v>
      </c>
      <c r="J1440" t="str">
        <f>VLOOKUP(Table2[[#This Row],[Customer ID]],Table2[#All],9,FALSE)</f>
        <v>Obesity</v>
      </c>
      <c r="K1440" t="str">
        <f>VLOOKUP(Table2[[#This Row],[Customer ID]],Table2[#All],10,FALSE)</f>
        <v>Normal</v>
      </c>
    </row>
    <row r="1441" spans="1:11" ht="15.6" x14ac:dyDescent="0.3">
      <c r="A1441" s="1" t="s">
        <v>931</v>
      </c>
      <c r="B1441" t="str">
        <f>VLOOKUP('Customer Names'!A1441,'Customer Names'!$A$1:$E$2336,4,FALSE)</f>
        <v>Ms.  Nelly S</v>
      </c>
      <c r="C1441">
        <f>VLOOKUP(Table2[[#This Row],[Customer ID]],Table2[#All],2,FALSE)</f>
        <v>26.41</v>
      </c>
      <c r="D1441">
        <f>VLOOKUP(Table2[[#This Row],[Customer ID]],Table2[#All],3,FALSE)</f>
        <v>7.32</v>
      </c>
      <c r="E1441" t="str">
        <f>VLOOKUP(Table2[[#This Row],[Customer ID]],Table2[#All],4,FALSE)</f>
        <v>Yes</v>
      </c>
      <c r="F1441" t="str">
        <f>VLOOKUP(Table2[[#This Row],[Customer ID]],Table2[#All],5,FALSE)</f>
        <v>No</v>
      </c>
      <c r="G1441" t="str">
        <f>VLOOKUP(Table2[[#This Row],[Customer ID]],Table2[#All],6,FALSE)</f>
        <v>No</v>
      </c>
      <c r="H1441">
        <f>VLOOKUP(Table2[[#This Row],[Customer ID]],Table2[#All],7,FALSE)</f>
        <v>1</v>
      </c>
      <c r="I1441" t="str">
        <f>VLOOKUP(Table2[[#This Row],[Customer ID]],Table2[#All],8,FALSE)</f>
        <v>No</v>
      </c>
      <c r="J1441" t="str">
        <f>VLOOKUP(Table2[[#This Row],[Customer ID]],Table2[#All],9,FALSE)</f>
        <v>Overweight</v>
      </c>
      <c r="K1441" t="str">
        <f>VLOOKUP(Table2[[#This Row],[Customer ID]],Table2[#All],10,FALSE)</f>
        <v>Diabetes</v>
      </c>
    </row>
    <row r="1442" spans="1:11" ht="15.6" x14ac:dyDescent="0.3">
      <c r="A1442" s="1" t="s">
        <v>930</v>
      </c>
      <c r="B1442" t="str">
        <f>VLOOKUP('Customer Names'!A1442,'Customer Names'!$A$1:$E$2336,4,FALSE)</f>
        <v>Ms.  Meredith S</v>
      </c>
      <c r="C1442">
        <f>VLOOKUP(Table2[[#This Row],[Customer ID]],Table2[#All],2,FALSE)</f>
        <v>29.9</v>
      </c>
      <c r="D1442">
        <f>VLOOKUP(Table2[[#This Row],[Customer ID]],Table2[#All],3,FALSE)</f>
        <v>5.27</v>
      </c>
      <c r="E1442" t="str">
        <f>VLOOKUP(Table2[[#This Row],[Customer ID]],Table2[#All],4,FALSE)</f>
        <v>No</v>
      </c>
      <c r="F1442" t="str">
        <f>VLOOKUP(Table2[[#This Row],[Customer ID]],Table2[#All],5,FALSE)</f>
        <v>No</v>
      </c>
      <c r="G1442" t="str">
        <f>VLOOKUP(Table2[[#This Row],[Customer ID]],Table2[#All],6,FALSE)</f>
        <v>Yes</v>
      </c>
      <c r="H1442">
        <f>VLOOKUP(Table2[[#This Row],[Customer ID]],Table2[#All],7,FALSE)</f>
        <v>1</v>
      </c>
      <c r="I1442" t="str">
        <f>VLOOKUP(Table2[[#This Row],[Customer ID]],Table2[#All],8,FALSE)</f>
        <v>No</v>
      </c>
      <c r="J1442" t="str">
        <f>VLOOKUP(Table2[[#This Row],[Customer ID]],Table2[#All],9,FALSE)</f>
        <v>Overweight</v>
      </c>
      <c r="K1442" t="str">
        <f>VLOOKUP(Table2[[#This Row],[Customer ID]],Table2[#All],10,FALSE)</f>
        <v>Normal</v>
      </c>
    </row>
    <row r="1443" spans="1:11" ht="15.6" x14ac:dyDescent="0.3">
      <c r="A1443" s="1" t="s">
        <v>929</v>
      </c>
      <c r="B1443" t="str">
        <f>VLOOKUP('Customer Names'!A1443,'Customer Names'!$A$1:$E$2336,4,FALSE)</f>
        <v>Mr.  Kevin</v>
      </c>
      <c r="C1443">
        <f>VLOOKUP(Table2[[#This Row],[Customer ID]],Table2[#All],2,FALSE)</f>
        <v>25.24</v>
      </c>
      <c r="D1443">
        <f>VLOOKUP(Table2[[#This Row],[Customer ID]],Table2[#All],3,FALSE)</f>
        <v>5.82</v>
      </c>
      <c r="E1443" t="str">
        <f>VLOOKUP(Table2[[#This Row],[Customer ID]],Table2[#All],4,FALSE)</f>
        <v>No</v>
      </c>
      <c r="F1443" t="str">
        <f>VLOOKUP(Table2[[#This Row],[Customer ID]],Table2[#All],5,FALSE)</f>
        <v>No</v>
      </c>
      <c r="G1443" t="str">
        <f>VLOOKUP(Table2[[#This Row],[Customer ID]],Table2[#All],6,FALSE)</f>
        <v>No</v>
      </c>
      <c r="H1443">
        <f>VLOOKUP(Table2[[#This Row],[Customer ID]],Table2[#All],7,FALSE)</f>
        <v>1</v>
      </c>
      <c r="I1443" t="str">
        <f>VLOOKUP(Table2[[#This Row],[Customer ID]],Table2[#All],8,FALSE)</f>
        <v>No</v>
      </c>
      <c r="J1443" t="str">
        <f>VLOOKUP(Table2[[#This Row],[Customer ID]],Table2[#All],9,FALSE)</f>
        <v>Overweight</v>
      </c>
      <c r="K1443" t="str">
        <f>VLOOKUP(Table2[[#This Row],[Customer ID]],Table2[#All],10,FALSE)</f>
        <v>Prediabetes</v>
      </c>
    </row>
    <row r="1444" spans="1:11" ht="15.6" x14ac:dyDescent="0.3">
      <c r="A1444" s="1" t="s">
        <v>928</v>
      </c>
      <c r="B1444" t="str">
        <f>VLOOKUP('Customer Names'!A1444,'Customer Names'!$A$1:$E$2336,4,FALSE)</f>
        <v>Ms.  Lisa</v>
      </c>
      <c r="C1444">
        <f>VLOOKUP(Table2[[#This Row],[Customer ID]],Table2[#All],2,FALSE)</f>
        <v>25.08</v>
      </c>
      <c r="D1444">
        <f>VLOOKUP(Table2[[#This Row],[Customer ID]],Table2[#All],3,FALSE)</f>
        <v>5.8</v>
      </c>
      <c r="E1444" t="str">
        <f>VLOOKUP(Table2[[#This Row],[Customer ID]],Table2[#All],4,FALSE)</f>
        <v>No</v>
      </c>
      <c r="F1444" t="str">
        <f>VLOOKUP(Table2[[#This Row],[Customer ID]],Table2[#All],5,FALSE)</f>
        <v>No</v>
      </c>
      <c r="G1444" t="str">
        <f>VLOOKUP(Table2[[#This Row],[Customer ID]],Table2[#All],6,FALSE)</f>
        <v>Yes</v>
      </c>
      <c r="H1444">
        <f>VLOOKUP(Table2[[#This Row],[Customer ID]],Table2[#All],7,FALSE)</f>
        <v>1</v>
      </c>
      <c r="I1444" t="str">
        <f>VLOOKUP(Table2[[#This Row],[Customer ID]],Table2[#All],8,FALSE)</f>
        <v>No</v>
      </c>
      <c r="J1444" t="str">
        <f>VLOOKUP(Table2[[#This Row],[Customer ID]],Table2[#All],9,FALSE)</f>
        <v>Overweight</v>
      </c>
      <c r="K1444" t="str">
        <f>VLOOKUP(Table2[[#This Row],[Customer ID]],Table2[#All],10,FALSE)</f>
        <v>Prediabetes</v>
      </c>
    </row>
    <row r="1445" spans="1:11" ht="15.6" x14ac:dyDescent="0.3">
      <c r="A1445" s="1" t="s">
        <v>927</v>
      </c>
      <c r="B1445" t="str">
        <f>VLOOKUP('Customer Names'!A1445,'Customer Names'!$A$1:$E$2336,4,FALSE)</f>
        <v>Ms.  Katherine A</v>
      </c>
      <c r="C1445">
        <f>VLOOKUP(Table2[[#This Row],[Customer ID]],Table2[#All],2,FALSE)</f>
        <v>29.164999999999999</v>
      </c>
      <c r="D1445">
        <f>VLOOKUP(Table2[[#This Row],[Customer ID]],Table2[#All],3,FALSE)</f>
        <v>4.87</v>
      </c>
      <c r="E1445" t="str">
        <f>VLOOKUP(Table2[[#This Row],[Customer ID]],Table2[#All],4,FALSE)</f>
        <v>No</v>
      </c>
      <c r="F1445" t="str">
        <f>VLOOKUP(Table2[[#This Row],[Customer ID]],Table2[#All],5,FALSE)</f>
        <v>yes</v>
      </c>
      <c r="G1445" t="str">
        <f>VLOOKUP(Table2[[#This Row],[Customer ID]],Table2[#All],6,FALSE)</f>
        <v>No</v>
      </c>
      <c r="H1445">
        <f>VLOOKUP(Table2[[#This Row],[Customer ID]],Table2[#All],7,FALSE)</f>
        <v>1</v>
      </c>
      <c r="I1445" t="str">
        <f>VLOOKUP(Table2[[#This Row],[Customer ID]],Table2[#All],8,FALSE)</f>
        <v>No</v>
      </c>
      <c r="J1445" t="str">
        <f>VLOOKUP(Table2[[#This Row],[Customer ID]],Table2[#All],9,FALSE)</f>
        <v>Overweight</v>
      </c>
      <c r="K1445" t="str">
        <f>VLOOKUP(Table2[[#This Row],[Customer ID]],Table2[#All],10,FALSE)</f>
        <v>Normal</v>
      </c>
    </row>
    <row r="1446" spans="1:11" ht="15.6" x14ac:dyDescent="0.3">
      <c r="A1446" s="1" t="s">
        <v>926</v>
      </c>
      <c r="B1446" t="str">
        <f>VLOOKUP('Customer Names'!A1446,'Customer Names'!$A$1:$E$2336,4,FALSE)</f>
        <v>Mr.  Steve</v>
      </c>
      <c r="C1446">
        <f>VLOOKUP(Table2[[#This Row],[Customer ID]],Table2[#All],2,FALSE)</f>
        <v>15.05</v>
      </c>
      <c r="D1446">
        <f>VLOOKUP(Table2[[#This Row],[Customer ID]],Table2[#All],3,FALSE)</f>
        <v>8.1199999999999992</v>
      </c>
      <c r="E1446" t="str">
        <f>VLOOKUP(Table2[[#This Row],[Customer ID]],Table2[#All],4,FALSE)</f>
        <v>No</v>
      </c>
      <c r="F1446" t="str">
        <f>VLOOKUP(Table2[[#This Row],[Customer ID]],Table2[#All],5,FALSE)</f>
        <v>No</v>
      </c>
      <c r="G1446" t="str">
        <f>VLOOKUP(Table2[[#This Row],[Customer ID]],Table2[#All],6,FALSE)</f>
        <v>No</v>
      </c>
      <c r="H1446">
        <f>VLOOKUP(Table2[[#This Row],[Customer ID]],Table2[#All],7,FALSE)</f>
        <v>0</v>
      </c>
      <c r="I1446" t="str">
        <f>VLOOKUP(Table2[[#This Row],[Customer ID]],Table2[#All],8,FALSE)</f>
        <v>No</v>
      </c>
      <c r="J1446" t="str">
        <f>VLOOKUP(Table2[[#This Row],[Customer ID]],Table2[#All],9,FALSE)</f>
        <v>Underweight</v>
      </c>
      <c r="K1446" t="str">
        <f>VLOOKUP(Table2[[#This Row],[Customer ID]],Table2[#All],10,FALSE)</f>
        <v>Diabetes</v>
      </c>
    </row>
    <row r="1447" spans="1:11" ht="15.6" x14ac:dyDescent="0.3">
      <c r="A1447" s="1" t="s">
        <v>925</v>
      </c>
      <c r="B1447" t="str">
        <f>VLOOKUP('Customer Names'!A1447,'Customer Names'!$A$1:$E$2336,4,FALSE)</f>
        <v>Ms.  Kate L.</v>
      </c>
      <c r="C1447">
        <f>VLOOKUP(Table2[[#This Row],[Customer ID]],Table2[#All],2,FALSE)</f>
        <v>19.95</v>
      </c>
      <c r="D1447">
        <f>VLOOKUP(Table2[[#This Row],[Customer ID]],Table2[#All],3,FALSE)</f>
        <v>4.3600000000000003</v>
      </c>
      <c r="E1447" t="str">
        <f>VLOOKUP(Table2[[#This Row],[Customer ID]],Table2[#All],4,FALSE)</f>
        <v>No</v>
      </c>
      <c r="F1447" t="str">
        <f>VLOOKUP(Table2[[#This Row],[Customer ID]],Table2[#All],5,FALSE)</f>
        <v>No</v>
      </c>
      <c r="G1447" t="str">
        <f>VLOOKUP(Table2[[#This Row],[Customer ID]],Table2[#All],6,FALSE)</f>
        <v>No</v>
      </c>
      <c r="H1447">
        <f>VLOOKUP(Table2[[#This Row],[Customer ID]],Table2[#All],7,FALSE)</f>
        <v>2</v>
      </c>
      <c r="I1447" t="str">
        <f>VLOOKUP(Table2[[#This Row],[Customer ID]],Table2[#All],8,FALSE)</f>
        <v>No</v>
      </c>
      <c r="J1447" t="str">
        <f>VLOOKUP(Table2[[#This Row],[Customer ID]],Table2[#All],9,FALSE)</f>
        <v>Normalweight</v>
      </c>
      <c r="K1447" t="str">
        <f>VLOOKUP(Table2[[#This Row],[Customer ID]],Table2[#All],10,FALSE)</f>
        <v>Normal</v>
      </c>
    </row>
    <row r="1448" spans="1:11" ht="15.6" x14ac:dyDescent="0.3">
      <c r="A1448" s="1" t="s">
        <v>924</v>
      </c>
      <c r="B1448" t="str">
        <f>VLOOKUP('Customer Names'!A1448,'Customer Names'!$A$1:$E$2336,4,FALSE)</f>
        <v>Ms.  Beth</v>
      </c>
      <c r="C1448">
        <f>VLOOKUP(Table2[[#This Row],[Customer ID]],Table2[#All],2,FALSE)</f>
        <v>16.66</v>
      </c>
      <c r="D1448">
        <f>VLOOKUP(Table2[[#This Row],[Customer ID]],Table2[#All],3,FALSE)</f>
        <v>9.16</v>
      </c>
      <c r="E1448" t="str">
        <f>VLOOKUP(Table2[[#This Row],[Customer ID]],Table2[#All],4,FALSE)</f>
        <v>No</v>
      </c>
      <c r="F1448" t="str">
        <f>VLOOKUP(Table2[[#This Row],[Customer ID]],Table2[#All],5,FALSE)</f>
        <v>No</v>
      </c>
      <c r="G1448" t="str">
        <f>VLOOKUP(Table2[[#This Row],[Customer ID]],Table2[#All],6,FALSE)</f>
        <v>No</v>
      </c>
      <c r="H1448">
        <f>VLOOKUP(Table2[[#This Row],[Customer ID]],Table2[#All],7,FALSE)</f>
        <v>0</v>
      </c>
      <c r="I1448" t="str">
        <f>VLOOKUP(Table2[[#This Row],[Customer ID]],Table2[#All],8,FALSE)</f>
        <v>No</v>
      </c>
      <c r="J1448" t="str">
        <f>VLOOKUP(Table2[[#This Row],[Customer ID]],Table2[#All],9,FALSE)</f>
        <v>Underweight</v>
      </c>
      <c r="K1448" t="str">
        <f>VLOOKUP(Table2[[#This Row],[Customer ID]],Table2[#All],10,FALSE)</f>
        <v>Diabetes</v>
      </c>
    </row>
    <row r="1449" spans="1:11" ht="15.6" x14ac:dyDescent="0.3">
      <c r="A1449" s="1" t="s">
        <v>923</v>
      </c>
      <c r="B1449" t="str">
        <f>VLOOKUP('Customer Names'!A1449,'Customer Names'!$A$1:$E$2336,4,FALSE)</f>
        <v>Ms.  Katharine</v>
      </c>
      <c r="C1449">
        <f>VLOOKUP(Table2[[#This Row],[Customer ID]],Table2[#All],2,FALSE)</f>
        <v>16.62</v>
      </c>
      <c r="D1449">
        <f>VLOOKUP(Table2[[#This Row],[Customer ID]],Table2[#All],3,FALSE)</f>
        <v>9.14</v>
      </c>
      <c r="E1449" t="str">
        <f>VLOOKUP(Table2[[#This Row],[Customer ID]],Table2[#All],4,FALSE)</f>
        <v>No</v>
      </c>
      <c r="F1449" t="str">
        <f>VLOOKUP(Table2[[#This Row],[Customer ID]],Table2[#All],5,FALSE)</f>
        <v>No</v>
      </c>
      <c r="G1449" t="str">
        <f>VLOOKUP(Table2[[#This Row],[Customer ID]],Table2[#All],6,FALSE)</f>
        <v>No</v>
      </c>
      <c r="H1449">
        <f>VLOOKUP(Table2[[#This Row],[Customer ID]],Table2[#All],7,FALSE)</f>
        <v>0</v>
      </c>
      <c r="I1449" t="str">
        <f>VLOOKUP(Table2[[#This Row],[Customer ID]],Table2[#All],8,FALSE)</f>
        <v>No</v>
      </c>
      <c r="J1449" t="str">
        <f>VLOOKUP(Table2[[#This Row],[Customer ID]],Table2[#All],9,FALSE)</f>
        <v>Underweight</v>
      </c>
      <c r="K1449" t="str">
        <f>VLOOKUP(Table2[[#This Row],[Customer ID]],Table2[#All],10,FALSE)</f>
        <v>Diabetes</v>
      </c>
    </row>
    <row r="1450" spans="1:11" ht="15.6" x14ac:dyDescent="0.3">
      <c r="A1450" s="1" t="s">
        <v>922</v>
      </c>
      <c r="B1450" t="str">
        <f>VLOOKUP('Customer Names'!A1450,'Customer Names'!$A$1:$E$2336,4,FALSE)</f>
        <v>Ms.  Heather L</v>
      </c>
      <c r="C1450">
        <f>VLOOKUP(Table2[[#This Row],[Customer ID]],Table2[#All],2,FALSE)</f>
        <v>15.36</v>
      </c>
      <c r="D1450">
        <f>VLOOKUP(Table2[[#This Row],[Customer ID]],Table2[#All],3,FALSE)</f>
        <v>5.49</v>
      </c>
      <c r="E1450" t="str">
        <f>VLOOKUP(Table2[[#This Row],[Customer ID]],Table2[#All],4,FALSE)</f>
        <v>Yes</v>
      </c>
      <c r="F1450" t="str">
        <f>VLOOKUP(Table2[[#This Row],[Customer ID]],Table2[#All],5,FALSE)</f>
        <v>No</v>
      </c>
      <c r="G1450" t="str">
        <f>VLOOKUP(Table2[[#This Row],[Customer ID]],Table2[#All],6,FALSE)</f>
        <v>No</v>
      </c>
      <c r="H1450">
        <f>VLOOKUP(Table2[[#This Row],[Customer ID]],Table2[#All],7,FALSE)</f>
        <v>2</v>
      </c>
      <c r="I1450" t="str">
        <f>VLOOKUP(Table2[[#This Row],[Customer ID]],Table2[#All],8,FALSE)</f>
        <v>No</v>
      </c>
      <c r="J1450" t="str">
        <f>VLOOKUP(Table2[[#This Row],[Customer ID]],Table2[#All],9,FALSE)</f>
        <v>Underweight</v>
      </c>
      <c r="K1450" t="str">
        <f>VLOOKUP(Table2[[#This Row],[Customer ID]],Table2[#All],10,FALSE)</f>
        <v>Normal</v>
      </c>
    </row>
    <row r="1451" spans="1:11" ht="15.6" x14ac:dyDescent="0.3">
      <c r="A1451" s="1" t="s">
        <v>921</v>
      </c>
      <c r="B1451" t="str">
        <f>VLOOKUP('Customer Names'!A1451,'Customer Names'!$A$1:$E$2336,4,FALSE)</f>
        <v>Ms.  Desiree</v>
      </c>
      <c r="C1451">
        <f>VLOOKUP(Table2[[#This Row],[Customer ID]],Table2[#All],2,FALSE)</f>
        <v>27.74</v>
      </c>
      <c r="D1451">
        <f>VLOOKUP(Table2[[#This Row],[Customer ID]],Table2[#All],3,FALSE)</f>
        <v>5.96</v>
      </c>
      <c r="E1451" t="str">
        <f>VLOOKUP(Table2[[#This Row],[Customer ID]],Table2[#All],4,FALSE)</f>
        <v>Yes</v>
      </c>
      <c r="F1451" t="str">
        <f>VLOOKUP(Table2[[#This Row],[Customer ID]],Table2[#All],5,FALSE)</f>
        <v>No</v>
      </c>
      <c r="G1451" t="str">
        <f>VLOOKUP(Table2[[#This Row],[Customer ID]],Table2[#All],6,FALSE)</f>
        <v>No</v>
      </c>
      <c r="H1451">
        <f>VLOOKUP(Table2[[#This Row],[Customer ID]],Table2[#All],7,FALSE)</f>
        <v>0</v>
      </c>
      <c r="I1451" t="str">
        <f>VLOOKUP(Table2[[#This Row],[Customer ID]],Table2[#All],8,FALSE)</f>
        <v>No</v>
      </c>
      <c r="J1451" t="str">
        <f>VLOOKUP(Table2[[#This Row],[Customer ID]],Table2[#All],9,FALSE)</f>
        <v>Overweight</v>
      </c>
      <c r="K1451" t="str">
        <f>VLOOKUP(Table2[[#This Row],[Customer ID]],Table2[#All],10,FALSE)</f>
        <v>Prediabetes</v>
      </c>
    </row>
    <row r="1452" spans="1:11" ht="15.6" x14ac:dyDescent="0.3">
      <c r="A1452" s="1" t="s">
        <v>920</v>
      </c>
      <c r="B1452" t="str">
        <f>VLOOKUP('Customer Names'!A1452,'Customer Names'!$A$1:$E$2336,4,FALSE)</f>
        <v>Mr.  Peter B.</v>
      </c>
      <c r="C1452">
        <f>VLOOKUP(Table2[[#This Row],[Customer ID]],Table2[#All],2,FALSE)</f>
        <v>22.44</v>
      </c>
      <c r="D1452">
        <f>VLOOKUP(Table2[[#This Row],[Customer ID]],Table2[#All],3,FALSE)</f>
        <v>4.62</v>
      </c>
      <c r="E1452" t="str">
        <f>VLOOKUP(Table2[[#This Row],[Customer ID]],Table2[#All],4,FALSE)</f>
        <v>Yes</v>
      </c>
      <c r="F1452" t="str">
        <f>VLOOKUP(Table2[[#This Row],[Customer ID]],Table2[#All],5,FALSE)</f>
        <v>No</v>
      </c>
      <c r="G1452" t="str">
        <f>VLOOKUP(Table2[[#This Row],[Customer ID]],Table2[#All],6,FALSE)</f>
        <v>No</v>
      </c>
      <c r="H1452">
        <f>VLOOKUP(Table2[[#This Row],[Customer ID]],Table2[#All],7,FALSE)</f>
        <v>0</v>
      </c>
      <c r="I1452" t="str">
        <f>VLOOKUP(Table2[[#This Row],[Customer ID]],Table2[#All],8,FALSE)</f>
        <v>No</v>
      </c>
      <c r="J1452" t="str">
        <f>VLOOKUP(Table2[[#This Row],[Customer ID]],Table2[#All],9,FALSE)</f>
        <v>Normalweight</v>
      </c>
      <c r="K1452" t="str">
        <f>VLOOKUP(Table2[[#This Row],[Customer ID]],Table2[#All],10,FALSE)</f>
        <v>Normal</v>
      </c>
    </row>
    <row r="1453" spans="1:11" ht="15.6" x14ac:dyDescent="0.3">
      <c r="A1453" s="1" t="s">
        <v>919</v>
      </c>
      <c r="B1453" t="str">
        <f>VLOOKUP('Customer Names'!A1453,'Customer Names'!$A$1:$E$2336,4,FALSE)</f>
        <v>Mr.  Adam</v>
      </c>
      <c r="C1453">
        <f>VLOOKUP(Table2[[#This Row],[Customer ID]],Table2[#All],2,FALSE)</f>
        <v>37.049999999999997</v>
      </c>
      <c r="D1453">
        <f>VLOOKUP(Table2[[#This Row],[Customer ID]],Table2[#All],3,FALSE)</f>
        <v>9.9600000000000009</v>
      </c>
      <c r="E1453" t="str">
        <f>VLOOKUP(Table2[[#This Row],[Customer ID]],Table2[#All],4,FALSE)</f>
        <v>Yes</v>
      </c>
      <c r="F1453" t="str">
        <f>VLOOKUP(Table2[[#This Row],[Customer ID]],Table2[#All],5,FALSE)</f>
        <v>No</v>
      </c>
      <c r="G1453" t="str">
        <f>VLOOKUP(Table2[[#This Row],[Customer ID]],Table2[#All],6,FALSE)</f>
        <v>No</v>
      </c>
      <c r="H1453">
        <f>VLOOKUP(Table2[[#This Row],[Customer ID]],Table2[#All],7,FALSE)</f>
        <v>0</v>
      </c>
      <c r="I1453" t="str">
        <f>VLOOKUP(Table2[[#This Row],[Customer ID]],Table2[#All],8,FALSE)</f>
        <v>No</v>
      </c>
      <c r="J1453" t="str">
        <f>VLOOKUP(Table2[[#This Row],[Customer ID]],Table2[#All],9,FALSE)</f>
        <v>Obesity</v>
      </c>
      <c r="K1453" t="str">
        <f>VLOOKUP(Table2[[#This Row],[Customer ID]],Table2[#All],10,FALSE)</f>
        <v>Diabetes</v>
      </c>
    </row>
    <row r="1454" spans="1:11" ht="15.6" x14ac:dyDescent="0.3">
      <c r="A1454" s="1" t="s">
        <v>918</v>
      </c>
      <c r="B1454" t="str">
        <f>VLOOKUP('Customer Names'!A1454,'Customer Names'!$A$1:$E$2336,4,FALSE)</f>
        <v>Mr.  Jeremy J</v>
      </c>
      <c r="C1454">
        <f>VLOOKUP(Table2[[#This Row],[Customer ID]],Table2[#All],2,FALSE)</f>
        <v>22.95</v>
      </c>
      <c r="D1454">
        <f>VLOOKUP(Table2[[#This Row],[Customer ID]],Table2[#All],3,FALSE)</f>
        <v>10.53</v>
      </c>
      <c r="E1454" t="str">
        <f>VLOOKUP(Table2[[#This Row],[Customer ID]],Table2[#All],4,FALSE)</f>
        <v>No</v>
      </c>
      <c r="F1454" t="str">
        <f>VLOOKUP(Table2[[#This Row],[Customer ID]],Table2[#All],5,FALSE)</f>
        <v>No</v>
      </c>
      <c r="G1454" t="str">
        <f>VLOOKUP(Table2[[#This Row],[Customer ID]],Table2[#All],6,FALSE)</f>
        <v>No</v>
      </c>
      <c r="H1454">
        <f>VLOOKUP(Table2[[#This Row],[Customer ID]],Table2[#All],7,FALSE)</f>
        <v>2</v>
      </c>
      <c r="I1454" t="str">
        <f>VLOOKUP(Table2[[#This Row],[Customer ID]],Table2[#All],8,FALSE)</f>
        <v>No</v>
      </c>
      <c r="J1454" t="str">
        <f>VLOOKUP(Table2[[#This Row],[Customer ID]],Table2[#All],9,FALSE)</f>
        <v>Normalweight</v>
      </c>
      <c r="K1454" t="str">
        <f>VLOOKUP(Table2[[#This Row],[Customer ID]],Table2[#All],10,FALSE)</f>
        <v>Diabetes</v>
      </c>
    </row>
    <row r="1455" spans="1:11" ht="15.6" x14ac:dyDescent="0.3">
      <c r="A1455" s="1" t="s">
        <v>917</v>
      </c>
      <c r="B1455" t="str">
        <f>VLOOKUP('Customer Names'!A1455,'Customer Names'!$A$1:$E$2336,4,FALSE)</f>
        <v>Mr.  Adam C</v>
      </c>
      <c r="C1455">
        <f>VLOOKUP(Table2[[#This Row],[Customer ID]],Table2[#All],2,FALSE)</f>
        <v>34.200000000000003</v>
      </c>
      <c r="D1455">
        <f>VLOOKUP(Table2[[#This Row],[Customer ID]],Table2[#All],3,FALSE)</f>
        <v>6.69</v>
      </c>
      <c r="E1455" t="str">
        <f>VLOOKUP(Table2[[#This Row],[Customer ID]],Table2[#All],4,FALSE)</f>
        <v>Yes</v>
      </c>
      <c r="F1455" t="str">
        <f>VLOOKUP(Table2[[#This Row],[Customer ID]],Table2[#All],5,FALSE)</f>
        <v>No</v>
      </c>
      <c r="G1455" t="str">
        <f>VLOOKUP(Table2[[#This Row],[Customer ID]],Table2[#All],6,FALSE)</f>
        <v>No</v>
      </c>
      <c r="H1455">
        <f>VLOOKUP(Table2[[#This Row],[Customer ID]],Table2[#All],7,FALSE)</f>
        <v>0</v>
      </c>
      <c r="I1455" t="str">
        <f>VLOOKUP(Table2[[#This Row],[Customer ID]],Table2[#All],8,FALSE)</f>
        <v>No</v>
      </c>
      <c r="J1455" t="str">
        <f>VLOOKUP(Table2[[#This Row],[Customer ID]],Table2[#All],9,FALSE)</f>
        <v>Obesity</v>
      </c>
      <c r="K1455" t="str">
        <f>VLOOKUP(Table2[[#This Row],[Customer ID]],Table2[#All],10,FALSE)</f>
        <v>Diabetes</v>
      </c>
    </row>
    <row r="1456" spans="1:11" ht="15.6" x14ac:dyDescent="0.3">
      <c r="A1456" s="1" t="s">
        <v>916</v>
      </c>
      <c r="B1456" t="str">
        <f>VLOOKUP('Customer Names'!A1456,'Customer Names'!$A$1:$E$2336,4,FALSE)</f>
        <v>Mr.  Jon</v>
      </c>
      <c r="C1456">
        <f>VLOOKUP(Table2[[#This Row],[Customer ID]],Table2[#All],2,FALSE)</f>
        <v>30.59</v>
      </c>
      <c r="D1456">
        <f>VLOOKUP(Table2[[#This Row],[Customer ID]],Table2[#All],3,FALSE)</f>
        <v>9.5500000000000007</v>
      </c>
      <c r="E1456" t="str">
        <f>VLOOKUP(Table2[[#This Row],[Customer ID]],Table2[#All],4,FALSE)</f>
        <v>Yes</v>
      </c>
      <c r="F1456" t="str">
        <f>VLOOKUP(Table2[[#This Row],[Customer ID]],Table2[#All],5,FALSE)</f>
        <v>No</v>
      </c>
      <c r="G1456" t="str">
        <f>VLOOKUP(Table2[[#This Row],[Customer ID]],Table2[#All],6,FALSE)</f>
        <v>No</v>
      </c>
      <c r="H1456">
        <f>VLOOKUP(Table2[[#This Row],[Customer ID]],Table2[#All],7,FALSE)</f>
        <v>0</v>
      </c>
      <c r="I1456" t="str">
        <f>VLOOKUP(Table2[[#This Row],[Customer ID]],Table2[#All],8,FALSE)</f>
        <v>No</v>
      </c>
      <c r="J1456" t="str">
        <f>VLOOKUP(Table2[[#This Row],[Customer ID]],Table2[#All],9,FALSE)</f>
        <v>Obesity</v>
      </c>
      <c r="K1456" t="str">
        <f>VLOOKUP(Table2[[#This Row],[Customer ID]],Table2[#All],10,FALSE)</f>
        <v>Diabetes</v>
      </c>
    </row>
    <row r="1457" spans="1:11" ht="15.6" x14ac:dyDescent="0.3">
      <c r="A1457" s="1" t="s">
        <v>915</v>
      </c>
      <c r="B1457" t="str">
        <f>VLOOKUP('Customer Names'!A1457,'Customer Names'!$A$1:$E$2336,4,FALSE)</f>
        <v>Mr.  Steven J</v>
      </c>
      <c r="C1457">
        <f>VLOOKUP(Table2[[#This Row],[Customer ID]],Table2[#All],2,FALSE)</f>
        <v>25.51</v>
      </c>
      <c r="D1457">
        <f>VLOOKUP(Table2[[#This Row],[Customer ID]],Table2[#All],3,FALSE)</f>
        <v>6.05</v>
      </c>
      <c r="E1457" t="str">
        <f>VLOOKUP(Table2[[#This Row],[Customer ID]],Table2[#All],4,FALSE)</f>
        <v>No</v>
      </c>
      <c r="F1457" t="str">
        <f>VLOOKUP(Table2[[#This Row],[Customer ID]],Table2[#All],5,FALSE)</f>
        <v>No</v>
      </c>
      <c r="G1457" t="str">
        <f>VLOOKUP(Table2[[#This Row],[Customer ID]],Table2[#All],6,FALSE)</f>
        <v>No</v>
      </c>
      <c r="H1457">
        <f>VLOOKUP(Table2[[#This Row],[Customer ID]],Table2[#All],7,FALSE)</f>
        <v>0</v>
      </c>
      <c r="I1457" t="str">
        <f>VLOOKUP(Table2[[#This Row],[Customer ID]],Table2[#All],8,FALSE)</f>
        <v>No</v>
      </c>
      <c r="J1457" t="str">
        <f>VLOOKUP(Table2[[#This Row],[Customer ID]],Table2[#All],9,FALSE)</f>
        <v>Overweight</v>
      </c>
      <c r="K1457" t="str">
        <f>VLOOKUP(Table2[[#This Row],[Customer ID]],Table2[#All],10,FALSE)</f>
        <v>Prediabetes</v>
      </c>
    </row>
    <row r="1458" spans="1:11" ht="15.6" x14ac:dyDescent="0.3">
      <c r="A1458" s="1" t="s">
        <v>914</v>
      </c>
      <c r="B1458" t="str">
        <f>VLOOKUP('Customer Names'!A1458,'Customer Names'!$A$1:$E$2336,4,FALSE)</f>
        <v>Ms.  Jessica P.</v>
      </c>
      <c r="C1458">
        <f>VLOOKUP(Table2[[#This Row],[Customer ID]],Table2[#All],2,FALSE)</f>
        <v>29.04</v>
      </c>
      <c r="D1458">
        <f>VLOOKUP(Table2[[#This Row],[Customer ID]],Table2[#All],3,FALSE)</f>
        <v>10.56</v>
      </c>
      <c r="E1458" t="str">
        <f>VLOOKUP(Table2[[#This Row],[Customer ID]],Table2[#All],4,FALSE)</f>
        <v>Yes</v>
      </c>
      <c r="F1458" t="str">
        <f>VLOOKUP(Table2[[#This Row],[Customer ID]],Table2[#All],5,FALSE)</f>
        <v>No</v>
      </c>
      <c r="G1458" t="str">
        <f>VLOOKUP(Table2[[#This Row],[Customer ID]],Table2[#All],6,FALSE)</f>
        <v>No</v>
      </c>
      <c r="H1458">
        <f>VLOOKUP(Table2[[#This Row],[Customer ID]],Table2[#All],7,FALSE)</f>
        <v>1</v>
      </c>
      <c r="I1458" t="str">
        <f>VLOOKUP(Table2[[#This Row],[Customer ID]],Table2[#All],8,FALSE)</f>
        <v>No</v>
      </c>
      <c r="J1458" t="str">
        <f>VLOOKUP(Table2[[#This Row],[Customer ID]],Table2[#All],9,FALSE)</f>
        <v>Overweight</v>
      </c>
      <c r="K1458" t="str">
        <f>VLOOKUP(Table2[[#This Row],[Customer ID]],Table2[#All],10,FALSE)</f>
        <v>Diabetes</v>
      </c>
    </row>
    <row r="1459" spans="1:11" ht="15.6" x14ac:dyDescent="0.3">
      <c r="A1459" s="1" t="s">
        <v>913</v>
      </c>
      <c r="B1459" t="str">
        <f>VLOOKUP('Customer Names'!A1459,'Customer Names'!$A$1:$E$2336,4,FALSE)</f>
        <v>Ms.  Ashley</v>
      </c>
      <c r="C1459">
        <f>VLOOKUP(Table2[[#This Row],[Customer ID]],Table2[#All],2,FALSE)</f>
        <v>22.135000000000002</v>
      </c>
      <c r="D1459">
        <f>VLOOKUP(Table2[[#This Row],[Customer ID]],Table2[#All],3,FALSE)</f>
        <v>10.81</v>
      </c>
      <c r="E1459" t="str">
        <f>VLOOKUP(Table2[[#This Row],[Customer ID]],Table2[#All],4,FALSE)</f>
        <v>Yes</v>
      </c>
      <c r="F1459" t="str">
        <f>VLOOKUP(Table2[[#This Row],[Customer ID]],Table2[#All],5,FALSE)</f>
        <v>No</v>
      </c>
      <c r="G1459" t="str">
        <f>VLOOKUP(Table2[[#This Row],[Customer ID]],Table2[#All],6,FALSE)</f>
        <v>No</v>
      </c>
      <c r="H1459">
        <f>VLOOKUP(Table2[[#This Row],[Customer ID]],Table2[#All],7,FALSE)</f>
        <v>1</v>
      </c>
      <c r="I1459" t="str">
        <f>VLOOKUP(Table2[[#This Row],[Customer ID]],Table2[#All],8,FALSE)</f>
        <v>No</v>
      </c>
      <c r="J1459" t="str">
        <f>VLOOKUP(Table2[[#This Row],[Customer ID]],Table2[#All],9,FALSE)</f>
        <v>Normalweight</v>
      </c>
      <c r="K1459" t="str">
        <f>VLOOKUP(Table2[[#This Row],[Customer ID]],Table2[#All],10,FALSE)</f>
        <v>Diabetes</v>
      </c>
    </row>
    <row r="1460" spans="1:11" ht="15.6" x14ac:dyDescent="0.3">
      <c r="A1460" s="1" t="s">
        <v>912</v>
      </c>
      <c r="B1460" t="str">
        <f>VLOOKUP('Customer Names'!A1460,'Customer Names'!$A$1:$E$2336,4,FALSE)</f>
        <v>Mr.  Arturo H.</v>
      </c>
      <c r="C1460">
        <f>VLOOKUP(Table2[[#This Row],[Customer ID]],Table2[#All],2,FALSE)</f>
        <v>21.375</v>
      </c>
      <c r="D1460">
        <f>VLOOKUP(Table2[[#This Row],[Customer ID]],Table2[#All],3,FALSE)</f>
        <v>4.32</v>
      </c>
      <c r="E1460" t="str">
        <f>VLOOKUP(Table2[[#This Row],[Customer ID]],Table2[#All],4,FALSE)</f>
        <v>No</v>
      </c>
      <c r="F1460" t="str">
        <f>VLOOKUP(Table2[[#This Row],[Customer ID]],Table2[#All],5,FALSE)</f>
        <v>No</v>
      </c>
      <c r="G1460" t="str">
        <f>VLOOKUP(Table2[[#This Row],[Customer ID]],Table2[#All],6,FALSE)</f>
        <v>No</v>
      </c>
      <c r="H1460">
        <f>VLOOKUP(Table2[[#This Row],[Customer ID]],Table2[#All],7,FALSE)</f>
        <v>0</v>
      </c>
      <c r="I1460" t="str">
        <f>VLOOKUP(Table2[[#This Row],[Customer ID]],Table2[#All],8,FALSE)</f>
        <v>No</v>
      </c>
      <c r="J1460" t="str">
        <f>VLOOKUP(Table2[[#This Row],[Customer ID]],Table2[#All],9,FALSE)</f>
        <v>Normalweight</v>
      </c>
      <c r="K1460" t="str">
        <f>VLOOKUP(Table2[[#This Row],[Customer ID]],Table2[#All],10,FALSE)</f>
        <v>Normal</v>
      </c>
    </row>
    <row r="1461" spans="1:11" ht="15.6" x14ac:dyDescent="0.3">
      <c r="A1461" s="1" t="s">
        <v>911</v>
      </c>
      <c r="B1461" t="str">
        <f>VLOOKUP('Customer Names'!A1461,'Customer Names'!$A$1:$E$2336,4,FALSE)</f>
        <v>Mr.  Ketil</v>
      </c>
      <c r="C1461">
        <f>VLOOKUP(Table2[[#This Row],[Customer ID]],Table2[#All],2,FALSE)</f>
        <v>29.19</v>
      </c>
      <c r="D1461">
        <f>VLOOKUP(Table2[[#This Row],[Customer ID]],Table2[#All],3,FALSE)</f>
        <v>4.37</v>
      </c>
      <c r="E1461" t="str">
        <f>VLOOKUP(Table2[[#This Row],[Customer ID]],Table2[#All],4,FALSE)</f>
        <v>No</v>
      </c>
      <c r="F1461" t="str">
        <f>VLOOKUP(Table2[[#This Row],[Customer ID]],Table2[#All],5,FALSE)</f>
        <v>No</v>
      </c>
      <c r="G1461" t="str">
        <f>VLOOKUP(Table2[[#This Row],[Customer ID]],Table2[#All],6,FALSE)</f>
        <v>No</v>
      </c>
      <c r="H1461">
        <f>VLOOKUP(Table2[[#This Row],[Customer ID]],Table2[#All],7,FALSE)</f>
        <v>0</v>
      </c>
      <c r="I1461" t="str">
        <f>VLOOKUP(Table2[[#This Row],[Customer ID]],Table2[#All],8,FALSE)</f>
        <v>No</v>
      </c>
      <c r="J1461" t="str">
        <f>VLOOKUP(Table2[[#This Row],[Customer ID]],Table2[#All],9,FALSE)</f>
        <v>Overweight</v>
      </c>
      <c r="K1461" t="str">
        <f>VLOOKUP(Table2[[#This Row],[Customer ID]],Table2[#All],10,FALSE)</f>
        <v>Normal</v>
      </c>
    </row>
    <row r="1462" spans="1:11" ht="15.6" x14ac:dyDescent="0.3">
      <c r="A1462" s="1" t="s">
        <v>910</v>
      </c>
      <c r="B1462" t="str">
        <f>VLOOKUP('Customer Names'!A1462,'Customer Names'!$A$1:$E$2336,4,FALSE)</f>
        <v>Ms.  Katie</v>
      </c>
      <c r="C1462">
        <f>VLOOKUP(Table2[[#This Row],[Customer ID]],Table2[#All],2,FALSE)</f>
        <v>31.92</v>
      </c>
      <c r="D1462">
        <f>VLOOKUP(Table2[[#This Row],[Customer ID]],Table2[#All],3,FALSE)</f>
        <v>4.8099999999999996</v>
      </c>
      <c r="E1462" t="str">
        <f>VLOOKUP(Table2[[#This Row],[Customer ID]],Table2[#All],4,FALSE)</f>
        <v>Yes</v>
      </c>
      <c r="F1462" t="str">
        <f>VLOOKUP(Table2[[#This Row],[Customer ID]],Table2[#All],5,FALSE)</f>
        <v>No</v>
      </c>
      <c r="G1462" t="str">
        <f>VLOOKUP(Table2[[#This Row],[Customer ID]],Table2[#All],6,FALSE)</f>
        <v>Yes</v>
      </c>
      <c r="H1462">
        <f>VLOOKUP(Table2[[#This Row],[Customer ID]],Table2[#All],7,FALSE)</f>
        <v>1</v>
      </c>
      <c r="I1462" t="str">
        <f>VLOOKUP(Table2[[#This Row],[Customer ID]],Table2[#All],8,FALSE)</f>
        <v>No</v>
      </c>
      <c r="J1462" t="str">
        <f>VLOOKUP(Table2[[#This Row],[Customer ID]],Table2[#All],9,FALSE)</f>
        <v>Obesity</v>
      </c>
      <c r="K1462" t="str">
        <f>VLOOKUP(Table2[[#This Row],[Customer ID]],Table2[#All],10,FALSE)</f>
        <v>Normal</v>
      </c>
    </row>
    <row r="1463" spans="1:11" ht="15.6" x14ac:dyDescent="0.3">
      <c r="A1463" s="1" t="s">
        <v>909</v>
      </c>
      <c r="B1463" t="str">
        <f>VLOOKUP('Customer Names'!A1463,'Customer Names'!$A$1:$E$2336,4,FALSE)</f>
        <v>Ms.  Christi</v>
      </c>
      <c r="C1463">
        <f>VLOOKUP(Table2[[#This Row],[Customer ID]],Table2[#All],2,FALSE)</f>
        <v>26.315000000000001</v>
      </c>
      <c r="D1463">
        <f>VLOOKUP(Table2[[#This Row],[Customer ID]],Table2[#All],3,FALSE)</f>
        <v>4.5599999999999996</v>
      </c>
      <c r="E1463" t="str">
        <f>VLOOKUP(Table2[[#This Row],[Customer ID]],Table2[#All],4,FALSE)</f>
        <v>Yes</v>
      </c>
      <c r="F1463" t="str">
        <f>VLOOKUP(Table2[[#This Row],[Customer ID]],Table2[#All],5,FALSE)</f>
        <v>No</v>
      </c>
      <c r="G1463" t="str">
        <f>VLOOKUP(Table2[[#This Row],[Customer ID]],Table2[#All],6,FALSE)</f>
        <v>Yes</v>
      </c>
      <c r="H1463">
        <f>VLOOKUP(Table2[[#This Row],[Customer ID]],Table2[#All],7,FALSE)</f>
        <v>1</v>
      </c>
      <c r="I1463" t="str">
        <f>VLOOKUP(Table2[[#This Row],[Customer ID]],Table2[#All],8,FALSE)</f>
        <v>No</v>
      </c>
      <c r="J1463" t="str">
        <f>VLOOKUP(Table2[[#This Row],[Customer ID]],Table2[#All],9,FALSE)</f>
        <v>Overweight</v>
      </c>
      <c r="K1463" t="str">
        <f>VLOOKUP(Table2[[#This Row],[Customer ID]],Table2[#All],10,FALSE)</f>
        <v>Normal</v>
      </c>
    </row>
    <row r="1464" spans="1:11" ht="15.6" x14ac:dyDescent="0.3">
      <c r="A1464" s="1" t="s">
        <v>908</v>
      </c>
      <c r="B1464" t="str">
        <f>VLOOKUP('Customer Names'!A1464,'Customer Names'!$A$1:$E$2336,4,FALSE)</f>
        <v>Mr.  Alan</v>
      </c>
      <c r="C1464">
        <f>VLOOKUP(Table2[[#This Row],[Customer ID]],Table2[#All],2,FALSE)</f>
        <v>35.299999999999997</v>
      </c>
      <c r="D1464">
        <f>VLOOKUP(Table2[[#This Row],[Customer ID]],Table2[#All],3,FALSE)</f>
        <v>4.3899999999999997</v>
      </c>
      <c r="E1464" t="str">
        <f>VLOOKUP(Table2[[#This Row],[Customer ID]],Table2[#All],4,FALSE)</f>
        <v>No</v>
      </c>
      <c r="F1464" t="str">
        <f>VLOOKUP(Table2[[#This Row],[Customer ID]],Table2[#All],5,FALSE)</f>
        <v>No</v>
      </c>
      <c r="G1464" t="str">
        <f>VLOOKUP(Table2[[#This Row],[Customer ID]],Table2[#All],6,FALSE)</f>
        <v>No</v>
      </c>
      <c r="H1464">
        <f>VLOOKUP(Table2[[#This Row],[Customer ID]],Table2[#All],7,FALSE)</f>
        <v>0</v>
      </c>
      <c r="I1464" t="str">
        <f>VLOOKUP(Table2[[#This Row],[Customer ID]],Table2[#All],8,FALSE)</f>
        <v>No</v>
      </c>
      <c r="J1464" t="str">
        <f>VLOOKUP(Table2[[#This Row],[Customer ID]],Table2[#All],9,FALSE)</f>
        <v>Obesity</v>
      </c>
      <c r="K1464" t="str">
        <f>VLOOKUP(Table2[[#This Row],[Customer ID]],Table2[#All],10,FALSE)</f>
        <v>Normal</v>
      </c>
    </row>
    <row r="1465" spans="1:11" ht="15.6" x14ac:dyDescent="0.3">
      <c r="A1465" s="1" t="s">
        <v>907</v>
      </c>
      <c r="B1465" t="str">
        <f>VLOOKUP('Customer Names'!A1465,'Customer Names'!$A$1:$E$2336,4,FALSE)</f>
        <v>Mr.  Edivaldo B. Sr.</v>
      </c>
      <c r="C1465">
        <f>VLOOKUP(Table2[[#This Row],[Customer ID]],Table2[#All],2,FALSE)</f>
        <v>18.91</v>
      </c>
      <c r="D1465">
        <f>VLOOKUP(Table2[[#This Row],[Customer ID]],Table2[#All],3,FALSE)</f>
        <v>11.44</v>
      </c>
      <c r="E1465" t="str">
        <f>VLOOKUP(Table2[[#This Row],[Customer ID]],Table2[#All],4,FALSE)</f>
        <v>No</v>
      </c>
      <c r="F1465" t="str">
        <f>VLOOKUP(Table2[[#This Row],[Customer ID]],Table2[#All],5,FALSE)</f>
        <v>No</v>
      </c>
      <c r="G1465" t="str">
        <f>VLOOKUP(Table2[[#This Row],[Customer ID]],Table2[#All],6,FALSE)</f>
        <v>No</v>
      </c>
      <c r="H1465">
        <f>VLOOKUP(Table2[[#This Row],[Customer ID]],Table2[#All],7,FALSE)</f>
        <v>0</v>
      </c>
      <c r="I1465" t="str">
        <f>VLOOKUP(Table2[[#This Row],[Customer ID]],Table2[#All],8,FALSE)</f>
        <v>No</v>
      </c>
      <c r="J1465" t="str">
        <f>VLOOKUP(Table2[[#This Row],[Customer ID]],Table2[#All],9,FALSE)</f>
        <v>Normalweight</v>
      </c>
      <c r="K1465" t="str">
        <f>VLOOKUP(Table2[[#This Row],[Customer ID]],Table2[#All],10,FALSE)</f>
        <v>Diabetes</v>
      </c>
    </row>
    <row r="1466" spans="1:11" ht="15.6" x14ac:dyDescent="0.3">
      <c r="A1466" s="1" t="s">
        <v>906</v>
      </c>
      <c r="B1466" t="str">
        <f>VLOOKUP('Customer Names'!A1466,'Customer Names'!$A$1:$E$2336,4,FALSE)</f>
        <v>Ms.  Eve</v>
      </c>
      <c r="C1466">
        <f>VLOOKUP(Table2[[#This Row],[Customer ID]],Table2[#All],2,FALSE)</f>
        <v>22.41</v>
      </c>
      <c r="D1466">
        <f>VLOOKUP(Table2[[#This Row],[Customer ID]],Table2[#All],3,FALSE)</f>
        <v>11.37</v>
      </c>
      <c r="E1466" t="str">
        <f>VLOOKUP(Table2[[#This Row],[Customer ID]],Table2[#All],4,FALSE)</f>
        <v>Yes</v>
      </c>
      <c r="F1466" t="str">
        <f>VLOOKUP(Table2[[#This Row],[Customer ID]],Table2[#All],5,FALSE)</f>
        <v>No</v>
      </c>
      <c r="G1466" t="str">
        <f>VLOOKUP(Table2[[#This Row],[Customer ID]],Table2[#All],6,FALSE)</f>
        <v>No</v>
      </c>
      <c r="H1466">
        <f>VLOOKUP(Table2[[#This Row],[Customer ID]],Table2[#All],7,FALSE)</f>
        <v>1</v>
      </c>
      <c r="I1466" t="str">
        <f>VLOOKUP(Table2[[#This Row],[Customer ID]],Table2[#All],8,FALSE)</f>
        <v>No</v>
      </c>
      <c r="J1466" t="str">
        <f>VLOOKUP(Table2[[#This Row],[Customer ID]],Table2[#All],9,FALSE)</f>
        <v>Normalweight</v>
      </c>
      <c r="K1466" t="str">
        <f>VLOOKUP(Table2[[#This Row],[Customer ID]],Table2[#All],10,FALSE)</f>
        <v>Diabetes</v>
      </c>
    </row>
    <row r="1467" spans="1:11" ht="15.6" x14ac:dyDescent="0.3">
      <c r="A1467" s="1" t="s">
        <v>905</v>
      </c>
      <c r="B1467" t="str">
        <f>VLOOKUP('Customer Names'!A1467,'Customer Names'!$A$1:$E$2336,4,FALSE)</f>
        <v>Mr.  Devin</v>
      </c>
      <c r="C1467">
        <f>VLOOKUP(Table2[[#This Row],[Customer ID]],Table2[#All],2,FALSE)</f>
        <v>22.704999999999998</v>
      </c>
      <c r="D1467">
        <f>VLOOKUP(Table2[[#This Row],[Customer ID]],Table2[#All],3,FALSE)</f>
        <v>6.14</v>
      </c>
      <c r="E1467" t="str">
        <f>VLOOKUP(Table2[[#This Row],[Customer ID]],Table2[#All],4,FALSE)</f>
        <v>No</v>
      </c>
      <c r="F1467" t="str">
        <f>VLOOKUP(Table2[[#This Row],[Customer ID]],Table2[#All],5,FALSE)</f>
        <v>No</v>
      </c>
      <c r="G1467" t="str">
        <f>VLOOKUP(Table2[[#This Row],[Customer ID]],Table2[#All],6,FALSE)</f>
        <v>No</v>
      </c>
      <c r="H1467">
        <f>VLOOKUP(Table2[[#This Row],[Customer ID]],Table2[#All],7,FALSE)</f>
        <v>0</v>
      </c>
      <c r="I1467" t="str">
        <f>VLOOKUP(Table2[[#This Row],[Customer ID]],Table2[#All],8,FALSE)</f>
        <v>No</v>
      </c>
      <c r="J1467" t="str">
        <f>VLOOKUP(Table2[[#This Row],[Customer ID]],Table2[#All],9,FALSE)</f>
        <v>Normalweight</v>
      </c>
      <c r="K1467" t="str">
        <f>VLOOKUP(Table2[[#This Row],[Customer ID]],Table2[#All],10,FALSE)</f>
        <v>Prediabetes</v>
      </c>
    </row>
    <row r="1468" spans="1:11" ht="15.6" x14ac:dyDescent="0.3">
      <c r="A1468" s="1" t="s">
        <v>904</v>
      </c>
      <c r="B1468" t="str">
        <f>VLOOKUP('Customer Names'!A1468,'Customer Names'!$A$1:$E$2336,4,FALSE)</f>
        <v>Mr.  Shaun R</v>
      </c>
      <c r="C1468">
        <f>VLOOKUP(Table2[[#This Row],[Customer ID]],Table2[#All],2,FALSE)</f>
        <v>37.18</v>
      </c>
      <c r="D1468">
        <f>VLOOKUP(Table2[[#This Row],[Customer ID]],Table2[#All],3,FALSE)</f>
        <v>4.8899999999999997</v>
      </c>
      <c r="E1468" t="str">
        <f>VLOOKUP(Table2[[#This Row],[Customer ID]],Table2[#All],4,FALSE)</f>
        <v>No</v>
      </c>
      <c r="F1468" t="str">
        <f>VLOOKUP(Table2[[#This Row],[Customer ID]],Table2[#All],5,FALSE)</f>
        <v>No</v>
      </c>
      <c r="G1468" t="str">
        <f>VLOOKUP(Table2[[#This Row],[Customer ID]],Table2[#All],6,FALSE)</f>
        <v>No</v>
      </c>
      <c r="H1468">
        <f>VLOOKUP(Table2[[#This Row],[Customer ID]],Table2[#All],7,FALSE)</f>
        <v>0</v>
      </c>
      <c r="I1468" t="str">
        <f>VLOOKUP(Table2[[#This Row],[Customer ID]],Table2[#All],8,FALSE)</f>
        <v>No</v>
      </c>
      <c r="J1468" t="str">
        <f>VLOOKUP(Table2[[#This Row],[Customer ID]],Table2[#All],9,FALSE)</f>
        <v>Obesity</v>
      </c>
      <c r="K1468" t="str">
        <f>VLOOKUP(Table2[[#This Row],[Customer ID]],Table2[#All],10,FALSE)</f>
        <v>Normal</v>
      </c>
    </row>
    <row r="1469" spans="1:11" ht="15.6" x14ac:dyDescent="0.3">
      <c r="A1469" s="1" t="s">
        <v>903</v>
      </c>
      <c r="B1469" t="str">
        <f>VLOOKUP('Customer Names'!A1469,'Customer Names'!$A$1:$E$2336,4,FALSE)</f>
        <v>Mr.  Adrian</v>
      </c>
      <c r="C1469">
        <f>VLOOKUP(Table2[[#This Row],[Customer ID]],Table2[#All],2,FALSE)</f>
        <v>35.97</v>
      </c>
      <c r="D1469">
        <f>VLOOKUP(Table2[[#This Row],[Customer ID]],Table2[#All],3,FALSE)</f>
        <v>4.5999999999999996</v>
      </c>
      <c r="E1469" t="str">
        <f>VLOOKUP(Table2[[#This Row],[Customer ID]],Table2[#All],4,FALSE)</f>
        <v>No</v>
      </c>
      <c r="F1469" t="str">
        <f>VLOOKUP(Table2[[#This Row],[Customer ID]],Table2[#All],5,FALSE)</f>
        <v>No</v>
      </c>
      <c r="G1469" t="str">
        <f>VLOOKUP(Table2[[#This Row],[Customer ID]],Table2[#All],6,FALSE)</f>
        <v>No</v>
      </c>
      <c r="H1469">
        <f>VLOOKUP(Table2[[#This Row],[Customer ID]],Table2[#All],7,FALSE)</f>
        <v>0</v>
      </c>
      <c r="I1469" t="str">
        <f>VLOOKUP(Table2[[#This Row],[Customer ID]],Table2[#All],8,FALSE)</f>
        <v>No</v>
      </c>
      <c r="J1469" t="str">
        <f>VLOOKUP(Table2[[#This Row],[Customer ID]],Table2[#All],9,FALSE)</f>
        <v>Obesity</v>
      </c>
      <c r="K1469" t="str">
        <f>VLOOKUP(Table2[[#This Row],[Customer ID]],Table2[#All],10,FALSE)</f>
        <v>Normal</v>
      </c>
    </row>
    <row r="1470" spans="1:11" ht="15.6" x14ac:dyDescent="0.3">
      <c r="A1470" s="1" t="s">
        <v>902</v>
      </c>
      <c r="B1470" t="str">
        <f>VLOOKUP('Customer Names'!A1470,'Customer Names'!$A$1:$E$2336,4,FALSE)</f>
        <v>Mr.  Andrew</v>
      </c>
      <c r="C1470">
        <f>VLOOKUP(Table2[[#This Row],[Customer ID]],Table2[#All],2,FALSE)</f>
        <v>35.799999999999997</v>
      </c>
      <c r="D1470">
        <f>VLOOKUP(Table2[[#This Row],[Customer ID]],Table2[#All],3,FALSE)</f>
        <v>4.42</v>
      </c>
      <c r="E1470" t="str">
        <f>VLOOKUP(Table2[[#This Row],[Customer ID]],Table2[#All],4,FALSE)</f>
        <v>No</v>
      </c>
      <c r="F1470" t="str">
        <f>VLOOKUP(Table2[[#This Row],[Customer ID]],Table2[#All],5,FALSE)</f>
        <v>No</v>
      </c>
      <c r="G1470" t="str">
        <f>VLOOKUP(Table2[[#This Row],[Customer ID]],Table2[#All],6,FALSE)</f>
        <v>No</v>
      </c>
      <c r="H1470">
        <f>VLOOKUP(Table2[[#This Row],[Customer ID]],Table2[#All],7,FALSE)</f>
        <v>0</v>
      </c>
      <c r="I1470" t="str">
        <f>VLOOKUP(Table2[[#This Row],[Customer ID]],Table2[#All],8,FALSE)</f>
        <v>No</v>
      </c>
      <c r="J1470" t="str">
        <f>VLOOKUP(Table2[[#This Row],[Customer ID]],Table2[#All],9,FALSE)</f>
        <v>Obesity</v>
      </c>
      <c r="K1470" t="str">
        <f>VLOOKUP(Table2[[#This Row],[Customer ID]],Table2[#All],10,FALSE)</f>
        <v>Normal</v>
      </c>
    </row>
    <row r="1471" spans="1:11" ht="15.6" x14ac:dyDescent="0.3">
      <c r="A1471" s="1" t="s">
        <v>901</v>
      </c>
      <c r="B1471" t="str">
        <f>VLOOKUP('Customer Names'!A1471,'Customer Names'!$A$1:$E$2336,4,FALSE)</f>
        <v>Ms.  Mallory</v>
      </c>
      <c r="C1471">
        <f>VLOOKUP(Table2[[#This Row],[Customer ID]],Table2[#All],2,FALSE)</f>
        <v>28.31</v>
      </c>
      <c r="D1471">
        <f>VLOOKUP(Table2[[#This Row],[Customer ID]],Table2[#All],3,FALSE)</f>
        <v>7.48</v>
      </c>
      <c r="E1471" t="str">
        <f>VLOOKUP(Table2[[#This Row],[Customer ID]],Table2[#All],4,FALSE)</f>
        <v>Yes</v>
      </c>
      <c r="F1471" t="str">
        <f>VLOOKUP(Table2[[#This Row],[Customer ID]],Table2[#All],5,FALSE)</f>
        <v>No</v>
      </c>
      <c r="G1471" t="str">
        <f>VLOOKUP(Table2[[#This Row],[Customer ID]],Table2[#All],6,FALSE)</f>
        <v>No</v>
      </c>
      <c r="H1471">
        <f>VLOOKUP(Table2[[#This Row],[Customer ID]],Table2[#All],7,FALSE)</f>
        <v>0</v>
      </c>
      <c r="I1471" t="str">
        <f>VLOOKUP(Table2[[#This Row],[Customer ID]],Table2[#All],8,FALSE)</f>
        <v>No</v>
      </c>
      <c r="J1471" t="str">
        <f>VLOOKUP(Table2[[#This Row],[Customer ID]],Table2[#All],9,FALSE)</f>
        <v>Overweight</v>
      </c>
      <c r="K1471" t="str">
        <f>VLOOKUP(Table2[[#This Row],[Customer ID]],Table2[#All],10,FALSE)</f>
        <v>Diabetes</v>
      </c>
    </row>
    <row r="1472" spans="1:11" ht="15.6" x14ac:dyDescent="0.3">
      <c r="A1472" s="1" t="s">
        <v>900</v>
      </c>
      <c r="B1472" t="str">
        <f>VLOOKUP('Customer Names'!A1472,'Customer Names'!$A$1:$E$2336,4,FALSE)</f>
        <v>Mr.  Shawn E</v>
      </c>
      <c r="C1472">
        <f>VLOOKUP(Table2[[#This Row],[Customer ID]],Table2[#All],2,FALSE)</f>
        <v>38.06</v>
      </c>
      <c r="D1472">
        <f>VLOOKUP(Table2[[#This Row],[Customer ID]],Table2[#All],3,FALSE)</f>
        <v>10.74</v>
      </c>
      <c r="E1472" t="str">
        <f>VLOOKUP(Table2[[#This Row],[Customer ID]],Table2[#All],4,FALSE)</f>
        <v>No</v>
      </c>
      <c r="F1472" t="str">
        <f>VLOOKUP(Table2[[#This Row],[Customer ID]],Table2[#All],5,FALSE)</f>
        <v>No</v>
      </c>
      <c r="G1472" t="str">
        <f>VLOOKUP(Table2[[#This Row],[Customer ID]],Table2[#All],6,FALSE)</f>
        <v>No</v>
      </c>
      <c r="H1472">
        <f>VLOOKUP(Table2[[#This Row],[Customer ID]],Table2[#All],7,FALSE)</f>
        <v>0</v>
      </c>
      <c r="I1472" t="str">
        <f>VLOOKUP(Table2[[#This Row],[Customer ID]],Table2[#All],8,FALSE)</f>
        <v>No</v>
      </c>
      <c r="J1472" t="str">
        <f>VLOOKUP(Table2[[#This Row],[Customer ID]],Table2[#All],9,FALSE)</f>
        <v>Obesity</v>
      </c>
      <c r="K1472" t="str">
        <f>VLOOKUP(Table2[[#This Row],[Customer ID]],Table2[#All],10,FALSE)</f>
        <v>Diabetes</v>
      </c>
    </row>
    <row r="1473" spans="1:11" ht="15.6" x14ac:dyDescent="0.3">
      <c r="A1473" s="1" t="s">
        <v>899</v>
      </c>
      <c r="B1473" t="str">
        <f>VLOOKUP('Customer Names'!A1473,'Customer Names'!$A$1:$E$2336,4,FALSE)</f>
        <v>Ms.  Sarah E</v>
      </c>
      <c r="C1473">
        <f>VLOOKUP(Table2[[#This Row],[Customer ID]],Table2[#All],2,FALSE)</f>
        <v>28</v>
      </c>
      <c r="D1473">
        <f>VLOOKUP(Table2[[#This Row],[Customer ID]],Table2[#All],3,FALSE)</f>
        <v>5.19</v>
      </c>
      <c r="E1473" t="str">
        <f>VLOOKUP(Table2[[#This Row],[Customer ID]],Table2[#All],4,FALSE)</f>
        <v>No</v>
      </c>
      <c r="F1473" t="str">
        <f>VLOOKUP(Table2[[#This Row],[Customer ID]],Table2[#All],5,FALSE)</f>
        <v>No</v>
      </c>
      <c r="G1473" t="str">
        <f>VLOOKUP(Table2[[#This Row],[Customer ID]],Table2[#All],6,FALSE)</f>
        <v>No</v>
      </c>
      <c r="H1473">
        <f>VLOOKUP(Table2[[#This Row],[Customer ID]],Table2[#All],7,FALSE)</f>
        <v>1</v>
      </c>
      <c r="I1473" t="str">
        <f>VLOOKUP(Table2[[#This Row],[Customer ID]],Table2[#All],8,FALSE)</f>
        <v>No</v>
      </c>
      <c r="J1473" t="str">
        <f>VLOOKUP(Table2[[#This Row],[Customer ID]],Table2[#All],9,FALSE)</f>
        <v>Overweight</v>
      </c>
      <c r="K1473" t="str">
        <f>VLOOKUP(Table2[[#This Row],[Customer ID]],Table2[#All],10,FALSE)</f>
        <v>Normal</v>
      </c>
    </row>
    <row r="1474" spans="1:11" ht="15.6" x14ac:dyDescent="0.3">
      <c r="A1474" s="1" t="s">
        <v>898</v>
      </c>
      <c r="B1474" t="str">
        <f>VLOOKUP('Customer Names'!A1474,'Customer Names'!$A$1:$E$2336,4,FALSE)</f>
        <v>Mr.  Josh</v>
      </c>
      <c r="C1474">
        <f>VLOOKUP(Table2[[#This Row],[Customer ID]],Table2[#All],2,FALSE)</f>
        <v>34.32</v>
      </c>
      <c r="D1474">
        <f>VLOOKUP(Table2[[#This Row],[Customer ID]],Table2[#All],3,FALSE)</f>
        <v>9.17</v>
      </c>
      <c r="E1474" t="str">
        <f>VLOOKUP(Table2[[#This Row],[Customer ID]],Table2[#All],4,FALSE)</f>
        <v>No</v>
      </c>
      <c r="F1474" t="str">
        <f>VLOOKUP(Table2[[#This Row],[Customer ID]],Table2[#All],5,FALSE)</f>
        <v>No</v>
      </c>
      <c r="G1474" t="str">
        <f>VLOOKUP(Table2[[#This Row],[Customer ID]],Table2[#All],6,FALSE)</f>
        <v>No</v>
      </c>
      <c r="H1474">
        <f>VLOOKUP(Table2[[#This Row],[Customer ID]],Table2[#All],7,FALSE)</f>
        <v>0</v>
      </c>
      <c r="I1474" t="str">
        <f>VLOOKUP(Table2[[#This Row],[Customer ID]],Table2[#All],8,FALSE)</f>
        <v>No</v>
      </c>
      <c r="J1474" t="str">
        <f>VLOOKUP(Table2[[#This Row],[Customer ID]],Table2[#All],9,FALSE)</f>
        <v>Obesity</v>
      </c>
      <c r="K1474" t="str">
        <f>VLOOKUP(Table2[[#This Row],[Customer ID]],Table2[#All],10,FALSE)</f>
        <v>Diabetes</v>
      </c>
    </row>
    <row r="1475" spans="1:11" ht="15.6" x14ac:dyDescent="0.3">
      <c r="A1475" s="1" t="s">
        <v>897</v>
      </c>
      <c r="B1475" t="str">
        <f>VLOOKUP('Customer Names'!A1475,'Customer Names'!$A$1:$E$2336,4,FALSE)</f>
        <v>Mr.  Johann A</v>
      </c>
      <c r="C1475">
        <f>VLOOKUP(Table2[[#This Row],[Customer ID]],Table2[#All],2,FALSE)</f>
        <v>22.3</v>
      </c>
      <c r="D1475">
        <f>VLOOKUP(Table2[[#This Row],[Customer ID]],Table2[#All],3,FALSE)</f>
        <v>4.95</v>
      </c>
      <c r="E1475" t="str">
        <f>VLOOKUP(Table2[[#This Row],[Customer ID]],Table2[#All],4,FALSE)</f>
        <v>Yes</v>
      </c>
      <c r="F1475" t="str">
        <f>VLOOKUP(Table2[[#This Row],[Customer ID]],Table2[#All],5,FALSE)</f>
        <v>No</v>
      </c>
      <c r="G1475" t="str">
        <f>VLOOKUP(Table2[[#This Row],[Customer ID]],Table2[#All],6,FALSE)</f>
        <v>No</v>
      </c>
      <c r="H1475">
        <f>VLOOKUP(Table2[[#This Row],[Customer ID]],Table2[#All],7,FALSE)</f>
        <v>0</v>
      </c>
      <c r="I1475" t="str">
        <f>VLOOKUP(Table2[[#This Row],[Customer ID]],Table2[#All],8,FALSE)</f>
        <v>No</v>
      </c>
      <c r="J1475" t="str">
        <f>VLOOKUP(Table2[[#This Row],[Customer ID]],Table2[#All],9,FALSE)</f>
        <v>Normalweight</v>
      </c>
      <c r="K1475" t="str">
        <f>VLOOKUP(Table2[[#This Row],[Customer ID]],Table2[#All],10,FALSE)</f>
        <v>Normal</v>
      </c>
    </row>
    <row r="1476" spans="1:11" ht="15.6" x14ac:dyDescent="0.3">
      <c r="A1476" s="1" t="s">
        <v>896</v>
      </c>
      <c r="B1476" t="str">
        <f>VLOOKUP('Customer Names'!A1476,'Customer Names'!$A$1:$E$2336,4,FALSE)</f>
        <v>Ms.  Robin M.</v>
      </c>
      <c r="C1476">
        <f>VLOOKUP(Table2[[#This Row],[Customer ID]],Table2[#All],2,FALSE)</f>
        <v>27.835000000000001</v>
      </c>
      <c r="D1476">
        <f>VLOOKUP(Table2[[#This Row],[Customer ID]],Table2[#All],3,FALSE)</f>
        <v>6.03</v>
      </c>
      <c r="E1476" t="str">
        <f>VLOOKUP(Table2[[#This Row],[Customer ID]],Table2[#All],4,FALSE)</f>
        <v>No</v>
      </c>
      <c r="F1476" t="str">
        <f>VLOOKUP(Table2[[#This Row],[Customer ID]],Table2[#All],5,FALSE)</f>
        <v>No</v>
      </c>
      <c r="G1476" t="str">
        <f>VLOOKUP(Table2[[#This Row],[Customer ID]],Table2[#All],6,FALSE)</f>
        <v>No</v>
      </c>
      <c r="H1476">
        <f>VLOOKUP(Table2[[#This Row],[Customer ID]],Table2[#All],7,FALSE)</f>
        <v>1</v>
      </c>
      <c r="I1476" t="str">
        <f>VLOOKUP(Table2[[#This Row],[Customer ID]],Table2[#All],8,FALSE)</f>
        <v>No</v>
      </c>
      <c r="J1476" t="str">
        <f>VLOOKUP(Table2[[#This Row],[Customer ID]],Table2[#All],9,FALSE)</f>
        <v>Overweight</v>
      </c>
      <c r="K1476" t="str">
        <f>VLOOKUP(Table2[[#This Row],[Customer ID]],Table2[#All],10,FALSE)</f>
        <v>Prediabetes</v>
      </c>
    </row>
    <row r="1477" spans="1:11" ht="15.6" x14ac:dyDescent="0.3">
      <c r="A1477" s="1" t="s">
        <v>895</v>
      </c>
      <c r="B1477" t="str">
        <f>VLOOKUP('Customer Names'!A1477,'Customer Names'!$A$1:$E$2336,4,FALSE)</f>
        <v>Mr.  Kyle K</v>
      </c>
      <c r="C1477">
        <f>VLOOKUP(Table2[[#This Row],[Customer ID]],Table2[#All],2,FALSE)</f>
        <v>39.229999999999997</v>
      </c>
      <c r="D1477">
        <f>VLOOKUP(Table2[[#This Row],[Customer ID]],Table2[#All],3,FALSE)</f>
        <v>5.36</v>
      </c>
      <c r="E1477" t="str">
        <f>VLOOKUP(Table2[[#This Row],[Customer ID]],Table2[#All],4,FALSE)</f>
        <v>No</v>
      </c>
      <c r="F1477" t="str">
        <f>VLOOKUP(Table2[[#This Row],[Customer ID]],Table2[#All],5,FALSE)</f>
        <v>No</v>
      </c>
      <c r="G1477" t="str">
        <f>VLOOKUP(Table2[[#This Row],[Customer ID]],Table2[#All],6,FALSE)</f>
        <v>No</v>
      </c>
      <c r="H1477">
        <f>VLOOKUP(Table2[[#This Row],[Customer ID]],Table2[#All],7,FALSE)</f>
        <v>0</v>
      </c>
      <c r="I1477" t="str">
        <f>VLOOKUP(Table2[[#This Row],[Customer ID]],Table2[#All],8,FALSE)</f>
        <v>No</v>
      </c>
      <c r="J1477" t="str">
        <f>VLOOKUP(Table2[[#This Row],[Customer ID]],Table2[#All],9,FALSE)</f>
        <v>Obesity</v>
      </c>
      <c r="K1477" t="str">
        <f>VLOOKUP(Table2[[#This Row],[Customer ID]],Table2[#All],10,FALSE)</f>
        <v>Normal</v>
      </c>
    </row>
    <row r="1478" spans="1:11" ht="15.6" x14ac:dyDescent="0.3">
      <c r="A1478" s="1" t="s">
        <v>894</v>
      </c>
      <c r="B1478" t="str">
        <f>VLOOKUP('Customer Names'!A1478,'Customer Names'!$A$1:$E$2336,4,FALSE)</f>
        <v>Ms.  Alison</v>
      </c>
      <c r="C1478">
        <f>VLOOKUP(Table2[[#This Row],[Customer ID]],Table2[#All],2,FALSE)</f>
        <v>19.95</v>
      </c>
      <c r="D1478">
        <f>VLOOKUP(Table2[[#This Row],[Customer ID]],Table2[#All],3,FALSE)</f>
        <v>6.11</v>
      </c>
      <c r="E1478" t="str">
        <f>VLOOKUP(Table2[[#This Row],[Customer ID]],Table2[#All],4,FALSE)</f>
        <v>No</v>
      </c>
      <c r="F1478" t="str">
        <f>VLOOKUP(Table2[[#This Row],[Customer ID]],Table2[#All],5,FALSE)</f>
        <v>No</v>
      </c>
      <c r="G1478" t="str">
        <f>VLOOKUP(Table2[[#This Row],[Customer ID]],Table2[#All],6,FALSE)</f>
        <v>No</v>
      </c>
      <c r="H1478">
        <f>VLOOKUP(Table2[[#This Row],[Customer ID]],Table2[#All],7,FALSE)</f>
        <v>1</v>
      </c>
      <c r="I1478" t="str">
        <f>VLOOKUP(Table2[[#This Row],[Customer ID]],Table2[#All],8,FALSE)</f>
        <v>No</v>
      </c>
      <c r="J1478" t="str">
        <f>VLOOKUP(Table2[[#This Row],[Customer ID]],Table2[#All],9,FALSE)</f>
        <v>Normalweight</v>
      </c>
      <c r="K1478" t="str">
        <f>VLOOKUP(Table2[[#This Row],[Customer ID]],Table2[#All],10,FALSE)</f>
        <v>Prediabetes</v>
      </c>
    </row>
    <row r="1479" spans="1:11" ht="15.6" x14ac:dyDescent="0.3">
      <c r="A1479" s="1" t="s">
        <v>893</v>
      </c>
      <c r="B1479" t="str">
        <f>VLOOKUP('Customer Names'!A1479,'Customer Names'!$A$1:$E$2336,4,FALSE)</f>
        <v>Mr.  Michael A.</v>
      </c>
      <c r="C1479">
        <f>VLOOKUP(Table2[[#This Row],[Customer ID]],Table2[#All],2,FALSE)</f>
        <v>34.64</v>
      </c>
      <c r="D1479">
        <f>VLOOKUP(Table2[[#This Row],[Customer ID]],Table2[#All],3,FALSE)</f>
        <v>4.88</v>
      </c>
      <c r="E1479" t="str">
        <f>VLOOKUP(Table2[[#This Row],[Customer ID]],Table2[#All],4,FALSE)</f>
        <v>No</v>
      </c>
      <c r="F1479" t="str">
        <f>VLOOKUP(Table2[[#This Row],[Customer ID]],Table2[#All],5,FALSE)</f>
        <v>No</v>
      </c>
      <c r="G1479" t="str">
        <f>VLOOKUP(Table2[[#This Row],[Customer ID]],Table2[#All],6,FALSE)</f>
        <v>Yes</v>
      </c>
      <c r="H1479">
        <f>VLOOKUP(Table2[[#This Row],[Customer ID]],Table2[#All],7,FALSE)</f>
        <v>1</v>
      </c>
      <c r="I1479" t="str">
        <f>VLOOKUP(Table2[[#This Row],[Customer ID]],Table2[#All],8,FALSE)</f>
        <v>No</v>
      </c>
      <c r="J1479" t="str">
        <f>VLOOKUP(Table2[[#This Row],[Customer ID]],Table2[#All],9,FALSE)</f>
        <v>Obesity</v>
      </c>
      <c r="K1479" t="str">
        <f>VLOOKUP(Table2[[#This Row],[Customer ID]],Table2[#All],10,FALSE)</f>
        <v>Normal</v>
      </c>
    </row>
    <row r="1480" spans="1:11" ht="15.6" x14ac:dyDescent="0.3">
      <c r="A1480" s="1" t="s">
        <v>892</v>
      </c>
      <c r="B1480" t="str">
        <f>VLOOKUP('Customer Names'!A1480,'Customer Names'!$A$1:$E$2336,4,FALSE)</f>
        <v>Mr.  Byron A</v>
      </c>
      <c r="C1480">
        <f>VLOOKUP(Table2[[#This Row],[Customer ID]],Table2[#All],2,FALSE)</f>
        <v>18.75</v>
      </c>
      <c r="D1480">
        <f>VLOOKUP(Table2[[#This Row],[Customer ID]],Table2[#All],3,FALSE)</f>
        <v>6.72</v>
      </c>
      <c r="E1480" t="str">
        <f>VLOOKUP(Table2[[#This Row],[Customer ID]],Table2[#All],4,FALSE)</f>
        <v>No</v>
      </c>
      <c r="F1480" t="str">
        <f>VLOOKUP(Table2[[#This Row],[Customer ID]],Table2[#All],5,FALSE)</f>
        <v>No</v>
      </c>
      <c r="G1480" t="str">
        <f>VLOOKUP(Table2[[#This Row],[Customer ID]],Table2[#All],6,FALSE)</f>
        <v>No</v>
      </c>
      <c r="H1480">
        <f>VLOOKUP(Table2[[#This Row],[Customer ID]],Table2[#All],7,FALSE)</f>
        <v>0</v>
      </c>
      <c r="I1480" t="str">
        <f>VLOOKUP(Table2[[#This Row],[Customer ID]],Table2[#All],8,FALSE)</f>
        <v>No</v>
      </c>
      <c r="J1480" t="str">
        <f>VLOOKUP(Table2[[#This Row],[Customer ID]],Table2[#All],9,FALSE)</f>
        <v>Normalweight</v>
      </c>
      <c r="K1480" t="str">
        <f>VLOOKUP(Table2[[#This Row],[Customer ID]],Table2[#All],10,FALSE)</f>
        <v>Diabetes</v>
      </c>
    </row>
    <row r="1481" spans="1:11" ht="15.6" x14ac:dyDescent="0.3">
      <c r="A1481" s="1" t="s">
        <v>891</v>
      </c>
      <c r="B1481" t="str">
        <f>VLOOKUP('Customer Names'!A1481,'Customer Names'!$A$1:$E$2336,4,FALSE)</f>
        <v>Ms.  Carine A</v>
      </c>
      <c r="C1481">
        <f>VLOOKUP(Table2[[#This Row],[Customer ID]],Table2[#All],2,FALSE)</f>
        <v>26.48</v>
      </c>
      <c r="D1481">
        <f>VLOOKUP(Table2[[#This Row],[Customer ID]],Table2[#All],3,FALSE)</f>
        <v>4.2</v>
      </c>
      <c r="E1481" t="str">
        <f>VLOOKUP(Table2[[#This Row],[Customer ID]],Table2[#All],4,FALSE)</f>
        <v>No</v>
      </c>
      <c r="F1481" t="str">
        <f>VLOOKUP(Table2[[#This Row],[Customer ID]],Table2[#All],5,FALSE)</f>
        <v>No</v>
      </c>
      <c r="G1481" t="str">
        <f>VLOOKUP(Table2[[#This Row],[Customer ID]],Table2[#All],6,FALSE)</f>
        <v>No</v>
      </c>
      <c r="H1481">
        <f>VLOOKUP(Table2[[#This Row],[Customer ID]],Table2[#All],7,FALSE)</f>
        <v>1</v>
      </c>
      <c r="I1481" t="str">
        <f>VLOOKUP(Table2[[#This Row],[Customer ID]],Table2[#All],8,FALSE)</f>
        <v>No</v>
      </c>
      <c r="J1481" t="str">
        <f>VLOOKUP(Table2[[#This Row],[Customer ID]],Table2[#All],9,FALSE)</f>
        <v>Overweight</v>
      </c>
      <c r="K1481" t="str">
        <f>VLOOKUP(Table2[[#This Row],[Customer ID]],Table2[#All],10,FALSE)</f>
        <v>Normal</v>
      </c>
    </row>
    <row r="1482" spans="1:11" ht="15.6" x14ac:dyDescent="0.3">
      <c r="A1482" s="1" t="s">
        <v>890</v>
      </c>
      <c r="B1482" t="str">
        <f>VLOOKUP('Customer Names'!A1482,'Customer Names'!$A$1:$E$2336,4,FALSE)</f>
        <v>Mr.  Nathaniel</v>
      </c>
      <c r="C1482">
        <f>VLOOKUP(Table2[[#This Row],[Customer ID]],Table2[#All],2,FALSE)</f>
        <v>34.83</v>
      </c>
      <c r="D1482">
        <f>VLOOKUP(Table2[[#This Row],[Customer ID]],Table2[#All],3,FALSE)</f>
        <v>5.79</v>
      </c>
      <c r="E1482" t="str">
        <f>VLOOKUP(Table2[[#This Row],[Customer ID]],Table2[#All],4,FALSE)</f>
        <v>No</v>
      </c>
      <c r="F1482" t="str">
        <f>VLOOKUP(Table2[[#This Row],[Customer ID]],Table2[#All],5,FALSE)</f>
        <v>No</v>
      </c>
      <c r="G1482" t="str">
        <f>VLOOKUP(Table2[[#This Row],[Customer ID]],Table2[#All],6,FALSE)</f>
        <v>No</v>
      </c>
      <c r="H1482">
        <f>VLOOKUP(Table2[[#This Row],[Customer ID]],Table2[#All],7,FALSE)</f>
        <v>1</v>
      </c>
      <c r="I1482" t="str">
        <f>VLOOKUP(Table2[[#This Row],[Customer ID]],Table2[#All],8,FALSE)</f>
        <v>No</v>
      </c>
      <c r="J1482" t="str">
        <f>VLOOKUP(Table2[[#This Row],[Customer ID]],Table2[#All],9,FALSE)</f>
        <v>Obesity</v>
      </c>
      <c r="K1482" t="str">
        <f>VLOOKUP(Table2[[#This Row],[Customer ID]],Table2[#All],10,FALSE)</f>
        <v>Prediabetes</v>
      </c>
    </row>
    <row r="1483" spans="1:11" ht="15.6" x14ac:dyDescent="0.3">
      <c r="A1483" s="1" t="s">
        <v>889</v>
      </c>
      <c r="B1483" t="str">
        <f>VLOOKUP('Customer Names'!A1483,'Customer Names'!$A$1:$E$2336,4,FALSE)</f>
        <v>Ms.  Lindsay A.</v>
      </c>
      <c r="C1483">
        <f>VLOOKUP(Table2[[#This Row],[Customer ID]],Table2[#All],2,FALSE)</f>
        <v>25.46</v>
      </c>
      <c r="D1483">
        <f>VLOOKUP(Table2[[#This Row],[Customer ID]],Table2[#All],3,FALSE)</f>
        <v>4.29</v>
      </c>
      <c r="E1483" t="str">
        <f>VLOOKUP(Table2[[#This Row],[Customer ID]],Table2[#All],4,FALSE)</f>
        <v>No</v>
      </c>
      <c r="F1483" t="str">
        <f>VLOOKUP(Table2[[#This Row],[Customer ID]],Table2[#All],5,FALSE)</f>
        <v>No</v>
      </c>
      <c r="G1483" t="str">
        <f>VLOOKUP(Table2[[#This Row],[Customer ID]],Table2[#All],6,FALSE)</f>
        <v>No</v>
      </c>
      <c r="H1483">
        <f>VLOOKUP(Table2[[#This Row],[Customer ID]],Table2[#All],7,FALSE)</f>
        <v>0</v>
      </c>
      <c r="I1483" t="str">
        <f>VLOOKUP(Table2[[#This Row],[Customer ID]],Table2[#All],8,FALSE)</f>
        <v>No</v>
      </c>
      <c r="J1483" t="str">
        <f>VLOOKUP(Table2[[#This Row],[Customer ID]],Table2[#All],9,FALSE)</f>
        <v>Overweight</v>
      </c>
      <c r="K1483" t="str">
        <f>VLOOKUP(Table2[[#This Row],[Customer ID]],Table2[#All],10,FALSE)</f>
        <v>Normal</v>
      </c>
    </row>
    <row r="1484" spans="1:11" ht="15.6" x14ac:dyDescent="0.3">
      <c r="A1484" s="1" t="s">
        <v>888</v>
      </c>
      <c r="B1484" t="str">
        <f>VLOOKUP('Customer Names'!A1484,'Customer Names'!$A$1:$E$2336,4,FALSE)</f>
        <v>Mr.  Justin R</v>
      </c>
      <c r="C1484">
        <f>VLOOKUP(Table2[[#This Row],[Customer ID]],Table2[#All],2,FALSE)</f>
        <v>23.31</v>
      </c>
      <c r="D1484">
        <f>VLOOKUP(Table2[[#This Row],[Customer ID]],Table2[#All],3,FALSE)</f>
        <v>8.27</v>
      </c>
      <c r="E1484" t="str">
        <f>VLOOKUP(Table2[[#This Row],[Customer ID]],Table2[#All],4,FALSE)</f>
        <v>No</v>
      </c>
      <c r="F1484" t="str">
        <f>VLOOKUP(Table2[[#This Row],[Customer ID]],Table2[#All],5,FALSE)</f>
        <v>No</v>
      </c>
      <c r="G1484" t="str">
        <f>VLOOKUP(Table2[[#This Row],[Customer ID]],Table2[#All],6,FALSE)</f>
        <v>No</v>
      </c>
      <c r="H1484">
        <f>VLOOKUP(Table2[[#This Row],[Customer ID]],Table2[#All],7,FALSE)</f>
        <v>0</v>
      </c>
      <c r="I1484" t="str">
        <f>VLOOKUP(Table2[[#This Row],[Customer ID]],Table2[#All],8,FALSE)</f>
        <v>No</v>
      </c>
      <c r="J1484" t="str">
        <f>VLOOKUP(Table2[[#This Row],[Customer ID]],Table2[#All],9,FALSE)</f>
        <v>Normalweight</v>
      </c>
      <c r="K1484" t="str">
        <f>VLOOKUP(Table2[[#This Row],[Customer ID]],Table2[#All],10,FALSE)</f>
        <v>Diabetes</v>
      </c>
    </row>
    <row r="1485" spans="1:11" ht="15.6" x14ac:dyDescent="0.3">
      <c r="A1485" s="1" t="s">
        <v>887</v>
      </c>
      <c r="B1485" t="str">
        <f>VLOOKUP('Customer Names'!A1485,'Customer Names'!$A$1:$E$2336,4,FALSE)</f>
        <v>Ms.  Casey</v>
      </c>
      <c r="C1485">
        <f>VLOOKUP(Table2[[#This Row],[Customer ID]],Table2[#All],2,FALSE)</f>
        <v>29</v>
      </c>
      <c r="D1485">
        <f>VLOOKUP(Table2[[#This Row],[Customer ID]],Table2[#All],3,FALSE)</f>
        <v>4.5599999999999996</v>
      </c>
      <c r="E1485" t="str">
        <f>VLOOKUP(Table2[[#This Row],[Customer ID]],Table2[#All],4,FALSE)</f>
        <v>No</v>
      </c>
      <c r="F1485" t="str">
        <f>VLOOKUP(Table2[[#This Row],[Customer ID]],Table2[#All],5,FALSE)</f>
        <v>No</v>
      </c>
      <c r="G1485" t="str">
        <f>VLOOKUP(Table2[[#This Row],[Customer ID]],Table2[#All],6,FALSE)</f>
        <v>No</v>
      </c>
      <c r="H1485">
        <f>VLOOKUP(Table2[[#This Row],[Customer ID]],Table2[#All],7,FALSE)</f>
        <v>0</v>
      </c>
      <c r="I1485" t="str">
        <f>VLOOKUP(Table2[[#This Row],[Customer ID]],Table2[#All],8,FALSE)</f>
        <v>No</v>
      </c>
      <c r="J1485" t="str">
        <f>VLOOKUP(Table2[[#This Row],[Customer ID]],Table2[#All],9,FALSE)</f>
        <v>Overweight</v>
      </c>
      <c r="K1485" t="str">
        <f>VLOOKUP(Table2[[#This Row],[Customer ID]],Table2[#All],10,FALSE)</f>
        <v>Normal</v>
      </c>
    </row>
    <row r="1486" spans="1:11" ht="15.6" x14ac:dyDescent="0.3">
      <c r="A1486" s="1" t="s">
        <v>886</v>
      </c>
      <c r="B1486" t="str">
        <f>VLOOKUP('Customer Names'!A1486,'Customer Names'!$A$1:$E$2336,4,FALSE)</f>
        <v>Ms.  Amanda L</v>
      </c>
      <c r="C1486">
        <f>VLOOKUP(Table2[[#This Row],[Customer ID]],Table2[#All],2,FALSE)</f>
        <v>32.869999999999997</v>
      </c>
      <c r="D1486">
        <f>VLOOKUP(Table2[[#This Row],[Customer ID]],Table2[#All],3,FALSE)</f>
        <v>5.33</v>
      </c>
      <c r="E1486" t="str">
        <f>VLOOKUP(Table2[[#This Row],[Customer ID]],Table2[#All],4,FALSE)</f>
        <v>No</v>
      </c>
      <c r="F1486" t="str">
        <f>VLOOKUP(Table2[[#This Row],[Customer ID]],Table2[#All],5,FALSE)</f>
        <v>No</v>
      </c>
      <c r="G1486" t="str">
        <f>VLOOKUP(Table2[[#This Row],[Customer ID]],Table2[#All],6,FALSE)</f>
        <v>No</v>
      </c>
      <c r="H1486">
        <f>VLOOKUP(Table2[[#This Row],[Customer ID]],Table2[#All],7,FALSE)</f>
        <v>0</v>
      </c>
      <c r="I1486" t="str">
        <f>VLOOKUP(Table2[[#This Row],[Customer ID]],Table2[#All],8,FALSE)</f>
        <v>No</v>
      </c>
      <c r="J1486" t="str">
        <f>VLOOKUP(Table2[[#This Row],[Customer ID]],Table2[#All],9,FALSE)</f>
        <v>Obesity</v>
      </c>
      <c r="K1486" t="str">
        <f>VLOOKUP(Table2[[#This Row],[Customer ID]],Table2[#All],10,FALSE)</f>
        <v>Normal</v>
      </c>
    </row>
    <row r="1487" spans="1:11" ht="15.6" x14ac:dyDescent="0.3">
      <c r="A1487" s="1" t="s">
        <v>885</v>
      </c>
      <c r="B1487" t="str">
        <f>VLOOKUP('Customer Names'!A1487,'Customer Names'!$A$1:$E$2336,4,FALSE)</f>
        <v>Ms.  Ayako N.</v>
      </c>
      <c r="C1487">
        <f>VLOOKUP(Table2[[#This Row],[Customer ID]],Table2[#All],2,FALSE)</f>
        <v>26.18</v>
      </c>
      <c r="D1487">
        <f>VLOOKUP(Table2[[#This Row],[Customer ID]],Table2[#All],3,FALSE)</f>
        <v>5.63</v>
      </c>
      <c r="E1487" t="str">
        <f>VLOOKUP(Table2[[#This Row],[Customer ID]],Table2[#All],4,FALSE)</f>
        <v>No</v>
      </c>
      <c r="F1487" t="str">
        <f>VLOOKUP(Table2[[#This Row],[Customer ID]],Table2[#All],5,FALSE)</f>
        <v>No</v>
      </c>
      <c r="G1487" t="str">
        <f>VLOOKUP(Table2[[#This Row],[Customer ID]],Table2[#All],6,FALSE)</f>
        <v>No</v>
      </c>
      <c r="H1487">
        <f>VLOOKUP(Table2[[#This Row],[Customer ID]],Table2[#All],7,FALSE)</f>
        <v>0</v>
      </c>
      <c r="I1487" t="str">
        <f>VLOOKUP(Table2[[#This Row],[Customer ID]],Table2[#All],8,FALSE)</f>
        <v>No</v>
      </c>
      <c r="J1487" t="str">
        <f>VLOOKUP(Table2[[#This Row],[Customer ID]],Table2[#All],9,FALSE)</f>
        <v>Overweight</v>
      </c>
      <c r="K1487" t="str">
        <f>VLOOKUP(Table2[[#This Row],[Customer ID]],Table2[#All],10,FALSE)</f>
        <v>Normal</v>
      </c>
    </row>
    <row r="1488" spans="1:11" ht="15.6" x14ac:dyDescent="0.3">
      <c r="A1488" s="1" t="s">
        <v>884</v>
      </c>
      <c r="B1488" t="str">
        <f>VLOOKUP('Customer Names'!A1488,'Customer Names'!$A$1:$E$2336,4,FALSE)</f>
        <v>Ms.  Emilee</v>
      </c>
      <c r="C1488">
        <f>VLOOKUP(Table2[[#This Row],[Customer ID]],Table2[#All],2,FALSE)</f>
        <v>25.3</v>
      </c>
      <c r="D1488">
        <f>VLOOKUP(Table2[[#This Row],[Customer ID]],Table2[#All],3,FALSE)</f>
        <v>5.12</v>
      </c>
      <c r="E1488" t="str">
        <f>VLOOKUP(Table2[[#This Row],[Customer ID]],Table2[#All],4,FALSE)</f>
        <v>No</v>
      </c>
      <c r="F1488" t="str">
        <f>VLOOKUP(Table2[[#This Row],[Customer ID]],Table2[#All],5,FALSE)</f>
        <v>No</v>
      </c>
      <c r="G1488" t="str">
        <f>VLOOKUP(Table2[[#This Row],[Customer ID]],Table2[#All],6,FALSE)</f>
        <v>No</v>
      </c>
      <c r="H1488">
        <f>VLOOKUP(Table2[[#This Row],[Customer ID]],Table2[#All],7,FALSE)</f>
        <v>0</v>
      </c>
      <c r="I1488" t="str">
        <f>VLOOKUP(Table2[[#This Row],[Customer ID]],Table2[#All],8,FALSE)</f>
        <v>No</v>
      </c>
      <c r="J1488" t="str">
        <f>VLOOKUP(Table2[[#This Row],[Customer ID]],Table2[#All],9,FALSE)</f>
        <v>Overweight</v>
      </c>
      <c r="K1488" t="str">
        <f>VLOOKUP(Table2[[#This Row],[Customer ID]],Table2[#All],10,FALSE)</f>
        <v>Normal</v>
      </c>
    </row>
    <row r="1489" spans="1:11" ht="15.6" x14ac:dyDescent="0.3">
      <c r="A1489" s="1" t="s">
        <v>883</v>
      </c>
      <c r="B1489" t="str">
        <f>VLOOKUP('Customer Names'!A1489,'Customer Names'!$A$1:$E$2336,4,FALSE)</f>
        <v>Mr.  Stephen M</v>
      </c>
      <c r="C1489">
        <f>VLOOKUP(Table2[[#This Row],[Customer ID]],Table2[#All],2,FALSE)</f>
        <v>36.94</v>
      </c>
      <c r="D1489">
        <f>VLOOKUP(Table2[[#This Row],[Customer ID]],Table2[#All],3,FALSE)</f>
        <v>5.15</v>
      </c>
      <c r="E1489" t="str">
        <f>VLOOKUP(Table2[[#This Row],[Customer ID]],Table2[#All],4,FALSE)</f>
        <v>Yes</v>
      </c>
      <c r="F1489" t="str">
        <f>VLOOKUP(Table2[[#This Row],[Customer ID]],Table2[#All],5,FALSE)</f>
        <v>No</v>
      </c>
      <c r="G1489" t="str">
        <f>VLOOKUP(Table2[[#This Row],[Customer ID]],Table2[#All],6,FALSE)</f>
        <v>No</v>
      </c>
      <c r="H1489">
        <f>VLOOKUP(Table2[[#This Row],[Customer ID]],Table2[#All],7,FALSE)</f>
        <v>1</v>
      </c>
      <c r="I1489" t="str">
        <f>VLOOKUP(Table2[[#This Row],[Customer ID]],Table2[#All],8,FALSE)</f>
        <v>No</v>
      </c>
      <c r="J1489" t="str">
        <f>VLOOKUP(Table2[[#This Row],[Customer ID]],Table2[#All],9,FALSE)</f>
        <v>Obesity</v>
      </c>
      <c r="K1489" t="str">
        <f>VLOOKUP(Table2[[#This Row],[Customer ID]],Table2[#All],10,FALSE)</f>
        <v>Normal</v>
      </c>
    </row>
    <row r="1490" spans="1:11" ht="15.6" x14ac:dyDescent="0.3">
      <c r="A1490" s="1" t="s">
        <v>882</v>
      </c>
      <c r="B1490" t="str">
        <f>VLOOKUP('Customer Names'!A1490,'Customer Names'!$A$1:$E$2336,4,FALSE)</f>
        <v>Ms.  Annemarie A</v>
      </c>
      <c r="C1490">
        <f>VLOOKUP(Table2[[#This Row],[Customer ID]],Table2[#All],2,FALSE)</f>
        <v>22.86</v>
      </c>
      <c r="D1490">
        <f>VLOOKUP(Table2[[#This Row],[Customer ID]],Table2[#All],3,FALSE)</f>
        <v>7.5</v>
      </c>
      <c r="E1490" t="str">
        <f>VLOOKUP(Table2[[#This Row],[Customer ID]],Table2[#All],4,FALSE)</f>
        <v>No</v>
      </c>
      <c r="F1490" t="str">
        <f>VLOOKUP(Table2[[#This Row],[Customer ID]],Table2[#All],5,FALSE)</f>
        <v>No</v>
      </c>
      <c r="G1490" t="str">
        <f>VLOOKUP(Table2[[#This Row],[Customer ID]],Table2[#All],6,FALSE)</f>
        <v>No</v>
      </c>
      <c r="H1490">
        <f>VLOOKUP(Table2[[#This Row],[Customer ID]],Table2[#All],7,FALSE)</f>
        <v>0</v>
      </c>
      <c r="I1490" t="str">
        <f>VLOOKUP(Table2[[#This Row],[Customer ID]],Table2[#All],8,FALSE)</f>
        <v>No</v>
      </c>
      <c r="J1490" t="str">
        <f>VLOOKUP(Table2[[#This Row],[Customer ID]],Table2[#All],9,FALSE)</f>
        <v>Normalweight</v>
      </c>
      <c r="K1490" t="str">
        <f>VLOOKUP(Table2[[#This Row],[Customer ID]],Table2[#All],10,FALSE)</f>
        <v>Diabetes</v>
      </c>
    </row>
    <row r="1491" spans="1:11" ht="15.6" x14ac:dyDescent="0.3">
      <c r="A1491" s="1" t="s">
        <v>881</v>
      </c>
      <c r="B1491" t="str">
        <f>VLOOKUP('Customer Names'!A1491,'Customer Names'!$A$1:$E$2336,4,FALSE)</f>
        <v>Ms.  Ashley R</v>
      </c>
      <c r="C1491">
        <f>VLOOKUP(Table2[[#This Row],[Customer ID]],Table2[#All],2,FALSE)</f>
        <v>18.760000000000002</v>
      </c>
      <c r="D1491">
        <f>VLOOKUP(Table2[[#This Row],[Customer ID]],Table2[#All],3,FALSE)</f>
        <v>4.88</v>
      </c>
      <c r="E1491" t="str">
        <f>VLOOKUP(Table2[[#This Row],[Customer ID]],Table2[#All],4,FALSE)</f>
        <v>Yes</v>
      </c>
      <c r="F1491" t="str">
        <f>VLOOKUP(Table2[[#This Row],[Customer ID]],Table2[#All],5,FALSE)</f>
        <v>No</v>
      </c>
      <c r="G1491" t="str">
        <f>VLOOKUP(Table2[[#This Row],[Customer ID]],Table2[#All],6,FALSE)</f>
        <v>Yes</v>
      </c>
      <c r="H1491">
        <f>VLOOKUP(Table2[[#This Row],[Customer ID]],Table2[#All],7,FALSE)</f>
        <v>1</v>
      </c>
      <c r="I1491" t="str">
        <f>VLOOKUP(Table2[[#This Row],[Customer ID]],Table2[#All],8,FALSE)</f>
        <v>No</v>
      </c>
      <c r="J1491" t="str">
        <f>VLOOKUP(Table2[[#This Row],[Customer ID]],Table2[#All],9,FALSE)</f>
        <v>Normalweight</v>
      </c>
      <c r="K1491" t="str">
        <f>VLOOKUP(Table2[[#This Row],[Customer ID]],Table2[#All],10,FALSE)</f>
        <v>Normal</v>
      </c>
    </row>
    <row r="1492" spans="1:11" ht="15.6" x14ac:dyDescent="0.3">
      <c r="A1492" s="1" t="s">
        <v>880</v>
      </c>
      <c r="B1492" t="str">
        <f>VLOOKUP('Customer Names'!A1492,'Customer Names'!$A$1:$E$2336,4,FALSE)</f>
        <v>Ms.  Leslie A</v>
      </c>
      <c r="C1492">
        <f>VLOOKUP(Table2[[#This Row],[Customer ID]],Table2[#All],2,FALSE)</f>
        <v>24.36</v>
      </c>
      <c r="D1492">
        <f>VLOOKUP(Table2[[#This Row],[Customer ID]],Table2[#All],3,FALSE)</f>
        <v>5.57</v>
      </c>
      <c r="E1492" t="str">
        <f>VLOOKUP(Table2[[#This Row],[Customer ID]],Table2[#All],4,FALSE)</f>
        <v>No</v>
      </c>
      <c r="F1492" t="str">
        <f>VLOOKUP(Table2[[#This Row],[Customer ID]],Table2[#All],5,FALSE)</f>
        <v>No</v>
      </c>
      <c r="G1492" t="str">
        <f>VLOOKUP(Table2[[#This Row],[Customer ID]],Table2[#All],6,FALSE)</f>
        <v>No</v>
      </c>
      <c r="H1492">
        <f>VLOOKUP(Table2[[#This Row],[Customer ID]],Table2[#All],7,FALSE)</f>
        <v>0</v>
      </c>
      <c r="I1492" t="str">
        <f>VLOOKUP(Table2[[#This Row],[Customer ID]],Table2[#All],8,FALSE)</f>
        <v>No</v>
      </c>
      <c r="J1492" t="str">
        <f>VLOOKUP(Table2[[#This Row],[Customer ID]],Table2[#All],9,FALSE)</f>
        <v>Normalweight</v>
      </c>
      <c r="K1492" t="str">
        <f>VLOOKUP(Table2[[#This Row],[Customer ID]],Table2[#All],10,FALSE)</f>
        <v>Normal</v>
      </c>
    </row>
    <row r="1493" spans="1:11" ht="15.6" x14ac:dyDescent="0.3">
      <c r="A1493" s="1" t="s">
        <v>879</v>
      </c>
      <c r="B1493" t="str">
        <f>VLOOKUP('Customer Names'!A1493,'Customer Names'!$A$1:$E$2336,4,FALSE)</f>
        <v>Mr.  Mauricio J. Sr.</v>
      </c>
      <c r="C1493">
        <f>VLOOKUP(Table2[[#This Row],[Customer ID]],Table2[#All],2,FALSE)</f>
        <v>32.299999999999997</v>
      </c>
      <c r="D1493">
        <f>VLOOKUP(Table2[[#This Row],[Customer ID]],Table2[#All],3,FALSE)</f>
        <v>5.31</v>
      </c>
      <c r="E1493" t="str">
        <f>VLOOKUP(Table2[[#This Row],[Customer ID]],Table2[#All],4,FALSE)</f>
        <v>No</v>
      </c>
      <c r="F1493" t="str">
        <f>VLOOKUP(Table2[[#This Row],[Customer ID]],Table2[#All],5,FALSE)</f>
        <v>No</v>
      </c>
      <c r="G1493" t="str">
        <f>VLOOKUP(Table2[[#This Row],[Customer ID]],Table2[#All],6,FALSE)</f>
        <v>No</v>
      </c>
      <c r="H1493">
        <f>VLOOKUP(Table2[[#This Row],[Customer ID]],Table2[#All],7,FALSE)</f>
        <v>0</v>
      </c>
      <c r="I1493" t="str">
        <f>VLOOKUP(Table2[[#This Row],[Customer ID]],Table2[#All],8,FALSE)</f>
        <v>No</v>
      </c>
      <c r="J1493" t="str">
        <f>VLOOKUP(Table2[[#This Row],[Customer ID]],Table2[#All],9,FALSE)</f>
        <v>Obesity</v>
      </c>
      <c r="K1493" t="str">
        <f>VLOOKUP(Table2[[#This Row],[Customer ID]],Table2[#All],10,FALSE)</f>
        <v>Normal</v>
      </c>
    </row>
    <row r="1494" spans="1:11" ht="15.6" x14ac:dyDescent="0.3">
      <c r="A1494" s="1" t="s">
        <v>878</v>
      </c>
      <c r="B1494" t="str">
        <f>VLOOKUP('Customer Names'!A1494,'Customer Names'!$A$1:$E$2336,4,FALSE)</f>
        <v>Mr.  Kieran</v>
      </c>
      <c r="C1494">
        <f>VLOOKUP(Table2[[#This Row],[Customer ID]],Table2[#All],2,FALSE)</f>
        <v>22.704999999999998</v>
      </c>
      <c r="D1494">
        <f>VLOOKUP(Table2[[#This Row],[Customer ID]],Table2[#All],3,FALSE)</f>
        <v>4.57</v>
      </c>
      <c r="E1494" t="str">
        <f>VLOOKUP(Table2[[#This Row],[Customer ID]],Table2[#All],4,FALSE)</f>
        <v>Yes</v>
      </c>
      <c r="F1494" t="str">
        <f>VLOOKUP(Table2[[#This Row],[Customer ID]],Table2[#All],5,FALSE)</f>
        <v>No</v>
      </c>
      <c r="G1494" t="str">
        <f>VLOOKUP(Table2[[#This Row],[Customer ID]],Table2[#All],6,FALSE)</f>
        <v>No</v>
      </c>
      <c r="H1494">
        <f>VLOOKUP(Table2[[#This Row],[Customer ID]],Table2[#All],7,FALSE)</f>
        <v>0</v>
      </c>
      <c r="I1494" t="str">
        <f>VLOOKUP(Table2[[#This Row],[Customer ID]],Table2[#All],8,FALSE)</f>
        <v>No</v>
      </c>
      <c r="J1494" t="str">
        <f>VLOOKUP(Table2[[#This Row],[Customer ID]],Table2[#All],9,FALSE)</f>
        <v>Normalweight</v>
      </c>
      <c r="K1494" t="str">
        <f>VLOOKUP(Table2[[#This Row],[Customer ID]],Table2[#All],10,FALSE)</f>
        <v>Normal</v>
      </c>
    </row>
    <row r="1495" spans="1:11" ht="15.6" x14ac:dyDescent="0.3">
      <c r="A1495" s="1" t="s">
        <v>877</v>
      </c>
      <c r="B1495" t="str">
        <f>VLOOKUP('Customer Names'!A1495,'Customer Names'!$A$1:$E$2336,4,FALSE)</f>
        <v>Ms.  Elizabeth A</v>
      </c>
      <c r="C1495">
        <f>VLOOKUP(Table2[[#This Row],[Customer ID]],Table2[#All],2,FALSE)</f>
        <v>21.79</v>
      </c>
      <c r="D1495">
        <f>VLOOKUP(Table2[[#This Row],[Customer ID]],Table2[#All],3,FALSE)</f>
        <v>8.6999999999999993</v>
      </c>
      <c r="E1495" t="str">
        <f>VLOOKUP(Table2[[#This Row],[Customer ID]],Table2[#All],4,FALSE)</f>
        <v>Yes</v>
      </c>
      <c r="F1495" t="str">
        <f>VLOOKUP(Table2[[#This Row],[Customer ID]],Table2[#All],5,FALSE)</f>
        <v>No</v>
      </c>
      <c r="G1495" t="str">
        <f>VLOOKUP(Table2[[#This Row],[Customer ID]],Table2[#All],6,FALSE)</f>
        <v>No</v>
      </c>
      <c r="H1495">
        <f>VLOOKUP(Table2[[#This Row],[Customer ID]],Table2[#All],7,FALSE)</f>
        <v>1</v>
      </c>
      <c r="I1495" t="str">
        <f>VLOOKUP(Table2[[#This Row],[Customer ID]],Table2[#All],8,FALSE)</f>
        <v>No</v>
      </c>
      <c r="J1495" t="str">
        <f>VLOOKUP(Table2[[#This Row],[Customer ID]],Table2[#All],9,FALSE)</f>
        <v>Normalweight</v>
      </c>
      <c r="K1495" t="str">
        <f>VLOOKUP(Table2[[#This Row],[Customer ID]],Table2[#All],10,FALSE)</f>
        <v>Diabetes</v>
      </c>
    </row>
    <row r="1496" spans="1:11" ht="15.6" x14ac:dyDescent="0.3">
      <c r="A1496" s="1" t="s">
        <v>876</v>
      </c>
      <c r="B1496" t="str">
        <f>VLOOKUP('Customer Names'!A1496,'Customer Names'!$A$1:$E$2336,4,FALSE)</f>
        <v>Mr.  Zeke M.</v>
      </c>
      <c r="C1496">
        <f>VLOOKUP(Table2[[#This Row],[Customer ID]],Table2[#All],2,FALSE)</f>
        <v>24.52</v>
      </c>
      <c r="D1496">
        <f>VLOOKUP(Table2[[#This Row],[Customer ID]],Table2[#All],3,FALSE)</f>
        <v>4.76</v>
      </c>
      <c r="E1496" t="str">
        <f>VLOOKUP(Table2[[#This Row],[Customer ID]],Table2[#All],4,FALSE)</f>
        <v>No</v>
      </c>
      <c r="F1496" t="str">
        <f>VLOOKUP(Table2[[#This Row],[Customer ID]],Table2[#All],5,FALSE)</f>
        <v>No</v>
      </c>
      <c r="G1496" t="str">
        <f>VLOOKUP(Table2[[#This Row],[Customer ID]],Table2[#All],6,FALSE)</f>
        <v>No</v>
      </c>
      <c r="H1496">
        <f>VLOOKUP(Table2[[#This Row],[Customer ID]],Table2[#All],7,FALSE)</f>
        <v>0</v>
      </c>
      <c r="I1496" t="str">
        <f>VLOOKUP(Table2[[#This Row],[Customer ID]],Table2[#All],8,FALSE)</f>
        <v>No</v>
      </c>
      <c r="J1496" t="str">
        <f>VLOOKUP(Table2[[#This Row],[Customer ID]],Table2[#All],9,FALSE)</f>
        <v>Normalweight</v>
      </c>
      <c r="K1496" t="str">
        <f>VLOOKUP(Table2[[#This Row],[Customer ID]],Table2[#All],10,FALSE)</f>
        <v>Normal</v>
      </c>
    </row>
    <row r="1497" spans="1:11" ht="15.6" x14ac:dyDescent="0.3">
      <c r="A1497" s="1" t="s">
        <v>875</v>
      </c>
      <c r="B1497" t="str">
        <f>VLOOKUP('Customer Names'!A1497,'Customer Names'!$A$1:$E$2336,4,FALSE)</f>
        <v>Mr.  Chip</v>
      </c>
      <c r="C1497">
        <f>VLOOKUP(Table2[[#This Row],[Customer ID]],Table2[#All],2,FALSE)</f>
        <v>39.520000000000003</v>
      </c>
      <c r="D1497">
        <f>VLOOKUP(Table2[[#This Row],[Customer ID]],Table2[#All],3,FALSE)</f>
        <v>11.81</v>
      </c>
      <c r="E1497" t="str">
        <f>VLOOKUP(Table2[[#This Row],[Customer ID]],Table2[#All],4,FALSE)</f>
        <v>No</v>
      </c>
      <c r="F1497" t="str">
        <f>VLOOKUP(Table2[[#This Row],[Customer ID]],Table2[#All],5,FALSE)</f>
        <v>No</v>
      </c>
      <c r="G1497" t="str">
        <f>VLOOKUP(Table2[[#This Row],[Customer ID]],Table2[#All],6,FALSE)</f>
        <v>No</v>
      </c>
      <c r="H1497">
        <f>VLOOKUP(Table2[[#This Row],[Customer ID]],Table2[#All],7,FALSE)</f>
        <v>0</v>
      </c>
      <c r="I1497" t="str">
        <f>VLOOKUP(Table2[[#This Row],[Customer ID]],Table2[#All],8,FALSE)</f>
        <v>No</v>
      </c>
      <c r="J1497" t="str">
        <f>VLOOKUP(Table2[[#This Row],[Customer ID]],Table2[#All],9,FALSE)</f>
        <v>Obesity</v>
      </c>
      <c r="K1497" t="str">
        <f>VLOOKUP(Table2[[#This Row],[Customer ID]],Table2[#All],10,FALSE)</f>
        <v>Diabetes</v>
      </c>
    </row>
    <row r="1498" spans="1:11" ht="15.6" x14ac:dyDescent="0.3">
      <c r="A1498" s="1" t="s">
        <v>874</v>
      </c>
      <c r="B1498" t="str">
        <f>VLOOKUP('Customer Names'!A1498,'Customer Names'!$A$1:$E$2336,4,FALSE)</f>
        <v>Mr.  Miguel Angel Sr.</v>
      </c>
      <c r="C1498">
        <f>VLOOKUP(Table2[[#This Row],[Customer ID]],Table2[#All],2,FALSE)</f>
        <v>24.49</v>
      </c>
      <c r="D1498">
        <f>VLOOKUP(Table2[[#This Row],[Customer ID]],Table2[#All],3,FALSE)</f>
        <v>4.67</v>
      </c>
      <c r="E1498" t="str">
        <f>VLOOKUP(Table2[[#This Row],[Customer ID]],Table2[#All],4,FALSE)</f>
        <v>No</v>
      </c>
      <c r="F1498" t="str">
        <f>VLOOKUP(Table2[[#This Row],[Customer ID]],Table2[#All],5,FALSE)</f>
        <v>No</v>
      </c>
      <c r="G1498" t="str">
        <f>VLOOKUP(Table2[[#This Row],[Customer ID]],Table2[#All],6,FALSE)</f>
        <v>No</v>
      </c>
      <c r="H1498">
        <f>VLOOKUP(Table2[[#This Row],[Customer ID]],Table2[#All],7,FALSE)</f>
        <v>0</v>
      </c>
      <c r="I1498" t="str">
        <f>VLOOKUP(Table2[[#This Row],[Customer ID]],Table2[#All],8,FALSE)</f>
        <v>No</v>
      </c>
      <c r="J1498" t="str">
        <f>VLOOKUP(Table2[[#This Row],[Customer ID]],Table2[#All],9,FALSE)</f>
        <v>Normalweight</v>
      </c>
      <c r="K1498" t="str">
        <f>VLOOKUP(Table2[[#This Row],[Customer ID]],Table2[#All],10,FALSE)</f>
        <v>Normal</v>
      </c>
    </row>
    <row r="1499" spans="1:11" ht="15.6" x14ac:dyDescent="0.3">
      <c r="A1499" s="1" t="s">
        <v>873</v>
      </c>
      <c r="B1499" t="str">
        <f>VLOOKUP('Customer Names'!A1499,'Customer Names'!$A$1:$E$2336,4,FALSE)</f>
        <v>Mr.  Brian</v>
      </c>
      <c r="C1499">
        <f>VLOOKUP(Table2[[#This Row],[Customer ID]],Table2[#All],2,FALSE)</f>
        <v>26.315000000000001</v>
      </c>
      <c r="D1499">
        <f>VLOOKUP(Table2[[#This Row],[Customer ID]],Table2[#All],3,FALSE)</f>
        <v>6.02</v>
      </c>
      <c r="E1499" t="str">
        <f>VLOOKUP(Table2[[#This Row],[Customer ID]],Table2[#All],4,FALSE)</f>
        <v>No</v>
      </c>
      <c r="F1499" t="str">
        <f>VLOOKUP(Table2[[#This Row],[Customer ID]],Table2[#All],5,FALSE)</f>
        <v>No</v>
      </c>
      <c r="G1499" t="str">
        <f>VLOOKUP(Table2[[#This Row],[Customer ID]],Table2[#All],6,FALSE)</f>
        <v>No</v>
      </c>
      <c r="H1499">
        <f>VLOOKUP(Table2[[#This Row],[Customer ID]],Table2[#All],7,FALSE)</f>
        <v>0</v>
      </c>
      <c r="I1499" t="str">
        <f>VLOOKUP(Table2[[#This Row],[Customer ID]],Table2[#All],8,FALSE)</f>
        <v>No</v>
      </c>
      <c r="J1499" t="str">
        <f>VLOOKUP(Table2[[#This Row],[Customer ID]],Table2[#All],9,FALSE)</f>
        <v>Overweight</v>
      </c>
      <c r="K1499" t="str">
        <f>VLOOKUP(Table2[[#This Row],[Customer ID]],Table2[#All],10,FALSE)</f>
        <v>Prediabetes</v>
      </c>
    </row>
    <row r="1500" spans="1:11" ht="15.6" x14ac:dyDescent="0.3">
      <c r="A1500" s="1" t="s">
        <v>872</v>
      </c>
      <c r="B1500" t="str">
        <f>VLOOKUP('Customer Names'!A1500,'Customer Names'!$A$1:$E$2336,4,FALSE)</f>
        <v>Ms.  Meghan</v>
      </c>
      <c r="C1500">
        <f>VLOOKUP(Table2[[#This Row],[Customer ID]],Table2[#All],2,FALSE)</f>
        <v>22.58</v>
      </c>
      <c r="D1500">
        <f>VLOOKUP(Table2[[#This Row],[Customer ID]],Table2[#All],3,FALSE)</f>
        <v>7.46</v>
      </c>
      <c r="E1500" t="str">
        <f>VLOOKUP(Table2[[#This Row],[Customer ID]],Table2[#All],4,FALSE)</f>
        <v>No</v>
      </c>
      <c r="F1500" t="str">
        <f>VLOOKUP(Table2[[#This Row],[Customer ID]],Table2[#All],5,FALSE)</f>
        <v>No</v>
      </c>
      <c r="G1500" t="str">
        <f>VLOOKUP(Table2[[#This Row],[Customer ID]],Table2[#All],6,FALSE)</f>
        <v>No</v>
      </c>
      <c r="H1500">
        <f>VLOOKUP(Table2[[#This Row],[Customer ID]],Table2[#All],7,FALSE)</f>
        <v>0</v>
      </c>
      <c r="I1500" t="str">
        <f>VLOOKUP(Table2[[#This Row],[Customer ID]],Table2[#All],8,FALSE)</f>
        <v>No</v>
      </c>
      <c r="J1500" t="str">
        <f>VLOOKUP(Table2[[#This Row],[Customer ID]],Table2[#All],9,FALSE)</f>
        <v>Normalweight</v>
      </c>
      <c r="K1500" t="str">
        <f>VLOOKUP(Table2[[#This Row],[Customer ID]],Table2[#All],10,FALSE)</f>
        <v>Diabetes</v>
      </c>
    </row>
    <row r="1501" spans="1:11" ht="15.6" x14ac:dyDescent="0.3">
      <c r="A1501" s="1" t="s">
        <v>871</v>
      </c>
      <c r="B1501" t="str">
        <f>VLOOKUP('Customer Names'!A1501,'Customer Names'!$A$1:$E$2336,4,FALSE)</f>
        <v>Ms.  Meredith L.</v>
      </c>
      <c r="C1501">
        <f>VLOOKUP(Table2[[#This Row],[Customer ID]],Table2[#All],2,FALSE)</f>
        <v>19.475000000000001</v>
      </c>
      <c r="D1501">
        <f>VLOOKUP(Table2[[#This Row],[Customer ID]],Table2[#All],3,FALSE)</f>
        <v>4.74</v>
      </c>
      <c r="E1501" t="str">
        <f>VLOOKUP(Table2[[#This Row],[Customer ID]],Table2[#All],4,FALSE)</f>
        <v>No</v>
      </c>
      <c r="F1501" t="str">
        <f>VLOOKUP(Table2[[#This Row],[Customer ID]],Table2[#All],5,FALSE)</f>
        <v>No</v>
      </c>
      <c r="G1501" t="str">
        <f>VLOOKUP(Table2[[#This Row],[Customer ID]],Table2[#All],6,FALSE)</f>
        <v>No</v>
      </c>
      <c r="H1501">
        <f>VLOOKUP(Table2[[#This Row],[Customer ID]],Table2[#All],7,FALSE)</f>
        <v>1</v>
      </c>
      <c r="I1501" t="str">
        <f>VLOOKUP(Table2[[#This Row],[Customer ID]],Table2[#All],8,FALSE)</f>
        <v>No</v>
      </c>
      <c r="J1501" t="str">
        <f>VLOOKUP(Table2[[#This Row],[Customer ID]],Table2[#All],9,FALSE)</f>
        <v>Normalweight</v>
      </c>
      <c r="K1501" t="str">
        <f>VLOOKUP(Table2[[#This Row],[Customer ID]],Table2[#All],10,FALSE)</f>
        <v>Normal</v>
      </c>
    </row>
    <row r="1502" spans="1:11" ht="15.6" x14ac:dyDescent="0.3">
      <c r="A1502" s="1" t="s">
        <v>870</v>
      </c>
      <c r="B1502" t="str">
        <f>VLOOKUP('Customer Names'!A1502,'Customer Names'!$A$1:$E$2336,4,FALSE)</f>
        <v>Mrs.  Millicent M</v>
      </c>
      <c r="C1502">
        <f>VLOOKUP(Table2[[#This Row],[Customer ID]],Table2[#All],2,FALSE)</f>
        <v>26.33</v>
      </c>
      <c r="D1502">
        <f>VLOOKUP(Table2[[#This Row],[Customer ID]],Table2[#All],3,FALSE)</f>
        <v>4.79</v>
      </c>
      <c r="E1502" t="str">
        <f>VLOOKUP(Table2[[#This Row],[Customer ID]],Table2[#All],4,FALSE)</f>
        <v>No</v>
      </c>
      <c r="F1502" t="str">
        <f>VLOOKUP(Table2[[#This Row],[Customer ID]],Table2[#All],5,FALSE)</f>
        <v>No</v>
      </c>
      <c r="G1502" t="str">
        <f>VLOOKUP(Table2[[#This Row],[Customer ID]],Table2[#All],6,FALSE)</f>
        <v>No</v>
      </c>
      <c r="H1502">
        <f>VLOOKUP(Table2[[#This Row],[Customer ID]],Table2[#All],7,FALSE)</f>
        <v>0</v>
      </c>
      <c r="I1502" t="str">
        <f>VLOOKUP(Table2[[#This Row],[Customer ID]],Table2[#All],8,FALSE)</f>
        <v>No</v>
      </c>
      <c r="J1502" t="str">
        <f>VLOOKUP(Table2[[#This Row],[Customer ID]],Table2[#All],9,FALSE)</f>
        <v>Overweight</v>
      </c>
      <c r="K1502" t="str">
        <f>VLOOKUP(Table2[[#This Row],[Customer ID]],Table2[#All],10,FALSE)</f>
        <v>Normal</v>
      </c>
    </row>
    <row r="1503" spans="1:11" ht="15.6" x14ac:dyDescent="0.3">
      <c r="A1503" s="1" t="s">
        <v>869</v>
      </c>
      <c r="B1503" t="str">
        <f>VLOOKUP('Customer Names'!A1503,'Customer Names'!$A$1:$E$2336,4,FALSE)</f>
        <v>Ms.  Kathleen</v>
      </c>
      <c r="C1503">
        <f>VLOOKUP(Table2[[#This Row],[Customer ID]],Table2[#All],2,FALSE)</f>
        <v>17.29</v>
      </c>
      <c r="D1503">
        <f>VLOOKUP(Table2[[#This Row],[Customer ID]],Table2[#All],3,FALSE)</f>
        <v>5.35</v>
      </c>
      <c r="E1503" t="str">
        <f>VLOOKUP(Table2[[#This Row],[Customer ID]],Table2[#All],4,FALSE)</f>
        <v>Yes</v>
      </c>
      <c r="F1503" t="str">
        <f>VLOOKUP(Table2[[#This Row],[Customer ID]],Table2[#All],5,FALSE)</f>
        <v>No</v>
      </c>
      <c r="G1503" t="str">
        <f>VLOOKUP(Table2[[#This Row],[Customer ID]],Table2[#All],6,FALSE)</f>
        <v>No</v>
      </c>
      <c r="H1503">
        <f>VLOOKUP(Table2[[#This Row],[Customer ID]],Table2[#All],7,FALSE)</f>
        <v>0</v>
      </c>
      <c r="I1503" t="str">
        <f>VLOOKUP(Table2[[#This Row],[Customer ID]],Table2[#All],8,FALSE)</f>
        <v>No</v>
      </c>
      <c r="J1503" t="str">
        <f>VLOOKUP(Table2[[#This Row],[Customer ID]],Table2[#All],9,FALSE)</f>
        <v>Underweight</v>
      </c>
      <c r="K1503" t="str">
        <f>VLOOKUP(Table2[[#This Row],[Customer ID]],Table2[#All],10,FALSE)</f>
        <v>Normal</v>
      </c>
    </row>
    <row r="1504" spans="1:11" ht="15.6" x14ac:dyDescent="0.3">
      <c r="A1504" s="1" t="s">
        <v>868</v>
      </c>
      <c r="B1504" t="str">
        <f>VLOOKUP('Customer Names'!A1504,'Customer Names'!$A$1:$E$2336,4,FALSE)</f>
        <v>Ms.  Kimberly K</v>
      </c>
      <c r="C1504">
        <f>VLOOKUP(Table2[[#This Row],[Customer ID]],Table2[#All],2,FALSE)</f>
        <v>42.88</v>
      </c>
      <c r="D1504">
        <f>VLOOKUP(Table2[[#This Row],[Customer ID]],Table2[#All],3,FALSE)</f>
        <v>4.87</v>
      </c>
      <c r="E1504" t="str">
        <f>VLOOKUP(Table2[[#This Row],[Customer ID]],Table2[#All],4,FALSE)</f>
        <v>No</v>
      </c>
      <c r="F1504" t="str">
        <f>VLOOKUP(Table2[[#This Row],[Customer ID]],Table2[#All],5,FALSE)</f>
        <v>yes</v>
      </c>
      <c r="G1504" t="str">
        <f>VLOOKUP(Table2[[#This Row],[Customer ID]],Table2[#All],6,FALSE)</f>
        <v>No</v>
      </c>
      <c r="H1504">
        <f>VLOOKUP(Table2[[#This Row],[Customer ID]],Table2[#All],7,FALSE)</f>
        <v>1</v>
      </c>
      <c r="I1504" t="str">
        <f>VLOOKUP(Table2[[#This Row],[Customer ID]],Table2[#All],8,FALSE)</f>
        <v>No</v>
      </c>
      <c r="J1504" t="str">
        <f>VLOOKUP(Table2[[#This Row],[Customer ID]],Table2[#All],9,FALSE)</f>
        <v>Obesity</v>
      </c>
      <c r="K1504" t="str">
        <f>VLOOKUP(Table2[[#This Row],[Customer ID]],Table2[#All],10,FALSE)</f>
        <v>Normal</v>
      </c>
    </row>
    <row r="1505" spans="1:11" ht="15.6" x14ac:dyDescent="0.3">
      <c r="A1505" s="1" t="s">
        <v>867</v>
      </c>
      <c r="B1505" t="str">
        <f>VLOOKUP('Customer Names'!A1505,'Customer Names'!$A$1:$E$2336,4,FALSE)</f>
        <v>Mr.  Justin C</v>
      </c>
      <c r="C1505">
        <f>VLOOKUP(Table2[[#This Row],[Customer ID]],Table2[#All],2,FALSE)</f>
        <v>32.200000000000003</v>
      </c>
      <c r="D1505">
        <f>VLOOKUP(Table2[[#This Row],[Customer ID]],Table2[#All],3,FALSE)</f>
        <v>10.09</v>
      </c>
      <c r="E1505" t="str">
        <f>VLOOKUP(Table2[[#This Row],[Customer ID]],Table2[#All],4,FALSE)</f>
        <v>Yes</v>
      </c>
      <c r="F1505" t="str">
        <f>VLOOKUP(Table2[[#This Row],[Customer ID]],Table2[#All],5,FALSE)</f>
        <v>No</v>
      </c>
      <c r="G1505" t="str">
        <f>VLOOKUP(Table2[[#This Row],[Customer ID]],Table2[#All],6,FALSE)</f>
        <v>No</v>
      </c>
      <c r="H1505">
        <f>VLOOKUP(Table2[[#This Row],[Customer ID]],Table2[#All],7,FALSE)</f>
        <v>0</v>
      </c>
      <c r="I1505" t="str">
        <f>VLOOKUP(Table2[[#This Row],[Customer ID]],Table2[#All],8,FALSE)</f>
        <v>No</v>
      </c>
      <c r="J1505" t="str">
        <f>VLOOKUP(Table2[[#This Row],[Customer ID]],Table2[#All],9,FALSE)</f>
        <v>Obesity</v>
      </c>
      <c r="K1505" t="str">
        <f>VLOOKUP(Table2[[#This Row],[Customer ID]],Table2[#All],10,FALSE)</f>
        <v>Diabetes</v>
      </c>
    </row>
    <row r="1506" spans="1:11" ht="15.6" x14ac:dyDescent="0.3">
      <c r="A1506" s="1" t="s">
        <v>866</v>
      </c>
      <c r="B1506" t="str">
        <f>VLOOKUP('Customer Names'!A1506,'Customer Names'!$A$1:$E$2336,4,FALSE)</f>
        <v>Mr.  Tristan P.</v>
      </c>
      <c r="C1506">
        <f>VLOOKUP(Table2[[#This Row],[Customer ID]],Table2[#All],2,FALSE)</f>
        <v>18.75</v>
      </c>
      <c r="D1506">
        <f>VLOOKUP(Table2[[#This Row],[Customer ID]],Table2[#All],3,FALSE)</f>
        <v>5.47</v>
      </c>
      <c r="E1506" t="str">
        <f>VLOOKUP(Table2[[#This Row],[Customer ID]],Table2[#All],4,FALSE)</f>
        <v>Yes</v>
      </c>
      <c r="F1506" t="str">
        <f>VLOOKUP(Table2[[#This Row],[Customer ID]],Table2[#All],5,FALSE)</f>
        <v>No</v>
      </c>
      <c r="G1506" t="str">
        <f>VLOOKUP(Table2[[#This Row],[Customer ID]],Table2[#All],6,FALSE)</f>
        <v>Yes</v>
      </c>
      <c r="H1506">
        <f>VLOOKUP(Table2[[#This Row],[Customer ID]],Table2[#All],7,FALSE)</f>
        <v>1</v>
      </c>
      <c r="I1506" t="str">
        <f>VLOOKUP(Table2[[#This Row],[Customer ID]],Table2[#All],8,FALSE)</f>
        <v>No</v>
      </c>
      <c r="J1506" t="str">
        <f>VLOOKUP(Table2[[#This Row],[Customer ID]],Table2[#All],9,FALSE)</f>
        <v>Normalweight</v>
      </c>
      <c r="K1506" t="str">
        <f>VLOOKUP(Table2[[#This Row],[Customer ID]],Table2[#All],10,FALSE)</f>
        <v>Normal</v>
      </c>
    </row>
    <row r="1507" spans="1:11" ht="15.6" x14ac:dyDescent="0.3">
      <c r="A1507" s="1" t="s">
        <v>865</v>
      </c>
      <c r="B1507" t="str">
        <f>VLOOKUP('Customer Names'!A1507,'Customer Names'!$A$1:$E$2336,4,FALSE)</f>
        <v>Ms.  Traci A</v>
      </c>
      <c r="C1507">
        <f>VLOOKUP(Table2[[#This Row],[Customer ID]],Table2[#All],2,FALSE)</f>
        <v>22.36</v>
      </c>
      <c r="D1507">
        <f>VLOOKUP(Table2[[#This Row],[Customer ID]],Table2[#All],3,FALSE)</f>
        <v>8.6</v>
      </c>
      <c r="E1507" t="str">
        <f>VLOOKUP(Table2[[#This Row],[Customer ID]],Table2[#All],4,FALSE)</f>
        <v>No</v>
      </c>
      <c r="F1507" t="str">
        <f>VLOOKUP(Table2[[#This Row],[Customer ID]],Table2[#All],5,FALSE)</f>
        <v>No</v>
      </c>
      <c r="G1507" t="str">
        <f>VLOOKUP(Table2[[#This Row],[Customer ID]],Table2[#All],6,FALSE)</f>
        <v>No</v>
      </c>
      <c r="H1507">
        <f>VLOOKUP(Table2[[#This Row],[Customer ID]],Table2[#All],7,FALSE)</f>
        <v>0</v>
      </c>
      <c r="I1507" t="str">
        <f>VLOOKUP(Table2[[#This Row],[Customer ID]],Table2[#All],8,FALSE)</f>
        <v>No</v>
      </c>
      <c r="J1507" t="str">
        <f>VLOOKUP(Table2[[#This Row],[Customer ID]],Table2[#All],9,FALSE)</f>
        <v>Normalweight</v>
      </c>
      <c r="K1507" t="str">
        <f>VLOOKUP(Table2[[#This Row],[Customer ID]],Table2[#All],10,FALSE)</f>
        <v>Diabetes</v>
      </c>
    </row>
    <row r="1508" spans="1:11" ht="15.6" x14ac:dyDescent="0.3">
      <c r="A1508" s="1" t="s">
        <v>864</v>
      </c>
      <c r="B1508" t="str">
        <f>VLOOKUP('Customer Names'!A1508,'Customer Names'!$A$1:$E$2336,4,FALSE)</f>
        <v>Mr.  Justin P</v>
      </c>
      <c r="C1508">
        <f>VLOOKUP(Table2[[#This Row],[Customer ID]],Table2[#All],2,FALSE)</f>
        <v>23.94</v>
      </c>
      <c r="D1508">
        <f>VLOOKUP(Table2[[#This Row],[Customer ID]],Table2[#All],3,FALSE)</f>
        <v>10.74</v>
      </c>
      <c r="E1508" t="str">
        <f>VLOOKUP(Table2[[#This Row],[Customer ID]],Table2[#All],4,FALSE)</f>
        <v>Yes</v>
      </c>
      <c r="F1508" t="str">
        <f>VLOOKUP(Table2[[#This Row],[Customer ID]],Table2[#All],5,FALSE)</f>
        <v>No</v>
      </c>
      <c r="G1508" t="str">
        <f>VLOOKUP(Table2[[#This Row],[Customer ID]],Table2[#All],6,FALSE)</f>
        <v>No</v>
      </c>
      <c r="H1508">
        <f>VLOOKUP(Table2[[#This Row],[Customer ID]],Table2[#All],7,FALSE)</f>
        <v>0</v>
      </c>
      <c r="I1508" t="str">
        <f>VLOOKUP(Table2[[#This Row],[Customer ID]],Table2[#All],8,FALSE)</f>
        <v>No</v>
      </c>
      <c r="J1508" t="str">
        <f>VLOOKUP(Table2[[#This Row],[Customer ID]],Table2[#All],9,FALSE)</f>
        <v>Normalweight</v>
      </c>
      <c r="K1508" t="str">
        <f>VLOOKUP(Table2[[#This Row],[Customer ID]],Table2[#All],10,FALSE)</f>
        <v>Diabetes</v>
      </c>
    </row>
    <row r="1509" spans="1:11" ht="15.6" x14ac:dyDescent="0.3">
      <c r="A1509" s="1" t="s">
        <v>863</v>
      </c>
      <c r="B1509" t="str">
        <f>VLOOKUP('Customer Names'!A1509,'Customer Names'!$A$1:$E$2336,4,FALSE)</f>
        <v>Mr.  Logan M</v>
      </c>
      <c r="C1509">
        <f>VLOOKUP(Table2[[#This Row],[Customer ID]],Table2[#All],2,FALSE)</f>
        <v>30.1</v>
      </c>
      <c r="D1509">
        <f>VLOOKUP(Table2[[#This Row],[Customer ID]],Table2[#All],3,FALSE)</f>
        <v>4.3899999999999997</v>
      </c>
      <c r="E1509" t="str">
        <f>VLOOKUP(Table2[[#This Row],[Customer ID]],Table2[#All],4,FALSE)</f>
        <v>No</v>
      </c>
      <c r="F1509" t="str">
        <f>VLOOKUP(Table2[[#This Row],[Customer ID]],Table2[#All],5,FALSE)</f>
        <v>No</v>
      </c>
      <c r="G1509" t="str">
        <f>VLOOKUP(Table2[[#This Row],[Customer ID]],Table2[#All],6,FALSE)</f>
        <v>Yes</v>
      </c>
      <c r="H1509">
        <f>VLOOKUP(Table2[[#This Row],[Customer ID]],Table2[#All],7,FALSE)</f>
        <v>1</v>
      </c>
      <c r="I1509" t="str">
        <f>VLOOKUP(Table2[[#This Row],[Customer ID]],Table2[#All],8,FALSE)</f>
        <v>No</v>
      </c>
      <c r="J1509" t="str">
        <f>VLOOKUP(Table2[[#This Row],[Customer ID]],Table2[#All],9,FALSE)</f>
        <v>Obesity</v>
      </c>
      <c r="K1509" t="str">
        <f>VLOOKUP(Table2[[#This Row],[Customer ID]],Table2[#All],10,FALSE)</f>
        <v>Normal</v>
      </c>
    </row>
    <row r="1510" spans="1:11" ht="15.6" x14ac:dyDescent="0.3">
      <c r="A1510" s="1" t="s">
        <v>862</v>
      </c>
      <c r="B1510" t="str">
        <f>VLOOKUP('Customer Names'!A1510,'Customer Names'!$A$1:$E$2336,4,FALSE)</f>
        <v>Mr.  Sebastien</v>
      </c>
      <c r="C1510">
        <f>VLOOKUP(Table2[[#This Row],[Customer ID]],Table2[#All],2,FALSE)</f>
        <v>21.93</v>
      </c>
      <c r="D1510">
        <f>VLOOKUP(Table2[[#This Row],[Customer ID]],Table2[#All],3,FALSE)</f>
        <v>6.3</v>
      </c>
      <c r="E1510" t="str">
        <f>VLOOKUP(Table2[[#This Row],[Customer ID]],Table2[#All],4,FALSE)</f>
        <v>No</v>
      </c>
      <c r="F1510" t="str">
        <f>VLOOKUP(Table2[[#This Row],[Customer ID]],Table2[#All],5,FALSE)</f>
        <v>No</v>
      </c>
      <c r="G1510" t="str">
        <f>VLOOKUP(Table2[[#This Row],[Customer ID]],Table2[#All],6,FALSE)</f>
        <v>No</v>
      </c>
      <c r="H1510">
        <f>VLOOKUP(Table2[[#This Row],[Customer ID]],Table2[#All],7,FALSE)</f>
        <v>0</v>
      </c>
      <c r="I1510" t="str">
        <f>VLOOKUP(Table2[[#This Row],[Customer ID]],Table2[#All],8,FALSE)</f>
        <v>No</v>
      </c>
      <c r="J1510" t="str">
        <f>VLOOKUP(Table2[[#This Row],[Customer ID]],Table2[#All],9,FALSE)</f>
        <v>Normalweight</v>
      </c>
      <c r="K1510" t="str">
        <f>VLOOKUP(Table2[[#This Row],[Customer ID]],Table2[#All],10,FALSE)</f>
        <v>Prediabetes</v>
      </c>
    </row>
    <row r="1511" spans="1:11" ht="15.6" x14ac:dyDescent="0.3">
      <c r="A1511" s="1" t="s">
        <v>861</v>
      </c>
      <c r="B1511" t="str">
        <f>VLOOKUP('Customer Names'!A1511,'Customer Names'!$A$1:$E$2336,4,FALSE)</f>
        <v>Ms.  Tiffany A</v>
      </c>
      <c r="C1511">
        <f>VLOOKUP(Table2[[#This Row],[Customer ID]],Table2[#All],2,FALSE)</f>
        <v>39.75</v>
      </c>
      <c r="D1511">
        <f>VLOOKUP(Table2[[#This Row],[Customer ID]],Table2[#All],3,FALSE)</f>
        <v>5.41</v>
      </c>
      <c r="E1511" t="str">
        <f>VLOOKUP(Table2[[#This Row],[Customer ID]],Table2[#All],4,FALSE)</f>
        <v>No</v>
      </c>
      <c r="F1511" t="str">
        <f>VLOOKUP(Table2[[#This Row],[Customer ID]],Table2[#All],5,FALSE)</f>
        <v>yes</v>
      </c>
      <c r="G1511" t="str">
        <f>VLOOKUP(Table2[[#This Row],[Customer ID]],Table2[#All],6,FALSE)</f>
        <v>No</v>
      </c>
      <c r="H1511">
        <f>VLOOKUP(Table2[[#This Row],[Customer ID]],Table2[#All],7,FALSE)</f>
        <v>1</v>
      </c>
      <c r="I1511" t="str">
        <f>VLOOKUP(Table2[[#This Row],[Customer ID]],Table2[#All],8,FALSE)</f>
        <v>No</v>
      </c>
      <c r="J1511" t="str">
        <f>VLOOKUP(Table2[[#This Row],[Customer ID]],Table2[#All],9,FALSE)</f>
        <v>Obesity</v>
      </c>
      <c r="K1511" t="str">
        <f>VLOOKUP(Table2[[#This Row],[Customer ID]],Table2[#All],10,FALSE)</f>
        <v>Normal</v>
      </c>
    </row>
    <row r="1512" spans="1:11" ht="15.6" x14ac:dyDescent="0.3">
      <c r="A1512" s="1" t="s">
        <v>860</v>
      </c>
      <c r="B1512" t="str">
        <f>VLOOKUP('Customer Names'!A1512,'Customer Names'!$A$1:$E$2336,4,FALSE)</f>
        <v>Mr.  Matthew</v>
      </c>
      <c r="C1512">
        <f>VLOOKUP(Table2[[#This Row],[Customer ID]],Table2[#All],2,FALSE)</f>
        <v>26.03</v>
      </c>
      <c r="D1512">
        <f>VLOOKUP(Table2[[#This Row],[Customer ID]],Table2[#All],3,FALSE)</f>
        <v>4.47</v>
      </c>
      <c r="E1512" t="str">
        <f>VLOOKUP(Table2[[#This Row],[Customer ID]],Table2[#All],4,FALSE)</f>
        <v>No</v>
      </c>
      <c r="F1512" t="str">
        <f>VLOOKUP(Table2[[#This Row],[Customer ID]],Table2[#All],5,FALSE)</f>
        <v>No</v>
      </c>
      <c r="G1512" t="str">
        <f>VLOOKUP(Table2[[#This Row],[Customer ID]],Table2[#All],6,FALSE)</f>
        <v>Yes</v>
      </c>
      <c r="H1512">
        <f>VLOOKUP(Table2[[#This Row],[Customer ID]],Table2[#All],7,FALSE)</f>
        <v>1</v>
      </c>
      <c r="I1512" t="str">
        <f>VLOOKUP(Table2[[#This Row],[Customer ID]],Table2[#All],8,FALSE)</f>
        <v>No</v>
      </c>
      <c r="J1512" t="str">
        <f>VLOOKUP(Table2[[#This Row],[Customer ID]],Table2[#All],9,FALSE)</f>
        <v>Overweight</v>
      </c>
      <c r="K1512" t="str">
        <f>VLOOKUP(Table2[[#This Row],[Customer ID]],Table2[#All],10,FALSE)</f>
        <v>Normal</v>
      </c>
    </row>
    <row r="1513" spans="1:11" ht="15.6" x14ac:dyDescent="0.3">
      <c r="A1513" s="1" t="s">
        <v>859</v>
      </c>
      <c r="B1513" t="str">
        <f>VLOOKUP('Customer Names'!A1513,'Customer Names'!$A$1:$E$2336,4,FALSE)</f>
        <v>Mr.  Luke</v>
      </c>
      <c r="C1513">
        <f>VLOOKUP(Table2[[#This Row],[Customer ID]],Table2[#All],2,FALSE)</f>
        <v>34.51</v>
      </c>
      <c r="D1513">
        <f>VLOOKUP(Table2[[#This Row],[Customer ID]],Table2[#All],3,FALSE)</f>
        <v>6.26</v>
      </c>
      <c r="E1513" t="str">
        <f>VLOOKUP(Table2[[#This Row],[Customer ID]],Table2[#All],4,FALSE)</f>
        <v>No</v>
      </c>
      <c r="F1513" t="str">
        <f>VLOOKUP(Table2[[#This Row],[Customer ID]],Table2[#All],5,FALSE)</f>
        <v>No</v>
      </c>
      <c r="G1513" t="str">
        <f>VLOOKUP(Table2[[#This Row],[Customer ID]],Table2[#All],6,FALSE)</f>
        <v>No</v>
      </c>
      <c r="H1513">
        <f>VLOOKUP(Table2[[#This Row],[Customer ID]],Table2[#All],7,FALSE)</f>
        <v>0</v>
      </c>
      <c r="I1513" t="str">
        <f>VLOOKUP(Table2[[#This Row],[Customer ID]],Table2[#All],8,FALSE)</f>
        <v>No</v>
      </c>
      <c r="J1513" t="str">
        <f>VLOOKUP(Table2[[#This Row],[Customer ID]],Table2[#All],9,FALSE)</f>
        <v>Obesity</v>
      </c>
      <c r="K1513" t="str">
        <f>VLOOKUP(Table2[[#This Row],[Customer ID]],Table2[#All],10,FALSE)</f>
        <v>Prediabetes</v>
      </c>
    </row>
    <row r="1514" spans="1:11" ht="15.6" x14ac:dyDescent="0.3">
      <c r="A1514" s="1" t="s">
        <v>858</v>
      </c>
      <c r="B1514" t="str">
        <f>VLOOKUP('Customer Names'!A1514,'Customer Names'!$A$1:$E$2336,4,FALSE)</f>
        <v>Ms.  Leigh</v>
      </c>
      <c r="C1514">
        <f>VLOOKUP(Table2[[#This Row],[Customer ID]],Table2[#All],2,FALSE)</f>
        <v>19.32</v>
      </c>
      <c r="D1514">
        <f>VLOOKUP(Table2[[#This Row],[Customer ID]],Table2[#All],3,FALSE)</f>
        <v>11.58</v>
      </c>
      <c r="E1514" t="str">
        <f>VLOOKUP(Table2[[#This Row],[Customer ID]],Table2[#All],4,FALSE)</f>
        <v>Yes</v>
      </c>
      <c r="F1514" t="str">
        <f>VLOOKUP(Table2[[#This Row],[Customer ID]],Table2[#All],5,FALSE)</f>
        <v>No</v>
      </c>
      <c r="G1514" t="str">
        <f>VLOOKUP(Table2[[#This Row],[Customer ID]],Table2[#All],6,FALSE)</f>
        <v>No</v>
      </c>
      <c r="H1514">
        <f>VLOOKUP(Table2[[#This Row],[Customer ID]],Table2[#All],7,FALSE)</f>
        <v>1</v>
      </c>
      <c r="I1514" t="str">
        <f>VLOOKUP(Table2[[#This Row],[Customer ID]],Table2[#All],8,FALSE)</f>
        <v>No</v>
      </c>
      <c r="J1514" t="str">
        <f>VLOOKUP(Table2[[#This Row],[Customer ID]],Table2[#All],9,FALSE)</f>
        <v>Normalweight</v>
      </c>
      <c r="K1514" t="str">
        <f>VLOOKUP(Table2[[#This Row],[Customer ID]],Table2[#All],10,FALSE)</f>
        <v>Diabetes</v>
      </c>
    </row>
    <row r="1515" spans="1:11" ht="15.6" x14ac:dyDescent="0.3">
      <c r="A1515" s="1" t="s">
        <v>857</v>
      </c>
      <c r="B1515" t="str">
        <f>VLOOKUP('Customer Names'!A1515,'Customer Names'!$A$1:$E$2336,4,FALSE)</f>
        <v>Mr.  Yosuke</v>
      </c>
      <c r="C1515">
        <f>VLOOKUP(Table2[[#This Row],[Customer ID]],Table2[#All],2,FALSE)</f>
        <v>28.5</v>
      </c>
      <c r="D1515">
        <f>VLOOKUP(Table2[[#This Row],[Customer ID]],Table2[#All],3,FALSE)</f>
        <v>4.3600000000000003</v>
      </c>
      <c r="E1515" t="str">
        <f>VLOOKUP(Table2[[#This Row],[Customer ID]],Table2[#All],4,FALSE)</f>
        <v>No</v>
      </c>
      <c r="F1515" t="str">
        <f>VLOOKUP(Table2[[#This Row],[Customer ID]],Table2[#All],5,FALSE)</f>
        <v>No</v>
      </c>
      <c r="G1515" t="str">
        <f>VLOOKUP(Table2[[#This Row],[Customer ID]],Table2[#All],6,FALSE)</f>
        <v>No</v>
      </c>
      <c r="H1515">
        <f>VLOOKUP(Table2[[#This Row],[Customer ID]],Table2[#All],7,FALSE)</f>
        <v>0</v>
      </c>
      <c r="I1515" t="str">
        <f>VLOOKUP(Table2[[#This Row],[Customer ID]],Table2[#All],8,FALSE)</f>
        <v>No</v>
      </c>
      <c r="J1515" t="str">
        <f>VLOOKUP(Table2[[#This Row],[Customer ID]],Table2[#All],9,FALSE)</f>
        <v>Overweight</v>
      </c>
      <c r="K1515" t="str">
        <f>VLOOKUP(Table2[[#This Row],[Customer ID]],Table2[#All],10,FALSE)</f>
        <v>Normal</v>
      </c>
    </row>
    <row r="1516" spans="1:11" ht="15.6" x14ac:dyDescent="0.3">
      <c r="A1516" s="1" t="s">
        <v>856</v>
      </c>
      <c r="B1516" t="str">
        <f>VLOOKUP('Customer Names'!A1516,'Customer Names'!$A$1:$E$2336,4,FALSE)</f>
        <v>Mr.  Matthew</v>
      </c>
      <c r="C1516">
        <f>VLOOKUP(Table2[[#This Row],[Customer ID]],Table2[#All],2,FALSE)</f>
        <v>30.875</v>
      </c>
      <c r="D1516">
        <f>VLOOKUP(Table2[[#This Row],[Customer ID]],Table2[#All],3,FALSE)</f>
        <v>4.1399999999999997</v>
      </c>
      <c r="E1516" t="str">
        <f>VLOOKUP(Table2[[#This Row],[Customer ID]],Table2[#All],4,FALSE)</f>
        <v>Yes</v>
      </c>
      <c r="F1516" t="str">
        <f>VLOOKUP(Table2[[#This Row],[Customer ID]],Table2[#All],5,FALSE)</f>
        <v>No</v>
      </c>
      <c r="G1516" t="str">
        <f>VLOOKUP(Table2[[#This Row],[Customer ID]],Table2[#All],6,FALSE)</f>
        <v>No</v>
      </c>
      <c r="H1516">
        <f>VLOOKUP(Table2[[#This Row],[Customer ID]],Table2[#All],7,FALSE)</f>
        <v>0</v>
      </c>
      <c r="I1516" t="str">
        <f>VLOOKUP(Table2[[#This Row],[Customer ID]],Table2[#All],8,FALSE)</f>
        <v>No</v>
      </c>
      <c r="J1516" t="str">
        <f>VLOOKUP(Table2[[#This Row],[Customer ID]],Table2[#All],9,FALSE)</f>
        <v>Obesity</v>
      </c>
      <c r="K1516" t="str">
        <f>VLOOKUP(Table2[[#This Row],[Customer ID]],Table2[#All],10,FALSE)</f>
        <v>Normal</v>
      </c>
    </row>
    <row r="1517" spans="1:11" ht="15.6" x14ac:dyDescent="0.3">
      <c r="A1517" s="1" t="s">
        <v>855</v>
      </c>
      <c r="B1517" t="str">
        <f>VLOOKUP('Customer Names'!A1517,'Customer Names'!$A$1:$E$2336,4,FALSE)</f>
        <v>Mr.  Jacob</v>
      </c>
      <c r="C1517">
        <f>VLOOKUP(Table2[[#This Row],[Customer ID]],Table2[#All],2,FALSE)</f>
        <v>24.02</v>
      </c>
      <c r="D1517">
        <f>VLOOKUP(Table2[[#This Row],[Customer ID]],Table2[#All],3,FALSE)</f>
        <v>4.38</v>
      </c>
      <c r="E1517" t="str">
        <f>VLOOKUP(Table2[[#This Row],[Customer ID]],Table2[#All],4,FALSE)</f>
        <v>No</v>
      </c>
      <c r="F1517" t="str">
        <f>VLOOKUP(Table2[[#This Row],[Customer ID]],Table2[#All],5,FALSE)</f>
        <v>No</v>
      </c>
      <c r="G1517" t="str">
        <f>VLOOKUP(Table2[[#This Row],[Customer ID]],Table2[#All],6,FALSE)</f>
        <v>No</v>
      </c>
      <c r="H1517">
        <f>VLOOKUP(Table2[[#This Row],[Customer ID]],Table2[#All],7,FALSE)</f>
        <v>0</v>
      </c>
      <c r="I1517" t="str">
        <f>VLOOKUP(Table2[[#This Row],[Customer ID]],Table2[#All],8,FALSE)</f>
        <v>No</v>
      </c>
      <c r="J1517" t="str">
        <f>VLOOKUP(Table2[[#This Row],[Customer ID]],Table2[#All],9,FALSE)</f>
        <v>Normalweight</v>
      </c>
      <c r="K1517" t="str">
        <f>VLOOKUP(Table2[[#This Row],[Customer ID]],Table2[#All],10,FALSE)</f>
        <v>Normal</v>
      </c>
    </row>
    <row r="1518" spans="1:11" ht="15.6" x14ac:dyDescent="0.3">
      <c r="A1518" s="1" t="s">
        <v>854</v>
      </c>
      <c r="B1518" t="str">
        <f>VLOOKUP('Customer Names'!A1518,'Customer Names'!$A$1:$E$2336,4,FALSE)</f>
        <v>Ms.  Jodi</v>
      </c>
      <c r="C1518">
        <f>VLOOKUP(Table2[[#This Row],[Customer ID]],Table2[#All],2,FALSE)</f>
        <v>36.08</v>
      </c>
      <c r="D1518">
        <f>VLOOKUP(Table2[[#This Row],[Customer ID]],Table2[#All],3,FALSE)</f>
        <v>11.61</v>
      </c>
      <c r="E1518" t="str">
        <f>VLOOKUP(Table2[[#This Row],[Customer ID]],Table2[#All],4,FALSE)</f>
        <v>Yes</v>
      </c>
      <c r="F1518" t="str">
        <f>VLOOKUP(Table2[[#This Row],[Customer ID]],Table2[#All],5,FALSE)</f>
        <v>No</v>
      </c>
      <c r="G1518" t="str">
        <f>VLOOKUP(Table2[[#This Row],[Customer ID]],Table2[#All],6,FALSE)</f>
        <v>No</v>
      </c>
      <c r="H1518">
        <f>VLOOKUP(Table2[[#This Row],[Customer ID]],Table2[#All],7,FALSE)</f>
        <v>0</v>
      </c>
      <c r="I1518" t="str">
        <f>VLOOKUP(Table2[[#This Row],[Customer ID]],Table2[#All],8,FALSE)</f>
        <v>No</v>
      </c>
      <c r="J1518" t="str">
        <f>VLOOKUP(Table2[[#This Row],[Customer ID]],Table2[#All],9,FALSE)</f>
        <v>Obesity</v>
      </c>
      <c r="K1518" t="str">
        <f>VLOOKUP(Table2[[#This Row],[Customer ID]],Table2[#All],10,FALSE)</f>
        <v>Diabetes</v>
      </c>
    </row>
    <row r="1519" spans="1:11" ht="15.6" x14ac:dyDescent="0.3">
      <c r="A1519" s="1" t="s">
        <v>853</v>
      </c>
      <c r="B1519" t="str">
        <f>VLOOKUP('Customer Names'!A1519,'Customer Names'!$A$1:$E$2336,4,FALSE)</f>
        <v>Ms.  Lauren</v>
      </c>
      <c r="C1519">
        <f>VLOOKUP(Table2[[#This Row],[Customer ID]],Table2[#All],2,FALSE)</f>
        <v>32.200000000000003</v>
      </c>
      <c r="D1519">
        <f>VLOOKUP(Table2[[#This Row],[Customer ID]],Table2[#All],3,FALSE)</f>
        <v>10.59</v>
      </c>
      <c r="E1519" t="str">
        <f>VLOOKUP(Table2[[#This Row],[Customer ID]],Table2[#All],4,FALSE)</f>
        <v>Yes</v>
      </c>
      <c r="F1519" t="str">
        <f>VLOOKUP(Table2[[#This Row],[Customer ID]],Table2[#All],5,FALSE)</f>
        <v>No</v>
      </c>
      <c r="G1519" t="str">
        <f>VLOOKUP(Table2[[#This Row],[Customer ID]],Table2[#All],6,FALSE)</f>
        <v>No</v>
      </c>
      <c r="H1519">
        <f>VLOOKUP(Table2[[#This Row],[Customer ID]],Table2[#All],7,FALSE)</f>
        <v>0</v>
      </c>
      <c r="I1519" t="str">
        <f>VLOOKUP(Table2[[#This Row],[Customer ID]],Table2[#All],8,FALSE)</f>
        <v>No</v>
      </c>
      <c r="J1519" t="str">
        <f>VLOOKUP(Table2[[#This Row],[Customer ID]],Table2[#All],9,FALSE)</f>
        <v>Obesity</v>
      </c>
      <c r="K1519" t="str">
        <f>VLOOKUP(Table2[[#This Row],[Customer ID]],Table2[#All],10,FALSE)</f>
        <v>Diabetes</v>
      </c>
    </row>
    <row r="1520" spans="1:11" ht="15.6" x14ac:dyDescent="0.3">
      <c r="A1520" s="1" t="s">
        <v>852</v>
      </c>
      <c r="B1520" t="str">
        <f>VLOOKUP('Customer Names'!A1520,'Customer Names'!$A$1:$E$2336,4,FALSE)</f>
        <v>Ms.  Misti C</v>
      </c>
      <c r="C1520">
        <f>VLOOKUP(Table2[[#This Row],[Customer ID]],Table2[#All],2,FALSE)</f>
        <v>28.05</v>
      </c>
      <c r="D1520">
        <f>VLOOKUP(Table2[[#This Row],[Customer ID]],Table2[#All],3,FALSE)</f>
        <v>11.85</v>
      </c>
      <c r="E1520" t="str">
        <f>VLOOKUP(Table2[[#This Row],[Customer ID]],Table2[#All],4,FALSE)</f>
        <v>Yes</v>
      </c>
      <c r="F1520" t="str">
        <f>VLOOKUP(Table2[[#This Row],[Customer ID]],Table2[#All],5,FALSE)</f>
        <v>No</v>
      </c>
      <c r="G1520" t="str">
        <f>VLOOKUP(Table2[[#This Row],[Customer ID]],Table2[#All],6,FALSE)</f>
        <v>No</v>
      </c>
      <c r="H1520">
        <f>VLOOKUP(Table2[[#This Row],[Customer ID]],Table2[#All],7,FALSE)</f>
        <v>0</v>
      </c>
      <c r="I1520" t="str">
        <f>VLOOKUP(Table2[[#This Row],[Customer ID]],Table2[#All],8,FALSE)</f>
        <v>No</v>
      </c>
      <c r="J1520" t="str">
        <f>VLOOKUP(Table2[[#This Row],[Customer ID]],Table2[#All],9,FALSE)</f>
        <v>Overweight</v>
      </c>
      <c r="K1520" t="str">
        <f>VLOOKUP(Table2[[#This Row],[Customer ID]],Table2[#All],10,FALSE)</f>
        <v>Diabetes</v>
      </c>
    </row>
    <row r="1521" spans="1:11" ht="15.6" x14ac:dyDescent="0.3">
      <c r="A1521" s="1" t="s">
        <v>851</v>
      </c>
      <c r="B1521" t="str">
        <f>VLOOKUP('Customer Names'!A1521,'Customer Names'!$A$1:$E$2336,4,FALSE)</f>
        <v>Ms.  Angela J</v>
      </c>
      <c r="C1521">
        <f>VLOOKUP(Table2[[#This Row],[Customer ID]],Table2[#All],2,FALSE)</f>
        <v>19</v>
      </c>
      <c r="D1521">
        <f>VLOOKUP(Table2[[#This Row],[Customer ID]],Table2[#All],3,FALSE)</f>
        <v>5.46</v>
      </c>
      <c r="E1521" t="str">
        <f>VLOOKUP(Table2[[#This Row],[Customer ID]],Table2[#All],4,FALSE)</f>
        <v>Yes</v>
      </c>
      <c r="F1521" t="str">
        <f>VLOOKUP(Table2[[#This Row],[Customer ID]],Table2[#All],5,FALSE)</f>
        <v>No</v>
      </c>
      <c r="G1521" t="str">
        <f>VLOOKUP(Table2[[#This Row],[Customer ID]],Table2[#All],6,FALSE)</f>
        <v>No</v>
      </c>
      <c r="H1521">
        <f>VLOOKUP(Table2[[#This Row],[Customer ID]],Table2[#All],7,FALSE)</f>
        <v>1</v>
      </c>
      <c r="I1521" t="str">
        <f>VLOOKUP(Table2[[#This Row],[Customer ID]],Table2[#All],8,FALSE)</f>
        <v>No</v>
      </c>
      <c r="J1521" t="str">
        <f>VLOOKUP(Table2[[#This Row],[Customer ID]],Table2[#All],9,FALSE)</f>
        <v>Normalweight</v>
      </c>
      <c r="K1521" t="str">
        <f>VLOOKUP(Table2[[#This Row],[Customer ID]],Table2[#All],10,FALSE)</f>
        <v>Normal</v>
      </c>
    </row>
    <row r="1522" spans="1:11" ht="15.6" x14ac:dyDescent="0.3">
      <c r="A1522" s="1" t="s">
        <v>850</v>
      </c>
      <c r="B1522" t="str">
        <f>VLOOKUP('Customer Names'!A1522,'Customer Names'!$A$1:$E$2336,4,FALSE)</f>
        <v>Mr.  Jonathan D.</v>
      </c>
      <c r="C1522">
        <f>VLOOKUP(Table2[[#This Row],[Customer ID]],Table2[#All],2,FALSE)</f>
        <v>16.13</v>
      </c>
      <c r="D1522">
        <f>VLOOKUP(Table2[[#This Row],[Customer ID]],Table2[#All],3,FALSE)</f>
        <v>4.54</v>
      </c>
      <c r="E1522" t="str">
        <f>VLOOKUP(Table2[[#This Row],[Customer ID]],Table2[#All],4,FALSE)</f>
        <v>Yes</v>
      </c>
      <c r="F1522" t="str">
        <f>VLOOKUP(Table2[[#This Row],[Customer ID]],Table2[#All],5,FALSE)</f>
        <v>No</v>
      </c>
      <c r="G1522" t="str">
        <f>VLOOKUP(Table2[[#This Row],[Customer ID]],Table2[#All],6,FALSE)</f>
        <v>No</v>
      </c>
      <c r="H1522">
        <f>VLOOKUP(Table2[[#This Row],[Customer ID]],Table2[#All],7,FALSE)</f>
        <v>2</v>
      </c>
      <c r="I1522" t="str">
        <f>VLOOKUP(Table2[[#This Row],[Customer ID]],Table2[#All],8,FALSE)</f>
        <v>No</v>
      </c>
      <c r="J1522" t="str">
        <f>VLOOKUP(Table2[[#This Row],[Customer ID]],Table2[#All],9,FALSE)</f>
        <v>Underweight</v>
      </c>
      <c r="K1522" t="str">
        <f>VLOOKUP(Table2[[#This Row],[Customer ID]],Table2[#All],10,FALSE)</f>
        <v>Normal</v>
      </c>
    </row>
    <row r="1523" spans="1:11" ht="15.6" x14ac:dyDescent="0.3">
      <c r="A1523" s="1" t="s">
        <v>849</v>
      </c>
      <c r="B1523" t="str">
        <f>VLOOKUP('Customer Names'!A1523,'Customer Names'!$A$1:$E$2336,4,FALSE)</f>
        <v>Ms.  Victoria</v>
      </c>
      <c r="C1523">
        <f>VLOOKUP(Table2[[#This Row],[Customer ID]],Table2[#All],2,FALSE)</f>
        <v>18.77</v>
      </c>
      <c r="D1523">
        <f>VLOOKUP(Table2[[#This Row],[Customer ID]],Table2[#All],3,FALSE)</f>
        <v>11.98</v>
      </c>
      <c r="E1523" t="str">
        <f>VLOOKUP(Table2[[#This Row],[Customer ID]],Table2[#All],4,FALSE)</f>
        <v>Yes</v>
      </c>
      <c r="F1523" t="str">
        <f>VLOOKUP(Table2[[#This Row],[Customer ID]],Table2[#All],5,FALSE)</f>
        <v>No</v>
      </c>
      <c r="G1523" t="str">
        <f>VLOOKUP(Table2[[#This Row],[Customer ID]],Table2[#All],6,FALSE)</f>
        <v>No</v>
      </c>
      <c r="H1523">
        <f>VLOOKUP(Table2[[#This Row],[Customer ID]],Table2[#All],7,FALSE)</f>
        <v>2</v>
      </c>
      <c r="I1523" t="str">
        <f>VLOOKUP(Table2[[#This Row],[Customer ID]],Table2[#All],8,FALSE)</f>
        <v>No</v>
      </c>
      <c r="J1523" t="str">
        <f>VLOOKUP(Table2[[#This Row],[Customer ID]],Table2[#All],9,FALSE)</f>
        <v>Normalweight</v>
      </c>
      <c r="K1523" t="str">
        <f>VLOOKUP(Table2[[#This Row],[Customer ID]],Table2[#All],10,FALSE)</f>
        <v>Diabetes</v>
      </c>
    </row>
    <row r="1524" spans="1:11" ht="15.6" x14ac:dyDescent="0.3">
      <c r="A1524" s="1" t="s">
        <v>848</v>
      </c>
      <c r="B1524" t="str">
        <f>VLOOKUP('Customer Names'!A1524,'Customer Names'!$A$1:$E$2336,4,FALSE)</f>
        <v>Mr.  Adrian R.</v>
      </c>
      <c r="C1524">
        <f>VLOOKUP(Table2[[#This Row],[Customer ID]],Table2[#All],2,FALSE)</f>
        <v>28.88</v>
      </c>
      <c r="D1524">
        <f>VLOOKUP(Table2[[#This Row],[Customer ID]],Table2[#All],3,FALSE)</f>
        <v>6.59</v>
      </c>
      <c r="E1524" t="str">
        <f>VLOOKUP(Table2[[#This Row],[Customer ID]],Table2[#All],4,FALSE)</f>
        <v>Yes</v>
      </c>
      <c r="F1524" t="str">
        <f>VLOOKUP(Table2[[#This Row],[Customer ID]],Table2[#All],5,FALSE)</f>
        <v>No</v>
      </c>
      <c r="G1524" t="str">
        <f>VLOOKUP(Table2[[#This Row],[Customer ID]],Table2[#All],6,FALSE)</f>
        <v>No</v>
      </c>
      <c r="H1524">
        <f>VLOOKUP(Table2[[#This Row],[Customer ID]],Table2[#All],7,FALSE)</f>
        <v>1</v>
      </c>
      <c r="I1524" t="str">
        <f>VLOOKUP(Table2[[#This Row],[Customer ID]],Table2[#All],8,FALSE)</f>
        <v>No</v>
      </c>
      <c r="J1524" t="str">
        <f>VLOOKUP(Table2[[#This Row],[Customer ID]],Table2[#All],9,FALSE)</f>
        <v>Overweight</v>
      </c>
      <c r="K1524" t="str">
        <f>VLOOKUP(Table2[[#This Row],[Customer ID]],Table2[#All],10,FALSE)</f>
        <v>Diabetes</v>
      </c>
    </row>
    <row r="1525" spans="1:11" ht="15.6" x14ac:dyDescent="0.3">
      <c r="A1525" s="1" t="s">
        <v>847</v>
      </c>
      <c r="B1525" t="str">
        <f>VLOOKUP('Customer Names'!A1525,'Customer Names'!$A$1:$E$2336,4,FALSE)</f>
        <v>Mr.  Andrew</v>
      </c>
      <c r="C1525">
        <f>VLOOKUP(Table2[[#This Row],[Customer ID]],Table2[#All],2,FALSE)</f>
        <v>27.55</v>
      </c>
      <c r="D1525">
        <f>VLOOKUP(Table2[[#This Row],[Customer ID]],Table2[#All],3,FALSE)</f>
        <v>10.83</v>
      </c>
      <c r="E1525" t="str">
        <f>VLOOKUP(Table2[[#This Row],[Customer ID]],Table2[#All],4,FALSE)</f>
        <v>Yes</v>
      </c>
      <c r="F1525" t="str">
        <f>VLOOKUP(Table2[[#This Row],[Customer ID]],Table2[#All],5,FALSE)</f>
        <v>No</v>
      </c>
      <c r="G1525" t="str">
        <f>VLOOKUP(Table2[[#This Row],[Customer ID]],Table2[#All],6,FALSE)</f>
        <v>No</v>
      </c>
      <c r="H1525">
        <f>VLOOKUP(Table2[[#This Row],[Customer ID]],Table2[#All],7,FALSE)</f>
        <v>1</v>
      </c>
      <c r="I1525" t="str">
        <f>VLOOKUP(Table2[[#This Row],[Customer ID]],Table2[#All],8,FALSE)</f>
        <v>No</v>
      </c>
      <c r="J1525" t="str">
        <f>VLOOKUP(Table2[[#This Row],[Customer ID]],Table2[#All],9,FALSE)</f>
        <v>Overweight</v>
      </c>
      <c r="K1525" t="str">
        <f>VLOOKUP(Table2[[#This Row],[Customer ID]],Table2[#All],10,FALSE)</f>
        <v>Diabetes</v>
      </c>
    </row>
    <row r="1526" spans="1:11" ht="15.6" x14ac:dyDescent="0.3">
      <c r="A1526" s="1" t="s">
        <v>846</v>
      </c>
      <c r="B1526" t="str">
        <f>VLOOKUP('Customer Names'!A1526,'Customer Names'!$A$1:$E$2336,4,FALSE)</f>
        <v>Mr.  Jason A.</v>
      </c>
      <c r="C1526">
        <f>VLOOKUP(Table2[[#This Row],[Customer ID]],Table2[#All],2,FALSE)</f>
        <v>15.6</v>
      </c>
      <c r="D1526">
        <f>VLOOKUP(Table2[[#This Row],[Customer ID]],Table2[#All],3,FALSE)</f>
        <v>8.6</v>
      </c>
      <c r="E1526" t="str">
        <f>VLOOKUP(Table2[[#This Row],[Customer ID]],Table2[#All],4,FALSE)</f>
        <v>No</v>
      </c>
      <c r="F1526" t="str">
        <f>VLOOKUP(Table2[[#This Row],[Customer ID]],Table2[#All],5,FALSE)</f>
        <v>No</v>
      </c>
      <c r="G1526" t="str">
        <f>VLOOKUP(Table2[[#This Row],[Customer ID]],Table2[#All],6,FALSE)</f>
        <v>No</v>
      </c>
      <c r="H1526">
        <f>VLOOKUP(Table2[[#This Row],[Customer ID]],Table2[#All],7,FALSE)</f>
        <v>0</v>
      </c>
      <c r="I1526" t="str">
        <f>VLOOKUP(Table2[[#This Row],[Customer ID]],Table2[#All],8,FALSE)</f>
        <v>No</v>
      </c>
      <c r="J1526" t="str">
        <f>VLOOKUP(Table2[[#This Row],[Customer ID]],Table2[#All],9,FALSE)</f>
        <v>Underweight</v>
      </c>
      <c r="K1526" t="str">
        <f>VLOOKUP(Table2[[#This Row],[Customer ID]],Table2[#All],10,FALSE)</f>
        <v>Diabetes</v>
      </c>
    </row>
    <row r="1527" spans="1:11" ht="15.6" x14ac:dyDescent="0.3">
      <c r="A1527" s="1" t="s">
        <v>845</v>
      </c>
      <c r="B1527" t="str">
        <f>VLOOKUP('Customer Names'!A1527,'Customer Names'!$A$1:$E$2336,4,FALSE)</f>
        <v>Ms.  Rachel</v>
      </c>
      <c r="C1527">
        <f>VLOOKUP(Table2[[#This Row],[Customer ID]],Table2[#All],2,FALSE)</f>
        <v>21.99</v>
      </c>
      <c r="D1527">
        <f>VLOOKUP(Table2[[#This Row],[Customer ID]],Table2[#All],3,FALSE)</f>
        <v>11.17</v>
      </c>
      <c r="E1527" t="str">
        <f>VLOOKUP(Table2[[#This Row],[Customer ID]],Table2[#All],4,FALSE)</f>
        <v>No</v>
      </c>
      <c r="F1527" t="str">
        <f>VLOOKUP(Table2[[#This Row],[Customer ID]],Table2[#All],5,FALSE)</f>
        <v>No</v>
      </c>
      <c r="G1527" t="str">
        <f>VLOOKUP(Table2[[#This Row],[Customer ID]],Table2[#All],6,FALSE)</f>
        <v>No</v>
      </c>
      <c r="H1527">
        <f>VLOOKUP(Table2[[#This Row],[Customer ID]],Table2[#All],7,FALSE)</f>
        <v>0</v>
      </c>
      <c r="I1527" t="str">
        <f>VLOOKUP(Table2[[#This Row],[Customer ID]],Table2[#All],8,FALSE)</f>
        <v>No</v>
      </c>
      <c r="J1527" t="str">
        <f>VLOOKUP(Table2[[#This Row],[Customer ID]],Table2[#All],9,FALSE)</f>
        <v>Normalweight</v>
      </c>
      <c r="K1527" t="str">
        <f>VLOOKUP(Table2[[#This Row],[Customer ID]],Table2[#All],10,FALSE)</f>
        <v>Diabetes</v>
      </c>
    </row>
    <row r="1528" spans="1:11" ht="15.6" x14ac:dyDescent="0.3">
      <c r="A1528" s="1" t="s">
        <v>844</v>
      </c>
      <c r="B1528" t="str">
        <f>VLOOKUP('Customer Names'!A1528,'Customer Names'!$A$1:$E$2336,4,FALSE)</f>
        <v>Ms.  Susan</v>
      </c>
      <c r="C1528">
        <f>VLOOKUP(Table2[[#This Row],[Customer ID]],Table2[#All],2,FALSE)</f>
        <v>34.85</v>
      </c>
      <c r="D1528">
        <f>VLOOKUP(Table2[[#This Row],[Customer ID]],Table2[#All],3,FALSE)</f>
        <v>5.75</v>
      </c>
      <c r="E1528" t="str">
        <f>VLOOKUP(Table2[[#This Row],[Customer ID]],Table2[#All],4,FALSE)</f>
        <v>No</v>
      </c>
      <c r="F1528" t="str">
        <f>VLOOKUP(Table2[[#This Row],[Customer ID]],Table2[#All],5,FALSE)</f>
        <v>No</v>
      </c>
      <c r="G1528" t="str">
        <f>VLOOKUP(Table2[[#This Row],[Customer ID]],Table2[#All],6,FALSE)</f>
        <v>No</v>
      </c>
      <c r="H1528">
        <f>VLOOKUP(Table2[[#This Row],[Customer ID]],Table2[#All],7,FALSE)</f>
        <v>0</v>
      </c>
      <c r="I1528" t="str">
        <f>VLOOKUP(Table2[[#This Row],[Customer ID]],Table2[#All],8,FALSE)</f>
        <v>No</v>
      </c>
      <c r="J1528" t="str">
        <f>VLOOKUP(Table2[[#This Row],[Customer ID]],Table2[#All],9,FALSE)</f>
        <v>Obesity</v>
      </c>
      <c r="K1528" t="str">
        <f>VLOOKUP(Table2[[#This Row],[Customer ID]],Table2[#All],10,FALSE)</f>
        <v>Prediabetes</v>
      </c>
    </row>
    <row r="1529" spans="1:11" ht="15.6" x14ac:dyDescent="0.3">
      <c r="A1529" s="1" t="s">
        <v>843</v>
      </c>
      <c r="B1529" t="str">
        <f>VLOOKUP('Customer Names'!A1529,'Customer Names'!$A$1:$E$2336,4,FALSE)</f>
        <v>Mr.  Cameron M.</v>
      </c>
      <c r="C1529">
        <f>VLOOKUP(Table2[[#This Row],[Customer ID]],Table2[#All],2,FALSE)</f>
        <v>24.51</v>
      </c>
      <c r="D1529">
        <f>VLOOKUP(Table2[[#This Row],[Customer ID]],Table2[#All],3,FALSE)</f>
        <v>4.83</v>
      </c>
      <c r="E1529" t="str">
        <f>VLOOKUP(Table2[[#This Row],[Customer ID]],Table2[#All],4,FALSE)</f>
        <v>Yes</v>
      </c>
      <c r="F1529" t="str">
        <f>VLOOKUP(Table2[[#This Row],[Customer ID]],Table2[#All],5,FALSE)</f>
        <v>No</v>
      </c>
      <c r="G1529" t="str">
        <f>VLOOKUP(Table2[[#This Row],[Customer ID]],Table2[#All],6,FALSE)</f>
        <v>Yes</v>
      </c>
      <c r="H1529">
        <f>VLOOKUP(Table2[[#This Row],[Customer ID]],Table2[#All],7,FALSE)</f>
        <v>1</v>
      </c>
      <c r="I1529" t="str">
        <f>VLOOKUP(Table2[[#This Row],[Customer ID]],Table2[#All],8,FALSE)</f>
        <v>No</v>
      </c>
      <c r="J1529" t="str">
        <f>VLOOKUP(Table2[[#This Row],[Customer ID]],Table2[#All],9,FALSE)</f>
        <v>Normalweight</v>
      </c>
      <c r="K1529" t="str">
        <f>VLOOKUP(Table2[[#This Row],[Customer ID]],Table2[#All],10,FALSE)</f>
        <v>Normal</v>
      </c>
    </row>
    <row r="1530" spans="1:11" ht="15.6" x14ac:dyDescent="0.3">
      <c r="A1530" s="1" t="s">
        <v>842</v>
      </c>
      <c r="B1530" t="str">
        <f>VLOOKUP('Customer Names'!A1530,'Customer Names'!$A$1:$E$2336,4,FALSE)</f>
        <v>Ms.  Claudia A.</v>
      </c>
      <c r="C1530">
        <f>VLOOKUP(Table2[[#This Row],[Customer ID]],Table2[#All],2,FALSE)</f>
        <v>19.399999999999999</v>
      </c>
      <c r="D1530">
        <f>VLOOKUP(Table2[[#This Row],[Customer ID]],Table2[#All],3,FALSE)</f>
        <v>11.93</v>
      </c>
      <c r="E1530" t="str">
        <f>VLOOKUP(Table2[[#This Row],[Customer ID]],Table2[#All],4,FALSE)</f>
        <v>No</v>
      </c>
      <c r="F1530" t="str">
        <f>VLOOKUP(Table2[[#This Row],[Customer ID]],Table2[#All],5,FALSE)</f>
        <v>No</v>
      </c>
      <c r="G1530" t="str">
        <f>VLOOKUP(Table2[[#This Row],[Customer ID]],Table2[#All],6,FALSE)</f>
        <v>No</v>
      </c>
      <c r="H1530">
        <f>VLOOKUP(Table2[[#This Row],[Customer ID]],Table2[#All],7,FALSE)</f>
        <v>0</v>
      </c>
      <c r="I1530" t="str">
        <f>VLOOKUP(Table2[[#This Row],[Customer ID]],Table2[#All],8,FALSE)</f>
        <v>No</v>
      </c>
      <c r="J1530" t="str">
        <f>VLOOKUP(Table2[[#This Row],[Customer ID]],Table2[#All],9,FALSE)</f>
        <v>Normalweight</v>
      </c>
      <c r="K1530" t="str">
        <f>VLOOKUP(Table2[[#This Row],[Customer ID]],Table2[#All],10,FALSE)</f>
        <v>Diabetes</v>
      </c>
    </row>
    <row r="1531" spans="1:11" ht="15.6" x14ac:dyDescent="0.3">
      <c r="A1531" s="1" t="s">
        <v>841</v>
      </c>
      <c r="B1531" t="str">
        <f>VLOOKUP('Customer Names'!A1531,'Customer Names'!$A$1:$E$2336,4,FALSE)</f>
        <v>Ms.  Kate</v>
      </c>
      <c r="C1531">
        <f>VLOOKUP(Table2[[#This Row],[Customer ID]],Table2[#All],2,FALSE)</f>
        <v>15.1</v>
      </c>
      <c r="D1531">
        <f>VLOOKUP(Table2[[#This Row],[Customer ID]],Table2[#All],3,FALSE)</f>
        <v>8.41</v>
      </c>
      <c r="E1531" t="str">
        <f>VLOOKUP(Table2[[#This Row],[Customer ID]],Table2[#All],4,FALSE)</f>
        <v>No</v>
      </c>
      <c r="F1531" t="str">
        <f>VLOOKUP(Table2[[#This Row],[Customer ID]],Table2[#All],5,FALSE)</f>
        <v>No</v>
      </c>
      <c r="G1531" t="str">
        <f>VLOOKUP(Table2[[#This Row],[Customer ID]],Table2[#All],6,FALSE)</f>
        <v>No</v>
      </c>
      <c r="H1531">
        <f>VLOOKUP(Table2[[#This Row],[Customer ID]],Table2[#All],7,FALSE)</f>
        <v>0</v>
      </c>
      <c r="I1531" t="str">
        <f>VLOOKUP(Table2[[#This Row],[Customer ID]],Table2[#All],8,FALSE)</f>
        <v>No</v>
      </c>
      <c r="J1531" t="str">
        <f>VLOOKUP(Table2[[#This Row],[Customer ID]],Table2[#All],9,FALSE)</f>
        <v>Underweight</v>
      </c>
      <c r="K1531" t="str">
        <f>VLOOKUP(Table2[[#This Row],[Customer ID]],Table2[#All],10,FALSE)</f>
        <v>Diabetes</v>
      </c>
    </row>
    <row r="1532" spans="1:11" ht="15.6" x14ac:dyDescent="0.3">
      <c r="A1532" s="1" t="s">
        <v>840</v>
      </c>
      <c r="B1532" t="str">
        <f>VLOOKUP('Customer Names'!A1532,'Customer Names'!$A$1:$E$2336,4,FALSE)</f>
        <v>Ms.  Nicole M.</v>
      </c>
      <c r="C1532">
        <f>VLOOKUP(Table2[[#This Row],[Customer ID]],Table2[#All],2,FALSE)</f>
        <v>23.37</v>
      </c>
      <c r="D1532">
        <f>VLOOKUP(Table2[[#This Row],[Customer ID]],Table2[#All],3,FALSE)</f>
        <v>5.59</v>
      </c>
      <c r="E1532" t="str">
        <f>VLOOKUP(Table2[[#This Row],[Customer ID]],Table2[#All],4,FALSE)</f>
        <v>Yes</v>
      </c>
      <c r="F1532" t="str">
        <f>VLOOKUP(Table2[[#This Row],[Customer ID]],Table2[#All],5,FALSE)</f>
        <v>No</v>
      </c>
      <c r="G1532" t="str">
        <f>VLOOKUP(Table2[[#This Row],[Customer ID]],Table2[#All],6,FALSE)</f>
        <v>No</v>
      </c>
      <c r="H1532">
        <f>VLOOKUP(Table2[[#This Row],[Customer ID]],Table2[#All],7,FALSE)</f>
        <v>0</v>
      </c>
      <c r="I1532" t="str">
        <f>VLOOKUP(Table2[[#This Row],[Customer ID]],Table2[#All],8,FALSE)</f>
        <v>No</v>
      </c>
      <c r="J1532" t="str">
        <f>VLOOKUP(Table2[[#This Row],[Customer ID]],Table2[#All],9,FALSE)</f>
        <v>Normalweight</v>
      </c>
      <c r="K1532" t="str">
        <f>VLOOKUP(Table2[[#This Row],[Customer ID]],Table2[#All],10,FALSE)</f>
        <v>Normal</v>
      </c>
    </row>
    <row r="1533" spans="1:11" ht="15.6" x14ac:dyDescent="0.3">
      <c r="A1533" s="1" t="s">
        <v>839</v>
      </c>
      <c r="B1533" t="str">
        <f>VLOOKUP('Customer Names'!A1533,'Customer Names'!$A$1:$E$2336,4,FALSE)</f>
        <v>Mr.  Jack</v>
      </c>
      <c r="C1533">
        <f>VLOOKUP(Table2[[#This Row],[Customer ID]],Table2[#All],2,FALSE)</f>
        <v>42.4</v>
      </c>
      <c r="D1533">
        <f>VLOOKUP(Table2[[#This Row],[Customer ID]],Table2[#All],3,FALSE)</f>
        <v>4.0599999999999996</v>
      </c>
      <c r="E1533" t="str">
        <f>VLOOKUP(Table2[[#This Row],[Customer ID]],Table2[#All],4,FALSE)</f>
        <v>No</v>
      </c>
      <c r="F1533" t="str">
        <f>VLOOKUP(Table2[[#This Row],[Customer ID]],Table2[#All],5,FALSE)</f>
        <v>No</v>
      </c>
      <c r="G1533" t="str">
        <f>VLOOKUP(Table2[[#This Row],[Customer ID]],Table2[#All],6,FALSE)</f>
        <v>No</v>
      </c>
      <c r="H1533">
        <f>VLOOKUP(Table2[[#This Row],[Customer ID]],Table2[#All],7,FALSE)</f>
        <v>0</v>
      </c>
      <c r="I1533" t="str">
        <f>VLOOKUP(Table2[[#This Row],[Customer ID]],Table2[#All],8,FALSE)</f>
        <v>No</v>
      </c>
      <c r="J1533" t="str">
        <f>VLOOKUP(Table2[[#This Row],[Customer ID]],Table2[#All],9,FALSE)</f>
        <v>Obesity</v>
      </c>
      <c r="K1533" t="str">
        <f>VLOOKUP(Table2[[#This Row],[Customer ID]],Table2[#All],10,FALSE)</f>
        <v>Normal</v>
      </c>
    </row>
    <row r="1534" spans="1:11" ht="15.6" x14ac:dyDescent="0.3">
      <c r="A1534" s="1" t="s">
        <v>838</v>
      </c>
      <c r="B1534" t="str">
        <f>VLOOKUP('Customer Names'!A1534,'Customer Names'!$A$1:$E$2336,4,FALSE)</f>
        <v>Mr.  Gregory</v>
      </c>
      <c r="C1534">
        <f>VLOOKUP(Table2[[#This Row],[Customer ID]],Table2[#All],2,FALSE)</f>
        <v>28.405000000000001</v>
      </c>
      <c r="D1534">
        <f>VLOOKUP(Table2[[#This Row],[Customer ID]],Table2[#All],3,FALSE)</f>
        <v>7.02</v>
      </c>
      <c r="E1534" t="str">
        <f>VLOOKUP(Table2[[#This Row],[Customer ID]],Table2[#All],4,FALSE)</f>
        <v>Yes</v>
      </c>
      <c r="F1534" t="str">
        <f>VLOOKUP(Table2[[#This Row],[Customer ID]],Table2[#All],5,FALSE)</f>
        <v>No</v>
      </c>
      <c r="G1534" t="str">
        <f>VLOOKUP(Table2[[#This Row],[Customer ID]],Table2[#All],6,FALSE)</f>
        <v>No</v>
      </c>
      <c r="H1534">
        <f>VLOOKUP(Table2[[#This Row],[Customer ID]],Table2[#All],7,FALSE)</f>
        <v>0</v>
      </c>
      <c r="I1534" t="str">
        <f>VLOOKUP(Table2[[#This Row],[Customer ID]],Table2[#All],8,FALSE)</f>
        <v>No</v>
      </c>
      <c r="J1534" t="str">
        <f>VLOOKUP(Table2[[#This Row],[Customer ID]],Table2[#All],9,FALSE)</f>
        <v>Overweight</v>
      </c>
      <c r="K1534" t="str">
        <f>VLOOKUP(Table2[[#This Row],[Customer ID]],Table2[#All],10,FALSE)</f>
        <v>Diabetes</v>
      </c>
    </row>
    <row r="1535" spans="1:11" ht="15.6" x14ac:dyDescent="0.3">
      <c r="A1535" s="1" t="s">
        <v>837</v>
      </c>
      <c r="B1535" t="str">
        <f>VLOOKUP('Customer Names'!A1535,'Customer Names'!$A$1:$E$2336,4,FALSE)</f>
        <v>Ms.  Rebecca</v>
      </c>
      <c r="C1535">
        <f>VLOOKUP(Table2[[#This Row],[Customer ID]],Table2[#All],2,FALSE)</f>
        <v>23.4</v>
      </c>
      <c r="D1535">
        <f>VLOOKUP(Table2[[#This Row],[Customer ID]],Table2[#All],3,FALSE)</f>
        <v>4.47</v>
      </c>
      <c r="E1535" t="str">
        <f>VLOOKUP(Table2[[#This Row],[Customer ID]],Table2[#All],4,FALSE)</f>
        <v>No</v>
      </c>
      <c r="F1535" t="str">
        <f>VLOOKUP(Table2[[#This Row],[Customer ID]],Table2[#All],5,FALSE)</f>
        <v>No</v>
      </c>
      <c r="G1535" t="str">
        <f>VLOOKUP(Table2[[#This Row],[Customer ID]],Table2[#All],6,FALSE)</f>
        <v>No</v>
      </c>
      <c r="H1535">
        <f>VLOOKUP(Table2[[#This Row],[Customer ID]],Table2[#All],7,FALSE)</f>
        <v>0</v>
      </c>
      <c r="I1535" t="str">
        <f>VLOOKUP(Table2[[#This Row],[Customer ID]],Table2[#All],8,FALSE)</f>
        <v>No</v>
      </c>
      <c r="J1535" t="str">
        <f>VLOOKUP(Table2[[#This Row],[Customer ID]],Table2[#All],9,FALSE)</f>
        <v>Normalweight</v>
      </c>
      <c r="K1535" t="str">
        <f>VLOOKUP(Table2[[#This Row],[Customer ID]],Table2[#All],10,FALSE)</f>
        <v>Normal</v>
      </c>
    </row>
    <row r="1536" spans="1:11" ht="15.6" x14ac:dyDescent="0.3">
      <c r="A1536" s="1" t="s">
        <v>836</v>
      </c>
      <c r="B1536" t="str">
        <f>VLOOKUP('Customer Names'!A1536,'Customer Names'!$A$1:$E$2336,4,FALSE)</f>
        <v>Mr.  Adam</v>
      </c>
      <c r="C1536">
        <f>VLOOKUP(Table2[[#This Row],[Customer ID]],Table2[#All],2,FALSE)</f>
        <v>33.44</v>
      </c>
      <c r="D1536">
        <f>VLOOKUP(Table2[[#This Row],[Customer ID]],Table2[#All],3,FALSE)</f>
        <v>4.54</v>
      </c>
      <c r="E1536" t="str">
        <f>VLOOKUP(Table2[[#This Row],[Customer ID]],Table2[#All],4,FALSE)</f>
        <v>No</v>
      </c>
      <c r="F1536" t="str">
        <f>VLOOKUP(Table2[[#This Row],[Customer ID]],Table2[#All],5,FALSE)</f>
        <v>No</v>
      </c>
      <c r="G1536" t="str">
        <f>VLOOKUP(Table2[[#This Row],[Customer ID]],Table2[#All],6,FALSE)</f>
        <v>No</v>
      </c>
      <c r="H1536">
        <f>VLOOKUP(Table2[[#This Row],[Customer ID]],Table2[#All],7,FALSE)</f>
        <v>0</v>
      </c>
      <c r="I1536" t="str">
        <f>VLOOKUP(Table2[[#This Row],[Customer ID]],Table2[#All],8,FALSE)</f>
        <v>No</v>
      </c>
      <c r="J1536" t="str">
        <f>VLOOKUP(Table2[[#This Row],[Customer ID]],Table2[#All],9,FALSE)</f>
        <v>Obesity</v>
      </c>
      <c r="K1536" t="str">
        <f>VLOOKUP(Table2[[#This Row],[Customer ID]],Table2[#All],10,FALSE)</f>
        <v>Normal</v>
      </c>
    </row>
    <row r="1537" spans="1:11" ht="15.6" x14ac:dyDescent="0.3">
      <c r="A1537" s="1" t="s">
        <v>835</v>
      </c>
      <c r="B1537" t="str">
        <f>VLOOKUP('Customer Names'!A1537,'Customer Names'!$A$1:$E$2336,4,FALSE)</f>
        <v>Mr.  Ryan</v>
      </c>
      <c r="C1537">
        <f>VLOOKUP(Table2[[#This Row],[Customer ID]],Table2[#All],2,FALSE)</f>
        <v>21.12</v>
      </c>
      <c r="D1537">
        <f>VLOOKUP(Table2[[#This Row],[Customer ID]],Table2[#All],3,FALSE)</f>
        <v>4.99</v>
      </c>
      <c r="E1537" t="str">
        <f>VLOOKUP(Table2[[#This Row],[Customer ID]],Table2[#All],4,FALSE)</f>
        <v>No</v>
      </c>
      <c r="F1537" t="str">
        <f>VLOOKUP(Table2[[#This Row],[Customer ID]],Table2[#All],5,FALSE)</f>
        <v>No</v>
      </c>
      <c r="G1537" t="str">
        <f>VLOOKUP(Table2[[#This Row],[Customer ID]],Table2[#All],6,FALSE)</f>
        <v>No</v>
      </c>
      <c r="H1537">
        <f>VLOOKUP(Table2[[#This Row],[Customer ID]],Table2[#All],7,FALSE)</f>
        <v>1</v>
      </c>
      <c r="I1537" t="str">
        <f>VLOOKUP(Table2[[#This Row],[Customer ID]],Table2[#All],8,FALSE)</f>
        <v>No</v>
      </c>
      <c r="J1537" t="str">
        <f>VLOOKUP(Table2[[#This Row],[Customer ID]],Table2[#All],9,FALSE)</f>
        <v>Normalweight</v>
      </c>
      <c r="K1537" t="str">
        <f>VLOOKUP(Table2[[#This Row],[Customer ID]],Table2[#All],10,FALSE)</f>
        <v>Normal</v>
      </c>
    </row>
    <row r="1538" spans="1:11" ht="15.6" x14ac:dyDescent="0.3">
      <c r="A1538" s="1" t="s">
        <v>834</v>
      </c>
      <c r="B1538" t="str">
        <f>VLOOKUP('Customer Names'!A1538,'Customer Names'!$A$1:$E$2336,4,FALSE)</f>
        <v>Ms.  Jackie K.</v>
      </c>
      <c r="C1538">
        <f>VLOOKUP(Table2[[#This Row],[Customer ID]],Table2[#All],2,FALSE)</f>
        <v>18.48</v>
      </c>
      <c r="D1538">
        <f>VLOOKUP(Table2[[#This Row],[Customer ID]],Table2[#All],3,FALSE)</f>
        <v>10.84</v>
      </c>
      <c r="E1538" t="str">
        <f>VLOOKUP(Table2[[#This Row],[Customer ID]],Table2[#All],4,FALSE)</f>
        <v>Yes</v>
      </c>
      <c r="F1538" t="str">
        <f>VLOOKUP(Table2[[#This Row],[Customer ID]],Table2[#All],5,FALSE)</f>
        <v>No</v>
      </c>
      <c r="G1538" t="str">
        <f>VLOOKUP(Table2[[#This Row],[Customer ID]],Table2[#All],6,FALSE)</f>
        <v>No</v>
      </c>
      <c r="H1538">
        <f>VLOOKUP(Table2[[#This Row],[Customer ID]],Table2[#All],7,FALSE)</f>
        <v>2</v>
      </c>
      <c r="I1538" t="str">
        <f>VLOOKUP(Table2[[#This Row],[Customer ID]],Table2[#All],8,FALSE)</f>
        <v>No</v>
      </c>
      <c r="J1538" t="str">
        <f>VLOOKUP(Table2[[#This Row],[Customer ID]],Table2[#All],9,FALSE)</f>
        <v>Underweight</v>
      </c>
      <c r="K1538" t="str">
        <f>VLOOKUP(Table2[[#This Row],[Customer ID]],Table2[#All],10,FALSE)</f>
        <v>Diabetes</v>
      </c>
    </row>
    <row r="1539" spans="1:11" ht="15.6" x14ac:dyDescent="0.3">
      <c r="A1539" s="1" t="s">
        <v>833</v>
      </c>
      <c r="B1539" t="str">
        <f>VLOOKUP('Customer Names'!A1539,'Customer Names'!$A$1:$E$2336,4,FALSE)</f>
        <v>Mr.  Chris</v>
      </c>
      <c r="C1539">
        <f>VLOOKUP(Table2[[#This Row],[Customer ID]],Table2[#All],2,FALSE)</f>
        <v>16.815000000000001</v>
      </c>
      <c r="D1539">
        <f>VLOOKUP(Table2[[#This Row],[Customer ID]],Table2[#All],3,FALSE)</f>
        <v>5.63</v>
      </c>
      <c r="E1539" t="str">
        <f>VLOOKUP(Table2[[#This Row],[Customer ID]],Table2[#All],4,FALSE)</f>
        <v>No</v>
      </c>
      <c r="F1539" t="str">
        <f>VLOOKUP(Table2[[#This Row],[Customer ID]],Table2[#All],5,FALSE)</f>
        <v>No</v>
      </c>
      <c r="G1539" t="str">
        <f>VLOOKUP(Table2[[#This Row],[Customer ID]],Table2[#All],6,FALSE)</f>
        <v>No</v>
      </c>
      <c r="H1539">
        <f>VLOOKUP(Table2[[#This Row],[Customer ID]],Table2[#All],7,FALSE)</f>
        <v>1</v>
      </c>
      <c r="I1539" t="str">
        <f>VLOOKUP(Table2[[#This Row],[Customer ID]],Table2[#All],8,FALSE)</f>
        <v>No</v>
      </c>
      <c r="J1539" t="str">
        <f>VLOOKUP(Table2[[#This Row],[Customer ID]],Table2[#All],9,FALSE)</f>
        <v>Underweight</v>
      </c>
      <c r="K1539" t="str">
        <f>VLOOKUP(Table2[[#This Row],[Customer ID]],Table2[#All],10,FALSE)</f>
        <v>Normal</v>
      </c>
    </row>
    <row r="1540" spans="1:11" ht="15.6" x14ac:dyDescent="0.3">
      <c r="A1540" s="1" t="s">
        <v>832</v>
      </c>
      <c r="B1540" t="str">
        <f>VLOOKUP('Customer Names'!A1540,'Customer Names'!$A$1:$E$2336,4,FALSE)</f>
        <v>Mr.  Tyler C</v>
      </c>
      <c r="C1540">
        <f>VLOOKUP(Table2[[#This Row],[Customer ID]],Table2[#All],2,FALSE)</f>
        <v>26.72</v>
      </c>
      <c r="D1540">
        <f>VLOOKUP(Table2[[#This Row],[Customer ID]],Table2[#All],3,FALSE)</f>
        <v>4.1399999999999997</v>
      </c>
      <c r="E1540" t="str">
        <f>VLOOKUP(Table2[[#This Row],[Customer ID]],Table2[#All],4,FALSE)</f>
        <v>No</v>
      </c>
      <c r="F1540" t="str">
        <f>VLOOKUP(Table2[[#This Row],[Customer ID]],Table2[#All],5,FALSE)</f>
        <v>No</v>
      </c>
      <c r="G1540" t="str">
        <f>VLOOKUP(Table2[[#This Row],[Customer ID]],Table2[#All],6,FALSE)</f>
        <v>No</v>
      </c>
      <c r="H1540">
        <f>VLOOKUP(Table2[[#This Row],[Customer ID]],Table2[#All],7,FALSE)</f>
        <v>0</v>
      </c>
      <c r="I1540" t="str">
        <f>VLOOKUP(Table2[[#This Row],[Customer ID]],Table2[#All],8,FALSE)</f>
        <v>No</v>
      </c>
      <c r="J1540" t="str">
        <f>VLOOKUP(Table2[[#This Row],[Customer ID]],Table2[#All],9,FALSE)</f>
        <v>Overweight</v>
      </c>
      <c r="K1540" t="str">
        <f>VLOOKUP(Table2[[#This Row],[Customer ID]],Table2[#All],10,FALSE)</f>
        <v>Normal</v>
      </c>
    </row>
    <row r="1541" spans="1:11" ht="15.6" x14ac:dyDescent="0.3">
      <c r="A1541" s="1" t="s">
        <v>831</v>
      </c>
      <c r="B1541" t="str">
        <f>VLOOKUP('Customer Names'!A1541,'Customer Names'!$A$1:$E$2336,4,FALSE)</f>
        <v>Ms.  Yoshie</v>
      </c>
      <c r="C1541">
        <f>VLOOKUP(Table2[[#This Row],[Customer ID]],Table2[#All],2,FALSE)</f>
        <v>41.42</v>
      </c>
      <c r="D1541">
        <f>VLOOKUP(Table2[[#This Row],[Customer ID]],Table2[#All],3,FALSE)</f>
        <v>5.17</v>
      </c>
      <c r="E1541" t="str">
        <f>VLOOKUP(Table2[[#This Row],[Customer ID]],Table2[#All],4,FALSE)</f>
        <v>No</v>
      </c>
      <c r="F1541" t="str">
        <f>VLOOKUP(Table2[[#This Row],[Customer ID]],Table2[#All],5,FALSE)</f>
        <v>No</v>
      </c>
      <c r="G1541" t="str">
        <f>VLOOKUP(Table2[[#This Row],[Customer ID]],Table2[#All],6,FALSE)</f>
        <v>Yes</v>
      </c>
      <c r="H1541">
        <f>VLOOKUP(Table2[[#This Row],[Customer ID]],Table2[#All],7,FALSE)</f>
        <v>1</v>
      </c>
      <c r="I1541" t="str">
        <f>VLOOKUP(Table2[[#This Row],[Customer ID]],Table2[#All],8,FALSE)</f>
        <v>No</v>
      </c>
      <c r="J1541" t="str">
        <f>VLOOKUP(Table2[[#This Row],[Customer ID]],Table2[#All],9,FALSE)</f>
        <v>Obesity</v>
      </c>
      <c r="K1541" t="str">
        <f>VLOOKUP(Table2[[#This Row],[Customer ID]],Table2[#All],10,FALSE)</f>
        <v>Normal</v>
      </c>
    </row>
    <row r="1542" spans="1:11" ht="15.6" x14ac:dyDescent="0.3">
      <c r="A1542" s="1" t="s">
        <v>830</v>
      </c>
      <c r="B1542" t="str">
        <f>VLOOKUP('Customer Names'!A1542,'Customer Names'!$A$1:$E$2336,4,FALSE)</f>
        <v>Ms.  Lauren A</v>
      </c>
      <c r="C1542">
        <f>VLOOKUP(Table2[[#This Row],[Customer ID]],Table2[#All],2,FALSE)</f>
        <v>20.69</v>
      </c>
      <c r="D1542">
        <f>VLOOKUP(Table2[[#This Row],[Customer ID]],Table2[#All],3,FALSE)</f>
        <v>6.93</v>
      </c>
      <c r="E1542" t="str">
        <f>VLOOKUP(Table2[[#This Row],[Customer ID]],Table2[#All],4,FALSE)</f>
        <v>No</v>
      </c>
      <c r="F1542" t="str">
        <f>VLOOKUP(Table2[[#This Row],[Customer ID]],Table2[#All],5,FALSE)</f>
        <v>No</v>
      </c>
      <c r="G1542" t="str">
        <f>VLOOKUP(Table2[[#This Row],[Customer ID]],Table2[#All],6,FALSE)</f>
        <v>No</v>
      </c>
      <c r="H1542">
        <f>VLOOKUP(Table2[[#This Row],[Customer ID]],Table2[#All],7,FALSE)</f>
        <v>2</v>
      </c>
      <c r="I1542" t="str">
        <f>VLOOKUP(Table2[[#This Row],[Customer ID]],Table2[#All],8,FALSE)</f>
        <v>No</v>
      </c>
      <c r="J1542" t="str">
        <f>VLOOKUP(Table2[[#This Row],[Customer ID]],Table2[#All],9,FALSE)</f>
        <v>Normalweight</v>
      </c>
      <c r="K1542" t="str">
        <f>VLOOKUP(Table2[[#This Row],[Customer ID]],Table2[#All],10,FALSE)</f>
        <v>Diabetes</v>
      </c>
    </row>
    <row r="1543" spans="1:11" ht="15.6" x14ac:dyDescent="0.3">
      <c r="A1543" s="1" t="s">
        <v>829</v>
      </c>
      <c r="B1543" t="str">
        <f>VLOOKUP('Customer Names'!A1543,'Customer Names'!$A$1:$E$2336,4,FALSE)</f>
        <v>Mr.  Mason D.</v>
      </c>
      <c r="C1543">
        <f>VLOOKUP(Table2[[#This Row],[Customer ID]],Table2[#All],2,FALSE)</f>
        <v>41.23</v>
      </c>
      <c r="D1543">
        <f>VLOOKUP(Table2[[#This Row],[Customer ID]],Table2[#All],3,FALSE)</f>
        <v>4.24</v>
      </c>
      <c r="E1543" t="str">
        <f>VLOOKUP(Table2[[#This Row],[Customer ID]],Table2[#All],4,FALSE)</f>
        <v>No</v>
      </c>
      <c r="F1543" t="str">
        <f>VLOOKUP(Table2[[#This Row],[Customer ID]],Table2[#All],5,FALSE)</f>
        <v>No</v>
      </c>
      <c r="G1543" t="str">
        <f>VLOOKUP(Table2[[#This Row],[Customer ID]],Table2[#All],6,FALSE)</f>
        <v>No</v>
      </c>
      <c r="H1543">
        <f>VLOOKUP(Table2[[#This Row],[Customer ID]],Table2[#All],7,FALSE)</f>
        <v>0</v>
      </c>
      <c r="I1543" t="str">
        <f>VLOOKUP(Table2[[#This Row],[Customer ID]],Table2[#All],8,FALSE)</f>
        <v>No</v>
      </c>
      <c r="J1543" t="str">
        <f>VLOOKUP(Table2[[#This Row],[Customer ID]],Table2[#All],9,FALSE)</f>
        <v>Obesity</v>
      </c>
      <c r="K1543" t="str">
        <f>VLOOKUP(Table2[[#This Row],[Customer ID]],Table2[#All],10,FALSE)</f>
        <v>Normal</v>
      </c>
    </row>
    <row r="1544" spans="1:11" ht="15.6" x14ac:dyDescent="0.3">
      <c r="A1544" s="1" t="s">
        <v>828</v>
      </c>
      <c r="B1544" t="str">
        <f>VLOOKUP('Customer Names'!A1544,'Customer Names'!$A$1:$E$2336,4,FALSE)</f>
        <v>Mr.  Ryan</v>
      </c>
      <c r="C1544">
        <f>VLOOKUP(Table2[[#This Row],[Customer ID]],Table2[#All],2,FALSE)</f>
        <v>29.9</v>
      </c>
      <c r="D1544">
        <f>VLOOKUP(Table2[[#This Row],[Customer ID]],Table2[#All],3,FALSE)</f>
        <v>5.91</v>
      </c>
      <c r="E1544" t="str">
        <f>VLOOKUP(Table2[[#This Row],[Customer ID]],Table2[#All],4,FALSE)</f>
        <v>No</v>
      </c>
      <c r="F1544" t="str">
        <f>VLOOKUP(Table2[[#This Row],[Customer ID]],Table2[#All],5,FALSE)</f>
        <v>No</v>
      </c>
      <c r="G1544" t="str">
        <f>VLOOKUP(Table2[[#This Row],[Customer ID]],Table2[#All],6,FALSE)</f>
        <v>No</v>
      </c>
      <c r="H1544">
        <f>VLOOKUP(Table2[[#This Row],[Customer ID]],Table2[#All],7,FALSE)</f>
        <v>0</v>
      </c>
      <c r="I1544" t="str">
        <f>VLOOKUP(Table2[[#This Row],[Customer ID]],Table2[#All],8,FALSE)</f>
        <v>No</v>
      </c>
      <c r="J1544" t="str">
        <f>VLOOKUP(Table2[[#This Row],[Customer ID]],Table2[#All],9,FALSE)</f>
        <v>Overweight</v>
      </c>
      <c r="K1544" t="str">
        <f>VLOOKUP(Table2[[#This Row],[Customer ID]],Table2[#All],10,FALSE)</f>
        <v>Prediabetes</v>
      </c>
    </row>
    <row r="1545" spans="1:11" ht="15.6" x14ac:dyDescent="0.3">
      <c r="A1545" s="1" t="s">
        <v>827</v>
      </c>
      <c r="B1545" t="str">
        <f>VLOOKUP('Customer Names'!A1545,'Customer Names'!$A$1:$E$2336,4,FALSE)</f>
        <v>Mr.  Arturo</v>
      </c>
      <c r="C1545">
        <f>VLOOKUP(Table2[[#This Row],[Customer ID]],Table2[#All],2,FALSE)</f>
        <v>34.104999999999997</v>
      </c>
      <c r="D1545">
        <f>VLOOKUP(Table2[[#This Row],[Customer ID]],Table2[#All],3,FALSE)</f>
        <v>5.93</v>
      </c>
      <c r="E1545" t="str">
        <f>VLOOKUP(Table2[[#This Row],[Customer ID]],Table2[#All],4,FALSE)</f>
        <v>No</v>
      </c>
      <c r="F1545" t="str">
        <f>VLOOKUP(Table2[[#This Row],[Customer ID]],Table2[#All],5,FALSE)</f>
        <v>No</v>
      </c>
      <c r="G1545" t="str">
        <f>VLOOKUP(Table2[[#This Row],[Customer ID]],Table2[#All],6,FALSE)</f>
        <v>No</v>
      </c>
      <c r="H1545">
        <f>VLOOKUP(Table2[[#This Row],[Customer ID]],Table2[#All],7,FALSE)</f>
        <v>0</v>
      </c>
      <c r="I1545" t="str">
        <f>VLOOKUP(Table2[[#This Row],[Customer ID]],Table2[#All],8,FALSE)</f>
        <v>No</v>
      </c>
      <c r="J1545" t="str">
        <f>VLOOKUP(Table2[[#This Row],[Customer ID]],Table2[#All],9,FALSE)</f>
        <v>Obesity</v>
      </c>
      <c r="K1545" t="str">
        <f>VLOOKUP(Table2[[#This Row],[Customer ID]],Table2[#All],10,FALSE)</f>
        <v>Prediabetes</v>
      </c>
    </row>
    <row r="1546" spans="1:11" ht="15.6" x14ac:dyDescent="0.3">
      <c r="A1546" s="1" t="s">
        <v>826</v>
      </c>
      <c r="B1546" t="str">
        <f>VLOOKUP('Customer Names'!A1546,'Customer Names'!$A$1:$E$2336,4,FALSE)</f>
        <v>Mr.  Jake</v>
      </c>
      <c r="C1546">
        <f>VLOOKUP(Table2[[#This Row],[Customer ID]],Table2[#All],2,FALSE)</f>
        <v>24.97</v>
      </c>
      <c r="D1546">
        <f>VLOOKUP(Table2[[#This Row],[Customer ID]],Table2[#All],3,FALSE)</f>
        <v>5.66</v>
      </c>
      <c r="E1546" t="str">
        <f>VLOOKUP(Table2[[#This Row],[Customer ID]],Table2[#All],4,FALSE)</f>
        <v>No</v>
      </c>
      <c r="F1546" t="str">
        <f>VLOOKUP(Table2[[#This Row],[Customer ID]],Table2[#All],5,FALSE)</f>
        <v>No</v>
      </c>
      <c r="G1546" t="str">
        <f>VLOOKUP(Table2[[#This Row],[Customer ID]],Table2[#All],6,FALSE)</f>
        <v>No</v>
      </c>
      <c r="H1546">
        <f>VLOOKUP(Table2[[#This Row],[Customer ID]],Table2[#All],7,FALSE)</f>
        <v>0</v>
      </c>
      <c r="I1546" t="str">
        <f>VLOOKUP(Table2[[#This Row],[Customer ID]],Table2[#All],8,FALSE)</f>
        <v>No</v>
      </c>
      <c r="J1546" t="str">
        <f>VLOOKUP(Table2[[#This Row],[Customer ID]],Table2[#All],9,FALSE)</f>
        <v>Normalweight</v>
      </c>
      <c r="K1546" t="str">
        <f>VLOOKUP(Table2[[#This Row],[Customer ID]],Table2[#All],10,FALSE)</f>
        <v>Normal</v>
      </c>
    </row>
    <row r="1547" spans="1:11" ht="15.6" x14ac:dyDescent="0.3">
      <c r="A1547" s="1" t="s">
        <v>825</v>
      </c>
      <c r="B1547" t="str">
        <f>VLOOKUP('Customer Names'!A1547,'Customer Names'!$A$1:$E$2336,4,FALSE)</f>
        <v>Ms.  Sarah E</v>
      </c>
      <c r="C1547">
        <f>VLOOKUP(Table2[[#This Row],[Customer ID]],Table2[#All],2,FALSE)</f>
        <v>34.799999999999997</v>
      </c>
      <c r="D1547">
        <f>VLOOKUP(Table2[[#This Row],[Customer ID]],Table2[#All],3,FALSE)</f>
        <v>4.1900000000000004</v>
      </c>
      <c r="E1547" t="str">
        <f>VLOOKUP(Table2[[#This Row],[Customer ID]],Table2[#All],4,FALSE)</f>
        <v>No</v>
      </c>
      <c r="F1547" t="str">
        <f>VLOOKUP(Table2[[#This Row],[Customer ID]],Table2[#All],5,FALSE)</f>
        <v>No</v>
      </c>
      <c r="G1547" t="str">
        <f>VLOOKUP(Table2[[#This Row],[Customer ID]],Table2[#All],6,FALSE)</f>
        <v>No</v>
      </c>
      <c r="H1547">
        <f>VLOOKUP(Table2[[#This Row],[Customer ID]],Table2[#All],7,FALSE)</f>
        <v>1</v>
      </c>
      <c r="I1547" t="str">
        <f>VLOOKUP(Table2[[#This Row],[Customer ID]],Table2[#All],8,FALSE)</f>
        <v>No</v>
      </c>
      <c r="J1547" t="str">
        <f>VLOOKUP(Table2[[#This Row],[Customer ID]],Table2[#All],9,FALSE)</f>
        <v>Obesity</v>
      </c>
      <c r="K1547" t="str">
        <f>VLOOKUP(Table2[[#This Row],[Customer ID]],Table2[#All],10,FALSE)</f>
        <v>Normal</v>
      </c>
    </row>
    <row r="1548" spans="1:11" ht="15.6" x14ac:dyDescent="0.3">
      <c r="A1548" s="1" t="s">
        <v>824</v>
      </c>
      <c r="B1548" t="str">
        <f>VLOOKUP('Customer Names'!A1548,'Customer Names'!$A$1:$E$2336,4,FALSE)</f>
        <v>Ms.  Alison L.</v>
      </c>
      <c r="C1548">
        <f>VLOOKUP(Table2[[#This Row],[Customer ID]],Table2[#All],2,FALSE)</f>
        <v>32.965000000000003</v>
      </c>
      <c r="D1548">
        <f>VLOOKUP(Table2[[#This Row],[Customer ID]],Table2[#All],3,FALSE)</f>
        <v>9.2100000000000009</v>
      </c>
      <c r="E1548" t="str">
        <f>VLOOKUP(Table2[[#This Row],[Customer ID]],Table2[#All],4,FALSE)</f>
        <v>Yes</v>
      </c>
      <c r="F1548" t="str">
        <f>VLOOKUP(Table2[[#This Row],[Customer ID]],Table2[#All],5,FALSE)</f>
        <v>No</v>
      </c>
      <c r="G1548" t="str">
        <f>VLOOKUP(Table2[[#This Row],[Customer ID]],Table2[#All],6,FALSE)</f>
        <v>No</v>
      </c>
      <c r="H1548">
        <f>VLOOKUP(Table2[[#This Row],[Customer ID]],Table2[#All],7,FALSE)</f>
        <v>0</v>
      </c>
      <c r="I1548" t="str">
        <f>VLOOKUP(Table2[[#This Row],[Customer ID]],Table2[#All],8,FALSE)</f>
        <v>No</v>
      </c>
      <c r="J1548" t="str">
        <f>VLOOKUP(Table2[[#This Row],[Customer ID]],Table2[#All],9,FALSE)</f>
        <v>Obesity</v>
      </c>
      <c r="K1548" t="str">
        <f>VLOOKUP(Table2[[#This Row],[Customer ID]],Table2[#All],10,FALSE)</f>
        <v>Diabetes</v>
      </c>
    </row>
    <row r="1549" spans="1:11" ht="15.6" x14ac:dyDescent="0.3">
      <c r="A1549" s="1" t="s">
        <v>823</v>
      </c>
      <c r="B1549" t="str">
        <f>VLOOKUP('Customer Names'!A1549,'Customer Names'!$A$1:$E$2336,4,FALSE)</f>
        <v>Ms.  Karen A.</v>
      </c>
      <c r="C1549">
        <f>VLOOKUP(Table2[[#This Row],[Customer ID]],Table2[#All],2,FALSE)</f>
        <v>27.265000000000001</v>
      </c>
      <c r="D1549">
        <f>VLOOKUP(Table2[[#This Row],[Customer ID]],Table2[#All],3,FALSE)</f>
        <v>5.51</v>
      </c>
      <c r="E1549" t="str">
        <f>VLOOKUP(Table2[[#This Row],[Customer ID]],Table2[#All],4,FALSE)</f>
        <v>No</v>
      </c>
      <c r="F1549" t="str">
        <f>VLOOKUP(Table2[[#This Row],[Customer ID]],Table2[#All],5,FALSE)</f>
        <v>No</v>
      </c>
      <c r="G1549" t="str">
        <f>VLOOKUP(Table2[[#This Row],[Customer ID]],Table2[#All],6,FALSE)</f>
        <v>No</v>
      </c>
      <c r="H1549">
        <f>VLOOKUP(Table2[[#This Row],[Customer ID]],Table2[#All],7,FALSE)</f>
        <v>1</v>
      </c>
      <c r="I1549" t="str">
        <f>VLOOKUP(Table2[[#This Row],[Customer ID]],Table2[#All],8,FALSE)</f>
        <v>No</v>
      </c>
      <c r="J1549" t="str">
        <f>VLOOKUP(Table2[[#This Row],[Customer ID]],Table2[#All],9,FALSE)</f>
        <v>Overweight</v>
      </c>
      <c r="K1549" t="str">
        <f>VLOOKUP(Table2[[#This Row],[Customer ID]],Table2[#All],10,FALSE)</f>
        <v>Normal</v>
      </c>
    </row>
    <row r="1550" spans="1:11" ht="15.6" x14ac:dyDescent="0.3">
      <c r="A1550" s="1" t="s">
        <v>822</v>
      </c>
      <c r="B1550" t="str">
        <f>VLOOKUP('Customer Names'!A1550,'Customer Names'!$A$1:$E$2336,4,FALSE)</f>
        <v>Mr.  Thomas R. Jr.</v>
      </c>
      <c r="C1550">
        <f>VLOOKUP(Table2[[#This Row],[Customer ID]],Table2[#All],2,FALSE)</f>
        <v>17.059999999999999</v>
      </c>
      <c r="D1550">
        <f>VLOOKUP(Table2[[#This Row],[Customer ID]],Table2[#All],3,FALSE)</f>
        <v>8.5</v>
      </c>
      <c r="E1550" t="str">
        <f>VLOOKUP(Table2[[#This Row],[Customer ID]],Table2[#All],4,FALSE)</f>
        <v>No</v>
      </c>
      <c r="F1550" t="str">
        <f>VLOOKUP(Table2[[#This Row],[Customer ID]],Table2[#All],5,FALSE)</f>
        <v>No</v>
      </c>
      <c r="G1550" t="str">
        <f>VLOOKUP(Table2[[#This Row],[Customer ID]],Table2[#All],6,FALSE)</f>
        <v>No</v>
      </c>
      <c r="H1550">
        <f>VLOOKUP(Table2[[#This Row],[Customer ID]],Table2[#All],7,FALSE)</f>
        <v>0</v>
      </c>
      <c r="I1550" t="str">
        <f>VLOOKUP(Table2[[#This Row],[Customer ID]],Table2[#All],8,FALSE)</f>
        <v>No</v>
      </c>
      <c r="J1550" t="str">
        <f>VLOOKUP(Table2[[#This Row],[Customer ID]],Table2[#All],9,FALSE)</f>
        <v>Underweight</v>
      </c>
      <c r="K1550" t="str">
        <f>VLOOKUP(Table2[[#This Row],[Customer ID]],Table2[#All],10,FALSE)</f>
        <v>Diabetes</v>
      </c>
    </row>
    <row r="1551" spans="1:11" ht="15.6" x14ac:dyDescent="0.3">
      <c r="A1551" s="1" t="s">
        <v>821</v>
      </c>
      <c r="B1551" t="str">
        <f>VLOOKUP('Customer Names'!A1551,'Customer Names'!$A$1:$E$2336,4,FALSE)</f>
        <v>Ms.  Stephanie W.</v>
      </c>
      <c r="C1551">
        <f>VLOOKUP(Table2[[#This Row],[Customer ID]],Table2[#All],2,FALSE)</f>
        <v>36.29</v>
      </c>
      <c r="D1551">
        <f>VLOOKUP(Table2[[#This Row],[Customer ID]],Table2[#All],3,FALSE)</f>
        <v>6.23</v>
      </c>
      <c r="E1551" t="str">
        <f>VLOOKUP(Table2[[#This Row],[Customer ID]],Table2[#All],4,FALSE)</f>
        <v>No</v>
      </c>
      <c r="F1551" t="str">
        <f>VLOOKUP(Table2[[#This Row],[Customer ID]],Table2[#All],5,FALSE)</f>
        <v>No</v>
      </c>
      <c r="G1551" t="str">
        <f>VLOOKUP(Table2[[#This Row],[Customer ID]],Table2[#All],6,FALSE)</f>
        <v>No</v>
      </c>
      <c r="H1551">
        <f>VLOOKUP(Table2[[#This Row],[Customer ID]],Table2[#All],7,FALSE)</f>
        <v>0</v>
      </c>
      <c r="I1551" t="str">
        <f>VLOOKUP(Table2[[#This Row],[Customer ID]],Table2[#All],8,FALSE)</f>
        <v>No</v>
      </c>
      <c r="J1551" t="str">
        <f>VLOOKUP(Table2[[#This Row],[Customer ID]],Table2[#All],9,FALSE)</f>
        <v>Obesity</v>
      </c>
      <c r="K1551" t="str">
        <f>VLOOKUP(Table2[[#This Row],[Customer ID]],Table2[#All],10,FALSE)</f>
        <v>Prediabetes</v>
      </c>
    </row>
    <row r="1552" spans="1:11" ht="15.6" x14ac:dyDescent="0.3">
      <c r="A1552" s="1" t="s">
        <v>820</v>
      </c>
      <c r="B1552" t="str">
        <f>VLOOKUP('Customer Names'!A1552,'Customer Names'!$A$1:$E$2336,4,FALSE)</f>
        <v>Mr.  Ezra</v>
      </c>
      <c r="C1552">
        <f>VLOOKUP(Table2[[#This Row],[Customer ID]],Table2[#All],2,FALSE)</f>
        <v>28.594999999999999</v>
      </c>
      <c r="D1552">
        <f>VLOOKUP(Table2[[#This Row],[Customer ID]],Table2[#All],3,FALSE)</f>
        <v>8.5299999999999994</v>
      </c>
      <c r="E1552" t="str">
        <f>VLOOKUP(Table2[[#This Row],[Customer ID]],Table2[#All],4,FALSE)</f>
        <v>Yes</v>
      </c>
      <c r="F1552" t="str">
        <f>VLOOKUP(Table2[[#This Row],[Customer ID]],Table2[#All],5,FALSE)</f>
        <v>No</v>
      </c>
      <c r="G1552" t="str">
        <f>VLOOKUP(Table2[[#This Row],[Customer ID]],Table2[#All],6,FALSE)</f>
        <v>No</v>
      </c>
      <c r="H1552">
        <f>VLOOKUP(Table2[[#This Row],[Customer ID]],Table2[#All],7,FALSE)</f>
        <v>1</v>
      </c>
      <c r="I1552" t="str">
        <f>VLOOKUP(Table2[[#This Row],[Customer ID]],Table2[#All],8,FALSE)</f>
        <v>No</v>
      </c>
      <c r="J1552" t="str">
        <f>VLOOKUP(Table2[[#This Row],[Customer ID]],Table2[#All],9,FALSE)</f>
        <v>Overweight</v>
      </c>
      <c r="K1552" t="str">
        <f>VLOOKUP(Table2[[#This Row],[Customer ID]],Table2[#All],10,FALSE)</f>
        <v>Diabetes</v>
      </c>
    </row>
    <row r="1553" spans="1:11" ht="15.6" x14ac:dyDescent="0.3">
      <c r="A1553" s="1" t="s">
        <v>819</v>
      </c>
      <c r="B1553" t="str">
        <f>VLOOKUP('Customer Names'!A1553,'Customer Names'!$A$1:$E$2336,4,FALSE)</f>
        <v>Mr.  Jim</v>
      </c>
      <c r="C1553">
        <f>VLOOKUP(Table2[[#This Row],[Customer ID]],Table2[#All],2,FALSE)</f>
        <v>17.8</v>
      </c>
      <c r="D1553">
        <f>VLOOKUP(Table2[[#This Row],[Customer ID]],Table2[#All],3,FALSE)</f>
        <v>5.75</v>
      </c>
      <c r="E1553" t="str">
        <f>VLOOKUP(Table2[[#This Row],[Customer ID]],Table2[#All],4,FALSE)</f>
        <v>Yes</v>
      </c>
      <c r="F1553" t="str">
        <f>VLOOKUP(Table2[[#This Row],[Customer ID]],Table2[#All],5,FALSE)</f>
        <v>No</v>
      </c>
      <c r="G1553" t="str">
        <f>VLOOKUP(Table2[[#This Row],[Customer ID]],Table2[#All],6,FALSE)</f>
        <v>Yes</v>
      </c>
      <c r="H1553">
        <f>VLOOKUP(Table2[[#This Row],[Customer ID]],Table2[#All],7,FALSE)</f>
        <v>1</v>
      </c>
      <c r="I1553" t="str">
        <f>VLOOKUP(Table2[[#This Row],[Customer ID]],Table2[#All],8,FALSE)</f>
        <v>No</v>
      </c>
      <c r="J1553" t="str">
        <f>VLOOKUP(Table2[[#This Row],[Customer ID]],Table2[#All],9,FALSE)</f>
        <v>Underweight</v>
      </c>
      <c r="K1553" t="str">
        <f>VLOOKUP(Table2[[#This Row],[Customer ID]],Table2[#All],10,FALSE)</f>
        <v>Prediabetes</v>
      </c>
    </row>
    <row r="1554" spans="1:11" ht="15.6" x14ac:dyDescent="0.3">
      <c r="A1554" s="1" t="s">
        <v>818</v>
      </c>
      <c r="B1554" t="str">
        <f>VLOOKUP('Customer Names'!A1554,'Customer Names'!$A$1:$E$2336,4,FALSE)</f>
        <v>Mr.  Ari L.</v>
      </c>
      <c r="C1554">
        <f>VLOOKUP(Table2[[#This Row],[Customer ID]],Table2[#All],2,FALSE)</f>
        <v>21.4</v>
      </c>
      <c r="D1554">
        <f>VLOOKUP(Table2[[#This Row],[Customer ID]],Table2[#All],3,FALSE)</f>
        <v>5.6</v>
      </c>
      <c r="E1554" t="str">
        <f>VLOOKUP(Table2[[#This Row],[Customer ID]],Table2[#All],4,FALSE)</f>
        <v>No</v>
      </c>
      <c r="F1554" t="str">
        <f>VLOOKUP(Table2[[#This Row],[Customer ID]],Table2[#All],5,FALSE)</f>
        <v>No</v>
      </c>
      <c r="G1554" t="str">
        <f>VLOOKUP(Table2[[#This Row],[Customer ID]],Table2[#All],6,FALSE)</f>
        <v>No</v>
      </c>
      <c r="H1554">
        <f>VLOOKUP(Table2[[#This Row],[Customer ID]],Table2[#All],7,FALSE)</f>
        <v>0</v>
      </c>
      <c r="I1554" t="str">
        <f>VLOOKUP(Table2[[#This Row],[Customer ID]],Table2[#All],8,FALSE)</f>
        <v>No</v>
      </c>
      <c r="J1554" t="str">
        <f>VLOOKUP(Table2[[#This Row],[Customer ID]],Table2[#All],9,FALSE)</f>
        <v>Normalweight</v>
      </c>
      <c r="K1554" t="str">
        <f>VLOOKUP(Table2[[#This Row],[Customer ID]],Table2[#All],10,FALSE)</f>
        <v>Normal</v>
      </c>
    </row>
    <row r="1555" spans="1:11" ht="15.6" x14ac:dyDescent="0.3">
      <c r="A1555" s="1" t="s">
        <v>817</v>
      </c>
      <c r="B1555" t="str">
        <f>VLOOKUP('Customer Names'!A1555,'Customer Names'!$A$1:$E$2336,4,FALSE)</f>
        <v>Ms.  Fanny</v>
      </c>
      <c r="C1555">
        <f>VLOOKUP(Table2[[#This Row],[Customer ID]],Table2[#All],2,FALSE)</f>
        <v>23.01</v>
      </c>
      <c r="D1555">
        <f>VLOOKUP(Table2[[#This Row],[Customer ID]],Table2[#All],3,FALSE)</f>
        <v>4.68</v>
      </c>
      <c r="E1555" t="str">
        <f>VLOOKUP(Table2[[#This Row],[Customer ID]],Table2[#All],4,FALSE)</f>
        <v>No</v>
      </c>
      <c r="F1555" t="str">
        <f>VLOOKUP(Table2[[#This Row],[Customer ID]],Table2[#All],5,FALSE)</f>
        <v>No</v>
      </c>
      <c r="G1555" t="str">
        <f>VLOOKUP(Table2[[#This Row],[Customer ID]],Table2[#All],6,FALSE)</f>
        <v>No</v>
      </c>
      <c r="H1555">
        <f>VLOOKUP(Table2[[#This Row],[Customer ID]],Table2[#All],7,FALSE)</f>
        <v>0</v>
      </c>
      <c r="I1555" t="str">
        <f>VLOOKUP(Table2[[#This Row],[Customer ID]],Table2[#All],8,FALSE)</f>
        <v>No</v>
      </c>
      <c r="J1555" t="str">
        <f>VLOOKUP(Table2[[#This Row],[Customer ID]],Table2[#All],9,FALSE)</f>
        <v>Normalweight</v>
      </c>
      <c r="K1555" t="str">
        <f>VLOOKUP(Table2[[#This Row],[Customer ID]],Table2[#All],10,FALSE)</f>
        <v>Normal</v>
      </c>
    </row>
    <row r="1556" spans="1:11" ht="15.6" x14ac:dyDescent="0.3">
      <c r="A1556" s="1" t="s">
        <v>816</v>
      </c>
      <c r="B1556" t="str">
        <f>VLOOKUP('Customer Names'!A1556,'Customer Names'!$A$1:$E$2336,4,FALSE)</f>
        <v>Ms.  Heather</v>
      </c>
      <c r="C1556">
        <f>VLOOKUP(Table2[[#This Row],[Customer ID]],Table2[#All],2,FALSE)</f>
        <v>19.86</v>
      </c>
      <c r="D1556">
        <f>VLOOKUP(Table2[[#This Row],[Customer ID]],Table2[#All],3,FALSE)</f>
        <v>5.62</v>
      </c>
      <c r="E1556" t="str">
        <f>VLOOKUP(Table2[[#This Row],[Customer ID]],Table2[#All],4,FALSE)</f>
        <v>Yes</v>
      </c>
      <c r="F1556" t="str">
        <f>VLOOKUP(Table2[[#This Row],[Customer ID]],Table2[#All],5,FALSE)</f>
        <v>No</v>
      </c>
      <c r="G1556" t="str">
        <f>VLOOKUP(Table2[[#This Row],[Customer ID]],Table2[#All],6,FALSE)</f>
        <v>No</v>
      </c>
      <c r="H1556">
        <f>VLOOKUP(Table2[[#This Row],[Customer ID]],Table2[#All],7,FALSE)</f>
        <v>0</v>
      </c>
      <c r="I1556" t="str">
        <f>VLOOKUP(Table2[[#This Row],[Customer ID]],Table2[#All],8,FALSE)</f>
        <v>No</v>
      </c>
      <c r="J1556" t="str">
        <f>VLOOKUP(Table2[[#This Row],[Customer ID]],Table2[#All],9,FALSE)</f>
        <v>Normalweight</v>
      </c>
      <c r="K1556" t="str">
        <f>VLOOKUP(Table2[[#This Row],[Customer ID]],Table2[#All],10,FALSE)</f>
        <v>Normal</v>
      </c>
    </row>
    <row r="1557" spans="1:11" ht="15.6" x14ac:dyDescent="0.3">
      <c r="A1557" s="1" t="s">
        <v>815</v>
      </c>
      <c r="B1557" t="str">
        <f>VLOOKUP('Customer Names'!A1557,'Customer Names'!$A$1:$E$2336,4,FALSE)</f>
        <v>Mr.  Peter W. Sr.</v>
      </c>
      <c r="C1557">
        <f>VLOOKUP(Table2[[#This Row],[Customer ID]],Table2[#All],2,FALSE)</f>
        <v>33.58</v>
      </c>
      <c r="D1557">
        <f>VLOOKUP(Table2[[#This Row],[Customer ID]],Table2[#All],3,FALSE)</f>
        <v>5.08</v>
      </c>
      <c r="E1557" t="str">
        <f>VLOOKUP(Table2[[#This Row],[Customer ID]],Table2[#All],4,FALSE)</f>
        <v>No</v>
      </c>
      <c r="F1557" t="str">
        <f>VLOOKUP(Table2[[#This Row],[Customer ID]],Table2[#All],5,FALSE)</f>
        <v>No</v>
      </c>
      <c r="G1557" t="str">
        <f>VLOOKUP(Table2[[#This Row],[Customer ID]],Table2[#All],6,FALSE)</f>
        <v>No</v>
      </c>
      <c r="H1557">
        <f>VLOOKUP(Table2[[#This Row],[Customer ID]],Table2[#All],7,FALSE)</f>
        <v>0</v>
      </c>
      <c r="I1557" t="str">
        <f>VLOOKUP(Table2[[#This Row],[Customer ID]],Table2[#All],8,FALSE)</f>
        <v>No</v>
      </c>
      <c r="J1557" t="str">
        <f>VLOOKUP(Table2[[#This Row],[Customer ID]],Table2[#All],9,FALSE)</f>
        <v>Obesity</v>
      </c>
      <c r="K1557" t="str">
        <f>VLOOKUP(Table2[[#This Row],[Customer ID]],Table2[#All],10,FALSE)</f>
        <v>Normal</v>
      </c>
    </row>
    <row r="1558" spans="1:11" ht="15.6" x14ac:dyDescent="0.3">
      <c r="A1558" s="1" t="s">
        <v>814</v>
      </c>
      <c r="B1558" t="str">
        <f>VLOOKUP('Customer Names'!A1558,'Customer Names'!$A$1:$E$2336,4,FALSE)</f>
        <v>Ms.  Catherine A</v>
      </c>
      <c r="C1558">
        <f>VLOOKUP(Table2[[#This Row],[Customer ID]],Table2[#All],2,FALSE)</f>
        <v>29.81</v>
      </c>
      <c r="D1558">
        <f>VLOOKUP(Table2[[#This Row],[Customer ID]],Table2[#All],3,FALSE)</f>
        <v>5.28</v>
      </c>
      <c r="E1558" t="str">
        <f>VLOOKUP(Table2[[#This Row],[Customer ID]],Table2[#All],4,FALSE)</f>
        <v>No</v>
      </c>
      <c r="F1558" t="str">
        <f>VLOOKUP(Table2[[#This Row],[Customer ID]],Table2[#All],5,FALSE)</f>
        <v>No</v>
      </c>
      <c r="G1558" t="str">
        <f>VLOOKUP(Table2[[#This Row],[Customer ID]],Table2[#All],6,FALSE)</f>
        <v>No</v>
      </c>
      <c r="H1558">
        <f>VLOOKUP(Table2[[#This Row],[Customer ID]],Table2[#All],7,FALSE)</f>
        <v>0</v>
      </c>
      <c r="I1558" t="str">
        <f>VLOOKUP(Table2[[#This Row],[Customer ID]],Table2[#All],8,FALSE)</f>
        <v>No</v>
      </c>
      <c r="J1558" t="str">
        <f>VLOOKUP(Table2[[#This Row],[Customer ID]],Table2[#All],9,FALSE)</f>
        <v>Overweight</v>
      </c>
      <c r="K1558" t="str">
        <f>VLOOKUP(Table2[[#This Row],[Customer ID]],Table2[#All],10,FALSE)</f>
        <v>Normal</v>
      </c>
    </row>
    <row r="1559" spans="1:11" ht="15.6" x14ac:dyDescent="0.3">
      <c r="A1559" s="1" t="s">
        <v>813</v>
      </c>
      <c r="B1559" t="str">
        <f>VLOOKUP('Customer Names'!A1559,'Customer Names'!$A$1:$E$2336,4,FALSE)</f>
        <v>Ms.  Kelly A</v>
      </c>
      <c r="C1559">
        <f>VLOOKUP(Table2[[#This Row],[Customer ID]],Table2[#All],2,FALSE)</f>
        <v>27.4</v>
      </c>
      <c r="D1559">
        <f>VLOOKUP(Table2[[#This Row],[Customer ID]],Table2[#All],3,FALSE)</f>
        <v>4.6100000000000003</v>
      </c>
      <c r="E1559" t="str">
        <f>VLOOKUP(Table2[[#This Row],[Customer ID]],Table2[#All],4,FALSE)</f>
        <v>No</v>
      </c>
      <c r="F1559" t="str">
        <f>VLOOKUP(Table2[[#This Row],[Customer ID]],Table2[#All],5,FALSE)</f>
        <v>No</v>
      </c>
      <c r="G1559" t="str">
        <f>VLOOKUP(Table2[[#This Row],[Customer ID]],Table2[#All],6,FALSE)</f>
        <v>No</v>
      </c>
      <c r="H1559">
        <f>VLOOKUP(Table2[[#This Row],[Customer ID]],Table2[#All],7,FALSE)</f>
        <v>0</v>
      </c>
      <c r="I1559" t="str">
        <f>VLOOKUP(Table2[[#This Row],[Customer ID]],Table2[#All],8,FALSE)</f>
        <v>No</v>
      </c>
      <c r="J1559" t="str">
        <f>VLOOKUP(Table2[[#This Row],[Customer ID]],Table2[#All],9,FALSE)</f>
        <v>Overweight</v>
      </c>
      <c r="K1559" t="str">
        <f>VLOOKUP(Table2[[#This Row],[Customer ID]],Table2[#All],10,FALSE)</f>
        <v>Normal</v>
      </c>
    </row>
    <row r="1560" spans="1:11" ht="15.6" x14ac:dyDescent="0.3">
      <c r="A1560" s="1" t="s">
        <v>812</v>
      </c>
      <c r="B1560" t="str">
        <f>VLOOKUP('Customer Names'!A1560,'Customer Names'!$A$1:$E$2336,4,FALSE)</f>
        <v>Ms.  Janel N.</v>
      </c>
      <c r="C1560">
        <f>VLOOKUP(Table2[[#This Row],[Customer ID]],Table2[#All],2,FALSE)</f>
        <v>17.98</v>
      </c>
      <c r="D1560">
        <f>VLOOKUP(Table2[[#This Row],[Customer ID]],Table2[#All],3,FALSE)</f>
        <v>6.57</v>
      </c>
      <c r="E1560" t="str">
        <f>VLOOKUP(Table2[[#This Row],[Customer ID]],Table2[#All],4,FALSE)</f>
        <v>Yes</v>
      </c>
      <c r="F1560" t="str">
        <f>VLOOKUP(Table2[[#This Row],[Customer ID]],Table2[#All],5,FALSE)</f>
        <v>No</v>
      </c>
      <c r="G1560" t="str">
        <f>VLOOKUP(Table2[[#This Row],[Customer ID]],Table2[#All],6,FALSE)</f>
        <v>No</v>
      </c>
      <c r="H1560">
        <f>VLOOKUP(Table2[[#This Row],[Customer ID]],Table2[#All],7,FALSE)</f>
        <v>2</v>
      </c>
      <c r="I1560" t="str">
        <f>VLOOKUP(Table2[[#This Row],[Customer ID]],Table2[#All],8,FALSE)</f>
        <v>No</v>
      </c>
      <c r="J1560" t="str">
        <f>VLOOKUP(Table2[[#This Row],[Customer ID]],Table2[#All],9,FALSE)</f>
        <v>Underweight</v>
      </c>
      <c r="K1560" t="str">
        <f>VLOOKUP(Table2[[#This Row],[Customer ID]],Table2[#All],10,FALSE)</f>
        <v>Diabetes</v>
      </c>
    </row>
    <row r="1561" spans="1:11" ht="15.6" x14ac:dyDescent="0.3">
      <c r="A1561" s="1" t="s">
        <v>811</v>
      </c>
      <c r="B1561" t="str">
        <f>VLOOKUP('Customer Names'!A1561,'Customer Names'!$A$1:$E$2336,4,FALSE)</f>
        <v>Ms.  Yann Kai</v>
      </c>
      <c r="C1561">
        <f>VLOOKUP(Table2[[#This Row],[Customer ID]],Table2[#All],2,FALSE)</f>
        <v>37.9</v>
      </c>
      <c r="D1561">
        <f>VLOOKUP(Table2[[#This Row],[Customer ID]],Table2[#All],3,FALSE)</f>
        <v>5.83</v>
      </c>
      <c r="E1561" t="str">
        <f>VLOOKUP(Table2[[#This Row],[Customer ID]],Table2[#All],4,FALSE)</f>
        <v>No</v>
      </c>
      <c r="F1561" t="str">
        <f>VLOOKUP(Table2[[#This Row],[Customer ID]],Table2[#All],5,FALSE)</f>
        <v>No</v>
      </c>
      <c r="G1561" t="str">
        <f>VLOOKUP(Table2[[#This Row],[Customer ID]],Table2[#All],6,FALSE)</f>
        <v>No</v>
      </c>
      <c r="H1561">
        <f>VLOOKUP(Table2[[#This Row],[Customer ID]],Table2[#All],7,FALSE)</f>
        <v>0</v>
      </c>
      <c r="I1561" t="str">
        <f>VLOOKUP(Table2[[#This Row],[Customer ID]],Table2[#All],8,FALSE)</f>
        <v>No</v>
      </c>
      <c r="J1561" t="str">
        <f>VLOOKUP(Table2[[#This Row],[Customer ID]],Table2[#All],9,FALSE)</f>
        <v>Obesity</v>
      </c>
      <c r="K1561" t="str">
        <f>VLOOKUP(Table2[[#This Row],[Customer ID]],Table2[#All],10,FALSE)</f>
        <v>Prediabetes</v>
      </c>
    </row>
    <row r="1562" spans="1:11" ht="15.6" x14ac:dyDescent="0.3">
      <c r="A1562" s="1" t="s">
        <v>810</v>
      </c>
      <c r="B1562" t="str">
        <f>VLOOKUP('Customer Names'!A1562,'Customer Names'!$A$1:$E$2336,4,FALSE)</f>
        <v>Mr.  Zachary R.</v>
      </c>
      <c r="C1562">
        <f>VLOOKUP(Table2[[#This Row],[Customer ID]],Table2[#All],2,FALSE)</f>
        <v>25.27</v>
      </c>
      <c r="D1562">
        <f>VLOOKUP(Table2[[#This Row],[Customer ID]],Table2[#All],3,FALSE)</f>
        <v>6.98</v>
      </c>
      <c r="E1562" t="str">
        <f>VLOOKUP(Table2[[#This Row],[Customer ID]],Table2[#All],4,FALSE)</f>
        <v>Yes</v>
      </c>
      <c r="F1562" t="str">
        <f>VLOOKUP(Table2[[#This Row],[Customer ID]],Table2[#All],5,FALSE)</f>
        <v>No</v>
      </c>
      <c r="G1562" t="str">
        <f>VLOOKUP(Table2[[#This Row],[Customer ID]],Table2[#All],6,FALSE)</f>
        <v>No</v>
      </c>
      <c r="H1562">
        <f>VLOOKUP(Table2[[#This Row],[Customer ID]],Table2[#All],7,FALSE)</f>
        <v>0</v>
      </c>
      <c r="I1562" t="str">
        <f>VLOOKUP(Table2[[#This Row],[Customer ID]],Table2[#All],8,FALSE)</f>
        <v>No</v>
      </c>
      <c r="J1562" t="str">
        <f>VLOOKUP(Table2[[#This Row],[Customer ID]],Table2[#All],9,FALSE)</f>
        <v>Overweight</v>
      </c>
      <c r="K1562" t="str">
        <f>VLOOKUP(Table2[[#This Row],[Customer ID]],Table2[#All],10,FALSE)</f>
        <v>Diabetes</v>
      </c>
    </row>
    <row r="1563" spans="1:11" ht="15.6" x14ac:dyDescent="0.3">
      <c r="A1563" s="1" t="s">
        <v>809</v>
      </c>
      <c r="B1563" t="str">
        <f>VLOOKUP('Customer Names'!A1563,'Customer Names'!$A$1:$E$2336,4,FALSE)</f>
        <v>Mr.  Alejandro Sr.</v>
      </c>
      <c r="C1563">
        <f>VLOOKUP(Table2[[#This Row],[Customer ID]],Table2[#All],2,FALSE)</f>
        <v>29.26</v>
      </c>
      <c r="D1563">
        <f>VLOOKUP(Table2[[#This Row],[Customer ID]],Table2[#All],3,FALSE)</f>
        <v>4.03</v>
      </c>
      <c r="E1563" t="str">
        <f>VLOOKUP(Table2[[#This Row],[Customer ID]],Table2[#All],4,FALSE)</f>
        <v>No</v>
      </c>
      <c r="F1563" t="str">
        <f>VLOOKUP(Table2[[#This Row],[Customer ID]],Table2[#All],5,FALSE)</f>
        <v>No</v>
      </c>
      <c r="G1563" t="str">
        <f>VLOOKUP(Table2[[#This Row],[Customer ID]],Table2[#All],6,FALSE)</f>
        <v>No</v>
      </c>
      <c r="H1563">
        <f>VLOOKUP(Table2[[#This Row],[Customer ID]],Table2[#All],7,FALSE)</f>
        <v>1</v>
      </c>
      <c r="I1563" t="str">
        <f>VLOOKUP(Table2[[#This Row],[Customer ID]],Table2[#All],8,FALSE)</f>
        <v>No</v>
      </c>
      <c r="J1563" t="str">
        <f>VLOOKUP(Table2[[#This Row],[Customer ID]],Table2[#All],9,FALSE)</f>
        <v>Overweight</v>
      </c>
      <c r="K1563" t="str">
        <f>VLOOKUP(Table2[[#This Row],[Customer ID]],Table2[#All],10,FALSE)</f>
        <v>Normal</v>
      </c>
    </row>
    <row r="1564" spans="1:11" ht="15.6" x14ac:dyDescent="0.3">
      <c r="A1564" s="1" t="s">
        <v>808</v>
      </c>
      <c r="B1564" t="str">
        <f>VLOOKUP('Customer Names'!A1564,'Customer Names'!$A$1:$E$2336,4,FALSE)</f>
        <v>Mr.  Nicholas R.</v>
      </c>
      <c r="C1564">
        <f>VLOOKUP(Table2[[#This Row],[Customer ID]],Table2[#All],2,FALSE)</f>
        <v>27.835000000000001</v>
      </c>
      <c r="D1564">
        <f>VLOOKUP(Table2[[#This Row],[Customer ID]],Table2[#All],3,FALSE)</f>
        <v>4.5599999999999996</v>
      </c>
      <c r="E1564" t="str">
        <f>VLOOKUP(Table2[[#This Row],[Customer ID]],Table2[#All],4,FALSE)</f>
        <v>No</v>
      </c>
      <c r="F1564" t="str">
        <f>VLOOKUP(Table2[[#This Row],[Customer ID]],Table2[#All],5,FALSE)</f>
        <v>No</v>
      </c>
      <c r="G1564" t="str">
        <f>VLOOKUP(Table2[[#This Row],[Customer ID]],Table2[#All],6,FALSE)</f>
        <v>No</v>
      </c>
      <c r="H1564">
        <f>VLOOKUP(Table2[[#This Row],[Customer ID]],Table2[#All],7,FALSE)</f>
        <v>1</v>
      </c>
      <c r="I1564" t="str">
        <f>VLOOKUP(Table2[[#This Row],[Customer ID]],Table2[#All],8,FALSE)</f>
        <v>No</v>
      </c>
      <c r="J1564" t="str">
        <f>VLOOKUP(Table2[[#This Row],[Customer ID]],Table2[#All],9,FALSE)</f>
        <v>Overweight</v>
      </c>
      <c r="K1564" t="str">
        <f>VLOOKUP(Table2[[#This Row],[Customer ID]],Table2[#All],10,FALSE)</f>
        <v>Normal</v>
      </c>
    </row>
    <row r="1565" spans="1:11" ht="15.6" x14ac:dyDescent="0.3">
      <c r="A1565" s="1" t="s">
        <v>807</v>
      </c>
      <c r="B1565" t="str">
        <f>VLOOKUP('Customer Names'!A1565,'Customer Names'!$A$1:$E$2336,4,FALSE)</f>
        <v>Mr.  Paul</v>
      </c>
      <c r="C1565">
        <f>VLOOKUP(Table2[[#This Row],[Customer ID]],Table2[#All],2,FALSE)</f>
        <v>46.53</v>
      </c>
      <c r="D1565">
        <f>VLOOKUP(Table2[[#This Row],[Customer ID]],Table2[#All],3,FALSE)</f>
        <v>5.38</v>
      </c>
      <c r="E1565" t="str">
        <f>VLOOKUP(Table2[[#This Row],[Customer ID]],Table2[#All],4,FALSE)</f>
        <v>Yes</v>
      </c>
      <c r="F1565" t="str">
        <f>VLOOKUP(Table2[[#This Row],[Customer ID]],Table2[#All],5,FALSE)</f>
        <v>No</v>
      </c>
      <c r="G1565" t="str">
        <f>VLOOKUP(Table2[[#This Row],[Customer ID]],Table2[#All],6,FALSE)</f>
        <v>No</v>
      </c>
      <c r="H1565">
        <f>VLOOKUP(Table2[[#This Row],[Customer ID]],Table2[#All],7,FALSE)</f>
        <v>0</v>
      </c>
      <c r="I1565" t="str">
        <f>VLOOKUP(Table2[[#This Row],[Customer ID]],Table2[#All],8,FALSE)</f>
        <v>No</v>
      </c>
      <c r="J1565" t="str">
        <f>VLOOKUP(Table2[[#This Row],[Customer ID]],Table2[#All],9,FALSE)</f>
        <v>Obesity</v>
      </c>
      <c r="K1565" t="str">
        <f>VLOOKUP(Table2[[#This Row],[Customer ID]],Table2[#All],10,FALSE)</f>
        <v>Normal</v>
      </c>
    </row>
    <row r="1566" spans="1:11" ht="15.6" x14ac:dyDescent="0.3">
      <c r="A1566" s="1" t="s">
        <v>806</v>
      </c>
      <c r="B1566" t="str">
        <f>VLOOKUP('Customer Names'!A1566,'Customer Names'!$A$1:$E$2336,4,FALSE)</f>
        <v>Mr.  Michael D</v>
      </c>
      <c r="C1566">
        <f>VLOOKUP(Table2[[#This Row],[Customer ID]],Table2[#All],2,FALSE)</f>
        <v>20.58</v>
      </c>
      <c r="D1566">
        <f>VLOOKUP(Table2[[#This Row],[Customer ID]],Table2[#All],3,FALSE)</f>
        <v>11.04</v>
      </c>
      <c r="E1566" t="str">
        <f>VLOOKUP(Table2[[#This Row],[Customer ID]],Table2[#All],4,FALSE)</f>
        <v>Yes</v>
      </c>
      <c r="F1566" t="str">
        <f>VLOOKUP(Table2[[#This Row],[Customer ID]],Table2[#All],5,FALSE)</f>
        <v>No</v>
      </c>
      <c r="G1566" t="str">
        <f>VLOOKUP(Table2[[#This Row],[Customer ID]],Table2[#All],6,FALSE)</f>
        <v>No</v>
      </c>
      <c r="H1566">
        <f>VLOOKUP(Table2[[#This Row],[Customer ID]],Table2[#All],7,FALSE)</f>
        <v>1</v>
      </c>
      <c r="I1566" t="str">
        <f>VLOOKUP(Table2[[#This Row],[Customer ID]],Table2[#All],8,FALSE)</f>
        <v>No</v>
      </c>
      <c r="J1566" t="str">
        <f>VLOOKUP(Table2[[#This Row],[Customer ID]],Table2[#All],9,FALSE)</f>
        <v>Normalweight</v>
      </c>
      <c r="K1566" t="str">
        <f>VLOOKUP(Table2[[#This Row],[Customer ID]],Table2[#All],10,FALSE)</f>
        <v>Diabetes</v>
      </c>
    </row>
    <row r="1567" spans="1:11" ht="15.6" x14ac:dyDescent="0.3">
      <c r="A1567" s="1" t="s">
        <v>805</v>
      </c>
      <c r="B1567" t="str">
        <f>VLOOKUP('Customer Names'!A1567,'Customer Names'!$A$1:$E$2336,4,FALSE)</f>
        <v>Ms.  Marina</v>
      </c>
      <c r="C1567">
        <f>VLOOKUP(Table2[[#This Row],[Customer ID]],Table2[#All],2,FALSE)</f>
        <v>19.53</v>
      </c>
      <c r="D1567">
        <f>VLOOKUP(Table2[[#This Row],[Customer ID]],Table2[#All],3,FALSE)</f>
        <v>6.09</v>
      </c>
      <c r="E1567" t="str">
        <f>VLOOKUP(Table2[[#This Row],[Customer ID]],Table2[#All],4,FALSE)</f>
        <v>Yes</v>
      </c>
      <c r="F1567" t="str">
        <f>VLOOKUP(Table2[[#This Row],[Customer ID]],Table2[#All],5,FALSE)</f>
        <v>No</v>
      </c>
      <c r="G1567" t="str">
        <f>VLOOKUP(Table2[[#This Row],[Customer ID]],Table2[#All],6,FALSE)</f>
        <v>No</v>
      </c>
      <c r="H1567">
        <f>VLOOKUP(Table2[[#This Row],[Customer ID]],Table2[#All],7,FALSE)</f>
        <v>0</v>
      </c>
      <c r="I1567" t="str">
        <f>VLOOKUP(Table2[[#This Row],[Customer ID]],Table2[#All],8,FALSE)</f>
        <v>No</v>
      </c>
      <c r="J1567" t="str">
        <f>VLOOKUP(Table2[[#This Row],[Customer ID]],Table2[#All],9,FALSE)</f>
        <v>Normalweight</v>
      </c>
      <c r="K1567" t="str">
        <f>VLOOKUP(Table2[[#This Row],[Customer ID]],Table2[#All],10,FALSE)</f>
        <v>Prediabetes</v>
      </c>
    </row>
    <row r="1568" spans="1:11" ht="15.6" x14ac:dyDescent="0.3">
      <c r="A1568" s="1" t="s">
        <v>804</v>
      </c>
      <c r="B1568" t="str">
        <f>VLOOKUP('Customer Names'!A1568,'Customer Names'!$A$1:$E$2336,4,FALSE)</f>
        <v>Ms.  Caroline</v>
      </c>
      <c r="C1568">
        <f>VLOOKUP(Table2[[#This Row],[Customer ID]],Table2[#All],2,FALSE)</f>
        <v>27.7</v>
      </c>
      <c r="D1568">
        <f>VLOOKUP(Table2[[#This Row],[Customer ID]],Table2[#All],3,FALSE)</f>
        <v>4.71</v>
      </c>
      <c r="E1568" t="str">
        <f>VLOOKUP(Table2[[#This Row],[Customer ID]],Table2[#All],4,FALSE)</f>
        <v>No</v>
      </c>
      <c r="F1568" t="str">
        <f>VLOOKUP(Table2[[#This Row],[Customer ID]],Table2[#All],5,FALSE)</f>
        <v>No</v>
      </c>
      <c r="G1568" t="str">
        <f>VLOOKUP(Table2[[#This Row],[Customer ID]],Table2[#All],6,FALSE)</f>
        <v>No</v>
      </c>
      <c r="H1568">
        <f>VLOOKUP(Table2[[#This Row],[Customer ID]],Table2[#All],7,FALSE)</f>
        <v>1</v>
      </c>
      <c r="I1568" t="str">
        <f>VLOOKUP(Table2[[#This Row],[Customer ID]],Table2[#All],8,FALSE)</f>
        <v>No</v>
      </c>
      <c r="J1568" t="str">
        <f>VLOOKUP(Table2[[#This Row],[Customer ID]],Table2[#All],9,FALSE)</f>
        <v>Overweight</v>
      </c>
      <c r="K1568" t="str">
        <f>VLOOKUP(Table2[[#This Row],[Customer ID]],Table2[#All],10,FALSE)</f>
        <v>Normal</v>
      </c>
    </row>
    <row r="1569" spans="1:11" ht="15.6" x14ac:dyDescent="0.3">
      <c r="A1569" s="1" t="s">
        <v>803</v>
      </c>
      <c r="B1569" t="str">
        <f>VLOOKUP('Customer Names'!A1569,'Customer Names'!$A$1:$E$2336,4,FALSE)</f>
        <v>Mr.  Ross P</v>
      </c>
      <c r="C1569">
        <f>VLOOKUP(Table2[[#This Row],[Customer ID]],Table2[#All],2,FALSE)</f>
        <v>18.920000000000002</v>
      </c>
      <c r="D1569">
        <f>VLOOKUP(Table2[[#This Row],[Customer ID]],Table2[#All],3,FALSE)</f>
        <v>8.18</v>
      </c>
      <c r="E1569" t="str">
        <f>VLOOKUP(Table2[[#This Row],[Customer ID]],Table2[#All],4,FALSE)</f>
        <v>No</v>
      </c>
      <c r="F1569" t="str">
        <f>VLOOKUP(Table2[[#This Row],[Customer ID]],Table2[#All],5,FALSE)</f>
        <v>No</v>
      </c>
      <c r="G1569" t="str">
        <f>VLOOKUP(Table2[[#This Row],[Customer ID]],Table2[#All],6,FALSE)</f>
        <v>No</v>
      </c>
      <c r="H1569">
        <f>VLOOKUP(Table2[[#This Row],[Customer ID]],Table2[#All],7,FALSE)</f>
        <v>0</v>
      </c>
      <c r="I1569" t="str">
        <f>VLOOKUP(Table2[[#This Row],[Customer ID]],Table2[#All],8,FALSE)</f>
        <v>No</v>
      </c>
      <c r="J1569" t="str">
        <f>VLOOKUP(Table2[[#This Row],[Customer ID]],Table2[#All],9,FALSE)</f>
        <v>Normalweight</v>
      </c>
      <c r="K1569" t="str">
        <f>VLOOKUP(Table2[[#This Row],[Customer ID]],Table2[#All],10,FALSE)</f>
        <v>Diabetes</v>
      </c>
    </row>
    <row r="1570" spans="1:11" ht="15.6" x14ac:dyDescent="0.3">
      <c r="A1570" s="1" t="s">
        <v>802</v>
      </c>
      <c r="B1570" t="str">
        <f>VLOOKUP('Customer Names'!A1570,'Customer Names'!$A$1:$E$2336,4,FALSE)</f>
        <v>Ms.  Aoife</v>
      </c>
      <c r="C1570">
        <f>VLOOKUP(Table2[[#This Row],[Customer ID]],Table2[#All],2,FALSE)</f>
        <v>17.760000000000002</v>
      </c>
      <c r="D1570">
        <f>VLOOKUP(Table2[[#This Row],[Customer ID]],Table2[#All],3,FALSE)</f>
        <v>11.18</v>
      </c>
      <c r="E1570" t="str">
        <f>VLOOKUP(Table2[[#This Row],[Customer ID]],Table2[#All],4,FALSE)</f>
        <v>Yes</v>
      </c>
      <c r="F1570" t="str">
        <f>VLOOKUP(Table2[[#This Row],[Customer ID]],Table2[#All],5,FALSE)</f>
        <v>No</v>
      </c>
      <c r="G1570" t="str">
        <f>VLOOKUP(Table2[[#This Row],[Customer ID]],Table2[#All],6,FALSE)</f>
        <v>No</v>
      </c>
      <c r="H1570">
        <f>VLOOKUP(Table2[[#This Row],[Customer ID]],Table2[#All],7,FALSE)</f>
        <v>2</v>
      </c>
      <c r="I1570" t="str">
        <f>VLOOKUP(Table2[[#This Row],[Customer ID]],Table2[#All],8,FALSE)</f>
        <v>No</v>
      </c>
      <c r="J1570" t="str">
        <f>VLOOKUP(Table2[[#This Row],[Customer ID]],Table2[#All],9,FALSE)</f>
        <v>Underweight</v>
      </c>
      <c r="K1570" t="str">
        <f>VLOOKUP(Table2[[#This Row],[Customer ID]],Table2[#All],10,FALSE)</f>
        <v>Diabetes</v>
      </c>
    </row>
    <row r="1571" spans="1:11" ht="15.6" x14ac:dyDescent="0.3">
      <c r="A1571" s="1" t="s">
        <v>801</v>
      </c>
      <c r="B1571" t="str">
        <f>VLOOKUP('Customer Names'!A1571,'Customer Names'!$A$1:$E$2336,4,FALSE)</f>
        <v>Mr.  Wesley</v>
      </c>
      <c r="C1571">
        <f>VLOOKUP(Table2[[#This Row],[Customer ID]],Table2[#All],2,FALSE)</f>
        <v>29.83</v>
      </c>
      <c r="D1571">
        <f>VLOOKUP(Table2[[#This Row],[Customer ID]],Table2[#All],3,FALSE)</f>
        <v>5.03</v>
      </c>
      <c r="E1571" t="str">
        <f>VLOOKUP(Table2[[#This Row],[Customer ID]],Table2[#All],4,FALSE)</f>
        <v>Yes</v>
      </c>
      <c r="F1571" t="str">
        <f>VLOOKUP(Table2[[#This Row],[Customer ID]],Table2[#All],5,FALSE)</f>
        <v>No</v>
      </c>
      <c r="G1571" t="str">
        <f>VLOOKUP(Table2[[#This Row],[Customer ID]],Table2[#All],6,FALSE)</f>
        <v>No</v>
      </c>
      <c r="H1571">
        <f>VLOOKUP(Table2[[#This Row],[Customer ID]],Table2[#All],7,FALSE)</f>
        <v>0</v>
      </c>
      <c r="I1571" t="str">
        <f>VLOOKUP(Table2[[#This Row],[Customer ID]],Table2[#All],8,FALSE)</f>
        <v>No</v>
      </c>
      <c r="J1571" t="str">
        <f>VLOOKUP(Table2[[#This Row],[Customer ID]],Table2[#All],9,FALSE)</f>
        <v>Overweight</v>
      </c>
      <c r="K1571" t="str">
        <f>VLOOKUP(Table2[[#This Row],[Customer ID]],Table2[#All],10,FALSE)</f>
        <v>Normal</v>
      </c>
    </row>
    <row r="1572" spans="1:11" ht="15.6" x14ac:dyDescent="0.3">
      <c r="A1572" s="1" t="s">
        <v>800</v>
      </c>
      <c r="B1572" t="str">
        <f>VLOOKUP('Customer Names'!A1572,'Customer Names'!$A$1:$E$2336,4,FALSE)</f>
        <v>Ms.  Rebecca J</v>
      </c>
      <c r="C1572">
        <f>VLOOKUP(Table2[[#This Row],[Customer ID]],Table2[#All],2,FALSE)</f>
        <v>23.465</v>
      </c>
      <c r="D1572">
        <f>VLOOKUP(Table2[[#This Row],[Customer ID]],Table2[#All],3,FALSE)</f>
        <v>5.56</v>
      </c>
      <c r="E1572" t="str">
        <f>VLOOKUP(Table2[[#This Row],[Customer ID]],Table2[#All],4,FALSE)</f>
        <v>No</v>
      </c>
      <c r="F1572" t="str">
        <f>VLOOKUP(Table2[[#This Row],[Customer ID]],Table2[#All],5,FALSE)</f>
        <v>No</v>
      </c>
      <c r="G1572" t="str">
        <f>VLOOKUP(Table2[[#This Row],[Customer ID]],Table2[#All],6,FALSE)</f>
        <v>No</v>
      </c>
      <c r="H1572">
        <f>VLOOKUP(Table2[[#This Row],[Customer ID]],Table2[#All],7,FALSE)</f>
        <v>1</v>
      </c>
      <c r="I1572" t="str">
        <f>VLOOKUP(Table2[[#This Row],[Customer ID]],Table2[#All],8,FALSE)</f>
        <v>No</v>
      </c>
      <c r="J1572" t="str">
        <f>VLOOKUP(Table2[[#This Row],[Customer ID]],Table2[#All],9,FALSE)</f>
        <v>Normalweight</v>
      </c>
      <c r="K1572" t="str">
        <f>VLOOKUP(Table2[[#This Row],[Customer ID]],Table2[#All],10,FALSE)</f>
        <v>Normal</v>
      </c>
    </row>
    <row r="1573" spans="1:11" ht="15.6" x14ac:dyDescent="0.3">
      <c r="A1573" s="1" t="s">
        <v>799</v>
      </c>
      <c r="B1573" t="str">
        <f>VLOOKUP('Customer Names'!A1573,'Customer Names'!$A$1:$E$2336,4,FALSE)</f>
        <v>Mr.  Barry P.</v>
      </c>
      <c r="C1573">
        <f>VLOOKUP(Table2[[#This Row],[Customer ID]],Table2[#All],2,FALSE)</f>
        <v>29.355</v>
      </c>
      <c r="D1573">
        <f>VLOOKUP(Table2[[#This Row],[Customer ID]],Table2[#All],3,FALSE)</f>
        <v>4.33</v>
      </c>
      <c r="E1573" t="str">
        <f>VLOOKUP(Table2[[#This Row],[Customer ID]],Table2[#All],4,FALSE)</f>
        <v>No</v>
      </c>
      <c r="F1573" t="str">
        <f>VLOOKUP(Table2[[#This Row],[Customer ID]],Table2[#All],5,FALSE)</f>
        <v>No</v>
      </c>
      <c r="G1573" t="str">
        <f>VLOOKUP(Table2[[#This Row],[Customer ID]],Table2[#All],6,FALSE)</f>
        <v>No</v>
      </c>
      <c r="H1573">
        <f>VLOOKUP(Table2[[#This Row],[Customer ID]],Table2[#All],7,FALSE)</f>
        <v>0</v>
      </c>
      <c r="I1573" t="str">
        <f>VLOOKUP(Table2[[#This Row],[Customer ID]],Table2[#All],8,FALSE)</f>
        <v>No</v>
      </c>
      <c r="J1573" t="str">
        <f>VLOOKUP(Table2[[#This Row],[Customer ID]],Table2[#All],9,FALSE)</f>
        <v>Overweight</v>
      </c>
      <c r="K1573" t="str">
        <f>VLOOKUP(Table2[[#This Row],[Customer ID]],Table2[#All],10,FALSE)</f>
        <v>Normal</v>
      </c>
    </row>
    <row r="1574" spans="1:11" ht="15.6" x14ac:dyDescent="0.3">
      <c r="A1574" s="1" t="s">
        <v>798</v>
      </c>
      <c r="B1574" t="str">
        <f>VLOOKUP('Customer Names'!A1574,'Customer Names'!$A$1:$E$2336,4,FALSE)</f>
        <v>Mr.  Maciej</v>
      </c>
      <c r="C1574">
        <f>VLOOKUP(Table2[[#This Row],[Customer ID]],Table2[#All],2,FALSE)</f>
        <v>35.49</v>
      </c>
      <c r="D1574">
        <f>VLOOKUP(Table2[[#This Row],[Customer ID]],Table2[#All],3,FALSE)</f>
        <v>5.21</v>
      </c>
      <c r="E1574" t="str">
        <f>VLOOKUP(Table2[[#This Row],[Customer ID]],Table2[#All],4,FALSE)</f>
        <v>Yes</v>
      </c>
      <c r="F1574" t="str">
        <f>VLOOKUP(Table2[[#This Row],[Customer ID]],Table2[#All],5,FALSE)</f>
        <v>No</v>
      </c>
      <c r="G1574" t="str">
        <f>VLOOKUP(Table2[[#This Row],[Customer ID]],Table2[#All],6,FALSE)</f>
        <v>Yes</v>
      </c>
      <c r="H1574">
        <f>VLOOKUP(Table2[[#This Row],[Customer ID]],Table2[#All],7,FALSE)</f>
        <v>1</v>
      </c>
      <c r="I1574" t="str">
        <f>VLOOKUP(Table2[[#This Row],[Customer ID]],Table2[#All],8,FALSE)</f>
        <v>No</v>
      </c>
      <c r="J1574" t="str">
        <f>VLOOKUP(Table2[[#This Row],[Customer ID]],Table2[#All],9,FALSE)</f>
        <v>Obesity</v>
      </c>
      <c r="K1574" t="str">
        <f>VLOOKUP(Table2[[#This Row],[Customer ID]],Table2[#All],10,FALSE)</f>
        <v>Normal</v>
      </c>
    </row>
    <row r="1575" spans="1:11" ht="15.6" x14ac:dyDescent="0.3">
      <c r="A1575" s="1" t="s">
        <v>797</v>
      </c>
      <c r="B1575" t="str">
        <f>VLOOKUP('Customer Names'!A1575,'Customer Names'!$A$1:$E$2336,4,FALSE)</f>
        <v>Mr.  Jerry D.</v>
      </c>
      <c r="C1575">
        <f>VLOOKUP(Table2[[#This Row],[Customer ID]],Table2[#All],2,FALSE)</f>
        <v>26.315000000000001</v>
      </c>
      <c r="D1575">
        <f>VLOOKUP(Table2[[#This Row],[Customer ID]],Table2[#All],3,FALSE)</f>
        <v>5.89</v>
      </c>
      <c r="E1575" t="str">
        <f>VLOOKUP(Table2[[#This Row],[Customer ID]],Table2[#All],4,FALSE)</f>
        <v>No</v>
      </c>
      <c r="F1575" t="str">
        <f>VLOOKUP(Table2[[#This Row],[Customer ID]],Table2[#All],5,FALSE)</f>
        <v>No</v>
      </c>
      <c r="G1575" t="str">
        <f>VLOOKUP(Table2[[#This Row],[Customer ID]],Table2[#All],6,FALSE)</f>
        <v>No</v>
      </c>
      <c r="H1575">
        <f>VLOOKUP(Table2[[#This Row],[Customer ID]],Table2[#All],7,FALSE)</f>
        <v>0</v>
      </c>
      <c r="I1575" t="str">
        <f>VLOOKUP(Table2[[#This Row],[Customer ID]],Table2[#All],8,FALSE)</f>
        <v>No</v>
      </c>
      <c r="J1575" t="str">
        <f>VLOOKUP(Table2[[#This Row],[Customer ID]],Table2[#All],9,FALSE)</f>
        <v>Overweight</v>
      </c>
      <c r="K1575" t="str">
        <f>VLOOKUP(Table2[[#This Row],[Customer ID]],Table2[#All],10,FALSE)</f>
        <v>Prediabetes</v>
      </c>
    </row>
    <row r="1576" spans="1:11" ht="15.6" x14ac:dyDescent="0.3">
      <c r="A1576" s="1" t="s">
        <v>796</v>
      </c>
      <c r="B1576" t="str">
        <f>VLOOKUP('Customer Names'!A1576,'Customer Names'!$A$1:$E$2336,4,FALSE)</f>
        <v>Mr.  Eric A.</v>
      </c>
      <c r="C1576">
        <f>VLOOKUP(Table2[[#This Row],[Customer ID]],Table2[#All],2,FALSE)</f>
        <v>19.79</v>
      </c>
      <c r="D1576">
        <f>VLOOKUP(Table2[[#This Row],[Customer ID]],Table2[#All],3,FALSE)</f>
        <v>4.8099999999999996</v>
      </c>
      <c r="E1576" t="str">
        <f>VLOOKUP(Table2[[#This Row],[Customer ID]],Table2[#All],4,FALSE)</f>
        <v>Yes</v>
      </c>
      <c r="F1576" t="str">
        <f>VLOOKUP(Table2[[#This Row],[Customer ID]],Table2[#All],5,FALSE)</f>
        <v>No</v>
      </c>
      <c r="G1576" t="str">
        <f>VLOOKUP(Table2[[#This Row],[Customer ID]],Table2[#All],6,FALSE)</f>
        <v>No</v>
      </c>
      <c r="H1576">
        <f>VLOOKUP(Table2[[#This Row],[Customer ID]],Table2[#All],7,FALSE)</f>
        <v>0</v>
      </c>
      <c r="I1576" t="str">
        <f>VLOOKUP(Table2[[#This Row],[Customer ID]],Table2[#All],8,FALSE)</f>
        <v>No</v>
      </c>
      <c r="J1576" t="str">
        <f>VLOOKUP(Table2[[#This Row],[Customer ID]],Table2[#All],9,FALSE)</f>
        <v>Normalweight</v>
      </c>
      <c r="K1576" t="str">
        <f>VLOOKUP(Table2[[#This Row],[Customer ID]],Table2[#All],10,FALSE)</f>
        <v>Normal</v>
      </c>
    </row>
    <row r="1577" spans="1:11" ht="15.6" x14ac:dyDescent="0.3">
      <c r="A1577" s="1" t="s">
        <v>795</v>
      </c>
      <c r="B1577" t="str">
        <f>VLOOKUP('Customer Names'!A1577,'Customer Names'!$A$1:$E$2336,4,FALSE)</f>
        <v>Ms.  Cathi</v>
      </c>
      <c r="C1577">
        <f>VLOOKUP(Table2[[#This Row],[Customer ID]],Table2[#All],2,FALSE)</f>
        <v>40.564999999999998</v>
      </c>
      <c r="D1577">
        <f>VLOOKUP(Table2[[#This Row],[Customer ID]],Table2[#All],3,FALSE)</f>
        <v>5.66</v>
      </c>
      <c r="E1577" t="str">
        <f>VLOOKUP(Table2[[#This Row],[Customer ID]],Table2[#All],4,FALSE)</f>
        <v>No</v>
      </c>
      <c r="F1577" t="str">
        <f>VLOOKUP(Table2[[#This Row],[Customer ID]],Table2[#All],5,FALSE)</f>
        <v>No</v>
      </c>
      <c r="G1577" t="str">
        <f>VLOOKUP(Table2[[#This Row],[Customer ID]],Table2[#All],6,FALSE)</f>
        <v>No</v>
      </c>
      <c r="H1577">
        <f>VLOOKUP(Table2[[#This Row],[Customer ID]],Table2[#All],7,FALSE)</f>
        <v>1</v>
      </c>
      <c r="I1577" t="str">
        <f>VLOOKUP(Table2[[#This Row],[Customer ID]],Table2[#All],8,FALSE)</f>
        <v>No</v>
      </c>
      <c r="J1577" t="str">
        <f>VLOOKUP(Table2[[#This Row],[Customer ID]],Table2[#All],9,FALSE)</f>
        <v>Obesity</v>
      </c>
      <c r="K1577" t="str">
        <f>VLOOKUP(Table2[[#This Row],[Customer ID]],Table2[#All],10,FALSE)</f>
        <v>Normal</v>
      </c>
    </row>
    <row r="1578" spans="1:11" ht="15.6" x14ac:dyDescent="0.3">
      <c r="A1578" s="1" t="s">
        <v>794</v>
      </c>
      <c r="B1578" t="str">
        <f>VLOOKUP('Customer Names'!A1578,'Customer Names'!$A$1:$E$2336,4,FALSE)</f>
        <v>Mr.  Alex M</v>
      </c>
      <c r="C1578">
        <f>VLOOKUP(Table2[[#This Row],[Customer ID]],Table2[#All],2,FALSE)</f>
        <v>18.03</v>
      </c>
      <c r="D1578">
        <f>VLOOKUP(Table2[[#This Row],[Customer ID]],Table2[#All],3,FALSE)</f>
        <v>10.66</v>
      </c>
      <c r="E1578" t="str">
        <f>VLOOKUP(Table2[[#This Row],[Customer ID]],Table2[#All],4,FALSE)</f>
        <v>Yes</v>
      </c>
      <c r="F1578" t="str">
        <f>VLOOKUP(Table2[[#This Row],[Customer ID]],Table2[#All],5,FALSE)</f>
        <v>No</v>
      </c>
      <c r="G1578" t="str">
        <f>VLOOKUP(Table2[[#This Row],[Customer ID]],Table2[#All],6,FALSE)</f>
        <v>No</v>
      </c>
      <c r="H1578">
        <f>VLOOKUP(Table2[[#This Row],[Customer ID]],Table2[#All],7,FALSE)</f>
        <v>2</v>
      </c>
      <c r="I1578" t="str">
        <f>VLOOKUP(Table2[[#This Row],[Customer ID]],Table2[#All],8,FALSE)</f>
        <v>No</v>
      </c>
      <c r="J1578" t="str">
        <f>VLOOKUP(Table2[[#This Row],[Customer ID]],Table2[#All],9,FALSE)</f>
        <v>Underweight</v>
      </c>
      <c r="K1578" t="str">
        <f>VLOOKUP(Table2[[#This Row],[Customer ID]],Table2[#All],10,FALSE)</f>
        <v>Diabetes</v>
      </c>
    </row>
    <row r="1579" spans="1:11" ht="15.6" x14ac:dyDescent="0.3">
      <c r="A1579" s="1" t="s">
        <v>793</v>
      </c>
      <c r="B1579" t="str">
        <f>VLOOKUP('Customer Names'!A1579,'Customer Names'!$A$1:$E$2336,4,FALSE)</f>
        <v>Mr.  Liang</v>
      </c>
      <c r="C1579">
        <f>VLOOKUP(Table2[[#This Row],[Customer ID]],Table2[#All],2,FALSE)</f>
        <v>34.65</v>
      </c>
      <c r="D1579">
        <f>VLOOKUP(Table2[[#This Row],[Customer ID]],Table2[#All],3,FALSE)</f>
        <v>5.98</v>
      </c>
      <c r="E1579" t="str">
        <f>VLOOKUP(Table2[[#This Row],[Customer ID]],Table2[#All],4,FALSE)</f>
        <v>Yes</v>
      </c>
      <c r="F1579" t="str">
        <f>VLOOKUP(Table2[[#This Row],[Customer ID]],Table2[#All],5,FALSE)</f>
        <v>No</v>
      </c>
      <c r="G1579" t="str">
        <f>VLOOKUP(Table2[[#This Row],[Customer ID]],Table2[#All],6,FALSE)</f>
        <v>No</v>
      </c>
      <c r="H1579">
        <f>VLOOKUP(Table2[[#This Row],[Customer ID]],Table2[#All],7,FALSE)</f>
        <v>0</v>
      </c>
      <c r="I1579" t="str">
        <f>VLOOKUP(Table2[[#This Row],[Customer ID]],Table2[#All],8,FALSE)</f>
        <v>No</v>
      </c>
      <c r="J1579" t="str">
        <f>VLOOKUP(Table2[[#This Row],[Customer ID]],Table2[#All],9,FALSE)</f>
        <v>Obesity</v>
      </c>
      <c r="K1579" t="str">
        <f>VLOOKUP(Table2[[#This Row],[Customer ID]],Table2[#All],10,FALSE)</f>
        <v>Prediabetes</v>
      </c>
    </row>
    <row r="1580" spans="1:11" ht="15.6" x14ac:dyDescent="0.3">
      <c r="A1580" s="1" t="s">
        <v>792</v>
      </c>
      <c r="B1580" t="str">
        <f>VLOOKUP('Customer Names'!A1580,'Customer Names'!$A$1:$E$2336,4,FALSE)</f>
        <v>Ms.  Lexy</v>
      </c>
      <c r="C1580">
        <f>VLOOKUP(Table2[[#This Row],[Customer ID]],Table2[#All],2,FALSE)</f>
        <v>42.94</v>
      </c>
      <c r="D1580">
        <f>VLOOKUP(Table2[[#This Row],[Customer ID]],Table2[#All],3,FALSE)</f>
        <v>4.34</v>
      </c>
      <c r="E1580" t="str">
        <f>VLOOKUP(Table2[[#This Row],[Customer ID]],Table2[#All],4,FALSE)</f>
        <v>No</v>
      </c>
      <c r="F1580" t="str">
        <f>VLOOKUP(Table2[[#This Row],[Customer ID]],Table2[#All],5,FALSE)</f>
        <v>No</v>
      </c>
      <c r="G1580" t="str">
        <f>VLOOKUP(Table2[[#This Row],[Customer ID]],Table2[#All],6,FALSE)</f>
        <v>No</v>
      </c>
      <c r="H1580">
        <f>VLOOKUP(Table2[[#This Row],[Customer ID]],Table2[#All],7,FALSE)</f>
        <v>0</v>
      </c>
      <c r="I1580" t="str">
        <f>VLOOKUP(Table2[[#This Row],[Customer ID]],Table2[#All],8,FALSE)</f>
        <v>No</v>
      </c>
      <c r="J1580" t="str">
        <f>VLOOKUP(Table2[[#This Row],[Customer ID]],Table2[#All],9,FALSE)</f>
        <v>Obesity</v>
      </c>
      <c r="K1580" t="str">
        <f>VLOOKUP(Table2[[#This Row],[Customer ID]],Table2[#All],10,FALSE)</f>
        <v>Normal</v>
      </c>
    </row>
    <row r="1581" spans="1:11" ht="15.6" x14ac:dyDescent="0.3">
      <c r="A1581" s="1" t="s">
        <v>791</v>
      </c>
      <c r="B1581" t="str">
        <f>VLOOKUP('Customer Names'!A1581,'Customer Names'!$A$1:$E$2336,4,FALSE)</f>
        <v>Mr.  Michael</v>
      </c>
      <c r="C1581">
        <f>VLOOKUP(Table2[[#This Row],[Customer ID]],Table2[#All],2,FALSE)</f>
        <v>31.254999999999999</v>
      </c>
      <c r="D1581">
        <f>VLOOKUP(Table2[[#This Row],[Customer ID]],Table2[#All],3,FALSE)</f>
        <v>5.17</v>
      </c>
      <c r="E1581" t="str">
        <f>VLOOKUP(Table2[[#This Row],[Customer ID]],Table2[#All],4,FALSE)</f>
        <v>No</v>
      </c>
      <c r="F1581" t="str">
        <f>VLOOKUP(Table2[[#This Row],[Customer ID]],Table2[#All],5,FALSE)</f>
        <v>No</v>
      </c>
      <c r="G1581" t="str">
        <f>VLOOKUP(Table2[[#This Row],[Customer ID]],Table2[#All],6,FALSE)</f>
        <v>No</v>
      </c>
      <c r="H1581">
        <f>VLOOKUP(Table2[[#This Row],[Customer ID]],Table2[#All],7,FALSE)</f>
        <v>0</v>
      </c>
      <c r="I1581" t="str">
        <f>VLOOKUP(Table2[[#This Row],[Customer ID]],Table2[#All],8,FALSE)</f>
        <v>No</v>
      </c>
      <c r="J1581" t="str">
        <f>VLOOKUP(Table2[[#This Row],[Customer ID]],Table2[#All],9,FALSE)</f>
        <v>Obesity</v>
      </c>
      <c r="K1581" t="str">
        <f>VLOOKUP(Table2[[#This Row],[Customer ID]],Table2[#All],10,FALSE)</f>
        <v>Normal</v>
      </c>
    </row>
    <row r="1582" spans="1:11" ht="15.6" x14ac:dyDescent="0.3">
      <c r="A1582" s="1" t="s">
        <v>790</v>
      </c>
      <c r="B1582" t="str">
        <f>VLOOKUP('Customer Names'!A1582,'Customer Names'!$A$1:$E$2336,4,FALSE)</f>
        <v>Mr.  Samuel L</v>
      </c>
      <c r="C1582">
        <f>VLOOKUP(Table2[[#This Row],[Customer ID]],Table2[#All],2,FALSE)</f>
        <v>45.43</v>
      </c>
      <c r="D1582">
        <f>VLOOKUP(Table2[[#This Row],[Customer ID]],Table2[#All],3,FALSE)</f>
        <v>4.2300000000000004</v>
      </c>
      <c r="E1582" t="str">
        <f>VLOOKUP(Table2[[#This Row],[Customer ID]],Table2[#All],4,FALSE)</f>
        <v>Yes</v>
      </c>
      <c r="F1582" t="str">
        <f>VLOOKUP(Table2[[#This Row],[Customer ID]],Table2[#All],5,FALSE)</f>
        <v>No</v>
      </c>
      <c r="G1582" t="str">
        <f>VLOOKUP(Table2[[#This Row],[Customer ID]],Table2[#All],6,FALSE)</f>
        <v>Yes</v>
      </c>
      <c r="H1582">
        <f>VLOOKUP(Table2[[#This Row],[Customer ID]],Table2[#All],7,FALSE)</f>
        <v>1</v>
      </c>
      <c r="I1582" t="str">
        <f>VLOOKUP(Table2[[#This Row],[Customer ID]],Table2[#All],8,FALSE)</f>
        <v>No</v>
      </c>
      <c r="J1582" t="str">
        <f>VLOOKUP(Table2[[#This Row],[Customer ID]],Table2[#All],9,FALSE)</f>
        <v>Obesity</v>
      </c>
      <c r="K1582" t="str">
        <f>VLOOKUP(Table2[[#This Row],[Customer ID]],Table2[#All],10,FALSE)</f>
        <v>Normal</v>
      </c>
    </row>
    <row r="1583" spans="1:11" ht="15.6" x14ac:dyDescent="0.3">
      <c r="A1583" s="1" t="s">
        <v>789</v>
      </c>
      <c r="B1583" t="str">
        <f>VLOOKUP('Customer Names'!A1583,'Customer Names'!$A$1:$E$2336,4,FALSE)</f>
        <v>Mr.  Spencer A.</v>
      </c>
      <c r="C1583">
        <f>VLOOKUP(Table2[[#This Row],[Customer ID]],Table2[#All],2,FALSE)</f>
        <v>32.340000000000003</v>
      </c>
      <c r="D1583">
        <f>VLOOKUP(Table2[[#This Row],[Customer ID]],Table2[#All],3,FALSE)</f>
        <v>4.88</v>
      </c>
      <c r="E1583" t="str">
        <f>VLOOKUP(Table2[[#This Row],[Customer ID]],Table2[#All],4,FALSE)</f>
        <v>Yes</v>
      </c>
      <c r="F1583" t="str">
        <f>VLOOKUP(Table2[[#This Row],[Customer ID]],Table2[#All],5,FALSE)</f>
        <v>No</v>
      </c>
      <c r="G1583" t="str">
        <f>VLOOKUP(Table2[[#This Row],[Customer ID]],Table2[#All],6,FALSE)</f>
        <v>Yes</v>
      </c>
      <c r="H1583">
        <f>VLOOKUP(Table2[[#This Row],[Customer ID]],Table2[#All],7,FALSE)</f>
        <v>1</v>
      </c>
      <c r="I1583" t="str">
        <f>VLOOKUP(Table2[[#This Row],[Customer ID]],Table2[#All],8,FALSE)</f>
        <v>No</v>
      </c>
      <c r="J1583" t="str">
        <f>VLOOKUP(Table2[[#This Row],[Customer ID]],Table2[#All],9,FALSE)</f>
        <v>Obesity</v>
      </c>
      <c r="K1583" t="str">
        <f>VLOOKUP(Table2[[#This Row],[Customer ID]],Table2[#All],10,FALSE)</f>
        <v>Normal</v>
      </c>
    </row>
    <row r="1584" spans="1:11" ht="15.6" x14ac:dyDescent="0.3">
      <c r="A1584" s="1" t="s">
        <v>788</v>
      </c>
      <c r="B1584" t="str">
        <f>VLOOKUP('Customer Names'!A1584,'Customer Names'!$A$1:$E$2336,4,FALSE)</f>
        <v>Mrs.  Rochelle</v>
      </c>
      <c r="C1584">
        <f>VLOOKUP(Table2[[#This Row],[Customer ID]],Table2[#All],2,FALSE)</f>
        <v>25.46</v>
      </c>
      <c r="D1584">
        <f>VLOOKUP(Table2[[#This Row],[Customer ID]],Table2[#All],3,FALSE)</f>
        <v>9.7100000000000009</v>
      </c>
      <c r="E1584" t="str">
        <f>VLOOKUP(Table2[[#This Row],[Customer ID]],Table2[#All],4,FALSE)</f>
        <v>Yes</v>
      </c>
      <c r="F1584" t="str">
        <f>VLOOKUP(Table2[[#This Row],[Customer ID]],Table2[#All],5,FALSE)</f>
        <v>No</v>
      </c>
      <c r="G1584" t="str">
        <f>VLOOKUP(Table2[[#This Row],[Customer ID]],Table2[#All],6,FALSE)</f>
        <v>No</v>
      </c>
      <c r="H1584">
        <f>VLOOKUP(Table2[[#This Row],[Customer ID]],Table2[#All],7,FALSE)</f>
        <v>1</v>
      </c>
      <c r="I1584" t="str">
        <f>VLOOKUP(Table2[[#This Row],[Customer ID]],Table2[#All],8,FALSE)</f>
        <v>No</v>
      </c>
      <c r="J1584" t="str">
        <f>VLOOKUP(Table2[[#This Row],[Customer ID]],Table2[#All],9,FALSE)</f>
        <v>Overweight</v>
      </c>
      <c r="K1584" t="str">
        <f>VLOOKUP(Table2[[#This Row],[Customer ID]],Table2[#All],10,FALSE)</f>
        <v>Diabetes</v>
      </c>
    </row>
    <row r="1585" spans="1:11" ht="15.6" x14ac:dyDescent="0.3">
      <c r="A1585" s="1" t="s">
        <v>787</v>
      </c>
      <c r="B1585" t="str">
        <f>VLOOKUP('Customer Names'!A1585,'Customer Names'!$A$1:$E$2336,4,FALSE)</f>
        <v>Ms.  Paula</v>
      </c>
      <c r="C1585">
        <f>VLOOKUP(Table2[[#This Row],[Customer ID]],Table2[#All],2,FALSE)</f>
        <v>37.145000000000003</v>
      </c>
      <c r="D1585">
        <f>VLOOKUP(Table2[[#This Row],[Customer ID]],Table2[#All],3,FALSE)</f>
        <v>5.32</v>
      </c>
      <c r="E1585" t="str">
        <f>VLOOKUP(Table2[[#This Row],[Customer ID]],Table2[#All],4,FALSE)</f>
        <v>No</v>
      </c>
      <c r="F1585" t="str">
        <f>VLOOKUP(Table2[[#This Row],[Customer ID]],Table2[#All],5,FALSE)</f>
        <v>No</v>
      </c>
      <c r="G1585" t="str">
        <f>VLOOKUP(Table2[[#This Row],[Customer ID]],Table2[#All],6,FALSE)</f>
        <v>No</v>
      </c>
      <c r="H1585">
        <f>VLOOKUP(Table2[[#This Row],[Customer ID]],Table2[#All],7,FALSE)</f>
        <v>0</v>
      </c>
      <c r="I1585" t="str">
        <f>VLOOKUP(Table2[[#This Row],[Customer ID]],Table2[#All],8,FALSE)</f>
        <v>No</v>
      </c>
      <c r="J1585" t="str">
        <f>VLOOKUP(Table2[[#This Row],[Customer ID]],Table2[#All],9,FALSE)</f>
        <v>Obesity</v>
      </c>
      <c r="K1585" t="str">
        <f>VLOOKUP(Table2[[#This Row],[Customer ID]],Table2[#All],10,FALSE)</f>
        <v>Normal</v>
      </c>
    </row>
    <row r="1586" spans="1:11" ht="15.6" x14ac:dyDescent="0.3">
      <c r="A1586" s="1" t="s">
        <v>786</v>
      </c>
      <c r="B1586" t="str">
        <f>VLOOKUP('Customer Names'!A1586,'Customer Names'!$A$1:$E$2336,4,FALSE)</f>
        <v>Mrs.  Madeline E.</v>
      </c>
      <c r="C1586">
        <f>VLOOKUP(Table2[[#This Row],[Customer ID]],Table2[#All],2,FALSE)</f>
        <v>30.8</v>
      </c>
      <c r="D1586">
        <f>VLOOKUP(Table2[[#This Row],[Customer ID]],Table2[#All],3,FALSE)</f>
        <v>5.83</v>
      </c>
      <c r="E1586" t="str">
        <f>VLOOKUP(Table2[[#This Row],[Customer ID]],Table2[#All],4,FALSE)</f>
        <v>Yes</v>
      </c>
      <c r="F1586" t="str">
        <f>VLOOKUP(Table2[[#This Row],[Customer ID]],Table2[#All],5,FALSE)</f>
        <v>No</v>
      </c>
      <c r="G1586" t="str">
        <f>VLOOKUP(Table2[[#This Row],[Customer ID]],Table2[#All],6,FALSE)</f>
        <v>No</v>
      </c>
      <c r="H1586">
        <f>VLOOKUP(Table2[[#This Row],[Customer ID]],Table2[#All],7,FALSE)</f>
        <v>0</v>
      </c>
      <c r="I1586" t="str">
        <f>VLOOKUP(Table2[[#This Row],[Customer ID]],Table2[#All],8,FALSE)</f>
        <v>No</v>
      </c>
      <c r="J1586" t="str">
        <f>VLOOKUP(Table2[[#This Row],[Customer ID]],Table2[#All],9,FALSE)</f>
        <v>Obesity</v>
      </c>
      <c r="K1586" t="str">
        <f>VLOOKUP(Table2[[#This Row],[Customer ID]],Table2[#All],10,FALSE)</f>
        <v>Prediabetes</v>
      </c>
    </row>
    <row r="1587" spans="1:11" ht="15.6" x14ac:dyDescent="0.3">
      <c r="A1587" s="1" t="s">
        <v>785</v>
      </c>
      <c r="B1587" t="str">
        <f>VLOOKUP('Customer Names'!A1587,'Customer Names'!$A$1:$E$2336,4,FALSE)</f>
        <v>Ms.  Maria Isabel</v>
      </c>
      <c r="C1587">
        <f>VLOOKUP(Table2[[#This Row],[Customer ID]],Table2[#All],2,FALSE)</f>
        <v>29.5</v>
      </c>
      <c r="D1587">
        <f>VLOOKUP(Table2[[#This Row],[Customer ID]],Table2[#All],3,FALSE)</f>
        <v>5.54</v>
      </c>
      <c r="E1587" t="str">
        <f>VLOOKUP(Table2[[#This Row],[Customer ID]],Table2[#All],4,FALSE)</f>
        <v>Yes</v>
      </c>
      <c r="F1587" t="str">
        <f>VLOOKUP(Table2[[#This Row],[Customer ID]],Table2[#All],5,FALSE)</f>
        <v>No</v>
      </c>
      <c r="G1587" t="str">
        <f>VLOOKUP(Table2[[#This Row],[Customer ID]],Table2[#All],6,FALSE)</f>
        <v>No</v>
      </c>
      <c r="H1587">
        <f>VLOOKUP(Table2[[#This Row],[Customer ID]],Table2[#All],7,FALSE)</f>
        <v>0</v>
      </c>
      <c r="I1587" t="str">
        <f>VLOOKUP(Table2[[#This Row],[Customer ID]],Table2[#All],8,FALSE)</f>
        <v>No</v>
      </c>
      <c r="J1587" t="str">
        <f>VLOOKUP(Table2[[#This Row],[Customer ID]],Table2[#All],9,FALSE)</f>
        <v>Overweight</v>
      </c>
      <c r="K1587" t="str">
        <f>VLOOKUP(Table2[[#This Row],[Customer ID]],Table2[#All],10,FALSE)</f>
        <v>Normal</v>
      </c>
    </row>
    <row r="1588" spans="1:11" ht="15.6" x14ac:dyDescent="0.3">
      <c r="A1588" s="1" t="s">
        <v>784</v>
      </c>
      <c r="B1588" t="str">
        <f>VLOOKUP('Customer Names'!A1588,'Customer Names'!$A$1:$E$2336,4,FALSE)</f>
        <v>Mr.  Arthur M.</v>
      </c>
      <c r="C1588">
        <f>VLOOKUP(Table2[[#This Row],[Customer ID]],Table2[#All],2,FALSE)</f>
        <v>43.39</v>
      </c>
      <c r="D1588">
        <f>VLOOKUP(Table2[[#This Row],[Customer ID]],Table2[#All],3,FALSE)</f>
        <v>5.85</v>
      </c>
      <c r="E1588" t="str">
        <f>VLOOKUP(Table2[[#This Row],[Customer ID]],Table2[#All],4,FALSE)</f>
        <v>No</v>
      </c>
      <c r="F1588" t="str">
        <f>VLOOKUP(Table2[[#This Row],[Customer ID]],Table2[#All],5,FALSE)</f>
        <v>yes</v>
      </c>
      <c r="G1588" t="str">
        <f>VLOOKUP(Table2[[#This Row],[Customer ID]],Table2[#All],6,FALSE)</f>
        <v>No</v>
      </c>
      <c r="H1588">
        <f>VLOOKUP(Table2[[#This Row],[Customer ID]],Table2[#All],7,FALSE)</f>
        <v>1</v>
      </c>
      <c r="I1588" t="str">
        <f>VLOOKUP(Table2[[#This Row],[Customer ID]],Table2[#All],8,FALSE)</f>
        <v>No</v>
      </c>
      <c r="J1588" t="str">
        <f>VLOOKUP(Table2[[#This Row],[Customer ID]],Table2[#All],9,FALSE)</f>
        <v>Obesity</v>
      </c>
      <c r="K1588" t="str">
        <f>VLOOKUP(Table2[[#This Row],[Customer ID]],Table2[#All],10,FALSE)</f>
        <v>Prediabetes</v>
      </c>
    </row>
    <row r="1589" spans="1:11" ht="15.6" x14ac:dyDescent="0.3">
      <c r="A1589" s="1" t="s">
        <v>783</v>
      </c>
      <c r="B1589" t="str">
        <f>VLOOKUP('Customer Names'!A1589,'Customer Names'!$A$1:$E$2336,4,FALSE)</f>
        <v>Mr.  Joseph R.</v>
      </c>
      <c r="C1589">
        <f>VLOOKUP(Table2[[#This Row],[Customer ID]],Table2[#All],2,FALSE)</f>
        <v>15.08</v>
      </c>
      <c r="D1589">
        <f>VLOOKUP(Table2[[#This Row],[Customer ID]],Table2[#All],3,FALSE)</f>
        <v>4.8499999999999996</v>
      </c>
      <c r="E1589" t="str">
        <f>VLOOKUP(Table2[[#This Row],[Customer ID]],Table2[#All],4,FALSE)</f>
        <v>Yes</v>
      </c>
      <c r="F1589" t="str">
        <f>VLOOKUP(Table2[[#This Row],[Customer ID]],Table2[#All],5,FALSE)</f>
        <v>No</v>
      </c>
      <c r="G1589" t="str">
        <f>VLOOKUP(Table2[[#This Row],[Customer ID]],Table2[#All],6,FALSE)</f>
        <v>Yes</v>
      </c>
      <c r="H1589">
        <f>VLOOKUP(Table2[[#This Row],[Customer ID]],Table2[#All],7,FALSE)</f>
        <v>1</v>
      </c>
      <c r="I1589" t="str">
        <f>VLOOKUP(Table2[[#This Row],[Customer ID]],Table2[#All],8,FALSE)</f>
        <v>No</v>
      </c>
      <c r="J1589" t="str">
        <f>VLOOKUP(Table2[[#This Row],[Customer ID]],Table2[#All],9,FALSE)</f>
        <v>Underweight</v>
      </c>
      <c r="K1589" t="str">
        <f>VLOOKUP(Table2[[#This Row],[Customer ID]],Table2[#All],10,FALSE)</f>
        <v>Normal</v>
      </c>
    </row>
    <row r="1590" spans="1:11" ht="15.6" x14ac:dyDescent="0.3">
      <c r="A1590" s="1" t="s">
        <v>782</v>
      </c>
      <c r="B1590" t="str">
        <f>VLOOKUP('Customer Names'!A1590,'Customer Names'!$A$1:$E$2336,4,FALSE)</f>
        <v>Ms.  Sachiko</v>
      </c>
      <c r="C1590">
        <f>VLOOKUP(Table2[[#This Row],[Customer ID]],Table2[#All],2,FALSE)</f>
        <v>20.48</v>
      </c>
      <c r="D1590">
        <f>VLOOKUP(Table2[[#This Row],[Customer ID]],Table2[#All],3,FALSE)</f>
        <v>11.09</v>
      </c>
      <c r="E1590" t="str">
        <f>VLOOKUP(Table2[[#This Row],[Customer ID]],Table2[#All],4,FALSE)</f>
        <v>No</v>
      </c>
      <c r="F1590" t="str">
        <f>VLOOKUP(Table2[[#This Row],[Customer ID]],Table2[#All],5,FALSE)</f>
        <v>No</v>
      </c>
      <c r="G1590" t="str">
        <f>VLOOKUP(Table2[[#This Row],[Customer ID]],Table2[#All],6,FALSE)</f>
        <v>No</v>
      </c>
      <c r="H1590">
        <f>VLOOKUP(Table2[[#This Row],[Customer ID]],Table2[#All],7,FALSE)</f>
        <v>0</v>
      </c>
      <c r="I1590" t="str">
        <f>VLOOKUP(Table2[[#This Row],[Customer ID]],Table2[#All],8,FALSE)</f>
        <v>No</v>
      </c>
      <c r="J1590" t="str">
        <f>VLOOKUP(Table2[[#This Row],[Customer ID]],Table2[#All],9,FALSE)</f>
        <v>Normalweight</v>
      </c>
      <c r="K1590" t="str">
        <f>VLOOKUP(Table2[[#This Row],[Customer ID]],Table2[#All],10,FALSE)</f>
        <v>Diabetes</v>
      </c>
    </row>
    <row r="1591" spans="1:11" ht="15.6" x14ac:dyDescent="0.3">
      <c r="A1591" s="1" t="s">
        <v>781</v>
      </c>
      <c r="B1591" t="str">
        <f>VLOOKUP('Customer Names'!A1591,'Customer Names'!$A$1:$E$2336,4,FALSE)</f>
        <v>Mr.  Christopher</v>
      </c>
      <c r="C1591">
        <f>VLOOKUP(Table2[[#This Row],[Customer ID]],Table2[#All],2,FALSE)</f>
        <v>34.450000000000003</v>
      </c>
      <c r="D1591">
        <f>VLOOKUP(Table2[[#This Row],[Customer ID]],Table2[#All],3,FALSE)</f>
        <v>5.58</v>
      </c>
      <c r="E1591" t="str">
        <f>VLOOKUP(Table2[[#This Row],[Customer ID]],Table2[#All],4,FALSE)</f>
        <v>Yes</v>
      </c>
      <c r="F1591" t="str">
        <f>VLOOKUP(Table2[[#This Row],[Customer ID]],Table2[#All],5,FALSE)</f>
        <v>No</v>
      </c>
      <c r="G1591" t="str">
        <f>VLOOKUP(Table2[[#This Row],[Customer ID]],Table2[#All],6,FALSE)</f>
        <v>No</v>
      </c>
      <c r="H1591">
        <f>VLOOKUP(Table2[[#This Row],[Customer ID]],Table2[#All],7,FALSE)</f>
        <v>0</v>
      </c>
      <c r="I1591" t="str">
        <f>VLOOKUP(Table2[[#This Row],[Customer ID]],Table2[#All],8,FALSE)</f>
        <v>No</v>
      </c>
      <c r="J1591" t="str">
        <f>VLOOKUP(Table2[[#This Row],[Customer ID]],Table2[#All],9,FALSE)</f>
        <v>Obesity</v>
      </c>
      <c r="K1591" t="str">
        <f>VLOOKUP(Table2[[#This Row],[Customer ID]],Table2[#All],10,FALSE)</f>
        <v>Normal</v>
      </c>
    </row>
    <row r="1592" spans="1:11" ht="15.6" x14ac:dyDescent="0.3">
      <c r="A1592" s="1" t="s">
        <v>780</v>
      </c>
      <c r="B1592" t="str">
        <f>VLOOKUP('Customer Names'!A1592,'Customer Names'!$A$1:$E$2336,4,FALSE)</f>
        <v>Mr.  Joseph</v>
      </c>
      <c r="C1592">
        <f>VLOOKUP(Table2[[#This Row],[Customer ID]],Table2[#All],2,FALSE)</f>
        <v>34.21</v>
      </c>
      <c r="D1592">
        <f>VLOOKUP(Table2[[#This Row],[Customer ID]],Table2[#All],3,FALSE)</f>
        <v>9.7200000000000006</v>
      </c>
      <c r="E1592" t="str">
        <f>VLOOKUP(Table2[[#This Row],[Customer ID]],Table2[#All],4,FALSE)</f>
        <v>Yes</v>
      </c>
      <c r="F1592" t="str">
        <f>VLOOKUP(Table2[[#This Row],[Customer ID]],Table2[#All],5,FALSE)</f>
        <v>No</v>
      </c>
      <c r="G1592" t="str">
        <f>VLOOKUP(Table2[[#This Row],[Customer ID]],Table2[#All],6,FALSE)</f>
        <v>No</v>
      </c>
      <c r="H1592">
        <f>VLOOKUP(Table2[[#This Row],[Customer ID]],Table2[#All],7,FALSE)</f>
        <v>0</v>
      </c>
      <c r="I1592" t="str">
        <f>VLOOKUP(Table2[[#This Row],[Customer ID]],Table2[#All],8,FALSE)</f>
        <v>No</v>
      </c>
      <c r="J1592" t="str">
        <f>VLOOKUP(Table2[[#This Row],[Customer ID]],Table2[#All],9,FALSE)</f>
        <v>Obesity</v>
      </c>
      <c r="K1592" t="str">
        <f>VLOOKUP(Table2[[#This Row],[Customer ID]],Table2[#All],10,FALSE)</f>
        <v>Diabetes</v>
      </c>
    </row>
    <row r="1593" spans="1:11" ht="15.6" x14ac:dyDescent="0.3">
      <c r="A1593" s="1" t="s">
        <v>779</v>
      </c>
      <c r="B1593" t="str">
        <f>VLOOKUP('Customer Names'!A1593,'Customer Names'!$A$1:$E$2336,4,FALSE)</f>
        <v>Mr.  Lawrence</v>
      </c>
      <c r="C1593">
        <f>VLOOKUP(Table2[[#This Row],[Customer ID]],Table2[#All],2,FALSE)</f>
        <v>28.8</v>
      </c>
      <c r="D1593">
        <f>VLOOKUP(Table2[[#This Row],[Customer ID]],Table2[#All],3,FALSE)</f>
        <v>11.41</v>
      </c>
      <c r="E1593" t="str">
        <f>VLOOKUP(Table2[[#This Row],[Customer ID]],Table2[#All],4,FALSE)</f>
        <v>Yes</v>
      </c>
      <c r="F1593" t="str">
        <f>VLOOKUP(Table2[[#This Row],[Customer ID]],Table2[#All],5,FALSE)</f>
        <v>No</v>
      </c>
      <c r="G1593" t="str">
        <f>VLOOKUP(Table2[[#This Row],[Customer ID]],Table2[#All],6,FALSE)</f>
        <v>No</v>
      </c>
      <c r="H1593">
        <f>VLOOKUP(Table2[[#This Row],[Customer ID]],Table2[#All],7,FALSE)</f>
        <v>0</v>
      </c>
      <c r="I1593" t="str">
        <f>VLOOKUP(Table2[[#This Row],[Customer ID]],Table2[#All],8,FALSE)</f>
        <v>No</v>
      </c>
      <c r="J1593" t="str">
        <f>VLOOKUP(Table2[[#This Row],[Customer ID]],Table2[#All],9,FALSE)</f>
        <v>Overweight</v>
      </c>
      <c r="K1593" t="str">
        <f>VLOOKUP(Table2[[#This Row],[Customer ID]],Table2[#All],10,FALSE)</f>
        <v>Diabetes</v>
      </c>
    </row>
    <row r="1594" spans="1:11" ht="15.6" x14ac:dyDescent="0.3">
      <c r="A1594" s="1" t="s">
        <v>778</v>
      </c>
      <c r="B1594" t="str">
        <f>VLOOKUP('Customer Names'!A1594,'Customer Names'!$A$1:$E$2336,4,FALSE)</f>
        <v>Mrs.  Katie</v>
      </c>
      <c r="C1594">
        <f>VLOOKUP(Table2[[#This Row],[Customer ID]],Table2[#All],2,FALSE)</f>
        <v>31.74</v>
      </c>
      <c r="D1594">
        <f>VLOOKUP(Table2[[#This Row],[Customer ID]],Table2[#All],3,FALSE)</f>
        <v>4.46</v>
      </c>
      <c r="E1594" t="str">
        <f>VLOOKUP(Table2[[#This Row],[Customer ID]],Table2[#All],4,FALSE)</f>
        <v>No</v>
      </c>
      <c r="F1594" t="str">
        <f>VLOOKUP(Table2[[#This Row],[Customer ID]],Table2[#All],5,FALSE)</f>
        <v>No</v>
      </c>
      <c r="G1594" t="str">
        <f>VLOOKUP(Table2[[#This Row],[Customer ID]],Table2[#All],6,FALSE)</f>
        <v>Yes</v>
      </c>
      <c r="H1594">
        <f>VLOOKUP(Table2[[#This Row],[Customer ID]],Table2[#All],7,FALSE)</f>
        <v>1</v>
      </c>
      <c r="I1594" t="str">
        <f>VLOOKUP(Table2[[#This Row],[Customer ID]],Table2[#All],8,FALSE)</f>
        <v>No</v>
      </c>
      <c r="J1594" t="str">
        <f>VLOOKUP(Table2[[#This Row],[Customer ID]],Table2[#All],9,FALSE)</f>
        <v>Obesity</v>
      </c>
      <c r="K1594" t="str">
        <f>VLOOKUP(Table2[[#This Row],[Customer ID]],Table2[#All],10,FALSE)</f>
        <v>Normal</v>
      </c>
    </row>
    <row r="1595" spans="1:11" ht="15.6" x14ac:dyDescent="0.3">
      <c r="A1595" s="1" t="s">
        <v>777</v>
      </c>
      <c r="B1595" t="str">
        <f>VLOOKUP('Customer Names'!A1595,'Customer Names'!$A$1:$E$2336,4,FALSE)</f>
        <v>Mr.  Ruben</v>
      </c>
      <c r="C1595">
        <f>VLOOKUP(Table2[[#This Row],[Customer ID]],Table2[#All],2,FALSE)</f>
        <v>21.78</v>
      </c>
      <c r="D1595">
        <f>VLOOKUP(Table2[[#This Row],[Customer ID]],Table2[#All],3,FALSE)</f>
        <v>9.31</v>
      </c>
      <c r="E1595" t="str">
        <f>VLOOKUP(Table2[[#This Row],[Customer ID]],Table2[#All],4,FALSE)</f>
        <v>Yes</v>
      </c>
      <c r="F1595" t="str">
        <f>VLOOKUP(Table2[[#This Row],[Customer ID]],Table2[#All],5,FALSE)</f>
        <v>No</v>
      </c>
      <c r="G1595" t="str">
        <f>VLOOKUP(Table2[[#This Row],[Customer ID]],Table2[#All],6,FALSE)</f>
        <v>No</v>
      </c>
      <c r="H1595">
        <f>VLOOKUP(Table2[[#This Row],[Customer ID]],Table2[#All],7,FALSE)</f>
        <v>0</v>
      </c>
      <c r="I1595" t="str">
        <f>VLOOKUP(Table2[[#This Row],[Customer ID]],Table2[#All],8,FALSE)</f>
        <v>No</v>
      </c>
      <c r="J1595" t="str">
        <f>VLOOKUP(Table2[[#This Row],[Customer ID]],Table2[#All],9,FALSE)</f>
        <v>Normalweight</v>
      </c>
      <c r="K1595" t="str">
        <f>VLOOKUP(Table2[[#This Row],[Customer ID]],Table2[#All],10,FALSE)</f>
        <v>Diabetes</v>
      </c>
    </row>
    <row r="1596" spans="1:11" ht="15.6" x14ac:dyDescent="0.3">
      <c r="A1596" s="1" t="s">
        <v>776</v>
      </c>
      <c r="B1596" t="str">
        <f>VLOOKUP('Customer Names'!A1596,'Customer Names'!$A$1:$E$2336,4,FALSE)</f>
        <v>Ms.  Sarah</v>
      </c>
      <c r="C1596">
        <f>VLOOKUP(Table2[[#This Row],[Customer ID]],Table2[#All],2,FALSE)</f>
        <v>23.75</v>
      </c>
      <c r="D1596">
        <f>VLOOKUP(Table2[[#This Row],[Customer ID]],Table2[#All],3,FALSE)</f>
        <v>5.03</v>
      </c>
      <c r="E1596" t="str">
        <f>VLOOKUP(Table2[[#This Row],[Customer ID]],Table2[#All],4,FALSE)</f>
        <v>No</v>
      </c>
      <c r="F1596" t="str">
        <f>VLOOKUP(Table2[[#This Row],[Customer ID]],Table2[#All],5,FALSE)</f>
        <v>No</v>
      </c>
      <c r="G1596" t="str">
        <f>VLOOKUP(Table2[[#This Row],[Customer ID]],Table2[#All],6,FALSE)</f>
        <v>No</v>
      </c>
      <c r="H1596">
        <f>VLOOKUP(Table2[[#This Row],[Customer ID]],Table2[#All],7,FALSE)</f>
        <v>1</v>
      </c>
      <c r="I1596" t="str">
        <f>VLOOKUP(Table2[[#This Row],[Customer ID]],Table2[#All],8,FALSE)</f>
        <v>No</v>
      </c>
      <c r="J1596" t="str">
        <f>VLOOKUP(Table2[[#This Row],[Customer ID]],Table2[#All],9,FALSE)</f>
        <v>Normalweight</v>
      </c>
      <c r="K1596" t="str">
        <f>VLOOKUP(Table2[[#This Row],[Customer ID]],Table2[#All],10,FALSE)</f>
        <v>Normal</v>
      </c>
    </row>
    <row r="1597" spans="1:11" ht="15.6" x14ac:dyDescent="0.3">
      <c r="A1597" s="1" t="s">
        <v>775</v>
      </c>
      <c r="B1597" t="str">
        <f>VLOOKUP('Customer Names'!A1597,'Customer Names'!$A$1:$E$2336,4,FALSE)</f>
        <v>Mrs.  Angela R.</v>
      </c>
      <c r="C1597">
        <f>VLOOKUP(Table2[[#This Row],[Customer ID]],Table2[#All],2,FALSE)</f>
        <v>33.21</v>
      </c>
      <c r="D1597">
        <f>VLOOKUP(Table2[[#This Row],[Customer ID]],Table2[#All],3,FALSE)</f>
        <v>5.07</v>
      </c>
      <c r="E1597" t="str">
        <f>VLOOKUP(Table2[[#This Row],[Customer ID]],Table2[#All],4,FALSE)</f>
        <v>Yes</v>
      </c>
      <c r="F1597" t="str">
        <f>VLOOKUP(Table2[[#This Row],[Customer ID]],Table2[#All],5,FALSE)</f>
        <v>No</v>
      </c>
      <c r="G1597" t="str">
        <f>VLOOKUP(Table2[[#This Row],[Customer ID]],Table2[#All],6,FALSE)</f>
        <v>No</v>
      </c>
      <c r="H1597">
        <f>VLOOKUP(Table2[[#This Row],[Customer ID]],Table2[#All],7,FALSE)</f>
        <v>1</v>
      </c>
      <c r="I1597" t="str">
        <f>VLOOKUP(Table2[[#This Row],[Customer ID]],Table2[#All],8,FALSE)</f>
        <v>No</v>
      </c>
      <c r="J1597" t="str">
        <f>VLOOKUP(Table2[[#This Row],[Customer ID]],Table2[#All],9,FALSE)</f>
        <v>Obesity</v>
      </c>
      <c r="K1597" t="str">
        <f>VLOOKUP(Table2[[#This Row],[Customer ID]],Table2[#All],10,FALSE)</f>
        <v>Normal</v>
      </c>
    </row>
    <row r="1598" spans="1:11" ht="15.6" x14ac:dyDescent="0.3">
      <c r="A1598" s="1" t="s">
        <v>774</v>
      </c>
      <c r="B1598" t="str">
        <f>VLOOKUP('Customer Names'!A1598,'Customer Names'!$A$1:$E$2336,4,FALSE)</f>
        <v>Mr.  Chatham</v>
      </c>
      <c r="C1598">
        <f>VLOOKUP(Table2[[#This Row],[Customer ID]],Table2[#All],2,FALSE)</f>
        <v>17.7</v>
      </c>
      <c r="D1598">
        <f>VLOOKUP(Table2[[#This Row],[Customer ID]],Table2[#All],3,FALSE)</f>
        <v>10.42</v>
      </c>
      <c r="E1598" t="str">
        <f>VLOOKUP(Table2[[#This Row],[Customer ID]],Table2[#All],4,FALSE)</f>
        <v>Yes</v>
      </c>
      <c r="F1598" t="str">
        <f>VLOOKUP(Table2[[#This Row],[Customer ID]],Table2[#All],5,FALSE)</f>
        <v>No</v>
      </c>
      <c r="G1598" t="str">
        <f>VLOOKUP(Table2[[#This Row],[Customer ID]],Table2[#All],6,FALSE)</f>
        <v>No</v>
      </c>
      <c r="H1598">
        <f>VLOOKUP(Table2[[#This Row],[Customer ID]],Table2[#All],7,FALSE)</f>
        <v>2</v>
      </c>
      <c r="I1598" t="str">
        <f>VLOOKUP(Table2[[#This Row],[Customer ID]],Table2[#All],8,FALSE)</f>
        <v>No</v>
      </c>
      <c r="J1598" t="str">
        <f>VLOOKUP(Table2[[#This Row],[Customer ID]],Table2[#All],9,FALSE)</f>
        <v>Underweight</v>
      </c>
      <c r="K1598" t="str">
        <f>VLOOKUP(Table2[[#This Row],[Customer ID]],Table2[#All],10,FALSE)</f>
        <v>Diabetes</v>
      </c>
    </row>
    <row r="1599" spans="1:11" ht="15.6" x14ac:dyDescent="0.3">
      <c r="A1599" s="1" t="s">
        <v>773</v>
      </c>
      <c r="B1599" t="str">
        <f>VLOOKUP('Customer Names'!A1599,'Customer Names'!$A$1:$E$2336,4,FALSE)</f>
        <v>Mr.  Derek</v>
      </c>
      <c r="C1599">
        <f>VLOOKUP(Table2[[#This Row],[Customer ID]],Table2[#All],2,FALSE)</f>
        <v>17.2</v>
      </c>
      <c r="D1599">
        <f>VLOOKUP(Table2[[#This Row],[Customer ID]],Table2[#All],3,FALSE)</f>
        <v>6.45</v>
      </c>
      <c r="E1599" t="str">
        <f>VLOOKUP(Table2[[#This Row],[Customer ID]],Table2[#All],4,FALSE)</f>
        <v>No</v>
      </c>
      <c r="F1599" t="str">
        <f>VLOOKUP(Table2[[#This Row],[Customer ID]],Table2[#All],5,FALSE)</f>
        <v>No</v>
      </c>
      <c r="G1599" t="str">
        <f>VLOOKUP(Table2[[#This Row],[Customer ID]],Table2[#All],6,FALSE)</f>
        <v>No</v>
      </c>
      <c r="H1599">
        <f>VLOOKUP(Table2[[#This Row],[Customer ID]],Table2[#All],7,FALSE)</f>
        <v>2</v>
      </c>
      <c r="I1599" t="str">
        <f>VLOOKUP(Table2[[#This Row],[Customer ID]],Table2[#All],8,FALSE)</f>
        <v>No</v>
      </c>
      <c r="J1599" t="str">
        <f>VLOOKUP(Table2[[#This Row],[Customer ID]],Table2[#All],9,FALSE)</f>
        <v>Underweight</v>
      </c>
      <c r="K1599" t="str">
        <f>VLOOKUP(Table2[[#This Row],[Customer ID]],Table2[#All],10,FALSE)</f>
        <v>Prediabetes</v>
      </c>
    </row>
    <row r="1600" spans="1:11" ht="15.6" x14ac:dyDescent="0.3">
      <c r="A1600" s="1" t="s">
        <v>772</v>
      </c>
      <c r="B1600" t="str">
        <f>VLOOKUP('Customer Names'!A1600,'Customer Names'!$A$1:$E$2336,4,FALSE)</f>
        <v>Mr.  Kalvin J.</v>
      </c>
      <c r="C1600">
        <f>VLOOKUP(Table2[[#This Row],[Customer ID]],Table2[#All],2,FALSE)</f>
        <v>19.21</v>
      </c>
      <c r="D1600">
        <f>VLOOKUP(Table2[[#This Row],[Customer ID]],Table2[#All],3,FALSE)</f>
        <v>5.52</v>
      </c>
      <c r="E1600" t="str">
        <f>VLOOKUP(Table2[[#This Row],[Customer ID]],Table2[#All],4,FALSE)</f>
        <v>No</v>
      </c>
      <c r="F1600" t="str">
        <f>VLOOKUP(Table2[[#This Row],[Customer ID]],Table2[#All],5,FALSE)</f>
        <v>No</v>
      </c>
      <c r="G1600" t="str">
        <f>VLOOKUP(Table2[[#This Row],[Customer ID]],Table2[#All],6,FALSE)</f>
        <v>No</v>
      </c>
      <c r="H1600">
        <f>VLOOKUP(Table2[[#This Row],[Customer ID]],Table2[#All],7,FALSE)</f>
        <v>2</v>
      </c>
      <c r="I1600" t="str">
        <f>VLOOKUP(Table2[[#This Row],[Customer ID]],Table2[#All],8,FALSE)</f>
        <v>No</v>
      </c>
      <c r="J1600" t="str">
        <f>VLOOKUP(Table2[[#This Row],[Customer ID]],Table2[#All],9,FALSE)</f>
        <v>Normalweight</v>
      </c>
      <c r="K1600" t="str">
        <f>VLOOKUP(Table2[[#This Row],[Customer ID]],Table2[#All],10,FALSE)</f>
        <v>Normal</v>
      </c>
    </row>
    <row r="1601" spans="1:11" ht="15.6" x14ac:dyDescent="0.3">
      <c r="A1601" s="1" t="s">
        <v>771</v>
      </c>
      <c r="B1601" t="str">
        <f>VLOOKUP('Customer Names'!A1601,'Customer Names'!$A$1:$E$2336,4,FALSE)</f>
        <v>Mr.  Dave</v>
      </c>
      <c r="C1601">
        <f>VLOOKUP(Table2[[#This Row],[Customer ID]],Table2[#All],2,FALSE)</f>
        <v>23.2</v>
      </c>
      <c r="D1601">
        <f>VLOOKUP(Table2[[#This Row],[Customer ID]],Table2[#All],3,FALSE)</f>
        <v>4.41</v>
      </c>
      <c r="E1601" t="str">
        <f>VLOOKUP(Table2[[#This Row],[Customer ID]],Table2[#All],4,FALSE)</f>
        <v>No</v>
      </c>
      <c r="F1601" t="str">
        <f>VLOOKUP(Table2[[#This Row],[Customer ID]],Table2[#All],5,FALSE)</f>
        <v>No</v>
      </c>
      <c r="G1601" t="str">
        <f>VLOOKUP(Table2[[#This Row],[Customer ID]],Table2[#All],6,FALSE)</f>
        <v>Yes</v>
      </c>
      <c r="H1601">
        <f>VLOOKUP(Table2[[#This Row],[Customer ID]],Table2[#All],7,FALSE)</f>
        <v>1</v>
      </c>
      <c r="I1601" t="str">
        <f>VLOOKUP(Table2[[#This Row],[Customer ID]],Table2[#All],8,FALSE)</f>
        <v>No</v>
      </c>
      <c r="J1601" t="str">
        <f>VLOOKUP(Table2[[#This Row],[Customer ID]],Table2[#All],9,FALSE)</f>
        <v>Normalweight</v>
      </c>
      <c r="K1601" t="str">
        <f>VLOOKUP(Table2[[#This Row],[Customer ID]],Table2[#All],10,FALSE)</f>
        <v>Normal</v>
      </c>
    </row>
    <row r="1602" spans="1:11" ht="15.6" x14ac:dyDescent="0.3">
      <c r="A1602" s="1" t="s">
        <v>770</v>
      </c>
      <c r="B1602" t="str">
        <f>VLOOKUP('Customer Names'!A1602,'Customer Names'!$A$1:$E$2336,4,FALSE)</f>
        <v>Ms.  Barbara G.</v>
      </c>
      <c r="C1602">
        <f>VLOOKUP(Table2[[#This Row],[Customer ID]],Table2[#All],2,FALSE)</f>
        <v>32.5</v>
      </c>
      <c r="D1602">
        <f>VLOOKUP(Table2[[#This Row],[Customer ID]],Table2[#All],3,FALSE)</f>
        <v>4.6900000000000004</v>
      </c>
      <c r="E1602" t="str">
        <f>VLOOKUP(Table2[[#This Row],[Customer ID]],Table2[#All],4,FALSE)</f>
        <v>Yes</v>
      </c>
      <c r="F1602" t="str">
        <f>VLOOKUP(Table2[[#This Row],[Customer ID]],Table2[#All],5,FALSE)</f>
        <v>No</v>
      </c>
      <c r="G1602" t="str">
        <f>VLOOKUP(Table2[[#This Row],[Customer ID]],Table2[#All],6,FALSE)</f>
        <v>Yes</v>
      </c>
      <c r="H1602">
        <f>VLOOKUP(Table2[[#This Row],[Customer ID]],Table2[#All],7,FALSE)</f>
        <v>1</v>
      </c>
      <c r="I1602" t="str">
        <f>VLOOKUP(Table2[[#This Row],[Customer ID]],Table2[#All],8,FALSE)</f>
        <v>No</v>
      </c>
      <c r="J1602" t="str">
        <f>VLOOKUP(Table2[[#This Row],[Customer ID]],Table2[#All],9,FALSE)</f>
        <v>Obesity</v>
      </c>
      <c r="K1602" t="str">
        <f>VLOOKUP(Table2[[#This Row],[Customer ID]],Table2[#All],10,FALSE)</f>
        <v>Normal</v>
      </c>
    </row>
    <row r="1603" spans="1:11" ht="15.6" x14ac:dyDescent="0.3">
      <c r="A1603" s="1" t="s">
        <v>769</v>
      </c>
      <c r="B1603" t="str">
        <f>VLOOKUP('Customer Names'!A1603,'Customer Names'!$A$1:$E$2336,4,FALSE)</f>
        <v>Mr.  Skylar</v>
      </c>
      <c r="C1603">
        <f>VLOOKUP(Table2[[#This Row],[Customer ID]],Table2[#All],2,FALSE)</f>
        <v>20.9</v>
      </c>
      <c r="D1603">
        <f>VLOOKUP(Table2[[#This Row],[Customer ID]],Table2[#All],3,FALSE)</f>
        <v>6.94</v>
      </c>
      <c r="E1603" t="str">
        <f>VLOOKUP(Table2[[#This Row],[Customer ID]],Table2[#All],4,FALSE)</f>
        <v>No</v>
      </c>
      <c r="F1603" t="str">
        <f>VLOOKUP(Table2[[#This Row],[Customer ID]],Table2[#All],5,FALSE)</f>
        <v>No</v>
      </c>
      <c r="G1603" t="str">
        <f>VLOOKUP(Table2[[#This Row],[Customer ID]],Table2[#All],6,FALSE)</f>
        <v>No</v>
      </c>
      <c r="H1603">
        <f>VLOOKUP(Table2[[#This Row],[Customer ID]],Table2[#All],7,FALSE)</f>
        <v>0</v>
      </c>
      <c r="I1603" t="str">
        <f>VLOOKUP(Table2[[#This Row],[Customer ID]],Table2[#All],8,FALSE)</f>
        <v>No</v>
      </c>
      <c r="J1603" t="str">
        <f>VLOOKUP(Table2[[#This Row],[Customer ID]],Table2[#All],9,FALSE)</f>
        <v>Normalweight</v>
      </c>
      <c r="K1603" t="str">
        <f>VLOOKUP(Table2[[#This Row],[Customer ID]],Table2[#All],10,FALSE)</f>
        <v>Diabetes</v>
      </c>
    </row>
    <row r="1604" spans="1:11" ht="15.6" x14ac:dyDescent="0.3">
      <c r="A1604" s="1" t="s">
        <v>768</v>
      </c>
      <c r="B1604" t="str">
        <f>VLOOKUP('Customer Names'!A1604,'Customer Names'!$A$1:$E$2336,4,FALSE)</f>
        <v>Mr.  Nick</v>
      </c>
      <c r="C1604">
        <f>VLOOKUP(Table2[[#This Row],[Customer ID]],Table2[#All],2,FALSE)</f>
        <v>19.11</v>
      </c>
      <c r="D1604">
        <f>VLOOKUP(Table2[[#This Row],[Customer ID]],Table2[#All],3,FALSE)</f>
        <v>4.3499999999999996</v>
      </c>
      <c r="E1604" t="str">
        <f>VLOOKUP(Table2[[#This Row],[Customer ID]],Table2[#All],4,FALSE)</f>
        <v>No</v>
      </c>
      <c r="F1604" t="str">
        <f>VLOOKUP(Table2[[#This Row],[Customer ID]],Table2[#All],5,FALSE)</f>
        <v>No</v>
      </c>
      <c r="G1604" t="str">
        <f>VLOOKUP(Table2[[#This Row],[Customer ID]],Table2[#All],6,FALSE)</f>
        <v>No</v>
      </c>
      <c r="H1604">
        <f>VLOOKUP(Table2[[#This Row],[Customer ID]],Table2[#All],7,FALSE)</f>
        <v>2</v>
      </c>
      <c r="I1604" t="str">
        <f>VLOOKUP(Table2[[#This Row],[Customer ID]],Table2[#All],8,FALSE)</f>
        <v>No</v>
      </c>
      <c r="J1604" t="str">
        <f>VLOOKUP(Table2[[#This Row],[Customer ID]],Table2[#All],9,FALSE)</f>
        <v>Normalweight</v>
      </c>
      <c r="K1604" t="str">
        <f>VLOOKUP(Table2[[#This Row],[Customer ID]],Table2[#All],10,FALSE)</f>
        <v>Normal</v>
      </c>
    </row>
    <row r="1605" spans="1:11" ht="15.6" x14ac:dyDescent="0.3">
      <c r="A1605" s="1" t="s">
        <v>767</v>
      </c>
      <c r="B1605" t="str">
        <f>VLOOKUP('Customer Names'!A1605,'Customer Names'!$A$1:$E$2336,4,FALSE)</f>
        <v>Mr.  Sunny S</v>
      </c>
      <c r="C1605">
        <f>VLOOKUP(Table2[[#This Row],[Customer ID]],Table2[#All],2,FALSE)</f>
        <v>31.17</v>
      </c>
      <c r="D1605">
        <f>VLOOKUP(Table2[[#This Row],[Customer ID]],Table2[#All],3,FALSE)</f>
        <v>5.28</v>
      </c>
      <c r="E1605" t="str">
        <f>VLOOKUP(Table2[[#This Row],[Customer ID]],Table2[#All],4,FALSE)</f>
        <v>No</v>
      </c>
      <c r="F1605" t="str">
        <f>VLOOKUP(Table2[[#This Row],[Customer ID]],Table2[#All],5,FALSE)</f>
        <v>No</v>
      </c>
      <c r="G1605" t="str">
        <f>VLOOKUP(Table2[[#This Row],[Customer ID]],Table2[#All],6,FALSE)</f>
        <v>No</v>
      </c>
      <c r="H1605">
        <f>VLOOKUP(Table2[[#This Row],[Customer ID]],Table2[#All],7,FALSE)</f>
        <v>1</v>
      </c>
      <c r="I1605" t="str">
        <f>VLOOKUP(Table2[[#This Row],[Customer ID]],Table2[#All],8,FALSE)</f>
        <v>No</v>
      </c>
      <c r="J1605" t="str">
        <f>VLOOKUP(Table2[[#This Row],[Customer ID]],Table2[#All],9,FALSE)</f>
        <v>Obesity</v>
      </c>
      <c r="K1605" t="str">
        <f>VLOOKUP(Table2[[#This Row],[Customer ID]],Table2[#All],10,FALSE)</f>
        <v>Normal</v>
      </c>
    </row>
    <row r="1606" spans="1:11" ht="15.6" x14ac:dyDescent="0.3">
      <c r="A1606" s="1" t="s">
        <v>766</v>
      </c>
      <c r="B1606" t="str">
        <f>VLOOKUP('Customer Names'!A1606,'Customer Names'!$A$1:$E$2336,4,FALSE)</f>
        <v>Mrs.  Anne-Marie</v>
      </c>
      <c r="C1606">
        <f>VLOOKUP(Table2[[#This Row],[Customer ID]],Table2[#All],2,FALSE)</f>
        <v>36.08</v>
      </c>
      <c r="D1606">
        <f>VLOOKUP(Table2[[#This Row],[Customer ID]],Table2[#All],3,FALSE)</f>
        <v>4.29</v>
      </c>
      <c r="E1606" t="str">
        <f>VLOOKUP(Table2[[#This Row],[Customer ID]],Table2[#All],4,FALSE)</f>
        <v>No</v>
      </c>
      <c r="F1606" t="str">
        <f>VLOOKUP(Table2[[#This Row],[Customer ID]],Table2[#All],5,FALSE)</f>
        <v>No</v>
      </c>
      <c r="G1606" t="str">
        <f>VLOOKUP(Table2[[#This Row],[Customer ID]],Table2[#All],6,FALSE)</f>
        <v>No</v>
      </c>
      <c r="H1606">
        <f>VLOOKUP(Table2[[#This Row],[Customer ID]],Table2[#All],7,FALSE)</f>
        <v>0</v>
      </c>
      <c r="I1606" t="str">
        <f>VLOOKUP(Table2[[#This Row],[Customer ID]],Table2[#All],8,FALSE)</f>
        <v>No</v>
      </c>
      <c r="J1606" t="str">
        <f>VLOOKUP(Table2[[#This Row],[Customer ID]],Table2[#All],9,FALSE)</f>
        <v>Obesity</v>
      </c>
      <c r="K1606" t="str">
        <f>VLOOKUP(Table2[[#This Row],[Customer ID]],Table2[#All],10,FALSE)</f>
        <v>Normal</v>
      </c>
    </row>
    <row r="1607" spans="1:11" ht="15.6" x14ac:dyDescent="0.3">
      <c r="A1607" s="1" t="s">
        <v>765</v>
      </c>
      <c r="B1607" t="str">
        <f>VLOOKUP('Customer Names'!A1607,'Customer Names'!$A$1:$E$2336,4,FALSE)</f>
        <v>Mr.  Nicholas</v>
      </c>
      <c r="C1607">
        <f>VLOOKUP(Table2[[#This Row],[Customer ID]],Table2[#All],2,FALSE)</f>
        <v>28.024999999999999</v>
      </c>
      <c r="D1607">
        <f>VLOOKUP(Table2[[#This Row],[Customer ID]],Table2[#All],3,FALSE)</f>
        <v>5.69</v>
      </c>
      <c r="E1607" t="str">
        <f>VLOOKUP(Table2[[#This Row],[Customer ID]],Table2[#All],4,FALSE)</f>
        <v>Yes</v>
      </c>
      <c r="F1607" t="str">
        <f>VLOOKUP(Table2[[#This Row],[Customer ID]],Table2[#All],5,FALSE)</f>
        <v>No</v>
      </c>
      <c r="G1607" t="str">
        <f>VLOOKUP(Table2[[#This Row],[Customer ID]],Table2[#All],6,FALSE)</f>
        <v>No</v>
      </c>
      <c r="H1607">
        <f>VLOOKUP(Table2[[#This Row],[Customer ID]],Table2[#All],7,FALSE)</f>
        <v>0</v>
      </c>
      <c r="I1607" t="str">
        <f>VLOOKUP(Table2[[#This Row],[Customer ID]],Table2[#All],8,FALSE)</f>
        <v>No</v>
      </c>
      <c r="J1607" t="str">
        <f>VLOOKUP(Table2[[#This Row],[Customer ID]],Table2[#All],9,FALSE)</f>
        <v>Overweight</v>
      </c>
      <c r="K1607" t="str">
        <f>VLOOKUP(Table2[[#This Row],[Customer ID]],Table2[#All],10,FALSE)</f>
        <v>Normal</v>
      </c>
    </row>
    <row r="1608" spans="1:11" ht="15.6" x14ac:dyDescent="0.3">
      <c r="A1608" s="1" t="s">
        <v>764</v>
      </c>
      <c r="B1608" t="str">
        <f>VLOOKUP('Customer Names'!A1608,'Customer Names'!$A$1:$E$2336,4,FALSE)</f>
        <v>Mr.  Scott M.</v>
      </c>
      <c r="C1608">
        <f>VLOOKUP(Table2[[#This Row],[Customer ID]],Table2[#All],2,FALSE)</f>
        <v>24.32</v>
      </c>
      <c r="D1608">
        <f>VLOOKUP(Table2[[#This Row],[Customer ID]],Table2[#All],3,FALSE)</f>
        <v>5.56</v>
      </c>
      <c r="E1608" t="str">
        <f>VLOOKUP(Table2[[#This Row],[Customer ID]],Table2[#All],4,FALSE)</f>
        <v>Yes</v>
      </c>
      <c r="F1608" t="str">
        <f>VLOOKUP(Table2[[#This Row],[Customer ID]],Table2[#All],5,FALSE)</f>
        <v>No</v>
      </c>
      <c r="G1608" t="str">
        <f>VLOOKUP(Table2[[#This Row],[Customer ID]],Table2[#All],6,FALSE)</f>
        <v>No</v>
      </c>
      <c r="H1608">
        <f>VLOOKUP(Table2[[#This Row],[Customer ID]],Table2[#All],7,FALSE)</f>
        <v>0</v>
      </c>
      <c r="I1608" t="str">
        <f>VLOOKUP(Table2[[#This Row],[Customer ID]],Table2[#All],8,FALSE)</f>
        <v>No</v>
      </c>
      <c r="J1608" t="str">
        <f>VLOOKUP(Table2[[#This Row],[Customer ID]],Table2[#All],9,FALSE)</f>
        <v>Normalweight</v>
      </c>
      <c r="K1608" t="str">
        <f>VLOOKUP(Table2[[#This Row],[Customer ID]],Table2[#All],10,FALSE)</f>
        <v>Normal</v>
      </c>
    </row>
    <row r="1609" spans="1:11" ht="15.6" x14ac:dyDescent="0.3">
      <c r="A1609" s="1" t="s">
        <v>763</v>
      </c>
      <c r="B1609" t="str">
        <f>VLOOKUP('Customer Names'!A1609,'Customer Names'!$A$1:$E$2336,4,FALSE)</f>
        <v>Ms.  Marisa A</v>
      </c>
      <c r="C1609">
        <f>VLOOKUP(Table2[[#This Row],[Customer ID]],Table2[#All],2,FALSE)</f>
        <v>38</v>
      </c>
      <c r="D1609">
        <f>VLOOKUP(Table2[[#This Row],[Customer ID]],Table2[#All],3,FALSE)</f>
        <v>5.41</v>
      </c>
      <c r="E1609" t="str">
        <f>VLOOKUP(Table2[[#This Row],[Customer ID]],Table2[#All],4,FALSE)</f>
        <v>Yes</v>
      </c>
      <c r="F1609" t="str">
        <f>VLOOKUP(Table2[[#This Row],[Customer ID]],Table2[#All],5,FALSE)</f>
        <v>No</v>
      </c>
      <c r="G1609" t="str">
        <f>VLOOKUP(Table2[[#This Row],[Customer ID]],Table2[#All],6,FALSE)</f>
        <v>No</v>
      </c>
      <c r="H1609">
        <f>VLOOKUP(Table2[[#This Row],[Customer ID]],Table2[#All],7,FALSE)</f>
        <v>1</v>
      </c>
      <c r="I1609" t="str">
        <f>VLOOKUP(Table2[[#This Row],[Customer ID]],Table2[#All],8,FALSE)</f>
        <v>No</v>
      </c>
      <c r="J1609" t="str">
        <f>VLOOKUP(Table2[[#This Row],[Customer ID]],Table2[#All],9,FALSE)</f>
        <v>Obesity</v>
      </c>
      <c r="K1609" t="str">
        <f>VLOOKUP(Table2[[#This Row],[Customer ID]],Table2[#All],10,FALSE)</f>
        <v>Normal</v>
      </c>
    </row>
    <row r="1610" spans="1:11" ht="15.6" x14ac:dyDescent="0.3">
      <c r="A1610" s="1" t="s">
        <v>762</v>
      </c>
      <c r="B1610" t="str">
        <f>VLOOKUP('Customer Names'!A1610,'Customer Names'!$A$1:$E$2336,4,FALSE)</f>
        <v>Ms.  Katie</v>
      </c>
      <c r="C1610">
        <f>VLOOKUP(Table2[[#This Row],[Customer ID]],Table2[#All],2,FALSE)</f>
        <v>31.6</v>
      </c>
      <c r="D1610">
        <f>VLOOKUP(Table2[[#This Row],[Customer ID]],Table2[#All],3,FALSE)</f>
        <v>10.85</v>
      </c>
      <c r="E1610" t="str">
        <f>VLOOKUP(Table2[[#This Row],[Customer ID]],Table2[#All],4,FALSE)</f>
        <v>Yes</v>
      </c>
      <c r="F1610" t="str">
        <f>VLOOKUP(Table2[[#This Row],[Customer ID]],Table2[#All],5,FALSE)</f>
        <v>No</v>
      </c>
      <c r="G1610" t="str">
        <f>VLOOKUP(Table2[[#This Row],[Customer ID]],Table2[#All],6,FALSE)</f>
        <v>No</v>
      </c>
      <c r="H1610">
        <f>VLOOKUP(Table2[[#This Row],[Customer ID]],Table2[#All],7,FALSE)</f>
        <v>0</v>
      </c>
      <c r="I1610" t="str">
        <f>VLOOKUP(Table2[[#This Row],[Customer ID]],Table2[#All],8,FALSE)</f>
        <v>No</v>
      </c>
      <c r="J1610" t="str">
        <f>VLOOKUP(Table2[[#This Row],[Customer ID]],Table2[#All],9,FALSE)</f>
        <v>Obesity</v>
      </c>
      <c r="K1610" t="str">
        <f>VLOOKUP(Table2[[#This Row],[Customer ID]],Table2[#All],10,FALSE)</f>
        <v>Diabetes</v>
      </c>
    </row>
    <row r="1611" spans="1:11" ht="15.6" x14ac:dyDescent="0.3">
      <c r="A1611" s="1" t="s">
        <v>761</v>
      </c>
      <c r="B1611" t="str">
        <f>VLOOKUP('Customer Names'!A1611,'Customer Names'!$A$1:$E$2336,4,FALSE)</f>
        <v>Ms.  Amy L</v>
      </c>
      <c r="C1611">
        <f>VLOOKUP(Table2[[#This Row],[Customer ID]],Table2[#All],2,FALSE)</f>
        <v>31.02</v>
      </c>
      <c r="D1611">
        <f>VLOOKUP(Table2[[#This Row],[Customer ID]],Table2[#All],3,FALSE)</f>
        <v>11.63</v>
      </c>
      <c r="E1611" t="str">
        <f>VLOOKUP(Table2[[#This Row],[Customer ID]],Table2[#All],4,FALSE)</f>
        <v>Yes</v>
      </c>
      <c r="F1611" t="str">
        <f>VLOOKUP(Table2[[#This Row],[Customer ID]],Table2[#All],5,FALSE)</f>
        <v>No</v>
      </c>
      <c r="G1611" t="str">
        <f>VLOOKUP(Table2[[#This Row],[Customer ID]],Table2[#All],6,FALSE)</f>
        <v>No</v>
      </c>
      <c r="H1611">
        <f>VLOOKUP(Table2[[#This Row],[Customer ID]],Table2[#All],7,FALSE)</f>
        <v>0</v>
      </c>
      <c r="I1611" t="str">
        <f>VLOOKUP(Table2[[#This Row],[Customer ID]],Table2[#All],8,FALSE)</f>
        <v>No</v>
      </c>
      <c r="J1611" t="str">
        <f>VLOOKUP(Table2[[#This Row],[Customer ID]],Table2[#All],9,FALSE)</f>
        <v>Obesity</v>
      </c>
      <c r="K1611" t="str">
        <f>VLOOKUP(Table2[[#This Row],[Customer ID]],Table2[#All],10,FALSE)</f>
        <v>Diabetes</v>
      </c>
    </row>
    <row r="1612" spans="1:11" ht="15.6" x14ac:dyDescent="0.3">
      <c r="A1612" s="1" t="s">
        <v>760</v>
      </c>
      <c r="B1612" t="str">
        <f>VLOOKUP('Customer Names'!A1612,'Customer Names'!$A$1:$E$2336,4,FALSE)</f>
        <v>Ms.  Jenna M</v>
      </c>
      <c r="C1612">
        <f>VLOOKUP(Table2[[#This Row],[Customer ID]],Table2[#All],2,FALSE)</f>
        <v>29.26</v>
      </c>
      <c r="D1612">
        <f>VLOOKUP(Table2[[#This Row],[Customer ID]],Table2[#All],3,FALSE)</f>
        <v>5.68</v>
      </c>
      <c r="E1612" t="str">
        <f>VLOOKUP(Table2[[#This Row],[Customer ID]],Table2[#All],4,FALSE)</f>
        <v>Yes</v>
      </c>
      <c r="F1612" t="str">
        <f>VLOOKUP(Table2[[#This Row],[Customer ID]],Table2[#All],5,FALSE)</f>
        <v>No</v>
      </c>
      <c r="G1612" t="str">
        <f>VLOOKUP(Table2[[#This Row],[Customer ID]],Table2[#All],6,FALSE)</f>
        <v>No</v>
      </c>
      <c r="H1612">
        <f>VLOOKUP(Table2[[#This Row],[Customer ID]],Table2[#All],7,FALSE)</f>
        <v>1</v>
      </c>
      <c r="I1612" t="str">
        <f>VLOOKUP(Table2[[#This Row],[Customer ID]],Table2[#All],8,FALSE)</f>
        <v>No</v>
      </c>
      <c r="J1612" t="str">
        <f>VLOOKUP(Table2[[#This Row],[Customer ID]],Table2[#All],9,FALSE)</f>
        <v>Overweight</v>
      </c>
      <c r="K1612" t="str">
        <f>VLOOKUP(Table2[[#This Row],[Customer ID]],Table2[#All],10,FALSE)</f>
        <v>Normal</v>
      </c>
    </row>
    <row r="1613" spans="1:11" ht="15.6" x14ac:dyDescent="0.3">
      <c r="A1613" s="1" t="s">
        <v>759</v>
      </c>
      <c r="B1613" t="str">
        <f>VLOOKUP('Customer Names'!A1613,'Customer Names'!$A$1:$E$2336,4,FALSE)</f>
        <v>Ms.  Elizabeth M.</v>
      </c>
      <c r="C1613">
        <f>VLOOKUP(Table2[[#This Row],[Customer ID]],Table2[#All],2,FALSE)</f>
        <v>15.09</v>
      </c>
      <c r="D1613">
        <f>VLOOKUP(Table2[[#This Row],[Customer ID]],Table2[#All],3,FALSE)</f>
        <v>7.59</v>
      </c>
      <c r="E1613" t="str">
        <f>VLOOKUP(Table2[[#This Row],[Customer ID]],Table2[#All],4,FALSE)</f>
        <v>Yes</v>
      </c>
      <c r="F1613" t="str">
        <f>VLOOKUP(Table2[[#This Row],[Customer ID]],Table2[#All],5,FALSE)</f>
        <v>No</v>
      </c>
      <c r="G1613" t="str">
        <f>VLOOKUP(Table2[[#This Row],[Customer ID]],Table2[#All],6,FALSE)</f>
        <v>No</v>
      </c>
      <c r="H1613">
        <f>VLOOKUP(Table2[[#This Row],[Customer ID]],Table2[#All],7,FALSE)</f>
        <v>2</v>
      </c>
      <c r="I1613" t="str">
        <f>VLOOKUP(Table2[[#This Row],[Customer ID]],Table2[#All],8,FALSE)</f>
        <v>No</v>
      </c>
      <c r="J1613" t="str">
        <f>VLOOKUP(Table2[[#This Row],[Customer ID]],Table2[#All],9,FALSE)</f>
        <v>Underweight</v>
      </c>
      <c r="K1613" t="str">
        <f>VLOOKUP(Table2[[#This Row],[Customer ID]],Table2[#All],10,FALSE)</f>
        <v>Diabetes</v>
      </c>
    </row>
    <row r="1614" spans="1:11" ht="15.6" x14ac:dyDescent="0.3">
      <c r="A1614" s="1" t="s">
        <v>758</v>
      </c>
      <c r="B1614" t="str">
        <f>VLOOKUP('Customer Names'!A1614,'Customer Names'!$A$1:$E$2336,4,FALSE)</f>
        <v>Mr.  Lyazid</v>
      </c>
      <c r="C1614">
        <f>VLOOKUP(Table2[[#This Row],[Customer ID]],Table2[#All],2,FALSE)</f>
        <v>22.63</v>
      </c>
      <c r="D1614">
        <f>VLOOKUP(Table2[[#This Row],[Customer ID]],Table2[#All],3,FALSE)</f>
        <v>5.09</v>
      </c>
      <c r="E1614" t="str">
        <f>VLOOKUP(Table2[[#This Row],[Customer ID]],Table2[#All],4,FALSE)</f>
        <v>Yes</v>
      </c>
      <c r="F1614" t="str">
        <f>VLOOKUP(Table2[[#This Row],[Customer ID]],Table2[#All],5,FALSE)</f>
        <v>No</v>
      </c>
      <c r="G1614" t="str">
        <f>VLOOKUP(Table2[[#This Row],[Customer ID]],Table2[#All],6,FALSE)</f>
        <v>No</v>
      </c>
      <c r="H1614">
        <f>VLOOKUP(Table2[[#This Row],[Customer ID]],Table2[#All],7,FALSE)</f>
        <v>0</v>
      </c>
      <c r="I1614" t="str">
        <f>VLOOKUP(Table2[[#This Row],[Customer ID]],Table2[#All],8,FALSE)</f>
        <v>No</v>
      </c>
      <c r="J1614" t="str">
        <f>VLOOKUP(Table2[[#This Row],[Customer ID]],Table2[#All],9,FALSE)</f>
        <v>Normalweight</v>
      </c>
      <c r="K1614" t="str">
        <f>VLOOKUP(Table2[[#This Row],[Customer ID]],Table2[#All],10,FALSE)</f>
        <v>Normal</v>
      </c>
    </row>
    <row r="1615" spans="1:11" ht="15.6" x14ac:dyDescent="0.3">
      <c r="A1615" s="1" t="s">
        <v>757</v>
      </c>
      <c r="B1615" t="str">
        <f>VLOOKUP('Customer Names'!A1615,'Customer Names'!$A$1:$E$2336,4,FALSE)</f>
        <v>Ms.  Lindsey A.</v>
      </c>
      <c r="C1615">
        <f>VLOOKUP(Table2[[#This Row],[Customer ID]],Table2[#All],2,FALSE)</f>
        <v>23.46</v>
      </c>
      <c r="D1615">
        <f>VLOOKUP(Table2[[#This Row],[Customer ID]],Table2[#All],3,FALSE)</f>
        <v>4.21</v>
      </c>
      <c r="E1615" t="str">
        <f>VLOOKUP(Table2[[#This Row],[Customer ID]],Table2[#All],4,FALSE)</f>
        <v>No</v>
      </c>
      <c r="F1615" t="str">
        <f>VLOOKUP(Table2[[#This Row],[Customer ID]],Table2[#All],5,FALSE)</f>
        <v>No</v>
      </c>
      <c r="G1615" t="str">
        <f>VLOOKUP(Table2[[#This Row],[Customer ID]],Table2[#All],6,FALSE)</f>
        <v>No</v>
      </c>
      <c r="H1615">
        <f>VLOOKUP(Table2[[#This Row],[Customer ID]],Table2[#All],7,FALSE)</f>
        <v>1</v>
      </c>
      <c r="I1615" t="str">
        <f>VLOOKUP(Table2[[#This Row],[Customer ID]],Table2[#All],8,FALSE)</f>
        <v>No</v>
      </c>
      <c r="J1615" t="str">
        <f>VLOOKUP(Table2[[#This Row],[Customer ID]],Table2[#All],9,FALSE)</f>
        <v>Normalweight</v>
      </c>
      <c r="K1615" t="str">
        <f>VLOOKUP(Table2[[#This Row],[Customer ID]],Table2[#All],10,FALSE)</f>
        <v>Normal</v>
      </c>
    </row>
    <row r="1616" spans="1:11" ht="15.6" x14ac:dyDescent="0.3">
      <c r="A1616" s="1" t="s">
        <v>756</v>
      </c>
      <c r="B1616" t="str">
        <f>VLOOKUP('Customer Names'!A1616,'Customer Names'!$A$1:$E$2336,4,FALSE)</f>
        <v>Mr.  Chris</v>
      </c>
      <c r="C1616">
        <f>VLOOKUP(Table2[[#This Row],[Customer ID]],Table2[#All],2,FALSE)</f>
        <v>22.56</v>
      </c>
      <c r="D1616">
        <f>VLOOKUP(Table2[[#This Row],[Customer ID]],Table2[#All],3,FALSE)</f>
        <v>4.34</v>
      </c>
      <c r="E1616" t="str">
        <f>VLOOKUP(Table2[[#This Row],[Customer ID]],Table2[#All],4,FALSE)</f>
        <v>Yes</v>
      </c>
      <c r="F1616" t="str">
        <f>VLOOKUP(Table2[[#This Row],[Customer ID]],Table2[#All],5,FALSE)</f>
        <v>No</v>
      </c>
      <c r="G1616" t="str">
        <f>VLOOKUP(Table2[[#This Row],[Customer ID]],Table2[#All],6,FALSE)</f>
        <v>No</v>
      </c>
      <c r="H1616">
        <f>VLOOKUP(Table2[[#This Row],[Customer ID]],Table2[#All],7,FALSE)</f>
        <v>0</v>
      </c>
      <c r="I1616" t="str">
        <f>VLOOKUP(Table2[[#This Row],[Customer ID]],Table2[#All],8,FALSE)</f>
        <v>No</v>
      </c>
      <c r="J1616" t="str">
        <f>VLOOKUP(Table2[[#This Row],[Customer ID]],Table2[#All],9,FALSE)</f>
        <v>Normalweight</v>
      </c>
      <c r="K1616" t="str">
        <f>VLOOKUP(Table2[[#This Row],[Customer ID]],Table2[#All],10,FALSE)</f>
        <v>Normal</v>
      </c>
    </row>
    <row r="1617" spans="1:11" ht="15.6" x14ac:dyDescent="0.3">
      <c r="A1617" s="1" t="s">
        <v>755</v>
      </c>
      <c r="B1617" t="str">
        <f>VLOOKUP('Customer Names'!A1617,'Customer Names'!$A$1:$E$2336,4,FALSE)</f>
        <v>Ms.  Jennifer A</v>
      </c>
      <c r="C1617">
        <f>VLOOKUP(Table2[[#This Row],[Customer ID]],Table2[#All],2,FALSE)</f>
        <v>19.28</v>
      </c>
      <c r="D1617">
        <f>VLOOKUP(Table2[[#This Row],[Customer ID]],Table2[#All],3,FALSE)</f>
        <v>11.85</v>
      </c>
      <c r="E1617" t="str">
        <f>VLOOKUP(Table2[[#This Row],[Customer ID]],Table2[#All],4,FALSE)</f>
        <v>No</v>
      </c>
      <c r="F1617" t="str">
        <f>VLOOKUP(Table2[[#This Row],[Customer ID]],Table2[#All],5,FALSE)</f>
        <v>No</v>
      </c>
      <c r="G1617" t="str">
        <f>VLOOKUP(Table2[[#This Row],[Customer ID]],Table2[#All],6,FALSE)</f>
        <v>No</v>
      </c>
      <c r="H1617">
        <f>VLOOKUP(Table2[[#This Row],[Customer ID]],Table2[#All],7,FALSE)</f>
        <v>2</v>
      </c>
      <c r="I1617" t="str">
        <f>VLOOKUP(Table2[[#This Row],[Customer ID]],Table2[#All],8,FALSE)</f>
        <v>No</v>
      </c>
      <c r="J1617" t="str">
        <f>VLOOKUP(Table2[[#This Row],[Customer ID]],Table2[#All],9,FALSE)</f>
        <v>Normalweight</v>
      </c>
      <c r="K1617" t="str">
        <f>VLOOKUP(Table2[[#This Row],[Customer ID]],Table2[#All],10,FALSE)</f>
        <v>Diabetes</v>
      </c>
    </row>
    <row r="1618" spans="1:11" ht="15.6" x14ac:dyDescent="0.3">
      <c r="A1618" s="1" t="s">
        <v>754</v>
      </c>
      <c r="B1618" t="str">
        <f>VLOOKUP('Customer Names'!A1618,'Customer Names'!$A$1:$E$2336,4,FALSE)</f>
        <v>Mr.  Leif S.</v>
      </c>
      <c r="C1618">
        <f>VLOOKUP(Table2[[#This Row],[Customer ID]],Table2[#All],2,FALSE)</f>
        <v>15.37</v>
      </c>
      <c r="D1618">
        <f>VLOOKUP(Table2[[#This Row],[Customer ID]],Table2[#All],3,FALSE)</f>
        <v>9.61</v>
      </c>
      <c r="E1618" t="str">
        <f>VLOOKUP(Table2[[#This Row],[Customer ID]],Table2[#All],4,FALSE)</f>
        <v>Yes</v>
      </c>
      <c r="F1618" t="str">
        <f>VLOOKUP(Table2[[#This Row],[Customer ID]],Table2[#All],5,FALSE)</f>
        <v>No</v>
      </c>
      <c r="G1618" t="str">
        <f>VLOOKUP(Table2[[#This Row],[Customer ID]],Table2[#All],6,FALSE)</f>
        <v>No</v>
      </c>
      <c r="H1618">
        <f>VLOOKUP(Table2[[#This Row],[Customer ID]],Table2[#All],7,FALSE)</f>
        <v>2</v>
      </c>
      <c r="I1618" t="str">
        <f>VLOOKUP(Table2[[#This Row],[Customer ID]],Table2[#All],8,FALSE)</f>
        <v>No</v>
      </c>
      <c r="J1618" t="str">
        <f>VLOOKUP(Table2[[#This Row],[Customer ID]],Table2[#All],9,FALSE)</f>
        <v>Underweight</v>
      </c>
      <c r="K1618" t="str">
        <f>VLOOKUP(Table2[[#This Row],[Customer ID]],Table2[#All],10,FALSE)</f>
        <v>Diabetes</v>
      </c>
    </row>
    <row r="1619" spans="1:11" ht="15.6" x14ac:dyDescent="0.3">
      <c r="A1619" s="1" t="s">
        <v>753</v>
      </c>
      <c r="B1619" t="str">
        <f>VLOOKUP('Customer Names'!A1619,'Customer Names'!$A$1:$E$2336,4,FALSE)</f>
        <v>Ms.  Stephanie A</v>
      </c>
      <c r="C1619">
        <f>VLOOKUP(Table2[[#This Row],[Customer ID]],Table2[#All],2,FALSE)</f>
        <v>18.71</v>
      </c>
      <c r="D1619">
        <f>VLOOKUP(Table2[[#This Row],[Customer ID]],Table2[#All],3,FALSE)</f>
        <v>5.29</v>
      </c>
      <c r="E1619" t="str">
        <f>VLOOKUP(Table2[[#This Row],[Customer ID]],Table2[#All],4,FALSE)</f>
        <v>Yes</v>
      </c>
      <c r="F1619" t="str">
        <f>VLOOKUP(Table2[[#This Row],[Customer ID]],Table2[#All],5,FALSE)</f>
        <v>No</v>
      </c>
      <c r="G1619" t="str">
        <f>VLOOKUP(Table2[[#This Row],[Customer ID]],Table2[#All],6,FALSE)</f>
        <v>No</v>
      </c>
      <c r="H1619">
        <f>VLOOKUP(Table2[[#This Row],[Customer ID]],Table2[#All],7,FALSE)</f>
        <v>0</v>
      </c>
      <c r="I1619" t="str">
        <f>VLOOKUP(Table2[[#This Row],[Customer ID]],Table2[#All],8,FALSE)</f>
        <v>No</v>
      </c>
      <c r="J1619" t="str">
        <f>VLOOKUP(Table2[[#This Row],[Customer ID]],Table2[#All],9,FALSE)</f>
        <v>Normalweight</v>
      </c>
      <c r="K1619" t="str">
        <f>VLOOKUP(Table2[[#This Row],[Customer ID]],Table2[#All],10,FALSE)</f>
        <v>Normal</v>
      </c>
    </row>
    <row r="1620" spans="1:11" ht="15.6" x14ac:dyDescent="0.3">
      <c r="A1620" s="1" t="s">
        <v>752</v>
      </c>
      <c r="B1620" t="str">
        <f>VLOOKUP('Customer Names'!A1620,'Customer Names'!$A$1:$E$2336,4,FALSE)</f>
        <v>Mr.  Bo</v>
      </c>
      <c r="C1620">
        <f>VLOOKUP(Table2[[#This Row],[Customer ID]],Table2[#All],2,FALSE)</f>
        <v>20.61</v>
      </c>
      <c r="D1620">
        <f>VLOOKUP(Table2[[#This Row],[Customer ID]],Table2[#All],3,FALSE)</f>
        <v>6.89</v>
      </c>
      <c r="E1620" t="str">
        <f>VLOOKUP(Table2[[#This Row],[Customer ID]],Table2[#All],4,FALSE)</f>
        <v>No</v>
      </c>
      <c r="F1620" t="str">
        <f>VLOOKUP(Table2[[#This Row],[Customer ID]],Table2[#All],5,FALSE)</f>
        <v>No</v>
      </c>
      <c r="G1620" t="str">
        <f>VLOOKUP(Table2[[#This Row],[Customer ID]],Table2[#All],6,FALSE)</f>
        <v>No</v>
      </c>
      <c r="H1620">
        <f>VLOOKUP(Table2[[#This Row],[Customer ID]],Table2[#All],7,FALSE)</f>
        <v>0</v>
      </c>
      <c r="I1620" t="str">
        <f>VLOOKUP(Table2[[#This Row],[Customer ID]],Table2[#All],8,FALSE)</f>
        <v>No</v>
      </c>
      <c r="J1620" t="str">
        <f>VLOOKUP(Table2[[#This Row],[Customer ID]],Table2[#All],9,FALSE)</f>
        <v>Normalweight</v>
      </c>
      <c r="K1620" t="str">
        <f>VLOOKUP(Table2[[#This Row],[Customer ID]],Table2[#All],10,FALSE)</f>
        <v>Diabetes</v>
      </c>
    </row>
    <row r="1621" spans="1:11" ht="15.6" x14ac:dyDescent="0.3">
      <c r="A1621" s="1" t="s">
        <v>751</v>
      </c>
      <c r="B1621" t="str">
        <f>VLOOKUP('Customer Names'!A1621,'Customer Names'!$A$1:$E$2336,4,FALSE)</f>
        <v>Ms.  Leah</v>
      </c>
      <c r="C1621">
        <f>VLOOKUP(Table2[[#This Row],[Customer ID]],Table2[#All],2,FALSE)</f>
        <v>15.99</v>
      </c>
      <c r="D1621">
        <f>VLOOKUP(Table2[[#This Row],[Customer ID]],Table2[#All],3,FALSE)</f>
        <v>4.57</v>
      </c>
      <c r="E1621" t="str">
        <f>VLOOKUP(Table2[[#This Row],[Customer ID]],Table2[#All],4,FALSE)</f>
        <v>Yes</v>
      </c>
      <c r="F1621" t="str">
        <f>VLOOKUP(Table2[[#This Row],[Customer ID]],Table2[#All],5,FALSE)</f>
        <v>No</v>
      </c>
      <c r="G1621" t="str">
        <f>VLOOKUP(Table2[[#This Row],[Customer ID]],Table2[#All],6,FALSE)</f>
        <v>Yes</v>
      </c>
      <c r="H1621">
        <f>VLOOKUP(Table2[[#This Row],[Customer ID]],Table2[#All],7,FALSE)</f>
        <v>1</v>
      </c>
      <c r="I1621" t="str">
        <f>VLOOKUP(Table2[[#This Row],[Customer ID]],Table2[#All],8,FALSE)</f>
        <v>No</v>
      </c>
      <c r="J1621" t="str">
        <f>VLOOKUP(Table2[[#This Row],[Customer ID]],Table2[#All],9,FALSE)</f>
        <v>Underweight</v>
      </c>
      <c r="K1621" t="str">
        <f>VLOOKUP(Table2[[#This Row],[Customer ID]],Table2[#All],10,FALSE)</f>
        <v>Normal</v>
      </c>
    </row>
    <row r="1622" spans="1:11" ht="15.6" x14ac:dyDescent="0.3">
      <c r="A1622" s="1" t="s">
        <v>750</v>
      </c>
      <c r="B1622" t="str">
        <f>VLOOKUP('Customer Names'!A1622,'Customer Names'!$A$1:$E$2336,4,FALSE)</f>
        <v>Ms.  Kara Lynne</v>
      </c>
      <c r="C1622">
        <f>VLOOKUP(Table2[[#This Row],[Customer ID]],Table2[#All],2,FALSE)</f>
        <v>33.155000000000001</v>
      </c>
      <c r="D1622">
        <f>VLOOKUP(Table2[[#This Row],[Customer ID]],Table2[#All],3,FALSE)</f>
        <v>4.32</v>
      </c>
      <c r="E1622" t="str">
        <f>VLOOKUP(Table2[[#This Row],[Customer ID]],Table2[#All],4,FALSE)</f>
        <v>No</v>
      </c>
      <c r="F1622" t="str">
        <f>VLOOKUP(Table2[[#This Row],[Customer ID]],Table2[#All],5,FALSE)</f>
        <v>No</v>
      </c>
      <c r="G1622" t="str">
        <f>VLOOKUP(Table2[[#This Row],[Customer ID]],Table2[#All],6,FALSE)</f>
        <v>No</v>
      </c>
      <c r="H1622">
        <f>VLOOKUP(Table2[[#This Row],[Customer ID]],Table2[#All],7,FALSE)</f>
        <v>0</v>
      </c>
      <c r="I1622" t="str">
        <f>VLOOKUP(Table2[[#This Row],[Customer ID]],Table2[#All],8,FALSE)</f>
        <v>No</v>
      </c>
      <c r="J1622" t="str">
        <f>VLOOKUP(Table2[[#This Row],[Customer ID]],Table2[#All],9,FALSE)</f>
        <v>Obesity</v>
      </c>
      <c r="K1622" t="str">
        <f>VLOOKUP(Table2[[#This Row],[Customer ID]],Table2[#All],10,FALSE)</f>
        <v>Normal</v>
      </c>
    </row>
    <row r="1623" spans="1:11" ht="15.6" x14ac:dyDescent="0.3">
      <c r="A1623" s="1" t="s">
        <v>749</v>
      </c>
      <c r="B1623" t="str">
        <f>VLOOKUP('Customer Names'!A1623,'Customer Names'!$A$1:$E$2336,4,FALSE)</f>
        <v>Mr.  Jeffrey</v>
      </c>
      <c r="C1623">
        <f>VLOOKUP(Table2[[#This Row],[Customer ID]],Table2[#All],2,FALSE)</f>
        <v>26.22</v>
      </c>
      <c r="D1623">
        <f>VLOOKUP(Table2[[#This Row],[Customer ID]],Table2[#All],3,FALSE)</f>
        <v>5.57</v>
      </c>
      <c r="E1623" t="str">
        <f>VLOOKUP(Table2[[#This Row],[Customer ID]],Table2[#All],4,FALSE)</f>
        <v>Yes</v>
      </c>
      <c r="F1623" t="str">
        <f>VLOOKUP(Table2[[#This Row],[Customer ID]],Table2[#All],5,FALSE)</f>
        <v>No</v>
      </c>
      <c r="G1623" t="str">
        <f>VLOOKUP(Table2[[#This Row],[Customer ID]],Table2[#All],6,FALSE)</f>
        <v>Yes</v>
      </c>
      <c r="H1623">
        <f>VLOOKUP(Table2[[#This Row],[Customer ID]],Table2[#All],7,FALSE)</f>
        <v>1</v>
      </c>
      <c r="I1623" t="str">
        <f>VLOOKUP(Table2[[#This Row],[Customer ID]],Table2[#All],8,FALSE)</f>
        <v>No</v>
      </c>
      <c r="J1623" t="str">
        <f>VLOOKUP(Table2[[#This Row],[Customer ID]],Table2[#All],9,FALSE)</f>
        <v>Overweight</v>
      </c>
      <c r="K1623" t="str">
        <f>VLOOKUP(Table2[[#This Row],[Customer ID]],Table2[#All],10,FALSE)</f>
        <v>Normal</v>
      </c>
    </row>
    <row r="1624" spans="1:11" ht="15.6" x14ac:dyDescent="0.3">
      <c r="A1624" s="1" t="s">
        <v>748</v>
      </c>
      <c r="B1624" t="str">
        <f>VLOOKUP('Customer Names'!A1624,'Customer Names'!$A$1:$E$2336,4,FALSE)</f>
        <v>Mr.  Justin</v>
      </c>
      <c r="C1624">
        <f>VLOOKUP(Table2[[#This Row],[Customer ID]],Table2[#All],2,FALSE)</f>
        <v>21.85</v>
      </c>
      <c r="D1624">
        <f>VLOOKUP(Table2[[#This Row],[Customer ID]],Table2[#All],3,FALSE)</f>
        <v>5.26</v>
      </c>
      <c r="E1624" t="str">
        <f>VLOOKUP(Table2[[#This Row],[Customer ID]],Table2[#All],4,FALSE)</f>
        <v>Yes</v>
      </c>
      <c r="F1624" t="str">
        <f>VLOOKUP(Table2[[#This Row],[Customer ID]],Table2[#All],5,FALSE)</f>
        <v>No</v>
      </c>
      <c r="G1624" t="str">
        <f>VLOOKUP(Table2[[#This Row],[Customer ID]],Table2[#All],6,FALSE)</f>
        <v>Yes</v>
      </c>
      <c r="H1624">
        <f>VLOOKUP(Table2[[#This Row],[Customer ID]],Table2[#All],7,FALSE)</f>
        <v>1</v>
      </c>
      <c r="I1624" t="str">
        <f>VLOOKUP(Table2[[#This Row],[Customer ID]],Table2[#All],8,FALSE)</f>
        <v>No</v>
      </c>
      <c r="J1624" t="str">
        <f>VLOOKUP(Table2[[#This Row],[Customer ID]],Table2[#All],9,FALSE)</f>
        <v>Normalweight</v>
      </c>
      <c r="K1624" t="str">
        <f>VLOOKUP(Table2[[#This Row],[Customer ID]],Table2[#All],10,FALSE)</f>
        <v>Normal</v>
      </c>
    </row>
    <row r="1625" spans="1:11" ht="15.6" x14ac:dyDescent="0.3">
      <c r="A1625" s="1" t="s">
        <v>747</v>
      </c>
      <c r="B1625" t="str">
        <f>VLOOKUP('Customer Names'!A1625,'Customer Names'!$A$1:$E$2336,4,FALSE)</f>
        <v>Ms.  Emily</v>
      </c>
      <c r="C1625">
        <f>VLOOKUP(Table2[[#This Row],[Customer ID]],Table2[#All],2,FALSE)</f>
        <v>30.495000000000001</v>
      </c>
      <c r="D1625">
        <f>VLOOKUP(Table2[[#This Row],[Customer ID]],Table2[#All],3,FALSE)</f>
        <v>6.25</v>
      </c>
      <c r="E1625" t="str">
        <f>VLOOKUP(Table2[[#This Row],[Customer ID]],Table2[#All],4,FALSE)</f>
        <v>No</v>
      </c>
      <c r="F1625" t="str">
        <f>VLOOKUP(Table2[[#This Row],[Customer ID]],Table2[#All],5,FALSE)</f>
        <v>No</v>
      </c>
      <c r="G1625" t="str">
        <f>VLOOKUP(Table2[[#This Row],[Customer ID]],Table2[#All],6,FALSE)</f>
        <v>No</v>
      </c>
      <c r="H1625">
        <f>VLOOKUP(Table2[[#This Row],[Customer ID]],Table2[#All],7,FALSE)</f>
        <v>0</v>
      </c>
      <c r="I1625" t="str">
        <f>VLOOKUP(Table2[[#This Row],[Customer ID]],Table2[#All],8,FALSE)</f>
        <v>No</v>
      </c>
      <c r="J1625" t="str">
        <f>VLOOKUP(Table2[[#This Row],[Customer ID]],Table2[#All],9,FALSE)</f>
        <v>Obesity</v>
      </c>
      <c r="K1625" t="str">
        <f>VLOOKUP(Table2[[#This Row],[Customer ID]],Table2[#All],10,FALSE)</f>
        <v>Prediabetes</v>
      </c>
    </row>
    <row r="1626" spans="1:11" ht="15.6" x14ac:dyDescent="0.3">
      <c r="A1626" s="1" t="s">
        <v>746</v>
      </c>
      <c r="B1626" t="str">
        <f>VLOOKUP('Customer Names'!A1626,'Customer Names'!$A$1:$E$2336,4,FALSE)</f>
        <v>Ms.  Rebecca</v>
      </c>
      <c r="C1626">
        <f>VLOOKUP(Table2[[#This Row],[Customer ID]],Table2[#All],2,FALSE)</f>
        <v>34.104999999999997</v>
      </c>
      <c r="D1626">
        <f>VLOOKUP(Table2[[#This Row],[Customer ID]],Table2[#All],3,FALSE)</f>
        <v>5.67</v>
      </c>
      <c r="E1626" t="str">
        <f>VLOOKUP(Table2[[#This Row],[Customer ID]],Table2[#All],4,FALSE)</f>
        <v>Yes</v>
      </c>
      <c r="F1626" t="str">
        <f>VLOOKUP(Table2[[#This Row],[Customer ID]],Table2[#All],5,FALSE)</f>
        <v>No</v>
      </c>
      <c r="G1626" t="str">
        <f>VLOOKUP(Table2[[#This Row],[Customer ID]],Table2[#All],6,FALSE)</f>
        <v>No</v>
      </c>
      <c r="H1626">
        <f>VLOOKUP(Table2[[#This Row],[Customer ID]],Table2[#All],7,FALSE)</f>
        <v>0</v>
      </c>
      <c r="I1626" t="str">
        <f>VLOOKUP(Table2[[#This Row],[Customer ID]],Table2[#All],8,FALSE)</f>
        <v>No</v>
      </c>
      <c r="J1626" t="str">
        <f>VLOOKUP(Table2[[#This Row],[Customer ID]],Table2[#All],9,FALSE)</f>
        <v>Obesity</v>
      </c>
      <c r="K1626" t="str">
        <f>VLOOKUP(Table2[[#This Row],[Customer ID]],Table2[#All],10,FALSE)</f>
        <v>Normal</v>
      </c>
    </row>
    <row r="1627" spans="1:11" ht="15.6" x14ac:dyDescent="0.3">
      <c r="A1627" s="1" t="s">
        <v>745</v>
      </c>
      <c r="B1627" t="str">
        <f>VLOOKUP('Customer Names'!A1627,'Customer Names'!$A$1:$E$2336,4,FALSE)</f>
        <v>Mrs.  Allie</v>
      </c>
      <c r="C1627">
        <f>VLOOKUP(Table2[[#This Row],[Customer ID]],Table2[#All],2,FALSE)</f>
        <v>32.770000000000003</v>
      </c>
      <c r="D1627">
        <f>VLOOKUP(Table2[[#This Row],[Customer ID]],Table2[#All],3,FALSE)</f>
        <v>4.42</v>
      </c>
      <c r="E1627" t="str">
        <f>VLOOKUP(Table2[[#This Row],[Customer ID]],Table2[#All],4,FALSE)</f>
        <v>Yes</v>
      </c>
      <c r="F1627" t="str">
        <f>VLOOKUP(Table2[[#This Row],[Customer ID]],Table2[#All],5,FALSE)</f>
        <v>No</v>
      </c>
      <c r="G1627" t="str">
        <f>VLOOKUP(Table2[[#This Row],[Customer ID]],Table2[#All],6,FALSE)</f>
        <v>No</v>
      </c>
      <c r="H1627">
        <f>VLOOKUP(Table2[[#This Row],[Customer ID]],Table2[#All],7,FALSE)</f>
        <v>1</v>
      </c>
      <c r="I1627" t="str">
        <f>VLOOKUP(Table2[[#This Row],[Customer ID]],Table2[#All],8,FALSE)</f>
        <v>No</v>
      </c>
      <c r="J1627" t="str">
        <f>VLOOKUP(Table2[[#This Row],[Customer ID]],Table2[#All],9,FALSE)</f>
        <v>Obesity</v>
      </c>
      <c r="K1627" t="str">
        <f>VLOOKUP(Table2[[#This Row],[Customer ID]],Table2[#All],10,FALSE)</f>
        <v>Normal</v>
      </c>
    </row>
    <row r="1628" spans="1:11" ht="15.6" x14ac:dyDescent="0.3">
      <c r="A1628" s="1" t="s">
        <v>744</v>
      </c>
      <c r="B1628" t="str">
        <f>VLOOKUP('Customer Names'!A1628,'Customer Names'!$A$1:$E$2336,4,FALSE)</f>
        <v>Ms.  Trasi</v>
      </c>
      <c r="C1628">
        <f>VLOOKUP(Table2[[#This Row],[Customer ID]],Table2[#All],2,FALSE)</f>
        <v>16.850000000000001</v>
      </c>
      <c r="D1628">
        <f>VLOOKUP(Table2[[#This Row],[Customer ID]],Table2[#All],3,FALSE)</f>
        <v>11.75</v>
      </c>
      <c r="E1628" t="str">
        <f>VLOOKUP(Table2[[#This Row],[Customer ID]],Table2[#All],4,FALSE)</f>
        <v>Yes</v>
      </c>
      <c r="F1628" t="str">
        <f>VLOOKUP(Table2[[#This Row],[Customer ID]],Table2[#All],5,FALSE)</f>
        <v>No</v>
      </c>
      <c r="G1628" t="str">
        <f>VLOOKUP(Table2[[#This Row],[Customer ID]],Table2[#All],6,FALSE)</f>
        <v>No</v>
      </c>
      <c r="H1628">
        <f>VLOOKUP(Table2[[#This Row],[Customer ID]],Table2[#All],7,FALSE)</f>
        <v>2</v>
      </c>
      <c r="I1628" t="str">
        <f>VLOOKUP(Table2[[#This Row],[Customer ID]],Table2[#All],8,FALSE)</f>
        <v>No</v>
      </c>
      <c r="J1628" t="str">
        <f>VLOOKUP(Table2[[#This Row],[Customer ID]],Table2[#All],9,FALSE)</f>
        <v>Underweight</v>
      </c>
      <c r="K1628" t="str">
        <f>VLOOKUP(Table2[[#This Row],[Customer ID]],Table2[#All],10,FALSE)</f>
        <v>Diabetes</v>
      </c>
    </row>
    <row r="1629" spans="1:11" ht="15.6" x14ac:dyDescent="0.3">
      <c r="A1629" s="1" t="s">
        <v>743</v>
      </c>
      <c r="B1629" t="str">
        <f>VLOOKUP('Customer Names'!A1629,'Customer Names'!$A$1:$E$2336,4,FALSE)</f>
        <v>Mr.  Kevin</v>
      </c>
      <c r="C1629">
        <f>VLOOKUP(Table2[[#This Row],[Customer ID]],Table2[#All],2,FALSE)</f>
        <v>34.700000000000003</v>
      </c>
      <c r="D1629">
        <f>VLOOKUP(Table2[[#This Row],[Customer ID]],Table2[#All],3,FALSE)</f>
        <v>6.06</v>
      </c>
      <c r="E1629" t="str">
        <f>VLOOKUP(Table2[[#This Row],[Customer ID]],Table2[#All],4,FALSE)</f>
        <v>No</v>
      </c>
      <c r="F1629" t="str">
        <f>VLOOKUP(Table2[[#This Row],[Customer ID]],Table2[#All],5,FALSE)</f>
        <v>No</v>
      </c>
      <c r="G1629" t="str">
        <f>VLOOKUP(Table2[[#This Row],[Customer ID]],Table2[#All],6,FALSE)</f>
        <v>No</v>
      </c>
      <c r="H1629">
        <f>VLOOKUP(Table2[[#This Row],[Customer ID]],Table2[#All],7,FALSE)</f>
        <v>1</v>
      </c>
      <c r="I1629" t="str">
        <f>VLOOKUP(Table2[[#This Row],[Customer ID]],Table2[#All],8,FALSE)</f>
        <v>No</v>
      </c>
      <c r="J1629" t="str">
        <f>VLOOKUP(Table2[[#This Row],[Customer ID]],Table2[#All],9,FALSE)</f>
        <v>Obesity</v>
      </c>
      <c r="K1629" t="str">
        <f>VLOOKUP(Table2[[#This Row],[Customer ID]],Table2[#All],10,FALSE)</f>
        <v>Prediabetes</v>
      </c>
    </row>
    <row r="1630" spans="1:11" ht="15.6" x14ac:dyDescent="0.3">
      <c r="A1630" s="1" t="s">
        <v>742</v>
      </c>
      <c r="B1630" t="str">
        <f>VLOOKUP('Customer Names'!A1630,'Customer Names'!$A$1:$E$2336,4,FALSE)</f>
        <v>Mr.  Fernando</v>
      </c>
      <c r="C1630">
        <f>VLOOKUP(Table2[[#This Row],[Customer ID]],Table2[#All],2,FALSE)</f>
        <v>37.049999999999997</v>
      </c>
      <c r="D1630">
        <f>VLOOKUP(Table2[[#This Row],[Customer ID]],Table2[#All],3,FALSE)</f>
        <v>5.48</v>
      </c>
      <c r="E1630" t="str">
        <f>VLOOKUP(Table2[[#This Row],[Customer ID]],Table2[#All],4,FALSE)</f>
        <v>No</v>
      </c>
      <c r="F1630" t="str">
        <f>VLOOKUP(Table2[[#This Row],[Customer ID]],Table2[#All],5,FALSE)</f>
        <v>No</v>
      </c>
      <c r="G1630" t="str">
        <f>VLOOKUP(Table2[[#This Row],[Customer ID]],Table2[#All],6,FALSE)</f>
        <v>No</v>
      </c>
      <c r="H1630">
        <f>VLOOKUP(Table2[[#This Row],[Customer ID]],Table2[#All],7,FALSE)</f>
        <v>1</v>
      </c>
      <c r="I1630" t="str">
        <f>VLOOKUP(Table2[[#This Row],[Customer ID]],Table2[#All],8,FALSE)</f>
        <v>No</v>
      </c>
      <c r="J1630" t="str">
        <f>VLOOKUP(Table2[[#This Row],[Customer ID]],Table2[#All],9,FALSE)</f>
        <v>Obesity</v>
      </c>
      <c r="K1630" t="str">
        <f>VLOOKUP(Table2[[#This Row],[Customer ID]],Table2[#All],10,FALSE)</f>
        <v>Normal</v>
      </c>
    </row>
    <row r="1631" spans="1:11" ht="15.6" x14ac:dyDescent="0.3">
      <c r="A1631" s="1" t="s">
        <v>741</v>
      </c>
      <c r="B1631" t="str">
        <f>VLOOKUP('Customer Names'!A1631,'Customer Names'!$A$1:$E$2336,4,FALSE)</f>
        <v>Ms.  Ieva</v>
      </c>
      <c r="C1631">
        <f>VLOOKUP(Table2[[#This Row],[Customer ID]],Table2[#All],2,FALSE)</f>
        <v>18.78</v>
      </c>
      <c r="D1631">
        <f>VLOOKUP(Table2[[#This Row],[Customer ID]],Table2[#All],3,FALSE)</f>
        <v>4.45</v>
      </c>
      <c r="E1631" t="str">
        <f>VLOOKUP(Table2[[#This Row],[Customer ID]],Table2[#All],4,FALSE)</f>
        <v>No</v>
      </c>
      <c r="F1631" t="str">
        <f>VLOOKUP(Table2[[#This Row],[Customer ID]],Table2[#All],5,FALSE)</f>
        <v>No</v>
      </c>
      <c r="G1631" t="str">
        <f>VLOOKUP(Table2[[#This Row],[Customer ID]],Table2[#All],6,FALSE)</f>
        <v>Yes</v>
      </c>
      <c r="H1631">
        <f>VLOOKUP(Table2[[#This Row],[Customer ID]],Table2[#All],7,FALSE)</f>
        <v>1</v>
      </c>
      <c r="I1631" t="str">
        <f>VLOOKUP(Table2[[#This Row],[Customer ID]],Table2[#All],8,FALSE)</f>
        <v>No</v>
      </c>
      <c r="J1631" t="str">
        <f>VLOOKUP(Table2[[#This Row],[Customer ID]],Table2[#All],9,FALSE)</f>
        <v>Normalweight</v>
      </c>
      <c r="K1631" t="str">
        <f>VLOOKUP(Table2[[#This Row],[Customer ID]],Table2[#All],10,FALSE)</f>
        <v>Normal</v>
      </c>
    </row>
    <row r="1632" spans="1:11" ht="15.6" x14ac:dyDescent="0.3">
      <c r="A1632" s="1" t="s">
        <v>740</v>
      </c>
      <c r="B1632" t="str">
        <f>VLOOKUP('Customer Names'!A1632,'Customer Names'!$A$1:$E$2336,4,FALSE)</f>
        <v>Mr.  Chris</v>
      </c>
      <c r="C1632">
        <f>VLOOKUP(Table2[[#This Row],[Customer ID]],Table2[#All],2,FALSE)</f>
        <v>28.024999999999999</v>
      </c>
      <c r="D1632">
        <f>VLOOKUP(Table2[[#This Row],[Customer ID]],Table2[#All],3,FALSE)</f>
        <v>5</v>
      </c>
      <c r="E1632" t="str">
        <f>VLOOKUP(Table2[[#This Row],[Customer ID]],Table2[#All],4,FALSE)</f>
        <v>No</v>
      </c>
      <c r="F1632" t="str">
        <f>VLOOKUP(Table2[[#This Row],[Customer ID]],Table2[#All],5,FALSE)</f>
        <v>No</v>
      </c>
      <c r="G1632" t="str">
        <f>VLOOKUP(Table2[[#This Row],[Customer ID]],Table2[#All],6,FALSE)</f>
        <v>No</v>
      </c>
      <c r="H1632">
        <f>VLOOKUP(Table2[[#This Row],[Customer ID]],Table2[#All],7,FALSE)</f>
        <v>1</v>
      </c>
      <c r="I1632" t="str">
        <f>VLOOKUP(Table2[[#This Row],[Customer ID]],Table2[#All],8,FALSE)</f>
        <v>No</v>
      </c>
      <c r="J1632" t="str">
        <f>VLOOKUP(Table2[[#This Row],[Customer ID]],Table2[#All],9,FALSE)</f>
        <v>Overweight</v>
      </c>
      <c r="K1632" t="str">
        <f>VLOOKUP(Table2[[#This Row],[Customer ID]],Table2[#All],10,FALSE)</f>
        <v>Normal</v>
      </c>
    </row>
    <row r="1633" spans="1:11" ht="15.6" x14ac:dyDescent="0.3">
      <c r="A1633" s="1" t="s">
        <v>739</v>
      </c>
      <c r="B1633" t="str">
        <f>VLOOKUP('Customer Names'!A1633,'Customer Names'!$A$1:$E$2336,4,FALSE)</f>
        <v>Mr.  Drew L.</v>
      </c>
      <c r="C1633">
        <f>VLOOKUP(Table2[[#This Row],[Customer ID]],Table2[#All],2,FALSE)</f>
        <v>35.090000000000003</v>
      </c>
      <c r="D1633">
        <f>VLOOKUP(Table2[[#This Row],[Customer ID]],Table2[#All],3,FALSE)</f>
        <v>5.84</v>
      </c>
      <c r="E1633" t="str">
        <f>VLOOKUP(Table2[[#This Row],[Customer ID]],Table2[#All],4,FALSE)</f>
        <v>No</v>
      </c>
      <c r="F1633" t="str">
        <f>VLOOKUP(Table2[[#This Row],[Customer ID]],Table2[#All],5,FALSE)</f>
        <v>No</v>
      </c>
      <c r="G1633" t="str">
        <f>VLOOKUP(Table2[[#This Row],[Customer ID]],Table2[#All],6,FALSE)</f>
        <v>No</v>
      </c>
      <c r="H1633">
        <f>VLOOKUP(Table2[[#This Row],[Customer ID]],Table2[#All],7,FALSE)</f>
        <v>0</v>
      </c>
      <c r="I1633" t="str">
        <f>VLOOKUP(Table2[[#This Row],[Customer ID]],Table2[#All],8,FALSE)</f>
        <v>No</v>
      </c>
      <c r="J1633" t="str">
        <f>VLOOKUP(Table2[[#This Row],[Customer ID]],Table2[#All],9,FALSE)</f>
        <v>Obesity</v>
      </c>
      <c r="K1633" t="str">
        <f>VLOOKUP(Table2[[#This Row],[Customer ID]],Table2[#All],10,FALSE)</f>
        <v>Prediabetes</v>
      </c>
    </row>
    <row r="1634" spans="1:11" ht="15.6" x14ac:dyDescent="0.3">
      <c r="A1634" s="1" t="s">
        <v>738</v>
      </c>
      <c r="B1634" t="str">
        <f>VLOOKUP('Customer Names'!A1634,'Customer Names'!$A$1:$E$2336,4,FALSE)</f>
        <v>Ms.  Christina</v>
      </c>
      <c r="C1634">
        <f>VLOOKUP(Table2[[#This Row],[Customer ID]],Table2[#All],2,FALSE)</f>
        <v>34.42</v>
      </c>
      <c r="D1634">
        <f>VLOOKUP(Table2[[#This Row],[Customer ID]],Table2[#All],3,FALSE)</f>
        <v>5.21</v>
      </c>
      <c r="E1634" t="str">
        <f>VLOOKUP(Table2[[#This Row],[Customer ID]],Table2[#All],4,FALSE)</f>
        <v>Yes</v>
      </c>
      <c r="F1634" t="str">
        <f>VLOOKUP(Table2[[#This Row],[Customer ID]],Table2[#All],5,FALSE)</f>
        <v>No</v>
      </c>
      <c r="G1634" t="str">
        <f>VLOOKUP(Table2[[#This Row],[Customer ID]],Table2[#All],6,FALSE)</f>
        <v>No</v>
      </c>
      <c r="H1634">
        <f>VLOOKUP(Table2[[#This Row],[Customer ID]],Table2[#All],7,FALSE)</f>
        <v>0</v>
      </c>
      <c r="I1634" t="str">
        <f>VLOOKUP(Table2[[#This Row],[Customer ID]],Table2[#All],8,FALSE)</f>
        <v>No</v>
      </c>
      <c r="J1634" t="str">
        <f>VLOOKUP(Table2[[#This Row],[Customer ID]],Table2[#All],9,FALSE)</f>
        <v>Obesity</v>
      </c>
      <c r="K1634" t="str">
        <f>VLOOKUP(Table2[[#This Row],[Customer ID]],Table2[#All],10,FALSE)</f>
        <v>Normal</v>
      </c>
    </row>
    <row r="1635" spans="1:11" ht="15.6" x14ac:dyDescent="0.3">
      <c r="A1635" s="1" t="s">
        <v>737</v>
      </c>
      <c r="B1635" t="str">
        <f>VLOOKUP('Customer Names'!A1635,'Customer Names'!$A$1:$E$2336,4,FALSE)</f>
        <v>Mr.  Alexander G</v>
      </c>
      <c r="C1635">
        <f>VLOOKUP(Table2[[#This Row],[Customer ID]],Table2[#All],2,FALSE)</f>
        <v>29.4</v>
      </c>
      <c r="D1635">
        <f>VLOOKUP(Table2[[#This Row],[Customer ID]],Table2[#All],3,FALSE)</f>
        <v>4.26</v>
      </c>
      <c r="E1635" t="str">
        <f>VLOOKUP(Table2[[#This Row],[Customer ID]],Table2[#All],4,FALSE)</f>
        <v>No</v>
      </c>
      <c r="F1635" t="str">
        <f>VLOOKUP(Table2[[#This Row],[Customer ID]],Table2[#All],5,FALSE)</f>
        <v>No</v>
      </c>
      <c r="G1635" t="str">
        <f>VLOOKUP(Table2[[#This Row],[Customer ID]],Table2[#All],6,FALSE)</f>
        <v>No</v>
      </c>
      <c r="H1635">
        <f>VLOOKUP(Table2[[#This Row],[Customer ID]],Table2[#All],7,FALSE)</f>
        <v>0</v>
      </c>
      <c r="I1635" t="str">
        <f>VLOOKUP(Table2[[#This Row],[Customer ID]],Table2[#All],8,FALSE)</f>
        <v>No</v>
      </c>
      <c r="J1635" t="str">
        <f>VLOOKUP(Table2[[#This Row],[Customer ID]],Table2[#All],9,FALSE)</f>
        <v>Overweight</v>
      </c>
      <c r="K1635" t="str">
        <f>VLOOKUP(Table2[[#This Row],[Customer ID]],Table2[#All],10,FALSE)</f>
        <v>Normal</v>
      </c>
    </row>
    <row r="1636" spans="1:11" ht="15.6" x14ac:dyDescent="0.3">
      <c r="A1636" s="1" t="s">
        <v>736</v>
      </c>
      <c r="B1636" t="str">
        <f>VLOOKUP('Customer Names'!A1636,'Customer Names'!$A$1:$E$2336,4,FALSE)</f>
        <v>Ms.  Meaghan</v>
      </c>
      <c r="C1636">
        <f>VLOOKUP(Table2[[#This Row],[Customer ID]],Table2[#All],2,FALSE)</f>
        <v>21.31</v>
      </c>
      <c r="D1636">
        <f>VLOOKUP(Table2[[#This Row],[Customer ID]],Table2[#All],3,FALSE)</f>
        <v>4.17</v>
      </c>
      <c r="E1636" t="str">
        <f>VLOOKUP(Table2[[#This Row],[Customer ID]],Table2[#All],4,FALSE)</f>
        <v>No</v>
      </c>
      <c r="F1636" t="str">
        <f>VLOOKUP(Table2[[#This Row],[Customer ID]],Table2[#All],5,FALSE)</f>
        <v>No</v>
      </c>
      <c r="G1636" t="str">
        <f>VLOOKUP(Table2[[#This Row],[Customer ID]],Table2[#All],6,FALSE)</f>
        <v>No</v>
      </c>
      <c r="H1636">
        <f>VLOOKUP(Table2[[#This Row],[Customer ID]],Table2[#All],7,FALSE)</f>
        <v>0</v>
      </c>
      <c r="I1636" t="str">
        <f>VLOOKUP(Table2[[#This Row],[Customer ID]],Table2[#All],8,FALSE)</f>
        <v>No</v>
      </c>
      <c r="J1636" t="str">
        <f>VLOOKUP(Table2[[#This Row],[Customer ID]],Table2[#All],9,FALSE)</f>
        <v>Normalweight</v>
      </c>
      <c r="K1636" t="str">
        <f>VLOOKUP(Table2[[#This Row],[Customer ID]],Table2[#All],10,FALSE)</f>
        <v>Normal</v>
      </c>
    </row>
    <row r="1637" spans="1:11" ht="15.6" x14ac:dyDescent="0.3">
      <c r="A1637" s="1" t="s">
        <v>735</v>
      </c>
      <c r="B1637" t="str">
        <f>VLOOKUP('Customer Names'!A1637,'Customer Names'!$A$1:$E$2336,4,FALSE)</f>
        <v>Ms.  Kristin</v>
      </c>
      <c r="C1637">
        <f>VLOOKUP(Table2[[#This Row],[Customer ID]],Table2[#All],2,FALSE)</f>
        <v>19.559999999999999</v>
      </c>
      <c r="D1637">
        <f>VLOOKUP(Table2[[#This Row],[Customer ID]],Table2[#All],3,FALSE)</f>
        <v>11.96</v>
      </c>
      <c r="E1637" t="str">
        <f>VLOOKUP(Table2[[#This Row],[Customer ID]],Table2[#All],4,FALSE)</f>
        <v>No</v>
      </c>
      <c r="F1637" t="str">
        <f>VLOOKUP(Table2[[#This Row],[Customer ID]],Table2[#All],5,FALSE)</f>
        <v>No</v>
      </c>
      <c r="G1637" t="str">
        <f>VLOOKUP(Table2[[#This Row],[Customer ID]],Table2[#All],6,FALSE)</f>
        <v>No</v>
      </c>
      <c r="H1637">
        <f>VLOOKUP(Table2[[#This Row],[Customer ID]],Table2[#All],7,FALSE)</f>
        <v>0</v>
      </c>
      <c r="I1637" t="str">
        <f>VLOOKUP(Table2[[#This Row],[Customer ID]],Table2[#All],8,FALSE)</f>
        <v>No</v>
      </c>
      <c r="J1637" t="str">
        <f>VLOOKUP(Table2[[#This Row],[Customer ID]],Table2[#All],9,FALSE)</f>
        <v>Normalweight</v>
      </c>
      <c r="K1637" t="str">
        <f>VLOOKUP(Table2[[#This Row],[Customer ID]],Table2[#All],10,FALSE)</f>
        <v>Diabetes</v>
      </c>
    </row>
    <row r="1638" spans="1:11" ht="15.6" x14ac:dyDescent="0.3">
      <c r="A1638" s="1" t="s">
        <v>734</v>
      </c>
      <c r="B1638" t="str">
        <f>VLOOKUP('Customer Names'!A1638,'Customer Names'!$A$1:$E$2336,4,FALSE)</f>
        <v>Ms.  Andrea K.</v>
      </c>
      <c r="C1638">
        <f>VLOOKUP(Table2[[#This Row],[Customer ID]],Table2[#All],2,FALSE)</f>
        <v>37.335000000000001</v>
      </c>
      <c r="D1638">
        <f>VLOOKUP(Table2[[#This Row],[Customer ID]],Table2[#All],3,FALSE)</f>
        <v>6.26</v>
      </c>
      <c r="E1638" t="str">
        <f>VLOOKUP(Table2[[#This Row],[Customer ID]],Table2[#All],4,FALSE)</f>
        <v>Yes</v>
      </c>
      <c r="F1638" t="str">
        <f>VLOOKUP(Table2[[#This Row],[Customer ID]],Table2[#All],5,FALSE)</f>
        <v>No</v>
      </c>
      <c r="G1638" t="str">
        <f>VLOOKUP(Table2[[#This Row],[Customer ID]],Table2[#All],6,FALSE)</f>
        <v>No</v>
      </c>
      <c r="H1638">
        <f>VLOOKUP(Table2[[#This Row],[Customer ID]],Table2[#All],7,FALSE)</f>
        <v>1</v>
      </c>
      <c r="I1638" t="str">
        <f>VLOOKUP(Table2[[#This Row],[Customer ID]],Table2[#All],8,FALSE)</f>
        <v>No</v>
      </c>
      <c r="J1638" t="str">
        <f>VLOOKUP(Table2[[#This Row],[Customer ID]],Table2[#All],9,FALSE)</f>
        <v>Obesity</v>
      </c>
      <c r="K1638" t="str">
        <f>VLOOKUP(Table2[[#This Row],[Customer ID]],Table2[#All],10,FALSE)</f>
        <v>Prediabetes</v>
      </c>
    </row>
    <row r="1639" spans="1:11" ht="15.6" x14ac:dyDescent="0.3">
      <c r="A1639" s="1" t="s">
        <v>733</v>
      </c>
      <c r="B1639" t="str">
        <f>VLOOKUP('Customer Names'!A1639,'Customer Names'!$A$1:$E$2336,4,FALSE)</f>
        <v>Ms.  Kris</v>
      </c>
      <c r="C1639">
        <f>VLOOKUP(Table2[[#This Row],[Customer ID]],Table2[#All],2,FALSE)</f>
        <v>19.53</v>
      </c>
      <c r="D1639">
        <f>VLOOKUP(Table2[[#This Row],[Customer ID]],Table2[#All],3,FALSE)</f>
        <v>11.68</v>
      </c>
      <c r="E1639" t="str">
        <f>VLOOKUP(Table2[[#This Row],[Customer ID]],Table2[#All],4,FALSE)</f>
        <v>No</v>
      </c>
      <c r="F1639" t="str">
        <f>VLOOKUP(Table2[[#This Row],[Customer ID]],Table2[#All],5,FALSE)</f>
        <v>No</v>
      </c>
      <c r="G1639" t="str">
        <f>VLOOKUP(Table2[[#This Row],[Customer ID]],Table2[#All],6,FALSE)</f>
        <v>No</v>
      </c>
      <c r="H1639">
        <f>VLOOKUP(Table2[[#This Row],[Customer ID]],Table2[#All],7,FALSE)</f>
        <v>0</v>
      </c>
      <c r="I1639" t="str">
        <f>VLOOKUP(Table2[[#This Row],[Customer ID]],Table2[#All],8,FALSE)</f>
        <v>No</v>
      </c>
      <c r="J1639" t="str">
        <f>VLOOKUP(Table2[[#This Row],[Customer ID]],Table2[#All],9,FALSE)</f>
        <v>Normalweight</v>
      </c>
      <c r="K1639" t="str">
        <f>VLOOKUP(Table2[[#This Row],[Customer ID]],Table2[#All],10,FALSE)</f>
        <v>Diabetes</v>
      </c>
    </row>
    <row r="1640" spans="1:11" ht="15.6" x14ac:dyDescent="0.3">
      <c r="A1640" s="1" t="s">
        <v>732</v>
      </c>
      <c r="B1640" t="str">
        <f>VLOOKUP('Customer Names'!A1640,'Customer Names'!$A$1:$E$2336,4,FALSE)</f>
        <v>Mr.  Alden W</v>
      </c>
      <c r="C1640">
        <f>VLOOKUP(Table2[[#This Row],[Customer ID]],Table2[#All],2,FALSE)</f>
        <v>34.1</v>
      </c>
      <c r="D1640">
        <f>VLOOKUP(Table2[[#This Row],[Customer ID]],Table2[#All],3,FALSE)</f>
        <v>5.16</v>
      </c>
      <c r="E1640" t="str">
        <f>VLOOKUP(Table2[[#This Row],[Customer ID]],Table2[#All],4,FALSE)</f>
        <v>No</v>
      </c>
      <c r="F1640" t="str">
        <f>VLOOKUP(Table2[[#This Row],[Customer ID]],Table2[#All],5,FALSE)</f>
        <v>No</v>
      </c>
      <c r="G1640" t="str">
        <f>VLOOKUP(Table2[[#This Row],[Customer ID]],Table2[#All],6,FALSE)</f>
        <v>No</v>
      </c>
      <c r="H1640">
        <f>VLOOKUP(Table2[[#This Row],[Customer ID]],Table2[#All],7,FALSE)</f>
        <v>0</v>
      </c>
      <c r="I1640" t="str">
        <f>VLOOKUP(Table2[[#This Row],[Customer ID]],Table2[#All],8,FALSE)</f>
        <v>No</v>
      </c>
      <c r="J1640" t="str">
        <f>VLOOKUP(Table2[[#This Row],[Customer ID]],Table2[#All],9,FALSE)</f>
        <v>Obesity</v>
      </c>
      <c r="K1640" t="str">
        <f>VLOOKUP(Table2[[#This Row],[Customer ID]],Table2[#All],10,FALSE)</f>
        <v>Normal</v>
      </c>
    </row>
    <row r="1641" spans="1:11" ht="15.6" x14ac:dyDescent="0.3">
      <c r="A1641" s="1" t="s">
        <v>731</v>
      </c>
      <c r="B1641" t="str">
        <f>VLOOKUP('Customer Names'!A1641,'Customer Names'!$A$1:$E$2336,4,FALSE)</f>
        <v>Ms.  Suzanne M</v>
      </c>
      <c r="C1641">
        <f>VLOOKUP(Table2[[#This Row],[Customer ID]],Table2[#All],2,FALSE)</f>
        <v>16.5</v>
      </c>
      <c r="D1641">
        <f>VLOOKUP(Table2[[#This Row],[Customer ID]],Table2[#All],3,FALSE)</f>
        <v>6.9</v>
      </c>
      <c r="E1641" t="str">
        <f>VLOOKUP(Table2[[#This Row],[Customer ID]],Table2[#All],4,FALSE)</f>
        <v>Yes</v>
      </c>
      <c r="F1641" t="str">
        <f>VLOOKUP(Table2[[#This Row],[Customer ID]],Table2[#All],5,FALSE)</f>
        <v>No</v>
      </c>
      <c r="G1641" t="str">
        <f>VLOOKUP(Table2[[#This Row],[Customer ID]],Table2[#All],6,FALSE)</f>
        <v>No</v>
      </c>
      <c r="H1641">
        <f>VLOOKUP(Table2[[#This Row],[Customer ID]],Table2[#All],7,FALSE)</f>
        <v>2</v>
      </c>
      <c r="I1641" t="str">
        <f>VLOOKUP(Table2[[#This Row],[Customer ID]],Table2[#All],8,FALSE)</f>
        <v>No</v>
      </c>
      <c r="J1641" t="str">
        <f>VLOOKUP(Table2[[#This Row],[Customer ID]],Table2[#All],9,FALSE)</f>
        <v>Underweight</v>
      </c>
      <c r="K1641" t="str">
        <f>VLOOKUP(Table2[[#This Row],[Customer ID]],Table2[#All],10,FALSE)</f>
        <v>Diabetes</v>
      </c>
    </row>
    <row r="1642" spans="1:11" ht="15.6" x14ac:dyDescent="0.3">
      <c r="A1642" s="1" t="s">
        <v>730</v>
      </c>
      <c r="B1642" t="str">
        <f>VLOOKUP('Customer Names'!A1642,'Customer Names'!$A$1:$E$2336,4,FALSE)</f>
        <v>Ms.  Heidi Z.</v>
      </c>
      <c r="C1642">
        <f>VLOOKUP(Table2[[#This Row],[Customer ID]],Table2[#All],2,FALSE)</f>
        <v>30.69</v>
      </c>
      <c r="D1642">
        <f>VLOOKUP(Table2[[#This Row],[Customer ID]],Table2[#All],3,FALSE)</f>
        <v>4.83</v>
      </c>
      <c r="E1642" t="str">
        <f>VLOOKUP(Table2[[#This Row],[Customer ID]],Table2[#All],4,FALSE)</f>
        <v>No</v>
      </c>
      <c r="F1642" t="str">
        <f>VLOOKUP(Table2[[#This Row],[Customer ID]],Table2[#All],5,FALSE)</f>
        <v>No</v>
      </c>
      <c r="G1642" t="str">
        <f>VLOOKUP(Table2[[#This Row],[Customer ID]],Table2[#All],6,FALSE)</f>
        <v>No</v>
      </c>
      <c r="H1642">
        <f>VLOOKUP(Table2[[#This Row],[Customer ID]],Table2[#All],7,FALSE)</f>
        <v>1</v>
      </c>
      <c r="I1642" t="str">
        <f>VLOOKUP(Table2[[#This Row],[Customer ID]],Table2[#All],8,FALSE)</f>
        <v>No</v>
      </c>
      <c r="J1642" t="str">
        <f>VLOOKUP(Table2[[#This Row],[Customer ID]],Table2[#All],9,FALSE)</f>
        <v>Obesity</v>
      </c>
      <c r="K1642" t="str">
        <f>VLOOKUP(Table2[[#This Row],[Customer ID]],Table2[#All],10,FALSE)</f>
        <v>Normal</v>
      </c>
    </row>
    <row r="1643" spans="1:11" ht="15.6" x14ac:dyDescent="0.3">
      <c r="A1643" s="1" t="s">
        <v>729</v>
      </c>
      <c r="B1643" t="str">
        <f>VLOOKUP('Customer Names'!A1643,'Customer Names'!$A$1:$E$2336,4,FALSE)</f>
        <v>Ms.  Carolyn</v>
      </c>
      <c r="C1643">
        <f>VLOOKUP(Table2[[#This Row],[Customer ID]],Table2[#All],2,FALSE)</f>
        <v>28.93</v>
      </c>
      <c r="D1643">
        <f>VLOOKUP(Table2[[#This Row],[Customer ID]],Table2[#All],3,FALSE)</f>
        <v>4.87</v>
      </c>
      <c r="E1643" t="str">
        <f>VLOOKUP(Table2[[#This Row],[Customer ID]],Table2[#All],4,FALSE)</f>
        <v>No</v>
      </c>
      <c r="F1643" t="str">
        <f>VLOOKUP(Table2[[#This Row],[Customer ID]],Table2[#All],5,FALSE)</f>
        <v>No</v>
      </c>
      <c r="G1643" t="str">
        <f>VLOOKUP(Table2[[#This Row],[Customer ID]],Table2[#All],6,FALSE)</f>
        <v>No</v>
      </c>
      <c r="H1643">
        <f>VLOOKUP(Table2[[#This Row],[Customer ID]],Table2[#All],7,FALSE)</f>
        <v>1</v>
      </c>
      <c r="I1643" t="str">
        <f>VLOOKUP(Table2[[#This Row],[Customer ID]],Table2[#All],8,FALSE)</f>
        <v>No</v>
      </c>
      <c r="J1643" t="str">
        <f>VLOOKUP(Table2[[#This Row],[Customer ID]],Table2[#All],9,FALSE)</f>
        <v>Overweight</v>
      </c>
      <c r="K1643" t="str">
        <f>VLOOKUP(Table2[[#This Row],[Customer ID]],Table2[#All],10,FALSE)</f>
        <v>Normal</v>
      </c>
    </row>
    <row r="1644" spans="1:11" ht="15.6" x14ac:dyDescent="0.3">
      <c r="A1644" s="1" t="s">
        <v>728</v>
      </c>
      <c r="B1644" t="str">
        <f>VLOOKUP('Customer Names'!A1644,'Customer Names'!$A$1:$E$2336,4,FALSE)</f>
        <v>Ms.  Sabine</v>
      </c>
      <c r="C1644">
        <f>VLOOKUP(Table2[[#This Row],[Customer ID]],Table2[#All],2,FALSE)</f>
        <v>38.9</v>
      </c>
      <c r="D1644">
        <f>VLOOKUP(Table2[[#This Row],[Customer ID]],Table2[#All],3,FALSE)</f>
        <v>4.28</v>
      </c>
      <c r="E1644" t="str">
        <f>VLOOKUP(Table2[[#This Row],[Customer ID]],Table2[#All],4,FALSE)</f>
        <v>No</v>
      </c>
      <c r="F1644" t="str">
        <f>VLOOKUP(Table2[[#This Row],[Customer ID]],Table2[#All],5,FALSE)</f>
        <v>No</v>
      </c>
      <c r="G1644" t="str">
        <f>VLOOKUP(Table2[[#This Row],[Customer ID]],Table2[#All],6,FALSE)</f>
        <v>No</v>
      </c>
      <c r="H1644">
        <f>VLOOKUP(Table2[[#This Row],[Customer ID]],Table2[#All],7,FALSE)</f>
        <v>0</v>
      </c>
      <c r="I1644" t="str">
        <f>VLOOKUP(Table2[[#This Row],[Customer ID]],Table2[#All],8,FALSE)</f>
        <v>No</v>
      </c>
      <c r="J1644" t="str">
        <f>VLOOKUP(Table2[[#This Row],[Customer ID]],Table2[#All],9,FALSE)</f>
        <v>Obesity</v>
      </c>
      <c r="K1644" t="str">
        <f>VLOOKUP(Table2[[#This Row],[Customer ID]],Table2[#All],10,FALSE)</f>
        <v>Normal</v>
      </c>
    </row>
    <row r="1645" spans="1:11" ht="15.6" x14ac:dyDescent="0.3">
      <c r="A1645" s="1" t="s">
        <v>727</v>
      </c>
      <c r="B1645" t="str">
        <f>VLOOKUP('Customer Names'!A1645,'Customer Names'!$A$1:$E$2336,4,FALSE)</f>
        <v>Mr.  Bobby</v>
      </c>
      <c r="C1645">
        <f>VLOOKUP(Table2[[#This Row],[Customer ID]],Table2[#All],2,FALSE)</f>
        <v>26.9</v>
      </c>
      <c r="D1645">
        <f>VLOOKUP(Table2[[#This Row],[Customer ID]],Table2[#All],3,FALSE)</f>
        <v>4.07</v>
      </c>
      <c r="E1645" t="str">
        <f>VLOOKUP(Table2[[#This Row],[Customer ID]],Table2[#All],4,FALSE)</f>
        <v>No</v>
      </c>
      <c r="F1645" t="str">
        <f>VLOOKUP(Table2[[#This Row],[Customer ID]],Table2[#All],5,FALSE)</f>
        <v>No</v>
      </c>
      <c r="G1645" t="str">
        <f>VLOOKUP(Table2[[#This Row],[Customer ID]],Table2[#All],6,FALSE)</f>
        <v>No</v>
      </c>
      <c r="H1645">
        <f>VLOOKUP(Table2[[#This Row],[Customer ID]],Table2[#All],7,FALSE)</f>
        <v>0</v>
      </c>
      <c r="I1645" t="str">
        <f>VLOOKUP(Table2[[#This Row],[Customer ID]],Table2[#All],8,FALSE)</f>
        <v>No</v>
      </c>
      <c r="J1645" t="str">
        <f>VLOOKUP(Table2[[#This Row],[Customer ID]],Table2[#All],9,FALSE)</f>
        <v>Overweight</v>
      </c>
      <c r="K1645" t="str">
        <f>VLOOKUP(Table2[[#This Row],[Customer ID]],Table2[#All],10,FALSE)</f>
        <v>Normal</v>
      </c>
    </row>
    <row r="1646" spans="1:11" ht="15.6" x14ac:dyDescent="0.3">
      <c r="A1646" s="1" t="s">
        <v>726</v>
      </c>
      <c r="B1646" t="str">
        <f>VLOOKUP('Customer Names'!A1646,'Customer Names'!$A$1:$E$2336,4,FALSE)</f>
        <v>Mr.  Fan</v>
      </c>
      <c r="C1646">
        <f>VLOOKUP(Table2[[#This Row],[Customer ID]],Table2[#All],2,FALSE)</f>
        <v>24.86</v>
      </c>
      <c r="D1646">
        <f>VLOOKUP(Table2[[#This Row],[Customer ID]],Table2[#All],3,FALSE)</f>
        <v>6.23</v>
      </c>
      <c r="E1646" t="str">
        <f>VLOOKUP(Table2[[#This Row],[Customer ID]],Table2[#All],4,FALSE)</f>
        <v>No</v>
      </c>
      <c r="F1646" t="str">
        <f>VLOOKUP(Table2[[#This Row],[Customer ID]],Table2[#All],5,FALSE)</f>
        <v>No</v>
      </c>
      <c r="G1646" t="str">
        <f>VLOOKUP(Table2[[#This Row],[Customer ID]],Table2[#All],6,FALSE)</f>
        <v>No</v>
      </c>
      <c r="H1646">
        <f>VLOOKUP(Table2[[#This Row],[Customer ID]],Table2[#All],7,FALSE)</f>
        <v>0</v>
      </c>
      <c r="I1646" t="str">
        <f>VLOOKUP(Table2[[#This Row],[Customer ID]],Table2[#All],8,FALSE)</f>
        <v>No</v>
      </c>
      <c r="J1646" t="str">
        <f>VLOOKUP(Table2[[#This Row],[Customer ID]],Table2[#All],9,FALSE)</f>
        <v>Normalweight</v>
      </c>
      <c r="K1646" t="str">
        <f>VLOOKUP(Table2[[#This Row],[Customer ID]],Table2[#All],10,FALSE)</f>
        <v>Prediabetes</v>
      </c>
    </row>
    <row r="1647" spans="1:11" ht="15.6" x14ac:dyDescent="0.3">
      <c r="A1647" s="1" t="s">
        <v>725</v>
      </c>
      <c r="B1647" t="str">
        <f>VLOOKUP('Customer Names'!A1647,'Customer Names'!$A$1:$E$2336,4,FALSE)</f>
        <v>Mrs.  Rachel M</v>
      </c>
      <c r="C1647">
        <f>VLOOKUP(Table2[[#This Row],[Customer ID]],Table2[#All],2,FALSE)</f>
        <v>39.14</v>
      </c>
      <c r="D1647">
        <f>VLOOKUP(Table2[[#This Row],[Customer ID]],Table2[#All],3,FALSE)</f>
        <v>6.24</v>
      </c>
      <c r="E1647" t="str">
        <f>VLOOKUP(Table2[[#This Row],[Customer ID]],Table2[#All],4,FALSE)</f>
        <v>No</v>
      </c>
      <c r="F1647" t="str">
        <f>VLOOKUP(Table2[[#This Row],[Customer ID]],Table2[#All],5,FALSE)</f>
        <v>yes</v>
      </c>
      <c r="G1647" t="str">
        <f>VLOOKUP(Table2[[#This Row],[Customer ID]],Table2[#All],6,FALSE)</f>
        <v>No</v>
      </c>
      <c r="H1647">
        <f>VLOOKUP(Table2[[#This Row],[Customer ID]],Table2[#All],7,FALSE)</f>
        <v>1</v>
      </c>
      <c r="I1647" t="str">
        <f>VLOOKUP(Table2[[#This Row],[Customer ID]],Table2[#All],8,FALSE)</f>
        <v>No</v>
      </c>
      <c r="J1647" t="str">
        <f>VLOOKUP(Table2[[#This Row],[Customer ID]],Table2[#All],9,FALSE)</f>
        <v>Obesity</v>
      </c>
      <c r="K1647" t="str">
        <f>VLOOKUP(Table2[[#This Row],[Customer ID]],Table2[#All],10,FALSE)</f>
        <v>Prediabetes</v>
      </c>
    </row>
    <row r="1648" spans="1:11" ht="15.6" x14ac:dyDescent="0.3">
      <c r="A1648" s="1" t="s">
        <v>724</v>
      </c>
      <c r="B1648" t="str">
        <f>VLOOKUP('Customer Names'!A1648,'Customer Names'!$A$1:$E$2336,4,FALSE)</f>
        <v>Mr.  Greg</v>
      </c>
      <c r="C1648">
        <f>VLOOKUP(Table2[[#This Row],[Customer ID]],Table2[#All],2,FALSE)</f>
        <v>39.799999999999997</v>
      </c>
      <c r="D1648">
        <f>VLOOKUP(Table2[[#This Row],[Customer ID]],Table2[#All],3,FALSE)</f>
        <v>6.17</v>
      </c>
      <c r="E1648" t="str">
        <f>VLOOKUP(Table2[[#This Row],[Customer ID]],Table2[#All],4,FALSE)</f>
        <v>No</v>
      </c>
      <c r="F1648" t="str">
        <f>VLOOKUP(Table2[[#This Row],[Customer ID]],Table2[#All],5,FALSE)</f>
        <v>No</v>
      </c>
      <c r="G1648" t="str">
        <f>VLOOKUP(Table2[[#This Row],[Customer ID]],Table2[#All],6,FALSE)</f>
        <v>Yes</v>
      </c>
      <c r="H1648">
        <f>VLOOKUP(Table2[[#This Row],[Customer ID]],Table2[#All],7,FALSE)</f>
        <v>1</v>
      </c>
      <c r="I1648" t="str">
        <f>VLOOKUP(Table2[[#This Row],[Customer ID]],Table2[#All],8,FALSE)</f>
        <v>No</v>
      </c>
      <c r="J1648" t="str">
        <f>VLOOKUP(Table2[[#This Row],[Customer ID]],Table2[#All],9,FALSE)</f>
        <v>Obesity</v>
      </c>
      <c r="K1648" t="str">
        <f>VLOOKUP(Table2[[#This Row],[Customer ID]],Table2[#All],10,FALSE)</f>
        <v>Prediabetes</v>
      </c>
    </row>
    <row r="1649" spans="1:11" ht="15.6" x14ac:dyDescent="0.3">
      <c r="A1649" s="1" t="s">
        <v>723</v>
      </c>
      <c r="B1649" t="str">
        <f>VLOOKUP('Customer Names'!A1649,'Customer Names'!$A$1:$E$2336,4,FALSE)</f>
        <v>Mr.  Dan</v>
      </c>
      <c r="C1649">
        <f>VLOOKUP(Table2[[#This Row],[Customer ID]],Table2[#All],2,FALSE)</f>
        <v>34.32</v>
      </c>
      <c r="D1649">
        <f>VLOOKUP(Table2[[#This Row],[Customer ID]],Table2[#All],3,FALSE)</f>
        <v>5.16</v>
      </c>
      <c r="E1649" t="str">
        <f>VLOOKUP(Table2[[#This Row],[Customer ID]],Table2[#All],4,FALSE)</f>
        <v>No</v>
      </c>
      <c r="F1649" t="str">
        <f>VLOOKUP(Table2[[#This Row],[Customer ID]],Table2[#All],5,FALSE)</f>
        <v>No</v>
      </c>
      <c r="G1649" t="str">
        <f>VLOOKUP(Table2[[#This Row],[Customer ID]],Table2[#All],6,FALSE)</f>
        <v>No</v>
      </c>
      <c r="H1649">
        <f>VLOOKUP(Table2[[#This Row],[Customer ID]],Table2[#All],7,FALSE)</f>
        <v>1</v>
      </c>
      <c r="I1649" t="str">
        <f>VLOOKUP(Table2[[#This Row],[Customer ID]],Table2[#All],8,FALSE)</f>
        <v>No</v>
      </c>
      <c r="J1649" t="str">
        <f>VLOOKUP(Table2[[#This Row],[Customer ID]],Table2[#All],9,FALSE)</f>
        <v>Obesity</v>
      </c>
      <c r="K1649" t="str">
        <f>VLOOKUP(Table2[[#This Row],[Customer ID]],Table2[#All],10,FALSE)</f>
        <v>Normal</v>
      </c>
    </row>
    <row r="1650" spans="1:11" ht="15.6" x14ac:dyDescent="0.3">
      <c r="A1650" s="1" t="s">
        <v>722</v>
      </c>
      <c r="B1650" t="str">
        <f>VLOOKUP('Customer Names'!A1650,'Customer Names'!$A$1:$E$2336,4,FALSE)</f>
        <v>Ms.  Jennifer A</v>
      </c>
      <c r="C1650">
        <f>VLOOKUP(Table2[[#This Row],[Customer ID]],Table2[#All],2,FALSE)</f>
        <v>32.51</v>
      </c>
      <c r="D1650">
        <f>VLOOKUP(Table2[[#This Row],[Customer ID]],Table2[#All],3,FALSE)</f>
        <v>4.3</v>
      </c>
      <c r="E1650" t="str">
        <f>VLOOKUP(Table2[[#This Row],[Customer ID]],Table2[#All],4,FALSE)</f>
        <v>No</v>
      </c>
      <c r="F1650" t="str">
        <f>VLOOKUP(Table2[[#This Row],[Customer ID]],Table2[#All],5,FALSE)</f>
        <v>No</v>
      </c>
      <c r="G1650" t="str">
        <f>VLOOKUP(Table2[[#This Row],[Customer ID]],Table2[#All],6,FALSE)</f>
        <v>No</v>
      </c>
      <c r="H1650">
        <f>VLOOKUP(Table2[[#This Row],[Customer ID]],Table2[#All],7,FALSE)</f>
        <v>0</v>
      </c>
      <c r="I1650" t="str">
        <f>VLOOKUP(Table2[[#This Row],[Customer ID]],Table2[#All],8,FALSE)</f>
        <v>No</v>
      </c>
      <c r="J1650" t="str">
        <f>VLOOKUP(Table2[[#This Row],[Customer ID]],Table2[#All],9,FALSE)</f>
        <v>Obesity</v>
      </c>
      <c r="K1650" t="str">
        <f>VLOOKUP(Table2[[#This Row],[Customer ID]],Table2[#All],10,FALSE)</f>
        <v>Normal</v>
      </c>
    </row>
    <row r="1651" spans="1:11" ht="15.6" x14ac:dyDescent="0.3">
      <c r="A1651" s="1" t="s">
        <v>721</v>
      </c>
      <c r="B1651" t="str">
        <f>VLOOKUP('Customer Names'!A1651,'Customer Names'!$A$1:$E$2336,4,FALSE)</f>
        <v>Mrs.  Jessica</v>
      </c>
      <c r="C1651">
        <f>VLOOKUP(Table2[[#This Row],[Customer ID]],Table2[#All],2,FALSE)</f>
        <v>30.71</v>
      </c>
      <c r="D1651">
        <f>VLOOKUP(Table2[[#This Row],[Customer ID]],Table2[#All],3,FALSE)</f>
        <v>6.14</v>
      </c>
      <c r="E1651" t="str">
        <f>VLOOKUP(Table2[[#This Row],[Customer ID]],Table2[#All],4,FALSE)</f>
        <v>No</v>
      </c>
      <c r="F1651" t="str">
        <f>VLOOKUP(Table2[[#This Row],[Customer ID]],Table2[#All],5,FALSE)</f>
        <v>No</v>
      </c>
      <c r="G1651" t="str">
        <f>VLOOKUP(Table2[[#This Row],[Customer ID]],Table2[#All],6,FALSE)</f>
        <v>Yes</v>
      </c>
      <c r="H1651">
        <f>VLOOKUP(Table2[[#This Row],[Customer ID]],Table2[#All],7,FALSE)</f>
        <v>1</v>
      </c>
      <c r="I1651" t="str">
        <f>VLOOKUP(Table2[[#This Row],[Customer ID]],Table2[#All],8,FALSE)</f>
        <v>No</v>
      </c>
      <c r="J1651" t="str">
        <f>VLOOKUP(Table2[[#This Row],[Customer ID]],Table2[#All],9,FALSE)</f>
        <v>Obesity</v>
      </c>
      <c r="K1651" t="str">
        <f>VLOOKUP(Table2[[#This Row],[Customer ID]],Table2[#All],10,FALSE)</f>
        <v>Prediabetes</v>
      </c>
    </row>
    <row r="1652" spans="1:11" ht="15.6" x14ac:dyDescent="0.3">
      <c r="A1652" s="1" t="s">
        <v>720</v>
      </c>
      <c r="B1652" t="str">
        <f>VLOOKUP('Customer Names'!A1652,'Customer Names'!$A$1:$E$2336,4,FALSE)</f>
        <v>Mr.  Chaiwat</v>
      </c>
      <c r="C1652">
        <f>VLOOKUP(Table2[[#This Row],[Customer ID]],Table2[#All],2,FALSE)</f>
        <v>28.9</v>
      </c>
      <c r="D1652">
        <f>VLOOKUP(Table2[[#This Row],[Customer ID]],Table2[#All],3,FALSE)</f>
        <v>5.36</v>
      </c>
      <c r="E1652" t="str">
        <f>VLOOKUP(Table2[[#This Row],[Customer ID]],Table2[#All],4,FALSE)</f>
        <v>No</v>
      </c>
      <c r="F1652" t="str">
        <f>VLOOKUP(Table2[[#This Row],[Customer ID]],Table2[#All],5,FALSE)</f>
        <v>No</v>
      </c>
      <c r="G1652" t="str">
        <f>VLOOKUP(Table2[[#This Row],[Customer ID]],Table2[#All],6,FALSE)</f>
        <v>No</v>
      </c>
      <c r="H1652">
        <f>VLOOKUP(Table2[[#This Row],[Customer ID]],Table2[#All],7,FALSE)</f>
        <v>1</v>
      </c>
      <c r="I1652" t="str">
        <f>VLOOKUP(Table2[[#This Row],[Customer ID]],Table2[#All],8,FALSE)</f>
        <v>No</v>
      </c>
      <c r="J1652" t="str">
        <f>VLOOKUP(Table2[[#This Row],[Customer ID]],Table2[#All],9,FALSE)</f>
        <v>Overweight</v>
      </c>
      <c r="K1652" t="str">
        <f>VLOOKUP(Table2[[#This Row],[Customer ID]],Table2[#All],10,FALSE)</f>
        <v>Normal</v>
      </c>
    </row>
    <row r="1653" spans="1:11" ht="15.6" x14ac:dyDescent="0.3">
      <c r="A1653" s="1" t="s">
        <v>719</v>
      </c>
      <c r="B1653" t="str">
        <f>VLOOKUP('Customer Names'!A1653,'Customer Names'!$A$1:$E$2336,4,FALSE)</f>
        <v>Ms.  Kerri</v>
      </c>
      <c r="C1653">
        <f>VLOOKUP(Table2[[#This Row],[Customer ID]],Table2[#All],2,FALSE)</f>
        <v>36.19</v>
      </c>
      <c r="D1653">
        <f>VLOOKUP(Table2[[#This Row],[Customer ID]],Table2[#All],3,FALSE)</f>
        <v>4.3</v>
      </c>
      <c r="E1653" t="str">
        <f>VLOOKUP(Table2[[#This Row],[Customer ID]],Table2[#All],4,FALSE)</f>
        <v>No</v>
      </c>
      <c r="F1653" t="str">
        <f>VLOOKUP(Table2[[#This Row],[Customer ID]],Table2[#All],5,FALSE)</f>
        <v>No</v>
      </c>
      <c r="G1653" t="str">
        <f>VLOOKUP(Table2[[#This Row],[Customer ID]],Table2[#All],6,FALSE)</f>
        <v>No</v>
      </c>
      <c r="H1653">
        <f>VLOOKUP(Table2[[#This Row],[Customer ID]],Table2[#All],7,FALSE)</f>
        <v>0</v>
      </c>
      <c r="I1653" t="str">
        <f>VLOOKUP(Table2[[#This Row],[Customer ID]],Table2[#All],8,FALSE)</f>
        <v>No</v>
      </c>
      <c r="J1653" t="str">
        <f>VLOOKUP(Table2[[#This Row],[Customer ID]],Table2[#All],9,FALSE)</f>
        <v>Obesity</v>
      </c>
      <c r="K1653" t="str">
        <f>VLOOKUP(Table2[[#This Row],[Customer ID]],Table2[#All],10,FALSE)</f>
        <v>Normal</v>
      </c>
    </row>
    <row r="1654" spans="1:11" ht="15.6" x14ac:dyDescent="0.3">
      <c r="A1654" s="1" t="s">
        <v>718</v>
      </c>
      <c r="B1654" t="str">
        <f>VLOOKUP('Customer Names'!A1654,'Customer Names'!$A$1:$E$2336,4,FALSE)</f>
        <v>Ms.  Lisa</v>
      </c>
      <c r="C1654">
        <f>VLOOKUP(Table2[[#This Row],[Customer ID]],Table2[#All],2,FALSE)</f>
        <v>29.6</v>
      </c>
      <c r="D1654">
        <f>VLOOKUP(Table2[[#This Row],[Customer ID]],Table2[#All],3,FALSE)</f>
        <v>4.09</v>
      </c>
      <c r="E1654" t="str">
        <f>VLOOKUP(Table2[[#This Row],[Customer ID]],Table2[#All],4,FALSE)</f>
        <v>No</v>
      </c>
      <c r="F1654" t="str">
        <f>VLOOKUP(Table2[[#This Row],[Customer ID]],Table2[#All],5,FALSE)</f>
        <v>No</v>
      </c>
      <c r="G1654" t="str">
        <f>VLOOKUP(Table2[[#This Row],[Customer ID]],Table2[#All],6,FALSE)</f>
        <v>No</v>
      </c>
      <c r="H1654">
        <f>VLOOKUP(Table2[[#This Row],[Customer ID]],Table2[#All],7,FALSE)</f>
        <v>0</v>
      </c>
      <c r="I1654" t="str">
        <f>VLOOKUP(Table2[[#This Row],[Customer ID]],Table2[#All],8,FALSE)</f>
        <v>No</v>
      </c>
      <c r="J1654" t="str">
        <f>VLOOKUP(Table2[[#This Row],[Customer ID]],Table2[#All],9,FALSE)</f>
        <v>Overweight</v>
      </c>
      <c r="K1654" t="str">
        <f>VLOOKUP(Table2[[#This Row],[Customer ID]],Table2[#All],10,FALSE)</f>
        <v>Normal</v>
      </c>
    </row>
    <row r="1655" spans="1:11" ht="15.6" x14ac:dyDescent="0.3">
      <c r="A1655" s="1" t="s">
        <v>717</v>
      </c>
      <c r="B1655" t="str">
        <f>VLOOKUP('Customer Names'!A1655,'Customer Names'!$A$1:$E$2336,4,FALSE)</f>
        <v>Mr.  Nicholas G</v>
      </c>
      <c r="C1655">
        <f>VLOOKUP(Table2[[#This Row],[Customer ID]],Table2[#All],2,FALSE)</f>
        <v>30.95</v>
      </c>
      <c r="D1655">
        <f>VLOOKUP(Table2[[#This Row],[Customer ID]],Table2[#All],3,FALSE)</f>
        <v>6.27</v>
      </c>
      <c r="E1655" t="str">
        <f>VLOOKUP(Table2[[#This Row],[Customer ID]],Table2[#All],4,FALSE)</f>
        <v>No</v>
      </c>
      <c r="F1655" t="str">
        <f>VLOOKUP(Table2[[#This Row],[Customer ID]],Table2[#All],5,FALSE)</f>
        <v>No</v>
      </c>
      <c r="G1655" t="str">
        <f>VLOOKUP(Table2[[#This Row],[Customer ID]],Table2[#All],6,FALSE)</f>
        <v>Yes</v>
      </c>
      <c r="H1655">
        <f>VLOOKUP(Table2[[#This Row],[Customer ID]],Table2[#All],7,FALSE)</f>
        <v>1</v>
      </c>
      <c r="I1655" t="str">
        <f>VLOOKUP(Table2[[#This Row],[Customer ID]],Table2[#All],8,FALSE)</f>
        <v>No</v>
      </c>
      <c r="J1655" t="str">
        <f>VLOOKUP(Table2[[#This Row],[Customer ID]],Table2[#All],9,FALSE)</f>
        <v>Obesity</v>
      </c>
      <c r="K1655" t="str">
        <f>VLOOKUP(Table2[[#This Row],[Customer ID]],Table2[#All],10,FALSE)</f>
        <v>Prediabetes</v>
      </c>
    </row>
    <row r="1656" spans="1:11" ht="15.6" x14ac:dyDescent="0.3">
      <c r="A1656" s="1" t="s">
        <v>716</v>
      </c>
      <c r="B1656" t="str">
        <f>VLOOKUP('Customer Names'!A1656,'Customer Names'!$A$1:$E$2336,4,FALSE)</f>
        <v>Mr.  Vasilis S</v>
      </c>
      <c r="C1656">
        <f>VLOOKUP(Table2[[#This Row],[Customer ID]],Table2[#All],2,FALSE)</f>
        <v>19.95</v>
      </c>
      <c r="D1656">
        <f>VLOOKUP(Table2[[#This Row],[Customer ID]],Table2[#All],3,FALSE)</f>
        <v>5.39</v>
      </c>
      <c r="E1656" t="str">
        <f>VLOOKUP(Table2[[#This Row],[Customer ID]],Table2[#All],4,FALSE)</f>
        <v>No</v>
      </c>
      <c r="F1656" t="str">
        <f>VLOOKUP(Table2[[#This Row],[Customer ID]],Table2[#All],5,FALSE)</f>
        <v>No</v>
      </c>
      <c r="G1656" t="str">
        <f>VLOOKUP(Table2[[#This Row],[Customer ID]],Table2[#All],6,FALSE)</f>
        <v>No</v>
      </c>
      <c r="H1656">
        <f>VLOOKUP(Table2[[#This Row],[Customer ID]],Table2[#All],7,FALSE)</f>
        <v>1</v>
      </c>
      <c r="I1656" t="str">
        <f>VLOOKUP(Table2[[#This Row],[Customer ID]],Table2[#All],8,FALSE)</f>
        <v>No</v>
      </c>
      <c r="J1656" t="str">
        <f>VLOOKUP(Table2[[#This Row],[Customer ID]],Table2[#All],9,FALSE)</f>
        <v>Normalweight</v>
      </c>
      <c r="K1656" t="str">
        <f>VLOOKUP(Table2[[#This Row],[Customer ID]],Table2[#All],10,FALSE)</f>
        <v>Normal</v>
      </c>
    </row>
    <row r="1657" spans="1:11" ht="15.6" x14ac:dyDescent="0.3">
      <c r="A1657" s="1" t="s">
        <v>715</v>
      </c>
      <c r="B1657" t="str">
        <f>VLOOKUP('Customer Names'!A1657,'Customer Names'!$A$1:$E$2336,4,FALSE)</f>
        <v>Mr.  Michael P</v>
      </c>
      <c r="C1657">
        <f>VLOOKUP(Table2[[#This Row],[Customer ID]],Table2[#All],2,FALSE)</f>
        <v>23.65</v>
      </c>
      <c r="D1657">
        <f>VLOOKUP(Table2[[#This Row],[Customer ID]],Table2[#All],3,FALSE)</f>
        <v>5.75</v>
      </c>
      <c r="E1657" t="str">
        <f>VLOOKUP(Table2[[#This Row],[Customer ID]],Table2[#All],4,FALSE)</f>
        <v>Yes</v>
      </c>
      <c r="F1657" t="str">
        <f>VLOOKUP(Table2[[#This Row],[Customer ID]],Table2[#All],5,FALSE)</f>
        <v>No</v>
      </c>
      <c r="G1657" t="str">
        <f>VLOOKUP(Table2[[#This Row],[Customer ID]],Table2[#All],6,FALSE)</f>
        <v>No</v>
      </c>
      <c r="H1657">
        <f>VLOOKUP(Table2[[#This Row],[Customer ID]],Table2[#All],7,FALSE)</f>
        <v>0</v>
      </c>
      <c r="I1657" t="str">
        <f>VLOOKUP(Table2[[#This Row],[Customer ID]],Table2[#All],8,FALSE)</f>
        <v>No</v>
      </c>
      <c r="J1657" t="str">
        <f>VLOOKUP(Table2[[#This Row],[Customer ID]],Table2[#All],9,FALSE)</f>
        <v>Normalweight</v>
      </c>
      <c r="K1657" t="str">
        <f>VLOOKUP(Table2[[#This Row],[Customer ID]],Table2[#All],10,FALSE)</f>
        <v>Prediabetes</v>
      </c>
    </row>
    <row r="1658" spans="1:11" ht="15.6" x14ac:dyDescent="0.3">
      <c r="A1658" s="1" t="s">
        <v>714</v>
      </c>
      <c r="B1658" t="str">
        <f>VLOOKUP('Customer Names'!A1658,'Customer Names'!$A$1:$E$2336,4,FALSE)</f>
        <v>Ms.  Colleen C.</v>
      </c>
      <c r="C1658">
        <f>VLOOKUP(Table2[[#This Row],[Customer ID]],Table2[#All],2,FALSE)</f>
        <v>43.34</v>
      </c>
      <c r="D1658">
        <f>VLOOKUP(Table2[[#This Row],[Customer ID]],Table2[#All],3,FALSE)</f>
        <v>4.91</v>
      </c>
      <c r="E1658" t="str">
        <f>VLOOKUP(Table2[[#This Row],[Customer ID]],Table2[#All],4,FALSE)</f>
        <v>No</v>
      </c>
      <c r="F1658" t="str">
        <f>VLOOKUP(Table2[[#This Row],[Customer ID]],Table2[#All],5,FALSE)</f>
        <v>No</v>
      </c>
      <c r="G1658" t="str">
        <f>VLOOKUP(Table2[[#This Row],[Customer ID]],Table2[#All],6,FALSE)</f>
        <v>No</v>
      </c>
      <c r="H1658">
        <f>VLOOKUP(Table2[[#This Row],[Customer ID]],Table2[#All],7,FALSE)</f>
        <v>1</v>
      </c>
      <c r="I1658" t="str">
        <f>VLOOKUP(Table2[[#This Row],[Customer ID]],Table2[#All],8,FALSE)</f>
        <v>No</v>
      </c>
      <c r="J1658" t="str">
        <f>VLOOKUP(Table2[[#This Row],[Customer ID]],Table2[#All],9,FALSE)</f>
        <v>Obesity</v>
      </c>
      <c r="K1658" t="str">
        <f>VLOOKUP(Table2[[#This Row],[Customer ID]],Table2[#All],10,FALSE)</f>
        <v>Normal</v>
      </c>
    </row>
    <row r="1659" spans="1:11" ht="15.6" x14ac:dyDescent="0.3">
      <c r="A1659" s="1" t="s">
        <v>713</v>
      </c>
      <c r="B1659" t="str">
        <f>VLOOKUP('Customer Names'!A1659,'Customer Names'!$A$1:$E$2336,4,FALSE)</f>
        <v>Mrs.  Annika</v>
      </c>
      <c r="C1659">
        <f>VLOOKUP(Table2[[#This Row],[Customer ID]],Table2[#All],2,FALSE)</f>
        <v>31.98</v>
      </c>
      <c r="D1659">
        <f>VLOOKUP(Table2[[#This Row],[Customer ID]],Table2[#All],3,FALSE)</f>
        <v>4.46</v>
      </c>
      <c r="E1659" t="str">
        <f>VLOOKUP(Table2[[#This Row],[Customer ID]],Table2[#All],4,FALSE)</f>
        <v>Yes</v>
      </c>
      <c r="F1659" t="str">
        <f>VLOOKUP(Table2[[#This Row],[Customer ID]],Table2[#All],5,FALSE)</f>
        <v>No</v>
      </c>
      <c r="G1659" t="str">
        <f>VLOOKUP(Table2[[#This Row],[Customer ID]],Table2[#All],6,FALSE)</f>
        <v>No</v>
      </c>
      <c r="H1659">
        <f>VLOOKUP(Table2[[#This Row],[Customer ID]],Table2[#All],7,FALSE)</f>
        <v>1</v>
      </c>
      <c r="I1659" t="str">
        <f>VLOOKUP(Table2[[#This Row],[Customer ID]],Table2[#All],8,FALSE)</f>
        <v>No</v>
      </c>
      <c r="J1659" t="str">
        <f>VLOOKUP(Table2[[#This Row],[Customer ID]],Table2[#All],9,FALSE)</f>
        <v>Obesity</v>
      </c>
      <c r="K1659" t="str">
        <f>VLOOKUP(Table2[[#This Row],[Customer ID]],Table2[#All],10,FALSE)</f>
        <v>Normal</v>
      </c>
    </row>
    <row r="1660" spans="1:11" ht="15.6" x14ac:dyDescent="0.3">
      <c r="A1660" s="1" t="s">
        <v>712</v>
      </c>
      <c r="B1660" t="str">
        <f>VLOOKUP('Customer Names'!A1660,'Customer Names'!$A$1:$E$2336,4,FALSE)</f>
        <v>Ms.  Kelly</v>
      </c>
      <c r="C1660">
        <f>VLOOKUP(Table2[[#This Row],[Customer ID]],Table2[#All],2,FALSE)</f>
        <v>35.86</v>
      </c>
      <c r="D1660">
        <f>VLOOKUP(Table2[[#This Row],[Customer ID]],Table2[#All],3,FALSE)</f>
        <v>6.22</v>
      </c>
      <c r="E1660" t="str">
        <f>VLOOKUP(Table2[[#This Row],[Customer ID]],Table2[#All],4,FALSE)</f>
        <v>No</v>
      </c>
      <c r="F1660" t="str">
        <f>VLOOKUP(Table2[[#This Row],[Customer ID]],Table2[#All],5,FALSE)</f>
        <v>No</v>
      </c>
      <c r="G1660" t="str">
        <f>VLOOKUP(Table2[[#This Row],[Customer ID]],Table2[#All],6,FALSE)</f>
        <v>No</v>
      </c>
      <c r="H1660">
        <f>VLOOKUP(Table2[[#This Row],[Customer ID]],Table2[#All],7,FALSE)</f>
        <v>1</v>
      </c>
      <c r="I1660" t="str">
        <f>VLOOKUP(Table2[[#This Row],[Customer ID]],Table2[#All],8,FALSE)</f>
        <v>No</v>
      </c>
      <c r="J1660" t="str">
        <f>VLOOKUP(Table2[[#This Row],[Customer ID]],Table2[#All],9,FALSE)</f>
        <v>Obesity</v>
      </c>
      <c r="K1660" t="str">
        <f>VLOOKUP(Table2[[#This Row],[Customer ID]],Table2[#All],10,FALSE)</f>
        <v>Prediabetes</v>
      </c>
    </row>
    <row r="1661" spans="1:11" ht="15.6" x14ac:dyDescent="0.3">
      <c r="A1661" s="1" t="s">
        <v>711</v>
      </c>
      <c r="B1661" t="str">
        <f>VLOOKUP('Customer Names'!A1661,'Customer Names'!$A$1:$E$2336,4,FALSE)</f>
        <v>Mr.  Nicholas C.</v>
      </c>
      <c r="C1661">
        <f>VLOOKUP(Table2[[#This Row],[Customer ID]],Table2[#All],2,FALSE)</f>
        <v>15.2</v>
      </c>
      <c r="D1661">
        <f>VLOOKUP(Table2[[#This Row],[Customer ID]],Table2[#All],3,FALSE)</f>
        <v>8.82</v>
      </c>
      <c r="E1661" t="str">
        <f>VLOOKUP(Table2[[#This Row],[Customer ID]],Table2[#All],4,FALSE)</f>
        <v>No</v>
      </c>
      <c r="F1661" t="str">
        <f>VLOOKUP(Table2[[#This Row],[Customer ID]],Table2[#All],5,FALSE)</f>
        <v>No</v>
      </c>
      <c r="G1661" t="str">
        <f>VLOOKUP(Table2[[#This Row],[Customer ID]],Table2[#All],6,FALSE)</f>
        <v>No</v>
      </c>
      <c r="H1661">
        <f>VLOOKUP(Table2[[#This Row],[Customer ID]],Table2[#All],7,FALSE)</f>
        <v>0</v>
      </c>
      <c r="I1661" t="str">
        <f>VLOOKUP(Table2[[#This Row],[Customer ID]],Table2[#All],8,FALSE)</f>
        <v>No</v>
      </c>
      <c r="J1661" t="str">
        <f>VLOOKUP(Table2[[#This Row],[Customer ID]],Table2[#All],9,FALSE)</f>
        <v>Underweight</v>
      </c>
      <c r="K1661" t="str">
        <f>VLOOKUP(Table2[[#This Row],[Customer ID]],Table2[#All],10,FALSE)</f>
        <v>Diabetes</v>
      </c>
    </row>
    <row r="1662" spans="1:11" ht="15.6" x14ac:dyDescent="0.3">
      <c r="A1662" s="1" t="s">
        <v>710</v>
      </c>
      <c r="B1662" t="str">
        <f>VLOOKUP('Customer Names'!A1662,'Customer Names'!$A$1:$E$2336,4,FALSE)</f>
        <v>Mrs.  Kelly K</v>
      </c>
      <c r="C1662">
        <f>VLOOKUP(Table2[[#This Row],[Customer ID]],Table2[#All],2,FALSE)</f>
        <v>37.200000000000003</v>
      </c>
      <c r="D1662">
        <f>VLOOKUP(Table2[[#This Row],[Customer ID]],Table2[#All],3,FALSE)</f>
        <v>10.14</v>
      </c>
      <c r="E1662" t="str">
        <f>VLOOKUP(Table2[[#This Row],[Customer ID]],Table2[#All],4,FALSE)</f>
        <v>No</v>
      </c>
      <c r="F1662" t="str">
        <f>VLOOKUP(Table2[[#This Row],[Customer ID]],Table2[#All],5,FALSE)</f>
        <v>No</v>
      </c>
      <c r="G1662" t="str">
        <f>VLOOKUP(Table2[[#This Row],[Customer ID]],Table2[#All],6,FALSE)</f>
        <v>No</v>
      </c>
      <c r="H1662">
        <f>VLOOKUP(Table2[[#This Row],[Customer ID]],Table2[#All],7,FALSE)</f>
        <v>0</v>
      </c>
      <c r="I1662" t="str">
        <f>VLOOKUP(Table2[[#This Row],[Customer ID]],Table2[#All],8,FALSE)</f>
        <v>No</v>
      </c>
      <c r="J1662" t="str">
        <f>VLOOKUP(Table2[[#This Row],[Customer ID]],Table2[#All],9,FALSE)</f>
        <v>Obesity</v>
      </c>
      <c r="K1662" t="str">
        <f>VLOOKUP(Table2[[#This Row],[Customer ID]],Table2[#All],10,FALSE)</f>
        <v>Diabetes</v>
      </c>
    </row>
    <row r="1663" spans="1:11" ht="15.6" x14ac:dyDescent="0.3">
      <c r="A1663" s="1" t="s">
        <v>709</v>
      </c>
      <c r="B1663" t="str">
        <f>VLOOKUP('Customer Names'!A1663,'Customer Names'!$A$1:$E$2336,4,FALSE)</f>
        <v>Mr.  Andrew</v>
      </c>
      <c r="C1663">
        <f>VLOOKUP(Table2[[#This Row],[Customer ID]],Table2[#All],2,FALSE)</f>
        <v>17.91</v>
      </c>
      <c r="D1663">
        <f>VLOOKUP(Table2[[#This Row],[Customer ID]],Table2[#All],3,FALSE)</f>
        <v>4.66</v>
      </c>
      <c r="E1663" t="str">
        <f>VLOOKUP(Table2[[#This Row],[Customer ID]],Table2[#All],4,FALSE)</f>
        <v>No</v>
      </c>
      <c r="F1663" t="str">
        <f>VLOOKUP(Table2[[#This Row],[Customer ID]],Table2[#All],5,FALSE)</f>
        <v>No</v>
      </c>
      <c r="G1663" t="str">
        <f>VLOOKUP(Table2[[#This Row],[Customer ID]],Table2[#All],6,FALSE)</f>
        <v>No</v>
      </c>
      <c r="H1663">
        <f>VLOOKUP(Table2[[#This Row],[Customer ID]],Table2[#All],7,FALSE)</f>
        <v>2</v>
      </c>
      <c r="I1663" t="str">
        <f>VLOOKUP(Table2[[#This Row],[Customer ID]],Table2[#All],8,FALSE)</f>
        <v>No</v>
      </c>
      <c r="J1663" t="str">
        <f>VLOOKUP(Table2[[#This Row],[Customer ID]],Table2[#All],9,FALSE)</f>
        <v>Underweight</v>
      </c>
      <c r="K1663" t="str">
        <f>VLOOKUP(Table2[[#This Row],[Customer ID]],Table2[#All],10,FALSE)</f>
        <v>Normal</v>
      </c>
    </row>
    <row r="1664" spans="1:11" ht="15.6" x14ac:dyDescent="0.3">
      <c r="A1664" s="1" t="s">
        <v>708</v>
      </c>
      <c r="B1664" t="str">
        <f>VLOOKUP('Customer Names'!A1664,'Customer Names'!$A$1:$E$2336,4,FALSE)</f>
        <v>Ms.  Hannah</v>
      </c>
      <c r="C1664">
        <f>VLOOKUP(Table2[[#This Row],[Customer ID]],Table2[#All],2,FALSE)</f>
        <v>20.76</v>
      </c>
      <c r="D1664">
        <f>VLOOKUP(Table2[[#This Row],[Customer ID]],Table2[#All],3,FALSE)</f>
        <v>6.26</v>
      </c>
      <c r="E1664" t="str">
        <f>VLOOKUP(Table2[[#This Row],[Customer ID]],Table2[#All],4,FALSE)</f>
        <v>No</v>
      </c>
      <c r="F1664" t="str">
        <f>VLOOKUP(Table2[[#This Row],[Customer ID]],Table2[#All],5,FALSE)</f>
        <v>No</v>
      </c>
      <c r="G1664" t="str">
        <f>VLOOKUP(Table2[[#This Row],[Customer ID]],Table2[#All],6,FALSE)</f>
        <v>No</v>
      </c>
      <c r="H1664">
        <f>VLOOKUP(Table2[[#This Row],[Customer ID]],Table2[#All],7,FALSE)</f>
        <v>0</v>
      </c>
      <c r="I1664" t="str">
        <f>VLOOKUP(Table2[[#This Row],[Customer ID]],Table2[#All],8,FALSE)</f>
        <v>No</v>
      </c>
      <c r="J1664" t="str">
        <f>VLOOKUP(Table2[[#This Row],[Customer ID]],Table2[#All],9,FALSE)</f>
        <v>Normalweight</v>
      </c>
      <c r="K1664" t="str">
        <f>VLOOKUP(Table2[[#This Row],[Customer ID]],Table2[#All],10,FALSE)</f>
        <v>Prediabetes</v>
      </c>
    </row>
    <row r="1665" spans="1:11" ht="15.6" x14ac:dyDescent="0.3">
      <c r="A1665" s="1" t="s">
        <v>707</v>
      </c>
      <c r="B1665" t="str">
        <f>VLOOKUP('Customer Names'!A1665,'Customer Names'!$A$1:$E$2336,4,FALSE)</f>
        <v>Mr.  Patricio Sr.</v>
      </c>
      <c r="C1665">
        <f>VLOOKUP(Table2[[#This Row],[Customer ID]],Table2[#All],2,FALSE)</f>
        <v>38.99</v>
      </c>
      <c r="D1665">
        <f>VLOOKUP(Table2[[#This Row],[Customer ID]],Table2[#All],3,FALSE)</f>
        <v>5.21</v>
      </c>
      <c r="E1665" t="str">
        <f>VLOOKUP(Table2[[#This Row],[Customer ID]],Table2[#All],4,FALSE)</f>
        <v>No</v>
      </c>
      <c r="F1665" t="str">
        <f>VLOOKUP(Table2[[#This Row],[Customer ID]],Table2[#All],5,FALSE)</f>
        <v>yes</v>
      </c>
      <c r="G1665" t="str">
        <f>VLOOKUP(Table2[[#This Row],[Customer ID]],Table2[#All],6,FALSE)</f>
        <v>No</v>
      </c>
      <c r="H1665">
        <f>VLOOKUP(Table2[[#This Row],[Customer ID]],Table2[#All],7,FALSE)</f>
        <v>1</v>
      </c>
      <c r="I1665" t="str">
        <f>VLOOKUP(Table2[[#This Row],[Customer ID]],Table2[#All],8,FALSE)</f>
        <v>No</v>
      </c>
      <c r="J1665" t="str">
        <f>VLOOKUP(Table2[[#This Row],[Customer ID]],Table2[#All],9,FALSE)</f>
        <v>Obesity</v>
      </c>
      <c r="K1665" t="str">
        <f>VLOOKUP(Table2[[#This Row],[Customer ID]],Table2[#All],10,FALSE)</f>
        <v>Normal</v>
      </c>
    </row>
    <row r="1666" spans="1:11" ht="15.6" x14ac:dyDescent="0.3">
      <c r="A1666" s="1" t="s">
        <v>706</v>
      </c>
      <c r="B1666" t="str">
        <f>VLOOKUP('Customer Names'!A1666,'Customer Names'!$A$1:$E$2336,4,FALSE)</f>
        <v>Mr.  Robert B</v>
      </c>
      <c r="C1666">
        <f>VLOOKUP(Table2[[#This Row],[Customer ID]],Table2[#All],2,FALSE)</f>
        <v>42.655000000000001</v>
      </c>
      <c r="D1666">
        <f>VLOOKUP(Table2[[#This Row],[Customer ID]],Table2[#All],3,FALSE)</f>
        <v>5.94</v>
      </c>
      <c r="E1666" t="str">
        <f>VLOOKUP(Table2[[#This Row],[Customer ID]],Table2[#All],4,FALSE)</f>
        <v>Yes</v>
      </c>
      <c r="F1666" t="str">
        <f>VLOOKUP(Table2[[#This Row],[Customer ID]],Table2[#All],5,FALSE)</f>
        <v>No</v>
      </c>
      <c r="G1666" t="str">
        <f>VLOOKUP(Table2[[#This Row],[Customer ID]],Table2[#All],6,FALSE)</f>
        <v>Yes</v>
      </c>
      <c r="H1666">
        <f>VLOOKUP(Table2[[#This Row],[Customer ID]],Table2[#All],7,FALSE)</f>
        <v>1</v>
      </c>
      <c r="I1666" t="str">
        <f>VLOOKUP(Table2[[#This Row],[Customer ID]],Table2[#All],8,FALSE)</f>
        <v>No</v>
      </c>
      <c r="J1666" t="str">
        <f>VLOOKUP(Table2[[#This Row],[Customer ID]],Table2[#All],9,FALSE)</f>
        <v>Obesity</v>
      </c>
      <c r="K1666" t="str">
        <f>VLOOKUP(Table2[[#This Row],[Customer ID]],Table2[#All],10,FALSE)</f>
        <v>Prediabetes</v>
      </c>
    </row>
    <row r="1667" spans="1:11" ht="15.6" x14ac:dyDescent="0.3">
      <c r="A1667" s="1" t="s">
        <v>705</v>
      </c>
      <c r="B1667" t="str">
        <f>VLOOKUP('Customer Names'!A1667,'Customer Names'!$A$1:$E$2336,4,FALSE)</f>
        <v>Mr.  Benjamin M</v>
      </c>
      <c r="C1667">
        <f>VLOOKUP(Table2[[#This Row],[Customer ID]],Table2[#All],2,FALSE)</f>
        <v>30.57</v>
      </c>
      <c r="D1667">
        <f>VLOOKUP(Table2[[#This Row],[Customer ID]],Table2[#All],3,FALSE)</f>
        <v>5.34</v>
      </c>
      <c r="E1667" t="str">
        <f>VLOOKUP(Table2[[#This Row],[Customer ID]],Table2[#All],4,FALSE)</f>
        <v>No</v>
      </c>
      <c r="F1667" t="str">
        <f>VLOOKUP(Table2[[#This Row],[Customer ID]],Table2[#All],5,FALSE)</f>
        <v>No</v>
      </c>
      <c r="G1667" t="str">
        <f>VLOOKUP(Table2[[#This Row],[Customer ID]],Table2[#All],6,FALSE)</f>
        <v>Yes</v>
      </c>
      <c r="H1667">
        <f>VLOOKUP(Table2[[#This Row],[Customer ID]],Table2[#All],7,FALSE)</f>
        <v>1</v>
      </c>
      <c r="I1667" t="str">
        <f>VLOOKUP(Table2[[#This Row],[Customer ID]],Table2[#All],8,FALSE)</f>
        <v>No</v>
      </c>
      <c r="J1667" t="str">
        <f>VLOOKUP(Table2[[#This Row],[Customer ID]],Table2[#All],9,FALSE)</f>
        <v>Obesity</v>
      </c>
      <c r="K1667" t="str">
        <f>VLOOKUP(Table2[[#This Row],[Customer ID]],Table2[#All],10,FALSE)</f>
        <v>Normal</v>
      </c>
    </row>
    <row r="1668" spans="1:11" ht="15.6" x14ac:dyDescent="0.3">
      <c r="A1668" s="1" t="s">
        <v>704</v>
      </c>
      <c r="B1668" t="str">
        <f>VLOOKUP('Customer Names'!A1668,'Customer Names'!$A$1:$E$2336,4,FALSE)</f>
        <v>Mr.  Robert</v>
      </c>
      <c r="C1668">
        <f>VLOOKUP(Table2[[#This Row],[Customer ID]],Table2[#All],2,FALSE)</f>
        <v>17.7</v>
      </c>
      <c r="D1668">
        <f>VLOOKUP(Table2[[#This Row],[Customer ID]],Table2[#All],3,FALSE)</f>
        <v>6.38</v>
      </c>
      <c r="E1668" t="str">
        <f>VLOOKUP(Table2[[#This Row],[Customer ID]],Table2[#All],4,FALSE)</f>
        <v>No</v>
      </c>
      <c r="F1668" t="str">
        <f>VLOOKUP(Table2[[#This Row],[Customer ID]],Table2[#All],5,FALSE)</f>
        <v>No</v>
      </c>
      <c r="G1668" t="str">
        <f>VLOOKUP(Table2[[#This Row],[Customer ID]],Table2[#All],6,FALSE)</f>
        <v>No</v>
      </c>
      <c r="H1668">
        <f>VLOOKUP(Table2[[#This Row],[Customer ID]],Table2[#All],7,FALSE)</f>
        <v>2</v>
      </c>
      <c r="I1668" t="str">
        <f>VLOOKUP(Table2[[#This Row],[Customer ID]],Table2[#All],8,FALSE)</f>
        <v>No</v>
      </c>
      <c r="J1668" t="str">
        <f>VLOOKUP(Table2[[#This Row],[Customer ID]],Table2[#All],9,FALSE)</f>
        <v>Underweight</v>
      </c>
      <c r="K1668" t="str">
        <f>VLOOKUP(Table2[[#This Row],[Customer ID]],Table2[#All],10,FALSE)</f>
        <v>Prediabetes</v>
      </c>
    </row>
    <row r="1669" spans="1:11" ht="15.6" x14ac:dyDescent="0.3">
      <c r="A1669" s="1" t="s">
        <v>703</v>
      </c>
      <c r="B1669" t="str">
        <f>VLOOKUP('Customer Names'!A1669,'Customer Names'!$A$1:$E$2336,4,FALSE)</f>
        <v>Mr.  Eric R.</v>
      </c>
      <c r="C1669">
        <f>VLOOKUP(Table2[[#This Row],[Customer ID]],Table2[#All],2,FALSE)</f>
        <v>34.770000000000003</v>
      </c>
      <c r="D1669">
        <f>VLOOKUP(Table2[[#This Row],[Customer ID]],Table2[#All],3,FALSE)</f>
        <v>4.47</v>
      </c>
      <c r="E1669" t="str">
        <f>VLOOKUP(Table2[[#This Row],[Customer ID]],Table2[#All],4,FALSE)</f>
        <v>No</v>
      </c>
      <c r="F1669" t="str">
        <f>VLOOKUP(Table2[[#This Row],[Customer ID]],Table2[#All],5,FALSE)</f>
        <v>No</v>
      </c>
      <c r="G1669" t="str">
        <f>VLOOKUP(Table2[[#This Row],[Customer ID]],Table2[#All],6,FALSE)</f>
        <v>No</v>
      </c>
      <c r="H1669">
        <f>VLOOKUP(Table2[[#This Row],[Customer ID]],Table2[#All],7,FALSE)</f>
        <v>1</v>
      </c>
      <c r="I1669" t="str">
        <f>VLOOKUP(Table2[[#This Row],[Customer ID]],Table2[#All],8,FALSE)</f>
        <v>No</v>
      </c>
      <c r="J1669" t="str">
        <f>VLOOKUP(Table2[[#This Row],[Customer ID]],Table2[#All],9,FALSE)</f>
        <v>Obesity</v>
      </c>
      <c r="K1669" t="str">
        <f>VLOOKUP(Table2[[#This Row],[Customer ID]],Table2[#All],10,FALSE)</f>
        <v>Normal</v>
      </c>
    </row>
    <row r="1670" spans="1:11" ht="15.6" x14ac:dyDescent="0.3">
      <c r="A1670" s="1" t="s">
        <v>702</v>
      </c>
      <c r="B1670" t="str">
        <f>VLOOKUP('Customer Names'!A1670,'Customer Names'!$A$1:$E$2336,4,FALSE)</f>
        <v>Mr.  Matthew</v>
      </c>
      <c r="C1670">
        <f>VLOOKUP(Table2[[#This Row],[Customer ID]],Table2[#All],2,FALSE)</f>
        <v>16.88</v>
      </c>
      <c r="D1670">
        <f>VLOOKUP(Table2[[#This Row],[Customer ID]],Table2[#All],3,FALSE)</f>
        <v>9.9600000000000009</v>
      </c>
      <c r="E1670" t="str">
        <f>VLOOKUP(Table2[[#This Row],[Customer ID]],Table2[#All],4,FALSE)</f>
        <v>No</v>
      </c>
      <c r="F1670" t="str">
        <f>VLOOKUP(Table2[[#This Row],[Customer ID]],Table2[#All],5,FALSE)</f>
        <v>No</v>
      </c>
      <c r="G1670" t="str">
        <f>VLOOKUP(Table2[[#This Row],[Customer ID]],Table2[#All],6,FALSE)</f>
        <v>No</v>
      </c>
      <c r="H1670">
        <f>VLOOKUP(Table2[[#This Row],[Customer ID]],Table2[#All],7,FALSE)</f>
        <v>0</v>
      </c>
      <c r="I1670" t="str">
        <f>VLOOKUP(Table2[[#This Row],[Customer ID]],Table2[#All],8,FALSE)</f>
        <v>No</v>
      </c>
      <c r="J1670" t="str">
        <f>VLOOKUP(Table2[[#This Row],[Customer ID]],Table2[#All],9,FALSE)</f>
        <v>Underweight</v>
      </c>
      <c r="K1670" t="str">
        <f>VLOOKUP(Table2[[#This Row],[Customer ID]],Table2[#All],10,FALSE)</f>
        <v>Diabetes</v>
      </c>
    </row>
    <row r="1671" spans="1:11" ht="15.6" x14ac:dyDescent="0.3">
      <c r="A1671" s="1" t="s">
        <v>701</v>
      </c>
      <c r="B1671" t="str">
        <f>VLOOKUP('Customer Names'!A1671,'Customer Names'!$A$1:$E$2336,4,FALSE)</f>
        <v>Mr.  Bob R</v>
      </c>
      <c r="C1671">
        <f>VLOOKUP(Table2[[#This Row],[Customer ID]],Table2[#All],2,FALSE)</f>
        <v>40.26</v>
      </c>
      <c r="D1671">
        <f>VLOOKUP(Table2[[#This Row],[Customer ID]],Table2[#All],3,FALSE)</f>
        <v>9.92</v>
      </c>
      <c r="E1671" t="str">
        <f>VLOOKUP(Table2[[#This Row],[Customer ID]],Table2[#All],4,FALSE)</f>
        <v>Yes</v>
      </c>
      <c r="F1671" t="str">
        <f>VLOOKUP(Table2[[#This Row],[Customer ID]],Table2[#All],5,FALSE)</f>
        <v>No</v>
      </c>
      <c r="G1671" t="str">
        <f>VLOOKUP(Table2[[#This Row],[Customer ID]],Table2[#All],6,FALSE)</f>
        <v>No</v>
      </c>
      <c r="H1671">
        <f>VLOOKUP(Table2[[#This Row],[Customer ID]],Table2[#All],7,FALSE)</f>
        <v>0</v>
      </c>
      <c r="I1671" t="str">
        <f>VLOOKUP(Table2[[#This Row],[Customer ID]],Table2[#All],8,FALSE)</f>
        <v>No</v>
      </c>
      <c r="J1671" t="str">
        <f>VLOOKUP(Table2[[#This Row],[Customer ID]],Table2[#All],9,FALSE)</f>
        <v>Obesity</v>
      </c>
      <c r="K1671" t="str">
        <f>VLOOKUP(Table2[[#This Row],[Customer ID]],Table2[#All],10,FALSE)</f>
        <v>Diabetes</v>
      </c>
    </row>
    <row r="1672" spans="1:11" ht="15.6" x14ac:dyDescent="0.3">
      <c r="A1672" s="1" t="s">
        <v>700</v>
      </c>
      <c r="B1672" t="str">
        <f>VLOOKUP('Customer Names'!A1672,'Customer Names'!$A$1:$E$2336,4,FALSE)</f>
        <v>Ms.  Stephanie J.</v>
      </c>
      <c r="C1672">
        <f>VLOOKUP(Table2[[#This Row],[Customer ID]],Table2[#All],2,FALSE)</f>
        <v>25.6</v>
      </c>
      <c r="D1672">
        <f>VLOOKUP(Table2[[#This Row],[Customer ID]],Table2[#All],3,FALSE)</f>
        <v>6.03</v>
      </c>
      <c r="E1672" t="str">
        <f>VLOOKUP(Table2[[#This Row],[Customer ID]],Table2[#All],4,FALSE)</f>
        <v>No</v>
      </c>
      <c r="F1672" t="str">
        <f>VLOOKUP(Table2[[#This Row],[Customer ID]],Table2[#All],5,FALSE)</f>
        <v>No</v>
      </c>
      <c r="G1672" t="str">
        <f>VLOOKUP(Table2[[#This Row],[Customer ID]],Table2[#All],6,FALSE)</f>
        <v>Yes</v>
      </c>
      <c r="H1672">
        <f>VLOOKUP(Table2[[#This Row],[Customer ID]],Table2[#All],7,FALSE)</f>
        <v>1</v>
      </c>
      <c r="I1672" t="str">
        <f>VLOOKUP(Table2[[#This Row],[Customer ID]],Table2[#All],8,FALSE)</f>
        <v>No</v>
      </c>
      <c r="J1672" t="str">
        <f>VLOOKUP(Table2[[#This Row],[Customer ID]],Table2[#All],9,FALSE)</f>
        <v>Overweight</v>
      </c>
      <c r="K1672" t="str">
        <f>VLOOKUP(Table2[[#This Row],[Customer ID]],Table2[#All],10,FALSE)</f>
        <v>Prediabetes</v>
      </c>
    </row>
    <row r="1673" spans="1:11" ht="15.6" x14ac:dyDescent="0.3">
      <c r="A1673" s="1" t="s">
        <v>699</v>
      </c>
      <c r="B1673" t="str">
        <f>VLOOKUP('Customer Names'!A1673,'Customer Names'!$A$1:$E$2336,4,FALSE)</f>
        <v>Mr.  Jake</v>
      </c>
      <c r="C1673">
        <f>VLOOKUP(Table2[[#This Row],[Customer ID]],Table2[#All],2,FALSE)</f>
        <v>33.549999999999997</v>
      </c>
      <c r="D1673">
        <f>VLOOKUP(Table2[[#This Row],[Customer ID]],Table2[#All],3,FALSE)</f>
        <v>10.9</v>
      </c>
      <c r="E1673" t="str">
        <f>VLOOKUP(Table2[[#This Row],[Customer ID]],Table2[#All],4,FALSE)</f>
        <v>Yes</v>
      </c>
      <c r="F1673" t="str">
        <f>VLOOKUP(Table2[[#This Row],[Customer ID]],Table2[#All],5,FALSE)</f>
        <v>No</v>
      </c>
      <c r="G1673" t="str">
        <f>VLOOKUP(Table2[[#This Row],[Customer ID]],Table2[#All],6,FALSE)</f>
        <v>No</v>
      </c>
      <c r="H1673">
        <f>VLOOKUP(Table2[[#This Row],[Customer ID]],Table2[#All],7,FALSE)</f>
        <v>0</v>
      </c>
      <c r="I1673" t="str">
        <f>VLOOKUP(Table2[[#This Row],[Customer ID]],Table2[#All],8,FALSE)</f>
        <v>No</v>
      </c>
      <c r="J1673" t="str">
        <f>VLOOKUP(Table2[[#This Row],[Customer ID]],Table2[#All],9,FALSE)</f>
        <v>Obesity</v>
      </c>
      <c r="K1673" t="str">
        <f>VLOOKUP(Table2[[#This Row],[Customer ID]],Table2[#All],10,FALSE)</f>
        <v>Diabetes</v>
      </c>
    </row>
    <row r="1674" spans="1:11" ht="15.6" x14ac:dyDescent="0.3">
      <c r="A1674" s="1" t="s">
        <v>698</v>
      </c>
      <c r="B1674" t="str">
        <f>VLOOKUP('Customer Names'!A1674,'Customer Names'!$A$1:$E$2336,4,FALSE)</f>
        <v>Ms.  Alison L.</v>
      </c>
      <c r="C1674">
        <f>VLOOKUP(Table2[[#This Row],[Customer ID]],Table2[#All],2,FALSE)</f>
        <v>16.690000000000001</v>
      </c>
      <c r="D1674">
        <f>VLOOKUP(Table2[[#This Row],[Customer ID]],Table2[#All],3,FALSE)</f>
        <v>10.66</v>
      </c>
      <c r="E1674" t="str">
        <f>VLOOKUP(Table2[[#This Row],[Customer ID]],Table2[#All],4,FALSE)</f>
        <v>No</v>
      </c>
      <c r="F1674" t="str">
        <f>VLOOKUP(Table2[[#This Row],[Customer ID]],Table2[#All],5,FALSE)</f>
        <v>No</v>
      </c>
      <c r="G1674" t="str">
        <f>VLOOKUP(Table2[[#This Row],[Customer ID]],Table2[#All],6,FALSE)</f>
        <v>No</v>
      </c>
      <c r="H1674">
        <f>VLOOKUP(Table2[[#This Row],[Customer ID]],Table2[#All],7,FALSE)</f>
        <v>0</v>
      </c>
      <c r="I1674" t="str">
        <f>VLOOKUP(Table2[[#This Row],[Customer ID]],Table2[#All],8,FALSE)</f>
        <v>No</v>
      </c>
      <c r="J1674" t="str">
        <f>VLOOKUP(Table2[[#This Row],[Customer ID]],Table2[#All],9,FALSE)</f>
        <v>Underweight</v>
      </c>
      <c r="K1674" t="str">
        <f>VLOOKUP(Table2[[#This Row],[Customer ID]],Table2[#All],10,FALSE)</f>
        <v>Diabetes</v>
      </c>
    </row>
    <row r="1675" spans="1:11" ht="15.6" x14ac:dyDescent="0.3">
      <c r="A1675" s="1" t="s">
        <v>697</v>
      </c>
      <c r="B1675" t="str">
        <f>VLOOKUP('Customer Names'!A1675,'Customer Names'!$A$1:$E$2336,4,FALSE)</f>
        <v>Ms.  Lindsay M</v>
      </c>
      <c r="C1675">
        <f>VLOOKUP(Table2[[#This Row],[Customer ID]],Table2[#All],2,FALSE)</f>
        <v>19.95</v>
      </c>
      <c r="D1675">
        <f>VLOOKUP(Table2[[#This Row],[Customer ID]],Table2[#All],3,FALSE)</f>
        <v>4.05</v>
      </c>
      <c r="E1675" t="str">
        <f>VLOOKUP(Table2[[#This Row],[Customer ID]],Table2[#All],4,FALSE)</f>
        <v>No</v>
      </c>
      <c r="F1675" t="str">
        <f>VLOOKUP(Table2[[#This Row],[Customer ID]],Table2[#All],5,FALSE)</f>
        <v>No</v>
      </c>
      <c r="G1675" t="str">
        <f>VLOOKUP(Table2[[#This Row],[Customer ID]],Table2[#All],6,FALSE)</f>
        <v>No</v>
      </c>
      <c r="H1675">
        <f>VLOOKUP(Table2[[#This Row],[Customer ID]],Table2[#All],7,FALSE)</f>
        <v>1</v>
      </c>
      <c r="I1675" t="str">
        <f>VLOOKUP(Table2[[#This Row],[Customer ID]],Table2[#All],8,FALSE)</f>
        <v>No</v>
      </c>
      <c r="J1675" t="str">
        <f>VLOOKUP(Table2[[#This Row],[Customer ID]],Table2[#All],9,FALSE)</f>
        <v>Normalweight</v>
      </c>
      <c r="K1675" t="str">
        <f>VLOOKUP(Table2[[#This Row],[Customer ID]],Table2[#All],10,FALSE)</f>
        <v>Normal</v>
      </c>
    </row>
    <row r="1676" spans="1:11" ht="15.6" x14ac:dyDescent="0.3">
      <c r="A1676" s="1" t="s">
        <v>696</v>
      </c>
      <c r="B1676" t="str">
        <f>VLOOKUP('Customer Names'!A1676,'Customer Names'!$A$1:$E$2336,4,FALSE)</f>
        <v>Mr.  Guillaume</v>
      </c>
      <c r="C1676">
        <f>VLOOKUP(Table2[[#This Row],[Customer ID]],Table2[#All],2,FALSE)</f>
        <v>17.55</v>
      </c>
      <c r="D1676">
        <f>VLOOKUP(Table2[[#This Row],[Customer ID]],Table2[#All],3,FALSE)</f>
        <v>4.2300000000000004</v>
      </c>
      <c r="E1676" t="str">
        <f>VLOOKUP(Table2[[#This Row],[Customer ID]],Table2[#All],4,FALSE)</f>
        <v>No</v>
      </c>
      <c r="F1676" t="str">
        <f>VLOOKUP(Table2[[#This Row],[Customer ID]],Table2[#All],5,FALSE)</f>
        <v>No</v>
      </c>
      <c r="G1676" t="str">
        <f>VLOOKUP(Table2[[#This Row],[Customer ID]],Table2[#All],6,FALSE)</f>
        <v>No</v>
      </c>
      <c r="H1676">
        <f>VLOOKUP(Table2[[#This Row],[Customer ID]],Table2[#All],7,FALSE)</f>
        <v>2</v>
      </c>
      <c r="I1676" t="str">
        <f>VLOOKUP(Table2[[#This Row],[Customer ID]],Table2[#All],8,FALSE)</f>
        <v>No</v>
      </c>
      <c r="J1676" t="str">
        <f>VLOOKUP(Table2[[#This Row],[Customer ID]],Table2[#All],9,FALSE)</f>
        <v>Underweight</v>
      </c>
      <c r="K1676" t="str">
        <f>VLOOKUP(Table2[[#This Row],[Customer ID]],Table2[#All],10,FALSE)</f>
        <v>Normal</v>
      </c>
    </row>
    <row r="1677" spans="1:11" ht="15.6" x14ac:dyDescent="0.3">
      <c r="A1677" s="1" t="s">
        <v>695</v>
      </c>
      <c r="B1677" t="str">
        <f>VLOOKUP('Customer Names'!A1677,'Customer Names'!$A$1:$E$2336,4,FALSE)</f>
        <v>Ms.  Kaylee</v>
      </c>
      <c r="C1677">
        <f>VLOOKUP(Table2[[#This Row],[Customer ID]],Table2[#All],2,FALSE)</f>
        <v>22.01</v>
      </c>
      <c r="D1677">
        <f>VLOOKUP(Table2[[#This Row],[Customer ID]],Table2[#All],3,FALSE)</f>
        <v>5.01</v>
      </c>
      <c r="E1677" t="str">
        <f>VLOOKUP(Table2[[#This Row],[Customer ID]],Table2[#All],4,FALSE)</f>
        <v>No</v>
      </c>
      <c r="F1677" t="str">
        <f>VLOOKUP(Table2[[#This Row],[Customer ID]],Table2[#All],5,FALSE)</f>
        <v>No</v>
      </c>
      <c r="G1677" t="str">
        <f>VLOOKUP(Table2[[#This Row],[Customer ID]],Table2[#All],6,FALSE)</f>
        <v>No</v>
      </c>
      <c r="H1677">
        <f>VLOOKUP(Table2[[#This Row],[Customer ID]],Table2[#All],7,FALSE)</f>
        <v>1</v>
      </c>
      <c r="I1677" t="str">
        <f>VLOOKUP(Table2[[#This Row],[Customer ID]],Table2[#All],8,FALSE)</f>
        <v>No</v>
      </c>
      <c r="J1677" t="str">
        <f>VLOOKUP(Table2[[#This Row],[Customer ID]],Table2[#All],9,FALSE)</f>
        <v>Normalweight</v>
      </c>
      <c r="K1677" t="str">
        <f>VLOOKUP(Table2[[#This Row],[Customer ID]],Table2[#All],10,FALSE)</f>
        <v>Normal</v>
      </c>
    </row>
    <row r="1678" spans="1:11" ht="15.6" x14ac:dyDescent="0.3">
      <c r="A1678" s="1" t="s">
        <v>694</v>
      </c>
      <c r="B1678" t="str">
        <f>VLOOKUP('Customer Names'!A1678,'Customer Names'!$A$1:$E$2336,4,FALSE)</f>
        <v>Ms.  Theresa</v>
      </c>
      <c r="C1678">
        <f>VLOOKUP(Table2[[#This Row],[Customer ID]],Table2[#All],2,FALSE)</f>
        <v>41.8</v>
      </c>
      <c r="D1678">
        <f>VLOOKUP(Table2[[#This Row],[Customer ID]],Table2[#All],3,FALSE)</f>
        <v>5.82</v>
      </c>
      <c r="E1678" t="str">
        <f>VLOOKUP(Table2[[#This Row],[Customer ID]],Table2[#All],4,FALSE)</f>
        <v>Yes</v>
      </c>
      <c r="F1678" t="str">
        <f>VLOOKUP(Table2[[#This Row],[Customer ID]],Table2[#All],5,FALSE)</f>
        <v>No</v>
      </c>
      <c r="G1678" t="str">
        <f>VLOOKUP(Table2[[#This Row],[Customer ID]],Table2[#All],6,FALSE)</f>
        <v>Yes</v>
      </c>
      <c r="H1678">
        <f>VLOOKUP(Table2[[#This Row],[Customer ID]],Table2[#All],7,FALSE)</f>
        <v>1</v>
      </c>
      <c r="I1678" t="str">
        <f>VLOOKUP(Table2[[#This Row],[Customer ID]],Table2[#All],8,FALSE)</f>
        <v>No</v>
      </c>
      <c r="J1678" t="str">
        <f>VLOOKUP(Table2[[#This Row],[Customer ID]],Table2[#All],9,FALSE)</f>
        <v>Obesity</v>
      </c>
      <c r="K1678" t="str">
        <f>VLOOKUP(Table2[[#This Row],[Customer ID]],Table2[#All],10,FALSE)</f>
        <v>Prediabetes</v>
      </c>
    </row>
    <row r="1679" spans="1:11" ht="15.6" x14ac:dyDescent="0.3">
      <c r="A1679" s="1" t="s">
        <v>693</v>
      </c>
      <c r="B1679" t="str">
        <f>VLOOKUP('Customer Names'!A1679,'Customer Names'!$A$1:$E$2336,4,FALSE)</f>
        <v>Mr.  Travis G.</v>
      </c>
      <c r="C1679">
        <f>VLOOKUP(Table2[[#This Row],[Customer ID]],Table2[#All],2,FALSE)</f>
        <v>19.170000000000002</v>
      </c>
      <c r="D1679">
        <f>VLOOKUP(Table2[[#This Row],[Customer ID]],Table2[#All],3,FALSE)</f>
        <v>7.94</v>
      </c>
      <c r="E1679" t="str">
        <f>VLOOKUP(Table2[[#This Row],[Customer ID]],Table2[#All],4,FALSE)</f>
        <v>No</v>
      </c>
      <c r="F1679" t="str">
        <f>VLOOKUP(Table2[[#This Row],[Customer ID]],Table2[#All],5,FALSE)</f>
        <v>No</v>
      </c>
      <c r="G1679" t="str">
        <f>VLOOKUP(Table2[[#This Row],[Customer ID]],Table2[#All],6,FALSE)</f>
        <v>No</v>
      </c>
      <c r="H1679">
        <f>VLOOKUP(Table2[[#This Row],[Customer ID]],Table2[#All],7,FALSE)</f>
        <v>0</v>
      </c>
      <c r="I1679" t="str">
        <f>VLOOKUP(Table2[[#This Row],[Customer ID]],Table2[#All],8,FALSE)</f>
        <v>No</v>
      </c>
      <c r="J1679" t="str">
        <f>VLOOKUP(Table2[[#This Row],[Customer ID]],Table2[#All],9,FALSE)</f>
        <v>Normalweight</v>
      </c>
      <c r="K1679" t="str">
        <f>VLOOKUP(Table2[[#This Row],[Customer ID]],Table2[#All],10,FALSE)</f>
        <v>Diabetes</v>
      </c>
    </row>
    <row r="1680" spans="1:11" ht="15.6" x14ac:dyDescent="0.3">
      <c r="A1680" s="1" t="s">
        <v>692</v>
      </c>
      <c r="B1680" t="str">
        <f>VLOOKUP('Customer Names'!A1680,'Customer Names'!$A$1:$E$2336,4,FALSE)</f>
        <v>Ms.  Emma L.</v>
      </c>
      <c r="C1680">
        <f>VLOOKUP(Table2[[#This Row],[Customer ID]],Table2[#All],2,FALSE)</f>
        <v>32.799999999999997</v>
      </c>
      <c r="D1680">
        <f>VLOOKUP(Table2[[#This Row],[Customer ID]],Table2[#All],3,FALSE)</f>
        <v>6.16</v>
      </c>
      <c r="E1680" t="str">
        <f>VLOOKUP(Table2[[#This Row],[Customer ID]],Table2[#All],4,FALSE)</f>
        <v>Yes</v>
      </c>
      <c r="F1680" t="str">
        <f>VLOOKUP(Table2[[#This Row],[Customer ID]],Table2[#All],5,FALSE)</f>
        <v>No</v>
      </c>
      <c r="G1680" t="str">
        <f>VLOOKUP(Table2[[#This Row],[Customer ID]],Table2[#All],6,FALSE)</f>
        <v>Yes</v>
      </c>
      <c r="H1680">
        <f>VLOOKUP(Table2[[#This Row],[Customer ID]],Table2[#All],7,FALSE)</f>
        <v>1</v>
      </c>
      <c r="I1680" t="str">
        <f>VLOOKUP(Table2[[#This Row],[Customer ID]],Table2[#All],8,FALSE)</f>
        <v>No</v>
      </c>
      <c r="J1680" t="str">
        <f>VLOOKUP(Table2[[#This Row],[Customer ID]],Table2[#All],9,FALSE)</f>
        <v>Obesity</v>
      </c>
      <c r="K1680" t="str">
        <f>VLOOKUP(Table2[[#This Row],[Customer ID]],Table2[#All],10,FALSE)</f>
        <v>Prediabetes</v>
      </c>
    </row>
    <row r="1681" spans="1:11" ht="15.6" x14ac:dyDescent="0.3">
      <c r="A1681" s="1" t="s">
        <v>691</v>
      </c>
      <c r="B1681" t="str">
        <f>VLOOKUP('Customer Names'!A1681,'Customer Names'!$A$1:$E$2336,4,FALSE)</f>
        <v>Ms.  Linda</v>
      </c>
      <c r="C1681">
        <f>VLOOKUP(Table2[[#This Row],[Customer ID]],Table2[#All],2,FALSE)</f>
        <v>35.814999999999998</v>
      </c>
      <c r="D1681">
        <f>VLOOKUP(Table2[[#This Row],[Customer ID]],Table2[#All],3,FALSE)</f>
        <v>4.1500000000000004</v>
      </c>
      <c r="E1681" t="str">
        <f>VLOOKUP(Table2[[#This Row],[Customer ID]],Table2[#All],4,FALSE)</f>
        <v>No</v>
      </c>
      <c r="F1681" t="str">
        <f>VLOOKUP(Table2[[#This Row],[Customer ID]],Table2[#All],5,FALSE)</f>
        <v>No</v>
      </c>
      <c r="G1681" t="str">
        <f>VLOOKUP(Table2[[#This Row],[Customer ID]],Table2[#All],6,FALSE)</f>
        <v>No</v>
      </c>
      <c r="H1681">
        <f>VLOOKUP(Table2[[#This Row],[Customer ID]],Table2[#All],7,FALSE)</f>
        <v>1</v>
      </c>
      <c r="I1681" t="str">
        <f>VLOOKUP(Table2[[#This Row],[Customer ID]],Table2[#All],8,FALSE)</f>
        <v>No</v>
      </c>
      <c r="J1681" t="str">
        <f>VLOOKUP(Table2[[#This Row],[Customer ID]],Table2[#All],9,FALSE)</f>
        <v>Obesity</v>
      </c>
      <c r="K1681" t="str">
        <f>VLOOKUP(Table2[[#This Row],[Customer ID]],Table2[#All],10,FALSE)</f>
        <v>Normal</v>
      </c>
    </row>
    <row r="1682" spans="1:11" ht="15.6" x14ac:dyDescent="0.3">
      <c r="A1682" s="1" t="s">
        <v>690</v>
      </c>
      <c r="B1682" t="str">
        <f>VLOOKUP('Customer Names'!A1682,'Customer Names'!$A$1:$E$2336,4,FALSE)</f>
        <v>Mr.  Owen R</v>
      </c>
      <c r="C1682">
        <f>VLOOKUP(Table2[[#This Row],[Customer ID]],Table2[#All],2,FALSE)</f>
        <v>24.3</v>
      </c>
      <c r="D1682">
        <f>VLOOKUP(Table2[[#This Row],[Customer ID]],Table2[#All],3,FALSE)</f>
        <v>6.23</v>
      </c>
      <c r="E1682" t="str">
        <f>VLOOKUP(Table2[[#This Row],[Customer ID]],Table2[#All],4,FALSE)</f>
        <v>No</v>
      </c>
      <c r="F1682" t="str">
        <f>VLOOKUP(Table2[[#This Row],[Customer ID]],Table2[#All],5,FALSE)</f>
        <v>No</v>
      </c>
      <c r="G1682" t="str">
        <f>VLOOKUP(Table2[[#This Row],[Customer ID]],Table2[#All],6,FALSE)</f>
        <v>No</v>
      </c>
      <c r="H1682">
        <f>VLOOKUP(Table2[[#This Row],[Customer ID]],Table2[#All],7,FALSE)</f>
        <v>0</v>
      </c>
      <c r="I1682" t="str">
        <f>VLOOKUP(Table2[[#This Row],[Customer ID]],Table2[#All],8,FALSE)</f>
        <v>No</v>
      </c>
      <c r="J1682" t="str">
        <f>VLOOKUP(Table2[[#This Row],[Customer ID]],Table2[#All],9,FALSE)</f>
        <v>Normalweight</v>
      </c>
      <c r="K1682" t="str">
        <f>VLOOKUP(Table2[[#This Row],[Customer ID]],Table2[#All],10,FALSE)</f>
        <v>Prediabetes</v>
      </c>
    </row>
    <row r="1683" spans="1:11" ht="15.6" x14ac:dyDescent="0.3">
      <c r="A1683" s="1" t="s">
        <v>689</v>
      </c>
      <c r="B1683" t="str">
        <f>VLOOKUP('Customer Names'!A1683,'Customer Names'!$A$1:$E$2336,4,FALSE)</f>
        <v>Mr.  Jacob</v>
      </c>
      <c r="C1683">
        <f>VLOOKUP(Table2[[#This Row],[Customer ID]],Table2[#All],2,FALSE)</f>
        <v>19.059999999999999</v>
      </c>
      <c r="D1683">
        <f>VLOOKUP(Table2[[#This Row],[Customer ID]],Table2[#All],3,FALSE)</f>
        <v>7.41</v>
      </c>
      <c r="E1683" t="str">
        <f>VLOOKUP(Table2[[#This Row],[Customer ID]],Table2[#All],4,FALSE)</f>
        <v>No</v>
      </c>
      <c r="F1683" t="str">
        <f>VLOOKUP(Table2[[#This Row],[Customer ID]],Table2[#All],5,FALSE)</f>
        <v>No</v>
      </c>
      <c r="G1683" t="str">
        <f>VLOOKUP(Table2[[#This Row],[Customer ID]],Table2[#All],6,FALSE)</f>
        <v>No</v>
      </c>
      <c r="H1683">
        <f>VLOOKUP(Table2[[#This Row],[Customer ID]],Table2[#All],7,FALSE)</f>
        <v>0</v>
      </c>
      <c r="I1683" t="str">
        <f>VLOOKUP(Table2[[#This Row],[Customer ID]],Table2[#All],8,FALSE)</f>
        <v>No</v>
      </c>
      <c r="J1683" t="str">
        <f>VLOOKUP(Table2[[#This Row],[Customer ID]],Table2[#All],9,FALSE)</f>
        <v>Normalweight</v>
      </c>
      <c r="K1683" t="str">
        <f>VLOOKUP(Table2[[#This Row],[Customer ID]],Table2[#All],10,FALSE)</f>
        <v>Diabetes</v>
      </c>
    </row>
    <row r="1684" spans="1:11" ht="15.6" x14ac:dyDescent="0.3">
      <c r="A1684" s="1" t="s">
        <v>688</v>
      </c>
      <c r="B1684" t="str">
        <f>VLOOKUP('Customer Names'!A1684,'Customer Names'!$A$1:$E$2336,4,FALSE)</f>
        <v>Ms.  Jacqueline</v>
      </c>
      <c r="C1684">
        <f>VLOOKUP(Table2[[#This Row],[Customer ID]],Table2[#All],2,FALSE)</f>
        <v>33.25</v>
      </c>
      <c r="D1684">
        <f>VLOOKUP(Table2[[#This Row],[Customer ID]],Table2[#All],3,FALSE)</f>
        <v>5.62</v>
      </c>
      <c r="E1684" t="str">
        <f>VLOOKUP(Table2[[#This Row],[Customer ID]],Table2[#All],4,FALSE)</f>
        <v>Yes</v>
      </c>
      <c r="F1684" t="str">
        <f>VLOOKUP(Table2[[#This Row],[Customer ID]],Table2[#All],5,FALSE)</f>
        <v>No</v>
      </c>
      <c r="G1684" t="str">
        <f>VLOOKUP(Table2[[#This Row],[Customer ID]],Table2[#All],6,FALSE)</f>
        <v>No</v>
      </c>
      <c r="H1684">
        <f>VLOOKUP(Table2[[#This Row],[Customer ID]],Table2[#All],7,FALSE)</f>
        <v>1</v>
      </c>
      <c r="I1684" t="str">
        <f>VLOOKUP(Table2[[#This Row],[Customer ID]],Table2[#All],8,FALSE)</f>
        <v>No</v>
      </c>
      <c r="J1684" t="str">
        <f>VLOOKUP(Table2[[#This Row],[Customer ID]],Table2[#All],9,FALSE)</f>
        <v>Obesity</v>
      </c>
      <c r="K1684" t="str">
        <f>VLOOKUP(Table2[[#This Row],[Customer ID]],Table2[#All],10,FALSE)</f>
        <v>Normal</v>
      </c>
    </row>
    <row r="1685" spans="1:11" ht="15.6" x14ac:dyDescent="0.3">
      <c r="A1685" s="1" t="s">
        <v>687</v>
      </c>
      <c r="B1685" t="str">
        <f>VLOOKUP('Customer Names'!A1685,'Customer Names'!$A$1:$E$2336,4,FALSE)</f>
        <v>Mr.  Yefeng</v>
      </c>
      <c r="C1685">
        <f>VLOOKUP(Table2[[#This Row],[Customer ID]],Table2[#All],2,FALSE)</f>
        <v>21.37</v>
      </c>
      <c r="D1685">
        <f>VLOOKUP(Table2[[#This Row],[Customer ID]],Table2[#All],3,FALSE)</f>
        <v>4.54</v>
      </c>
      <c r="E1685" t="str">
        <f>VLOOKUP(Table2[[#This Row],[Customer ID]],Table2[#All],4,FALSE)</f>
        <v>Yes</v>
      </c>
      <c r="F1685" t="str">
        <f>VLOOKUP(Table2[[#This Row],[Customer ID]],Table2[#All],5,FALSE)</f>
        <v>No</v>
      </c>
      <c r="G1685" t="str">
        <f>VLOOKUP(Table2[[#This Row],[Customer ID]],Table2[#All],6,FALSE)</f>
        <v>Yes</v>
      </c>
      <c r="H1685">
        <f>VLOOKUP(Table2[[#This Row],[Customer ID]],Table2[#All],7,FALSE)</f>
        <v>1</v>
      </c>
      <c r="I1685" t="str">
        <f>VLOOKUP(Table2[[#This Row],[Customer ID]],Table2[#All],8,FALSE)</f>
        <v>No</v>
      </c>
      <c r="J1685" t="str">
        <f>VLOOKUP(Table2[[#This Row],[Customer ID]],Table2[#All],9,FALSE)</f>
        <v>Normalweight</v>
      </c>
      <c r="K1685" t="str">
        <f>VLOOKUP(Table2[[#This Row],[Customer ID]],Table2[#All],10,FALSE)</f>
        <v>Normal</v>
      </c>
    </row>
    <row r="1686" spans="1:11" ht="15.6" x14ac:dyDescent="0.3">
      <c r="A1686" s="1" t="s">
        <v>686</v>
      </c>
      <c r="B1686" t="str">
        <f>VLOOKUP('Customer Names'!A1686,'Customer Names'!$A$1:$E$2336,4,FALSE)</f>
        <v>Mr.  Thomas J</v>
      </c>
      <c r="C1686">
        <f>VLOOKUP(Table2[[#This Row],[Customer ID]],Table2[#All],2,FALSE)</f>
        <v>34.43</v>
      </c>
      <c r="D1686">
        <f>VLOOKUP(Table2[[#This Row],[Customer ID]],Table2[#All],3,FALSE)</f>
        <v>8.6199999999999992</v>
      </c>
      <c r="E1686" t="str">
        <f>VLOOKUP(Table2[[#This Row],[Customer ID]],Table2[#All],4,FALSE)</f>
        <v>Yes</v>
      </c>
      <c r="F1686" t="str">
        <f>VLOOKUP(Table2[[#This Row],[Customer ID]],Table2[#All],5,FALSE)</f>
        <v>No</v>
      </c>
      <c r="G1686" t="str">
        <f>VLOOKUP(Table2[[#This Row],[Customer ID]],Table2[#All],6,FALSE)</f>
        <v>No</v>
      </c>
      <c r="H1686">
        <f>VLOOKUP(Table2[[#This Row],[Customer ID]],Table2[#All],7,FALSE)</f>
        <v>1</v>
      </c>
      <c r="I1686" t="str">
        <f>VLOOKUP(Table2[[#This Row],[Customer ID]],Table2[#All],8,FALSE)</f>
        <v>No</v>
      </c>
      <c r="J1686" t="str">
        <f>VLOOKUP(Table2[[#This Row],[Customer ID]],Table2[#All],9,FALSE)</f>
        <v>Obesity</v>
      </c>
      <c r="K1686" t="str">
        <f>VLOOKUP(Table2[[#This Row],[Customer ID]],Table2[#All],10,FALSE)</f>
        <v>Diabetes</v>
      </c>
    </row>
    <row r="1687" spans="1:11" ht="15.6" x14ac:dyDescent="0.3">
      <c r="A1687" s="1" t="s">
        <v>685</v>
      </c>
      <c r="B1687" t="str">
        <f>VLOOKUP('Customer Names'!A1687,'Customer Names'!$A$1:$E$2336,4,FALSE)</f>
        <v>Mr.  Ken</v>
      </c>
      <c r="C1687">
        <f>VLOOKUP(Table2[[#This Row],[Customer ID]],Table2[#All],2,FALSE)</f>
        <v>20.86</v>
      </c>
      <c r="D1687">
        <f>VLOOKUP(Table2[[#This Row],[Customer ID]],Table2[#All],3,FALSE)</f>
        <v>4.3600000000000003</v>
      </c>
      <c r="E1687" t="str">
        <f>VLOOKUP(Table2[[#This Row],[Customer ID]],Table2[#All],4,FALSE)</f>
        <v>Yes</v>
      </c>
      <c r="F1687" t="str">
        <f>VLOOKUP(Table2[[#This Row],[Customer ID]],Table2[#All],5,FALSE)</f>
        <v>No</v>
      </c>
      <c r="G1687" t="str">
        <f>VLOOKUP(Table2[[#This Row],[Customer ID]],Table2[#All],6,FALSE)</f>
        <v>No</v>
      </c>
      <c r="H1687">
        <f>VLOOKUP(Table2[[#This Row],[Customer ID]],Table2[#All],7,FALSE)</f>
        <v>0</v>
      </c>
      <c r="I1687" t="str">
        <f>VLOOKUP(Table2[[#This Row],[Customer ID]],Table2[#All],8,FALSE)</f>
        <v>No</v>
      </c>
      <c r="J1687" t="str">
        <f>VLOOKUP(Table2[[#This Row],[Customer ID]],Table2[#All],9,FALSE)</f>
        <v>Normalweight</v>
      </c>
      <c r="K1687" t="str">
        <f>VLOOKUP(Table2[[#This Row],[Customer ID]],Table2[#All],10,FALSE)</f>
        <v>Normal</v>
      </c>
    </row>
    <row r="1688" spans="1:11" ht="15.6" x14ac:dyDescent="0.3">
      <c r="A1688" s="1" t="s">
        <v>684</v>
      </c>
      <c r="B1688" t="str">
        <f>VLOOKUP('Customer Names'!A1688,'Customer Names'!$A$1:$E$2336,4,FALSE)</f>
        <v>Ms.  Annie E</v>
      </c>
      <c r="C1688">
        <f>VLOOKUP(Table2[[#This Row],[Customer ID]],Table2[#All],2,FALSE)</f>
        <v>18.34</v>
      </c>
      <c r="D1688">
        <f>VLOOKUP(Table2[[#This Row],[Customer ID]],Table2[#All],3,FALSE)</f>
        <v>10.01</v>
      </c>
      <c r="E1688" t="str">
        <f>VLOOKUP(Table2[[#This Row],[Customer ID]],Table2[#All],4,FALSE)</f>
        <v>No</v>
      </c>
      <c r="F1688" t="str">
        <f>VLOOKUP(Table2[[#This Row],[Customer ID]],Table2[#All],5,FALSE)</f>
        <v>No</v>
      </c>
      <c r="G1688" t="str">
        <f>VLOOKUP(Table2[[#This Row],[Customer ID]],Table2[#All],6,FALSE)</f>
        <v>No</v>
      </c>
      <c r="H1688">
        <f>VLOOKUP(Table2[[#This Row],[Customer ID]],Table2[#All],7,FALSE)</f>
        <v>0</v>
      </c>
      <c r="I1688" t="str">
        <f>VLOOKUP(Table2[[#This Row],[Customer ID]],Table2[#All],8,FALSE)</f>
        <v>No</v>
      </c>
      <c r="J1688" t="str">
        <f>VLOOKUP(Table2[[#This Row],[Customer ID]],Table2[#All],9,FALSE)</f>
        <v>Underweight</v>
      </c>
      <c r="K1688" t="str">
        <f>VLOOKUP(Table2[[#This Row],[Customer ID]],Table2[#All],10,FALSE)</f>
        <v>Diabetes</v>
      </c>
    </row>
    <row r="1689" spans="1:11" ht="15.6" x14ac:dyDescent="0.3">
      <c r="A1689" s="1" t="s">
        <v>683</v>
      </c>
      <c r="B1689" t="str">
        <f>VLOOKUP('Customer Names'!A1689,'Customer Names'!$A$1:$E$2336,4,FALSE)</f>
        <v>Mrs.  Noel K.</v>
      </c>
      <c r="C1689">
        <f>VLOOKUP(Table2[[#This Row],[Customer ID]],Table2[#All],2,FALSE)</f>
        <v>34.15</v>
      </c>
      <c r="D1689">
        <f>VLOOKUP(Table2[[#This Row],[Customer ID]],Table2[#All],3,FALSE)</f>
        <v>5.42</v>
      </c>
      <c r="E1689" t="str">
        <f>VLOOKUP(Table2[[#This Row],[Customer ID]],Table2[#All],4,FALSE)</f>
        <v>No</v>
      </c>
      <c r="F1689" t="str">
        <f>VLOOKUP(Table2[[#This Row],[Customer ID]],Table2[#All],5,FALSE)</f>
        <v>No</v>
      </c>
      <c r="G1689" t="str">
        <f>VLOOKUP(Table2[[#This Row],[Customer ID]],Table2[#All],6,FALSE)</f>
        <v>No</v>
      </c>
      <c r="H1689">
        <f>VLOOKUP(Table2[[#This Row],[Customer ID]],Table2[#All],7,FALSE)</f>
        <v>0</v>
      </c>
      <c r="I1689" t="str">
        <f>VLOOKUP(Table2[[#This Row],[Customer ID]],Table2[#All],8,FALSE)</f>
        <v>No</v>
      </c>
      <c r="J1689" t="str">
        <f>VLOOKUP(Table2[[#This Row],[Customer ID]],Table2[#All],9,FALSE)</f>
        <v>Obesity</v>
      </c>
      <c r="K1689" t="str">
        <f>VLOOKUP(Table2[[#This Row],[Customer ID]],Table2[#All],10,FALSE)</f>
        <v>Normal</v>
      </c>
    </row>
    <row r="1690" spans="1:11" ht="15.6" x14ac:dyDescent="0.3">
      <c r="A1690" s="1" t="s">
        <v>682</v>
      </c>
      <c r="B1690" t="str">
        <f>VLOOKUP('Customer Names'!A1690,'Customer Names'!$A$1:$E$2336,4,FALSE)</f>
        <v>Mr.  Mark S</v>
      </c>
      <c r="C1690">
        <f>VLOOKUP(Table2[[#This Row],[Customer ID]],Table2[#All],2,FALSE)</f>
        <v>18.350000000000001</v>
      </c>
      <c r="D1690">
        <f>VLOOKUP(Table2[[#This Row],[Customer ID]],Table2[#All],3,FALSE)</f>
        <v>5.12</v>
      </c>
      <c r="E1690" t="str">
        <f>VLOOKUP(Table2[[#This Row],[Customer ID]],Table2[#All],4,FALSE)</f>
        <v>No</v>
      </c>
      <c r="F1690" t="str">
        <f>VLOOKUP(Table2[[#This Row],[Customer ID]],Table2[#All],5,FALSE)</f>
        <v>No</v>
      </c>
      <c r="G1690" t="str">
        <f>VLOOKUP(Table2[[#This Row],[Customer ID]],Table2[#All],6,FALSE)</f>
        <v>No</v>
      </c>
      <c r="H1690">
        <f>VLOOKUP(Table2[[#This Row],[Customer ID]],Table2[#All],7,FALSE)</f>
        <v>0</v>
      </c>
      <c r="I1690" t="str">
        <f>VLOOKUP(Table2[[#This Row],[Customer ID]],Table2[#All],8,FALSE)</f>
        <v>No</v>
      </c>
      <c r="J1690" t="str">
        <f>VLOOKUP(Table2[[#This Row],[Customer ID]],Table2[#All],9,FALSE)</f>
        <v>Underweight</v>
      </c>
      <c r="K1690" t="str">
        <f>VLOOKUP(Table2[[#This Row],[Customer ID]],Table2[#All],10,FALSE)</f>
        <v>Normal</v>
      </c>
    </row>
    <row r="1691" spans="1:11" ht="15.6" x14ac:dyDescent="0.3">
      <c r="A1691" s="1" t="s">
        <v>681</v>
      </c>
      <c r="B1691" t="str">
        <f>VLOOKUP('Customer Names'!A1691,'Customer Names'!$A$1:$E$2336,4,FALSE)</f>
        <v>Ms.  Federica</v>
      </c>
      <c r="C1691">
        <f>VLOOKUP(Table2[[#This Row],[Customer ID]],Table2[#All],2,FALSE)</f>
        <v>22.13</v>
      </c>
      <c r="D1691">
        <f>VLOOKUP(Table2[[#This Row],[Customer ID]],Table2[#All],3,FALSE)</f>
        <v>9.1999999999999993</v>
      </c>
      <c r="E1691" t="str">
        <f>VLOOKUP(Table2[[#This Row],[Customer ID]],Table2[#All],4,FALSE)</f>
        <v>Yes</v>
      </c>
      <c r="F1691" t="str">
        <f>VLOOKUP(Table2[[#This Row],[Customer ID]],Table2[#All],5,FALSE)</f>
        <v>No</v>
      </c>
      <c r="G1691" t="str">
        <f>VLOOKUP(Table2[[#This Row],[Customer ID]],Table2[#All],6,FALSE)</f>
        <v>No</v>
      </c>
      <c r="H1691">
        <f>VLOOKUP(Table2[[#This Row],[Customer ID]],Table2[#All],7,FALSE)</f>
        <v>0</v>
      </c>
      <c r="I1691" t="str">
        <f>VLOOKUP(Table2[[#This Row],[Customer ID]],Table2[#All],8,FALSE)</f>
        <v>No</v>
      </c>
      <c r="J1691" t="str">
        <f>VLOOKUP(Table2[[#This Row],[Customer ID]],Table2[#All],9,FALSE)</f>
        <v>Normalweight</v>
      </c>
      <c r="K1691" t="str">
        <f>VLOOKUP(Table2[[#This Row],[Customer ID]],Table2[#All],10,FALSE)</f>
        <v>Diabetes</v>
      </c>
    </row>
    <row r="1692" spans="1:11" ht="15.6" x14ac:dyDescent="0.3">
      <c r="A1692" s="1" t="s">
        <v>680</v>
      </c>
      <c r="B1692" t="str">
        <f>VLOOKUP('Customer Names'!A1692,'Customer Names'!$A$1:$E$2336,4,FALSE)</f>
        <v>Ms.  Pamela L</v>
      </c>
      <c r="C1692">
        <f>VLOOKUP(Table2[[#This Row],[Customer ID]],Table2[#All],2,FALSE)</f>
        <v>22.51</v>
      </c>
      <c r="D1692">
        <f>VLOOKUP(Table2[[#This Row],[Customer ID]],Table2[#All],3,FALSE)</f>
        <v>6.08</v>
      </c>
      <c r="E1692" t="str">
        <f>VLOOKUP(Table2[[#This Row],[Customer ID]],Table2[#All],4,FALSE)</f>
        <v>Yes</v>
      </c>
      <c r="F1692" t="str">
        <f>VLOOKUP(Table2[[#This Row],[Customer ID]],Table2[#All],5,FALSE)</f>
        <v>No</v>
      </c>
      <c r="G1692" t="str">
        <f>VLOOKUP(Table2[[#This Row],[Customer ID]],Table2[#All],6,FALSE)</f>
        <v>No</v>
      </c>
      <c r="H1692">
        <f>VLOOKUP(Table2[[#This Row],[Customer ID]],Table2[#All],7,FALSE)</f>
        <v>1</v>
      </c>
      <c r="I1692" t="str">
        <f>VLOOKUP(Table2[[#This Row],[Customer ID]],Table2[#All],8,FALSE)</f>
        <v>No</v>
      </c>
      <c r="J1692" t="str">
        <f>VLOOKUP(Table2[[#This Row],[Customer ID]],Table2[#All],9,FALSE)</f>
        <v>Normalweight</v>
      </c>
      <c r="K1692" t="str">
        <f>VLOOKUP(Table2[[#This Row],[Customer ID]],Table2[#All],10,FALSE)</f>
        <v>Prediabetes</v>
      </c>
    </row>
    <row r="1693" spans="1:11" ht="15.6" x14ac:dyDescent="0.3">
      <c r="A1693" s="1" t="s">
        <v>679</v>
      </c>
      <c r="B1693" t="str">
        <f>VLOOKUP('Customer Names'!A1693,'Customer Names'!$A$1:$E$2336,4,FALSE)</f>
        <v>Mr.  Andrew W.</v>
      </c>
      <c r="C1693">
        <f>VLOOKUP(Table2[[#This Row],[Customer ID]],Table2[#All],2,FALSE)</f>
        <v>31</v>
      </c>
      <c r="D1693">
        <f>VLOOKUP(Table2[[#This Row],[Customer ID]],Table2[#All],3,FALSE)</f>
        <v>4.7699999999999996</v>
      </c>
      <c r="E1693" t="str">
        <f>VLOOKUP(Table2[[#This Row],[Customer ID]],Table2[#All],4,FALSE)</f>
        <v>No</v>
      </c>
      <c r="F1693" t="str">
        <f>VLOOKUP(Table2[[#This Row],[Customer ID]],Table2[#All],5,FALSE)</f>
        <v>No</v>
      </c>
      <c r="G1693" t="str">
        <f>VLOOKUP(Table2[[#This Row],[Customer ID]],Table2[#All],6,FALSE)</f>
        <v>No</v>
      </c>
      <c r="H1693">
        <f>VLOOKUP(Table2[[#This Row],[Customer ID]],Table2[#All],7,FALSE)</f>
        <v>1</v>
      </c>
      <c r="I1693" t="str">
        <f>VLOOKUP(Table2[[#This Row],[Customer ID]],Table2[#All],8,FALSE)</f>
        <v>No</v>
      </c>
      <c r="J1693" t="str">
        <f>VLOOKUP(Table2[[#This Row],[Customer ID]],Table2[#All],9,FALSE)</f>
        <v>Obesity</v>
      </c>
      <c r="K1693" t="str">
        <f>VLOOKUP(Table2[[#This Row],[Customer ID]],Table2[#All],10,FALSE)</f>
        <v>Normal</v>
      </c>
    </row>
    <row r="1694" spans="1:11" ht="15.6" x14ac:dyDescent="0.3">
      <c r="A1694" s="1" t="s">
        <v>678</v>
      </c>
      <c r="B1694" t="str">
        <f>VLOOKUP('Customer Names'!A1694,'Customer Names'!$A$1:$E$2336,4,FALSE)</f>
        <v>Mr.  Randall</v>
      </c>
      <c r="C1694">
        <f>VLOOKUP(Table2[[#This Row],[Customer ID]],Table2[#All],2,FALSE)</f>
        <v>28.27</v>
      </c>
      <c r="D1694">
        <f>VLOOKUP(Table2[[#This Row],[Customer ID]],Table2[#All],3,FALSE)</f>
        <v>4.62</v>
      </c>
      <c r="E1694" t="str">
        <f>VLOOKUP(Table2[[#This Row],[Customer ID]],Table2[#All],4,FALSE)</f>
        <v>No</v>
      </c>
      <c r="F1694" t="str">
        <f>VLOOKUP(Table2[[#This Row],[Customer ID]],Table2[#All],5,FALSE)</f>
        <v>No</v>
      </c>
      <c r="G1694" t="str">
        <f>VLOOKUP(Table2[[#This Row],[Customer ID]],Table2[#All],6,FALSE)</f>
        <v>No</v>
      </c>
      <c r="H1694">
        <f>VLOOKUP(Table2[[#This Row],[Customer ID]],Table2[#All],7,FALSE)</f>
        <v>1</v>
      </c>
      <c r="I1694" t="str">
        <f>VLOOKUP(Table2[[#This Row],[Customer ID]],Table2[#All],8,FALSE)</f>
        <v>No</v>
      </c>
      <c r="J1694" t="str">
        <f>VLOOKUP(Table2[[#This Row],[Customer ID]],Table2[#All],9,FALSE)</f>
        <v>Overweight</v>
      </c>
      <c r="K1694" t="str">
        <f>VLOOKUP(Table2[[#This Row],[Customer ID]],Table2[#All],10,FALSE)</f>
        <v>Normal</v>
      </c>
    </row>
    <row r="1695" spans="1:11" ht="15.6" x14ac:dyDescent="0.3">
      <c r="A1695" s="1" t="s">
        <v>677</v>
      </c>
      <c r="B1695" t="str">
        <f>VLOOKUP('Customer Names'!A1695,'Customer Names'!$A$1:$E$2336,4,FALSE)</f>
        <v>Ms.  Tracy L</v>
      </c>
      <c r="C1695">
        <f>VLOOKUP(Table2[[#This Row],[Customer ID]],Table2[#All],2,FALSE)</f>
        <v>29.92</v>
      </c>
      <c r="D1695">
        <f>VLOOKUP(Table2[[#This Row],[Customer ID]],Table2[#All],3,FALSE)</f>
        <v>9.07</v>
      </c>
      <c r="E1695" t="str">
        <f>VLOOKUP(Table2[[#This Row],[Customer ID]],Table2[#All],4,FALSE)</f>
        <v>Yes</v>
      </c>
      <c r="F1695" t="str">
        <f>VLOOKUP(Table2[[#This Row],[Customer ID]],Table2[#All],5,FALSE)</f>
        <v>No</v>
      </c>
      <c r="G1695" t="str">
        <f>VLOOKUP(Table2[[#This Row],[Customer ID]],Table2[#All],6,FALSE)</f>
        <v>No</v>
      </c>
      <c r="H1695">
        <f>VLOOKUP(Table2[[#This Row],[Customer ID]],Table2[#All],7,FALSE)</f>
        <v>1</v>
      </c>
      <c r="I1695" t="str">
        <f>VLOOKUP(Table2[[#This Row],[Customer ID]],Table2[#All],8,FALSE)</f>
        <v>No</v>
      </c>
      <c r="J1695" t="str">
        <f>VLOOKUP(Table2[[#This Row],[Customer ID]],Table2[#All],9,FALSE)</f>
        <v>Overweight</v>
      </c>
      <c r="K1695" t="str">
        <f>VLOOKUP(Table2[[#This Row],[Customer ID]],Table2[#All],10,FALSE)</f>
        <v>Diabetes</v>
      </c>
    </row>
    <row r="1696" spans="1:11" ht="15.6" x14ac:dyDescent="0.3">
      <c r="A1696" s="1" t="s">
        <v>676</v>
      </c>
      <c r="B1696" t="str">
        <f>VLOOKUP('Customer Names'!A1696,'Customer Names'!$A$1:$E$2336,4,FALSE)</f>
        <v>Ms.  Azelie</v>
      </c>
      <c r="C1696">
        <f>VLOOKUP(Table2[[#This Row],[Customer ID]],Table2[#All],2,FALSE)</f>
        <v>25.9</v>
      </c>
      <c r="D1696">
        <f>VLOOKUP(Table2[[#This Row],[Customer ID]],Table2[#All],3,FALSE)</f>
        <v>9.1199999999999992</v>
      </c>
      <c r="E1696" t="str">
        <f>VLOOKUP(Table2[[#This Row],[Customer ID]],Table2[#All],4,FALSE)</f>
        <v>Yes</v>
      </c>
      <c r="F1696" t="str">
        <f>VLOOKUP(Table2[[#This Row],[Customer ID]],Table2[#All],5,FALSE)</f>
        <v>No</v>
      </c>
      <c r="G1696" t="str">
        <f>VLOOKUP(Table2[[#This Row],[Customer ID]],Table2[#All],6,FALSE)</f>
        <v>No</v>
      </c>
      <c r="H1696">
        <f>VLOOKUP(Table2[[#This Row],[Customer ID]],Table2[#All],7,FALSE)</f>
        <v>1</v>
      </c>
      <c r="I1696" t="str">
        <f>VLOOKUP(Table2[[#This Row],[Customer ID]],Table2[#All],8,FALSE)</f>
        <v>No</v>
      </c>
      <c r="J1696" t="str">
        <f>VLOOKUP(Table2[[#This Row],[Customer ID]],Table2[#All],9,FALSE)</f>
        <v>Overweight</v>
      </c>
      <c r="K1696" t="str">
        <f>VLOOKUP(Table2[[#This Row],[Customer ID]],Table2[#All],10,FALSE)</f>
        <v>Diabetes</v>
      </c>
    </row>
    <row r="1697" spans="1:11" ht="15.6" x14ac:dyDescent="0.3">
      <c r="A1697" s="1" t="s">
        <v>675</v>
      </c>
      <c r="B1697" t="str">
        <f>VLOOKUP('Customer Names'!A1697,'Customer Names'!$A$1:$E$2336,4,FALSE)</f>
        <v>Ms.  Monica M.</v>
      </c>
      <c r="C1697">
        <f>VLOOKUP(Table2[[#This Row],[Customer ID]],Table2[#All],2,FALSE)</f>
        <v>27.74</v>
      </c>
      <c r="D1697">
        <f>VLOOKUP(Table2[[#This Row],[Customer ID]],Table2[#All],3,FALSE)</f>
        <v>7.32</v>
      </c>
      <c r="E1697" t="str">
        <f>VLOOKUP(Table2[[#This Row],[Customer ID]],Table2[#All],4,FALSE)</f>
        <v>Yes</v>
      </c>
      <c r="F1697" t="str">
        <f>VLOOKUP(Table2[[#This Row],[Customer ID]],Table2[#All],5,FALSE)</f>
        <v>No</v>
      </c>
      <c r="G1697" t="str">
        <f>VLOOKUP(Table2[[#This Row],[Customer ID]],Table2[#All],6,FALSE)</f>
        <v>No</v>
      </c>
      <c r="H1697">
        <f>VLOOKUP(Table2[[#This Row],[Customer ID]],Table2[#All],7,FALSE)</f>
        <v>1</v>
      </c>
      <c r="I1697" t="str">
        <f>VLOOKUP(Table2[[#This Row],[Customer ID]],Table2[#All],8,FALSE)</f>
        <v>No</v>
      </c>
      <c r="J1697" t="str">
        <f>VLOOKUP(Table2[[#This Row],[Customer ID]],Table2[#All],9,FALSE)</f>
        <v>Overweight</v>
      </c>
      <c r="K1697" t="str">
        <f>VLOOKUP(Table2[[#This Row],[Customer ID]],Table2[#All],10,FALSE)</f>
        <v>Diabetes</v>
      </c>
    </row>
    <row r="1698" spans="1:11" ht="15.6" x14ac:dyDescent="0.3">
      <c r="A1698" s="1" t="s">
        <v>674</v>
      </c>
      <c r="B1698" t="str">
        <f>VLOOKUP('Customer Names'!A1698,'Customer Names'!$A$1:$E$2336,4,FALSE)</f>
        <v>Ms.  Katarina K.</v>
      </c>
      <c r="C1698">
        <f>VLOOKUP(Table2[[#This Row],[Customer ID]],Table2[#All],2,FALSE)</f>
        <v>17.260000000000002</v>
      </c>
      <c r="D1698">
        <f>VLOOKUP(Table2[[#This Row],[Customer ID]],Table2[#All],3,FALSE)</f>
        <v>11.73</v>
      </c>
      <c r="E1698" t="str">
        <f>VLOOKUP(Table2[[#This Row],[Customer ID]],Table2[#All],4,FALSE)</f>
        <v>No</v>
      </c>
      <c r="F1698" t="str">
        <f>VLOOKUP(Table2[[#This Row],[Customer ID]],Table2[#All],5,FALSE)</f>
        <v>No</v>
      </c>
      <c r="G1698" t="str">
        <f>VLOOKUP(Table2[[#This Row],[Customer ID]],Table2[#All],6,FALSE)</f>
        <v>No</v>
      </c>
      <c r="H1698">
        <f>VLOOKUP(Table2[[#This Row],[Customer ID]],Table2[#All],7,FALSE)</f>
        <v>2</v>
      </c>
      <c r="I1698" t="str">
        <f>VLOOKUP(Table2[[#This Row],[Customer ID]],Table2[#All],8,FALSE)</f>
        <v>No</v>
      </c>
      <c r="J1698" t="str">
        <f>VLOOKUP(Table2[[#This Row],[Customer ID]],Table2[#All],9,FALSE)</f>
        <v>Underweight</v>
      </c>
      <c r="K1698" t="str">
        <f>VLOOKUP(Table2[[#This Row],[Customer ID]],Table2[#All],10,FALSE)</f>
        <v>Diabetes</v>
      </c>
    </row>
    <row r="1699" spans="1:11" ht="15.6" x14ac:dyDescent="0.3">
      <c r="A1699" s="1" t="s">
        <v>673</v>
      </c>
      <c r="B1699" t="str">
        <f>VLOOKUP('Customer Names'!A1699,'Customer Names'!$A$1:$E$2336,4,FALSE)</f>
        <v>Ms.  Jamie L.</v>
      </c>
      <c r="C1699">
        <f>VLOOKUP(Table2[[#This Row],[Customer ID]],Table2[#All],2,FALSE)</f>
        <v>19.855</v>
      </c>
      <c r="D1699">
        <f>VLOOKUP(Table2[[#This Row],[Customer ID]],Table2[#All],3,FALSE)</f>
        <v>6.64</v>
      </c>
      <c r="E1699" t="str">
        <f>VLOOKUP(Table2[[#This Row],[Customer ID]],Table2[#All],4,FALSE)</f>
        <v>Yes</v>
      </c>
      <c r="F1699" t="str">
        <f>VLOOKUP(Table2[[#This Row],[Customer ID]],Table2[#All],5,FALSE)</f>
        <v>No</v>
      </c>
      <c r="G1699" t="str">
        <f>VLOOKUP(Table2[[#This Row],[Customer ID]],Table2[#All],6,FALSE)</f>
        <v>No</v>
      </c>
      <c r="H1699">
        <f>VLOOKUP(Table2[[#This Row],[Customer ID]],Table2[#All],7,FALSE)</f>
        <v>1</v>
      </c>
      <c r="I1699" t="str">
        <f>VLOOKUP(Table2[[#This Row],[Customer ID]],Table2[#All],8,FALSE)</f>
        <v>No</v>
      </c>
      <c r="J1699" t="str">
        <f>VLOOKUP(Table2[[#This Row],[Customer ID]],Table2[#All],9,FALSE)</f>
        <v>Normalweight</v>
      </c>
      <c r="K1699" t="str">
        <f>VLOOKUP(Table2[[#This Row],[Customer ID]],Table2[#All],10,FALSE)</f>
        <v>Diabetes</v>
      </c>
    </row>
    <row r="1700" spans="1:11" ht="15.6" x14ac:dyDescent="0.3">
      <c r="A1700" s="1" t="s">
        <v>672</v>
      </c>
      <c r="B1700" t="str">
        <f>VLOOKUP('Customer Names'!A1700,'Customer Names'!$A$1:$E$2336,4,FALSE)</f>
        <v>Mr.  Brian</v>
      </c>
      <c r="C1700">
        <f>VLOOKUP(Table2[[#This Row],[Customer ID]],Table2[#All],2,FALSE)</f>
        <v>41.69</v>
      </c>
      <c r="D1700">
        <f>VLOOKUP(Table2[[#This Row],[Customer ID]],Table2[#All],3,FALSE)</f>
        <v>5.78</v>
      </c>
      <c r="E1700" t="str">
        <f>VLOOKUP(Table2[[#This Row],[Customer ID]],Table2[#All],4,FALSE)</f>
        <v>No</v>
      </c>
      <c r="F1700" t="str">
        <f>VLOOKUP(Table2[[#This Row],[Customer ID]],Table2[#All],5,FALSE)</f>
        <v>No</v>
      </c>
      <c r="G1700" t="str">
        <f>VLOOKUP(Table2[[#This Row],[Customer ID]],Table2[#All],6,FALSE)</f>
        <v>No</v>
      </c>
      <c r="H1700">
        <f>VLOOKUP(Table2[[#This Row],[Customer ID]],Table2[#All],7,FALSE)</f>
        <v>0</v>
      </c>
      <c r="I1700" t="str">
        <f>VLOOKUP(Table2[[#This Row],[Customer ID]],Table2[#All],8,FALSE)</f>
        <v>No</v>
      </c>
      <c r="J1700" t="str">
        <f>VLOOKUP(Table2[[#This Row],[Customer ID]],Table2[#All],9,FALSE)</f>
        <v>Obesity</v>
      </c>
      <c r="K1700" t="str">
        <f>VLOOKUP(Table2[[#This Row],[Customer ID]],Table2[#All],10,FALSE)</f>
        <v>Prediabetes</v>
      </c>
    </row>
    <row r="1701" spans="1:11" ht="15.6" x14ac:dyDescent="0.3">
      <c r="A1701" s="1" t="s">
        <v>671</v>
      </c>
      <c r="B1701" t="str">
        <f>VLOOKUP('Customer Names'!A1701,'Customer Names'!$A$1:$E$2336,4,FALSE)</f>
        <v>Ms.  Stacey L.</v>
      </c>
      <c r="C1701">
        <f>VLOOKUP(Table2[[#This Row],[Customer ID]],Table2[#All],2,FALSE)</f>
        <v>16.12</v>
      </c>
      <c r="D1701">
        <f>VLOOKUP(Table2[[#This Row],[Customer ID]],Table2[#All],3,FALSE)</f>
        <v>10.45</v>
      </c>
      <c r="E1701" t="str">
        <f>VLOOKUP(Table2[[#This Row],[Customer ID]],Table2[#All],4,FALSE)</f>
        <v>No</v>
      </c>
      <c r="F1701" t="str">
        <f>VLOOKUP(Table2[[#This Row],[Customer ID]],Table2[#All],5,FALSE)</f>
        <v>No</v>
      </c>
      <c r="G1701" t="str">
        <f>VLOOKUP(Table2[[#This Row],[Customer ID]],Table2[#All],6,FALSE)</f>
        <v>No</v>
      </c>
      <c r="H1701">
        <f>VLOOKUP(Table2[[#This Row],[Customer ID]],Table2[#All],7,FALSE)</f>
        <v>0</v>
      </c>
      <c r="I1701" t="str">
        <f>VLOOKUP(Table2[[#This Row],[Customer ID]],Table2[#All],8,FALSE)</f>
        <v>No</v>
      </c>
      <c r="J1701" t="str">
        <f>VLOOKUP(Table2[[#This Row],[Customer ID]],Table2[#All],9,FALSE)</f>
        <v>Underweight</v>
      </c>
      <c r="K1701" t="str">
        <f>VLOOKUP(Table2[[#This Row],[Customer ID]],Table2[#All],10,FALSE)</f>
        <v>Diabetes</v>
      </c>
    </row>
    <row r="1702" spans="1:11" ht="15.6" x14ac:dyDescent="0.3">
      <c r="A1702" s="1" t="s">
        <v>670</v>
      </c>
      <c r="B1702" t="str">
        <f>VLOOKUP('Customer Names'!A1702,'Customer Names'!$A$1:$E$2336,4,FALSE)</f>
        <v>Mr.  Stephen</v>
      </c>
      <c r="C1702">
        <f>VLOOKUP(Table2[[#This Row],[Customer ID]],Table2[#All],2,FALSE)</f>
        <v>37.43</v>
      </c>
      <c r="D1702">
        <f>VLOOKUP(Table2[[#This Row],[Customer ID]],Table2[#All],3,FALSE)</f>
        <v>4.5199999999999996</v>
      </c>
      <c r="E1702" t="str">
        <f>VLOOKUP(Table2[[#This Row],[Customer ID]],Table2[#All],4,FALSE)</f>
        <v>No</v>
      </c>
      <c r="F1702" t="str">
        <f>VLOOKUP(Table2[[#This Row],[Customer ID]],Table2[#All],5,FALSE)</f>
        <v>No</v>
      </c>
      <c r="G1702" t="str">
        <f>VLOOKUP(Table2[[#This Row],[Customer ID]],Table2[#All],6,FALSE)</f>
        <v>No</v>
      </c>
      <c r="H1702">
        <f>VLOOKUP(Table2[[#This Row],[Customer ID]],Table2[#All],7,FALSE)</f>
        <v>1</v>
      </c>
      <c r="I1702" t="str">
        <f>VLOOKUP(Table2[[#This Row],[Customer ID]],Table2[#All],8,FALSE)</f>
        <v>No</v>
      </c>
      <c r="J1702" t="str">
        <f>VLOOKUP(Table2[[#This Row],[Customer ID]],Table2[#All],9,FALSE)</f>
        <v>Obesity</v>
      </c>
      <c r="K1702" t="str">
        <f>VLOOKUP(Table2[[#This Row],[Customer ID]],Table2[#All],10,FALSE)</f>
        <v>Normal</v>
      </c>
    </row>
    <row r="1703" spans="1:11" ht="15.6" x14ac:dyDescent="0.3">
      <c r="A1703" s="1" t="s">
        <v>669</v>
      </c>
      <c r="B1703" t="str">
        <f>VLOOKUP('Customer Names'!A1703,'Customer Names'!$A$1:$E$2336,4,FALSE)</f>
        <v>Mr.  Joshua</v>
      </c>
      <c r="C1703">
        <f>VLOOKUP(Table2[[#This Row],[Customer ID]],Table2[#All],2,FALSE)</f>
        <v>31.065000000000001</v>
      </c>
      <c r="D1703">
        <f>VLOOKUP(Table2[[#This Row],[Customer ID]],Table2[#All],3,FALSE)</f>
        <v>5.71</v>
      </c>
      <c r="E1703" t="str">
        <f>VLOOKUP(Table2[[#This Row],[Customer ID]],Table2[#All],4,FALSE)</f>
        <v>No</v>
      </c>
      <c r="F1703" t="str">
        <f>VLOOKUP(Table2[[#This Row],[Customer ID]],Table2[#All],5,FALSE)</f>
        <v>No</v>
      </c>
      <c r="G1703" t="str">
        <f>VLOOKUP(Table2[[#This Row],[Customer ID]],Table2[#All],6,FALSE)</f>
        <v>No</v>
      </c>
      <c r="H1703">
        <f>VLOOKUP(Table2[[#This Row],[Customer ID]],Table2[#All],7,FALSE)</f>
        <v>0</v>
      </c>
      <c r="I1703" t="str">
        <f>VLOOKUP(Table2[[#This Row],[Customer ID]],Table2[#All],8,FALSE)</f>
        <v>No</v>
      </c>
      <c r="J1703" t="str">
        <f>VLOOKUP(Table2[[#This Row],[Customer ID]],Table2[#All],9,FALSE)</f>
        <v>Obesity</v>
      </c>
      <c r="K1703" t="str">
        <f>VLOOKUP(Table2[[#This Row],[Customer ID]],Table2[#All],10,FALSE)</f>
        <v>Prediabetes</v>
      </c>
    </row>
    <row r="1704" spans="1:11" ht="15.6" x14ac:dyDescent="0.3">
      <c r="A1704" s="1" t="s">
        <v>668</v>
      </c>
      <c r="B1704" t="str">
        <f>VLOOKUP('Customer Names'!A1704,'Customer Names'!$A$1:$E$2336,4,FALSE)</f>
        <v>Mr.  Josh</v>
      </c>
      <c r="C1704">
        <f>VLOOKUP(Table2[[#This Row],[Customer ID]],Table2[#All],2,FALSE)</f>
        <v>25.08</v>
      </c>
      <c r="D1704">
        <f>VLOOKUP(Table2[[#This Row],[Customer ID]],Table2[#All],3,FALSE)</f>
        <v>4.7699999999999996</v>
      </c>
      <c r="E1704" t="str">
        <f>VLOOKUP(Table2[[#This Row],[Customer ID]],Table2[#All],4,FALSE)</f>
        <v>No</v>
      </c>
      <c r="F1704" t="str">
        <f>VLOOKUP(Table2[[#This Row],[Customer ID]],Table2[#All],5,FALSE)</f>
        <v>No</v>
      </c>
      <c r="G1704" t="str">
        <f>VLOOKUP(Table2[[#This Row],[Customer ID]],Table2[#All],6,FALSE)</f>
        <v>No</v>
      </c>
      <c r="H1704">
        <f>VLOOKUP(Table2[[#This Row],[Customer ID]],Table2[#All],7,FALSE)</f>
        <v>0</v>
      </c>
      <c r="I1704" t="str">
        <f>VLOOKUP(Table2[[#This Row],[Customer ID]],Table2[#All],8,FALSE)</f>
        <v>No</v>
      </c>
      <c r="J1704" t="str">
        <f>VLOOKUP(Table2[[#This Row],[Customer ID]],Table2[#All],9,FALSE)</f>
        <v>Overweight</v>
      </c>
      <c r="K1704" t="str">
        <f>VLOOKUP(Table2[[#This Row],[Customer ID]],Table2[#All],10,FALSE)</f>
        <v>Normal</v>
      </c>
    </row>
    <row r="1705" spans="1:11" ht="15.6" x14ac:dyDescent="0.3">
      <c r="A1705" s="1" t="s">
        <v>667</v>
      </c>
      <c r="B1705" t="str">
        <f>VLOOKUP('Customer Names'!A1705,'Customer Names'!$A$1:$E$2336,4,FALSE)</f>
        <v>Ms.  Heather</v>
      </c>
      <c r="C1705">
        <f>VLOOKUP(Table2[[#This Row],[Customer ID]],Table2[#All],2,FALSE)</f>
        <v>15.2</v>
      </c>
      <c r="D1705">
        <f>VLOOKUP(Table2[[#This Row],[Customer ID]],Table2[#All],3,FALSE)</f>
        <v>7.81</v>
      </c>
      <c r="E1705" t="str">
        <f>VLOOKUP(Table2[[#This Row],[Customer ID]],Table2[#All],4,FALSE)</f>
        <v>Yes</v>
      </c>
      <c r="F1705" t="str">
        <f>VLOOKUP(Table2[[#This Row],[Customer ID]],Table2[#All],5,FALSE)</f>
        <v>No</v>
      </c>
      <c r="G1705" t="str">
        <f>VLOOKUP(Table2[[#This Row],[Customer ID]],Table2[#All],6,FALSE)</f>
        <v>No</v>
      </c>
      <c r="H1705">
        <f>VLOOKUP(Table2[[#This Row],[Customer ID]],Table2[#All],7,FALSE)</f>
        <v>1</v>
      </c>
      <c r="I1705" t="str">
        <f>VLOOKUP(Table2[[#This Row],[Customer ID]],Table2[#All],8,FALSE)</f>
        <v>No</v>
      </c>
      <c r="J1705" t="str">
        <f>VLOOKUP(Table2[[#This Row],[Customer ID]],Table2[#All],9,FALSE)</f>
        <v>Underweight</v>
      </c>
      <c r="K1705" t="str">
        <f>VLOOKUP(Table2[[#This Row],[Customer ID]],Table2[#All],10,FALSE)</f>
        <v>Diabetes</v>
      </c>
    </row>
    <row r="1706" spans="1:11" ht="15.6" x14ac:dyDescent="0.3">
      <c r="A1706" s="1" t="s">
        <v>666</v>
      </c>
      <c r="B1706" t="str">
        <f>VLOOKUP('Customer Names'!A1706,'Customer Names'!$A$1:$E$2336,4,FALSE)</f>
        <v>Mr.  James C.</v>
      </c>
      <c r="C1706">
        <f>VLOOKUP(Table2[[#This Row],[Customer ID]],Table2[#All],2,FALSE)</f>
        <v>22.34</v>
      </c>
      <c r="D1706">
        <f>VLOOKUP(Table2[[#This Row],[Customer ID]],Table2[#All],3,FALSE)</f>
        <v>5.19</v>
      </c>
      <c r="E1706" t="str">
        <f>VLOOKUP(Table2[[#This Row],[Customer ID]],Table2[#All],4,FALSE)</f>
        <v>Yes</v>
      </c>
      <c r="F1706" t="str">
        <f>VLOOKUP(Table2[[#This Row],[Customer ID]],Table2[#All],5,FALSE)</f>
        <v>No</v>
      </c>
      <c r="G1706" t="str">
        <f>VLOOKUP(Table2[[#This Row],[Customer ID]],Table2[#All],6,FALSE)</f>
        <v>No</v>
      </c>
      <c r="H1706">
        <f>VLOOKUP(Table2[[#This Row],[Customer ID]],Table2[#All],7,FALSE)</f>
        <v>0</v>
      </c>
      <c r="I1706" t="str">
        <f>VLOOKUP(Table2[[#This Row],[Customer ID]],Table2[#All],8,FALSE)</f>
        <v>No</v>
      </c>
      <c r="J1706" t="str">
        <f>VLOOKUP(Table2[[#This Row],[Customer ID]],Table2[#All],9,FALSE)</f>
        <v>Normalweight</v>
      </c>
      <c r="K1706" t="str">
        <f>VLOOKUP(Table2[[#This Row],[Customer ID]],Table2[#All],10,FALSE)</f>
        <v>Normal</v>
      </c>
    </row>
    <row r="1707" spans="1:11" ht="15.6" x14ac:dyDescent="0.3">
      <c r="A1707" s="1" t="s">
        <v>665</v>
      </c>
      <c r="B1707" t="str">
        <f>VLOOKUP('Customer Names'!A1707,'Customer Names'!$A$1:$E$2336,4,FALSE)</f>
        <v>Ms.  Kim</v>
      </c>
      <c r="C1707">
        <f>VLOOKUP(Table2[[#This Row],[Customer ID]],Table2[#All],2,FALSE)</f>
        <v>40.15</v>
      </c>
      <c r="D1707">
        <f>VLOOKUP(Table2[[#This Row],[Customer ID]],Table2[#All],3,FALSE)</f>
        <v>5.93</v>
      </c>
      <c r="E1707" t="str">
        <f>VLOOKUP(Table2[[#This Row],[Customer ID]],Table2[#All],4,FALSE)</f>
        <v>No</v>
      </c>
      <c r="F1707" t="str">
        <f>VLOOKUP(Table2[[#This Row],[Customer ID]],Table2[#All],5,FALSE)</f>
        <v>No</v>
      </c>
      <c r="G1707" t="str">
        <f>VLOOKUP(Table2[[#This Row],[Customer ID]],Table2[#All],6,FALSE)</f>
        <v>No</v>
      </c>
      <c r="H1707">
        <f>VLOOKUP(Table2[[#This Row],[Customer ID]],Table2[#All],7,FALSE)</f>
        <v>1</v>
      </c>
      <c r="I1707" t="str">
        <f>VLOOKUP(Table2[[#This Row],[Customer ID]],Table2[#All],8,FALSE)</f>
        <v>No</v>
      </c>
      <c r="J1707" t="str">
        <f>VLOOKUP(Table2[[#This Row],[Customer ID]],Table2[#All],9,FALSE)</f>
        <v>Obesity</v>
      </c>
      <c r="K1707" t="str">
        <f>VLOOKUP(Table2[[#This Row],[Customer ID]],Table2[#All],10,FALSE)</f>
        <v>Prediabetes</v>
      </c>
    </row>
    <row r="1708" spans="1:11" ht="15.6" x14ac:dyDescent="0.3">
      <c r="A1708" s="1" t="s">
        <v>664</v>
      </c>
      <c r="B1708" t="str">
        <f>VLOOKUP('Customer Names'!A1708,'Customer Names'!$A$1:$E$2336,4,FALSE)</f>
        <v>Ms.  Marie E.</v>
      </c>
      <c r="C1708">
        <f>VLOOKUP(Table2[[#This Row],[Customer ID]],Table2[#All],2,FALSE)</f>
        <v>37.729999999999997</v>
      </c>
      <c r="D1708">
        <f>VLOOKUP(Table2[[#This Row],[Customer ID]],Table2[#All],3,FALSE)</f>
        <v>6.29</v>
      </c>
      <c r="E1708" t="str">
        <f>VLOOKUP(Table2[[#This Row],[Customer ID]],Table2[#All],4,FALSE)</f>
        <v>No</v>
      </c>
      <c r="F1708" t="str">
        <f>VLOOKUP(Table2[[#This Row],[Customer ID]],Table2[#All],5,FALSE)</f>
        <v>No</v>
      </c>
      <c r="G1708" t="str">
        <f>VLOOKUP(Table2[[#This Row],[Customer ID]],Table2[#All],6,FALSE)</f>
        <v>No</v>
      </c>
      <c r="H1708">
        <f>VLOOKUP(Table2[[#This Row],[Customer ID]],Table2[#All],7,FALSE)</f>
        <v>1</v>
      </c>
      <c r="I1708" t="str">
        <f>VLOOKUP(Table2[[#This Row],[Customer ID]],Table2[#All],8,FALSE)</f>
        <v>No</v>
      </c>
      <c r="J1708" t="str">
        <f>VLOOKUP(Table2[[#This Row],[Customer ID]],Table2[#All],9,FALSE)</f>
        <v>Obesity</v>
      </c>
      <c r="K1708" t="str">
        <f>VLOOKUP(Table2[[#This Row],[Customer ID]],Table2[#All],10,FALSE)</f>
        <v>Prediabetes</v>
      </c>
    </row>
    <row r="1709" spans="1:11" ht="15.6" x14ac:dyDescent="0.3">
      <c r="A1709" s="1" t="s">
        <v>663</v>
      </c>
      <c r="B1709" t="str">
        <f>VLOOKUP('Customer Names'!A1709,'Customer Names'!$A$1:$E$2336,4,FALSE)</f>
        <v>Mr.  Dariusz</v>
      </c>
      <c r="C1709">
        <f>VLOOKUP(Table2[[#This Row],[Customer ID]],Table2[#All],2,FALSE)</f>
        <v>25.35</v>
      </c>
      <c r="D1709">
        <f>VLOOKUP(Table2[[#This Row],[Customer ID]],Table2[#All],3,FALSE)</f>
        <v>4.9000000000000004</v>
      </c>
      <c r="E1709" t="str">
        <f>VLOOKUP(Table2[[#This Row],[Customer ID]],Table2[#All],4,FALSE)</f>
        <v>No</v>
      </c>
      <c r="F1709" t="str">
        <f>VLOOKUP(Table2[[#This Row],[Customer ID]],Table2[#All],5,FALSE)</f>
        <v>No</v>
      </c>
      <c r="G1709" t="str">
        <f>VLOOKUP(Table2[[#This Row],[Customer ID]],Table2[#All],6,FALSE)</f>
        <v>No</v>
      </c>
      <c r="H1709">
        <f>VLOOKUP(Table2[[#This Row],[Customer ID]],Table2[#All],7,FALSE)</f>
        <v>0</v>
      </c>
      <c r="I1709" t="str">
        <f>VLOOKUP(Table2[[#This Row],[Customer ID]],Table2[#All],8,FALSE)</f>
        <v>No</v>
      </c>
      <c r="J1709" t="str">
        <f>VLOOKUP(Table2[[#This Row],[Customer ID]],Table2[#All],9,FALSE)</f>
        <v>Overweight</v>
      </c>
      <c r="K1709" t="str">
        <f>VLOOKUP(Table2[[#This Row],[Customer ID]],Table2[#All],10,FALSE)</f>
        <v>Normal</v>
      </c>
    </row>
    <row r="1710" spans="1:11" ht="15.6" x14ac:dyDescent="0.3">
      <c r="A1710" s="1" t="s">
        <v>662</v>
      </c>
      <c r="B1710" t="str">
        <f>VLOOKUP('Customer Names'!A1710,'Customer Names'!$A$1:$E$2336,4,FALSE)</f>
        <v>Ms.  Jessica E.</v>
      </c>
      <c r="C1710">
        <f>VLOOKUP(Table2[[#This Row],[Customer ID]],Table2[#All],2,FALSE)</f>
        <v>26.41</v>
      </c>
      <c r="D1710">
        <f>VLOOKUP(Table2[[#This Row],[Customer ID]],Table2[#All],3,FALSE)</f>
        <v>5.07</v>
      </c>
      <c r="E1710" t="str">
        <f>VLOOKUP(Table2[[#This Row],[Customer ID]],Table2[#All],4,FALSE)</f>
        <v>Yes</v>
      </c>
      <c r="F1710" t="str">
        <f>VLOOKUP(Table2[[#This Row],[Customer ID]],Table2[#All],5,FALSE)</f>
        <v>No</v>
      </c>
      <c r="G1710" t="str">
        <f>VLOOKUP(Table2[[#This Row],[Customer ID]],Table2[#All],6,FALSE)</f>
        <v>No</v>
      </c>
      <c r="H1710">
        <f>VLOOKUP(Table2[[#This Row],[Customer ID]],Table2[#All],7,FALSE)</f>
        <v>1</v>
      </c>
      <c r="I1710" t="str">
        <f>VLOOKUP(Table2[[#This Row],[Customer ID]],Table2[#All],8,FALSE)</f>
        <v>No</v>
      </c>
      <c r="J1710" t="str">
        <f>VLOOKUP(Table2[[#This Row],[Customer ID]],Table2[#All],9,FALSE)</f>
        <v>Overweight</v>
      </c>
      <c r="K1710" t="str">
        <f>VLOOKUP(Table2[[#This Row],[Customer ID]],Table2[#All],10,FALSE)</f>
        <v>Normal</v>
      </c>
    </row>
    <row r="1711" spans="1:11" ht="15.6" x14ac:dyDescent="0.3">
      <c r="A1711" s="1" t="s">
        <v>661</v>
      </c>
      <c r="B1711" t="str">
        <f>VLOOKUP('Customer Names'!A1711,'Customer Names'!$A$1:$E$2336,4,FALSE)</f>
        <v>Ms.  Kristen</v>
      </c>
      <c r="C1711">
        <f>VLOOKUP(Table2[[#This Row],[Customer ID]],Table2[#All],2,FALSE)</f>
        <v>27.6</v>
      </c>
      <c r="D1711">
        <f>VLOOKUP(Table2[[#This Row],[Customer ID]],Table2[#All],3,FALSE)</f>
        <v>5.33</v>
      </c>
      <c r="E1711" t="str">
        <f>VLOOKUP(Table2[[#This Row],[Customer ID]],Table2[#All],4,FALSE)</f>
        <v>No</v>
      </c>
      <c r="F1711" t="str">
        <f>VLOOKUP(Table2[[#This Row],[Customer ID]],Table2[#All],5,FALSE)</f>
        <v>No</v>
      </c>
      <c r="G1711" t="str">
        <f>VLOOKUP(Table2[[#This Row],[Customer ID]],Table2[#All],6,FALSE)</f>
        <v>No</v>
      </c>
      <c r="H1711">
        <f>VLOOKUP(Table2[[#This Row],[Customer ID]],Table2[#All],7,FALSE)</f>
        <v>1</v>
      </c>
      <c r="I1711" t="str">
        <f>VLOOKUP(Table2[[#This Row],[Customer ID]],Table2[#All],8,FALSE)</f>
        <v>No</v>
      </c>
      <c r="J1711" t="str">
        <f>VLOOKUP(Table2[[#This Row],[Customer ID]],Table2[#All],9,FALSE)</f>
        <v>Overweight</v>
      </c>
      <c r="K1711" t="str">
        <f>VLOOKUP(Table2[[#This Row],[Customer ID]],Table2[#All],10,FALSE)</f>
        <v>Normal</v>
      </c>
    </row>
    <row r="1712" spans="1:11" ht="15.6" x14ac:dyDescent="0.3">
      <c r="A1712" s="1" t="s">
        <v>660</v>
      </c>
      <c r="B1712" t="str">
        <f>VLOOKUP('Customer Names'!A1712,'Customer Names'!$A$1:$E$2336,4,FALSE)</f>
        <v>Mr.  Jose Guadalupe P. Sr.</v>
      </c>
      <c r="C1712">
        <f>VLOOKUP(Table2[[#This Row],[Customer ID]],Table2[#All],2,FALSE)</f>
        <v>33.82</v>
      </c>
      <c r="D1712">
        <f>VLOOKUP(Table2[[#This Row],[Customer ID]],Table2[#All],3,FALSE)</f>
        <v>8.93</v>
      </c>
      <c r="E1712" t="str">
        <f>VLOOKUP(Table2[[#This Row],[Customer ID]],Table2[#All],4,FALSE)</f>
        <v>Yes</v>
      </c>
      <c r="F1712" t="str">
        <f>VLOOKUP(Table2[[#This Row],[Customer ID]],Table2[#All],5,FALSE)</f>
        <v>No</v>
      </c>
      <c r="G1712" t="str">
        <f>VLOOKUP(Table2[[#This Row],[Customer ID]],Table2[#All],6,FALSE)</f>
        <v>No</v>
      </c>
      <c r="H1712">
        <f>VLOOKUP(Table2[[#This Row],[Customer ID]],Table2[#All],7,FALSE)</f>
        <v>1</v>
      </c>
      <c r="I1712" t="str">
        <f>VLOOKUP(Table2[[#This Row],[Customer ID]],Table2[#All],8,FALSE)</f>
        <v>No</v>
      </c>
      <c r="J1712" t="str">
        <f>VLOOKUP(Table2[[#This Row],[Customer ID]],Table2[#All],9,FALSE)</f>
        <v>Obesity</v>
      </c>
      <c r="K1712" t="str">
        <f>VLOOKUP(Table2[[#This Row],[Customer ID]],Table2[#All],10,FALSE)</f>
        <v>Diabetes</v>
      </c>
    </row>
    <row r="1713" spans="1:11" ht="15.6" x14ac:dyDescent="0.3">
      <c r="A1713" s="1" t="s">
        <v>659</v>
      </c>
      <c r="B1713" t="str">
        <f>VLOOKUP('Customer Names'!A1713,'Customer Names'!$A$1:$E$2336,4,FALSE)</f>
        <v>Ms.  Cynthia</v>
      </c>
      <c r="C1713">
        <f>VLOOKUP(Table2[[#This Row],[Customer ID]],Table2[#All],2,FALSE)</f>
        <v>32.9</v>
      </c>
      <c r="D1713">
        <f>VLOOKUP(Table2[[#This Row],[Customer ID]],Table2[#All],3,FALSE)</f>
        <v>4.3499999999999996</v>
      </c>
      <c r="E1713" t="str">
        <f>VLOOKUP(Table2[[#This Row],[Customer ID]],Table2[#All],4,FALSE)</f>
        <v>No</v>
      </c>
      <c r="F1713" t="str">
        <f>VLOOKUP(Table2[[#This Row],[Customer ID]],Table2[#All],5,FALSE)</f>
        <v>No</v>
      </c>
      <c r="G1713" t="str">
        <f>VLOOKUP(Table2[[#This Row],[Customer ID]],Table2[#All],6,FALSE)</f>
        <v>No</v>
      </c>
      <c r="H1713">
        <f>VLOOKUP(Table2[[#This Row],[Customer ID]],Table2[#All],7,FALSE)</f>
        <v>0</v>
      </c>
      <c r="I1713" t="str">
        <f>VLOOKUP(Table2[[#This Row],[Customer ID]],Table2[#All],8,FALSE)</f>
        <v>No</v>
      </c>
      <c r="J1713" t="str">
        <f>VLOOKUP(Table2[[#This Row],[Customer ID]],Table2[#All],9,FALSE)</f>
        <v>Obesity</v>
      </c>
      <c r="K1713" t="str">
        <f>VLOOKUP(Table2[[#This Row],[Customer ID]],Table2[#All],10,FALSE)</f>
        <v>Normal</v>
      </c>
    </row>
    <row r="1714" spans="1:11" ht="15.6" x14ac:dyDescent="0.3">
      <c r="A1714" s="1" t="s">
        <v>658</v>
      </c>
      <c r="B1714" t="str">
        <f>VLOOKUP('Customer Names'!A1714,'Customer Names'!$A$1:$E$2336,4,FALSE)</f>
        <v>Mr.  Tyler</v>
      </c>
      <c r="C1714">
        <f>VLOOKUP(Table2[[#This Row],[Customer ID]],Table2[#All],2,FALSE)</f>
        <v>30.875</v>
      </c>
      <c r="D1714">
        <f>VLOOKUP(Table2[[#This Row],[Customer ID]],Table2[#All],3,FALSE)</f>
        <v>9.5399999999999991</v>
      </c>
      <c r="E1714" t="str">
        <f>VLOOKUP(Table2[[#This Row],[Customer ID]],Table2[#All],4,FALSE)</f>
        <v>Yes</v>
      </c>
      <c r="F1714" t="str">
        <f>VLOOKUP(Table2[[#This Row],[Customer ID]],Table2[#All],5,FALSE)</f>
        <v>No</v>
      </c>
      <c r="G1714" t="str">
        <f>VLOOKUP(Table2[[#This Row],[Customer ID]],Table2[#All],6,FALSE)</f>
        <v>No</v>
      </c>
      <c r="H1714">
        <f>VLOOKUP(Table2[[#This Row],[Customer ID]],Table2[#All],7,FALSE)</f>
        <v>1</v>
      </c>
      <c r="I1714" t="str">
        <f>VLOOKUP(Table2[[#This Row],[Customer ID]],Table2[#All],8,FALSE)</f>
        <v>No</v>
      </c>
      <c r="J1714" t="str">
        <f>VLOOKUP(Table2[[#This Row],[Customer ID]],Table2[#All],9,FALSE)</f>
        <v>Obesity</v>
      </c>
      <c r="K1714" t="str">
        <f>VLOOKUP(Table2[[#This Row],[Customer ID]],Table2[#All],10,FALSE)</f>
        <v>Diabetes</v>
      </c>
    </row>
    <row r="1715" spans="1:11" ht="15.6" x14ac:dyDescent="0.3">
      <c r="A1715" s="1" t="s">
        <v>657</v>
      </c>
      <c r="B1715" t="str">
        <f>VLOOKUP('Customer Names'!A1715,'Customer Names'!$A$1:$E$2336,4,FALSE)</f>
        <v>Ms.  Holly J</v>
      </c>
      <c r="C1715">
        <f>VLOOKUP(Table2[[#This Row],[Customer ID]],Table2[#All],2,FALSE)</f>
        <v>32.64</v>
      </c>
      <c r="D1715">
        <f>VLOOKUP(Table2[[#This Row],[Customer ID]],Table2[#All],3,FALSE)</f>
        <v>5.91</v>
      </c>
      <c r="E1715" t="str">
        <f>VLOOKUP(Table2[[#This Row],[Customer ID]],Table2[#All],4,FALSE)</f>
        <v>No</v>
      </c>
      <c r="F1715" t="str">
        <f>VLOOKUP(Table2[[#This Row],[Customer ID]],Table2[#All],5,FALSE)</f>
        <v>No</v>
      </c>
      <c r="G1715" t="str">
        <f>VLOOKUP(Table2[[#This Row],[Customer ID]],Table2[#All],6,FALSE)</f>
        <v>No</v>
      </c>
      <c r="H1715">
        <f>VLOOKUP(Table2[[#This Row],[Customer ID]],Table2[#All],7,FALSE)</f>
        <v>0</v>
      </c>
      <c r="I1715" t="str">
        <f>VLOOKUP(Table2[[#This Row],[Customer ID]],Table2[#All],8,FALSE)</f>
        <v>No</v>
      </c>
      <c r="J1715" t="str">
        <f>VLOOKUP(Table2[[#This Row],[Customer ID]],Table2[#All],9,FALSE)</f>
        <v>Obesity</v>
      </c>
      <c r="K1715" t="str">
        <f>VLOOKUP(Table2[[#This Row],[Customer ID]],Table2[#All],10,FALSE)</f>
        <v>Prediabetes</v>
      </c>
    </row>
    <row r="1716" spans="1:11" ht="15.6" x14ac:dyDescent="0.3">
      <c r="A1716" s="1" t="s">
        <v>656</v>
      </c>
      <c r="B1716" t="str">
        <f>VLOOKUP('Customer Names'!A1716,'Customer Names'!$A$1:$E$2336,4,FALSE)</f>
        <v>Ms.  Kristen</v>
      </c>
      <c r="C1716">
        <f>VLOOKUP(Table2[[#This Row],[Customer ID]],Table2[#All],2,FALSE)</f>
        <v>22.135000000000002</v>
      </c>
      <c r="D1716">
        <f>VLOOKUP(Table2[[#This Row],[Customer ID]],Table2[#All],3,FALSE)</f>
        <v>5.0999999999999996</v>
      </c>
      <c r="E1716" t="str">
        <f>VLOOKUP(Table2[[#This Row],[Customer ID]],Table2[#All],4,FALSE)</f>
        <v>No</v>
      </c>
      <c r="F1716" t="str">
        <f>VLOOKUP(Table2[[#This Row],[Customer ID]],Table2[#All],5,FALSE)</f>
        <v>No</v>
      </c>
      <c r="G1716" t="str">
        <f>VLOOKUP(Table2[[#This Row],[Customer ID]],Table2[#All],6,FALSE)</f>
        <v>No</v>
      </c>
      <c r="H1716">
        <f>VLOOKUP(Table2[[#This Row],[Customer ID]],Table2[#All],7,FALSE)</f>
        <v>0</v>
      </c>
      <c r="I1716" t="str">
        <f>VLOOKUP(Table2[[#This Row],[Customer ID]],Table2[#All],8,FALSE)</f>
        <v>No</v>
      </c>
      <c r="J1716" t="str">
        <f>VLOOKUP(Table2[[#This Row],[Customer ID]],Table2[#All],9,FALSE)</f>
        <v>Normalweight</v>
      </c>
      <c r="K1716" t="str">
        <f>VLOOKUP(Table2[[#This Row],[Customer ID]],Table2[#All],10,FALSE)</f>
        <v>Normal</v>
      </c>
    </row>
    <row r="1717" spans="1:11" ht="15.6" x14ac:dyDescent="0.3">
      <c r="A1717" s="1" t="s">
        <v>655</v>
      </c>
      <c r="B1717" t="str">
        <f>VLOOKUP('Customer Names'!A1717,'Customer Names'!$A$1:$E$2336,4,FALSE)</f>
        <v>Mr.  Thomas</v>
      </c>
      <c r="C1717">
        <f>VLOOKUP(Table2[[#This Row],[Customer ID]],Table2[#All],2,FALSE)</f>
        <v>16.53</v>
      </c>
      <c r="D1717">
        <f>VLOOKUP(Table2[[#This Row],[Customer ID]],Table2[#All],3,FALSE)</f>
        <v>5.08</v>
      </c>
      <c r="E1717" t="str">
        <f>VLOOKUP(Table2[[#This Row],[Customer ID]],Table2[#All],4,FALSE)</f>
        <v>No</v>
      </c>
      <c r="F1717" t="str">
        <f>VLOOKUP(Table2[[#This Row],[Customer ID]],Table2[#All],5,FALSE)</f>
        <v>No</v>
      </c>
      <c r="G1717" t="str">
        <f>VLOOKUP(Table2[[#This Row],[Customer ID]],Table2[#All],6,FALSE)</f>
        <v>No</v>
      </c>
      <c r="H1717">
        <f>VLOOKUP(Table2[[#This Row],[Customer ID]],Table2[#All],7,FALSE)</f>
        <v>2</v>
      </c>
      <c r="I1717" t="str">
        <f>VLOOKUP(Table2[[#This Row],[Customer ID]],Table2[#All],8,FALSE)</f>
        <v>No</v>
      </c>
      <c r="J1717" t="str">
        <f>VLOOKUP(Table2[[#This Row],[Customer ID]],Table2[#All],9,FALSE)</f>
        <v>Underweight</v>
      </c>
      <c r="K1717" t="str">
        <f>VLOOKUP(Table2[[#This Row],[Customer ID]],Table2[#All],10,FALSE)</f>
        <v>Normal</v>
      </c>
    </row>
    <row r="1718" spans="1:11" ht="15.6" x14ac:dyDescent="0.3">
      <c r="A1718" s="1" t="s">
        <v>654</v>
      </c>
      <c r="B1718" t="str">
        <f>VLOOKUP('Customer Names'!A1718,'Customer Names'!$A$1:$E$2336,4,FALSE)</f>
        <v>Ms.  Tricity M</v>
      </c>
      <c r="C1718">
        <f>VLOOKUP(Table2[[#This Row],[Customer ID]],Table2[#All],2,FALSE)</f>
        <v>32.774999999999999</v>
      </c>
      <c r="D1718">
        <f>VLOOKUP(Table2[[#This Row],[Customer ID]],Table2[#All],3,FALSE)</f>
        <v>4.75</v>
      </c>
      <c r="E1718" t="str">
        <f>VLOOKUP(Table2[[#This Row],[Customer ID]],Table2[#All],4,FALSE)</f>
        <v>No</v>
      </c>
      <c r="F1718" t="str">
        <f>VLOOKUP(Table2[[#This Row],[Customer ID]],Table2[#All],5,FALSE)</f>
        <v>No</v>
      </c>
      <c r="G1718" t="str">
        <f>VLOOKUP(Table2[[#This Row],[Customer ID]],Table2[#All],6,FALSE)</f>
        <v>No</v>
      </c>
      <c r="H1718">
        <f>VLOOKUP(Table2[[#This Row],[Customer ID]],Table2[#All],7,FALSE)</f>
        <v>0</v>
      </c>
      <c r="I1718" t="str">
        <f>VLOOKUP(Table2[[#This Row],[Customer ID]],Table2[#All],8,FALSE)</f>
        <v>No</v>
      </c>
      <c r="J1718" t="str">
        <f>VLOOKUP(Table2[[#This Row],[Customer ID]],Table2[#All],9,FALSE)</f>
        <v>Obesity</v>
      </c>
      <c r="K1718" t="str">
        <f>VLOOKUP(Table2[[#This Row],[Customer ID]],Table2[#All],10,FALSE)</f>
        <v>Normal</v>
      </c>
    </row>
    <row r="1719" spans="1:11" ht="15.6" x14ac:dyDescent="0.3">
      <c r="A1719" s="1" t="s">
        <v>653</v>
      </c>
      <c r="B1719" t="str">
        <f>VLOOKUP('Customer Names'!A1719,'Customer Names'!$A$1:$E$2336,4,FALSE)</f>
        <v>Ms.  Sarah A</v>
      </c>
      <c r="C1719">
        <f>VLOOKUP(Table2[[#This Row],[Customer ID]],Table2[#All],2,FALSE)</f>
        <v>30.9</v>
      </c>
      <c r="D1719">
        <f>VLOOKUP(Table2[[#This Row],[Customer ID]],Table2[#All],3,FALSE)</f>
        <v>6.05</v>
      </c>
      <c r="E1719" t="str">
        <f>VLOOKUP(Table2[[#This Row],[Customer ID]],Table2[#All],4,FALSE)</f>
        <v>No</v>
      </c>
      <c r="F1719" t="str">
        <f>VLOOKUP(Table2[[#This Row],[Customer ID]],Table2[#All],5,FALSE)</f>
        <v>No</v>
      </c>
      <c r="G1719" t="str">
        <f>VLOOKUP(Table2[[#This Row],[Customer ID]],Table2[#All],6,FALSE)</f>
        <v>No</v>
      </c>
      <c r="H1719">
        <f>VLOOKUP(Table2[[#This Row],[Customer ID]],Table2[#All],7,FALSE)</f>
        <v>1</v>
      </c>
      <c r="I1719" t="str">
        <f>VLOOKUP(Table2[[#This Row],[Customer ID]],Table2[#All],8,FALSE)</f>
        <v>No</v>
      </c>
      <c r="J1719" t="str">
        <f>VLOOKUP(Table2[[#This Row],[Customer ID]],Table2[#All],9,FALSE)</f>
        <v>Obesity</v>
      </c>
      <c r="K1719" t="str">
        <f>VLOOKUP(Table2[[#This Row],[Customer ID]],Table2[#All],10,FALSE)</f>
        <v>Prediabetes</v>
      </c>
    </row>
    <row r="1720" spans="1:11" ht="15.6" x14ac:dyDescent="0.3">
      <c r="A1720" s="1" t="s">
        <v>652</v>
      </c>
      <c r="B1720" t="str">
        <f>VLOOKUP('Customer Names'!A1720,'Customer Names'!$A$1:$E$2336,4,FALSE)</f>
        <v>Ms.  Lisa M.</v>
      </c>
      <c r="C1720">
        <f>VLOOKUP(Table2[[#This Row],[Customer ID]],Table2[#All],2,FALSE)</f>
        <v>15.58</v>
      </c>
      <c r="D1720">
        <f>VLOOKUP(Table2[[#This Row],[Customer ID]],Table2[#All],3,FALSE)</f>
        <v>11.56</v>
      </c>
      <c r="E1720" t="str">
        <f>VLOOKUP(Table2[[#This Row],[Customer ID]],Table2[#All],4,FALSE)</f>
        <v>No</v>
      </c>
      <c r="F1720" t="str">
        <f>VLOOKUP(Table2[[#This Row],[Customer ID]],Table2[#All],5,FALSE)</f>
        <v>No</v>
      </c>
      <c r="G1720" t="str">
        <f>VLOOKUP(Table2[[#This Row],[Customer ID]],Table2[#All],6,FALSE)</f>
        <v>No</v>
      </c>
      <c r="H1720">
        <f>VLOOKUP(Table2[[#This Row],[Customer ID]],Table2[#All],7,FALSE)</f>
        <v>0</v>
      </c>
      <c r="I1720" t="str">
        <f>VLOOKUP(Table2[[#This Row],[Customer ID]],Table2[#All],8,FALSE)</f>
        <v>No</v>
      </c>
      <c r="J1720" t="str">
        <f>VLOOKUP(Table2[[#This Row],[Customer ID]],Table2[#All],9,FALSE)</f>
        <v>Underweight</v>
      </c>
      <c r="K1720" t="str">
        <f>VLOOKUP(Table2[[#This Row],[Customer ID]],Table2[#All],10,FALSE)</f>
        <v>Diabetes</v>
      </c>
    </row>
    <row r="1721" spans="1:11" ht="15.6" x14ac:dyDescent="0.3">
      <c r="A1721" s="1" t="s">
        <v>651</v>
      </c>
      <c r="B1721" t="str">
        <f>VLOOKUP('Customer Names'!A1721,'Customer Names'!$A$1:$E$2336,4,FALSE)</f>
        <v>Ms.  Tracy A.</v>
      </c>
      <c r="C1721">
        <f>VLOOKUP(Table2[[#This Row],[Customer ID]],Table2[#All],2,FALSE)</f>
        <v>26.315000000000001</v>
      </c>
      <c r="D1721">
        <f>VLOOKUP(Table2[[#This Row],[Customer ID]],Table2[#All],3,FALSE)</f>
        <v>5.76</v>
      </c>
      <c r="E1721" t="str">
        <f>VLOOKUP(Table2[[#This Row],[Customer ID]],Table2[#All],4,FALSE)</f>
        <v>No</v>
      </c>
      <c r="F1721" t="str">
        <f>VLOOKUP(Table2[[#This Row],[Customer ID]],Table2[#All],5,FALSE)</f>
        <v>No</v>
      </c>
      <c r="G1721" t="str">
        <f>VLOOKUP(Table2[[#This Row],[Customer ID]],Table2[#All],6,FALSE)</f>
        <v>No</v>
      </c>
      <c r="H1721">
        <f>VLOOKUP(Table2[[#This Row],[Customer ID]],Table2[#All],7,FALSE)</f>
        <v>0</v>
      </c>
      <c r="I1721" t="str">
        <f>VLOOKUP(Table2[[#This Row],[Customer ID]],Table2[#All],8,FALSE)</f>
        <v>No</v>
      </c>
      <c r="J1721" t="str">
        <f>VLOOKUP(Table2[[#This Row],[Customer ID]],Table2[#All],9,FALSE)</f>
        <v>Overweight</v>
      </c>
      <c r="K1721" t="str">
        <f>VLOOKUP(Table2[[#This Row],[Customer ID]],Table2[#All],10,FALSE)</f>
        <v>Prediabetes</v>
      </c>
    </row>
    <row r="1722" spans="1:11" ht="15.6" x14ac:dyDescent="0.3">
      <c r="A1722" s="1" t="s">
        <v>650</v>
      </c>
      <c r="B1722" t="str">
        <f>VLOOKUP('Customer Names'!A1722,'Customer Names'!$A$1:$E$2336,4,FALSE)</f>
        <v>Mr.  Patrick</v>
      </c>
      <c r="C1722">
        <f>VLOOKUP(Table2[[#This Row],[Customer ID]],Table2[#All],2,FALSE)</f>
        <v>35.61</v>
      </c>
      <c r="D1722">
        <f>VLOOKUP(Table2[[#This Row],[Customer ID]],Table2[#All],3,FALSE)</f>
        <v>5.65</v>
      </c>
      <c r="E1722" t="str">
        <f>VLOOKUP(Table2[[#This Row],[Customer ID]],Table2[#All],4,FALSE)</f>
        <v>No</v>
      </c>
      <c r="F1722" t="str">
        <f>VLOOKUP(Table2[[#This Row],[Customer ID]],Table2[#All],5,FALSE)</f>
        <v>yes</v>
      </c>
      <c r="G1722" t="str">
        <f>VLOOKUP(Table2[[#This Row],[Customer ID]],Table2[#All],6,FALSE)</f>
        <v>No</v>
      </c>
      <c r="H1722">
        <f>VLOOKUP(Table2[[#This Row],[Customer ID]],Table2[#All],7,FALSE)</f>
        <v>1</v>
      </c>
      <c r="I1722" t="str">
        <f>VLOOKUP(Table2[[#This Row],[Customer ID]],Table2[#All],8,FALSE)</f>
        <v>No</v>
      </c>
      <c r="J1722" t="str">
        <f>VLOOKUP(Table2[[#This Row],[Customer ID]],Table2[#All],9,FALSE)</f>
        <v>Obesity</v>
      </c>
      <c r="K1722" t="str">
        <f>VLOOKUP(Table2[[#This Row],[Customer ID]],Table2[#All],10,FALSE)</f>
        <v>Normal</v>
      </c>
    </row>
    <row r="1723" spans="1:11" ht="15.6" x14ac:dyDescent="0.3">
      <c r="A1723" s="1" t="s">
        <v>649</v>
      </c>
      <c r="B1723" t="str">
        <f>VLOOKUP('Customer Names'!A1723,'Customer Names'!$A$1:$E$2336,4,FALSE)</f>
        <v>Mr.  Trent</v>
      </c>
      <c r="C1723">
        <f>VLOOKUP(Table2[[#This Row],[Customer ID]],Table2[#All],2,FALSE)</f>
        <v>37.56</v>
      </c>
      <c r="D1723">
        <f>VLOOKUP(Table2[[#This Row],[Customer ID]],Table2[#All],3,FALSE)</f>
        <v>5.88</v>
      </c>
      <c r="E1723" t="str">
        <f>VLOOKUP(Table2[[#This Row],[Customer ID]],Table2[#All],4,FALSE)</f>
        <v>No</v>
      </c>
      <c r="F1723" t="str">
        <f>VLOOKUP(Table2[[#This Row],[Customer ID]],Table2[#All],5,FALSE)</f>
        <v>yes</v>
      </c>
      <c r="G1723" t="str">
        <f>VLOOKUP(Table2[[#This Row],[Customer ID]],Table2[#All],6,FALSE)</f>
        <v>No</v>
      </c>
      <c r="H1723">
        <f>VLOOKUP(Table2[[#This Row],[Customer ID]],Table2[#All],7,FALSE)</f>
        <v>1</v>
      </c>
      <c r="I1723" t="str">
        <f>VLOOKUP(Table2[[#This Row],[Customer ID]],Table2[#All],8,FALSE)</f>
        <v>No</v>
      </c>
      <c r="J1723" t="str">
        <f>VLOOKUP(Table2[[#This Row],[Customer ID]],Table2[#All],9,FALSE)</f>
        <v>Obesity</v>
      </c>
      <c r="K1723" t="str">
        <f>VLOOKUP(Table2[[#This Row],[Customer ID]],Table2[#All],10,FALSE)</f>
        <v>Prediabetes</v>
      </c>
    </row>
    <row r="1724" spans="1:11" ht="15.6" x14ac:dyDescent="0.3">
      <c r="A1724" s="1" t="s">
        <v>648</v>
      </c>
      <c r="B1724" t="str">
        <f>VLOOKUP('Customer Names'!A1724,'Customer Names'!$A$1:$E$2336,4,FALSE)</f>
        <v>Ms.  Julie</v>
      </c>
      <c r="C1724">
        <f>VLOOKUP(Table2[[#This Row],[Customer ID]],Table2[#All],2,FALSE)</f>
        <v>15.49</v>
      </c>
      <c r="D1724">
        <f>VLOOKUP(Table2[[#This Row],[Customer ID]],Table2[#All],3,FALSE)</f>
        <v>9.6</v>
      </c>
      <c r="E1724" t="str">
        <f>VLOOKUP(Table2[[#This Row],[Customer ID]],Table2[#All],4,FALSE)</f>
        <v>No</v>
      </c>
      <c r="F1724" t="str">
        <f>VLOOKUP(Table2[[#This Row],[Customer ID]],Table2[#All],5,FALSE)</f>
        <v>No</v>
      </c>
      <c r="G1724" t="str">
        <f>VLOOKUP(Table2[[#This Row],[Customer ID]],Table2[#All],6,FALSE)</f>
        <v>No</v>
      </c>
      <c r="H1724">
        <f>VLOOKUP(Table2[[#This Row],[Customer ID]],Table2[#All],7,FALSE)</f>
        <v>0</v>
      </c>
      <c r="I1724" t="str">
        <f>VLOOKUP(Table2[[#This Row],[Customer ID]],Table2[#All],8,FALSE)</f>
        <v>No</v>
      </c>
      <c r="J1724" t="str">
        <f>VLOOKUP(Table2[[#This Row],[Customer ID]],Table2[#All],9,FALSE)</f>
        <v>Underweight</v>
      </c>
      <c r="K1724" t="str">
        <f>VLOOKUP(Table2[[#This Row],[Customer ID]],Table2[#All],10,FALSE)</f>
        <v>Diabetes</v>
      </c>
    </row>
    <row r="1725" spans="1:11" ht="15.6" x14ac:dyDescent="0.3">
      <c r="A1725" s="1" t="s">
        <v>647</v>
      </c>
      <c r="B1725" t="str">
        <f>VLOOKUP('Customer Names'!A1725,'Customer Names'!$A$1:$E$2336,4,FALSE)</f>
        <v>Mr.  Sawomir</v>
      </c>
      <c r="C1725">
        <f>VLOOKUP(Table2[[#This Row],[Customer ID]],Table2[#All],2,FALSE)</f>
        <v>23.48</v>
      </c>
      <c r="D1725">
        <f>VLOOKUP(Table2[[#This Row],[Customer ID]],Table2[#All],3,FALSE)</f>
        <v>6.24</v>
      </c>
      <c r="E1725" t="str">
        <f>VLOOKUP(Table2[[#This Row],[Customer ID]],Table2[#All],4,FALSE)</f>
        <v>No</v>
      </c>
      <c r="F1725" t="str">
        <f>VLOOKUP(Table2[[#This Row],[Customer ID]],Table2[#All],5,FALSE)</f>
        <v>No</v>
      </c>
      <c r="G1725" t="str">
        <f>VLOOKUP(Table2[[#This Row],[Customer ID]],Table2[#All],6,FALSE)</f>
        <v>No</v>
      </c>
      <c r="H1725">
        <f>VLOOKUP(Table2[[#This Row],[Customer ID]],Table2[#All],7,FALSE)</f>
        <v>1</v>
      </c>
      <c r="I1725" t="str">
        <f>VLOOKUP(Table2[[#This Row],[Customer ID]],Table2[#All],8,FALSE)</f>
        <v>No</v>
      </c>
      <c r="J1725" t="str">
        <f>VLOOKUP(Table2[[#This Row],[Customer ID]],Table2[#All],9,FALSE)</f>
        <v>Normalweight</v>
      </c>
      <c r="K1725" t="str">
        <f>VLOOKUP(Table2[[#This Row],[Customer ID]],Table2[#All],10,FALSE)</f>
        <v>Prediabetes</v>
      </c>
    </row>
    <row r="1726" spans="1:11" ht="15.6" x14ac:dyDescent="0.3">
      <c r="A1726" s="1" t="s">
        <v>646</v>
      </c>
      <c r="B1726" t="str">
        <f>VLOOKUP('Customer Names'!A1726,'Customer Names'!$A$1:$E$2336,4,FALSE)</f>
        <v>Ms.  Micah</v>
      </c>
      <c r="C1726">
        <f>VLOOKUP(Table2[[#This Row],[Customer ID]],Table2[#All],2,FALSE)</f>
        <v>30.02</v>
      </c>
      <c r="D1726">
        <f>VLOOKUP(Table2[[#This Row],[Customer ID]],Table2[#All],3,FALSE)</f>
        <v>7.63</v>
      </c>
      <c r="E1726" t="str">
        <f>VLOOKUP(Table2[[#This Row],[Customer ID]],Table2[#All],4,FALSE)</f>
        <v>Yes</v>
      </c>
      <c r="F1726" t="str">
        <f>VLOOKUP(Table2[[#This Row],[Customer ID]],Table2[#All],5,FALSE)</f>
        <v>No</v>
      </c>
      <c r="G1726" t="str">
        <f>VLOOKUP(Table2[[#This Row],[Customer ID]],Table2[#All],6,FALSE)</f>
        <v>No</v>
      </c>
      <c r="H1726">
        <f>VLOOKUP(Table2[[#This Row],[Customer ID]],Table2[#All],7,FALSE)</f>
        <v>1</v>
      </c>
      <c r="I1726" t="str">
        <f>VLOOKUP(Table2[[#This Row],[Customer ID]],Table2[#All],8,FALSE)</f>
        <v>No</v>
      </c>
      <c r="J1726" t="str">
        <f>VLOOKUP(Table2[[#This Row],[Customer ID]],Table2[#All],9,FALSE)</f>
        <v>Obesity</v>
      </c>
      <c r="K1726" t="str">
        <f>VLOOKUP(Table2[[#This Row],[Customer ID]],Table2[#All],10,FALSE)</f>
        <v>Diabetes</v>
      </c>
    </row>
    <row r="1727" spans="1:11" ht="15.6" x14ac:dyDescent="0.3">
      <c r="A1727" s="1" t="s">
        <v>645</v>
      </c>
      <c r="B1727" t="str">
        <f>VLOOKUP('Customer Names'!A1727,'Customer Names'!$A$1:$E$2336,4,FALSE)</f>
        <v>Ms.  Kelly H.</v>
      </c>
      <c r="C1727">
        <f>VLOOKUP(Table2[[#This Row],[Customer ID]],Table2[#All],2,FALSE)</f>
        <v>26.885000000000002</v>
      </c>
      <c r="D1727">
        <f>VLOOKUP(Table2[[#This Row],[Customer ID]],Table2[#All],3,FALSE)</f>
        <v>8.66</v>
      </c>
      <c r="E1727" t="str">
        <f>VLOOKUP(Table2[[#This Row],[Customer ID]],Table2[#All],4,FALSE)</f>
        <v>Yes</v>
      </c>
      <c r="F1727" t="str">
        <f>VLOOKUP(Table2[[#This Row],[Customer ID]],Table2[#All],5,FALSE)</f>
        <v>No</v>
      </c>
      <c r="G1727" t="str">
        <f>VLOOKUP(Table2[[#This Row],[Customer ID]],Table2[#All],6,FALSE)</f>
        <v>No</v>
      </c>
      <c r="H1727">
        <f>VLOOKUP(Table2[[#This Row],[Customer ID]],Table2[#All],7,FALSE)</f>
        <v>1</v>
      </c>
      <c r="I1727" t="str">
        <f>VLOOKUP(Table2[[#This Row],[Customer ID]],Table2[#All],8,FALSE)</f>
        <v>No</v>
      </c>
      <c r="J1727" t="str">
        <f>VLOOKUP(Table2[[#This Row],[Customer ID]],Table2[#All],9,FALSE)</f>
        <v>Overweight</v>
      </c>
      <c r="K1727" t="str">
        <f>VLOOKUP(Table2[[#This Row],[Customer ID]],Table2[#All],10,FALSE)</f>
        <v>Diabetes</v>
      </c>
    </row>
    <row r="1728" spans="1:11" ht="15.6" x14ac:dyDescent="0.3">
      <c r="A1728" s="1" t="s">
        <v>644</v>
      </c>
      <c r="B1728" t="str">
        <f>VLOOKUP('Customer Names'!A1728,'Customer Names'!$A$1:$E$2336,4,FALSE)</f>
        <v>Ms.  Lindsay M.</v>
      </c>
      <c r="C1728">
        <f>VLOOKUP(Table2[[#This Row],[Customer ID]],Table2[#All],2,FALSE)</f>
        <v>25.84</v>
      </c>
      <c r="D1728">
        <f>VLOOKUP(Table2[[#This Row],[Customer ID]],Table2[#All],3,FALSE)</f>
        <v>8.5500000000000007</v>
      </c>
      <c r="E1728" t="str">
        <f>VLOOKUP(Table2[[#This Row],[Customer ID]],Table2[#All],4,FALSE)</f>
        <v>Yes</v>
      </c>
      <c r="F1728" t="str">
        <f>VLOOKUP(Table2[[#This Row],[Customer ID]],Table2[#All],5,FALSE)</f>
        <v>No</v>
      </c>
      <c r="G1728" t="str">
        <f>VLOOKUP(Table2[[#This Row],[Customer ID]],Table2[#All],6,FALSE)</f>
        <v>No</v>
      </c>
      <c r="H1728">
        <f>VLOOKUP(Table2[[#This Row],[Customer ID]],Table2[#All],7,FALSE)</f>
        <v>1</v>
      </c>
      <c r="I1728" t="str">
        <f>VLOOKUP(Table2[[#This Row],[Customer ID]],Table2[#All],8,FALSE)</f>
        <v>No</v>
      </c>
      <c r="J1728" t="str">
        <f>VLOOKUP(Table2[[#This Row],[Customer ID]],Table2[#All],9,FALSE)</f>
        <v>Overweight</v>
      </c>
      <c r="K1728" t="str">
        <f>VLOOKUP(Table2[[#This Row],[Customer ID]],Table2[#All],10,FALSE)</f>
        <v>Diabetes</v>
      </c>
    </row>
    <row r="1729" spans="1:11" ht="15.6" x14ac:dyDescent="0.3">
      <c r="A1729" s="1" t="s">
        <v>643</v>
      </c>
      <c r="B1729" t="str">
        <f>VLOOKUP('Customer Names'!A1729,'Customer Names'!$A$1:$E$2336,4,FALSE)</f>
        <v>Mr.  Austen G</v>
      </c>
      <c r="C1729">
        <f>VLOOKUP(Table2[[#This Row],[Customer ID]],Table2[#All],2,FALSE)</f>
        <v>27.454999999999998</v>
      </c>
      <c r="D1729">
        <f>VLOOKUP(Table2[[#This Row],[Customer ID]],Table2[#All],3,FALSE)</f>
        <v>4.54</v>
      </c>
      <c r="E1729" t="str">
        <f>VLOOKUP(Table2[[#This Row],[Customer ID]],Table2[#All],4,FALSE)</f>
        <v>No</v>
      </c>
      <c r="F1729" t="str">
        <f>VLOOKUP(Table2[[#This Row],[Customer ID]],Table2[#All],5,FALSE)</f>
        <v>No</v>
      </c>
      <c r="G1729" t="str">
        <f>VLOOKUP(Table2[[#This Row],[Customer ID]],Table2[#All],6,FALSE)</f>
        <v>No</v>
      </c>
      <c r="H1729">
        <f>VLOOKUP(Table2[[#This Row],[Customer ID]],Table2[#All],7,FALSE)</f>
        <v>0</v>
      </c>
      <c r="I1729" t="str">
        <f>VLOOKUP(Table2[[#This Row],[Customer ID]],Table2[#All],8,FALSE)</f>
        <v>No</v>
      </c>
      <c r="J1729" t="str">
        <f>VLOOKUP(Table2[[#This Row],[Customer ID]],Table2[#All],9,FALSE)</f>
        <v>Overweight</v>
      </c>
      <c r="K1729" t="str">
        <f>VLOOKUP(Table2[[#This Row],[Customer ID]],Table2[#All],10,FALSE)</f>
        <v>Normal</v>
      </c>
    </row>
    <row r="1730" spans="1:11" ht="15.6" x14ac:dyDescent="0.3">
      <c r="A1730" s="1" t="s">
        <v>642</v>
      </c>
      <c r="B1730" t="str">
        <f>VLOOKUP('Customer Names'!A1730,'Customer Names'!$A$1:$E$2336,4,FALSE)</f>
        <v>Mr.  Tory J.</v>
      </c>
      <c r="C1730">
        <f>VLOOKUP(Table2[[#This Row],[Customer ID]],Table2[#All],2,FALSE)</f>
        <v>24.605</v>
      </c>
      <c r="D1730">
        <f>VLOOKUP(Table2[[#This Row],[Customer ID]],Table2[#All],3,FALSE)</f>
        <v>5.7</v>
      </c>
      <c r="E1730" t="str">
        <f>VLOOKUP(Table2[[#This Row],[Customer ID]],Table2[#All],4,FALSE)</f>
        <v>No</v>
      </c>
      <c r="F1730" t="str">
        <f>VLOOKUP(Table2[[#This Row],[Customer ID]],Table2[#All],5,FALSE)</f>
        <v>No</v>
      </c>
      <c r="G1730" t="str">
        <f>VLOOKUP(Table2[[#This Row],[Customer ID]],Table2[#All],6,FALSE)</f>
        <v>No</v>
      </c>
      <c r="H1730">
        <f>VLOOKUP(Table2[[#This Row],[Customer ID]],Table2[#All],7,FALSE)</f>
        <v>0</v>
      </c>
      <c r="I1730" t="str">
        <f>VLOOKUP(Table2[[#This Row],[Customer ID]],Table2[#All],8,FALSE)</f>
        <v>No</v>
      </c>
      <c r="J1730" t="str">
        <f>VLOOKUP(Table2[[#This Row],[Customer ID]],Table2[#All],9,FALSE)</f>
        <v>Normalweight</v>
      </c>
      <c r="K1730" t="str">
        <f>VLOOKUP(Table2[[#This Row],[Customer ID]],Table2[#All],10,FALSE)</f>
        <v>Prediabetes</v>
      </c>
    </row>
    <row r="1731" spans="1:11" ht="15.6" x14ac:dyDescent="0.3">
      <c r="A1731" s="1" t="s">
        <v>641</v>
      </c>
      <c r="B1731" t="str">
        <f>VLOOKUP('Customer Names'!A1731,'Customer Names'!$A$1:$E$2336,4,FALSE)</f>
        <v>Mr.  Robert J.</v>
      </c>
      <c r="C1731">
        <f>VLOOKUP(Table2[[#This Row],[Customer ID]],Table2[#All],2,FALSE)</f>
        <v>30.8</v>
      </c>
      <c r="D1731">
        <f>VLOOKUP(Table2[[#This Row],[Customer ID]],Table2[#All],3,FALSE)</f>
        <v>5.07</v>
      </c>
      <c r="E1731" t="str">
        <f>VLOOKUP(Table2[[#This Row],[Customer ID]],Table2[#All],4,FALSE)</f>
        <v>No</v>
      </c>
      <c r="F1731" t="str">
        <f>VLOOKUP(Table2[[#This Row],[Customer ID]],Table2[#All],5,FALSE)</f>
        <v>No</v>
      </c>
      <c r="G1731" t="str">
        <f>VLOOKUP(Table2[[#This Row],[Customer ID]],Table2[#All],6,FALSE)</f>
        <v>No</v>
      </c>
      <c r="H1731">
        <f>VLOOKUP(Table2[[#This Row],[Customer ID]],Table2[#All],7,FALSE)</f>
        <v>0</v>
      </c>
      <c r="I1731" t="str">
        <f>VLOOKUP(Table2[[#This Row],[Customer ID]],Table2[#All],8,FALSE)</f>
        <v>No</v>
      </c>
      <c r="J1731" t="str">
        <f>VLOOKUP(Table2[[#This Row],[Customer ID]],Table2[#All],9,FALSE)</f>
        <v>Obesity</v>
      </c>
      <c r="K1731" t="str">
        <f>VLOOKUP(Table2[[#This Row],[Customer ID]],Table2[#All],10,FALSE)</f>
        <v>Normal</v>
      </c>
    </row>
    <row r="1732" spans="1:11" ht="15.6" x14ac:dyDescent="0.3">
      <c r="A1732" s="1" t="s">
        <v>640</v>
      </c>
      <c r="B1732" t="str">
        <f>VLOOKUP('Customer Names'!A1732,'Customer Names'!$A$1:$E$2336,4,FALSE)</f>
        <v>Ms.  Steph</v>
      </c>
      <c r="C1732">
        <f>VLOOKUP(Table2[[#This Row],[Customer ID]],Table2[#All],2,FALSE)</f>
        <v>34.799999999999997</v>
      </c>
      <c r="D1732">
        <f>VLOOKUP(Table2[[#This Row],[Customer ID]],Table2[#All],3,FALSE)</f>
        <v>4.38</v>
      </c>
      <c r="E1732" t="str">
        <f>VLOOKUP(Table2[[#This Row],[Customer ID]],Table2[#All],4,FALSE)</f>
        <v>No</v>
      </c>
      <c r="F1732" t="str">
        <f>VLOOKUP(Table2[[#This Row],[Customer ID]],Table2[#All],5,FALSE)</f>
        <v>No</v>
      </c>
      <c r="G1732" t="str">
        <f>VLOOKUP(Table2[[#This Row],[Customer ID]],Table2[#All],6,FALSE)</f>
        <v>No</v>
      </c>
      <c r="H1732">
        <f>VLOOKUP(Table2[[#This Row],[Customer ID]],Table2[#All],7,FALSE)</f>
        <v>1</v>
      </c>
      <c r="I1732" t="str">
        <f>VLOOKUP(Table2[[#This Row],[Customer ID]],Table2[#All],8,FALSE)</f>
        <v>No</v>
      </c>
      <c r="J1732" t="str">
        <f>VLOOKUP(Table2[[#This Row],[Customer ID]],Table2[#All],9,FALSE)</f>
        <v>Obesity</v>
      </c>
      <c r="K1732" t="str">
        <f>VLOOKUP(Table2[[#This Row],[Customer ID]],Table2[#All],10,FALSE)</f>
        <v>Normal</v>
      </c>
    </row>
    <row r="1733" spans="1:11" ht="15.6" x14ac:dyDescent="0.3">
      <c r="A1733" s="1" t="s">
        <v>639</v>
      </c>
      <c r="B1733" t="str">
        <f>VLOOKUP('Customer Names'!A1733,'Customer Names'!$A$1:$E$2336,4,FALSE)</f>
        <v>Ms.  Kate</v>
      </c>
      <c r="C1733">
        <f>VLOOKUP(Table2[[#This Row],[Customer ID]],Table2[#All],2,FALSE)</f>
        <v>34.21</v>
      </c>
      <c r="D1733">
        <f>VLOOKUP(Table2[[#This Row],[Customer ID]],Table2[#All],3,FALSE)</f>
        <v>4.54</v>
      </c>
      <c r="E1733" t="str">
        <f>VLOOKUP(Table2[[#This Row],[Customer ID]],Table2[#All],4,FALSE)</f>
        <v>No</v>
      </c>
      <c r="F1733" t="str">
        <f>VLOOKUP(Table2[[#This Row],[Customer ID]],Table2[#All],5,FALSE)</f>
        <v>No</v>
      </c>
      <c r="G1733" t="str">
        <f>VLOOKUP(Table2[[#This Row],[Customer ID]],Table2[#All],6,FALSE)</f>
        <v>No</v>
      </c>
      <c r="H1733">
        <f>VLOOKUP(Table2[[#This Row],[Customer ID]],Table2[#All],7,FALSE)</f>
        <v>1</v>
      </c>
      <c r="I1733" t="str">
        <f>VLOOKUP(Table2[[#This Row],[Customer ID]],Table2[#All],8,FALSE)</f>
        <v>No</v>
      </c>
      <c r="J1733" t="str">
        <f>VLOOKUP(Table2[[#This Row],[Customer ID]],Table2[#All],9,FALSE)</f>
        <v>Obesity</v>
      </c>
      <c r="K1733" t="str">
        <f>VLOOKUP(Table2[[#This Row],[Customer ID]],Table2[#All],10,FALSE)</f>
        <v>Normal</v>
      </c>
    </row>
    <row r="1734" spans="1:11" ht="15.6" x14ac:dyDescent="0.3">
      <c r="A1734" s="1" t="s">
        <v>638</v>
      </c>
      <c r="B1734" t="str">
        <f>VLOOKUP('Customer Names'!A1734,'Customer Names'!$A$1:$E$2336,4,FALSE)</f>
        <v>Ms.  Kristina</v>
      </c>
      <c r="C1734">
        <f>VLOOKUP(Table2[[#This Row],[Customer ID]],Table2[#All],2,FALSE)</f>
        <v>31</v>
      </c>
      <c r="D1734">
        <f>VLOOKUP(Table2[[#This Row],[Customer ID]],Table2[#All],3,FALSE)</f>
        <v>5.38</v>
      </c>
      <c r="E1734" t="str">
        <f>VLOOKUP(Table2[[#This Row],[Customer ID]],Table2[#All],4,FALSE)</f>
        <v>No</v>
      </c>
      <c r="F1734" t="str">
        <f>VLOOKUP(Table2[[#This Row],[Customer ID]],Table2[#All],5,FALSE)</f>
        <v>No</v>
      </c>
      <c r="G1734" t="str">
        <f>VLOOKUP(Table2[[#This Row],[Customer ID]],Table2[#All],6,FALSE)</f>
        <v>No</v>
      </c>
      <c r="H1734">
        <f>VLOOKUP(Table2[[#This Row],[Customer ID]],Table2[#All],7,FALSE)</f>
        <v>1</v>
      </c>
      <c r="I1734" t="str">
        <f>VLOOKUP(Table2[[#This Row],[Customer ID]],Table2[#All],8,FALSE)</f>
        <v>No</v>
      </c>
      <c r="J1734" t="str">
        <f>VLOOKUP(Table2[[#This Row],[Customer ID]],Table2[#All],9,FALSE)</f>
        <v>Obesity</v>
      </c>
      <c r="K1734" t="str">
        <f>VLOOKUP(Table2[[#This Row],[Customer ID]],Table2[#All],10,FALSE)</f>
        <v>Normal</v>
      </c>
    </row>
    <row r="1735" spans="1:11" ht="15.6" x14ac:dyDescent="0.3">
      <c r="A1735" s="1" t="s">
        <v>637</v>
      </c>
      <c r="B1735" t="str">
        <f>VLOOKUP('Customer Names'!A1735,'Customer Names'!$A$1:$E$2336,4,FALSE)</f>
        <v>Ms.  Flo</v>
      </c>
      <c r="C1735">
        <f>VLOOKUP(Table2[[#This Row],[Customer ID]],Table2[#All],2,FALSE)</f>
        <v>26.125</v>
      </c>
      <c r="D1735">
        <f>VLOOKUP(Table2[[#This Row],[Customer ID]],Table2[#All],3,FALSE)</f>
        <v>5.55</v>
      </c>
      <c r="E1735" t="str">
        <f>VLOOKUP(Table2[[#This Row],[Customer ID]],Table2[#All],4,FALSE)</f>
        <v>No</v>
      </c>
      <c r="F1735" t="str">
        <f>VLOOKUP(Table2[[#This Row],[Customer ID]],Table2[#All],5,FALSE)</f>
        <v>No</v>
      </c>
      <c r="G1735" t="str">
        <f>VLOOKUP(Table2[[#This Row],[Customer ID]],Table2[#All],6,FALSE)</f>
        <v>No</v>
      </c>
      <c r="H1735">
        <f>VLOOKUP(Table2[[#This Row],[Customer ID]],Table2[#All],7,FALSE)</f>
        <v>1</v>
      </c>
      <c r="I1735" t="str">
        <f>VLOOKUP(Table2[[#This Row],[Customer ID]],Table2[#All],8,FALSE)</f>
        <v>No</v>
      </c>
      <c r="J1735" t="str">
        <f>VLOOKUP(Table2[[#This Row],[Customer ID]],Table2[#All],9,FALSE)</f>
        <v>Overweight</v>
      </c>
      <c r="K1735" t="str">
        <f>VLOOKUP(Table2[[#This Row],[Customer ID]],Table2[#All],10,FALSE)</f>
        <v>Normal</v>
      </c>
    </row>
    <row r="1736" spans="1:11" ht="15.6" x14ac:dyDescent="0.3">
      <c r="A1736" s="1" t="s">
        <v>636</v>
      </c>
      <c r="B1736" t="str">
        <f>VLOOKUP('Customer Names'!A1736,'Customer Names'!$A$1:$E$2336,4,FALSE)</f>
        <v>Mrs.  Sarah P.</v>
      </c>
      <c r="C1736">
        <f>VLOOKUP(Table2[[#This Row],[Customer ID]],Table2[#All],2,FALSE)</f>
        <v>30.13</v>
      </c>
      <c r="D1736">
        <f>VLOOKUP(Table2[[#This Row],[Customer ID]],Table2[#All],3,FALSE)</f>
        <v>4.03</v>
      </c>
      <c r="E1736" t="str">
        <f>VLOOKUP(Table2[[#This Row],[Customer ID]],Table2[#All],4,FALSE)</f>
        <v>Yes</v>
      </c>
      <c r="F1736" t="str">
        <f>VLOOKUP(Table2[[#This Row],[Customer ID]],Table2[#All],5,FALSE)</f>
        <v>No</v>
      </c>
      <c r="G1736" t="str">
        <f>VLOOKUP(Table2[[#This Row],[Customer ID]],Table2[#All],6,FALSE)</f>
        <v>No</v>
      </c>
      <c r="H1736">
        <f>VLOOKUP(Table2[[#This Row],[Customer ID]],Table2[#All],7,FALSE)</f>
        <v>1</v>
      </c>
      <c r="I1736" t="str">
        <f>VLOOKUP(Table2[[#This Row],[Customer ID]],Table2[#All],8,FALSE)</f>
        <v>No</v>
      </c>
      <c r="J1736" t="str">
        <f>VLOOKUP(Table2[[#This Row],[Customer ID]],Table2[#All],9,FALSE)</f>
        <v>Obesity</v>
      </c>
      <c r="K1736" t="str">
        <f>VLOOKUP(Table2[[#This Row],[Customer ID]],Table2[#All],10,FALSE)</f>
        <v>Normal</v>
      </c>
    </row>
    <row r="1737" spans="1:11" ht="15.6" x14ac:dyDescent="0.3">
      <c r="A1737" s="1" t="s">
        <v>635</v>
      </c>
      <c r="B1737" t="str">
        <f>VLOOKUP('Customer Names'!A1737,'Customer Names'!$A$1:$E$2336,4,FALSE)</f>
        <v>Ms.  Anabel</v>
      </c>
      <c r="C1737">
        <f>VLOOKUP(Table2[[#This Row],[Customer ID]],Table2[#All],2,FALSE)</f>
        <v>34.19</v>
      </c>
      <c r="D1737">
        <f>VLOOKUP(Table2[[#This Row],[Customer ID]],Table2[#All],3,FALSE)</f>
        <v>4.1900000000000004</v>
      </c>
      <c r="E1737" t="str">
        <f>VLOOKUP(Table2[[#This Row],[Customer ID]],Table2[#All],4,FALSE)</f>
        <v>No</v>
      </c>
      <c r="F1737" t="str">
        <f>VLOOKUP(Table2[[#This Row],[Customer ID]],Table2[#All],5,FALSE)</f>
        <v>No</v>
      </c>
      <c r="G1737" t="str">
        <f>VLOOKUP(Table2[[#This Row],[Customer ID]],Table2[#All],6,FALSE)</f>
        <v>No</v>
      </c>
      <c r="H1737">
        <f>VLOOKUP(Table2[[#This Row],[Customer ID]],Table2[#All],7,FALSE)</f>
        <v>0</v>
      </c>
      <c r="I1737" t="str">
        <f>VLOOKUP(Table2[[#This Row],[Customer ID]],Table2[#All],8,FALSE)</f>
        <v>No</v>
      </c>
      <c r="J1737" t="str">
        <f>VLOOKUP(Table2[[#This Row],[Customer ID]],Table2[#All],9,FALSE)</f>
        <v>Obesity</v>
      </c>
      <c r="K1737" t="str">
        <f>VLOOKUP(Table2[[#This Row],[Customer ID]],Table2[#All],10,FALSE)</f>
        <v>Normal</v>
      </c>
    </row>
    <row r="1738" spans="1:11" ht="15.6" x14ac:dyDescent="0.3">
      <c r="A1738" s="1" t="s">
        <v>634</v>
      </c>
      <c r="B1738" t="str">
        <f>VLOOKUP('Customer Names'!A1738,'Customer Names'!$A$1:$E$2336,4,FALSE)</f>
        <v>Mr.  Ian</v>
      </c>
      <c r="C1738">
        <f>VLOOKUP(Table2[[#This Row],[Customer ID]],Table2[#All],2,FALSE)</f>
        <v>22.515000000000001</v>
      </c>
      <c r="D1738">
        <f>VLOOKUP(Table2[[#This Row],[Customer ID]],Table2[#All],3,FALSE)</f>
        <v>4.37</v>
      </c>
      <c r="E1738" t="str">
        <f>VLOOKUP(Table2[[#This Row],[Customer ID]],Table2[#All],4,FALSE)</f>
        <v>No</v>
      </c>
      <c r="F1738" t="str">
        <f>VLOOKUP(Table2[[#This Row],[Customer ID]],Table2[#All],5,FALSE)</f>
        <v>No</v>
      </c>
      <c r="G1738" t="str">
        <f>VLOOKUP(Table2[[#This Row],[Customer ID]],Table2[#All],6,FALSE)</f>
        <v>Yes</v>
      </c>
      <c r="H1738">
        <f>VLOOKUP(Table2[[#This Row],[Customer ID]],Table2[#All],7,FALSE)</f>
        <v>1</v>
      </c>
      <c r="I1738" t="str">
        <f>VLOOKUP(Table2[[#This Row],[Customer ID]],Table2[#All],8,FALSE)</f>
        <v>No</v>
      </c>
      <c r="J1738" t="str">
        <f>VLOOKUP(Table2[[#This Row],[Customer ID]],Table2[#All],9,FALSE)</f>
        <v>Normalweight</v>
      </c>
      <c r="K1738" t="str">
        <f>VLOOKUP(Table2[[#This Row],[Customer ID]],Table2[#All],10,FALSE)</f>
        <v>Normal</v>
      </c>
    </row>
    <row r="1739" spans="1:11" ht="15.6" x14ac:dyDescent="0.3">
      <c r="A1739" s="1" t="s">
        <v>633</v>
      </c>
      <c r="B1739" t="str">
        <f>VLOOKUP('Customer Names'!A1739,'Customer Names'!$A$1:$E$2336,4,FALSE)</f>
        <v>Mr.  Alex</v>
      </c>
      <c r="C1739">
        <f>VLOOKUP(Table2[[#This Row],[Customer ID]],Table2[#All],2,FALSE)</f>
        <v>18.239999999999998</v>
      </c>
      <c r="D1739">
        <f>VLOOKUP(Table2[[#This Row],[Customer ID]],Table2[#All],3,FALSE)</f>
        <v>5.31</v>
      </c>
      <c r="E1739" t="str">
        <f>VLOOKUP(Table2[[#This Row],[Customer ID]],Table2[#All],4,FALSE)</f>
        <v>Yes</v>
      </c>
      <c r="F1739" t="str">
        <f>VLOOKUP(Table2[[#This Row],[Customer ID]],Table2[#All],5,FALSE)</f>
        <v>No</v>
      </c>
      <c r="G1739" t="str">
        <f>VLOOKUP(Table2[[#This Row],[Customer ID]],Table2[#All],6,FALSE)</f>
        <v>Yes</v>
      </c>
      <c r="H1739">
        <f>VLOOKUP(Table2[[#This Row],[Customer ID]],Table2[#All],7,FALSE)</f>
        <v>1</v>
      </c>
      <c r="I1739" t="str">
        <f>VLOOKUP(Table2[[#This Row],[Customer ID]],Table2[#All],8,FALSE)</f>
        <v>No</v>
      </c>
      <c r="J1739" t="str">
        <f>VLOOKUP(Table2[[#This Row],[Customer ID]],Table2[#All],9,FALSE)</f>
        <v>Underweight</v>
      </c>
      <c r="K1739" t="str">
        <f>VLOOKUP(Table2[[#This Row],[Customer ID]],Table2[#All],10,FALSE)</f>
        <v>Normal</v>
      </c>
    </row>
    <row r="1740" spans="1:11" ht="15.6" x14ac:dyDescent="0.3">
      <c r="A1740" s="1" t="s">
        <v>631</v>
      </c>
      <c r="B1740" t="str">
        <f>VLOOKUP('Customer Names'!A1740,'Customer Names'!$A$1:$E$2336,4,FALSE)</f>
        <v>Mr.  Richard J</v>
      </c>
      <c r="C1740">
        <f>VLOOKUP(Table2[[#This Row],[Customer ID]],Table2[#All],2,FALSE)</f>
        <v>37.28</v>
      </c>
      <c r="D1740">
        <f>VLOOKUP(Table2[[#This Row],[Customer ID]],Table2[#All],3,FALSE)</f>
        <v>4.66</v>
      </c>
      <c r="E1740" t="str">
        <f>VLOOKUP(Table2[[#This Row],[Customer ID]],Table2[#All],4,FALSE)</f>
        <v>No</v>
      </c>
      <c r="F1740" t="str">
        <f>VLOOKUP(Table2[[#This Row],[Customer ID]],Table2[#All],5,FALSE)</f>
        <v>yes</v>
      </c>
      <c r="G1740" t="str">
        <f>VLOOKUP(Table2[[#This Row],[Customer ID]],Table2[#All],6,FALSE)</f>
        <v>No</v>
      </c>
      <c r="H1740">
        <f>VLOOKUP(Table2[[#This Row],[Customer ID]],Table2[#All],7,FALSE)</f>
        <v>1</v>
      </c>
      <c r="I1740" t="str">
        <f>VLOOKUP(Table2[[#This Row],[Customer ID]],Table2[#All],8,FALSE)</f>
        <v>No</v>
      </c>
      <c r="J1740" t="str">
        <f>VLOOKUP(Table2[[#This Row],[Customer ID]],Table2[#All],9,FALSE)</f>
        <v>Obesity</v>
      </c>
      <c r="K1740" t="str">
        <f>VLOOKUP(Table2[[#This Row],[Customer ID]],Table2[#All],10,FALSE)</f>
        <v>Normal</v>
      </c>
    </row>
    <row r="1741" spans="1:11" ht="15.6" x14ac:dyDescent="0.3">
      <c r="A1741" s="1" t="s">
        <v>630</v>
      </c>
      <c r="B1741" t="str">
        <f>VLOOKUP('Customer Names'!A1741,'Customer Names'!$A$1:$E$2336,4,FALSE)</f>
        <v>Ms.  Jacqueline N.</v>
      </c>
      <c r="C1741">
        <f>VLOOKUP(Table2[[#This Row],[Customer ID]],Table2[#All],2,FALSE)</f>
        <v>18.2</v>
      </c>
      <c r="D1741">
        <f>VLOOKUP(Table2[[#This Row],[Customer ID]],Table2[#All],3,FALSE)</f>
        <v>6.19</v>
      </c>
      <c r="E1741" t="str">
        <f>VLOOKUP(Table2[[#This Row],[Customer ID]],Table2[#All],4,FALSE)</f>
        <v>No</v>
      </c>
      <c r="F1741" t="str">
        <f>VLOOKUP(Table2[[#This Row],[Customer ID]],Table2[#All],5,FALSE)</f>
        <v>No</v>
      </c>
      <c r="G1741" t="str">
        <f>VLOOKUP(Table2[[#This Row],[Customer ID]],Table2[#All],6,FALSE)</f>
        <v>Yes</v>
      </c>
      <c r="H1741">
        <f>VLOOKUP(Table2[[#This Row],[Customer ID]],Table2[#All],7,FALSE)</f>
        <v>1</v>
      </c>
      <c r="I1741" t="str">
        <f>VLOOKUP(Table2[[#This Row],[Customer ID]],Table2[#All],8,FALSE)</f>
        <v>No</v>
      </c>
      <c r="J1741" t="str">
        <f>VLOOKUP(Table2[[#This Row],[Customer ID]],Table2[#All],9,FALSE)</f>
        <v>Underweight</v>
      </c>
      <c r="K1741" t="str">
        <f>VLOOKUP(Table2[[#This Row],[Customer ID]],Table2[#All],10,FALSE)</f>
        <v>Prediabetes</v>
      </c>
    </row>
    <row r="1742" spans="1:11" ht="15.6" x14ac:dyDescent="0.3">
      <c r="A1742" s="1" t="s">
        <v>629</v>
      </c>
      <c r="B1742" t="str">
        <f>VLOOKUP('Customer Names'!A1742,'Customer Names'!$A$1:$E$2336,4,FALSE)</f>
        <v>Ms.  Cindy</v>
      </c>
      <c r="C1742">
        <f>VLOOKUP(Table2[[#This Row],[Customer ID]],Table2[#All],2,FALSE)</f>
        <v>20.53</v>
      </c>
      <c r="D1742">
        <f>VLOOKUP(Table2[[#This Row],[Customer ID]],Table2[#All],3,FALSE)</f>
        <v>4.8600000000000003</v>
      </c>
      <c r="E1742" t="str">
        <f>VLOOKUP(Table2[[#This Row],[Customer ID]],Table2[#All],4,FALSE)</f>
        <v>No</v>
      </c>
      <c r="F1742" t="str">
        <f>VLOOKUP(Table2[[#This Row],[Customer ID]],Table2[#All],5,FALSE)</f>
        <v>No</v>
      </c>
      <c r="G1742" t="str">
        <f>VLOOKUP(Table2[[#This Row],[Customer ID]],Table2[#All],6,FALSE)</f>
        <v>No</v>
      </c>
      <c r="H1742">
        <f>VLOOKUP(Table2[[#This Row],[Customer ID]],Table2[#All],7,FALSE)</f>
        <v>1</v>
      </c>
      <c r="I1742" t="str">
        <f>VLOOKUP(Table2[[#This Row],[Customer ID]],Table2[#All],8,FALSE)</f>
        <v>No</v>
      </c>
      <c r="J1742" t="str">
        <f>VLOOKUP(Table2[[#This Row],[Customer ID]],Table2[#All],9,FALSE)</f>
        <v>Normalweight</v>
      </c>
      <c r="K1742" t="str">
        <f>VLOOKUP(Table2[[#This Row],[Customer ID]],Table2[#All],10,FALSE)</f>
        <v>Normal</v>
      </c>
    </row>
    <row r="1743" spans="1:11" ht="15.6" x14ac:dyDescent="0.3">
      <c r="A1743" s="1" t="s">
        <v>628</v>
      </c>
      <c r="B1743" t="str">
        <f>VLOOKUP('Customer Names'!A1743,'Customer Names'!$A$1:$E$2336,4,FALSE)</f>
        <v>Ms.  Marcia</v>
      </c>
      <c r="C1743">
        <f>VLOOKUP(Table2[[#This Row],[Customer ID]],Table2[#All],2,FALSE)</f>
        <v>23.79</v>
      </c>
      <c r="D1743">
        <f>VLOOKUP(Table2[[#This Row],[Customer ID]],Table2[#All],3,FALSE)</f>
        <v>4.74</v>
      </c>
      <c r="E1743" t="str">
        <f>VLOOKUP(Table2[[#This Row],[Customer ID]],Table2[#All],4,FALSE)</f>
        <v>No</v>
      </c>
      <c r="F1743" t="str">
        <f>VLOOKUP(Table2[[#This Row],[Customer ID]],Table2[#All],5,FALSE)</f>
        <v>No</v>
      </c>
      <c r="G1743" t="str">
        <f>VLOOKUP(Table2[[#This Row],[Customer ID]],Table2[#All],6,FALSE)</f>
        <v>No</v>
      </c>
      <c r="H1743">
        <f>VLOOKUP(Table2[[#This Row],[Customer ID]],Table2[#All],7,FALSE)</f>
        <v>0</v>
      </c>
      <c r="I1743" t="str">
        <f>VLOOKUP(Table2[[#This Row],[Customer ID]],Table2[#All],8,FALSE)</f>
        <v>No</v>
      </c>
      <c r="J1743" t="str">
        <f>VLOOKUP(Table2[[#This Row],[Customer ID]],Table2[#All],9,FALSE)</f>
        <v>Normalweight</v>
      </c>
      <c r="K1743" t="str">
        <f>VLOOKUP(Table2[[#This Row],[Customer ID]],Table2[#All],10,FALSE)</f>
        <v>Normal</v>
      </c>
    </row>
    <row r="1744" spans="1:11" ht="15.6" x14ac:dyDescent="0.3">
      <c r="A1744" s="1" t="s">
        <v>627</v>
      </c>
      <c r="B1744" t="str">
        <f>VLOOKUP('Customer Names'!A1744,'Customer Names'!$A$1:$E$2336,4,FALSE)</f>
        <v>Ms.  Samantha R.</v>
      </c>
      <c r="C1744">
        <f>VLOOKUP(Table2[[#This Row],[Customer ID]],Table2[#All],2,FALSE)</f>
        <v>29.8</v>
      </c>
      <c r="D1744">
        <f>VLOOKUP(Table2[[#This Row],[Customer ID]],Table2[#All],3,FALSE)</f>
        <v>6.03</v>
      </c>
      <c r="E1744" t="str">
        <f>VLOOKUP(Table2[[#This Row],[Customer ID]],Table2[#All],4,FALSE)</f>
        <v>No</v>
      </c>
      <c r="F1744" t="str">
        <f>VLOOKUP(Table2[[#This Row],[Customer ID]],Table2[#All],5,FALSE)</f>
        <v>No</v>
      </c>
      <c r="G1744" t="str">
        <f>VLOOKUP(Table2[[#This Row],[Customer ID]],Table2[#All],6,FALSE)</f>
        <v>No</v>
      </c>
      <c r="H1744">
        <f>VLOOKUP(Table2[[#This Row],[Customer ID]],Table2[#All],7,FALSE)</f>
        <v>0</v>
      </c>
      <c r="I1744" t="str">
        <f>VLOOKUP(Table2[[#This Row],[Customer ID]],Table2[#All],8,FALSE)</f>
        <v>No</v>
      </c>
      <c r="J1744" t="str">
        <f>VLOOKUP(Table2[[#This Row],[Customer ID]],Table2[#All],9,FALSE)</f>
        <v>Overweight</v>
      </c>
      <c r="K1744" t="str">
        <f>VLOOKUP(Table2[[#This Row],[Customer ID]],Table2[#All],10,FALSE)</f>
        <v>Prediabetes</v>
      </c>
    </row>
    <row r="1745" spans="1:11" ht="15.6" x14ac:dyDescent="0.3">
      <c r="A1745" s="1" t="s">
        <v>626</v>
      </c>
      <c r="B1745" t="str">
        <f>VLOOKUP('Customer Names'!A1745,'Customer Names'!$A$1:$E$2336,4,FALSE)</f>
        <v>Ms.  Katie</v>
      </c>
      <c r="C1745">
        <f>VLOOKUP(Table2[[#This Row],[Customer ID]],Table2[#All],2,FALSE)</f>
        <v>31.54</v>
      </c>
      <c r="D1745">
        <f>VLOOKUP(Table2[[#This Row],[Customer ID]],Table2[#All],3,FALSE)</f>
        <v>4.71</v>
      </c>
      <c r="E1745" t="str">
        <f>VLOOKUP(Table2[[#This Row],[Customer ID]],Table2[#All],4,FALSE)</f>
        <v>No</v>
      </c>
      <c r="F1745" t="str">
        <f>VLOOKUP(Table2[[#This Row],[Customer ID]],Table2[#All],5,FALSE)</f>
        <v>No</v>
      </c>
      <c r="G1745" t="str">
        <f>VLOOKUP(Table2[[#This Row],[Customer ID]],Table2[#All],6,FALSE)</f>
        <v>No</v>
      </c>
      <c r="H1745">
        <f>VLOOKUP(Table2[[#This Row],[Customer ID]],Table2[#All],7,FALSE)</f>
        <v>0</v>
      </c>
      <c r="I1745" t="str">
        <f>VLOOKUP(Table2[[#This Row],[Customer ID]],Table2[#All],8,FALSE)</f>
        <v>No</v>
      </c>
      <c r="J1745" t="str">
        <f>VLOOKUP(Table2[[#This Row],[Customer ID]],Table2[#All],9,FALSE)</f>
        <v>Obesity</v>
      </c>
      <c r="K1745" t="str">
        <f>VLOOKUP(Table2[[#This Row],[Customer ID]],Table2[#All],10,FALSE)</f>
        <v>Normal</v>
      </c>
    </row>
    <row r="1746" spans="1:11" ht="15.6" x14ac:dyDescent="0.3">
      <c r="A1746" s="1" t="s">
        <v>625</v>
      </c>
      <c r="B1746" t="str">
        <f>VLOOKUP('Customer Names'!A1746,'Customer Names'!$A$1:$E$2336,4,FALSE)</f>
        <v>Mr.  John P</v>
      </c>
      <c r="C1746">
        <f>VLOOKUP(Table2[[#This Row],[Customer ID]],Table2[#All],2,FALSE)</f>
        <v>20.82</v>
      </c>
      <c r="D1746">
        <f>VLOOKUP(Table2[[#This Row],[Customer ID]],Table2[#All],3,FALSE)</f>
        <v>5.55</v>
      </c>
      <c r="E1746" t="str">
        <f>VLOOKUP(Table2[[#This Row],[Customer ID]],Table2[#All],4,FALSE)</f>
        <v>No</v>
      </c>
      <c r="F1746" t="str">
        <f>VLOOKUP(Table2[[#This Row],[Customer ID]],Table2[#All],5,FALSE)</f>
        <v>No</v>
      </c>
      <c r="G1746" t="str">
        <f>VLOOKUP(Table2[[#This Row],[Customer ID]],Table2[#All],6,FALSE)</f>
        <v>No</v>
      </c>
      <c r="H1746">
        <f>VLOOKUP(Table2[[#This Row],[Customer ID]],Table2[#All],7,FALSE)</f>
        <v>1</v>
      </c>
      <c r="I1746" t="str">
        <f>VLOOKUP(Table2[[#This Row],[Customer ID]],Table2[#All],8,FALSE)</f>
        <v>No</v>
      </c>
      <c r="J1746" t="str">
        <f>VLOOKUP(Table2[[#This Row],[Customer ID]],Table2[#All],9,FALSE)</f>
        <v>Normalweight</v>
      </c>
      <c r="K1746" t="str">
        <f>VLOOKUP(Table2[[#This Row],[Customer ID]],Table2[#All],10,FALSE)</f>
        <v>Normal</v>
      </c>
    </row>
    <row r="1747" spans="1:11" ht="15.6" x14ac:dyDescent="0.3">
      <c r="A1747" s="1" t="s">
        <v>624</v>
      </c>
      <c r="B1747" t="str">
        <f>VLOOKUP('Customer Names'!A1747,'Customer Names'!$A$1:$E$2336,4,FALSE)</f>
        <v>Ms.  Rachel</v>
      </c>
      <c r="C1747">
        <f>VLOOKUP(Table2[[#This Row],[Customer ID]],Table2[#All],2,FALSE)</f>
        <v>38.83</v>
      </c>
      <c r="D1747">
        <f>VLOOKUP(Table2[[#This Row],[Customer ID]],Table2[#All],3,FALSE)</f>
        <v>4.78</v>
      </c>
      <c r="E1747" t="str">
        <f>VLOOKUP(Table2[[#This Row],[Customer ID]],Table2[#All],4,FALSE)</f>
        <v>No</v>
      </c>
      <c r="F1747" t="str">
        <f>VLOOKUP(Table2[[#This Row],[Customer ID]],Table2[#All],5,FALSE)</f>
        <v>No</v>
      </c>
      <c r="G1747" t="str">
        <f>VLOOKUP(Table2[[#This Row],[Customer ID]],Table2[#All],6,FALSE)</f>
        <v>Yes</v>
      </c>
      <c r="H1747">
        <f>VLOOKUP(Table2[[#This Row],[Customer ID]],Table2[#All],7,FALSE)</f>
        <v>1</v>
      </c>
      <c r="I1747" t="str">
        <f>VLOOKUP(Table2[[#This Row],[Customer ID]],Table2[#All],8,FALSE)</f>
        <v>No</v>
      </c>
      <c r="J1747" t="str">
        <f>VLOOKUP(Table2[[#This Row],[Customer ID]],Table2[#All],9,FALSE)</f>
        <v>Obesity</v>
      </c>
      <c r="K1747" t="str">
        <f>VLOOKUP(Table2[[#This Row],[Customer ID]],Table2[#All],10,FALSE)</f>
        <v>Normal</v>
      </c>
    </row>
    <row r="1748" spans="1:11" ht="15.6" x14ac:dyDescent="0.3">
      <c r="A1748" s="1" t="s">
        <v>623</v>
      </c>
      <c r="B1748" t="str">
        <f>VLOOKUP('Customer Names'!A1748,'Customer Names'!$A$1:$E$2336,4,FALSE)</f>
        <v>Ms.  Isabelle</v>
      </c>
      <c r="C1748">
        <f>VLOOKUP(Table2[[#This Row],[Customer ID]],Table2[#All],2,FALSE)</f>
        <v>23.44</v>
      </c>
      <c r="D1748">
        <f>VLOOKUP(Table2[[#This Row],[Customer ID]],Table2[#All],3,FALSE)</f>
        <v>4.6500000000000004</v>
      </c>
      <c r="E1748" t="str">
        <f>VLOOKUP(Table2[[#This Row],[Customer ID]],Table2[#All],4,FALSE)</f>
        <v>Yes</v>
      </c>
      <c r="F1748" t="str">
        <f>VLOOKUP(Table2[[#This Row],[Customer ID]],Table2[#All],5,FALSE)</f>
        <v>No</v>
      </c>
      <c r="G1748" t="str">
        <f>VLOOKUP(Table2[[#This Row],[Customer ID]],Table2[#All],6,FALSE)</f>
        <v>No</v>
      </c>
      <c r="H1748">
        <f>VLOOKUP(Table2[[#This Row],[Customer ID]],Table2[#All],7,FALSE)</f>
        <v>1</v>
      </c>
      <c r="I1748" t="str">
        <f>VLOOKUP(Table2[[#This Row],[Customer ID]],Table2[#All],8,FALSE)</f>
        <v>No</v>
      </c>
      <c r="J1748" t="str">
        <f>VLOOKUP(Table2[[#This Row],[Customer ID]],Table2[#All],9,FALSE)</f>
        <v>Normalweight</v>
      </c>
      <c r="K1748" t="str">
        <f>VLOOKUP(Table2[[#This Row],[Customer ID]],Table2[#All],10,FALSE)</f>
        <v>Normal</v>
      </c>
    </row>
    <row r="1749" spans="1:11" ht="15.6" x14ac:dyDescent="0.3">
      <c r="A1749" s="1" t="s">
        <v>622</v>
      </c>
      <c r="B1749" t="str">
        <f>VLOOKUP('Customer Names'!A1749,'Customer Names'!$A$1:$E$2336,4,FALSE)</f>
        <v>Mr.  Neil</v>
      </c>
      <c r="C1749">
        <f>VLOOKUP(Table2[[#This Row],[Customer ID]],Table2[#All],2,FALSE)</f>
        <v>24.13</v>
      </c>
      <c r="D1749">
        <f>VLOOKUP(Table2[[#This Row],[Customer ID]],Table2[#All],3,FALSE)</f>
        <v>5.2</v>
      </c>
      <c r="E1749" t="str">
        <f>VLOOKUP(Table2[[#This Row],[Customer ID]],Table2[#All],4,FALSE)</f>
        <v>No</v>
      </c>
      <c r="F1749" t="str">
        <f>VLOOKUP(Table2[[#This Row],[Customer ID]],Table2[#All],5,FALSE)</f>
        <v>No</v>
      </c>
      <c r="G1749" t="str">
        <f>VLOOKUP(Table2[[#This Row],[Customer ID]],Table2[#All],6,FALSE)</f>
        <v>No</v>
      </c>
      <c r="H1749">
        <f>VLOOKUP(Table2[[#This Row],[Customer ID]],Table2[#All],7,FALSE)</f>
        <v>1</v>
      </c>
      <c r="I1749" t="str">
        <f>VLOOKUP(Table2[[#This Row],[Customer ID]],Table2[#All],8,FALSE)</f>
        <v>No</v>
      </c>
      <c r="J1749" t="str">
        <f>VLOOKUP(Table2[[#This Row],[Customer ID]],Table2[#All],9,FALSE)</f>
        <v>Normalweight</v>
      </c>
      <c r="K1749" t="str">
        <f>VLOOKUP(Table2[[#This Row],[Customer ID]],Table2[#All],10,FALSE)</f>
        <v>Normal</v>
      </c>
    </row>
    <row r="1750" spans="1:11" ht="15.6" x14ac:dyDescent="0.3">
      <c r="A1750" s="1" t="s">
        <v>621</v>
      </c>
      <c r="B1750" t="str">
        <f>VLOOKUP('Customer Names'!A1750,'Customer Names'!$A$1:$E$2336,4,FALSE)</f>
        <v>Mr.  Tom</v>
      </c>
      <c r="C1750">
        <f>VLOOKUP(Table2[[#This Row],[Customer ID]],Table2[#All],2,FALSE)</f>
        <v>42.13</v>
      </c>
      <c r="D1750">
        <f>VLOOKUP(Table2[[#This Row],[Customer ID]],Table2[#All],3,FALSE)</f>
        <v>4.54</v>
      </c>
      <c r="E1750" t="str">
        <f>VLOOKUP(Table2[[#This Row],[Customer ID]],Table2[#All],4,FALSE)</f>
        <v>Yes</v>
      </c>
      <c r="F1750" t="str">
        <f>VLOOKUP(Table2[[#This Row],[Customer ID]],Table2[#All],5,FALSE)</f>
        <v>No</v>
      </c>
      <c r="G1750" t="str">
        <f>VLOOKUP(Table2[[#This Row],[Customer ID]],Table2[#All],6,FALSE)</f>
        <v>No</v>
      </c>
      <c r="H1750">
        <f>VLOOKUP(Table2[[#This Row],[Customer ID]],Table2[#All],7,FALSE)</f>
        <v>1</v>
      </c>
      <c r="I1750" t="str">
        <f>VLOOKUP(Table2[[#This Row],[Customer ID]],Table2[#All],8,FALSE)</f>
        <v>No</v>
      </c>
      <c r="J1750" t="str">
        <f>VLOOKUP(Table2[[#This Row],[Customer ID]],Table2[#All],9,FALSE)</f>
        <v>Obesity</v>
      </c>
      <c r="K1750" t="str">
        <f>VLOOKUP(Table2[[#This Row],[Customer ID]],Table2[#All],10,FALSE)</f>
        <v>Normal</v>
      </c>
    </row>
    <row r="1751" spans="1:11" ht="15.6" x14ac:dyDescent="0.3">
      <c r="A1751" s="1" t="s">
        <v>620</v>
      </c>
      <c r="B1751" t="str">
        <f>VLOOKUP('Customer Names'!A1751,'Customer Names'!$A$1:$E$2336,4,FALSE)</f>
        <v>Mr.  Nathan</v>
      </c>
      <c r="C1751">
        <f>VLOOKUP(Table2[[#This Row],[Customer ID]],Table2[#All],2,FALSE)</f>
        <v>17.86</v>
      </c>
      <c r="D1751">
        <f>VLOOKUP(Table2[[#This Row],[Customer ID]],Table2[#All],3,FALSE)</f>
        <v>4.1100000000000003</v>
      </c>
      <c r="E1751" t="str">
        <f>VLOOKUP(Table2[[#This Row],[Customer ID]],Table2[#All],4,FALSE)</f>
        <v>No</v>
      </c>
      <c r="F1751" t="str">
        <f>VLOOKUP(Table2[[#This Row],[Customer ID]],Table2[#All],5,FALSE)</f>
        <v>No</v>
      </c>
      <c r="G1751" t="str">
        <f>VLOOKUP(Table2[[#This Row],[Customer ID]],Table2[#All],6,FALSE)</f>
        <v>No</v>
      </c>
      <c r="H1751">
        <f>VLOOKUP(Table2[[#This Row],[Customer ID]],Table2[#All],7,FALSE)</f>
        <v>1</v>
      </c>
      <c r="I1751" t="str">
        <f>VLOOKUP(Table2[[#This Row],[Customer ID]],Table2[#All],8,FALSE)</f>
        <v>No</v>
      </c>
      <c r="J1751" t="str">
        <f>VLOOKUP(Table2[[#This Row],[Customer ID]],Table2[#All],9,FALSE)</f>
        <v>Underweight</v>
      </c>
      <c r="K1751" t="str">
        <f>VLOOKUP(Table2[[#This Row],[Customer ID]],Table2[#All],10,FALSE)</f>
        <v>Normal</v>
      </c>
    </row>
    <row r="1752" spans="1:11" ht="15.6" x14ac:dyDescent="0.3">
      <c r="A1752" s="1" t="s">
        <v>619</v>
      </c>
      <c r="B1752" t="str">
        <f>VLOOKUP('Customer Names'!A1752,'Customer Names'!$A$1:$E$2336,4,FALSE)</f>
        <v>Mrs.  Kelli N</v>
      </c>
      <c r="C1752">
        <f>VLOOKUP(Table2[[#This Row],[Customer ID]],Table2[#All],2,FALSE)</f>
        <v>32.78</v>
      </c>
      <c r="D1752">
        <f>VLOOKUP(Table2[[#This Row],[Customer ID]],Table2[#All],3,FALSE)</f>
        <v>4.63</v>
      </c>
      <c r="E1752" t="str">
        <f>VLOOKUP(Table2[[#This Row],[Customer ID]],Table2[#All],4,FALSE)</f>
        <v>No</v>
      </c>
      <c r="F1752" t="str">
        <f>VLOOKUP(Table2[[#This Row],[Customer ID]],Table2[#All],5,FALSE)</f>
        <v>No</v>
      </c>
      <c r="G1752" t="str">
        <f>VLOOKUP(Table2[[#This Row],[Customer ID]],Table2[#All],6,FALSE)</f>
        <v>No</v>
      </c>
      <c r="H1752">
        <f>VLOOKUP(Table2[[#This Row],[Customer ID]],Table2[#All],7,FALSE)</f>
        <v>0</v>
      </c>
      <c r="I1752" t="str">
        <f>VLOOKUP(Table2[[#This Row],[Customer ID]],Table2[#All],8,FALSE)</f>
        <v>No</v>
      </c>
      <c r="J1752" t="str">
        <f>VLOOKUP(Table2[[#This Row],[Customer ID]],Table2[#All],9,FALSE)</f>
        <v>Obesity</v>
      </c>
      <c r="K1752" t="str">
        <f>VLOOKUP(Table2[[#This Row],[Customer ID]],Table2[#All],10,FALSE)</f>
        <v>Normal</v>
      </c>
    </row>
    <row r="1753" spans="1:11" ht="15.6" x14ac:dyDescent="0.3">
      <c r="A1753" s="1" t="s">
        <v>618</v>
      </c>
      <c r="B1753" t="str">
        <f>VLOOKUP('Customer Names'!A1753,'Customer Names'!$A$1:$E$2336,4,FALSE)</f>
        <v>Mr.  Scott M.</v>
      </c>
      <c r="C1753">
        <f>VLOOKUP(Table2[[#This Row],[Customer ID]],Table2[#All],2,FALSE)</f>
        <v>23.9</v>
      </c>
      <c r="D1753">
        <f>VLOOKUP(Table2[[#This Row],[Customer ID]],Table2[#All],3,FALSE)</f>
        <v>6.06</v>
      </c>
      <c r="E1753" t="str">
        <f>VLOOKUP(Table2[[#This Row],[Customer ID]],Table2[#All],4,FALSE)</f>
        <v>Yes</v>
      </c>
      <c r="F1753" t="str">
        <f>VLOOKUP(Table2[[#This Row],[Customer ID]],Table2[#All],5,FALSE)</f>
        <v>No</v>
      </c>
      <c r="G1753" t="str">
        <f>VLOOKUP(Table2[[#This Row],[Customer ID]],Table2[#All],6,FALSE)</f>
        <v>Yes</v>
      </c>
      <c r="H1753">
        <f>VLOOKUP(Table2[[#This Row],[Customer ID]],Table2[#All],7,FALSE)</f>
        <v>1</v>
      </c>
      <c r="I1753" t="str">
        <f>VLOOKUP(Table2[[#This Row],[Customer ID]],Table2[#All],8,FALSE)</f>
        <v>No</v>
      </c>
      <c r="J1753" t="str">
        <f>VLOOKUP(Table2[[#This Row],[Customer ID]],Table2[#All],9,FALSE)</f>
        <v>Normalweight</v>
      </c>
      <c r="K1753" t="str">
        <f>VLOOKUP(Table2[[#This Row],[Customer ID]],Table2[#All],10,FALSE)</f>
        <v>Prediabetes</v>
      </c>
    </row>
    <row r="1754" spans="1:11" ht="15.6" x14ac:dyDescent="0.3">
      <c r="A1754" s="1" t="s">
        <v>617</v>
      </c>
      <c r="B1754" t="str">
        <f>VLOOKUP('Customer Names'!A1754,'Customer Names'!$A$1:$E$2336,4,FALSE)</f>
        <v>Mr.  Grant A</v>
      </c>
      <c r="C1754">
        <f>VLOOKUP(Table2[[#This Row],[Customer ID]],Table2[#All],2,FALSE)</f>
        <v>15.47</v>
      </c>
      <c r="D1754">
        <f>VLOOKUP(Table2[[#This Row],[Customer ID]],Table2[#All],3,FALSE)</f>
        <v>8.43</v>
      </c>
      <c r="E1754" t="str">
        <f>VLOOKUP(Table2[[#This Row],[Customer ID]],Table2[#All],4,FALSE)</f>
        <v>No</v>
      </c>
      <c r="F1754" t="str">
        <f>VLOOKUP(Table2[[#This Row],[Customer ID]],Table2[#All],5,FALSE)</f>
        <v>No</v>
      </c>
      <c r="G1754" t="str">
        <f>VLOOKUP(Table2[[#This Row],[Customer ID]],Table2[#All],6,FALSE)</f>
        <v>No</v>
      </c>
      <c r="H1754">
        <f>VLOOKUP(Table2[[#This Row],[Customer ID]],Table2[#All],7,FALSE)</f>
        <v>0</v>
      </c>
      <c r="I1754" t="str">
        <f>VLOOKUP(Table2[[#This Row],[Customer ID]],Table2[#All],8,FALSE)</f>
        <v>No</v>
      </c>
      <c r="J1754" t="str">
        <f>VLOOKUP(Table2[[#This Row],[Customer ID]],Table2[#All],9,FALSE)</f>
        <v>Underweight</v>
      </c>
      <c r="K1754" t="str">
        <f>VLOOKUP(Table2[[#This Row],[Customer ID]],Table2[#All],10,FALSE)</f>
        <v>Diabetes</v>
      </c>
    </row>
    <row r="1755" spans="1:11" ht="15.6" x14ac:dyDescent="0.3">
      <c r="A1755" s="1" t="s">
        <v>616</v>
      </c>
      <c r="B1755" t="str">
        <f>VLOOKUP('Customer Names'!A1755,'Customer Names'!$A$1:$E$2336,4,FALSE)</f>
        <v>Mr.  Jonathan C</v>
      </c>
      <c r="C1755">
        <f>VLOOKUP(Table2[[#This Row],[Customer ID]],Table2[#All],2,FALSE)</f>
        <v>28.54</v>
      </c>
      <c r="D1755">
        <f>VLOOKUP(Table2[[#This Row],[Customer ID]],Table2[#All],3,FALSE)</f>
        <v>5.51</v>
      </c>
      <c r="E1755" t="str">
        <f>VLOOKUP(Table2[[#This Row],[Customer ID]],Table2[#All],4,FALSE)</f>
        <v>No</v>
      </c>
      <c r="F1755" t="str">
        <f>VLOOKUP(Table2[[#This Row],[Customer ID]],Table2[#All],5,FALSE)</f>
        <v>No</v>
      </c>
      <c r="G1755" t="str">
        <f>VLOOKUP(Table2[[#This Row],[Customer ID]],Table2[#All],6,FALSE)</f>
        <v>Yes</v>
      </c>
      <c r="H1755">
        <f>VLOOKUP(Table2[[#This Row],[Customer ID]],Table2[#All],7,FALSE)</f>
        <v>1</v>
      </c>
      <c r="I1755" t="str">
        <f>VLOOKUP(Table2[[#This Row],[Customer ID]],Table2[#All],8,FALSE)</f>
        <v>No</v>
      </c>
      <c r="J1755" t="str">
        <f>VLOOKUP(Table2[[#This Row],[Customer ID]],Table2[#All],9,FALSE)</f>
        <v>Overweight</v>
      </c>
      <c r="K1755" t="str">
        <f>VLOOKUP(Table2[[#This Row],[Customer ID]],Table2[#All],10,FALSE)</f>
        <v>Normal</v>
      </c>
    </row>
    <row r="1756" spans="1:11" ht="15.6" x14ac:dyDescent="0.3">
      <c r="A1756" s="1" t="s">
        <v>615</v>
      </c>
      <c r="B1756" t="str">
        <f>VLOOKUP('Customer Names'!A1756,'Customer Names'!$A$1:$E$2336,4,FALSE)</f>
        <v>Ms.  Rachael M.</v>
      </c>
      <c r="C1756">
        <f>VLOOKUP(Table2[[#This Row],[Customer ID]],Table2[#All],2,FALSE)</f>
        <v>18.54</v>
      </c>
      <c r="D1756">
        <f>VLOOKUP(Table2[[#This Row],[Customer ID]],Table2[#All],3,FALSE)</f>
        <v>4.95</v>
      </c>
      <c r="E1756" t="str">
        <f>VLOOKUP(Table2[[#This Row],[Customer ID]],Table2[#All],4,FALSE)</f>
        <v>No</v>
      </c>
      <c r="F1756" t="str">
        <f>VLOOKUP(Table2[[#This Row],[Customer ID]],Table2[#All],5,FALSE)</f>
        <v>No</v>
      </c>
      <c r="G1756" t="str">
        <f>VLOOKUP(Table2[[#This Row],[Customer ID]],Table2[#All],6,FALSE)</f>
        <v>No</v>
      </c>
      <c r="H1756">
        <f>VLOOKUP(Table2[[#This Row],[Customer ID]],Table2[#All],7,FALSE)</f>
        <v>0</v>
      </c>
      <c r="I1756" t="str">
        <f>VLOOKUP(Table2[[#This Row],[Customer ID]],Table2[#All],8,FALSE)</f>
        <v>No</v>
      </c>
      <c r="J1756" t="str">
        <f>VLOOKUP(Table2[[#This Row],[Customer ID]],Table2[#All],9,FALSE)</f>
        <v>Normalweight</v>
      </c>
      <c r="K1756" t="str">
        <f>VLOOKUP(Table2[[#This Row],[Customer ID]],Table2[#All],10,FALSE)</f>
        <v>Normal</v>
      </c>
    </row>
    <row r="1757" spans="1:11" ht="15.6" x14ac:dyDescent="0.3">
      <c r="A1757" s="1" t="s">
        <v>614</v>
      </c>
      <c r="B1757" t="str">
        <f>VLOOKUP('Customer Names'!A1757,'Customer Names'!$A$1:$E$2336,4,FALSE)</f>
        <v>Ms.  Pilar</v>
      </c>
      <c r="C1757">
        <f>VLOOKUP(Table2[[#This Row],[Customer ID]],Table2[#All],2,FALSE)</f>
        <v>32.18</v>
      </c>
      <c r="D1757">
        <f>VLOOKUP(Table2[[#This Row],[Customer ID]],Table2[#All],3,FALSE)</f>
        <v>6.44</v>
      </c>
      <c r="E1757" t="str">
        <f>VLOOKUP(Table2[[#This Row],[Customer ID]],Table2[#All],4,FALSE)</f>
        <v>Yes</v>
      </c>
      <c r="F1757" t="str">
        <f>VLOOKUP(Table2[[#This Row],[Customer ID]],Table2[#All],5,FALSE)</f>
        <v>No</v>
      </c>
      <c r="G1757" t="str">
        <f>VLOOKUP(Table2[[#This Row],[Customer ID]],Table2[#All],6,FALSE)</f>
        <v>Yes</v>
      </c>
      <c r="H1757">
        <f>VLOOKUP(Table2[[#This Row],[Customer ID]],Table2[#All],7,FALSE)</f>
        <v>1</v>
      </c>
      <c r="I1757" t="str">
        <f>VLOOKUP(Table2[[#This Row],[Customer ID]],Table2[#All],8,FALSE)</f>
        <v>No</v>
      </c>
      <c r="J1757" t="str">
        <f>VLOOKUP(Table2[[#This Row],[Customer ID]],Table2[#All],9,FALSE)</f>
        <v>Obesity</v>
      </c>
      <c r="K1757" t="str">
        <f>VLOOKUP(Table2[[#This Row],[Customer ID]],Table2[#All],10,FALSE)</f>
        <v>Prediabetes</v>
      </c>
    </row>
    <row r="1758" spans="1:11" ht="15.6" x14ac:dyDescent="0.3">
      <c r="A1758" s="1" t="s">
        <v>613</v>
      </c>
      <c r="B1758" t="str">
        <f>VLOOKUP('Customer Names'!A1758,'Customer Names'!$A$1:$E$2336,4,FALSE)</f>
        <v>Mr.  Kyle M</v>
      </c>
      <c r="C1758">
        <f>VLOOKUP(Table2[[#This Row],[Customer ID]],Table2[#All],2,FALSE)</f>
        <v>37.380000000000003</v>
      </c>
      <c r="D1758">
        <f>VLOOKUP(Table2[[#This Row],[Customer ID]],Table2[#All],3,FALSE)</f>
        <v>6.05</v>
      </c>
      <c r="E1758" t="str">
        <f>VLOOKUP(Table2[[#This Row],[Customer ID]],Table2[#All],4,FALSE)</f>
        <v>Yes</v>
      </c>
      <c r="F1758" t="str">
        <f>VLOOKUP(Table2[[#This Row],[Customer ID]],Table2[#All],5,FALSE)</f>
        <v>No</v>
      </c>
      <c r="G1758" t="str">
        <f>VLOOKUP(Table2[[#This Row],[Customer ID]],Table2[#All],6,FALSE)</f>
        <v>No</v>
      </c>
      <c r="H1758">
        <f>VLOOKUP(Table2[[#This Row],[Customer ID]],Table2[#All],7,FALSE)</f>
        <v>0</v>
      </c>
      <c r="I1758" t="str">
        <f>VLOOKUP(Table2[[#This Row],[Customer ID]],Table2[#All],8,FALSE)</f>
        <v>No</v>
      </c>
      <c r="J1758" t="str">
        <f>VLOOKUP(Table2[[#This Row],[Customer ID]],Table2[#All],9,FALSE)</f>
        <v>Obesity</v>
      </c>
      <c r="K1758" t="str">
        <f>VLOOKUP(Table2[[#This Row],[Customer ID]],Table2[#All],10,FALSE)</f>
        <v>Prediabetes</v>
      </c>
    </row>
    <row r="1759" spans="1:11" ht="15.6" x14ac:dyDescent="0.3">
      <c r="A1759" s="1" t="s">
        <v>612</v>
      </c>
      <c r="B1759" t="str">
        <f>VLOOKUP('Customer Names'!A1759,'Customer Names'!$A$1:$E$2336,4,FALSE)</f>
        <v>Mrs.  Christie</v>
      </c>
      <c r="C1759">
        <f>VLOOKUP(Table2[[#This Row],[Customer ID]],Table2[#All],2,FALSE)</f>
        <v>31.12</v>
      </c>
      <c r="D1759">
        <f>VLOOKUP(Table2[[#This Row],[Customer ID]],Table2[#All],3,FALSE)</f>
        <v>4.76</v>
      </c>
      <c r="E1759" t="str">
        <f>VLOOKUP(Table2[[#This Row],[Customer ID]],Table2[#All],4,FALSE)</f>
        <v>Yes</v>
      </c>
      <c r="F1759" t="str">
        <f>VLOOKUP(Table2[[#This Row],[Customer ID]],Table2[#All],5,FALSE)</f>
        <v>No</v>
      </c>
      <c r="G1759" t="str">
        <f>VLOOKUP(Table2[[#This Row],[Customer ID]],Table2[#All],6,FALSE)</f>
        <v>Yes</v>
      </c>
      <c r="H1759">
        <f>VLOOKUP(Table2[[#This Row],[Customer ID]],Table2[#All],7,FALSE)</f>
        <v>1</v>
      </c>
      <c r="I1759" t="str">
        <f>VLOOKUP(Table2[[#This Row],[Customer ID]],Table2[#All],8,FALSE)</f>
        <v>No</v>
      </c>
      <c r="J1759" t="str">
        <f>VLOOKUP(Table2[[#This Row],[Customer ID]],Table2[#All],9,FALSE)</f>
        <v>Obesity</v>
      </c>
      <c r="K1759" t="str">
        <f>VLOOKUP(Table2[[#This Row],[Customer ID]],Table2[#All],10,FALSE)</f>
        <v>Normal</v>
      </c>
    </row>
    <row r="1760" spans="1:11" ht="15.6" x14ac:dyDescent="0.3">
      <c r="A1760" s="1" t="s">
        <v>611</v>
      </c>
      <c r="B1760" t="str">
        <f>VLOOKUP('Customer Names'!A1760,'Customer Names'!$A$1:$E$2336,4,FALSE)</f>
        <v>Mr.  David A.</v>
      </c>
      <c r="C1760">
        <f>VLOOKUP(Table2[[#This Row],[Customer ID]],Table2[#All],2,FALSE)</f>
        <v>22.01</v>
      </c>
      <c r="D1760">
        <f>VLOOKUP(Table2[[#This Row],[Customer ID]],Table2[#All],3,FALSE)</f>
        <v>6.72</v>
      </c>
      <c r="E1760" t="str">
        <f>VLOOKUP(Table2[[#This Row],[Customer ID]],Table2[#All],4,FALSE)</f>
        <v>Yes</v>
      </c>
      <c r="F1760" t="str">
        <f>VLOOKUP(Table2[[#This Row],[Customer ID]],Table2[#All],5,FALSE)</f>
        <v>No</v>
      </c>
      <c r="G1760" t="str">
        <f>VLOOKUP(Table2[[#This Row],[Customer ID]],Table2[#All],6,FALSE)</f>
        <v>No</v>
      </c>
      <c r="H1760">
        <f>VLOOKUP(Table2[[#This Row],[Customer ID]],Table2[#All],7,FALSE)</f>
        <v>1</v>
      </c>
      <c r="I1760" t="str">
        <f>VLOOKUP(Table2[[#This Row],[Customer ID]],Table2[#All],8,FALSE)</f>
        <v>No</v>
      </c>
      <c r="J1760" t="str">
        <f>VLOOKUP(Table2[[#This Row],[Customer ID]],Table2[#All],9,FALSE)</f>
        <v>Normalweight</v>
      </c>
      <c r="K1760" t="str">
        <f>VLOOKUP(Table2[[#This Row],[Customer ID]],Table2[#All],10,FALSE)</f>
        <v>Diabetes</v>
      </c>
    </row>
    <row r="1761" spans="1:11" ht="15.6" x14ac:dyDescent="0.3">
      <c r="A1761" s="1" t="s">
        <v>610</v>
      </c>
      <c r="B1761" t="str">
        <f>VLOOKUP('Customer Names'!A1761,'Customer Names'!$A$1:$E$2336,4,FALSE)</f>
        <v>Mr.  Masahiro</v>
      </c>
      <c r="C1761">
        <f>VLOOKUP(Table2[[#This Row],[Customer ID]],Table2[#All],2,FALSE)</f>
        <v>27.645</v>
      </c>
      <c r="D1761">
        <f>VLOOKUP(Table2[[#This Row],[Customer ID]],Table2[#All],3,FALSE)</f>
        <v>5.7</v>
      </c>
      <c r="E1761" t="str">
        <f>VLOOKUP(Table2[[#This Row],[Customer ID]],Table2[#All],4,FALSE)</f>
        <v>No</v>
      </c>
      <c r="F1761" t="str">
        <f>VLOOKUP(Table2[[#This Row],[Customer ID]],Table2[#All],5,FALSE)</f>
        <v>No</v>
      </c>
      <c r="G1761" t="str">
        <f>VLOOKUP(Table2[[#This Row],[Customer ID]],Table2[#All],6,FALSE)</f>
        <v>No</v>
      </c>
      <c r="H1761">
        <f>VLOOKUP(Table2[[#This Row],[Customer ID]],Table2[#All],7,FALSE)</f>
        <v>0</v>
      </c>
      <c r="I1761" t="str">
        <f>VLOOKUP(Table2[[#This Row],[Customer ID]],Table2[#All],8,FALSE)</f>
        <v>No</v>
      </c>
      <c r="J1761" t="str">
        <f>VLOOKUP(Table2[[#This Row],[Customer ID]],Table2[#All],9,FALSE)</f>
        <v>Overweight</v>
      </c>
      <c r="K1761" t="str">
        <f>VLOOKUP(Table2[[#This Row],[Customer ID]],Table2[#All],10,FALSE)</f>
        <v>Prediabetes</v>
      </c>
    </row>
    <row r="1762" spans="1:11" ht="15.6" x14ac:dyDescent="0.3">
      <c r="A1762" s="1" t="s">
        <v>609</v>
      </c>
      <c r="B1762" t="str">
        <f>VLOOKUP('Customer Names'!A1762,'Customer Names'!$A$1:$E$2336,4,FALSE)</f>
        <v>Mr.  Logan B.</v>
      </c>
      <c r="C1762">
        <f>VLOOKUP(Table2[[#This Row],[Customer ID]],Table2[#All],2,FALSE)</f>
        <v>29.64</v>
      </c>
      <c r="D1762">
        <f>VLOOKUP(Table2[[#This Row],[Customer ID]],Table2[#All],3,FALSE)</f>
        <v>5.31</v>
      </c>
      <c r="E1762" t="str">
        <f>VLOOKUP(Table2[[#This Row],[Customer ID]],Table2[#All],4,FALSE)</f>
        <v>Yes</v>
      </c>
      <c r="F1762" t="str">
        <f>VLOOKUP(Table2[[#This Row],[Customer ID]],Table2[#All],5,FALSE)</f>
        <v>No</v>
      </c>
      <c r="G1762" t="str">
        <f>VLOOKUP(Table2[[#This Row],[Customer ID]],Table2[#All],6,FALSE)</f>
        <v>No</v>
      </c>
      <c r="H1762">
        <f>VLOOKUP(Table2[[#This Row],[Customer ID]],Table2[#All],7,FALSE)</f>
        <v>0</v>
      </c>
      <c r="I1762" t="str">
        <f>VLOOKUP(Table2[[#This Row],[Customer ID]],Table2[#All],8,FALSE)</f>
        <v>No</v>
      </c>
      <c r="J1762" t="str">
        <f>VLOOKUP(Table2[[#This Row],[Customer ID]],Table2[#All],9,FALSE)</f>
        <v>Overweight</v>
      </c>
      <c r="K1762" t="str">
        <f>VLOOKUP(Table2[[#This Row],[Customer ID]],Table2[#All],10,FALSE)</f>
        <v>Normal</v>
      </c>
    </row>
    <row r="1763" spans="1:11" ht="15.6" x14ac:dyDescent="0.3">
      <c r="A1763" s="1" t="s">
        <v>608</v>
      </c>
      <c r="B1763" t="str">
        <f>VLOOKUP('Customer Names'!A1763,'Customer Names'!$A$1:$E$2336,4,FALSE)</f>
        <v>Ms.  Stephanie L.</v>
      </c>
      <c r="C1763">
        <f>VLOOKUP(Table2[[#This Row],[Customer ID]],Table2[#All],2,FALSE)</f>
        <v>33.700000000000003</v>
      </c>
      <c r="D1763">
        <f>VLOOKUP(Table2[[#This Row],[Customer ID]],Table2[#All],3,FALSE)</f>
        <v>4.32</v>
      </c>
      <c r="E1763" t="str">
        <f>VLOOKUP(Table2[[#This Row],[Customer ID]],Table2[#All],4,FALSE)</f>
        <v>Yes</v>
      </c>
      <c r="F1763" t="str">
        <f>VLOOKUP(Table2[[#This Row],[Customer ID]],Table2[#All],5,FALSE)</f>
        <v>No</v>
      </c>
      <c r="G1763" t="str">
        <f>VLOOKUP(Table2[[#This Row],[Customer ID]],Table2[#All],6,FALSE)</f>
        <v>No</v>
      </c>
      <c r="H1763">
        <f>VLOOKUP(Table2[[#This Row],[Customer ID]],Table2[#All],7,FALSE)</f>
        <v>1</v>
      </c>
      <c r="I1763" t="str">
        <f>VLOOKUP(Table2[[#This Row],[Customer ID]],Table2[#All],8,FALSE)</f>
        <v>No</v>
      </c>
      <c r="J1763" t="str">
        <f>VLOOKUP(Table2[[#This Row],[Customer ID]],Table2[#All],9,FALSE)</f>
        <v>Obesity</v>
      </c>
      <c r="K1763" t="str">
        <f>VLOOKUP(Table2[[#This Row],[Customer ID]],Table2[#All],10,FALSE)</f>
        <v>Normal</v>
      </c>
    </row>
    <row r="1764" spans="1:11" ht="15.6" x14ac:dyDescent="0.3">
      <c r="A1764" s="1" t="s">
        <v>607</v>
      </c>
      <c r="B1764" t="str">
        <f>VLOOKUP('Customer Names'!A1764,'Customer Names'!$A$1:$E$2336,4,FALSE)</f>
        <v>Ms.  Angela H</v>
      </c>
      <c r="C1764">
        <f>VLOOKUP(Table2[[#This Row],[Customer ID]],Table2[#All],2,FALSE)</f>
        <v>27.5</v>
      </c>
      <c r="D1764">
        <f>VLOOKUP(Table2[[#This Row],[Customer ID]],Table2[#All],3,FALSE)</f>
        <v>4.2300000000000004</v>
      </c>
      <c r="E1764" t="str">
        <f>VLOOKUP(Table2[[#This Row],[Customer ID]],Table2[#All],4,FALSE)</f>
        <v>Yes</v>
      </c>
      <c r="F1764" t="str">
        <f>VLOOKUP(Table2[[#This Row],[Customer ID]],Table2[#All],5,FALSE)</f>
        <v>No</v>
      </c>
      <c r="G1764" t="str">
        <f>VLOOKUP(Table2[[#This Row],[Customer ID]],Table2[#All],6,FALSE)</f>
        <v>No</v>
      </c>
      <c r="H1764">
        <f>VLOOKUP(Table2[[#This Row],[Customer ID]],Table2[#All],7,FALSE)</f>
        <v>1</v>
      </c>
      <c r="I1764" t="str">
        <f>VLOOKUP(Table2[[#This Row],[Customer ID]],Table2[#All],8,FALSE)</f>
        <v>No</v>
      </c>
      <c r="J1764" t="str">
        <f>VLOOKUP(Table2[[#This Row],[Customer ID]],Table2[#All],9,FALSE)</f>
        <v>Overweight</v>
      </c>
      <c r="K1764" t="str">
        <f>VLOOKUP(Table2[[#This Row],[Customer ID]],Table2[#All],10,FALSE)</f>
        <v>Normal</v>
      </c>
    </row>
    <row r="1765" spans="1:11" ht="15.6" x14ac:dyDescent="0.3">
      <c r="A1765" s="1" t="s">
        <v>606</v>
      </c>
      <c r="B1765" t="str">
        <f>VLOOKUP('Customer Names'!A1765,'Customer Names'!$A$1:$E$2336,4,FALSE)</f>
        <v>Ms.  Britt K</v>
      </c>
      <c r="C1765">
        <f>VLOOKUP(Table2[[#This Row],[Customer ID]],Table2[#All],2,FALSE)</f>
        <v>16.12</v>
      </c>
      <c r="D1765">
        <f>VLOOKUP(Table2[[#This Row],[Customer ID]],Table2[#All],3,FALSE)</f>
        <v>6.09</v>
      </c>
      <c r="E1765" t="str">
        <f>VLOOKUP(Table2[[#This Row],[Customer ID]],Table2[#All],4,FALSE)</f>
        <v>No</v>
      </c>
      <c r="F1765" t="str">
        <f>VLOOKUP(Table2[[#This Row],[Customer ID]],Table2[#All],5,FALSE)</f>
        <v>No</v>
      </c>
      <c r="G1765" t="str">
        <f>VLOOKUP(Table2[[#This Row],[Customer ID]],Table2[#All],6,FALSE)</f>
        <v>No</v>
      </c>
      <c r="H1765">
        <f>VLOOKUP(Table2[[#This Row],[Customer ID]],Table2[#All],7,FALSE)</f>
        <v>0</v>
      </c>
      <c r="I1765" t="str">
        <f>VLOOKUP(Table2[[#This Row],[Customer ID]],Table2[#All],8,FALSE)</f>
        <v>No</v>
      </c>
      <c r="J1765" t="str">
        <f>VLOOKUP(Table2[[#This Row],[Customer ID]],Table2[#All],9,FALSE)</f>
        <v>Underweight</v>
      </c>
      <c r="K1765" t="str">
        <f>VLOOKUP(Table2[[#This Row],[Customer ID]],Table2[#All],10,FALSE)</f>
        <v>Prediabetes</v>
      </c>
    </row>
    <row r="1766" spans="1:11" ht="15.6" x14ac:dyDescent="0.3">
      <c r="A1766" s="1" t="s">
        <v>605</v>
      </c>
      <c r="B1766" t="str">
        <f>VLOOKUP('Customer Names'!A1766,'Customer Names'!$A$1:$E$2336,4,FALSE)</f>
        <v>Ms.  Joyce R.</v>
      </c>
      <c r="C1766">
        <f>VLOOKUP(Table2[[#This Row],[Customer ID]],Table2[#All],2,FALSE)</f>
        <v>26.73</v>
      </c>
      <c r="D1766">
        <f>VLOOKUP(Table2[[#This Row],[Customer ID]],Table2[#All],3,FALSE)</f>
        <v>4.74</v>
      </c>
      <c r="E1766" t="str">
        <f>VLOOKUP(Table2[[#This Row],[Customer ID]],Table2[#All],4,FALSE)</f>
        <v>Yes</v>
      </c>
      <c r="F1766" t="str">
        <f>VLOOKUP(Table2[[#This Row],[Customer ID]],Table2[#All],5,FALSE)</f>
        <v>No</v>
      </c>
      <c r="G1766" t="str">
        <f>VLOOKUP(Table2[[#This Row],[Customer ID]],Table2[#All],6,FALSE)</f>
        <v>No</v>
      </c>
      <c r="H1766">
        <f>VLOOKUP(Table2[[#This Row],[Customer ID]],Table2[#All],7,FALSE)</f>
        <v>1</v>
      </c>
      <c r="I1766" t="str">
        <f>VLOOKUP(Table2[[#This Row],[Customer ID]],Table2[#All],8,FALSE)</f>
        <v>No</v>
      </c>
      <c r="J1766" t="str">
        <f>VLOOKUP(Table2[[#This Row],[Customer ID]],Table2[#All],9,FALSE)</f>
        <v>Overweight</v>
      </c>
      <c r="K1766" t="str">
        <f>VLOOKUP(Table2[[#This Row],[Customer ID]],Table2[#All],10,FALSE)</f>
        <v>Normal</v>
      </c>
    </row>
    <row r="1767" spans="1:11" ht="15.6" x14ac:dyDescent="0.3">
      <c r="A1767" s="1" t="s">
        <v>604</v>
      </c>
      <c r="B1767" t="str">
        <f>VLOOKUP('Customer Names'!A1767,'Customer Names'!$A$1:$E$2336,4,FALSE)</f>
        <v>Mr.  Ben</v>
      </c>
      <c r="C1767">
        <f>VLOOKUP(Table2[[#This Row],[Customer ID]],Table2[#All],2,FALSE)</f>
        <v>37.25</v>
      </c>
      <c r="D1767">
        <f>VLOOKUP(Table2[[#This Row],[Customer ID]],Table2[#All],3,FALSE)</f>
        <v>6.23</v>
      </c>
      <c r="E1767" t="str">
        <f>VLOOKUP(Table2[[#This Row],[Customer ID]],Table2[#All],4,FALSE)</f>
        <v>Yes</v>
      </c>
      <c r="F1767" t="str">
        <f>VLOOKUP(Table2[[#This Row],[Customer ID]],Table2[#All],5,FALSE)</f>
        <v>No</v>
      </c>
      <c r="G1767" t="str">
        <f>VLOOKUP(Table2[[#This Row],[Customer ID]],Table2[#All],6,FALSE)</f>
        <v>No</v>
      </c>
      <c r="H1767">
        <f>VLOOKUP(Table2[[#This Row],[Customer ID]],Table2[#All],7,FALSE)</f>
        <v>0</v>
      </c>
      <c r="I1767" t="str">
        <f>VLOOKUP(Table2[[#This Row],[Customer ID]],Table2[#All],8,FALSE)</f>
        <v>No</v>
      </c>
      <c r="J1767" t="str">
        <f>VLOOKUP(Table2[[#This Row],[Customer ID]],Table2[#All],9,FALSE)</f>
        <v>Obesity</v>
      </c>
      <c r="K1767" t="str">
        <f>VLOOKUP(Table2[[#This Row],[Customer ID]],Table2[#All],10,FALSE)</f>
        <v>Prediabetes</v>
      </c>
    </row>
    <row r="1768" spans="1:11" ht="15.6" x14ac:dyDescent="0.3">
      <c r="A1768" s="1" t="s">
        <v>603</v>
      </c>
      <c r="B1768" t="str">
        <f>VLOOKUP('Customer Names'!A1768,'Customer Names'!$A$1:$E$2336,4,FALSE)</f>
        <v>Ms.  Sarah M.</v>
      </c>
      <c r="C1768">
        <f>VLOOKUP(Table2[[#This Row],[Customer ID]],Table2[#All],2,FALSE)</f>
        <v>23.56</v>
      </c>
      <c r="D1768">
        <f>VLOOKUP(Table2[[#This Row],[Customer ID]],Table2[#All],3,FALSE)</f>
        <v>5.45</v>
      </c>
      <c r="E1768" t="str">
        <f>VLOOKUP(Table2[[#This Row],[Customer ID]],Table2[#All],4,FALSE)</f>
        <v>Yes</v>
      </c>
      <c r="F1768" t="str">
        <f>VLOOKUP(Table2[[#This Row],[Customer ID]],Table2[#All],5,FALSE)</f>
        <v>No</v>
      </c>
      <c r="G1768" t="str">
        <f>VLOOKUP(Table2[[#This Row],[Customer ID]],Table2[#All],6,FALSE)</f>
        <v>No</v>
      </c>
      <c r="H1768">
        <f>VLOOKUP(Table2[[#This Row],[Customer ID]],Table2[#All],7,FALSE)</f>
        <v>1</v>
      </c>
      <c r="I1768" t="str">
        <f>VLOOKUP(Table2[[#This Row],[Customer ID]],Table2[#All],8,FALSE)</f>
        <v>No</v>
      </c>
      <c r="J1768" t="str">
        <f>VLOOKUP(Table2[[#This Row],[Customer ID]],Table2[#All],9,FALSE)</f>
        <v>Normalweight</v>
      </c>
      <c r="K1768" t="str">
        <f>VLOOKUP(Table2[[#This Row],[Customer ID]],Table2[#All],10,FALSE)</f>
        <v>Normal</v>
      </c>
    </row>
    <row r="1769" spans="1:11" ht="15.6" x14ac:dyDescent="0.3">
      <c r="A1769" s="1" t="s">
        <v>602</v>
      </c>
      <c r="B1769" t="str">
        <f>VLOOKUP('Customer Names'!A1769,'Customer Names'!$A$1:$E$2336,4,FALSE)</f>
        <v>Ms.  Sarah</v>
      </c>
      <c r="C1769">
        <f>VLOOKUP(Table2[[#This Row],[Customer ID]],Table2[#All],2,FALSE)</f>
        <v>15.84</v>
      </c>
      <c r="D1769">
        <f>VLOOKUP(Table2[[#This Row],[Customer ID]],Table2[#All],3,FALSE)</f>
        <v>10.34</v>
      </c>
      <c r="E1769" t="str">
        <f>VLOOKUP(Table2[[#This Row],[Customer ID]],Table2[#All],4,FALSE)</f>
        <v>No</v>
      </c>
      <c r="F1769" t="str">
        <f>VLOOKUP(Table2[[#This Row],[Customer ID]],Table2[#All],5,FALSE)</f>
        <v>No</v>
      </c>
      <c r="G1769" t="str">
        <f>VLOOKUP(Table2[[#This Row],[Customer ID]],Table2[#All],6,FALSE)</f>
        <v>No</v>
      </c>
      <c r="H1769">
        <f>VLOOKUP(Table2[[#This Row],[Customer ID]],Table2[#All],7,FALSE)</f>
        <v>2</v>
      </c>
      <c r="I1769" t="str">
        <f>VLOOKUP(Table2[[#This Row],[Customer ID]],Table2[#All],8,FALSE)</f>
        <v>No</v>
      </c>
      <c r="J1769" t="str">
        <f>VLOOKUP(Table2[[#This Row],[Customer ID]],Table2[#All],9,FALSE)</f>
        <v>Underweight</v>
      </c>
      <c r="K1769" t="str">
        <f>VLOOKUP(Table2[[#This Row],[Customer ID]],Table2[#All],10,FALSE)</f>
        <v>Diabetes</v>
      </c>
    </row>
    <row r="1770" spans="1:11" ht="15.6" x14ac:dyDescent="0.3">
      <c r="A1770" s="1" t="s">
        <v>601</v>
      </c>
      <c r="B1770" t="str">
        <f>VLOOKUP('Customer Names'!A1770,'Customer Names'!$A$1:$E$2336,4,FALSE)</f>
        <v>Ms.  Katie</v>
      </c>
      <c r="C1770">
        <f>VLOOKUP(Table2[[#This Row],[Customer ID]],Table2[#All],2,FALSE)</f>
        <v>36.630000000000003</v>
      </c>
      <c r="D1770">
        <f>VLOOKUP(Table2[[#This Row],[Customer ID]],Table2[#All],3,FALSE)</f>
        <v>5.15</v>
      </c>
      <c r="E1770" t="str">
        <f>VLOOKUP(Table2[[#This Row],[Customer ID]],Table2[#All],4,FALSE)</f>
        <v>No</v>
      </c>
      <c r="F1770" t="str">
        <f>VLOOKUP(Table2[[#This Row],[Customer ID]],Table2[#All],5,FALSE)</f>
        <v>No</v>
      </c>
      <c r="G1770" t="str">
        <f>VLOOKUP(Table2[[#This Row],[Customer ID]],Table2[#All],6,FALSE)</f>
        <v>No</v>
      </c>
      <c r="H1770">
        <f>VLOOKUP(Table2[[#This Row],[Customer ID]],Table2[#All],7,FALSE)</f>
        <v>0</v>
      </c>
      <c r="I1770" t="str">
        <f>VLOOKUP(Table2[[#This Row],[Customer ID]],Table2[#All],8,FALSE)</f>
        <v>No</v>
      </c>
      <c r="J1770" t="str">
        <f>VLOOKUP(Table2[[#This Row],[Customer ID]],Table2[#All],9,FALSE)</f>
        <v>Obesity</v>
      </c>
      <c r="K1770" t="str">
        <f>VLOOKUP(Table2[[#This Row],[Customer ID]],Table2[#All],10,FALSE)</f>
        <v>Normal</v>
      </c>
    </row>
    <row r="1771" spans="1:11" ht="15.6" x14ac:dyDescent="0.3">
      <c r="A1771" s="1" t="s">
        <v>600</v>
      </c>
      <c r="B1771" t="str">
        <f>VLOOKUP('Customer Names'!A1771,'Customer Names'!$A$1:$E$2336,4,FALSE)</f>
        <v>Ms.  Michaela L</v>
      </c>
      <c r="C1771">
        <f>VLOOKUP(Table2[[#This Row],[Customer ID]],Table2[#All],2,FALSE)</f>
        <v>16.47</v>
      </c>
      <c r="D1771">
        <f>VLOOKUP(Table2[[#This Row],[Customer ID]],Table2[#All],3,FALSE)</f>
        <v>11.72</v>
      </c>
      <c r="E1771" t="str">
        <f>VLOOKUP(Table2[[#This Row],[Customer ID]],Table2[#All],4,FALSE)</f>
        <v>No</v>
      </c>
      <c r="F1771" t="str">
        <f>VLOOKUP(Table2[[#This Row],[Customer ID]],Table2[#All],5,FALSE)</f>
        <v>No</v>
      </c>
      <c r="G1771" t="str">
        <f>VLOOKUP(Table2[[#This Row],[Customer ID]],Table2[#All],6,FALSE)</f>
        <v>No</v>
      </c>
      <c r="H1771">
        <f>VLOOKUP(Table2[[#This Row],[Customer ID]],Table2[#All],7,FALSE)</f>
        <v>0</v>
      </c>
      <c r="I1771" t="str">
        <f>VLOOKUP(Table2[[#This Row],[Customer ID]],Table2[#All],8,FALSE)</f>
        <v>No</v>
      </c>
      <c r="J1771" t="str">
        <f>VLOOKUP(Table2[[#This Row],[Customer ID]],Table2[#All],9,FALSE)</f>
        <v>Underweight</v>
      </c>
      <c r="K1771" t="str">
        <f>VLOOKUP(Table2[[#This Row],[Customer ID]],Table2[#All],10,FALSE)</f>
        <v>Diabetes</v>
      </c>
    </row>
    <row r="1772" spans="1:11" ht="15.6" x14ac:dyDescent="0.3">
      <c r="A1772" s="1" t="s">
        <v>599</v>
      </c>
      <c r="B1772" t="str">
        <f>VLOOKUP('Customer Names'!A1772,'Customer Names'!$A$1:$E$2336,4,FALSE)</f>
        <v>Ms.  Shalaleh</v>
      </c>
      <c r="C1772">
        <f>VLOOKUP(Table2[[#This Row],[Customer ID]],Table2[#All],2,FALSE)</f>
        <v>25.8</v>
      </c>
      <c r="D1772">
        <f>VLOOKUP(Table2[[#This Row],[Customer ID]],Table2[#All],3,FALSE)</f>
        <v>5.29</v>
      </c>
      <c r="E1772" t="str">
        <f>VLOOKUP(Table2[[#This Row],[Customer ID]],Table2[#All],4,FALSE)</f>
        <v>No</v>
      </c>
      <c r="F1772" t="str">
        <f>VLOOKUP(Table2[[#This Row],[Customer ID]],Table2[#All],5,FALSE)</f>
        <v>No</v>
      </c>
      <c r="G1772" t="str">
        <f>VLOOKUP(Table2[[#This Row],[Customer ID]],Table2[#All],6,FALSE)</f>
        <v>No</v>
      </c>
      <c r="H1772">
        <f>VLOOKUP(Table2[[#This Row],[Customer ID]],Table2[#All],7,FALSE)</f>
        <v>0</v>
      </c>
      <c r="I1772" t="str">
        <f>VLOOKUP(Table2[[#This Row],[Customer ID]],Table2[#All],8,FALSE)</f>
        <v>No</v>
      </c>
      <c r="J1772" t="str">
        <f>VLOOKUP(Table2[[#This Row],[Customer ID]],Table2[#All],9,FALSE)</f>
        <v>Overweight</v>
      </c>
      <c r="K1772" t="str">
        <f>VLOOKUP(Table2[[#This Row],[Customer ID]],Table2[#All],10,FALSE)</f>
        <v>Normal</v>
      </c>
    </row>
    <row r="1773" spans="1:11" ht="15.6" x14ac:dyDescent="0.3">
      <c r="A1773" s="1" t="s">
        <v>598</v>
      </c>
      <c r="B1773" t="str">
        <f>VLOOKUP('Customer Names'!A1773,'Customer Names'!$A$1:$E$2336,4,FALSE)</f>
        <v>Ms.  Karen</v>
      </c>
      <c r="C1773">
        <f>VLOOKUP(Table2[[#This Row],[Customer ID]],Table2[#All],2,FALSE)</f>
        <v>23.6</v>
      </c>
      <c r="D1773">
        <f>VLOOKUP(Table2[[#This Row],[Customer ID]],Table2[#All],3,FALSE)</f>
        <v>4.33</v>
      </c>
      <c r="E1773" t="str">
        <f>VLOOKUP(Table2[[#This Row],[Customer ID]],Table2[#All],4,FALSE)</f>
        <v>No</v>
      </c>
      <c r="F1773" t="str">
        <f>VLOOKUP(Table2[[#This Row],[Customer ID]],Table2[#All],5,FALSE)</f>
        <v>No</v>
      </c>
      <c r="G1773" t="str">
        <f>VLOOKUP(Table2[[#This Row],[Customer ID]],Table2[#All],6,FALSE)</f>
        <v>No</v>
      </c>
      <c r="H1773">
        <f>VLOOKUP(Table2[[#This Row],[Customer ID]],Table2[#All],7,FALSE)</f>
        <v>0</v>
      </c>
      <c r="I1773" t="str">
        <f>VLOOKUP(Table2[[#This Row],[Customer ID]],Table2[#All],8,FALSE)</f>
        <v>No</v>
      </c>
      <c r="J1773" t="str">
        <f>VLOOKUP(Table2[[#This Row],[Customer ID]],Table2[#All],9,FALSE)</f>
        <v>Normalweight</v>
      </c>
      <c r="K1773" t="str">
        <f>VLOOKUP(Table2[[#This Row],[Customer ID]],Table2[#All],10,FALSE)</f>
        <v>Normal</v>
      </c>
    </row>
    <row r="1774" spans="1:11" ht="15.6" x14ac:dyDescent="0.3">
      <c r="A1774" s="1" t="s">
        <v>597</v>
      </c>
      <c r="B1774" t="str">
        <f>VLOOKUP('Customer Names'!A1774,'Customer Names'!$A$1:$E$2336,4,FALSE)</f>
        <v>Ms.  Zuzana</v>
      </c>
      <c r="C1774">
        <f>VLOOKUP(Table2[[#This Row],[Customer ID]],Table2[#All],2,FALSE)</f>
        <v>32.11</v>
      </c>
      <c r="D1774">
        <f>VLOOKUP(Table2[[#This Row],[Customer ID]],Table2[#All],3,FALSE)</f>
        <v>6.24</v>
      </c>
      <c r="E1774" t="str">
        <f>VLOOKUP(Table2[[#This Row],[Customer ID]],Table2[#All],4,FALSE)</f>
        <v>No</v>
      </c>
      <c r="F1774" t="str">
        <f>VLOOKUP(Table2[[#This Row],[Customer ID]],Table2[#All],5,FALSE)</f>
        <v>No</v>
      </c>
      <c r="G1774" t="str">
        <f>VLOOKUP(Table2[[#This Row],[Customer ID]],Table2[#All],6,FALSE)</f>
        <v>Yes</v>
      </c>
      <c r="H1774">
        <f>VLOOKUP(Table2[[#This Row],[Customer ID]],Table2[#All],7,FALSE)</f>
        <v>1</v>
      </c>
      <c r="I1774" t="str">
        <f>VLOOKUP(Table2[[#This Row],[Customer ID]],Table2[#All],8,FALSE)</f>
        <v>No</v>
      </c>
      <c r="J1774" t="str">
        <f>VLOOKUP(Table2[[#This Row],[Customer ID]],Table2[#All],9,FALSE)</f>
        <v>Obesity</v>
      </c>
      <c r="K1774" t="str">
        <f>VLOOKUP(Table2[[#This Row],[Customer ID]],Table2[#All],10,FALSE)</f>
        <v>Prediabetes</v>
      </c>
    </row>
    <row r="1775" spans="1:11" ht="15.6" x14ac:dyDescent="0.3">
      <c r="A1775" s="1" t="s">
        <v>596</v>
      </c>
      <c r="B1775" t="str">
        <f>VLOOKUP('Customer Names'!A1775,'Customer Names'!$A$1:$E$2336,4,FALSE)</f>
        <v>Mr.  Daniel J.</v>
      </c>
      <c r="C1775">
        <f>VLOOKUP(Table2[[#This Row],[Customer ID]],Table2[#All],2,FALSE)</f>
        <v>30.114999999999998</v>
      </c>
      <c r="D1775">
        <f>VLOOKUP(Table2[[#This Row],[Customer ID]],Table2[#All],3,FALSE)</f>
        <v>11.61</v>
      </c>
      <c r="E1775" t="str">
        <f>VLOOKUP(Table2[[#This Row],[Customer ID]],Table2[#All],4,FALSE)</f>
        <v>No</v>
      </c>
      <c r="F1775" t="str">
        <f>VLOOKUP(Table2[[#This Row],[Customer ID]],Table2[#All],5,FALSE)</f>
        <v>No</v>
      </c>
      <c r="G1775" t="str">
        <f>VLOOKUP(Table2[[#This Row],[Customer ID]],Table2[#All],6,FALSE)</f>
        <v>No</v>
      </c>
      <c r="H1775">
        <f>VLOOKUP(Table2[[#This Row],[Customer ID]],Table2[#All],7,FALSE)</f>
        <v>0</v>
      </c>
      <c r="I1775" t="str">
        <f>VLOOKUP(Table2[[#This Row],[Customer ID]],Table2[#All],8,FALSE)</f>
        <v>No</v>
      </c>
      <c r="J1775" t="str">
        <f>VLOOKUP(Table2[[#This Row],[Customer ID]],Table2[#All],9,FALSE)</f>
        <v>Obesity</v>
      </c>
      <c r="K1775" t="str">
        <f>VLOOKUP(Table2[[#This Row],[Customer ID]],Table2[#All],10,FALSE)</f>
        <v>Diabetes</v>
      </c>
    </row>
    <row r="1776" spans="1:11" ht="15.6" x14ac:dyDescent="0.3">
      <c r="A1776" s="1" t="s">
        <v>595</v>
      </c>
      <c r="B1776" t="str">
        <f>VLOOKUP('Customer Names'!A1776,'Customer Names'!$A$1:$E$2336,4,FALSE)</f>
        <v>Ms.  Alexandra</v>
      </c>
      <c r="C1776">
        <f>VLOOKUP(Table2[[#This Row],[Customer ID]],Table2[#All],2,FALSE)</f>
        <v>20.28</v>
      </c>
      <c r="D1776">
        <f>VLOOKUP(Table2[[#This Row],[Customer ID]],Table2[#All],3,FALSE)</f>
        <v>11.07</v>
      </c>
      <c r="E1776" t="str">
        <f>VLOOKUP(Table2[[#This Row],[Customer ID]],Table2[#All],4,FALSE)</f>
        <v>Yes</v>
      </c>
      <c r="F1776" t="str">
        <f>VLOOKUP(Table2[[#This Row],[Customer ID]],Table2[#All],5,FALSE)</f>
        <v>No</v>
      </c>
      <c r="G1776" t="str">
        <f>VLOOKUP(Table2[[#This Row],[Customer ID]],Table2[#All],6,FALSE)</f>
        <v>No</v>
      </c>
      <c r="H1776">
        <f>VLOOKUP(Table2[[#This Row],[Customer ID]],Table2[#All],7,FALSE)</f>
        <v>0</v>
      </c>
      <c r="I1776" t="str">
        <f>VLOOKUP(Table2[[#This Row],[Customer ID]],Table2[#All],8,FALSE)</f>
        <v>No</v>
      </c>
      <c r="J1776" t="str">
        <f>VLOOKUP(Table2[[#This Row],[Customer ID]],Table2[#All],9,FALSE)</f>
        <v>Normalweight</v>
      </c>
      <c r="K1776" t="str">
        <f>VLOOKUP(Table2[[#This Row],[Customer ID]],Table2[#All],10,FALSE)</f>
        <v>Diabetes</v>
      </c>
    </row>
    <row r="1777" spans="1:11" ht="15.6" x14ac:dyDescent="0.3">
      <c r="A1777" s="1" t="s">
        <v>594</v>
      </c>
      <c r="B1777" t="str">
        <f>VLOOKUP('Customer Names'!A1777,'Customer Names'!$A$1:$E$2336,4,FALSE)</f>
        <v>Ms.  Jessica</v>
      </c>
      <c r="C1777">
        <f>VLOOKUP(Table2[[#This Row],[Customer ID]],Table2[#All],2,FALSE)</f>
        <v>20.234999999999999</v>
      </c>
      <c r="D1777">
        <f>VLOOKUP(Table2[[#This Row],[Customer ID]],Table2[#All],3,FALSE)</f>
        <v>5.19</v>
      </c>
      <c r="E1777" t="str">
        <f>VLOOKUP(Table2[[#This Row],[Customer ID]],Table2[#All],4,FALSE)</f>
        <v>No</v>
      </c>
      <c r="F1777" t="str">
        <f>VLOOKUP(Table2[[#This Row],[Customer ID]],Table2[#All],5,FALSE)</f>
        <v>No</v>
      </c>
      <c r="G1777" t="str">
        <f>VLOOKUP(Table2[[#This Row],[Customer ID]],Table2[#All],6,FALSE)</f>
        <v>Yes</v>
      </c>
      <c r="H1777">
        <f>VLOOKUP(Table2[[#This Row],[Customer ID]],Table2[#All],7,FALSE)</f>
        <v>1</v>
      </c>
      <c r="I1777" t="str">
        <f>VLOOKUP(Table2[[#This Row],[Customer ID]],Table2[#All],8,FALSE)</f>
        <v>No</v>
      </c>
      <c r="J1777" t="str">
        <f>VLOOKUP(Table2[[#This Row],[Customer ID]],Table2[#All],9,FALSE)</f>
        <v>Normalweight</v>
      </c>
      <c r="K1777" t="str">
        <f>VLOOKUP(Table2[[#This Row],[Customer ID]],Table2[#All],10,FALSE)</f>
        <v>Normal</v>
      </c>
    </row>
    <row r="1778" spans="1:11" ht="15.6" x14ac:dyDescent="0.3">
      <c r="A1778" s="1" t="s">
        <v>593</v>
      </c>
      <c r="B1778" t="str">
        <f>VLOOKUP('Customer Names'!A1778,'Customer Names'!$A$1:$E$2336,4,FALSE)</f>
        <v>Mr.  Matthew M</v>
      </c>
      <c r="C1778">
        <f>VLOOKUP(Table2[[#This Row],[Customer ID]],Table2[#All],2,FALSE)</f>
        <v>25.27</v>
      </c>
      <c r="D1778">
        <f>VLOOKUP(Table2[[#This Row],[Customer ID]],Table2[#All],3,FALSE)</f>
        <v>5.7</v>
      </c>
      <c r="E1778" t="str">
        <f>VLOOKUP(Table2[[#This Row],[Customer ID]],Table2[#All],4,FALSE)</f>
        <v>Yes</v>
      </c>
      <c r="F1778" t="str">
        <f>VLOOKUP(Table2[[#This Row],[Customer ID]],Table2[#All],5,FALSE)</f>
        <v>No</v>
      </c>
      <c r="G1778" t="str">
        <f>VLOOKUP(Table2[[#This Row],[Customer ID]],Table2[#All],6,FALSE)</f>
        <v>No</v>
      </c>
      <c r="H1778">
        <f>VLOOKUP(Table2[[#This Row],[Customer ID]],Table2[#All],7,FALSE)</f>
        <v>1</v>
      </c>
      <c r="I1778" t="str">
        <f>VLOOKUP(Table2[[#This Row],[Customer ID]],Table2[#All],8,FALSE)</f>
        <v>No</v>
      </c>
      <c r="J1778" t="str">
        <f>VLOOKUP(Table2[[#This Row],[Customer ID]],Table2[#All],9,FALSE)</f>
        <v>Overweight</v>
      </c>
      <c r="K1778" t="str">
        <f>VLOOKUP(Table2[[#This Row],[Customer ID]],Table2[#All],10,FALSE)</f>
        <v>Prediabetes</v>
      </c>
    </row>
    <row r="1779" spans="1:11" ht="15.6" x14ac:dyDescent="0.3">
      <c r="A1779" s="1" t="s">
        <v>592</v>
      </c>
      <c r="B1779" t="str">
        <f>VLOOKUP('Customer Names'!A1779,'Customer Names'!$A$1:$E$2336,4,FALSE)</f>
        <v>Ms.  Nadine A.</v>
      </c>
      <c r="C1779">
        <f>VLOOKUP(Table2[[#This Row],[Customer ID]],Table2[#All],2,FALSE)</f>
        <v>24.24</v>
      </c>
      <c r="D1779">
        <f>VLOOKUP(Table2[[#This Row],[Customer ID]],Table2[#All],3,FALSE)</f>
        <v>6.15</v>
      </c>
      <c r="E1779" t="str">
        <f>VLOOKUP(Table2[[#This Row],[Customer ID]],Table2[#All],4,FALSE)</f>
        <v>No</v>
      </c>
      <c r="F1779" t="str">
        <f>VLOOKUP(Table2[[#This Row],[Customer ID]],Table2[#All],5,FALSE)</f>
        <v>No</v>
      </c>
      <c r="G1779" t="str">
        <f>VLOOKUP(Table2[[#This Row],[Customer ID]],Table2[#All],6,FALSE)</f>
        <v>No</v>
      </c>
      <c r="H1779">
        <f>VLOOKUP(Table2[[#This Row],[Customer ID]],Table2[#All],7,FALSE)</f>
        <v>0</v>
      </c>
      <c r="I1779" t="str">
        <f>VLOOKUP(Table2[[#This Row],[Customer ID]],Table2[#All],8,FALSE)</f>
        <v>No</v>
      </c>
      <c r="J1779" t="str">
        <f>VLOOKUP(Table2[[#This Row],[Customer ID]],Table2[#All],9,FALSE)</f>
        <v>Normalweight</v>
      </c>
      <c r="K1779" t="str">
        <f>VLOOKUP(Table2[[#This Row],[Customer ID]],Table2[#All],10,FALSE)</f>
        <v>Prediabetes</v>
      </c>
    </row>
    <row r="1780" spans="1:11" ht="15.6" x14ac:dyDescent="0.3">
      <c r="A1780" s="1" t="s">
        <v>591</v>
      </c>
      <c r="B1780" t="str">
        <f>VLOOKUP('Customer Names'!A1780,'Customer Names'!$A$1:$E$2336,4,FALSE)</f>
        <v>Mr.  Peter J. Jr.</v>
      </c>
      <c r="C1780">
        <f>VLOOKUP(Table2[[#This Row],[Customer ID]],Table2[#All],2,FALSE)</f>
        <v>35.75</v>
      </c>
      <c r="D1780">
        <f>VLOOKUP(Table2[[#This Row],[Customer ID]],Table2[#All],3,FALSE)</f>
        <v>5.07</v>
      </c>
      <c r="E1780" t="str">
        <f>VLOOKUP(Table2[[#This Row],[Customer ID]],Table2[#All],4,FALSE)</f>
        <v>No</v>
      </c>
      <c r="F1780" t="str">
        <f>VLOOKUP(Table2[[#This Row],[Customer ID]],Table2[#All],5,FALSE)</f>
        <v>No</v>
      </c>
      <c r="G1780" t="str">
        <f>VLOOKUP(Table2[[#This Row],[Customer ID]],Table2[#All],6,FALSE)</f>
        <v>No</v>
      </c>
      <c r="H1780">
        <f>VLOOKUP(Table2[[#This Row],[Customer ID]],Table2[#All],7,FALSE)</f>
        <v>0</v>
      </c>
      <c r="I1780" t="str">
        <f>VLOOKUP(Table2[[#This Row],[Customer ID]],Table2[#All],8,FALSE)</f>
        <v>No</v>
      </c>
      <c r="J1780" t="str">
        <f>VLOOKUP(Table2[[#This Row],[Customer ID]],Table2[#All],9,FALSE)</f>
        <v>Obesity</v>
      </c>
      <c r="K1780" t="str">
        <f>VLOOKUP(Table2[[#This Row],[Customer ID]],Table2[#All],10,FALSE)</f>
        <v>Normal</v>
      </c>
    </row>
    <row r="1781" spans="1:11" ht="15.6" x14ac:dyDescent="0.3">
      <c r="A1781" s="1" t="s">
        <v>590</v>
      </c>
      <c r="B1781" t="str">
        <f>VLOOKUP('Customer Names'!A1781,'Customer Names'!$A$1:$E$2336,4,FALSE)</f>
        <v>Ms.  Colleen M</v>
      </c>
      <c r="C1781">
        <f>VLOOKUP(Table2[[#This Row],[Customer ID]],Table2[#All],2,FALSE)</f>
        <v>29.92</v>
      </c>
      <c r="D1781">
        <f>VLOOKUP(Table2[[#This Row],[Customer ID]],Table2[#All],3,FALSE)</f>
        <v>10.97</v>
      </c>
      <c r="E1781" t="str">
        <f>VLOOKUP(Table2[[#This Row],[Customer ID]],Table2[#All],4,FALSE)</f>
        <v>Yes</v>
      </c>
      <c r="F1781" t="str">
        <f>VLOOKUP(Table2[[#This Row],[Customer ID]],Table2[#All],5,FALSE)</f>
        <v>No</v>
      </c>
      <c r="G1781" t="str">
        <f>VLOOKUP(Table2[[#This Row],[Customer ID]],Table2[#All],6,FALSE)</f>
        <v>No</v>
      </c>
      <c r="H1781">
        <f>VLOOKUP(Table2[[#This Row],[Customer ID]],Table2[#All],7,FALSE)</f>
        <v>1</v>
      </c>
      <c r="I1781" t="str">
        <f>VLOOKUP(Table2[[#This Row],[Customer ID]],Table2[#All],8,FALSE)</f>
        <v>No</v>
      </c>
      <c r="J1781" t="str">
        <f>VLOOKUP(Table2[[#This Row],[Customer ID]],Table2[#All],9,FALSE)</f>
        <v>Overweight</v>
      </c>
      <c r="K1781" t="str">
        <f>VLOOKUP(Table2[[#This Row],[Customer ID]],Table2[#All],10,FALSE)</f>
        <v>Diabetes</v>
      </c>
    </row>
    <row r="1782" spans="1:11" ht="15.6" x14ac:dyDescent="0.3">
      <c r="A1782" s="1" t="s">
        <v>589</v>
      </c>
      <c r="B1782" t="str">
        <f>VLOOKUP('Customer Names'!A1782,'Customer Names'!$A$1:$E$2336,4,FALSE)</f>
        <v>Ms.  Julie A.</v>
      </c>
      <c r="C1782">
        <f>VLOOKUP(Table2[[#This Row],[Customer ID]],Table2[#All],2,FALSE)</f>
        <v>26.2</v>
      </c>
      <c r="D1782">
        <f>VLOOKUP(Table2[[#This Row],[Customer ID]],Table2[#All],3,FALSE)</f>
        <v>10.93</v>
      </c>
      <c r="E1782" t="str">
        <f>VLOOKUP(Table2[[#This Row],[Customer ID]],Table2[#All],4,FALSE)</f>
        <v>Yes</v>
      </c>
      <c r="F1782" t="str">
        <f>VLOOKUP(Table2[[#This Row],[Customer ID]],Table2[#All],5,FALSE)</f>
        <v>No</v>
      </c>
      <c r="G1782" t="str">
        <f>VLOOKUP(Table2[[#This Row],[Customer ID]],Table2[#All],6,FALSE)</f>
        <v>No</v>
      </c>
      <c r="H1782">
        <f>VLOOKUP(Table2[[#This Row],[Customer ID]],Table2[#All],7,FALSE)</f>
        <v>1</v>
      </c>
      <c r="I1782" t="str">
        <f>VLOOKUP(Table2[[#This Row],[Customer ID]],Table2[#All],8,FALSE)</f>
        <v>No</v>
      </c>
      <c r="J1782" t="str">
        <f>VLOOKUP(Table2[[#This Row],[Customer ID]],Table2[#All],9,FALSE)</f>
        <v>Overweight</v>
      </c>
      <c r="K1782" t="str">
        <f>VLOOKUP(Table2[[#This Row],[Customer ID]],Table2[#All],10,FALSE)</f>
        <v>Diabetes</v>
      </c>
    </row>
    <row r="1783" spans="1:11" ht="15.6" x14ac:dyDescent="0.3">
      <c r="A1783" s="1" t="s">
        <v>588</v>
      </c>
      <c r="B1783" t="str">
        <f>VLOOKUP('Customer Names'!A1783,'Customer Names'!$A$1:$E$2336,4,FALSE)</f>
        <v>Mr.  Douglas W</v>
      </c>
      <c r="C1783">
        <f>VLOOKUP(Table2[[#This Row],[Customer ID]],Table2[#All],2,FALSE)</f>
        <v>26.695</v>
      </c>
      <c r="D1783">
        <f>VLOOKUP(Table2[[#This Row],[Customer ID]],Table2[#All],3,FALSE)</f>
        <v>4.21</v>
      </c>
      <c r="E1783" t="str">
        <f>VLOOKUP(Table2[[#This Row],[Customer ID]],Table2[#All],4,FALSE)</f>
        <v>Yes</v>
      </c>
      <c r="F1783" t="str">
        <f>VLOOKUP(Table2[[#This Row],[Customer ID]],Table2[#All],5,FALSE)</f>
        <v>No</v>
      </c>
      <c r="G1783" t="str">
        <f>VLOOKUP(Table2[[#This Row],[Customer ID]],Table2[#All],6,FALSE)</f>
        <v>Yes</v>
      </c>
      <c r="H1783">
        <f>VLOOKUP(Table2[[#This Row],[Customer ID]],Table2[#All],7,FALSE)</f>
        <v>1</v>
      </c>
      <c r="I1783" t="str">
        <f>VLOOKUP(Table2[[#This Row],[Customer ID]],Table2[#All],8,FALSE)</f>
        <v>No</v>
      </c>
      <c r="J1783" t="str">
        <f>VLOOKUP(Table2[[#This Row],[Customer ID]],Table2[#All],9,FALSE)</f>
        <v>Overweight</v>
      </c>
      <c r="K1783" t="str">
        <f>VLOOKUP(Table2[[#This Row],[Customer ID]],Table2[#All],10,FALSE)</f>
        <v>Normal</v>
      </c>
    </row>
    <row r="1784" spans="1:11" ht="15.6" x14ac:dyDescent="0.3">
      <c r="A1784" s="1" t="s">
        <v>587</v>
      </c>
      <c r="B1784" t="str">
        <f>VLOOKUP('Customer Names'!A1784,'Customer Names'!$A$1:$E$2336,4,FALSE)</f>
        <v>Ms.  Catherine</v>
      </c>
      <c r="C1784">
        <f>VLOOKUP(Table2[[#This Row],[Customer ID]],Table2[#All],2,FALSE)</f>
        <v>23.16</v>
      </c>
      <c r="D1784">
        <f>VLOOKUP(Table2[[#This Row],[Customer ID]],Table2[#All],3,FALSE)</f>
        <v>5.5</v>
      </c>
      <c r="E1784" t="str">
        <f>VLOOKUP(Table2[[#This Row],[Customer ID]],Table2[#All],4,FALSE)</f>
        <v>No</v>
      </c>
      <c r="F1784" t="str">
        <f>VLOOKUP(Table2[[#This Row],[Customer ID]],Table2[#All],5,FALSE)</f>
        <v>No</v>
      </c>
      <c r="G1784" t="str">
        <f>VLOOKUP(Table2[[#This Row],[Customer ID]],Table2[#All],6,FALSE)</f>
        <v>No</v>
      </c>
      <c r="H1784">
        <f>VLOOKUP(Table2[[#This Row],[Customer ID]],Table2[#All],7,FALSE)</f>
        <v>0</v>
      </c>
      <c r="I1784" t="str">
        <f>VLOOKUP(Table2[[#This Row],[Customer ID]],Table2[#All],8,FALSE)</f>
        <v>No</v>
      </c>
      <c r="J1784" t="str">
        <f>VLOOKUP(Table2[[#This Row],[Customer ID]],Table2[#All],9,FALSE)</f>
        <v>Normalweight</v>
      </c>
      <c r="K1784" t="str">
        <f>VLOOKUP(Table2[[#This Row],[Customer ID]],Table2[#All],10,FALSE)</f>
        <v>Normal</v>
      </c>
    </row>
    <row r="1785" spans="1:11" ht="15.6" x14ac:dyDescent="0.3">
      <c r="A1785" s="1" t="s">
        <v>586</v>
      </c>
      <c r="B1785" t="str">
        <f>VLOOKUP('Customer Names'!A1785,'Customer Names'!$A$1:$E$2336,4,FALSE)</f>
        <v>Mr.  James A</v>
      </c>
      <c r="C1785">
        <f>VLOOKUP(Table2[[#This Row],[Customer ID]],Table2[#All],2,FALSE)</f>
        <v>32.585000000000001</v>
      </c>
      <c r="D1785">
        <f>VLOOKUP(Table2[[#This Row],[Customer ID]],Table2[#All],3,FALSE)</f>
        <v>4.93</v>
      </c>
      <c r="E1785" t="str">
        <f>VLOOKUP(Table2[[#This Row],[Customer ID]],Table2[#All],4,FALSE)</f>
        <v>Yes</v>
      </c>
      <c r="F1785" t="str">
        <f>VLOOKUP(Table2[[#This Row],[Customer ID]],Table2[#All],5,FALSE)</f>
        <v>No</v>
      </c>
      <c r="G1785" t="str">
        <f>VLOOKUP(Table2[[#This Row],[Customer ID]],Table2[#All],6,FALSE)</f>
        <v>No</v>
      </c>
      <c r="H1785">
        <f>VLOOKUP(Table2[[#This Row],[Customer ID]],Table2[#All],7,FALSE)</f>
        <v>1</v>
      </c>
      <c r="I1785" t="str">
        <f>VLOOKUP(Table2[[#This Row],[Customer ID]],Table2[#All],8,FALSE)</f>
        <v>No</v>
      </c>
      <c r="J1785" t="str">
        <f>VLOOKUP(Table2[[#This Row],[Customer ID]],Table2[#All],9,FALSE)</f>
        <v>Obesity</v>
      </c>
      <c r="K1785" t="str">
        <f>VLOOKUP(Table2[[#This Row],[Customer ID]],Table2[#All],10,FALSE)</f>
        <v>Normal</v>
      </c>
    </row>
    <row r="1786" spans="1:11" ht="15.6" x14ac:dyDescent="0.3">
      <c r="A1786" s="1" t="s">
        <v>585</v>
      </c>
      <c r="B1786" t="str">
        <f>VLOOKUP('Customer Names'!A1786,'Customer Names'!$A$1:$E$2336,4,FALSE)</f>
        <v>Mr.  Youngseong</v>
      </c>
      <c r="C1786">
        <f>VLOOKUP(Table2[[#This Row],[Customer ID]],Table2[#All],2,FALSE)</f>
        <v>33.97</v>
      </c>
      <c r="D1786">
        <f>VLOOKUP(Table2[[#This Row],[Customer ID]],Table2[#All],3,FALSE)</f>
        <v>5.6</v>
      </c>
      <c r="E1786" t="str">
        <f>VLOOKUP(Table2[[#This Row],[Customer ID]],Table2[#All],4,FALSE)</f>
        <v>Yes</v>
      </c>
      <c r="F1786" t="str">
        <f>VLOOKUP(Table2[[#This Row],[Customer ID]],Table2[#All],5,FALSE)</f>
        <v>No</v>
      </c>
      <c r="G1786" t="str">
        <f>VLOOKUP(Table2[[#This Row],[Customer ID]],Table2[#All],6,FALSE)</f>
        <v>No</v>
      </c>
      <c r="H1786">
        <f>VLOOKUP(Table2[[#This Row],[Customer ID]],Table2[#All],7,FALSE)</f>
        <v>0</v>
      </c>
      <c r="I1786" t="str">
        <f>VLOOKUP(Table2[[#This Row],[Customer ID]],Table2[#All],8,FALSE)</f>
        <v>No</v>
      </c>
      <c r="J1786" t="str">
        <f>VLOOKUP(Table2[[#This Row],[Customer ID]],Table2[#All],9,FALSE)</f>
        <v>Obesity</v>
      </c>
      <c r="K1786" t="str">
        <f>VLOOKUP(Table2[[#This Row],[Customer ID]],Table2[#All],10,FALSE)</f>
        <v>Normal</v>
      </c>
    </row>
    <row r="1787" spans="1:11" ht="15.6" x14ac:dyDescent="0.3">
      <c r="A1787" s="1" t="s">
        <v>584</v>
      </c>
      <c r="B1787" t="str">
        <f>VLOOKUP('Customer Names'!A1787,'Customer Names'!$A$1:$E$2336,4,FALSE)</f>
        <v>Mr.  John</v>
      </c>
      <c r="C1787">
        <f>VLOOKUP(Table2[[#This Row],[Customer ID]],Table2[#All],2,FALSE)</f>
        <v>16.57</v>
      </c>
      <c r="D1787">
        <f>VLOOKUP(Table2[[#This Row],[Customer ID]],Table2[#All],3,FALSE)</f>
        <v>9.99</v>
      </c>
      <c r="E1787" t="str">
        <f>VLOOKUP(Table2[[#This Row],[Customer ID]],Table2[#All],4,FALSE)</f>
        <v>No</v>
      </c>
      <c r="F1787" t="str">
        <f>VLOOKUP(Table2[[#This Row],[Customer ID]],Table2[#All],5,FALSE)</f>
        <v>No</v>
      </c>
      <c r="G1787" t="str">
        <f>VLOOKUP(Table2[[#This Row],[Customer ID]],Table2[#All],6,FALSE)</f>
        <v>No</v>
      </c>
      <c r="H1787">
        <f>VLOOKUP(Table2[[#This Row],[Customer ID]],Table2[#All],7,FALSE)</f>
        <v>0</v>
      </c>
      <c r="I1787" t="str">
        <f>VLOOKUP(Table2[[#This Row],[Customer ID]],Table2[#All],8,FALSE)</f>
        <v>No</v>
      </c>
      <c r="J1787" t="str">
        <f>VLOOKUP(Table2[[#This Row],[Customer ID]],Table2[#All],9,FALSE)</f>
        <v>Underweight</v>
      </c>
      <c r="K1787" t="str">
        <f>VLOOKUP(Table2[[#This Row],[Customer ID]],Table2[#All],10,FALSE)</f>
        <v>Diabetes</v>
      </c>
    </row>
    <row r="1788" spans="1:11" ht="15.6" x14ac:dyDescent="0.3">
      <c r="A1788" s="1" t="s">
        <v>583</v>
      </c>
      <c r="B1788" t="str">
        <f>VLOOKUP('Customer Names'!A1788,'Customer Names'!$A$1:$E$2336,4,FALSE)</f>
        <v>Mr.  Brandon S.</v>
      </c>
      <c r="C1788">
        <f>VLOOKUP(Table2[[#This Row],[Customer ID]],Table2[#All],2,FALSE)</f>
        <v>17.55</v>
      </c>
      <c r="D1788">
        <f>VLOOKUP(Table2[[#This Row],[Customer ID]],Table2[#All],3,FALSE)</f>
        <v>5.93</v>
      </c>
      <c r="E1788" t="str">
        <f>VLOOKUP(Table2[[#This Row],[Customer ID]],Table2[#All],4,FALSE)</f>
        <v>No</v>
      </c>
      <c r="F1788" t="str">
        <f>VLOOKUP(Table2[[#This Row],[Customer ID]],Table2[#All],5,FALSE)</f>
        <v>No</v>
      </c>
      <c r="G1788" t="str">
        <f>VLOOKUP(Table2[[#This Row],[Customer ID]],Table2[#All],6,FALSE)</f>
        <v>Yes</v>
      </c>
      <c r="H1788">
        <f>VLOOKUP(Table2[[#This Row],[Customer ID]],Table2[#All],7,FALSE)</f>
        <v>1</v>
      </c>
      <c r="I1788" t="str">
        <f>VLOOKUP(Table2[[#This Row],[Customer ID]],Table2[#All],8,FALSE)</f>
        <v>No</v>
      </c>
      <c r="J1788" t="str">
        <f>VLOOKUP(Table2[[#This Row],[Customer ID]],Table2[#All],9,FALSE)</f>
        <v>Underweight</v>
      </c>
      <c r="K1788" t="str">
        <f>VLOOKUP(Table2[[#This Row],[Customer ID]],Table2[#All],10,FALSE)</f>
        <v>Prediabetes</v>
      </c>
    </row>
    <row r="1789" spans="1:11" ht="15.6" x14ac:dyDescent="0.3">
      <c r="A1789" s="1" t="s">
        <v>582</v>
      </c>
      <c r="B1789" t="str">
        <f>VLOOKUP('Customer Names'!A1789,'Customer Names'!$A$1:$E$2336,4,FALSE)</f>
        <v>Mr.  Sean P</v>
      </c>
      <c r="C1789">
        <f>VLOOKUP(Table2[[#This Row],[Customer ID]],Table2[#All],2,FALSE)</f>
        <v>29.41</v>
      </c>
      <c r="D1789">
        <f>VLOOKUP(Table2[[#This Row],[Customer ID]],Table2[#All],3,FALSE)</f>
        <v>6.29</v>
      </c>
      <c r="E1789" t="str">
        <f>VLOOKUP(Table2[[#This Row],[Customer ID]],Table2[#All],4,FALSE)</f>
        <v>Yes</v>
      </c>
      <c r="F1789" t="str">
        <f>VLOOKUP(Table2[[#This Row],[Customer ID]],Table2[#All],5,FALSE)</f>
        <v>No</v>
      </c>
      <c r="G1789" t="str">
        <f>VLOOKUP(Table2[[#This Row],[Customer ID]],Table2[#All],6,FALSE)</f>
        <v>No</v>
      </c>
      <c r="H1789">
        <f>VLOOKUP(Table2[[#This Row],[Customer ID]],Table2[#All],7,FALSE)</f>
        <v>1</v>
      </c>
      <c r="I1789" t="str">
        <f>VLOOKUP(Table2[[#This Row],[Customer ID]],Table2[#All],8,FALSE)</f>
        <v>No</v>
      </c>
      <c r="J1789" t="str">
        <f>VLOOKUP(Table2[[#This Row],[Customer ID]],Table2[#All],9,FALSE)</f>
        <v>Overweight</v>
      </c>
      <c r="K1789" t="str">
        <f>VLOOKUP(Table2[[#This Row],[Customer ID]],Table2[#All],10,FALSE)</f>
        <v>Prediabetes</v>
      </c>
    </row>
    <row r="1790" spans="1:11" ht="15.6" x14ac:dyDescent="0.3">
      <c r="A1790" s="1" t="s">
        <v>581</v>
      </c>
      <c r="B1790" t="str">
        <f>VLOOKUP('Customer Names'!A1790,'Customer Names'!$A$1:$E$2336,4,FALSE)</f>
        <v>Mr.  Scott</v>
      </c>
      <c r="C1790">
        <f>VLOOKUP(Table2[[#This Row],[Customer ID]],Table2[#All],2,FALSE)</f>
        <v>17.91</v>
      </c>
      <c r="D1790">
        <f>VLOOKUP(Table2[[#This Row],[Customer ID]],Table2[#All],3,FALSE)</f>
        <v>5.65</v>
      </c>
      <c r="E1790" t="str">
        <f>VLOOKUP(Table2[[#This Row],[Customer ID]],Table2[#All],4,FALSE)</f>
        <v>No</v>
      </c>
      <c r="F1790" t="str">
        <f>VLOOKUP(Table2[[#This Row],[Customer ID]],Table2[#All],5,FALSE)</f>
        <v>No</v>
      </c>
      <c r="G1790" t="str">
        <f>VLOOKUP(Table2[[#This Row],[Customer ID]],Table2[#All],6,FALSE)</f>
        <v>No</v>
      </c>
      <c r="H1790">
        <f>VLOOKUP(Table2[[#This Row],[Customer ID]],Table2[#All],7,FALSE)</f>
        <v>1</v>
      </c>
      <c r="I1790" t="str">
        <f>VLOOKUP(Table2[[#This Row],[Customer ID]],Table2[#All],8,FALSE)</f>
        <v>No</v>
      </c>
      <c r="J1790" t="str">
        <f>VLOOKUP(Table2[[#This Row],[Customer ID]],Table2[#All],9,FALSE)</f>
        <v>Underweight</v>
      </c>
      <c r="K1790" t="str">
        <f>VLOOKUP(Table2[[#This Row],[Customer ID]],Table2[#All],10,FALSE)</f>
        <v>Normal</v>
      </c>
    </row>
    <row r="1791" spans="1:11" ht="15.6" x14ac:dyDescent="0.3">
      <c r="A1791" s="1" t="s">
        <v>580</v>
      </c>
      <c r="B1791" t="str">
        <f>VLOOKUP('Customer Names'!A1791,'Customer Names'!$A$1:$E$2336,4,FALSE)</f>
        <v>Mr.  Janez</v>
      </c>
      <c r="C1791">
        <f>VLOOKUP(Table2[[#This Row],[Customer ID]],Table2[#All],2,FALSE)</f>
        <v>31.57</v>
      </c>
      <c r="D1791">
        <f>VLOOKUP(Table2[[#This Row],[Customer ID]],Table2[#All],3,FALSE)</f>
        <v>6.15</v>
      </c>
      <c r="E1791" t="str">
        <f>VLOOKUP(Table2[[#This Row],[Customer ID]],Table2[#All],4,FALSE)</f>
        <v>No</v>
      </c>
      <c r="F1791" t="str">
        <f>VLOOKUP(Table2[[#This Row],[Customer ID]],Table2[#All],5,FALSE)</f>
        <v>No</v>
      </c>
      <c r="G1791" t="str">
        <f>VLOOKUP(Table2[[#This Row],[Customer ID]],Table2[#All],6,FALSE)</f>
        <v>No</v>
      </c>
      <c r="H1791">
        <f>VLOOKUP(Table2[[#This Row],[Customer ID]],Table2[#All],7,FALSE)</f>
        <v>1</v>
      </c>
      <c r="I1791" t="str">
        <f>VLOOKUP(Table2[[#This Row],[Customer ID]],Table2[#All],8,FALSE)</f>
        <v>No</v>
      </c>
      <c r="J1791" t="str">
        <f>VLOOKUP(Table2[[#This Row],[Customer ID]],Table2[#All],9,FALSE)</f>
        <v>Obesity</v>
      </c>
      <c r="K1791" t="str">
        <f>VLOOKUP(Table2[[#This Row],[Customer ID]],Table2[#All],10,FALSE)</f>
        <v>Prediabetes</v>
      </c>
    </row>
    <row r="1792" spans="1:11" ht="15.6" x14ac:dyDescent="0.3">
      <c r="A1792" s="1" t="s">
        <v>579</v>
      </c>
      <c r="B1792" t="str">
        <f>VLOOKUP('Customer Names'!A1792,'Customer Names'!$A$1:$E$2336,4,FALSE)</f>
        <v>Mr.  John I. Jr.</v>
      </c>
      <c r="C1792">
        <f>VLOOKUP(Table2[[#This Row],[Customer ID]],Table2[#All],2,FALSE)</f>
        <v>33.18</v>
      </c>
      <c r="D1792">
        <f>VLOOKUP(Table2[[#This Row],[Customer ID]],Table2[#All],3,FALSE)</f>
        <v>5.22</v>
      </c>
      <c r="E1792" t="str">
        <f>VLOOKUP(Table2[[#This Row],[Customer ID]],Table2[#All],4,FALSE)</f>
        <v>No</v>
      </c>
      <c r="F1792" t="str">
        <f>VLOOKUP(Table2[[#This Row],[Customer ID]],Table2[#All],5,FALSE)</f>
        <v>yes</v>
      </c>
      <c r="G1792" t="str">
        <f>VLOOKUP(Table2[[#This Row],[Customer ID]],Table2[#All],6,FALSE)</f>
        <v>No</v>
      </c>
      <c r="H1792">
        <f>VLOOKUP(Table2[[#This Row],[Customer ID]],Table2[#All],7,FALSE)</f>
        <v>1</v>
      </c>
      <c r="I1792" t="str">
        <f>VLOOKUP(Table2[[#This Row],[Customer ID]],Table2[#All],8,FALSE)</f>
        <v>No</v>
      </c>
      <c r="J1792" t="str">
        <f>VLOOKUP(Table2[[#This Row],[Customer ID]],Table2[#All],9,FALSE)</f>
        <v>Obesity</v>
      </c>
      <c r="K1792" t="str">
        <f>VLOOKUP(Table2[[#This Row],[Customer ID]],Table2[#All],10,FALSE)</f>
        <v>Normal</v>
      </c>
    </row>
    <row r="1793" spans="1:11" ht="15.6" x14ac:dyDescent="0.3">
      <c r="A1793" s="1" t="s">
        <v>578</v>
      </c>
      <c r="B1793" t="str">
        <f>VLOOKUP('Customer Names'!A1793,'Customer Names'!$A$1:$E$2336,4,FALSE)</f>
        <v>Ms.  Heather</v>
      </c>
      <c r="C1793">
        <f>VLOOKUP(Table2[[#This Row],[Customer ID]],Table2[#All],2,FALSE)</f>
        <v>37</v>
      </c>
      <c r="D1793">
        <f>VLOOKUP(Table2[[#This Row],[Customer ID]],Table2[#All],3,FALSE)</f>
        <v>11.66</v>
      </c>
      <c r="E1793" t="str">
        <f>VLOOKUP(Table2[[#This Row],[Customer ID]],Table2[#All],4,FALSE)</f>
        <v>No</v>
      </c>
      <c r="F1793" t="str">
        <f>VLOOKUP(Table2[[#This Row],[Customer ID]],Table2[#All],5,FALSE)</f>
        <v>No</v>
      </c>
      <c r="G1793" t="str">
        <f>VLOOKUP(Table2[[#This Row],[Customer ID]],Table2[#All],6,FALSE)</f>
        <v>No</v>
      </c>
      <c r="H1793">
        <f>VLOOKUP(Table2[[#This Row],[Customer ID]],Table2[#All],7,FALSE)</f>
        <v>0</v>
      </c>
      <c r="I1793" t="str">
        <f>VLOOKUP(Table2[[#This Row],[Customer ID]],Table2[#All],8,FALSE)</f>
        <v>No</v>
      </c>
      <c r="J1793" t="str">
        <f>VLOOKUP(Table2[[#This Row],[Customer ID]],Table2[#All],9,FALSE)</f>
        <v>Obesity</v>
      </c>
      <c r="K1793" t="str">
        <f>VLOOKUP(Table2[[#This Row],[Customer ID]],Table2[#All],10,FALSE)</f>
        <v>Diabetes</v>
      </c>
    </row>
    <row r="1794" spans="1:11" ht="15.6" x14ac:dyDescent="0.3">
      <c r="A1794" s="1" t="s">
        <v>577</v>
      </c>
      <c r="B1794" t="str">
        <f>VLOOKUP('Customer Names'!A1794,'Customer Names'!$A$1:$E$2336,4,FALSE)</f>
        <v>Mr.  Michael</v>
      </c>
      <c r="C1794">
        <f>VLOOKUP(Table2[[#This Row],[Customer ID]],Table2[#All],2,FALSE)</f>
        <v>18.905000000000001</v>
      </c>
      <c r="D1794">
        <f>VLOOKUP(Table2[[#This Row],[Customer ID]],Table2[#All],3,FALSE)</f>
        <v>4.91</v>
      </c>
      <c r="E1794" t="str">
        <f>VLOOKUP(Table2[[#This Row],[Customer ID]],Table2[#All],4,FALSE)</f>
        <v>Yes</v>
      </c>
      <c r="F1794" t="str">
        <f>VLOOKUP(Table2[[#This Row],[Customer ID]],Table2[#All],5,FALSE)</f>
        <v>No</v>
      </c>
      <c r="G1794" t="str">
        <f>VLOOKUP(Table2[[#This Row],[Customer ID]],Table2[#All],6,FALSE)</f>
        <v>No</v>
      </c>
      <c r="H1794">
        <f>VLOOKUP(Table2[[#This Row],[Customer ID]],Table2[#All],7,FALSE)</f>
        <v>1</v>
      </c>
      <c r="I1794" t="str">
        <f>VLOOKUP(Table2[[#This Row],[Customer ID]],Table2[#All],8,FALSE)</f>
        <v>No</v>
      </c>
      <c r="J1794" t="str">
        <f>VLOOKUP(Table2[[#This Row],[Customer ID]],Table2[#All],9,FALSE)</f>
        <v>Normalweight</v>
      </c>
      <c r="K1794" t="str">
        <f>VLOOKUP(Table2[[#This Row],[Customer ID]],Table2[#All],10,FALSE)</f>
        <v>Normal</v>
      </c>
    </row>
    <row r="1795" spans="1:11" ht="15.6" x14ac:dyDescent="0.3">
      <c r="A1795" s="1" t="s">
        <v>576</v>
      </c>
      <c r="B1795" t="str">
        <f>VLOOKUP('Customer Names'!A1795,'Customer Names'!$A$1:$E$2336,4,FALSE)</f>
        <v>Ms.  Kathleen</v>
      </c>
      <c r="C1795">
        <f>VLOOKUP(Table2[[#This Row],[Customer ID]],Table2[#All],2,FALSE)</f>
        <v>20.03</v>
      </c>
      <c r="D1795">
        <f>VLOOKUP(Table2[[#This Row],[Customer ID]],Table2[#All],3,FALSE)</f>
        <v>9.25</v>
      </c>
      <c r="E1795" t="str">
        <f>VLOOKUP(Table2[[#This Row],[Customer ID]],Table2[#All],4,FALSE)</f>
        <v>Yes</v>
      </c>
      <c r="F1795" t="str">
        <f>VLOOKUP(Table2[[#This Row],[Customer ID]],Table2[#All],5,FALSE)</f>
        <v>No</v>
      </c>
      <c r="G1795" t="str">
        <f>VLOOKUP(Table2[[#This Row],[Customer ID]],Table2[#All],6,FALSE)</f>
        <v>No</v>
      </c>
      <c r="H1795">
        <f>VLOOKUP(Table2[[#This Row],[Customer ID]],Table2[#All],7,FALSE)</f>
        <v>0</v>
      </c>
      <c r="I1795" t="str">
        <f>VLOOKUP(Table2[[#This Row],[Customer ID]],Table2[#All],8,FALSE)</f>
        <v>No</v>
      </c>
      <c r="J1795" t="str">
        <f>VLOOKUP(Table2[[#This Row],[Customer ID]],Table2[#All],9,FALSE)</f>
        <v>Normalweight</v>
      </c>
      <c r="K1795" t="str">
        <f>VLOOKUP(Table2[[#This Row],[Customer ID]],Table2[#All],10,FALSE)</f>
        <v>Diabetes</v>
      </c>
    </row>
    <row r="1796" spans="1:11" ht="15.6" x14ac:dyDescent="0.3">
      <c r="A1796" s="1" t="s">
        <v>575</v>
      </c>
      <c r="B1796" t="str">
        <f>VLOOKUP('Customer Names'!A1796,'Customer Names'!$A$1:$E$2336,4,FALSE)</f>
        <v>Mr.  Ryan M</v>
      </c>
      <c r="C1796">
        <f>VLOOKUP(Table2[[#This Row],[Customer ID]],Table2[#All],2,FALSE)</f>
        <v>16.7</v>
      </c>
      <c r="D1796">
        <f>VLOOKUP(Table2[[#This Row],[Customer ID]],Table2[#All],3,FALSE)</f>
        <v>11.48</v>
      </c>
      <c r="E1796" t="str">
        <f>VLOOKUP(Table2[[#This Row],[Customer ID]],Table2[#All],4,FALSE)</f>
        <v>No</v>
      </c>
      <c r="F1796" t="str">
        <f>VLOOKUP(Table2[[#This Row],[Customer ID]],Table2[#All],5,FALSE)</f>
        <v>No</v>
      </c>
      <c r="G1796" t="str">
        <f>VLOOKUP(Table2[[#This Row],[Customer ID]],Table2[#All],6,FALSE)</f>
        <v>No</v>
      </c>
      <c r="H1796">
        <f>VLOOKUP(Table2[[#This Row],[Customer ID]],Table2[#All],7,FALSE)</f>
        <v>0</v>
      </c>
      <c r="I1796" t="str">
        <f>VLOOKUP(Table2[[#This Row],[Customer ID]],Table2[#All],8,FALSE)</f>
        <v>No</v>
      </c>
      <c r="J1796" t="str">
        <f>VLOOKUP(Table2[[#This Row],[Customer ID]],Table2[#All],9,FALSE)</f>
        <v>Underweight</v>
      </c>
      <c r="K1796" t="str">
        <f>VLOOKUP(Table2[[#This Row],[Customer ID]],Table2[#All],10,FALSE)</f>
        <v>Diabetes</v>
      </c>
    </row>
    <row r="1797" spans="1:11" ht="15.6" x14ac:dyDescent="0.3">
      <c r="A1797" s="1" t="s">
        <v>574</v>
      </c>
      <c r="B1797" t="str">
        <f>VLOOKUP('Customer Names'!A1797,'Customer Names'!$A$1:$E$2336,4,FALSE)</f>
        <v>Ms.  Sara</v>
      </c>
      <c r="C1797">
        <f>VLOOKUP(Table2[[#This Row],[Customer ID]],Table2[#All],2,FALSE)</f>
        <v>39.82</v>
      </c>
      <c r="D1797">
        <f>VLOOKUP(Table2[[#This Row],[Customer ID]],Table2[#All],3,FALSE)</f>
        <v>6.06</v>
      </c>
      <c r="E1797" t="str">
        <f>VLOOKUP(Table2[[#This Row],[Customer ID]],Table2[#All],4,FALSE)</f>
        <v>No</v>
      </c>
      <c r="F1797" t="str">
        <f>VLOOKUP(Table2[[#This Row],[Customer ID]],Table2[#All],5,FALSE)</f>
        <v>No</v>
      </c>
      <c r="G1797" t="str">
        <f>VLOOKUP(Table2[[#This Row],[Customer ID]],Table2[#All],6,FALSE)</f>
        <v>No</v>
      </c>
      <c r="H1797">
        <f>VLOOKUP(Table2[[#This Row],[Customer ID]],Table2[#All],7,FALSE)</f>
        <v>0</v>
      </c>
      <c r="I1797" t="str">
        <f>VLOOKUP(Table2[[#This Row],[Customer ID]],Table2[#All],8,FALSE)</f>
        <v>No</v>
      </c>
      <c r="J1797" t="str">
        <f>VLOOKUP(Table2[[#This Row],[Customer ID]],Table2[#All],9,FALSE)</f>
        <v>Obesity</v>
      </c>
      <c r="K1797" t="str">
        <f>VLOOKUP(Table2[[#This Row],[Customer ID]],Table2[#All],10,FALSE)</f>
        <v>Prediabetes</v>
      </c>
    </row>
    <row r="1798" spans="1:11" ht="15.6" x14ac:dyDescent="0.3">
      <c r="A1798" s="1" t="s">
        <v>573</v>
      </c>
      <c r="B1798" t="str">
        <f>VLOOKUP('Customer Names'!A1798,'Customer Names'!$A$1:$E$2336,4,FALSE)</f>
        <v>Mr.  Deniz</v>
      </c>
      <c r="C1798">
        <f>VLOOKUP(Table2[[#This Row],[Customer ID]],Table2[#All],2,FALSE)</f>
        <v>22.04</v>
      </c>
      <c r="D1798">
        <f>VLOOKUP(Table2[[#This Row],[Customer ID]],Table2[#All],3,FALSE)</f>
        <v>5.86</v>
      </c>
      <c r="E1798" t="str">
        <f>VLOOKUP(Table2[[#This Row],[Customer ID]],Table2[#All],4,FALSE)</f>
        <v>No</v>
      </c>
      <c r="F1798" t="str">
        <f>VLOOKUP(Table2[[#This Row],[Customer ID]],Table2[#All],5,FALSE)</f>
        <v>No</v>
      </c>
      <c r="G1798" t="str">
        <f>VLOOKUP(Table2[[#This Row],[Customer ID]],Table2[#All],6,FALSE)</f>
        <v>No</v>
      </c>
      <c r="H1798">
        <f>VLOOKUP(Table2[[#This Row],[Customer ID]],Table2[#All],7,FALSE)</f>
        <v>1</v>
      </c>
      <c r="I1798" t="str">
        <f>VLOOKUP(Table2[[#This Row],[Customer ID]],Table2[#All],8,FALSE)</f>
        <v>No</v>
      </c>
      <c r="J1798" t="str">
        <f>VLOOKUP(Table2[[#This Row],[Customer ID]],Table2[#All],9,FALSE)</f>
        <v>Normalweight</v>
      </c>
      <c r="K1798" t="str">
        <f>VLOOKUP(Table2[[#This Row],[Customer ID]],Table2[#All],10,FALSE)</f>
        <v>Prediabetes</v>
      </c>
    </row>
    <row r="1799" spans="1:11" ht="15.6" x14ac:dyDescent="0.3">
      <c r="A1799" s="1" t="s">
        <v>572</v>
      </c>
      <c r="B1799" t="str">
        <f>VLOOKUP('Customer Names'!A1799,'Customer Names'!$A$1:$E$2336,4,FALSE)</f>
        <v>Ms.  Shannon L.</v>
      </c>
      <c r="C1799">
        <f>VLOOKUP(Table2[[#This Row],[Customer ID]],Table2[#All],2,FALSE)</f>
        <v>28.27</v>
      </c>
      <c r="D1799">
        <f>VLOOKUP(Table2[[#This Row],[Customer ID]],Table2[#All],3,FALSE)</f>
        <v>5.33</v>
      </c>
      <c r="E1799" t="str">
        <f>VLOOKUP(Table2[[#This Row],[Customer ID]],Table2[#All],4,FALSE)</f>
        <v>No</v>
      </c>
      <c r="F1799" t="str">
        <f>VLOOKUP(Table2[[#This Row],[Customer ID]],Table2[#All],5,FALSE)</f>
        <v>No</v>
      </c>
      <c r="G1799" t="str">
        <f>VLOOKUP(Table2[[#This Row],[Customer ID]],Table2[#All],6,FALSE)</f>
        <v>No</v>
      </c>
      <c r="H1799">
        <f>VLOOKUP(Table2[[#This Row],[Customer ID]],Table2[#All],7,FALSE)</f>
        <v>0</v>
      </c>
      <c r="I1799" t="str">
        <f>VLOOKUP(Table2[[#This Row],[Customer ID]],Table2[#All],8,FALSE)</f>
        <v>No</v>
      </c>
      <c r="J1799" t="str">
        <f>VLOOKUP(Table2[[#This Row],[Customer ID]],Table2[#All],9,FALSE)</f>
        <v>Overweight</v>
      </c>
      <c r="K1799" t="str">
        <f>VLOOKUP(Table2[[#This Row],[Customer ID]],Table2[#All],10,FALSE)</f>
        <v>Normal</v>
      </c>
    </row>
    <row r="1800" spans="1:11" ht="15.6" x14ac:dyDescent="0.3">
      <c r="A1800" s="1" t="s">
        <v>571</v>
      </c>
      <c r="B1800" t="str">
        <f>VLOOKUP('Customer Names'!A1800,'Customer Names'!$A$1:$E$2336,4,FALSE)</f>
        <v>Ms.  Kaitlin M.</v>
      </c>
      <c r="C1800">
        <f>VLOOKUP(Table2[[#This Row],[Customer ID]],Table2[#All],2,FALSE)</f>
        <v>18.5</v>
      </c>
      <c r="D1800">
        <f>VLOOKUP(Table2[[#This Row],[Customer ID]],Table2[#All],3,FALSE)</f>
        <v>5.33</v>
      </c>
      <c r="E1800" t="str">
        <f>VLOOKUP(Table2[[#This Row],[Customer ID]],Table2[#All],4,FALSE)</f>
        <v>No</v>
      </c>
      <c r="F1800" t="str">
        <f>VLOOKUP(Table2[[#This Row],[Customer ID]],Table2[#All],5,FALSE)</f>
        <v>No</v>
      </c>
      <c r="G1800" t="str">
        <f>VLOOKUP(Table2[[#This Row],[Customer ID]],Table2[#All],6,FALSE)</f>
        <v>No</v>
      </c>
      <c r="H1800">
        <f>VLOOKUP(Table2[[#This Row],[Customer ID]],Table2[#All],7,FALSE)</f>
        <v>0</v>
      </c>
      <c r="I1800" t="str">
        <f>VLOOKUP(Table2[[#This Row],[Customer ID]],Table2[#All],8,FALSE)</f>
        <v>No</v>
      </c>
      <c r="J1800" t="str">
        <f>VLOOKUP(Table2[[#This Row],[Customer ID]],Table2[#All],9,FALSE)</f>
        <v>Normalweight</v>
      </c>
      <c r="K1800" t="str">
        <f>VLOOKUP(Table2[[#This Row],[Customer ID]],Table2[#All],10,FALSE)</f>
        <v>Normal</v>
      </c>
    </row>
    <row r="1801" spans="1:11" ht="15.6" x14ac:dyDescent="0.3">
      <c r="A1801" s="1" t="s">
        <v>570</v>
      </c>
      <c r="B1801" t="str">
        <f>VLOOKUP('Customer Names'!A1801,'Customer Names'!$A$1:$E$2336,4,FALSE)</f>
        <v>Mr.  Alfredo</v>
      </c>
      <c r="C1801">
        <f>VLOOKUP(Table2[[#This Row],[Customer ID]],Table2[#All],2,FALSE)</f>
        <v>38.6</v>
      </c>
      <c r="D1801">
        <f>VLOOKUP(Table2[[#This Row],[Customer ID]],Table2[#All],3,FALSE)</f>
        <v>6.02</v>
      </c>
      <c r="E1801" t="str">
        <f>VLOOKUP(Table2[[#This Row],[Customer ID]],Table2[#All],4,FALSE)</f>
        <v>No</v>
      </c>
      <c r="F1801" t="str">
        <f>VLOOKUP(Table2[[#This Row],[Customer ID]],Table2[#All],5,FALSE)</f>
        <v>No</v>
      </c>
      <c r="G1801" t="str">
        <f>VLOOKUP(Table2[[#This Row],[Customer ID]],Table2[#All],6,FALSE)</f>
        <v>No</v>
      </c>
      <c r="H1801">
        <f>VLOOKUP(Table2[[#This Row],[Customer ID]],Table2[#All],7,FALSE)</f>
        <v>1</v>
      </c>
      <c r="I1801" t="str">
        <f>VLOOKUP(Table2[[#This Row],[Customer ID]],Table2[#All],8,FALSE)</f>
        <v>No</v>
      </c>
      <c r="J1801" t="str">
        <f>VLOOKUP(Table2[[#This Row],[Customer ID]],Table2[#All],9,FALSE)</f>
        <v>Obesity</v>
      </c>
      <c r="K1801" t="str">
        <f>VLOOKUP(Table2[[#This Row],[Customer ID]],Table2[#All],10,FALSE)</f>
        <v>Prediabetes</v>
      </c>
    </row>
    <row r="1802" spans="1:11" ht="15.6" x14ac:dyDescent="0.3">
      <c r="A1802" s="1" t="s">
        <v>569</v>
      </c>
      <c r="B1802" t="str">
        <f>VLOOKUP('Customer Names'!A1802,'Customer Names'!$A$1:$E$2336,4,FALSE)</f>
        <v>Ms.  Kristen</v>
      </c>
      <c r="C1802">
        <f>VLOOKUP(Table2[[#This Row],[Customer ID]],Table2[#All],2,FALSE)</f>
        <v>43.12</v>
      </c>
      <c r="D1802">
        <f>VLOOKUP(Table2[[#This Row],[Customer ID]],Table2[#All],3,FALSE)</f>
        <v>6.25</v>
      </c>
      <c r="E1802" t="str">
        <f>VLOOKUP(Table2[[#This Row],[Customer ID]],Table2[#All],4,FALSE)</f>
        <v>No</v>
      </c>
      <c r="F1802" t="str">
        <f>VLOOKUP(Table2[[#This Row],[Customer ID]],Table2[#All],5,FALSE)</f>
        <v>No</v>
      </c>
      <c r="G1802" t="str">
        <f>VLOOKUP(Table2[[#This Row],[Customer ID]],Table2[#All],6,FALSE)</f>
        <v>No</v>
      </c>
      <c r="H1802">
        <f>VLOOKUP(Table2[[#This Row],[Customer ID]],Table2[#All],7,FALSE)</f>
        <v>1</v>
      </c>
      <c r="I1802" t="str">
        <f>VLOOKUP(Table2[[#This Row],[Customer ID]],Table2[#All],8,FALSE)</f>
        <v>No</v>
      </c>
      <c r="J1802" t="str">
        <f>VLOOKUP(Table2[[#This Row],[Customer ID]],Table2[#All],9,FALSE)</f>
        <v>Obesity</v>
      </c>
      <c r="K1802" t="str">
        <f>VLOOKUP(Table2[[#This Row],[Customer ID]],Table2[#All],10,FALSE)</f>
        <v>Prediabetes</v>
      </c>
    </row>
    <row r="1803" spans="1:11" ht="15.6" x14ac:dyDescent="0.3">
      <c r="A1803" s="1" t="s">
        <v>568</v>
      </c>
      <c r="B1803" t="str">
        <f>VLOOKUP('Customer Names'!A1803,'Customer Names'!$A$1:$E$2336,4,FALSE)</f>
        <v>Mr.  Daniel</v>
      </c>
      <c r="C1803">
        <f>VLOOKUP(Table2[[#This Row],[Customer ID]],Table2[#All],2,FALSE)</f>
        <v>30.5</v>
      </c>
      <c r="D1803">
        <f>VLOOKUP(Table2[[#This Row],[Customer ID]],Table2[#All],3,FALSE)</f>
        <v>4.8099999999999996</v>
      </c>
      <c r="E1803" t="str">
        <f>VLOOKUP(Table2[[#This Row],[Customer ID]],Table2[#All],4,FALSE)</f>
        <v>No</v>
      </c>
      <c r="F1803" t="str">
        <f>VLOOKUP(Table2[[#This Row],[Customer ID]],Table2[#All],5,FALSE)</f>
        <v>No</v>
      </c>
      <c r="G1803" t="str">
        <f>VLOOKUP(Table2[[#This Row],[Customer ID]],Table2[#All],6,FALSE)</f>
        <v>No</v>
      </c>
      <c r="H1803">
        <f>VLOOKUP(Table2[[#This Row],[Customer ID]],Table2[#All],7,FALSE)</f>
        <v>1</v>
      </c>
      <c r="I1803" t="str">
        <f>VLOOKUP(Table2[[#This Row],[Customer ID]],Table2[#All],8,FALSE)</f>
        <v>No</v>
      </c>
      <c r="J1803" t="str">
        <f>VLOOKUP(Table2[[#This Row],[Customer ID]],Table2[#All],9,FALSE)</f>
        <v>Obesity</v>
      </c>
      <c r="K1803" t="str">
        <f>VLOOKUP(Table2[[#This Row],[Customer ID]],Table2[#All],10,FALSE)</f>
        <v>Normal</v>
      </c>
    </row>
    <row r="1804" spans="1:11" ht="15.6" x14ac:dyDescent="0.3">
      <c r="A1804" s="1" t="s">
        <v>567</v>
      </c>
      <c r="B1804" t="str">
        <f>VLOOKUP('Customer Names'!A1804,'Customer Names'!$A$1:$E$2336,4,FALSE)</f>
        <v>Mr.  Jonathan</v>
      </c>
      <c r="C1804">
        <f>VLOOKUP(Table2[[#This Row],[Customer ID]],Table2[#All],2,FALSE)</f>
        <v>27.61</v>
      </c>
      <c r="D1804">
        <f>VLOOKUP(Table2[[#This Row],[Customer ID]],Table2[#All],3,FALSE)</f>
        <v>4.5999999999999996</v>
      </c>
      <c r="E1804" t="str">
        <f>VLOOKUP(Table2[[#This Row],[Customer ID]],Table2[#All],4,FALSE)</f>
        <v>No</v>
      </c>
      <c r="F1804" t="str">
        <f>VLOOKUP(Table2[[#This Row],[Customer ID]],Table2[#All],5,FALSE)</f>
        <v>No</v>
      </c>
      <c r="G1804" t="str">
        <f>VLOOKUP(Table2[[#This Row],[Customer ID]],Table2[#All],6,FALSE)</f>
        <v>No</v>
      </c>
      <c r="H1804">
        <f>VLOOKUP(Table2[[#This Row],[Customer ID]],Table2[#All],7,FALSE)</f>
        <v>1</v>
      </c>
      <c r="I1804" t="str">
        <f>VLOOKUP(Table2[[#This Row],[Customer ID]],Table2[#All],8,FALSE)</f>
        <v>No</v>
      </c>
      <c r="J1804" t="str">
        <f>VLOOKUP(Table2[[#This Row],[Customer ID]],Table2[#All],9,FALSE)</f>
        <v>Overweight</v>
      </c>
      <c r="K1804" t="str">
        <f>VLOOKUP(Table2[[#This Row],[Customer ID]],Table2[#All],10,FALSE)</f>
        <v>Normal</v>
      </c>
    </row>
    <row r="1805" spans="1:11" ht="15.6" x14ac:dyDescent="0.3">
      <c r="A1805" s="1" t="s">
        <v>566</v>
      </c>
      <c r="B1805" t="str">
        <f>VLOOKUP('Customer Names'!A1805,'Customer Names'!$A$1:$E$2336,4,FALSE)</f>
        <v>Mr.  Troy</v>
      </c>
      <c r="C1805">
        <f>VLOOKUP(Table2[[#This Row],[Customer ID]],Table2[#All],2,FALSE)</f>
        <v>27.1</v>
      </c>
      <c r="D1805">
        <f>VLOOKUP(Table2[[#This Row],[Customer ID]],Table2[#All],3,FALSE)</f>
        <v>5.08</v>
      </c>
      <c r="E1805" t="str">
        <f>VLOOKUP(Table2[[#This Row],[Customer ID]],Table2[#All],4,FALSE)</f>
        <v>No</v>
      </c>
      <c r="F1805" t="str">
        <f>VLOOKUP(Table2[[#This Row],[Customer ID]],Table2[#All],5,FALSE)</f>
        <v>No</v>
      </c>
      <c r="G1805" t="str">
        <f>VLOOKUP(Table2[[#This Row],[Customer ID]],Table2[#All],6,FALSE)</f>
        <v>No</v>
      </c>
      <c r="H1805">
        <f>VLOOKUP(Table2[[#This Row],[Customer ID]],Table2[#All],7,FALSE)</f>
        <v>1</v>
      </c>
      <c r="I1805" t="str">
        <f>VLOOKUP(Table2[[#This Row],[Customer ID]],Table2[#All],8,FALSE)</f>
        <v>No</v>
      </c>
      <c r="J1805" t="str">
        <f>VLOOKUP(Table2[[#This Row],[Customer ID]],Table2[#All],9,FALSE)</f>
        <v>Overweight</v>
      </c>
      <c r="K1805" t="str">
        <f>VLOOKUP(Table2[[#This Row],[Customer ID]],Table2[#All],10,FALSE)</f>
        <v>Normal</v>
      </c>
    </row>
    <row r="1806" spans="1:11" ht="15.6" x14ac:dyDescent="0.3">
      <c r="A1806" s="1" t="s">
        <v>565</v>
      </c>
      <c r="B1806" t="str">
        <f>VLOOKUP('Customer Names'!A1806,'Customer Names'!$A$1:$E$2336,4,FALSE)</f>
        <v>Mr.  Daniel C</v>
      </c>
      <c r="C1806">
        <f>VLOOKUP(Table2[[#This Row],[Customer ID]],Table2[#All],2,FALSE)</f>
        <v>35.93</v>
      </c>
      <c r="D1806">
        <f>VLOOKUP(Table2[[#This Row],[Customer ID]],Table2[#All],3,FALSE)</f>
        <v>5.43</v>
      </c>
      <c r="E1806" t="str">
        <f>VLOOKUP(Table2[[#This Row],[Customer ID]],Table2[#All],4,FALSE)</f>
        <v>No</v>
      </c>
      <c r="F1806" t="str">
        <f>VLOOKUP(Table2[[#This Row],[Customer ID]],Table2[#All],5,FALSE)</f>
        <v>yes</v>
      </c>
      <c r="G1806" t="str">
        <f>VLOOKUP(Table2[[#This Row],[Customer ID]],Table2[#All],6,FALSE)</f>
        <v>No</v>
      </c>
      <c r="H1806">
        <f>VLOOKUP(Table2[[#This Row],[Customer ID]],Table2[#All],7,FALSE)</f>
        <v>1</v>
      </c>
      <c r="I1806" t="str">
        <f>VLOOKUP(Table2[[#This Row],[Customer ID]],Table2[#All],8,FALSE)</f>
        <v>No</v>
      </c>
      <c r="J1806" t="str">
        <f>VLOOKUP(Table2[[#This Row],[Customer ID]],Table2[#All],9,FALSE)</f>
        <v>Obesity</v>
      </c>
      <c r="K1806" t="str">
        <f>VLOOKUP(Table2[[#This Row],[Customer ID]],Table2[#All],10,FALSE)</f>
        <v>Normal</v>
      </c>
    </row>
    <row r="1807" spans="1:11" ht="15.6" x14ac:dyDescent="0.3">
      <c r="A1807" s="1" t="s">
        <v>564</v>
      </c>
      <c r="B1807" t="str">
        <f>VLOOKUP('Customer Names'!A1807,'Customer Names'!$A$1:$E$2336,4,FALSE)</f>
        <v>Ms.  Lauren</v>
      </c>
      <c r="C1807">
        <f>VLOOKUP(Table2[[#This Row],[Customer ID]],Table2[#All],2,FALSE)</f>
        <v>32.68</v>
      </c>
      <c r="D1807">
        <f>VLOOKUP(Table2[[#This Row],[Customer ID]],Table2[#All],3,FALSE)</f>
        <v>5.44</v>
      </c>
      <c r="E1807" t="str">
        <f>VLOOKUP(Table2[[#This Row],[Customer ID]],Table2[#All],4,FALSE)</f>
        <v>No</v>
      </c>
      <c r="F1807" t="str">
        <f>VLOOKUP(Table2[[#This Row],[Customer ID]],Table2[#All],5,FALSE)</f>
        <v>No</v>
      </c>
      <c r="G1807" t="str">
        <f>VLOOKUP(Table2[[#This Row],[Customer ID]],Table2[#All],6,FALSE)</f>
        <v>No</v>
      </c>
      <c r="H1807">
        <f>VLOOKUP(Table2[[#This Row],[Customer ID]],Table2[#All],7,FALSE)</f>
        <v>0</v>
      </c>
      <c r="I1807" t="str">
        <f>VLOOKUP(Table2[[#This Row],[Customer ID]],Table2[#All],8,FALSE)</f>
        <v>No</v>
      </c>
      <c r="J1807" t="str">
        <f>VLOOKUP(Table2[[#This Row],[Customer ID]],Table2[#All],9,FALSE)</f>
        <v>Obesity</v>
      </c>
      <c r="K1807" t="str">
        <f>VLOOKUP(Table2[[#This Row],[Customer ID]],Table2[#All],10,FALSE)</f>
        <v>Normal</v>
      </c>
    </row>
    <row r="1808" spans="1:11" ht="15.6" x14ac:dyDescent="0.3">
      <c r="A1808" s="1" t="s">
        <v>563</v>
      </c>
      <c r="B1808" t="str">
        <f>VLOOKUP('Customer Names'!A1808,'Customer Names'!$A$1:$E$2336,4,FALSE)</f>
        <v>Ms.  Jennefer</v>
      </c>
      <c r="C1808">
        <f>VLOOKUP(Table2[[#This Row],[Customer ID]],Table2[#All],2,FALSE)</f>
        <v>20.74</v>
      </c>
      <c r="D1808">
        <f>VLOOKUP(Table2[[#This Row],[Customer ID]],Table2[#All],3,FALSE)</f>
        <v>11.69</v>
      </c>
      <c r="E1808" t="str">
        <f>VLOOKUP(Table2[[#This Row],[Customer ID]],Table2[#All],4,FALSE)</f>
        <v>Yes</v>
      </c>
      <c r="F1808" t="str">
        <f>VLOOKUP(Table2[[#This Row],[Customer ID]],Table2[#All],5,FALSE)</f>
        <v>No</v>
      </c>
      <c r="G1808" t="str">
        <f>VLOOKUP(Table2[[#This Row],[Customer ID]],Table2[#All],6,FALSE)</f>
        <v>No</v>
      </c>
      <c r="H1808">
        <f>VLOOKUP(Table2[[#This Row],[Customer ID]],Table2[#All],7,FALSE)</f>
        <v>1</v>
      </c>
      <c r="I1808" t="str">
        <f>VLOOKUP(Table2[[#This Row],[Customer ID]],Table2[#All],8,FALSE)</f>
        <v>No</v>
      </c>
      <c r="J1808" t="str">
        <f>VLOOKUP(Table2[[#This Row],[Customer ID]],Table2[#All],9,FALSE)</f>
        <v>Normalweight</v>
      </c>
      <c r="K1808" t="str">
        <f>VLOOKUP(Table2[[#This Row],[Customer ID]],Table2[#All],10,FALSE)</f>
        <v>Diabetes</v>
      </c>
    </row>
    <row r="1809" spans="1:11" ht="15.6" x14ac:dyDescent="0.3">
      <c r="A1809" s="1" t="s">
        <v>562</v>
      </c>
      <c r="B1809" t="str">
        <f>VLOOKUP('Customer Names'!A1809,'Customer Names'!$A$1:$E$2336,4,FALSE)</f>
        <v>Ms.  Tracey L.</v>
      </c>
      <c r="C1809">
        <f>VLOOKUP(Table2[[#This Row],[Customer ID]],Table2[#All],2,FALSE)</f>
        <v>15.57</v>
      </c>
      <c r="D1809">
        <f>VLOOKUP(Table2[[#This Row],[Customer ID]],Table2[#All],3,FALSE)</f>
        <v>6.07</v>
      </c>
      <c r="E1809" t="str">
        <f>VLOOKUP(Table2[[#This Row],[Customer ID]],Table2[#All],4,FALSE)</f>
        <v>No</v>
      </c>
      <c r="F1809" t="str">
        <f>VLOOKUP(Table2[[#This Row],[Customer ID]],Table2[#All],5,FALSE)</f>
        <v>No</v>
      </c>
      <c r="G1809" t="str">
        <f>VLOOKUP(Table2[[#This Row],[Customer ID]],Table2[#All],6,FALSE)</f>
        <v>No</v>
      </c>
      <c r="H1809">
        <f>VLOOKUP(Table2[[#This Row],[Customer ID]],Table2[#All],7,FALSE)</f>
        <v>0</v>
      </c>
      <c r="I1809" t="str">
        <f>VLOOKUP(Table2[[#This Row],[Customer ID]],Table2[#All],8,FALSE)</f>
        <v>No</v>
      </c>
      <c r="J1809" t="str">
        <f>VLOOKUP(Table2[[#This Row],[Customer ID]],Table2[#All],9,FALSE)</f>
        <v>Underweight</v>
      </c>
      <c r="K1809" t="str">
        <f>VLOOKUP(Table2[[#This Row],[Customer ID]],Table2[#All],10,FALSE)</f>
        <v>Prediabetes</v>
      </c>
    </row>
    <row r="1810" spans="1:11" ht="15.6" x14ac:dyDescent="0.3">
      <c r="A1810" s="1" t="s">
        <v>561</v>
      </c>
      <c r="B1810" t="str">
        <f>VLOOKUP('Customer Names'!A1810,'Customer Names'!$A$1:$E$2336,4,FALSE)</f>
        <v>Ms.  Ashley</v>
      </c>
      <c r="C1810">
        <f>VLOOKUP(Table2[[#This Row],[Customer ID]],Table2[#All],2,FALSE)</f>
        <v>23.844999999999999</v>
      </c>
      <c r="D1810">
        <f>VLOOKUP(Table2[[#This Row],[Customer ID]],Table2[#All],3,FALSE)</f>
        <v>4.3600000000000003</v>
      </c>
      <c r="E1810" t="str">
        <f>VLOOKUP(Table2[[#This Row],[Customer ID]],Table2[#All],4,FALSE)</f>
        <v>No</v>
      </c>
      <c r="F1810" t="str">
        <f>VLOOKUP(Table2[[#This Row],[Customer ID]],Table2[#All],5,FALSE)</f>
        <v>No</v>
      </c>
      <c r="G1810" t="str">
        <f>VLOOKUP(Table2[[#This Row],[Customer ID]],Table2[#All],6,FALSE)</f>
        <v>No</v>
      </c>
      <c r="H1810">
        <f>VLOOKUP(Table2[[#This Row],[Customer ID]],Table2[#All],7,FALSE)</f>
        <v>0</v>
      </c>
      <c r="I1810" t="str">
        <f>VLOOKUP(Table2[[#This Row],[Customer ID]],Table2[#All],8,FALSE)</f>
        <v>No</v>
      </c>
      <c r="J1810" t="str">
        <f>VLOOKUP(Table2[[#This Row],[Customer ID]],Table2[#All],9,FALSE)</f>
        <v>Normalweight</v>
      </c>
      <c r="K1810" t="str">
        <f>VLOOKUP(Table2[[#This Row],[Customer ID]],Table2[#All],10,FALSE)</f>
        <v>Normal</v>
      </c>
    </row>
    <row r="1811" spans="1:11" ht="15.6" x14ac:dyDescent="0.3">
      <c r="A1811" s="1" t="s">
        <v>560</v>
      </c>
      <c r="B1811" t="str">
        <f>VLOOKUP('Customer Names'!A1811,'Customer Names'!$A$1:$E$2336,4,FALSE)</f>
        <v>Ms.  Cindy</v>
      </c>
      <c r="C1811">
        <f>VLOOKUP(Table2[[#This Row],[Customer ID]],Table2[#All],2,FALSE)</f>
        <v>22.895</v>
      </c>
      <c r="D1811">
        <f>VLOOKUP(Table2[[#This Row],[Customer ID]],Table2[#All],3,FALSE)</f>
        <v>5.24</v>
      </c>
      <c r="E1811" t="str">
        <f>VLOOKUP(Table2[[#This Row],[Customer ID]],Table2[#All],4,FALSE)</f>
        <v>No</v>
      </c>
      <c r="F1811" t="str">
        <f>VLOOKUP(Table2[[#This Row],[Customer ID]],Table2[#All],5,FALSE)</f>
        <v>No</v>
      </c>
      <c r="G1811" t="str">
        <f>VLOOKUP(Table2[[#This Row],[Customer ID]],Table2[#All],6,FALSE)</f>
        <v>No</v>
      </c>
      <c r="H1811">
        <f>VLOOKUP(Table2[[#This Row],[Customer ID]],Table2[#All],7,FALSE)</f>
        <v>1</v>
      </c>
      <c r="I1811" t="str">
        <f>VLOOKUP(Table2[[#This Row],[Customer ID]],Table2[#All],8,FALSE)</f>
        <v>No</v>
      </c>
      <c r="J1811" t="str">
        <f>VLOOKUP(Table2[[#This Row],[Customer ID]],Table2[#All],9,FALSE)</f>
        <v>Normalweight</v>
      </c>
      <c r="K1811" t="str">
        <f>VLOOKUP(Table2[[#This Row],[Customer ID]],Table2[#All],10,FALSE)</f>
        <v>Normal</v>
      </c>
    </row>
    <row r="1812" spans="1:11" ht="15.6" x14ac:dyDescent="0.3">
      <c r="A1812" s="1" t="s">
        <v>559</v>
      </c>
      <c r="B1812" t="str">
        <f>VLOOKUP('Customer Names'!A1812,'Customer Names'!$A$1:$E$2336,4,FALSE)</f>
        <v>Ms.  Esther</v>
      </c>
      <c r="C1812">
        <f>VLOOKUP(Table2[[#This Row],[Customer ID]],Table2[#All],2,FALSE)</f>
        <v>21.945</v>
      </c>
      <c r="D1812">
        <f>VLOOKUP(Table2[[#This Row],[Customer ID]],Table2[#All],3,FALSE)</f>
        <v>5.37</v>
      </c>
      <c r="E1812" t="str">
        <f>VLOOKUP(Table2[[#This Row],[Customer ID]],Table2[#All],4,FALSE)</f>
        <v>No</v>
      </c>
      <c r="F1812" t="str">
        <f>VLOOKUP(Table2[[#This Row],[Customer ID]],Table2[#All],5,FALSE)</f>
        <v>No</v>
      </c>
      <c r="G1812" t="str">
        <f>VLOOKUP(Table2[[#This Row],[Customer ID]],Table2[#All],6,FALSE)</f>
        <v>No</v>
      </c>
      <c r="H1812">
        <f>VLOOKUP(Table2[[#This Row],[Customer ID]],Table2[#All],7,FALSE)</f>
        <v>1</v>
      </c>
      <c r="I1812" t="str">
        <f>VLOOKUP(Table2[[#This Row],[Customer ID]],Table2[#All],8,FALSE)</f>
        <v>No</v>
      </c>
      <c r="J1812" t="str">
        <f>VLOOKUP(Table2[[#This Row],[Customer ID]],Table2[#All],9,FALSE)</f>
        <v>Normalweight</v>
      </c>
      <c r="K1812" t="str">
        <f>VLOOKUP(Table2[[#This Row],[Customer ID]],Table2[#All],10,FALSE)</f>
        <v>Normal</v>
      </c>
    </row>
    <row r="1813" spans="1:11" ht="15.6" x14ac:dyDescent="0.3">
      <c r="A1813" s="1" t="s">
        <v>558</v>
      </c>
      <c r="B1813" t="str">
        <f>VLOOKUP('Customer Names'!A1813,'Customer Names'!$A$1:$E$2336,4,FALSE)</f>
        <v>Ms.  Jackie</v>
      </c>
      <c r="C1813">
        <f>VLOOKUP(Table2[[#This Row],[Customer ID]],Table2[#All],2,FALSE)</f>
        <v>19.47</v>
      </c>
      <c r="D1813">
        <f>VLOOKUP(Table2[[#This Row],[Customer ID]],Table2[#All],3,FALSE)</f>
        <v>6.6</v>
      </c>
      <c r="E1813" t="str">
        <f>VLOOKUP(Table2[[#This Row],[Customer ID]],Table2[#All],4,FALSE)</f>
        <v>Yes</v>
      </c>
      <c r="F1813" t="str">
        <f>VLOOKUP(Table2[[#This Row],[Customer ID]],Table2[#All],5,FALSE)</f>
        <v>No</v>
      </c>
      <c r="G1813" t="str">
        <f>VLOOKUP(Table2[[#This Row],[Customer ID]],Table2[#All],6,FALSE)</f>
        <v>No</v>
      </c>
      <c r="H1813">
        <f>VLOOKUP(Table2[[#This Row],[Customer ID]],Table2[#All],7,FALSE)</f>
        <v>0</v>
      </c>
      <c r="I1813" t="str">
        <f>VLOOKUP(Table2[[#This Row],[Customer ID]],Table2[#All],8,FALSE)</f>
        <v>No</v>
      </c>
      <c r="J1813" t="str">
        <f>VLOOKUP(Table2[[#This Row],[Customer ID]],Table2[#All],9,FALSE)</f>
        <v>Normalweight</v>
      </c>
      <c r="K1813" t="str">
        <f>VLOOKUP(Table2[[#This Row],[Customer ID]],Table2[#All],10,FALSE)</f>
        <v>Diabetes</v>
      </c>
    </row>
    <row r="1814" spans="1:11" ht="15.6" x14ac:dyDescent="0.3">
      <c r="A1814" s="1" t="s">
        <v>557</v>
      </c>
      <c r="B1814" t="str">
        <f>VLOOKUP('Customer Names'!A1814,'Customer Names'!$A$1:$E$2336,4,FALSE)</f>
        <v>Mr.  Timothy P.</v>
      </c>
      <c r="C1814">
        <f>VLOOKUP(Table2[[#This Row],[Customer ID]],Table2[#All],2,FALSE)</f>
        <v>15.61</v>
      </c>
      <c r="D1814">
        <f>VLOOKUP(Table2[[#This Row],[Customer ID]],Table2[#All],3,FALSE)</f>
        <v>5.77</v>
      </c>
      <c r="E1814" t="str">
        <f>VLOOKUP(Table2[[#This Row],[Customer ID]],Table2[#All],4,FALSE)</f>
        <v>No</v>
      </c>
      <c r="F1814" t="str">
        <f>VLOOKUP(Table2[[#This Row],[Customer ID]],Table2[#All],5,FALSE)</f>
        <v>No</v>
      </c>
      <c r="G1814" t="str">
        <f>VLOOKUP(Table2[[#This Row],[Customer ID]],Table2[#All],6,FALSE)</f>
        <v>No</v>
      </c>
      <c r="H1814">
        <f>VLOOKUP(Table2[[#This Row],[Customer ID]],Table2[#All],7,FALSE)</f>
        <v>0</v>
      </c>
      <c r="I1814" t="str">
        <f>VLOOKUP(Table2[[#This Row],[Customer ID]],Table2[#All],8,FALSE)</f>
        <v>No</v>
      </c>
      <c r="J1814" t="str">
        <f>VLOOKUP(Table2[[#This Row],[Customer ID]],Table2[#All],9,FALSE)</f>
        <v>Underweight</v>
      </c>
      <c r="K1814" t="str">
        <f>VLOOKUP(Table2[[#This Row],[Customer ID]],Table2[#All],10,FALSE)</f>
        <v>Prediabetes</v>
      </c>
    </row>
    <row r="1815" spans="1:11" ht="15.6" x14ac:dyDescent="0.3">
      <c r="A1815" s="1" t="s">
        <v>556</v>
      </c>
      <c r="B1815" t="str">
        <f>VLOOKUP('Customer Names'!A1815,'Customer Names'!$A$1:$E$2336,4,FALSE)</f>
        <v>Ms.  Lauren</v>
      </c>
      <c r="C1815">
        <f>VLOOKUP(Table2[[#This Row],[Customer ID]],Table2[#All],2,FALSE)</f>
        <v>28.6</v>
      </c>
      <c r="D1815">
        <f>VLOOKUP(Table2[[#This Row],[Customer ID]],Table2[#All],3,FALSE)</f>
        <v>6.08</v>
      </c>
      <c r="E1815" t="str">
        <f>VLOOKUP(Table2[[#This Row],[Customer ID]],Table2[#All],4,FALSE)</f>
        <v>No</v>
      </c>
      <c r="F1815" t="str">
        <f>VLOOKUP(Table2[[#This Row],[Customer ID]],Table2[#All],5,FALSE)</f>
        <v>No</v>
      </c>
      <c r="G1815" t="str">
        <f>VLOOKUP(Table2[[#This Row],[Customer ID]],Table2[#All],6,FALSE)</f>
        <v>Yes</v>
      </c>
      <c r="H1815">
        <f>VLOOKUP(Table2[[#This Row],[Customer ID]],Table2[#All],7,FALSE)</f>
        <v>1</v>
      </c>
      <c r="I1815" t="str">
        <f>VLOOKUP(Table2[[#This Row],[Customer ID]],Table2[#All],8,FALSE)</f>
        <v>No</v>
      </c>
      <c r="J1815" t="str">
        <f>VLOOKUP(Table2[[#This Row],[Customer ID]],Table2[#All],9,FALSE)</f>
        <v>Overweight</v>
      </c>
      <c r="K1815" t="str">
        <f>VLOOKUP(Table2[[#This Row],[Customer ID]],Table2[#All],10,FALSE)</f>
        <v>Prediabetes</v>
      </c>
    </row>
    <row r="1816" spans="1:11" ht="15.6" x14ac:dyDescent="0.3">
      <c r="A1816" s="1" t="s">
        <v>555</v>
      </c>
      <c r="B1816" t="str">
        <f>VLOOKUP('Customer Names'!A1816,'Customer Names'!$A$1:$E$2336,4,FALSE)</f>
        <v>Mr.  Benjamin</v>
      </c>
      <c r="C1816">
        <f>VLOOKUP(Table2[[#This Row],[Customer ID]],Table2[#All],2,FALSE)</f>
        <v>46.53</v>
      </c>
      <c r="D1816">
        <f>VLOOKUP(Table2[[#This Row],[Customer ID]],Table2[#All],3,FALSE)</f>
        <v>4.16</v>
      </c>
      <c r="E1816" t="str">
        <f>VLOOKUP(Table2[[#This Row],[Customer ID]],Table2[#All],4,FALSE)</f>
        <v>No</v>
      </c>
      <c r="F1816" t="str">
        <f>VLOOKUP(Table2[[#This Row],[Customer ID]],Table2[#All],5,FALSE)</f>
        <v>No</v>
      </c>
      <c r="G1816" t="str">
        <f>VLOOKUP(Table2[[#This Row],[Customer ID]],Table2[#All],6,FALSE)</f>
        <v>No</v>
      </c>
      <c r="H1816">
        <f>VLOOKUP(Table2[[#This Row],[Customer ID]],Table2[#All],7,FALSE)</f>
        <v>0</v>
      </c>
      <c r="I1816" t="str">
        <f>VLOOKUP(Table2[[#This Row],[Customer ID]],Table2[#All],8,FALSE)</f>
        <v>No</v>
      </c>
      <c r="J1816" t="str">
        <f>VLOOKUP(Table2[[#This Row],[Customer ID]],Table2[#All],9,FALSE)</f>
        <v>Obesity</v>
      </c>
      <c r="K1816" t="str">
        <f>VLOOKUP(Table2[[#This Row],[Customer ID]],Table2[#All],10,FALSE)</f>
        <v>Normal</v>
      </c>
    </row>
    <row r="1817" spans="1:11" ht="15.6" x14ac:dyDescent="0.3">
      <c r="A1817" s="1" t="s">
        <v>554</v>
      </c>
      <c r="B1817" t="str">
        <f>VLOOKUP('Customer Names'!A1817,'Customer Names'!$A$1:$E$2336,4,FALSE)</f>
        <v>Mr.  Hugo M</v>
      </c>
      <c r="C1817">
        <f>VLOOKUP(Table2[[#This Row],[Customer ID]],Table2[#All],2,FALSE)</f>
        <v>34.99</v>
      </c>
      <c r="D1817">
        <f>VLOOKUP(Table2[[#This Row],[Customer ID]],Table2[#All],3,FALSE)</f>
        <v>5.0999999999999996</v>
      </c>
      <c r="E1817" t="str">
        <f>VLOOKUP(Table2[[#This Row],[Customer ID]],Table2[#All],4,FALSE)</f>
        <v>No</v>
      </c>
      <c r="F1817" t="str">
        <f>VLOOKUP(Table2[[#This Row],[Customer ID]],Table2[#All],5,FALSE)</f>
        <v>No</v>
      </c>
      <c r="G1817" t="str">
        <f>VLOOKUP(Table2[[#This Row],[Customer ID]],Table2[#All],6,FALSE)</f>
        <v>Yes</v>
      </c>
      <c r="H1817">
        <f>VLOOKUP(Table2[[#This Row],[Customer ID]],Table2[#All],7,FALSE)</f>
        <v>1</v>
      </c>
      <c r="I1817" t="str">
        <f>VLOOKUP(Table2[[#This Row],[Customer ID]],Table2[#All],8,FALSE)</f>
        <v>No</v>
      </c>
      <c r="J1817" t="str">
        <f>VLOOKUP(Table2[[#This Row],[Customer ID]],Table2[#All],9,FALSE)</f>
        <v>Obesity</v>
      </c>
      <c r="K1817" t="str">
        <f>VLOOKUP(Table2[[#This Row],[Customer ID]],Table2[#All],10,FALSE)</f>
        <v>Normal</v>
      </c>
    </row>
    <row r="1818" spans="1:11" ht="15.6" x14ac:dyDescent="0.3">
      <c r="A1818" s="1" t="s">
        <v>553</v>
      </c>
      <c r="B1818" t="str">
        <f>VLOOKUP('Customer Names'!A1818,'Customer Names'!$A$1:$E$2336,4,FALSE)</f>
        <v>Mr.  Daniel J. Jr.</v>
      </c>
      <c r="C1818">
        <f>VLOOKUP(Table2[[#This Row],[Customer ID]],Table2[#All],2,FALSE)</f>
        <v>17.05</v>
      </c>
      <c r="D1818">
        <f>VLOOKUP(Table2[[#This Row],[Customer ID]],Table2[#All],3,FALSE)</f>
        <v>5.3</v>
      </c>
      <c r="E1818" t="str">
        <f>VLOOKUP(Table2[[#This Row],[Customer ID]],Table2[#All],4,FALSE)</f>
        <v>No</v>
      </c>
      <c r="F1818" t="str">
        <f>VLOOKUP(Table2[[#This Row],[Customer ID]],Table2[#All],5,FALSE)</f>
        <v>No</v>
      </c>
      <c r="G1818" t="str">
        <f>VLOOKUP(Table2[[#This Row],[Customer ID]],Table2[#All],6,FALSE)</f>
        <v>Yes</v>
      </c>
      <c r="H1818">
        <f>VLOOKUP(Table2[[#This Row],[Customer ID]],Table2[#All],7,FALSE)</f>
        <v>1</v>
      </c>
      <c r="I1818" t="str">
        <f>VLOOKUP(Table2[[#This Row],[Customer ID]],Table2[#All],8,FALSE)</f>
        <v>No</v>
      </c>
      <c r="J1818" t="str">
        <f>VLOOKUP(Table2[[#This Row],[Customer ID]],Table2[#All],9,FALSE)</f>
        <v>Underweight</v>
      </c>
      <c r="K1818" t="str">
        <f>VLOOKUP(Table2[[#This Row],[Customer ID]],Table2[#All],10,FALSE)</f>
        <v>Normal</v>
      </c>
    </row>
    <row r="1819" spans="1:11" ht="15.6" x14ac:dyDescent="0.3">
      <c r="A1819" s="1" t="s">
        <v>552</v>
      </c>
      <c r="B1819" t="str">
        <f>VLOOKUP('Customer Names'!A1819,'Customer Names'!$A$1:$E$2336,4,FALSE)</f>
        <v>Mr.  Justin R</v>
      </c>
      <c r="C1819">
        <f>VLOOKUP(Table2[[#This Row],[Customer ID]],Table2[#All],2,FALSE)</f>
        <v>37.18</v>
      </c>
      <c r="D1819">
        <f>VLOOKUP(Table2[[#This Row],[Customer ID]],Table2[#All],3,FALSE)</f>
        <v>4.9000000000000004</v>
      </c>
      <c r="E1819" t="str">
        <f>VLOOKUP(Table2[[#This Row],[Customer ID]],Table2[#All],4,FALSE)</f>
        <v>No</v>
      </c>
      <c r="F1819" t="str">
        <f>VLOOKUP(Table2[[#This Row],[Customer ID]],Table2[#All],5,FALSE)</f>
        <v>No</v>
      </c>
      <c r="G1819" t="str">
        <f>VLOOKUP(Table2[[#This Row],[Customer ID]],Table2[#All],6,FALSE)</f>
        <v>No</v>
      </c>
      <c r="H1819">
        <f>VLOOKUP(Table2[[#This Row],[Customer ID]],Table2[#All],7,FALSE)</f>
        <v>0</v>
      </c>
      <c r="I1819" t="str">
        <f>VLOOKUP(Table2[[#This Row],[Customer ID]],Table2[#All],8,FALSE)</f>
        <v>No</v>
      </c>
      <c r="J1819" t="str">
        <f>VLOOKUP(Table2[[#This Row],[Customer ID]],Table2[#All],9,FALSE)</f>
        <v>Obesity</v>
      </c>
      <c r="K1819" t="str">
        <f>VLOOKUP(Table2[[#This Row],[Customer ID]],Table2[#All],10,FALSE)</f>
        <v>Normal</v>
      </c>
    </row>
    <row r="1820" spans="1:11" ht="15.6" x14ac:dyDescent="0.3">
      <c r="A1820" s="1" t="s">
        <v>551</v>
      </c>
      <c r="B1820" t="str">
        <f>VLOOKUP('Customer Names'!A1820,'Customer Names'!$A$1:$E$2336,4,FALSE)</f>
        <v>Mr.  Colin</v>
      </c>
      <c r="C1820">
        <f>VLOOKUP(Table2[[#This Row],[Customer ID]],Table2[#All],2,FALSE)</f>
        <v>35.200000000000003</v>
      </c>
      <c r="D1820">
        <f>VLOOKUP(Table2[[#This Row],[Customer ID]],Table2[#All],3,FALSE)</f>
        <v>5.55</v>
      </c>
      <c r="E1820" t="str">
        <f>VLOOKUP(Table2[[#This Row],[Customer ID]],Table2[#All],4,FALSE)</f>
        <v>No</v>
      </c>
      <c r="F1820" t="str">
        <f>VLOOKUP(Table2[[#This Row],[Customer ID]],Table2[#All],5,FALSE)</f>
        <v>No</v>
      </c>
      <c r="G1820" t="str">
        <f>VLOOKUP(Table2[[#This Row],[Customer ID]],Table2[#All],6,FALSE)</f>
        <v>No</v>
      </c>
      <c r="H1820">
        <f>VLOOKUP(Table2[[#This Row],[Customer ID]],Table2[#All],7,FALSE)</f>
        <v>0</v>
      </c>
      <c r="I1820" t="str">
        <f>VLOOKUP(Table2[[#This Row],[Customer ID]],Table2[#All],8,FALSE)</f>
        <v>No</v>
      </c>
      <c r="J1820" t="str">
        <f>VLOOKUP(Table2[[#This Row],[Customer ID]],Table2[#All],9,FALSE)</f>
        <v>Obesity</v>
      </c>
      <c r="K1820" t="str">
        <f>VLOOKUP(Table2[[#This Row],[Customer ID]],Table2[#All],10,FALSE)</f>
        <v>Normal</v>
      </c>
    </row>
    <row r="1821" spans="1:11" ht="15.6" x14ac:dyDescent="0.3">
      <c r="A1821" s="1" t="s">
        <v>550</v>
      </c>
      <c r="B1821" t="str">
        <f>VLOOKUP('Customer Names'!A1821,'Customer Names'!$A$1:$E$2336,4,FALSE)</f>
        <v>Mr.  Rob</v>
      </c>
      <c r="C1821">
        <f>VLOOKUP(Table2[[#This Row],[Customer ID]],Table2[#All],2,FALSE)</f>
        <v>37.335000000000001</v>
      </c>
      <c r="D1821">
        <f>VLOOKUP(Table2[[#This Row],[Customer ID]],Table2[#All],3,FALSE)</f>
        <v>4.95</v>
      </c>
      <c r="E1821" t="str">
        <f>VLOOKUP(Table2[[#This Row],[Customer ID]],Table2[#All],4,FALSE)</f>
        <v>No</v>
      </c>
      <c r="F1821" t="str">
        <f>VLOOKUP(Table2[[#This Row],[Customer ID]],Table2[#All],5,FALSE)</f>
        <v>No</v>
      </c>
      <c r="G1821" t="str">
        <f>VLOOKUP(Table2[[#This Row],[Customer ID]],Table2[#All],6,FALSE)</f>
        <v>No</v>
      </c>
      <c r="H1821">
        <f>VLOOKUP(Table2[[#This Row],[Customer ID]],Table2[#All],7,FALSE)</f>
        <v>0</v>
      </c>
      <c r="I1821" t="str">
        <f>VLOOKUP(Table2[[#This Row],[Customer ID]],Table2[#All],8,FALSE)</f>
        <v>No</v>
      </c>
      <c r="J1821" t="str">
        <f>VLOOKUP(Table2[[#This Row],[Customer ID]],Table2[#All],9,FALSE)</f>
        <v>Obesity</v>
      </c>
      <c r="K1821" t="str">
        <f>VLOOKUP(Table2[[#This Row],[Customer ID]],Table2[#All],10,FALSE)</f>
        <v>Normal</v>
      </c>
    </row>
    <row r="1822" spans="1:11" ht="15.6" x14ac:dyDescent="0.3">
      <c r="A1822" s="1" t="s">
        <v>549</v>
      </c>
      <c r="B1822" t="str">
        <f>VLOOKUP('Customer Names'!A1822,'Customer Names'!$A$1:$E$2336,4,FALSE)</f>
        <v>Mr.  Patrick</v>
      </c>
      <c r="C1822">
        <f>VLOOKUP(Table2[[#This Row],[Customer ID]],Table2[#All],2,FALSE)</f>
        <v>27.265000000000001</v>
      </c>
      <c r="D1822">
        <f>VLOOKUP(Table2[[#This Row],[Customer ID]],Table2[#All],3,FALSE)</f>
        <v>6.46</v>
      </c>
      <c r="E1822" t="str">
        <f>VLOOKUP(Table2[[#This Row],[Customer ID]],Table2[#All],4,FALSE)</f>
        <v>Yes</v>
      </c>
      <c r="F1822" t="str">
        <f>VLOOKUP(Table2[[#This Row],[Customer ID]],Table2[#All],5,FALSE)</f>
        <v>No</v>
      </c>
      <c r="G1822" t="str">
        <f>VLOOKUP(Table2[[#This Row],[Customer ID]],Table2[#All],6,FALSE)</f>
        <v>No</v>
      </c>
      <c r="H1822">
        <f>VLOOKUP(Table2[[#This Row],[Customer ID]],Table2[#All],7,FALSE)</f>
        <v>0</v>
      </c>
      <c r="I1822" t="str">
        <f>VLOOKUP(Table2[[#This Row],[Customer ID]],Table2[#All],8,FALSE)</f>
        <v>No</v>
      </c>
      <c r="J1822" t="str">
        <f>VLOOKUP(Table2[[#This Row],[Customer ID]],Table2[#All],9,FALSE)</f>
        <v>Overweight</v>
      </c>
      <c r="K1822" t="str">
        <f>VLOOKUP(Table2[[#This Row],[Customer ID]],Table2[#All],10,FALSE)</f>
        <v>Prediabetes</v>
      </c>
    </row>
    <row r="1823" spans="1:11" ht="15.6" x14ac:dyDescent="0.3">
      <c r="A1823" s="1" t="s">
        <v>548</v>
      </c>
      <c r="B1823" t="str">
        <f>VLOOKUP('Customer Names'!A1823,'Customer Names'!$A$1:$E$2336,4,FALSE)</f>
        <v>Mr.  Austin D</v>
      </c>
      <c r="C1823">
        <f>VLOOKUP(Table2[[#This Row],[Customer ID]],Table2[#All],2,FALSE)</f>
        <v>30.8</v>
      </c>
      <c r="D1823">
        <f>VLOOKUP(Table2[[#This Row],[Customer ID]],Table2[#All],3,FALSE)</f>
        <v>4.9000000000000004</v>
      </c>
      <c r="E1823" t="str">
        <f>VLOOKUP(Table2[[#This Row],[Customer ID]],Table2[#All],4,FALSE)</f>
        <v>Yes</v>
      </c>
      <c r="F1823" t="str">
        <f>VLOOKUP(Table2[[#This Row],[Customer ID]],Table2[#All],5,FALSE)</f>
        <v>No</v>
      </c>
      <c r="G1823" t="str">
        <f>VLOOKUP(Table2[[#This Row],[Customer ID]],Table2[#All],6,FALSE)</f>
        <v>No</v>
      </c>
      <c r="H1823">
        <f>VLOOKUP(Table2[[#This Row],[Customer ID]],Table2[#All],7,FALSE)</f>
        <v>0</v>
      </c>
      <c r="I1823" t="str">
        <f>VLOOKUP(Table2[[#This Row],[Customer ID]],Table2[#All],8,FALSE)</f>
        <v>No</v>
      </c>
      <c r="J1823" t="str">
        <f>VLOOKUP(Table2[[#This Row],[Customer ID]],Table2[#All],9,FALSE)</f>
        <v>Obesity</v>
      </c>
      <c r="K1823" t="str">
        <f>VLOOKUP(Table2[[#This Row],[Customer ID]],Table2[#All],10,FALSE)</f>
        <v>Normal</v>
      </c>
    </row>
    <row r="1824" spans="1:11" ht="15.6" x14ac:dyDescent="0.3">
      <c r="A1824" s="1" t="s">
        <v>547</v>
      </c>
      <c r="B1824" t="str">
        <f>VLOOKUP('Customer Names'!A1824,'Customer Names'!$A$1:$E$2336,4,FALSE)</f>
        <v>Ms.  Brittany</v>
      </c>
      <c r="C1824">
        <f>VLOOKUP(Table2[[#This Row],[Customer ID]],Table2[#All],2,FALSE)</f>
        <v>30.21</v>
      </c>
      <c r="D1824">
        <f>VLOOKUP(Table2[[#This Row],[Customer ID]],Table2[#All],3,FALSE)</f>
        <v>5.21</v>
      </c>
      <c r="E1824" t="str">
        <f>VLOOKUP(Table2[[#This Row],[Customer ID]],Table2[#All],4,FALSE)</f>
        <v>No</v>
      </c>
      <c r="F1824" t="str">
        <f>VLOOKUP(Table2[[#This Row],[Customer ID]],Table2[#All],5,FALSE)</f>
        <v>No</v>
      </c>
      <c r="G1824" t="str">
        <f>VLOOKUP(Table2[[#This Row],[Customer ID]],Table2[#All],6,FALSE)</f>
        <v>No</v>
      </c>
      <c r="H1824">
        <f>VLOOKUP(Table2[[#This Row],[Customer ID]],Table2[#All],7,FALSE)</f>
        <v>1</v>
      </c>
      <c r="I1824" t="str">
        <f>VLOOKUP(Table2[[#This Row],[Customer ID]],Table2[#All],8,FALSE)</f>
        <v>No</v>
      </c>
      <c r="J1824" t="str">
        <f>VLOOKUP(Table2[[#This Row],[Customer ID]],Table2[#All],9,FALSE)</f>
        <v>Obesity</v>
      </c>
      <c r="K1824" t="str">
        <f>VLOOKUP(Table2[[#This Row],[Customer ID]],Table2[#All],10,FALSE)</f>
        <v>Normal</v>
      </c>
    </row>
    <row r="1825" spans="1:11" ht="15.6" x14ac:dyDescent="0.3">
      <c r="A1825" s="1" t="s">
        <v>546</v>
      </c>
      <c r="B1825" t="str">
        <f>VLOOKUP('Customer Names'!A1825,'Customer Names'!$A$1:$E$2336,4,FALSE)</f>
        <v>Mr.  Matthew T</v>
      </c>
      <c r="C1825">
        <f>VLOOKUP(Table2[[#This Row],[Customer ID]],Table2[#All],2,FALSE)</f>
        <v>35.340000000000003</v>
      </c>
      <c r="D1825">
        <f>VLOOKUP(Table2[[#This Row],[Customer ID]],Table2[#All],3,FALSE)</f>
        <v>4.13</v>
      </c>
      <c r="E1825" t="str">
        <f>VLOOKUP(Table2[[#This Row],[Customer ID]],Table2[#All],4,FALSE)</f>
        <v>No</v>
      </c>
      <c r="F1825" t="str">
        <f>VLOOKUP(Table2[[#This Row],[Customer ID]],Table2[#All],5,FALSE)</f>
        <v>yes</v>
      </c>
      <c r="G1825" t="str">
        <f>VLOOKUP(Table2[[#This Row],[Customer ID]],Table2[#All],6,FALSE)</f>
        <v>No</v>
      </c>
      <c r="H1825">
        <f>VLOOKUP(Table2[[#This Row],[Customer ID]],Table2[#All],7,FALSE)</f>
        <v>1</v>
      </c>
      <c r="I1825" t="str">
        <f>VLOOKUP(Table2[[#This Row],[Customer ID]],Table2[#All],8,FALSE)</f>
        <v>No</v>
      </c>
      <c r="J1825" t="str">
        <f>VLOOKUP(Table2[[#This Row],[Customer ID]],Table2[#All],9,FALSE)</f>
        <v>Obesity</v>
      </c>
      <c r="K1825" t="str">
        <f>VLOOKUP(Table2[[#This Row],[Customer ID]],Table2[#All],10,FALSE)</f>
        <v>Normal</v>
      </c>
    </row>
    <row r="1826" spans="1:11" ht="15.6" x14ac:dyDescent="0.3">
      <c r="A1826" s="1" t="s">
        <v>545</v>
      </c>
      <c r="B1826" t="str">
        <f>VLOOKUP('Customer Names'!A1826,'Customer Names'!$A$1:$E$2336,4,FALSE)</f>
        <v>Ms.  Becky G.</v>
      </c>
      <c r="C1826">
        <f>VLOOKUP(Table2[[#This Row],[Customer ID]],Table2[#All],2,FALSE)</f>
        <v>26.695</v>
      </c>
      <c r="D1826">
        <f>VLOOKUP(Table2[[#This Row],[Customer ID]],Table2[#All],3,FALSE)</f>
        <v>5.28</v>
      </c>
      <c r="E1826" t="str">
        <f>VLOOKUP(Table2[[#This Row],[Customer ID]],Table2[#All],4,FALSE)</f>
        <v>No</v>
      </c>
      <c r="F1826" t="str">
        <f>VLOOKUP(Table2[[#This Row],[Customer ID]],Table2[#All],5,FALSE)</f>
        <v>No</v>
      </c>
      <c r="G1826" t="str">
        <f>VLOOKUP(Table2[[#This Row],[Customer ID]],Table2[#All],6,FALSE)</f>
        <v>No</v>
      </c>
      <c r="H1826">
        <f>VLOOKUP(Table2[[#This Row],[Customer ID]],Table2[#All],7,FALSE)</f>
        <v>0</v>
      </c>
      <c r="I1826" t="str">
        <f>VLOOKUP(Table2[[#This Row],[Customer ID]],Table2[#All],8,FALSE)</f>
        <v>No</v>
      </c>
      <c r="J1826" t="str">
        <f>VLOOKUP(Table2[[#This Row],[Customer ID]],Table2[#All],9,FALSE)</f>
        <v>Overweight</v>
      </c>
      <c r="K1826" t="str">
        <f>VLOOKUP(Table2[[#This Row],[Customer ID]],Table2[#All],10,FALSE)</f>
        <v>Normal</v>
      </c>
    </row>
    <row r="1827" spans="1:11" ht="15.6" x14ac:dyDescent="0.3">
      <c r="A1827" s="1" t="s">
        <v>544</v>
      </c>
      <c r="B1827" t="str">
        <f>VLOOKUP('Customer Names'!A1827,'Customer Names'!$A$1:$E$2336,4,FALSE)</f>
        <v>Ms.  Virginie</v>
      </c>
      <c r="C1827">
        <f>VLOOKUP(Table2[[#This Row],[Customer ID]],Table2[#All],2,FALSE)</f>
        <v>29.355</v>
      </c>
      <c r="D1827">
        <f>VLOOKUP(Table2[[#This Row],[Customer ID]],Table2[#All],3,FALSE)</f>
        <v>4.68</v>
      </c>
      <c r="E1827" t="str">
        <f>VLOOKUP(Table2[[#This Row],[Customer ID]],Table2[#All],4,FALSE)</f>
        <v>Yes</v>
      </c>
      <c r="F1827" t="str">
        <f>VLOOKUP(Table2[[#This Row],[Customer ID]],Table2[#All],5,FALSE)</f>
        <v>No</v>
      </c>
      <c r="G1827" t="str">
        <f>VLOOKUP(Table2[[#This Row],[Customer ID]],Table2[#All],6,FALSE)</f>
        <v>No</v>
      </c>
      <c r="H1827">
        <f>VLOOKUP(Table2[[#This Row],[Customer ID]],Table2[#All],7,FALSE)</f>
        <v>0</v>
      </c>
      <c r="I1827" t="str">
        <f>VLOOKUP(Table2[[#This Row],[Customer ID]],Table2[#All],8,FALSE)</f>
        <v>No</v>
      </c>
      <c r="J1827" t="str">
        <f>VLOOKUP(Table2[[#This Row],[Customer ID]],Table2[#All],9,FALSE)</f>
        <v>Overweight</v>
      </c>
      <c r="K1827" t="str">
        <f>VLOOKUP(Table2[[#This Row],[Customer ID]],Table2[#All],10,FALSE)</f>
        <v>Normal</v>
      </c>
    </row>
    <row r="1828" spans="1:11" ht="15.6" x14ac:dyDescent="0.3">
      <c r="A1828" s="1" t="s">
        <v>543</v>
      </c>
      <c r="B1828" t="str">
        <f>VLOOKUP('Customer Names'!A1828,'Customer Names'!$A$1:$E$2336,4,FALSE)</f>
        <v>Ms.  Allison A</v>
      </c>
      <c r="C1828">
        <f>VLOOKUP(Table2[[#This Row],[Customer ID]],Table2[#All],2,FALSE)</f>
        <v>29.59</v>
      </c>
      <c r="D1828">
        <f>VLOOKUP(Table2[[#This Row],[Customer ID]],Table2[#All],3,FALSE)</f>
        <v>4.0599999999999996</v>
      </c>
      <c r="E1828" t="str">
        <f>VLOOKUP(Table2[[#This Row],[Customer ID]],Table2[#All],4,FALSE)</f>
        <v>No</v>
      </c>
      <c r="F1828" t="str">
        <f>VLOOKUP(Table2[[#This Row],[Customer ID]],Table2[#All],5,FALSE)</f>
        <v>No</v>
      </c>
      <c r="G1828" t="str">
        <f>VLOOKUP(Table2[[#This Row],[Customer ID]],Table2[#All],6,FALSE)</f>
        <v>No</v>
      </c>
      <c r="H1828">
        <f>VLOOKUP(Table2[[#This Row],[Customer ID]],Table2[#All],7,FALSE)</f>
        <v>0</v>
      </c>
      <c r="I1828" t="str">
        <f>VLOOKUP(Table2[[#This Row],[Customer ID]],Table2[#All],8,FALSE)</f>
        <v>No</v>
      </c>
      <c r="J1828" t="str">
        <f>VLOOKUP(Table2[[#This Row],[Customer ID]],Table2[#All],9,FALSE)</f>
        <v>Overweight</v>
      </c>
      <c r="K1828" t="str">
        <f>VLOOKUP(Table2[[#This Row],[Customer ID]],Table2[#All],10,FALSE)</f>
        <v>Normal</v>
      </c>
    </row>
    <row r="1829" spans="1:11" ht="15.6" x14ac:dyDescent="0.3">
      <c r="A1829" s="1" t="s">
        <v>542</v>
      </c>
      <c r="B1829" t="str">
        <f>VLOOKUP('Customer Names'!A1829,'Customer Names'!$A$1:$E$2336,4,FALSE)</f>
        <v>Ms.  Julie</v>
      </c>
      <c r="C1829">
        <f>VLOOKUP(Table2[[#This Row],[Customer ID]],Table2[#All],2,FALSE)</f>
        <v>31.35</v>
      </c>
      <c r="D1829">
        <f>VLOOKUP(Table2[[#This Row],[Customer ID]],Table2[#All],3,FALSE)</f>
        <v>4.2</v>
      </c>
      <c r="E1829" t="str">
        <f>VLOOKUP(Table2[[#This Row],[Customer ID]],Table2[#All],4,FALSE)</f>
        <v>No</v>
      </c>
      <c r="F1829" t="str">
        <f>VLOOKUP(Table2[[#This Row],[Customer ID]],Table2[#All],5,FALSE)</f>
        <v>yes</v>
      </c>
      <c r="G1829" t="str">
        <f>VLOOKUP(Table2[[#This Row],[Customer ID]],Table2[#All],6,FALSE)</f>
        <v>No</v>
      </c>
      <c r="H1829">
        <f>VLOOKUP(Table2[[#This Row],[Customer ID]],Table2[#All],7,FALSE)</f>
        <v>1</v>
      </c>
      <c r="I1829" t="str">
        <f>VLOOKUP(Table2[[#This Row],[Customer ID]],Table2[#All],8,FALSE)</f>
        <v>No</v>
      </c>
      <c r="J1829" t="str">
        <f>VLOOKUP(Table2[[#This Row],[Customer ID]],Table2[#All],9,FALSE)</f>
        <v>Obesity</v>
      </c>
      <c r="K1829" t="str">
        <f>VLOOKUP(Table2[[#This Row],[Customer ID]],Table2[#All],10,FALSE)</f>
        <v>Normal</v>
      </c>
    </row>
    <row r="1830" spans="1:11" ht="15.6" x14ac:dyDescent="0.3">
      <c r="A1830" s="1" t="s">
        <v>541</v>
      </c>
      <c r="B1830" t="str">
        <f>VLOOKUP('Customer Names'!A1830,'Customer Names'!$A$1:$E$2336,4,FALSE)</f>
        <v>Ms.  Katherine</v>
      </c>
      <c r="C1830">
        <f>VLOOKUP(Table2[[#This Row],[Customer ID]],Table2[#All],2,FALSE)</f>
        <v>20.52</v>
      </c>
      <c r="D1830">
        <f>VLOOKUP(Table2[[#This Row],[Customer ID]],Table2[#All],3,FALSE)</f>
        <v>4.83</v>
      </c>
      <c r="E1830" t="str">
        <f>VLOOKUP(Table2[[#This Row],[Customer ID]],Table2[#All],4,FALSE)</f>
        <v>No</v>
      </c>
      <c r="F1830" t="str">
        <f>VLOOKUP(Table2[[#This Row],[Customer ID]],Table2[#All],5,FALSE)</f>
        <v>No</v>
      </c>
      <c r="G1830" t="str">
        <f>VLOOKUP(Table2[[#This Row],[Customer ID]],Table2[#All],6,FALSE)</f>
        <v>No</v>
      </c>
      <c r="H1830">
        <f>VLOOKUP(Table2[[#This Row],[Customer ID]],Table2[#All],7,FALSE)</f>
        <v>0</v>
      </c>
      <c r="I1830" t="str">
        <f>VLOOKUP(Table2[[#This Row],[Customer ID]],Table2[#All],8,FALSE)</f>
        <v>No</v>
      </c>
      <c r="J1830" t="str">
        <f>VLOOKUP(Table2[[#This Row],[Customer ID]],Table2[#All],9,FALSE)</f>
        <v>Normalweight</v>
      </c>
      <c r="K1830" t="str">
        <f>VLOOKUP(Table2[[#This Row],[Customer ID]],Table2[#All],10,FALSE)</f>
        <v>Normal</v>
      </c>
    </row>
    <row r="1831" spans="1:11" ht="15.6" x14ac:dyDescent="0.3">
      <c r="A1831" s="1" t="s">
        <v>540</v>
      </c>
      <c r="B1831" t="str">
        <f>VLOOKUP('Customer Names'!A1831,'Customer Names'!$A$1:$E$2336,4,FALSE)</f>
        <v>Mr.  Caleb</v>
      </c>
      <c r="C1831">
        <f>VLOOKUP(Table2[[#This Row],[Customer ID]],Table2[#All],2,FALSE)</f>
        <v>42.9</v>
      </c>
      <c r="D1831">
        <f>VLOOKUP(Table2[[#This Row],[Customer ID]],Table2[#All],3,FALSE)</f>
        <v>4.87</v>
      </c>
      <c r="E1831" t="str">
        <f>VLOOKUP(Table2[[#This Row],[Customer ID]],Table2[#All],4,FALSE)</f>
        <v>Yes</v>
      </c>
      <c r="F1831" t="str">
        <f>VLOOKUP(Table2[[#This Row],[Customer ID]],Table2[#All],5,FALSE)</f>
        <v>No</v>
      </c>
      <c r="G1831" t="str">
        <f>VLOOKUP(Table2[[#This Row],[Customer ID]],Table2[#All],6,FALSE)</f>
        <v>No</v>
      </c>
      <c r="H1831">
        <f>VLOOKUP(Table2[[#This Row],[Customer ID]],Table2[#All],7,FALSE)</f>
        <v>1</v>
      </c>
      <c r="I1831" t="str">
        <f>VLOOKUP(Table2[[#This Row],[Customer ID]],Table2[#All],8,FALSE)</f>
        <v>No</v>
      </c>
      <c r="J1831" t="str">
        <f>VLOOKUP(Table2[[#This Row],[Customer ID]],Table2[#All],9,FALSE)</f>
        <v>Obesity</v>
      </c>
      <c r="K1831" t="str">
        <f>VLOOKUP(Table2[[#This Row],[Customer ID]],Table2[#All],10,FALSE)</f>
        <v>Normal</v>
      </c>
    </row>
    <row r="1832" spans="1:11" ht="15.6" x14ac:dyDescent="0.3">
      <c r="A1832" s="1" t="s">
        <v>539</v>
      </c>
      <c r="B1832" t="str">
        <f>VLOOKUP('Customer Names'!A1832,'Customer Names'!$A$1:$E$2336,4,FALSE)</f>
        <v>Ms.  Jaime</v>
      </c>
      <c r="C1832">
        <f>VLOOKUP(Table2[[#This Row],[Customer ID]],Table2[#All],2,FALSE)</f>
        <v>24.6</v>
      </c>
      <c r="D1832">
        <f>VLOOKUP(Table2[[#This Row],[Customer ID]],Table2[#All],3,FALSE)</f>
        <v>5.86</v>
      </c>
      <c r="E1832" t="str">
        <f>VLOOKUP(Table2[[#This Row],[Customer ID]],Table2[#All],4,FALSE)</f>
        <v>No</v>
      </c>
      <c r="F1832" t="str">
        <f>VLOOKUP(Table2[[#This Row],[Customer ID]],Table2[#All],5,FALSE)</f>
        <v>No</v>
      </c>
      <c r="G1832" t="str">
        <f>VLOOKUP(Table2[[#This Row],[Customer ID]],Table2[#All],6,FALSE)</f>
        <v>Yes</v>
      </c>
      <c r="H1832">
        <f>VLOOKUP(Table2[[#This Row],[Customer ID]],Table2[#All],7,FALSE)</f>
        <v>1</v>
      </c>
      <c r="I1832" t="str">
        <f>VLOOKUP(Table2[[#This Row],[Customer ID]],Table2[#All],8,FALSE)</f>
        <v>No</v>
      </c>
      <c r="J1832" t="str">
        <f>VLOOKUP(Table2[[#This Row],[Customer ID]],Table2[#All],9,FALSE)</f>
        <v>Normalweight</v>
      </c>
      <c r="K1832" t="str">
        <f>VLOOKUP(Table2[[#This Row],[Customer ID]],Table2[#All],10,FALSE)</f>
        <v>Prediabetes</v>
      </c>
    </row>
    <row r="1833" spans="1:11" ht="15.6" x14ac:dyDescent="0.3">
      <c r="A1833" s="1" t="s">
        <v>538</v>
      </c>
      <c r="B1833" t="str">
        <f>VLOOKUP('Customer Names'!A1833,'Customer Names'!$A$1:$E$2336,4,FALSE)</f>
        <v>Ms.  Hannah</v>
      </c>
      <c r="C1833">
        <f>VLOOKUP(Table2[[#This Row],[Customer ID]],Table2[#All],2,FALSE)</f>
        <v>28.405000000000001</v>
      </c>
      <c r="D1833">
        <f>VLOOKUP(Table2[[#This Row],[Customer ID]],Table2[#All],3,FALSE)</f>
        <v>4.12</v>
      </c>
      <c r="E1833" t="str">
        <f>VLOOKUP(Table2[[#This Row],[Customer ID]],Table2[#All],4,FALSE)</f>
        <v>No</v>
      </c>
      <c r="F1833" t="str">
        <f>VLOOKUP(Table2[[#This Row],[Customer ID]],Table2[#All],5,FALSE)</f>
        <v>No</v>
      </c>
      <c r="G1833" t="str">
        <f>VLOOKUP(Table2[[#This Row],[Customer ID]],Table2[#All],6,FALSE)</f>
        <v>No</v>
      </c>
      <c r="H1833">
        <f>VLOOKUP(Table2[[#This Row],[Customer ID]],Table2[#All],7,FALSE)</f>
        <v>1</v>
      </c>
      <c r="I1833" t="str">
        <f>VLOOKUP(Table2[[#This Row],[Customer ID]],Table2[#All],8,FALSE)</f>
        <v>No</v>
      </c>
      <c r="J1833" t="str">
        <f>VLOOKUP(Table2[[#This Row],[Customer ID]],Table2[#All],9,FALSE)</f>
        <v>Overweight</v>
      </c>
      <c r="K1833" t="str">
        <f>VLOOKUP(Table2[[#This Row],[Customer ID]],Table2[#All],10,FALSE)</f>
        <v>Normal</v>
      </c>
    </row>
    <row r="1834" spans="1:11" ht="15.6" x14ac:dyDescent="0.3">
      <c r="A1834" s="1" t="s">
        <v>537</v>
      </c>
      <c r="B1834" t="str">
        <f>VLOOKUP('Customer Names'!A1834,'Customer Names'!$A$1:$E$2336,4,FALSE)</f>
        <v>Mr.  Zachariah</v>
      </c>
      <c r="C1834">
        <f>VLOOKUP(Table2[[#This Row],[Customer ID]],Table2[#All],2,FALSE)</f>
        <v>34.674999999999997</v>
      </c>
      <c r="D1834">
        <f>VLOOKUP(Table2[[#This Row],[Customer ID]],Table2[#All],3,FALSE)</f>
        <v>5.71</v>
      </c>
      <c r="E1834" t="str">
        <f>VLOOKUP(Table2[[#This Row],[Customer ID]],Table2[#All],4,FALSE)</f>
        <v>Yes</v>
      </c>
      <c r="F1834" t="str">
        <f>VLOOKUP(Table2[[#This Row],[Customer ID]],Table2[#All],5,FALSE)</f>
        <v>No</v>
      </c>
      <c r="G1834" t="str">
        <f>VLOOKUP(Table2[[#This Row],[Customer ID]],Table2[#All],6,FALSE)</f>
        <v>No</v>
      </c>
      <c r="H1834">
        <f>VLOOKUP(Table2[[#This Row],[Customer ID]],Table2[#All],7,FALSE)</f>
        <v>1</v>
      </c>
      <c r="I1834" t="str">
        <f>VLOOKUP(Table2[[#This Row],[Customer ID]],Table2[#All],8,FALSE)</f>
        <v>No</v>
      </c>
      <c r="J1834" t="str">
        <f>VLOOKUP(Table2[[#This Row],[Customer ID]],Table2[#All],9,FALSE)</f>
        <v>Obesity</v>
      </c>
      <c r="K1834" t="str">
        <f>VLOOKUP(Table2[[#This Row],[Customer ID]],Table2[#All],10,FALSE)</f>
        <v>Prediabetes</v>
      </c>
    </row>
    <row r="1835" spans="1:11" ht="15.6" x14ac:dyDescent="0.3">
      <c r="A1835" s="1" t="s">
        <v>536</v>
      </c>
      <c r="B1835" t="str">
        <f>VLOOKUP('Customer Names'!A1835,'Customer Names'!$A$1:$E$2336,4,FALSE)</f>
        <v>Ms.  Patricia A</v>
      </c>
      <c r="C1835">
        <f>VLOOKUP(Table2[[#This Row],[Customer ID]],Table2[#All],2,FALSE)</f>
        <v>18.850000000000001</v>
      </c>
      <c r="D1835">
        <f>VLOOKUP(Table2[[#This Row],[Customer ID]],Table2[#All],3,FALSE)</f>
        <v>6.03</v>
      </c>
      <c r="E1835" t="str">
        <f>VLOOKUP(Table2[[#This Row],[Customer ID]],Table2[#All],4,FALSE)</f>
        <v>No</v>
      </c>
      <c r="F1835" t="str">
        <f>VLOOKUP(Table2[[#This Row],[Customer ID]],Table2[#All],5,FALSE)</f>
        <v>No</v>
      </c>
      <c r="G1835" t="str">
        <f>VLOOKUP(Table2[[#This Row],[Customer ID]],Table2[#All],6,FALSE)</f>
        <v>No</v>
      </c>
      <c r="H1835">
        <f>VLOOKUP(Table2[[#This Row],[Customer ID]],Table2[#All],7,FALSE)</f>
        <v>1</v>
      </c>
      <c r="I1835" t="str">
        <f>VLOOKUP(Table2[[#This Row],[Customer ID]],Table2[#All],8,FALSE)</f>
        <v>No</v>
      </c>
      <c r="J1835" t="str">
        <f>VLOOKUP(Table2[[#This Row],[Customer ID]],Table2[#All],9,FALSE)</f>
        <v>Normalweight</v>
      </c>
      <c r="K1835" t="str">
        <f>VLOOKUP(Table2[[#This Row],[Customer ID]],Table2[#All],10,FALSE)</f>
        <v>Prediabetes</v>
      </c>
    </row>
    <row r="1836" spans="1:11" ht="15.6" x14ac:dyDescent="0.3">
      <c r="A1836" s="1" t="s">
        <v>534</v>
      </c>
      <c r="B1836" t="str">
        <f>VLOOKUP('Customer Names'!A1836,'Customer Names'!$A$1:$E$2336,4,FALSE)</f>
        <v>Mrs.  Elizabeth A.</v>
      </c>
      <c r="C1836">
        <f>VLOOKUP(Table2[[#This Row],[Customer ID]],Table2[#All],2,FALSE)</f>
        <v>34.130000000000003</v>
      </c>
      <c r="D1836">
        <f>VLOOKUP(Table2[[#This Row],[Customer ID]],Table2[#All],3,FALSE)</f>
        <v>5.65</v>
      </c>
      <c r="E1836" t="str">
        <f>VLOOKUP(Table2[[#This Row],[Customer ID]],Table2[#All],4,FALSE)</f>
        <v>No</v>
      </c>
      <c r="F1836" t="str">
        <f>VLOOKUP(Table2[[#This Row],[Customer ID]],Table2[#All],5,FALSE)</f>
        <v>No</v>
      </c>
      <c r="G1836" t="str">
        <f>VLOOKUP(Table2[[#This Row],[Customer ID]],Table2[#All],6,FALSE)</f>
        <v>Yes</v>
      </c>
      <c r="H1836">
        <f>VLOOKUP(Table2[[#This Row],[Customer ID]],Table2[#All],7,FALSE)</f>
        <v>1</v>
      </c>
      <c r="I1836" t="str">
        <f>VLOOKUP(Table2[[#This Row],[Customer ID]],Table2[#All],8,FALSE)</f>
        <v>No</v>
      </c>
      <c r="J1836" t="str">
        <f>VLOOKUP(Table2[[#This Row],[Customer ID]],Table2[#All],9,FALSE)</f>
        <v>Obesity</v>
      </c>
      <c r="K1836" t="str">
        <f>VLOOKUP(Table2[[#This Row],[Customer ID]],Table2[#All],10,FALSE)</f>
        <v>Normal</v>
      </c>
    </row>
    <row r="1837" spans="1:11" ht="15.6" x14ac:dyDescent="0.3">
      <c r="A1837" s="1" t="s">
        <v>533</v>
      </c>
      <c r="B1837" t="str">
        <f>VLOOKUP('Customer Names'!A1837,'Customer Names'!$A$1:$E$2336,4,FALSE)</f>
        <v>Mr.  Benjamin</v>
      </c>
      <c r="C1837">
        <f>VLOOKUP(Table2[[#This Row],[Customer ID]],Table2[#All],2,FALSE)</f>
        <v>17.34</v>
      </c>
      <c r="D1837">
        <f>VLOOKUP(Table2[[#This Row],[Customer ID]],Table2[#All],3,FALSE)</f>
        <v>5.05</v>
      </c>
      <c r="E1837" t="str">
        <f>VLOOKUP(Table2[[#This Row],[Customer ID]],Table2[#All],4,FALSE)</f>
        <v>No</v>
      </c>
      <c r="F1837" t="str">
        <f>VLOOKUP(Table2[[#This Row],[Customer ID]],Table2[#All],5,FALSE)</f>
        <v>No</v>
      </c>
      <c r="G1837" t="str">
        <f>VLOOKUP(Table2[[#This Row],[Customer ID]],Table2[#All],6,FALSE)</f>
        <v>No</v>
      </c>
      <c r="H1837">
        <f>VLOOKUP(Table2[[#This Row],[Customer ID]],Table2[#All],7,FALSE)</f>
        <v>0</v>
      </c>
      <c r="I1837" t="str">
        <f>VLOOKUP(Table2[[#This Row],[Customer ID]],Table2[#All],8,FALSE)</f>
        <v>No</v>
      </c>
      <c r="J1837" t="str">
        <f>VLOOKUP(Table2[[#This Row],[Customer ID]],Table2[#All],9,FALSE)</f>
        <v>Underweight</v>
      </c>
      <c r="K1837" t="str">
        <f>VLOOKUP(Table2[[#This Row],[Customer ID]],Table2[#All],10,FALSE)</f>
        <v>Normal</v>
      </c>
    </row>
    <row r="1838" spans="1:11" ht="15.6" x14ac:dyDescent="0.3">
      <c r="A1838" s="1" t="s">
        <v>532</v>
      </c>
      <c r="B1838" t="str">
        <f>VLOOKUP('Customer Names'!A1838,'Customer Names'!$A$1:$E$2336,4,FALSE)</f>
        <v>Mr.  Breno</v>
      </c>
      <c r="C1838">
        <f>VLOOKUP(Table2[[#This Row],[Customer ID]],Table2[#All],2,FALSE)</f>
        <v>17.440000000000001</v>
      </c>
      <c r="D1838">
        <f>VLOOKUP(Table2[[#This Row],[Customer ID]],Table2[#All],3,FALSE)</f>
        <v>6.26</v>
      </c>
      <c r="E1838" t="str">
        <f>VLOOKUP(Table2[[#This Row],[Customer ID]],Table2[#All],4,FALSE)</f>
        <v>No</v>
      </c>
      <c r="F1838" t="str">
        <f>VLOOKUP(Table2[[#This Row],[Customer ID]],Table2[#All],5,FALSE)</f>
        <v>No</v>
      </c>
      <c r="G1838" t="str">
        <f>VLOOKUP(Table2[[#This Row],[Customer ID]],Table2[#All],6,FALSE)</f>
        <v>No</v>
      </c>
      <c r="H1838">
        <f>VLOOKUP(Table2[[#This Row],[Customer ID]],Table2[#All],7,FALSE)</f>
        <v>0</v>
      </c>
      <c r="I1838" t="str">
        <f>VLOOKUP(Table2[[#This Row],[Customer ID]],Table2[#All],8,FALSE)</f>
        <v>No</v>
      </c>
      <c r="J1838" t="str">
        <f>VLOOKUP(Table2[[#This Row],[Customer ID]],Table2[#All],9,FALSE)</f>
        <v>Underweight</v>
      </c>
      <c r="K1838" t="str">
        <f>VLOOKUP(Table2[[#This Row],[Customer ID]],Table2[#All],10,FALSE)</f>
        <v>Prediabetes</v>
      </c>
    </row>
    <row r="1839" spans="1:11" ht="15.6" x14ac:dyDescent="0.3">
      <c r="A1839" s="1" t="s">
        <v>531</v>
      </c>
      <c r="B1839" t="str">
        <f>VLOOKUP('Customer Names'!A1839,'Customer Names'!$A$1:$E$2336,4,FALSE)</f>
        <v>Mr.  Takaya</v>
      </c>
      <c r="C1839">
        <f>VLOOKUP(Table2[[#This Row],[Customer ID]],Table2[#All],2,FALSE)</f>
        <v>33.659999999999997</v>
      </c>
      <c r="D1839">
        <f>VLOOKUP(Table2[[#This Row],[Customer ID]],Table2[#All],3,FALSE)</f>
        <v>4.08</v>
      </c>
      <c r="E1839" t="str">
        <f>VLOOKUP(Table2[[#This Row],[Customer ID]],Table2[#All],4,FALSE)</f>
        <v>Yes</v>
      </c>
      <c r="F1839" t="str">
        <f>VLOOKUP(Table2[[#This Row],[Customer ID]],Table2[#All],5,FALSE)</f>
        <v>No</v>
      </c>
      <c r="G1839" t="str">
        <f>VLOOKUP(Table2[[#This Row],[Customer ID]],Table2[#All],6,FALSE)</f>
        <v>Yes</v>
      </c>
      <c r="H1839">
        <f>VLOOKUP(Table2[[#This Row],[Customer ID]],Table2[#All],7,FALSE)</f>
        <v>1</v>
      </c>
      <c r="I1839" t="str">
        <f>VLOOKUP(Table2[[#This Row],[Customer ID]],Table2[#All],8,FALSE)</f>
        <v>No</v>
      </c>
      <c r="J1839" t="str">
        <f>VLOOKUP(Table2[[#This Row],[Customer ID]],Table2[#All],9,FALSE)</f>
        <v>Obesity</v>
      </c>
      <c r="K1839" t="str">
        <f>VLOOKUP(Table2[[#This Row],[Customer ID]],Table2[#All],10,FALSE)</f>
        <v>Normal</v>
      </c>
    </row>
    <row r="1840" spans="1:11" ht="15.6" x14ac:dyDescent="0.3">
      <c r="A1840" s="1" t="s">
        <v>530</v>
      </c>
      <c r="B1840" t="str">
        <f>VLOOKUP('Customer Names'!A1840,'Customer Names'!$A$1:$E$2336,4,FALSE)</f>
        <v>Mr.  Thomas IV</v>
      </c>
      <c r="C1840">
        <f>VLOOKUP(Table2[[#This Row],[Customer ID]],Table2[#All],2,FALSE)</f>
        <v>21.375</v>
      </c>
      <c r="D1840">
        <f>VLOOKUP(Table2[[#This Row],[Customer ID]],Table2[#All],3,FALSE)</f>
        <v>6.19</v>
      </c>
      <c r="E1840" t="str">
        <f>VLOOKUP(Table2[[#This Row],[Customer ID]],Table2[#All],4,FALSE)</f>
        <v>Yes</v>
      </c>
      <c r="F1840" t="str">
        <f>VLOOKUP(Table2[[#This Row],[Customer ID]],Table2[#All],5,FALSE)</f>
        <v>No</v>
      </c>
      <c r="G1840" t="str">
        <f>VLOOKUP(Table2[[#This Row],[Customer ID]],Table2[#All],6,FALSE)</f>
        <v>No</v>
      </c>
      <c r="H1840">
        <f>VLOOKUP(Table2[[#This Row],[Customer ID]],Table2[#All],7,FALSE)</f>
        <v>1</v>
      </c>
      <c r="I1840" t="str">
        <f>VLOOKUP(Table2[[#This Row],[Customer ID]],Table2[#All],8,FALSE)</f>
        <v>No</v>
      </c>
      <c r="J1840" t="str">
        <f>VLOOKUP(Table2[[#This Row],[Customer ID]],Table2[#All],9,FALSE)</f>
        <v>Normalweight</v>
      </c>
      <c r="K1840" t="str">
        <f>VLOOKUP(Table2[[#This Row],[Customer ID]],Table2[#All],10,FALSE)</f>
        <v>Prediabetes</v>
      </c>
    </row>
    <row r="1841" spans="1:11" ht="15.6" x14ac:dyDescent="0.3">
      <c r="A1841" s="1" t="s">
        <v>529</v>
      </c>
      <c r="B1841" t="str">
        <f>VLOOKUP('Customer Names'!A1841,'Customer Names'!$A$1:$E$2336,4,FALSE)</f>
        <v>Mr.  Bradley E</v>
      </c>
      <c r="C1841">
        <f>VLOOKUP(Table2[[#This Row],[Customer ID]],Table2[#All],2,FALSE)</f>
        <v>27.14</v>
      </c>
      <c r="D1841">
        <f>VLOOKUP(Table2[[#This Row],[Customer ID]],Table2[#All],3,FALSE)</f>
        <v>6.01</v>
      </c>
      <c r="E1841" t="str">
        <f>VLOOKUP(Table2[[#This Row],[Customer ID]],Table2[#All],4,FALSE)</f>
        <v>No</v>
      </c>
      <c r="F1841" t="str">
        <f>VLOOKUP(Table2[[#This Row],[Customer ID]],Table2[#All],5,FALSE)</f>
        <v>No</v>
      </c>
      <c r="G1841" t="str">
        <f>VLOOKUP(Table2[[#This Row],[Customer ID]],Table2[#All],6,FALSE)</f>
        <v>No</v>
      </c>
      <c r="H1841">
        <f>VLOOKUP(Table2[[#This Row],[Customer ID]],Table2[#All],7,FALSE)</f>
        <v>1</v>
      </c>
      <c r="I1841" t="str">
        <f>VLOOKUP(Table2[[#This Row],[Customer ID]],Table2[#All],8,FALSE)</f>
        <v>No</v>
      </c>
      <c r="J1841" t="str">
        <f>VLOOKUP(Table2[[#This Row],[Customer ID]],Table2[#All],9,FALSE)</f>
        <v>Overweight</v>
      </c>
      <c r="K1841" t="str">
        <f>VLOOKUP(Table2[[#This Row],[Customer ID]],Table2[#All],10,FALSE)</f>
        <v>Prediabetes</v>
      </c>
    </row>
    <row r="1842" spans="1:11" ht="15.6" x14ac:dyDescent="0.3">
      <c r="A1842" s="1" t="s">
        <v>528</v>
      </c>
      <c r="B1842" t="str">
        <f>VLOOKUP('Customer Names'!A1842,'Customer Names'!$A$1:$E$2336,4,FALSE)</f>
        <v>Ms.  Megan</v>
      </c>
      <c r="C1842">
        <f>VLOOKUP(Table2[[#This Row],[Customer ID]],Table2[#All],2,FALSE)</f>
        <v>35.78</v>
      </c>
      <c r="D1842">
        <f>VLOOKUP(Table2[[#This Row],[Customer ID]],Table2[#All],3,FALSE)</f>
        <v>6.07</v>
      </c>
      <c r="E1842" t="str">
        <f>VLOOKUP(Table2[[#This Row],[Customer ID]],Table2[#All],4,FALSE)</f>
        <v>No</v>
      </c>
      <c r="F1842" t="str">
        <f>VLOOKUP(Table2[[#This Row],[Customer ID]],Table2[#All],5,FALSE)</f>
        <v>yes</v>
      </c>
      <c r="G1842" t="str">
        <f>VLOOKUP(Table2[[#This Row],[Customer ID]],Table2[#All],6,FALSE)</f>
        <v>No</v>
      </c>
      <c r="H1842">
        <f>VLOOKUP(Table2[[#This Row],[Customer ID]],Table2[#All],7,FALSE)</f>
        <v>1</v>
      </c>
      <c r="I1842" t="str">
        <f>VLOOKUP(Table2[[#This Row],[Customer ID]],Table2[#All],8,FALSE)</f>
        <v>No</v>
      </c>
      <c r="J1842" t="str">
        <f>VLOOKUP(Table2[[#This Row],[Customer ID]],Table2[#All],9,FALSE)</f>
        <v>Obesity</v>
      </c>
      <c r="K1842" t="str">
        <f>VLOOKUP(Table2[[#This Row],[Customer ID]],Table2[#All],10,FALSE)</f>
        <v>Prediabetes</v>
      </c>
    </row>
    <row r="1843" spans="1:11" ht="15.6" x14ac:dyDescent="0.3">
      <c r="A1843" s="1" t="s">
        <v>527</v>
      </c>
      <c r="B1843" t="str">
        <f>VLOOKUP('Customer Names'!A1843,'Customer Names'!$A$1:$E$2336,4,FALSE)</f>
        <v>Ms.  Ruby J</v>
      </c>
      <c r="C1843">
        <f>VLOOKUP(Table2[[#This Row],[Customer ID]],Table2[#All],2,FALSE)</f>
        <v>34.96</v>
      </c>
      <c r="D1843">
        <f>VLOOKUP(Table2[[#This Row],[Customer ID]],Table2[#All],3,FALSE)</f>
        <v>5.63</v>
      </c>
      <c r="E1843" t="str">
        <f>VLOOKUP(Table2[[#This Row],[Customer ID]],Table2[#All],4,FALSE)</f>
        <v>No</v>
      </c>
      <c r="F1843" t="str">
        <f>VLOOKUP(Table2[[#This Row],[Customer ID]],Table2[#All],5,FALSE)</f>
        <v>No</v>
      </c>
      <c r="G1843" t="str">
        <f>VLOOKUP(Table2[[#This Row],[Customer ID]],Table2[#All],6,FALSE)</f>
        <v>No</v>
      </c>
      <c r="H1843">
        <f>VLOOKUP(Table2[[#This Row],[Customer ID]],Table2[#All],7,FALSE)</f>
        <v>0</v>
      </c>
      <c r="I1843" t="str">
        <f>VLOOKUP(Table2[[#This Row],[Customer ID]],Table2[#All],8,FALSE)</f>
        <v>No</v>
      </c>
      <c r="J1843" t="str">
        <f>VLOOKUP(Table2[[#This Row],[Customer ID]],Table2[#All],9,FALSE)</f>
        <v>Obesity</v>
      </c>
      <c r="K1843" t="str">
        <f>VLOOKUP(Table2[[#This Row],[Customer ID]],Table2[#All],10,FALSE)</f>
        <v>Normal</v>
      </c>
    </row>
    <row r="1844" spans="1:11" ht="15.6" x14ac:dyDescent="0.3">
      <c r="A1844" s="1" t="s">
        <v>526</v>
      </c>
      <c r="B1844" t="str">
        <f>VLOOKUP('Customer Names'!A1844,'Customer Names'!$A$1:$E$2336,4,FALSE)</f>
        <v>Mr.  Bart</v>
      </c>
      <c r="C1844">
        <f>VLOOKUP(Table2[[#This Row],[Customer ID]],Table2[#All],2,FALSE)</f>
        <v>38.39</v>
      </c>
      <c r="D1844">
        <f>VLOOKUP(Table2[[#This Row],[Customer ID]],Table2[#All],3,FALSE)</f>
        <v>6.05</v>
      </c>
      <c r="E1844" t="str">
        <f>VLOOKUP(Table2[[#This Row],[Customer ID]],Table2[#All],4,FALSE)</f>
        <v>No</v>
      </c>
      <c r="F1844" t="str">
        <f>VLOOKUP(Table2[[#This Row],[Customer ID]],Table2[#All],5,FALSE)</f>
        <v>No</v>
      </c>
      <c r="G1844" t="str">
        <f>VLOOKUP(Table2[[#This Row],[Customer ID]],Table2[#All],6,FALSE)</f>
        <v>No</v>
      </c>
      <c r="H1844">
        <f>VLOOKUP(Table2[[#This Row],[Customer ID]],Table2[#All],7,FALSE)</f>
        <v>0</v>
      </c>
      <c r="I1844" t="str">
        <f>VLOOKUP(Table2[[#This Row],[Customer ID]],Table2[#All],8,FALSE)</f>
        <v>No</v>
      </c>
      <c r="J1844" t="str">
        <f>VLOOKUP(Table2[[#This Row],[Customer ID]],Table2[#All],9,FALSE)</f>
        <v>Obesity</v>
      </c>
      <c r="K1844" t="str">
        <f>VLOOKUP(Table2[[#This Row],[Customer ID]],Table2[#All],10,FALSE)</f>
        <v>Prediabetes</v>
      </c>
    </row>
    <row r="1845" spans="1:11" ht="15.6" x14ac:dyDescent="0.3">
      <c r="A1845" s="1" t="s">
        <v>525</v>
      </c>
      <c r="B1845" t="str">
        <f>VLOOKUP('Customer Names'!A1845,'Customer Names'!$A$1:$E$2336,4,FALSE)</f>
        <v>Mr.  Robert A.</v>
      </c>
      <c r="C1845">
        <f>VLOOKUP(Table2[[#This Row],[Customer ID]],Table2[#All],2,FALSE)</f>
        <v>33.82</v>
      </c>
      <c r="D1845">
        <f>VLOOKUP(Table2[[#This Row],[Customer ID]],Table2[#All],3,FALSE)</f>
        <v>4.6500000000000004</v>
      </c>
      <c r="E1845" t="str">
        <f>VLOOKUP(Table2[[#This Row],[Customer ID]],Table2[#All],4,FALSE)</f>
        <v>No</v>
      </c>
      <c r="F1845" t="str">
        <f>VLOOKUP(Table2[[#This Row],[Customer ID]],Table2[#All],5,FALSE)</f>
        <v>No</v>
      </c>
      <c r="G1845" t="str">
        <f>VLOOKUP(Table2[[#This Row],[Customer ID]],Table2[#All],6,FALSE)</f>
        <v>No</v>
      </c>
      <c r="H1845">
        <f>VLOOKUP(Table2[[#This Row],[Customer ID]],Table2[#All],7,FALSE)</f>
        <v>0</v>
      </c>
      <c r="I1845" t="str">
        <f>VLOOKUP(Table2[[#This Row],[Customer ID]],Table2[#All],8,FALSE)</f>
        <v>No</v>
      </c>
      <c r="J1845" t="str">
        <f>VLOOKUP(Table2[[#This Row],[Customer ID]],Table2[#All],9,FALSE)</f>
        <v>Obesity</v>
      </c>
      <c r="K1845" t="str">
        <f>VLOOKUP(Table2[[#This Row],[Customer ID]],Table2[#All],10,FALSE)</f>
        <v>Normal</v>
      </c>
    </row>
    <row r="1846" spans="1:11" ht="15.6" x14ac:dyDescent="0.3">
      <c r="A1846" s="1" t="s">
        <v>524</v>
      </c>
      <c r="B1846" t="str">
        <f>VLOOKUP('Customer Names'!A1846,'Customer Names'!$A$1:$E$2336,4,FALSE)</f>
        <v>Mr.  Adam</v>
      </c>
      <c r="C1846">
        <f>VLOOKUP(Table2[[#This Row],[Customer ID]],Table2[#All],2,FALSE)</f>
        <v>27.835000000000001</v>
      </c>
      <c r="D1846">
        <f>VLOOKUP(Table2[[#This Row],[Customer ID]],Table2[#All],3,FALSE)</f>
        <v>5.37</v>
      </c>
      <c r="E1846" t="str">
        <f>VLOOKUP(Table2[[#This Row],[Customer ID]],Table2[#All],4,FALSE)</f>
        <v>No</v>
      </c>
      <c r="F1846" t="str">
        <f>VLOOKUP(Table2[[#This Row],[Customer ID]],Table2[#All],5,FALSE)</f>
        <v>No</v>
      </c>
      <c r="G1846" t="str">
        <f>VLOOKUP(Table2[[#This Row],[Customer ID]],Table2[#All],6,FALSE)</f>
        <v>No</v>
      </c>
      <c r="H1846">
        <f>VLOOKUP(Table2[[#This Row],[Customer ID]],Table2[#All],7,FALSE)</f>
        <v>0</v>
      </c>
      <c r="I1846" t="str">
        <f>VLOOKUP(Table2[[#This Row],[Customer ID]],Table2[#All],8,FALSE)</f>
        <v>No</v>
      </c>
      <c r="J1846" t="str">
        <f>VLOOKUP(Table2[[#This Row],[Customer ID]],Table2[#All],9,FALSE)</f>
        <v>Overweight</v>
      </c>
      <c r="K1846" t="str">
        <f>VLOOKUP(Table2[[#This Row],[Customer ID]],Table2[#All],10,FALSE)</f>
        <v>Normal</v>
      </c>
    </row>
    <row r="1847" spans="1:11" ht="15.6" x14ac:dyDescent="0.3">
      <c r="A1847" s="1" t="s">
        <v>523</v>
      </c>
      <c r="B1847" t="str">
        <f>VLOOKUP('Customer Names'!A1847,'Customer Names'!$A$1:$E$2336,4,FALSE)</f>
        <v>Mr.  Yemane Adhane</v>
      </c>
      <c r="C1847">
        <f>VLOOKUP(Table2[[#This Row],[Customer ID]],Table2[#All],2,FALSE)</f>
        <v>33</v>
      </c>
      <c r="D1847">
        <f>VLOOKUP(Table2[[#This Row],[Customer ID]],Table2[#All],3,FALSE)</f>
        <v>5.39</v>
      </c>
      <c r="E1847" t="str">
        <f>VLOOKUP(Table2[[#This Row],[Customer ID]],Table2[#All],4,FALSE)</f>
        <v>No</v>
      </c>
      <c r="F1847" t="str">
        <f>VLOOKUP(Table2[[#This Row],[Customer ID]],Table2[#All],5,FALSE)</f>
        <v>No</v>
      </c>
      <c r="G1847" t="str">
        <f>VLOOKUP(Table2[[#This Row],[Customer ID]],Table2[#All],6,FALSE)</f>
        <v>No</v>
      </c>
      <c r="H1847">
        <f>VLOOKUP(Table2[[#This Row],[Customer ID]],Table2[#All],7,FALSE)</f>
        <v>0</v>
      </c>
      <c r="I1847" t="str">
        <f>VLOOKUP(Table2[[#This Row],[Customer ID]],Table2[#All],8,FALSE)</f>
        <v>No</v>
      </c>
      <c r="J1847" t="str">
        <f>VLOOKUP(Table2[[#This Row],[Customer ID]],Table2[#All],9,FALSE)</f>
        <v>Obesity</v>
      </c>
      <c r="K1847" t="str">
        <f>VLOOKUP(Table2[[#This Row],[Customer ID]],Table2[#All],10,FALSE)</f>
        <v>Normal</v>
      </c>
    </row>
    <row r="1848" spans="1:11" ht="15.6" x14ac:dyDescent="0.3">
      <c r="A1848" s="1" t="s">
        <v>522</v>
      </c>
      <c r="B1848" t="str">
        <f>VLOOKUP('Customer Names'!A1848,'Customer Names'!$A$1:$E$2336,4,FALSE)</f>
        <v>Mr.  Jesse A.</v>
      </c>
      <c r="C1848">
        <f>VLOOKUP(Table2[[#This Row],[Customer ID]],Table2[#All],2,FALSE)</f>
        <v>26.885000000000002</v>
      </c>
      <c r="D1848">
        <f>VLOOKUP(Table2[[#This Row],[Customer ID]],Table2[#All],3,FALSE)</f>
        <v>5.86</v>
      </c>
      <c r="E1848" t="str">
        <f>VLOOKUP(Table2[[#This Row],[Customer ID]],Table2[#All],4,FALSE)</f>
        <v>No</v>
      </c>
      <c r="F1848" t="str">
        <f>VLOOKUP(Table2[[#This Row],[Customer ID]],Table2[#All],5,FALSE)</f>
        <v>No</v>
      </c>
      <c r="G1848" t="str">
        <f>VLOOKUP(Table2[[#This Row],[Customer ID]],Table2[#All],6,FALSE)</f>
        <v>No</v>
      </c>
      <c r="H1848">
        <f>VLOOKUP(Table2[[#This Row],[Customer ID]],Table2[#All],7,FALSE)</f>
        <v>0</v>
      </c>
      <c r="I1848" t="str">
        <f>VLOOKUP(Table2[[#This Row],[Customer ID]],Table2[#All],8,FALSE)</f>
        <v>No</v>
      </c>
      <c r="J1848" t="str">
        <f>VLOOKUP(Table2[[#This Row],[Customer ID]],Table2[#All],9,FALSE)</f>
        <v>Overweight</v>
      </c>
      <c r="K1848" t="str">
        <f>VLOOKUP(Table2[[#This Row],[Customer ID]],Table2[#All],10,FALSE)</f>
        <v>Prediabetes</v>
      </c>
    </row>
    <row r="1849" spans="1:11" ht="15.6" x14ac:dyDescent="0.3">
      <c r="A1849" s="1" t="s">
        <v>521</v>
      </c>
      <c r="B1849" t="str">
        <f>VLOOKUP('Customer Names'!A1849,'Customer Names'!$A$1:$E$2336,4,FALSE)</f>
        <v>Mr.  Bird</v>
      </c>
      <c r="C1849">
        <f>VLOOKUP(Table2[[#This Row],[Customer ID]],Table2[#All],2,FALSE)</f>
        <v>29.26</v>
      </c>
      <c r="D1849">
        <f>VLOOKUP(Table2[[#This Row],[Customer ID]],Table2[#All],3,FALSE)</f>
        <v>4.4400000000000004</v>
      </c>
      <c r="E1849" t="str">
        <f>VLOOKUP(Table2[[#This Row],[Customer ID]],Table2[#All],4,FALSE)</f>
        <v>No</v>
      </c>
      <c r="F1849" t="str">
        <f>VLOOKUP(Table2[[#This Row],[Customer ID]],Table2[#All],5,FALSE)</f>
        <v>No</v>
      </c>
      <c r="G1849" t="str">
        <f>VLOOKUP(Table2[[#This Row],[Customer ID]],Table2[#All],6,FALSE)</f>
        <v>No</v>
      </c>
      <c r="H1849">
        <f>VLOOKUP(Table2[[#This Row],[Customer ID]],Table2[#All],7,FALSE)</f>
        <v>0</v>
      </c>
      <c r="I1849" t="str">
        <f>VLOOKUP(Table2[[#This Row],[Customer ID]],Table2[#All],8,FALSE)</f>
        <v>No</v>
      </c>
      <c r="J1849" t="str">
        <f>VLOOKUP(Table2[[#This Row],[Customer ID]],Table2[#All],9,FALSE)</f>
        <v>Overweight</v>
      </c>
      <c r="K1849" t="str">
        <f>VLOOKUP(Table2[[#This Row],[Customer ID]],Table2[#All],10,FALSE)</f>
        <v>Normal</v>
      </c>
    </row>
    <row r="1850" spans="1:11" ht="15.6" x14ac:dyDescent="0.3">
      <c r="A1850" s="1" t="s">
        <v>520</v>
      </c>
      <c r="B1850" t="str">
        <f>VLOOKUP('Customer Names'!A1850,'Customer Names'!$A$1:$E$2336,4,FALSE)</f>
        <v>Mr.  Patrick M.</v>
      </c>
      <c r="C1850">
        <f>VLOOKUP(Table2[[#This Row],[Customer ID]],Table2[#All],2,FALSE)</f>
        <v>26.98</v>
      </c>
      <c r="D1850">
        <f>VLOOKUP(Table2[[#This Row],[Customer ID]],Table2[#All],3,FALSE)</f>
        <v>4.41</v>
      </c>
      <c r="E1850" t="str">
        <f>VLOOKUP(Table2[[#This Row],[Customer ID]],Table2[#All],4,FALSE)</f>
        <v>No</v>
      </c>
      <c r="F1850" t="str">
        <f>VLOOKUP(Table2[[#This Row],[Customer ID]],Table2[#All],5,FALSE)</f>
        <v>No</v>
      </c>
      <c r="G1850" t="str">
        <f>VLOOKUP(Table2[[#This Row],[Customer ID]],Table2[#All],6,FALSE)</f>
        <v>No</v>
      </c>
      <c r="H1850">
        <f>VLOOKUP(Table2[[#This Row],[Customer ID]],Table2[#All],7,FALSE)</f>
        <v>0</v>
      </c>
      <c r="I1850" t="str">
        <f>VLOOKUP(Table2[[#This Row],[Customer ID]],Table2[#All],8,FALSE)</f>
        <v>No</v>
      </c>
      <c r="J1850" t="str">
        <f>VLOOKUP(Table2[[#This Row],[Customer ID]],Table2[#All],9,FALSE)</f>
        <v>Overweight</v>
      </c>
      <c r="K1850" t="str">
        <f>VLOOKUP(Table2[[#This Row],[Customer ID]],Table2[#All],10,FALSE)</f>
        <v>Normal</v>
      </c>
    </row>
    <row r="1851" spans="1:11" ht="15.6" x14ac:dyDescent="0.3">
      <c r="A1851" s="1" t="s">
        <v>519</v>
      </c>
      <c r="B1851" t="str">
        <f>VLOOKUP('Customer Names'!A1851,'Customer Names'!$A$1:$E$2336,4,FALSE)</f>
        <v>Mr.  Kyle</v>
      </c>
      <c r="C1851">
        <f>VLOOKUP(Table2[[#This Row],[Customer ID]],Table2[#All],2,FALSE)</f>
        <v>32.11</v>
      </c>
      <c r="D1851">
        <f>VLOOKUP(Table2[[#This Row],[Customer ID]],Table2[#All],3,FALSE)</f>
        <v>5.19</v>
      </c>
      <c r="E1851" t="str">
        <f>VLOOKUP(Table2[[#This Row],[Customer ID]],Table2[#All],4,FALSE)</f>
        <v>No</v>
      </c>
      <c r="F1851" t="str">
        <f>VLOOKUP(Table2[[#This Row],[Customer ID]],Table2[#All],5,FALSE)</f>
        <v>No</v>
      </c>
      <c r="G1851" t="str">
        <f>VLOOKUP(Table2[[#This Row],[Customer ID]],Table2[#All],6,FALSE)</f>
        <v>Yes</v>
      </c>
      <c r="H1851">
        <f>VLOOKUP(Table2[[#This Row],[Customer ID]],Table2[#All],7,FALSE)</f>
        <v>1</v>
      </c>
      <c r="I1851" t="str">
        <f>VLOOKUP(Table2[[#This Row],[Customer ID]],Table2[#All],8,FALSE)</f>
        <v>No</v>
      </c>
      <c r="J1851" t="str">
        <f>VLOOKUP(Table2[[#This Row],[Customer ID]],Table2[#All],9,FALSE)</f>
        <v>Obesity</v>
      </c>
      <c r="K1851" t="str">
        <f>VLOOKUP(Table2[[#This Row],[Customer ID]],Table2[#All],10,FALSE)</f>
        <v>Normal</v>
      </c>
    </row>
    <row r="1852" spans="1:11" ht="15.6" x14ac:dyDescent="0.3">
      <c r="A1852" s="1" t="s">
        <v>518</v>
      </c>
      <c r="B1852" t="str">
        <f>VLOOKUP('Customer Names'!A1852,'Customer Names'!$A$1:$E$2336,4,FALSE)</f>
        <v>Mr.  Ryan</v>
      </c>
      <c r="C1852">
        <f>VLOOKUP(Table2[[#This Row],[Customer ID]],Table2[#All],2,FALSE)</f>
        <v>31.73</v>
      </c>
      <c r="D1852">
        <f>VLOOKUP(Table2[[#This Row],[Customer ID]],Table2[#All],3,FALSE)</f>
        <v>5.16</v>
      </c>
      <c r="E1852" t="str">
        <f>VLOOKUP(Table2[[#This Row],[Customer ID]],Table2[#All],4,FALSE)</f>
        <v>No</v>
      </c>
      <c r="F1852" t="str">
        <f>VLOOKUP(Table2[[#This Row],[Customer ID]],Table2[#All],5,FALSE)</f>
        <v>No</v>
      </c>
      <c r="G1852" t="str">
        <f>VLOOKUP(Table2[[#This Row],[Customer ID]],Table2[#All],6,FALSE)</f>
        <v>Yes</v>
      </c>
      <c r="H1852">
        <f>VLOOKUP(Table2[[#This Row],[Customer ID]],Table2[#All],7,FALSE)</f>
        <v>1</v>
      </c>
      <c r="I1852" t="str">
        <f>VLOOKUP(Table2[[#This Row],[Customer ID]],Table2[#All],8,FALSE)</f>
        <v>No</v>
      </c>
      <c r="J1852" t="str">
        <f>VLOOKUP(Table2[[#This Row],[Customer ID]],Table2[#All],9,FALSE)</f>
        <v>Obesity</v>
      </c>
      <c r="K1852" t="str">
        <f>VLOOKUP(Table2[[#This Row],[Customer ID]],Table2[#All],10,FALSE)</f>
        <v>Normal</v>
      </c>
    </row>
    <row r="1853" spans="1:11" ht="15.6" x14ac:dyDescent="0.3">
      <c r="A1853" s="1" t="s">
        <v>517</v>
      </c>
      <c r="B1853" t="str">
        <f>VLOOKUP('Customer Names'!A1853,'Customer Names'!$A$1:$E$2336,4,FALSE)</f>
        <v>Mr.  Yuri</v>
      </c>
      <c r="C1853">
        <f>VLOOKUP(Table2[[#This Row],[Customer ID]],Table2[#All],2,FALSE)</f>
        <v>22.515000000000001</v>
      </c>
      <c r="D1853">
        <f>VLOOKUP(Table2[[#This Row],[Customer ID]],Table2[#All],3,FALSE)</f>
        <v>4.24</v>
      </c>
      <c r="E1853" t="str">
        <f>VLOOKUP(Table2[[#This Row],[Customer ID]],Table2[#All],4,FALSE)</f>
        <v>No</v>
      </c>
      <c r="F1853" t="str">
        <f>VLOOKUP(Table2[[#This Row],[Customer ID]],Table2[#All],5,FALSE)</f>
        <v>No</v>
      </c>
      <c r="G1853" t="str">
        <f>VLOOKUP(Table2[[#This Row],[Customer ID]],Table2[#All],6,FALSE)</f>
        <v>No</v>
      </c>
      <c r="H1853">
        <f>VLOOKUP(Table2[[#This Row],[Customer ID]],Table2[#All],7,FALSE)</f>
        <v>0</v>
      </c>
      <c r="I1853" t="str">
        <f>VLOOKUP(Table2[[#This Row],[Customer ID]],Table2[#All],8,FALSE)</f>
        <v>No</v>
      </c>
      <c r="J1853" t="str">
        <f>VLOOKUP(Table2[[#This Row],[Customer ID]],Table2[#All],9,FALSE)</f>
        <v>Normalweight</v>
      </c>
      <c r="K1853" t="str">
        <f>VLOOKUP(Table2[[#This Row],[Customer ID]],Table2[#All],10,FALSE)</f>
        <v>Normal</v>
      </c>
    </row>
    <row r="1854" spans="1:11" ht="15.6" x14ac:dyDescent="0.3">
      <c r="A1854" s="1" t="s">
        <v>515</v>
      </c>
      <c r="B1854" t="str">
        <f>VLOOKUP('Customer Names'!A1854,'Customer Names'!$A$1:$E$2336,4,FALSE)</f>
        <v>Mr.  Ryan</v>
      </c>
      <c r="C1854">
        <f>VLOOKUP(Table2[[#This Row],[Customer ID]],Table2[#All],2,FALSE)</f>
        <v>25.9</v>
      </c>
      <c r="D1854">
        <f>VLOOKUP(Table2[[#This Row],[Customer ID]],Table2[#All],3,FALSE)</f>
        <v>5.45</v>
      </c>
      <c r="E1854" t="str">
        <f>VLOOKUP(Table2[[#This Row],[Customer ID]],Table2[#All],4,FALSE)</f>
        <v>No</v>
      </c>
      <c r="F1854" t="str">
        <f>VLOOKUP(Table2[[#This Row],[Customer ID]],Table2[#All],5,FALSE)</f>
        <v>No</v>
      </c>
      <c r="G1854" t="str">
        <f>VLOOKUP(Table2[[#This Row],[Customer ID]],Table2[#All],6,FALSE)</f>
        <v>No</v>
      </c>
      <c r="H1854">
        <f>VLOOKUP(Table2[[#This Row],[Customer ID]],Table2[#All],7,FALSE)</f>
        <v>1</v>
      </c>
      <c r="I1854" t="str">
        <f>VLOOKUP(Table2[[#This Row],[Customer ID]],Table2[#All],8,FALSE)</f>
        <v>No</v>
      </c>
      <c r="J1854" t="str">
        <f>VLOOKUP(Table2[[#This Row],[Customer ID]],Table2[#All],9,FALSE)</f>
        <v>Overweight</v>
      </c>
      <c r="K1854" t="str">
        <f>VLOOKUP(Table2[[#This Row],[Customer ID]],Table2[#All],10,FALSE)</f>
        <v>Normal</v>
      </c>
    </row>
    <row r="1855" spans="1:11" ht="15.6" x14ac:dyDescent="0.3">
      <c r="A1855" s="1" t="s">
        <v>514</v>
      </c>
      <c r="B1855" t="str">
        <f>VLOOKUP('Customer Names'!A1855,'Customer Names'!$A$1:$E$2336,4,FALSE)</f>
        <v>Ms.  Debbie</v>
      </c>
      <c r="C1855">
        <f>VLOOKUP(Table2[[#This Row],[Customer ID]],Table2[#All],2,FALSE)</f>
        <v>27.72</v>
      </c>
      <c r="D1855">
        <f>VLOOKUP(Table2[[#This Row],[Customer ID]],Table2[#All],3,FALSE)</f>
        <v>5.03</v>
      </c>
      <c r="E1855" t="str">
        <f>VLOOKUP(Table2[[#This Row],[Customer ID]],Table2[#All],4,FALSE)</f>
        <v>Yes</v>
      </c>
      <c r="F1855" t="str">
        <f>VLOOKUP(Table2[[#This Row],[Customer ID]],Table2[#All],5,FALSE)</f>
        <v>No</v>
      </c>
      <c r="G1855" t="str">
        <f>VLOOKUP(Table2[[#This Row],[Customer ID]],Table2[#All],6,FALSE)</f>
        <v>No</v>
      </c>
      <c r="H1855">
        <f>VLOOKUP(Table2[[#This Row],[Customer ID]],Table2[#All],7,FALSE)</f>
        <v>1</v>
      </c>
      <c r="I1855" t="str">
        <f>VLOOKUP(Table2[[#This Row],[Customer ID]],Table2[#All],8,FALSE)</f>
        <v>No</v>
      </c>
      <c r="J1855" t="str">
        <f>VLOOKUP(Table2[[#This Row],[Customer ID]],Table2[#All],9,FALSE)</f>
        <v>Overweight</v>
      </c>
      <c r="K1855" t="str">
        <f>VLOOKUP(Table2[[#This Row],[Customer ID]],Table2[#All],10,FALSE)</f>
        <v>Normal</v>
      </c>
    </row>
    <row r="1856" spans="1:11" ht="15.6" x14ac:dyDescent="0.3">
      <c r="A1856" s="1" t="s">
        <v>513</v>
      </c>
      <c r="B1856" t="str">
        <f>VLOOKUP('Customer Names'!A1856,'Customer Names'!$A$1:$E$2336,4,FALSE)</f>
        <v>Mr.  Mark D</v>
      </c>
      <c r="C1856">
        <f>VLOOKUP(Table2[[#This Row],[Customer ID]],Table2[#All],2,FALSE)</f>
        <v>31.5</v>
      </c>
      <c r="D1856">
        <f>VLOOKUP(Table2[[#This Row],[Customer ID]],Table2[#All],3,FALSE)</f>
        <v>9.6199999999999992</v>
      </c>
      <c r="E1856" t="str">
        <f>VLOOKUP(Table2[[#This Row],[Customer ID]],Table2[#All],4,FALSE)</f>
        <v>Yes</v>
      </c>
      <c r="F1856" t="str">
        <f>VLOOKUP(Table2[[#This Row],[Customer ID]],Table2[#All],5,FALSE)</f>
        <v>No</v>
      </c>
      <c r="G1856" t="str">
        <f>VLOOKUP(Table2[[#This Row],[Customer ID]],Table2[#All],6,FALSE)</f>
        <v>No</v>
      </c>
      <c r="H1856">
        <f>VLOOKUP(Table2[[#This Row],[Customer ID]],Table2[#All],7,FALSE)</f>
        <v>1</v>
      </c>
      <c r="I1856" t="str">
        <f>VLOOKUP(Table2[[#This Row],[Customer ID]],Table2[#All],8,FALSE)</f>
        <v>No</v>
      </c>
      <c r="J1856" t="str">
        <f>VLOOKUP(Table2[[#This Row],[Customer ID]],Table2[#All],9,FALSE)</f>
        <v>Obesity</v>
      </c>
      <c r="K1856" t="str">
        <f>VLOOKUP(Table2[[#This Row],[Customer ID]],Table2[#All],10,FALSE)</f>
        <v>Diabetes</v>
      </c>
    </row>
    <row r="1857" spans="1:11" ht="15.6" x14ac:dyDescent="0.3">
      <c r="A1857" s="1" t="s">
        <v>512</v>
      </c>
      <c r="B1857" t="str">
        <f>VLOOKUP('Customer Names'!A1857,'Customer Names'!$A$1:$E$2336,4,FALSE)</f>
        <v>Mr.  Christopher</v>
      </c>
      <c r="C1857">
        <f>VLOOKUP(Table2[[#This Row],[Customer ID]],Table2[#All],2,FALSE)</f>
        <v>29.7</v>
      </c>
      <c r="D1857">
        <f>VLOOKUP(Table2[[#This Row],[Customer ID]],Table2[#All],3,FALSE)</f>
        <v>6.77</v>
      </c>
      <c r="E1857" t="str">
        <f>VLOOKUP(Table2[[#This Row],[Customer ID]],Table2[#All],4,FALSE)</f>
        <v>Yes</v>
      </c>
      <c r="F1857" t="str">
        <f>VLOOKUP(Table2[[#This Row],[Customer ID]],Table2[#All],5,FALSE)</f>
        <v>No</v>
      </c>
      <c r="G1857" t="str">
        <f>VLOOKUP(Table2[[#This Row],[Customer ID]],Table2[#All],6,FALSE)</f>
        <v>No</v>
      </c>
      <c r="H1857">
        <f>VLOOKUP(Table2[[#This Row],[Customer ID]],Table2[#All],7,FALSE)</f>
        <v>1</v>
      </c>
      <c r="I1857" t="str">
        <f>VLOOKUP(Table2[[#This Row],[Customer ID]],Table2[#All],8,FALSE)</f>
        <v>No</v>
      </c>
      <c r="J1857" t="str">
        <f>VLOOKUP(Table2[[#This Row],[Customer ID]],Table2[#All],9,FALSE)</f>
        <v>Overweight</v>
      </c>
      <c r="K1857" t="str">
        <f>VLOOKUP(Table2[[#This Row],[Customer ID]],Table2[#All],10,FALSE)</f>
        <v>Diabetes</v>
      </c>
    </row>
    <row r="1858" spans="1:11" ht="15.6" x14ac:dyDescent="0.3">
      <c r="A1858" s="1" t="s">
        <v>511</v>
      </c>
      <c r="B1858" t="str">
        <f>VLOOKUP('Customer Names'!A1858,'Customer Names'!$A$1:$E$2336,4,FALSE)</f>
        <v>Ms.  Daniell L</v>
      </c>
      <c r="C1858">
        <f>VLOOKUP(Table2[[#This Row],[Customer ID]],Table2[#All],2,FALSE)</f>
        <v>21.26</v>
      </c>
      <c r="D1858">
        <f>VLOOKUP(Table2[[#This Row],[Customer ID]],Table2[#All],3,FALSE)</f>
        <v>5.36</v>
      </c>
      <c r="E1858" t="str">
        <f>VLOOKUP(Table2[[#This Row],[Customer ID]],Table2[#All],4,FALSE)</f>
        <v>Yes</v>
      </c>
      <c r="F1858" t="str">
        <f>VLOOKUP(Table2[[#This Row],[Customer ID]],Table2[#All],5,FALSE)</f>
        <v>No</v>
      </c>
      <c r="G1858" t="str">
        <f>VLOOKUP(Table2[[#This Row],[Customer ID]],Table2[#All],6,FALSE)</f>
        <v>No</v>
      </c>
      <c r="H1858">
        <f>VLOOKUP(Table2[[#This Row],[Customer ID]],Table2[#All],7,FALSE)</f>
        <v>1</v>
      </c>
      <c r="I1858" t="str">
        <f>VLOOKUP(Table2[[#This Row],[Customer ID]],Table2[#All],8,FALSE)</f>
        <v>No</v>
      </c>
      <c r="J1858" t="str">
        <f>VLOOKUP(Table2[[#This Row],[Customer ID]],Table2[#All],9,FALSE)</f>
        <v>Normalweight</v>
      </c>
      <c r="K1858" t="str">
        <f>VLOOKUP(Table2[[#This Row],[Customer ID]],Table2[#All],10,FALSE)</f>
        <v>Normal</v>
      </c>
    </row>
    <row r="1859" spans="1:11" ht="15.6" x14ac:dyDescent="0.3">
      <c r="A1859" s="1" t="s">
        <v>510</v>
      </c>
      <c r="B1859" t="str">
        <f>VLOOKUP('Customer Names'!A1859,'Customer Names'!$A$1:$E$2336,4,FALSE)</f>
        <v>Mr.  Janne</v>
      </c>
      <c r="C1859">
        <f>VLOOKUP(Table2[[#This Row],[Customer ID]],Table2[#All],2,FALSE)</f>
        <v>17.09</v>
      </c>
      <c r="D1859">
        <f>VLOOKUP(Table2[[#This Row],[Customer ID]],Table2[#All],3,FALSE)</f>
        <v>5.69</v>
      </c>
      <c r="E1859" t="str">
        <f>VLOOKUP(Table2[[#This Row],[Customer ID]],Table2[#All],4,FALSE)</f>
        <v>No</v>
      </c>
      <c r="F1859" t="str">
        <f>VLOOKUP(Table2[[#This Row],[Customer ID]],Table2[#All],5,FALSE)</f>
        <v>No</v>
      </c>
      <c r="G1859" t="str">
        <f>VLOOKUP(Table2[[#This Row],[Customer ID]],Table2[#All],6,FALSE)</f>
        <v>No</v>
      </c>
      <c r="H1859">
        <f>VLOOKUP(Table2[[#This Row],[Customer ID]],Table2[#All],7,FALSE)</f>
        <v>0</v>
      </c>
      <c r="I1859" t="str">
        <f>VLOOKUP(Table2[[#This Row],[Customer ID]],Table2[#All],8,FALSE)</f>
        <v>No</v>
      </c>
      <c r="J1859" t="str">
        <f>VLOOKUP(Table2[[#This Row],[Customer ID]],Table2[#All],9,FALSE)</f>
        <v>Underweight</v>
      </c>
      <c r="K1859" t="str">
        <f>VLOOKUP(Table2[[#This Row],[Customer ID]],Table2[#All],10,FALSE)</f>
        <v>Normal</v>
      </c>
    </row>
    <row r="1860" spans="1:11" ht="15.6" x14ac:dyDescent="0.3">
      <c r="A1860" s="1" t="s">
        <v>509</v>
      </c>
      <c r="B1860" t="str">
        <f>VLOOKUP('Customer Names'!A1860,'Customer Names'!$A$1:$E$2336,4,FALSE)</f>
        <v>Ms.  Martina</v>
      </c>
      <c r="C1860">
        <f>VLOOKUP(Table2[[#This Row],[Customer ID]],Table2[#All],2,FALSE)</f>
        <v>24.3</v>
      </c>
      <c r="D1860">
        <f>VLOOKUP(Table2[[#This Row],[Customer ID]],Table2[#All],3,FALSE)</f>
        <v>4.9000000000000004</v>
      </c>
      <c r="E1860" t="str">
        <f>VLOOKUP(Table2[[#This Row],[Customer ID]],Table2[#All],4,FALSE)</f>
        <v>Yes</v>
      </c>
      <c r="F1860" t="str">
        <f>VLOOKUP(Table2[[#This Row],[Customer ID]],Table2[#All],5,FALSE)</f>
        <v>No</v>
      </c>
      <c r="G1860" t="str">
        <f>VLOOKUP(Table2[[#This Row],[Customer ID]],Table2[#All],6,FALSE)</f>
        <v>Yes</v>
      </c>
      <c r="H1860">
        <f>VLOOKUP(Table2[[#This Row],[Customer ID]],Table2[#All],7,FALSE)</f>
        <v>1</v>
      </c>
      <c r="I1860" t="str">
        <f>VLOOKUP(Table2[[#This Row],[Customer ID]],Table2[#All],8,FALSE)</f>
        <v>No</v>
      </c>
      <c r="J1860" t="str">
        <f>VLOOKUP(Table2[[#This Row],[Customer ID]],Table2[#All],9,FALSE)</f>
        <v>Normalweight</v>
      </c>
      <c r="K1860" t="str">
        <f>VLOOKUP(Table2[[#This Row],[Customer ID]],Table2[#All],10,FALSE)</f>
        <v>Normal</v>
      </c>
    </row>
    <row r="1861" spans="1:11" ht="15.6" x14ac:dyDescent="0.3">
      <c r="A1861" s="1" t="s">
        <v>508</v>
      </c>
      <c r="B1861" t="str">
        <f>VLOOKUP('Customer Names'!A1861,'Customer Names'!$A$1:$E$2336,4,FALSE)</f>
        <v>Ms.  Elizabeth L</v>
      </c>
      <c r="C1861">
        <f>VLOOKUP(Table2[[#This Row],[Customer ID]],Table2[#All],2,FALSE)</f>
        <v>29.734999999999999</v>
      </c>
      <c r="D1861">
        <f>VLOOKUP(Table2[[#This Row],[Customer ID]],Table2[#All],3,FALSE)</f>
        <v>5.78</v>
      </c>
      <c r="E1861" t="str">
        <f>VLOOKUP(Table2[[#This Row],[Customer ID]],Table2[#All],4,FALSE)</f>
        <v>No</v>
      </c>
      <c r="F1861" t="str">
        <f>VLOOKUP(Table2[[#This Row],[Customer ID]],Table2[#All],5,FALSE)</f>
        <v>No</v>
      </c>
      <c r="G1861" t="str">
        <f>VLOOKUP(Table2[[#This Row],[Customer ID]],Table2[#All],6,FALSE)</f>
        <v>No</v>
      </c>
      <c r="H1861">
        <f>VLOOKUP(Table2[[#This Row],[Customer ID]],Table2[#All],7,FALSE)</f>
        <v>0</v>
      </c>
      <c r="I1861" t="str">
        <f>VLOOKUP(Table2[[#This Row],[Customer ID]],Table2[#All],8,FALSE)</f>
        <v>No</v>
      </c>
      <c r="J1861" t="str">
        <f>VLOOKUP(Table2[[#This Row],[Customer ID]],Table2[#All],9,FALSE)</f>
        <v>Overweight</v>
      </c>
      <c r="K1861" t="str">
        <f>VLOOKUP(Table2[[#This Row],[Customer ID]],Table2[#All],10,FALSE)</f>
        <v>Prediabetes</v>
      </c>
    </row>
    <row r="1862" spans="1:11" ht="15.6" x14ac:dyDescent="0.3">
      <c r="A1862" s="1" t="s">
        <v>507</v>
      </c>
      <c r="B1862" t="str">
        <f>VLOOKUP('Customer Names'!A1862,'Customer Names'!$A$1:$E$2336,4,FALSE)</f>
        <v>Ms.  Stephanie C.</v>
      </c>
      <c r="C1862">
        <f>VLOOKUP(Table2[[#This Row],[Customer ID]],Table2[#All],2,FALSE)</f>
        <v>29.26</v>
      </c>
      <c r="D1862">
        <f>VLOOKUP(Table2[[#This Row],[Customer ID]],Table2[#All],3,FALSE)</f>
        <v>4.7</v>
      </c>
      <c r="E1862" t="str">
        <f>VLOOKUP(Table2[[#This Row],[Customer ID]],Table2[#All],4,FALSE)</f>
        <v>No</v>
      </c>
      <c r="F1862" t="str">
        <f>VLOOKUP(Table2[[#This Row],[Customer ID]],Table2[#All],5,FALSE)</f>
        <v>No</v>
      </c>
      <c r="G1862" t="str">
        <f>VLOOKUP(Table2[[#This Row],[Customer ID]],Table2[#All],6,FALSE)</f>
        <v>No</v>
      </c>
      <c r="H1862">
        <f>VLOOKUP(Table2[[#This Row],[Customer ID]],Table2[#All],7,FALSE)</f>
        <v>0</v>
      </c>
      <c r="I1862" t="str">
        <f>VLOOKUP(Table2[[#This Row],[Customer ID]],Table2[#All],8,FALSE)</f>
        <v>No</v>
      </c>
      <c r="J1862" t="str">
        <f>VLOOKUP(Table2[[#This Row],[Customer ID]],Table2[#All],9,FALSE)</f>
        <v>Overweight</v>
      </c>
      <c r="K1862" t="str">
        <f>VLOOKUP(Table2[[#This Row],[Customer ID]],Table2[#All],10,FALSE)</f>
        <v>Normal</v>
      </c>
    </row>
    <row r="1863" spans="1:11" ht="15.6" x14ac:dyDescent="0.3">
      <c r="A1863" s="1" t="s">
        <v>506</v>
      </c>
      <c r="B1863" t="str">
        <f>VLOOKUP('Customer Names'!A1863,'Customer Names'!$A$1:$E$2336,4,FALSE)</f>
        <v>Ms.  Katie</v>
      </c>
      <c r="C1863">
        <f>VLOOKUP(Table2[[#This Row],[Customer ID]],Table2[#All],2,FALSE)</f>
        <v>33</v>
      </c>
      <c r="D1863">
        <f>VLOOKUP(Table2[[#This Row],[Customer ID]],Table2[#All],3,FALSE)</f>
        <v>6.28</v>
      </c>
      <c r="E1863" t="str">
        <f>VLOOKUP(Table2[[#This Row],[Customer ID]],Table2[#All],4,FALSE)</f>
        <v>No</v>
      </c>
      <c r="F1863" t="str">
        <f>VLOOKUP(Table2[[#This Row],[Customer ID]],Table2[#All],5,FALSE)</f>
        <v>No</v>
      </c>
      <c r="G1863" t="str">
        <f>VLOOKUP(Table2[[#This Row],[Customer ID]],Table2[#All],6,FALSE)</f>
        <v>No</v>
      </c>
      <c r="H1863">
        <f>VLOOKUP(Table2[[#This Row],[Customer ID]],Table2[#All],7,FALSE)</f>
        <v>0</v>
      </c>
      <c r="I1863" t="str">
        <f>VLOOKUP(Table2[[#This Row],[Customer ID]],Table2[#All],8,FALSE)</f>
        <v>No</v>
      </c>
      <c r="J1863" t="str">
        <f>VLOOKUP(Table2[[#This Row],[Customer ID]],Table2[#All],9,FALSE)</f>
        <v>Obesity</v>
      </c>
      <c r="K1863" t="str">
        <f>VLOOKUP(Table2[[#This Row],[Customer ID]],Table2[#All],10,FALSE)</f>
        <v>Prediabetes</v>
      </c>
    </row>
    <row r="1864" spans="1:11" ht="15.6" x14ac:dyDescent="0.3">
      <c r="A1864" s="1" t="s">
        <v>505</v>
      </c>
      <c r="B1864" t="str">
        <f>VLOOKUP('Customer Names'!A1864,'Customer Names'!$A$1:$E$2336,4,FALSE)</f>
        <v>Ms.  Callie</v>
      </c>
      <c r="C1864">
        <f>VLOOKUP(Table2[[#This Row],[Customer ID]],Table2[#All],2,FALSE)</f>
        <v>31.065000000000001</v>
      </c>
      <c r="D1864">
        <f>VLOOKUP(Table2[[#This Row],[Customer ID]],Table2[#All],3,FALSE)</f>
        <v>4.2300000000000004</v>
      </c>
      <c r="E1864" t="str">
        <f>VLOOKUP(Table2[[#This Row],[Customer ID]],Table2[#All],4,FALSE)</f>
        <v>No</v>
      </c>
      <c r="F1864" t="str">
        <f>VLOOKUP(Table2[[#This Row],[Customer ID]],Table2[#All],5,FALSE)</f>
        <v>No</v>
      </c>
      <c r="G1864" t="str">
        <f>VLOOKUP(Table2[[#This Row],[Customer ID]],Table2[#All],6,FALSE)</f>
        <v>No</v>
      </c>
      <c r="H1864">
        <f>VLOOKUP(Table2[[#This Row],[Customer ID]],Table2[#All],7,FALSE)</f>
        <v>0</v>
      </c>
      <c r="I1864" t="str">
        <f>VLOOKUP(Table2[[#This Row],[Customer ID]],Table2[#All],8,FALSE)</f>
        <v>No</v>
      </c>
      <c r="J1864" t="str">
        <f>VLOOKUP(Table2[[#This Row],[Customer ID]],Table2[#All],9,FALSE)</f>
        <v>Obesity</v>
      </c>
      <c r="K1864" t="str">
        <f>VLOOKUP(Table2[[#This Row],[Customer ID]],Table2[#All],10,FALSE)</f>
        <v>Normal</v>
      </c>
    </row>
    <row r="1865" spans="1:11" ht="15.6" x14ac:dyDescent="0.3">
      <c r="A1865" s="1" t="s">
        <v>504</v>
      </c>
      <c r="B1865" t="str">
        <f>VLOOKUP('Customer Names'!A1865,'Customer Names'!$A$1:$E$2336,4,FALSE)</f>
        <v>Ms.  Inna</v>
      </c>
      <c r="C1865">
        <f>VLOOKUP(Table2[[#This Row],[Customer ID]],Table2[#All],2,FALSE)</f>
        <v>26.51</v>
      </c>
      <c r="D1865">
        <f>VLOOKUP(Table2[[#This Row],[Customer ID]],Table2[#All],3,FALSE)</f>
        <v>6.17</v>
      </c>
      <c r="E1865" t="str">
        <f>VLOOKUP(Table2[[#This Row],[Customer ID]],Table2[#All],4,FALSE)</f>
        <v>No</v>
      </c>
      <c r="F1865" t="str">
        <f>VLOOKUP(Table2[[#This Row],[Customer ID]],Table2[#All],5,FALSE)</f>
        <v>No</v>
      </c>
      <c r="G1865" t="str">
        <f>VLOOKUP(Table2[[#This Row],[Customer ID]],Table2[#All],6,FALSE)</f>
        <v>No</v>
      </c>
      <c r="H1865">
        <f>VLOOKUP(Table2[[#This Row],[Customer ID]],Table2[#All],7,FALSE)</f>
        <v>0</v>
      </c>
      <c r="I1865" t="str">
        <f>VLOOKUP(Table2[[#This Row],[Customer ID]],Table2[#All],8,FALSE)</f>
        <v>No</v>
      </c>
      <c r="J1865" t="str">
        <f>VLOOKUP(Table2[[#This Row],[Customer ID]],Table2[#All],9,FALSE)</f>
        <v>Overweight</v>
      </c>
      <c r="K1865" t="str">
        <f>VLOOKUP(Table2[[#This Row],[Customer ID]],Table2[#All],10,FALSE)</f>
        <v>Prediabetes</v>
      </c>
    </row>
    <row r="1866" spans="1:11" ht="15.6" x14ac:dyDescent="0.3">
      <c r="A1866" s="1" t="s">
        <v>503</v>
      </c>
      <c r="B1866" t="str">
        <f>VLOOKUP('Customer Names'!A1866,'Customer Names'!$A$1:$E$2336,4,FALSE)</f>
        <v>Ms.  Mary K.</v>
      </c>
      <c r="C1866">
        <f>VLOOKUP(Table2[[#This Row],[Customer ID]],Table2[#All],2,FALSE)</f>
        <v>28.88</v>
      </c>
      <c r="D1866">
        <f>VLOOKUP(Table2[[#This Row],[Customer ID]],Table2[#All],3,FALSE)</f>
        <v>4.96</v>
      </c>
      <c r="E1866" t="str">
        <f>VLOOKUP(Table2[[#This Row],[Customer ID]],Table2[#All],4,FALSE)</f>
        <v>No</v>
      </c>
      <c r="F1866" t="str">
        <f>VLOOKUP(Table2[[#This Row],[Customer ID]],Table2[#All],5,FALSE)</f>
        <v>No</v>
      </c>
      <c r="G1866" t="str">
        <f>VLOOKUP(Table2[[#This Row],[Customer ID]],Table2[#All],6,FALSE)</f>
        <v>No</v>
      </c>
      <c r="H1866">
        <f>VLOOKUP(Table2[[#This Row],[Customer ID]],Table2[#All],7,FALSE)</f>
        <v>0</v>
      </c>
      <c r="I1866" t="str">
        <f>VLOOKUP(Table2[[#This Row],[Customer ID]],Table2[#All],8,FALSE)</f>
        <v>No</v>
      </c>
      <c r="J1866" t="str">
        <f>VLOOKUP(Table2[[#This Row],[Customer ID]],Table2[#All],9,FALSE)</f>
        <v>Overweight</v>
      </c>
      <c r="K1866" t="str">
        <f>VLOOKUP(Table2[[#This Row],[Customer ID]],Table2[#All],10,FALSE)</f>
        <v>Normal</v>
      </c>
    </row>
    <row r="1867" spans="1:11" ht="15.6" x14ac:dyDescent="0.3">
      <c r="A1867" s="1" t="s">
        <v>502</v>
      </c>
      <c r="B1867" t="str">
        <f>VLOOKUP('Customer Names'!A1867,'Customer Names'!$A$1:$E$2336,4,FALSE)</f>
        <v>Mr.  Samuel M.</v>
      </c>
      <c r="C1867">
        <f>VLOOKUP(Table2[[#This Row],[Customer ID]],Table2[#All],2,FALSE)</f>
        <v>35.814999999999998</v>
      </c>
      <c r="D1867">
        <f>VLOOKUP(Table2[[#This Row],[Customer ID]],Table2[#All],3,FALSE)</f>
        <v>5.1100000000000003</v>
      </c>
      <c r="E1867" t="str">
        <f>VLOOKUP(Table2[[#This Row],[Customer ID]],Table2[#All],4,FALSE)</f>
        <v>Yes</v>
      </c>
      <c r="F1867" t="str">
        <f>VLOOKUP(Table2[[#This Row],[Customer ID]],Table2[#All],5,FALSE)</f>
        <v>No</v>
      </c>
      <c r="G1867" t="str">
        <f>VLOOKUP(Table2[[#This Row],[Customer ID]],Table2[#All],6,FALSE)</f>
        <v>No</v>
      </c>
      <c r="H1867">
        <f>VLOOKUP(Table2[[#This Row],[Customer ID]],Table2[#All],7,FALSE)</f>
        <v>1</v>
      </c>
      <c r="I1867" t="str">
        <f>VLOOKUP(Table2[[#This Row],[Customer ID]],Table2[#All],8,FALSE)</f>
        <v>No</v>
      </c>
      <c r="J1867" t="str">
        <f>VLOOKUP(Table2[[#This Row],[Customer ID]],Table2[#All],9,FALSE)</f>
        <v>Obesity</v>
      </c>
      <c r="K1867" t="str">
        <f>VLOOKUP(Table2[[#This Row],[Customer ID]],Table2[#All],10,FALSE)</f>
        <v>Normal</v>
      </c>
    </row>
    <row r="1868" spans="1:11" ht="15.6" x14ac:dyDescent="0.3">
      <c r="A1868" s="1" t="s">
        <v>501</v>
      </c>
      <c r="B1868" t="str">
        <f>VLOOKUP('Customer Names'!A1868,'Customer Names'!$A$1:$E$2336,4,FALSE)</f>
        <v>Ms.  Kimberly</v>
      </c>
      <c r="C1868">
        <f>VLOOKUP(Table2[[#This Row],[Customer ID]],Table2[#All],2,FALSE)</f>
        <v>21.28</v>
      </c>
      <c r="D1868">
        <f>VLOOKUP(Table2[[#This Row],[Customer ID]],Table2[#All],3,FALSE)</f>
        <v>4.05</v>
      </c>
      <c r="E1868" t="str">
        <f>VLOOKUP(Table2[[#This Row],[Customer ID]],Table2[#All],4,FALSE)</f>
        <v>No</v>
      </c>
      <c r="F1868" t="str">
        <f>VLOOKUP(Table2[[#This Row],[Customer ID]],Table2[#All],5,FALSE)</f>
        <v>yes</v>
      </c>
      <c r="G1868" t="str">
        <f>VLOOKUP(Table2[[#This Row],[Customer ID]],Table2[#All],6,FALSE)</f>
        <v>No</v>
      </c>
      <c r="H1868">
        <f>VLOOKUP(Table2[[#This Row],[Customer ID]],Table2[#All],7,FALSE)</f>
        <v>1</v>
      </c>
      <c r="I1868" t="str">
        <f>VLOOKUP(Table2[[#This Row],[Customer ID]],Table2[#All],8,FALSE)</f>
        <v>No</v>
      </c>
      <c r="J1868" t="str">
        <f>VLOOKUP(Table2[[#This Row],[Customer ID]],Table2[#All],9,FALSE)</f>
        <v>Normalweight</v>
      </c>
      <c r="K1868" t="str">
        <f>VLOOKUP(Table2[[#This Row],[Customer ID]],Table2[#All],10,FALSE)</f>
        <v>Normal</v>
      </c>
    </row>
    <row r="1869" spans="1:11" ht="15.6" x14ac:dyDescent="0.3">
      <c r="A1869" s="1" t="s">
        <v>500</v>
      </c>
      <c r="B1869" t="str">
        <f>VLOOKUP('Customer Names'!A1869,'Customer Names'!$A$1:$E$2336,4,FALSE)</f>
        <v>Mr.  Tom J.</v>
      </c>
      <c r="C1869">
        <f>VLOOKUP(Table2[[#This Row],[Customer ID]],Table2[#All],2,FALSE)</f>
        <v>33.81</v>
      </c>
      <c r="D1869">
        <f>VLOOKUP(Table2[[#This Row],[Customer ID]],Table2[#All],3,FALSE)</f>
        <v>6.49</v>
      </c>
      <c r="E1869" t="str">
        <f>VLOOKUP(Table2[[#This Row],[Customer ID]],Table2[#All],4,FALSE)</f>
        <v>No</v>
      </c>
      <c r="F1869" t="str">
        <f>VLOOKUP(Table2[[#This Row],[Customer ID]],Table2[#All],5,FALSE)</f>
        <v>No</v>
      </c>
      <c r="G1869" t="str">
        <f>VLOOKUP(Table2[[#This Row],[Customer ID]],Table2[#All],6,FALSE)</f>
        <v>Yes</v>
      </c>
      <c r="H1869">
        <f>VLOOKUP(Table2[[#This Row],[Customer ID]],Table2[#All],7,FALSE)</f>
        <v>1</v>
      </c>
      <c r="I1869" t="str">
        <f>VLOOKUP(Table2[[#This Row],[Customer ID]],Table2[#All],8,FALSE)</f>
        <v>No</v>
      </c>
      <c r="J1869" t="str">
        <f>VLOOKUP(Table2[[#This Row],[Customer ID]],Table2[#All],9,FALSE)</f>
        <v>Obesity</v>
      </c>
      <c r="K1869" t="str">
        <f>VLOOKUP(Table2[[#This Row],[Customer ID]],Table2[#All],10,FALSE)</f>
        <v>Prediabetes</v>
      </c>
    </row>
    <row r="1870" spans="1:11" ht="15.6" x14ac:dyDescent="0.3">
      <c r="A1870" s="1" t="s">
        <v>499</v>
      </c>
      <c r="B1870" t="str">
        <f>VLOOKUP('Customer Names'!A1870,'Customer Names'!$A$1:$E$2336,4,FALSE)</f>
        <v>Mr.  Zachary</v>
      </c>
      <c r="C1870">
        <f>VLOOKUP(Table2[[#This Row],[Customer ID]],Table2[#All],2,FALSE)</f>
        <v>44.22</v>
      </c>
      <c r="D1870">
        <f>VLOOKUP(Table2[[#This Row],[Customer ID]],Table2[#All],3,FALSE)</f>
        <v>4.1900000000000004</v>
      </c>
      <c r="E1870" t="str">
        <f>VLOOKUP(Table2[[#This Row],[Customer ID]],Table2[#All],4,FALSE)</f>
        <v>No</v>
      </c>
      <c r="F1870" t="str">
        <f>VLOOKUP(Table2[[#This Row],[Customer ID]],Table2[#All],5,FALSE)</f>
        <v>No</v>
      </c>
      <c r="G1870" t="str">
        <f>VLOOKUP(Table2[[#This Row],[Customer ID]],Table2[#All],6,FALSE)</f>
        <v>No</v>
      </c>
      <c r="H1870">
        <f>VLOOKUP(Table2[[#This Row],[Customer ID]],Table2[#All],7,FALSE)</f>
        <v>1</v>
      </c>
      <c r="I1870" t="str">
        <f>VLOOKUP(Table2[[#This Row],[Customer ID]],Table2[#All],8,FALSE)</f>
        <v>No</v>
      </c>
      <c r="J1870" t="str">
        <f>VLOOKUP(Table2[[#This Row],[Customer ID]],Table2[#All],9,FALSE)</f>
        <v>Obesity</v>
      </c>
      <c r="K1870" t="str">
        <f>VLOOKUP(Table2[[#This Row],[Customer ID]],Table2[#All],10,FALSE)</f>
        <v>Normal</v>
      </c>
    </row>
    <row r="1871" spans="1:11" ht="15.6" x14ac:dyDescent="0.3">
      <c r="A1871" s="1" t="s">
        <v>498</v>
      </c>
      <c r="B1871" t="str">
        <f>VLOOKUP('Customer Names'!A1871,'Customer Names'!$A$1:$E$2336,4,FALSE)</f>
        <v>Mr.  Dane</v>
      </c>
      <c r="C1871">
        <f>VLOOKUP(Table2[[#This Row],[Customer ID]],Table2[#All],2,FALSE)</f>
        <v>15.46</v>
      </c>
      <c r="D1871">
        <f>VLOOKUP(Table2[[#This Row],[Customer ID]],Table2[#All],3,FALSE)</f>
        <v>4.99</v>
      </c>
      <c r="E1871" t="str">
        <f>VLOOKUP(Table2[[#This Row],[Customer ID]],Table2[#All],4,FALSE)</f>
        <v>Yes</v>
      </c>
      <c r="F1871" t="str">
        <f>VLOOKUP(Table2[[#This Row],[Customer ID]],Table2[#All],5,FALSE)</f>
        <v>No</v>
      </c>
      <c r="G1871" t="str">
        <f>VLOOKUP(Table2[[#This Row],[Customer ID]],Table2[#All],6,FALSE)</f>
        <v>Yes</v>
      </c>
      <c r="H1871">
        <f>VLOOKUP(Table2[[#This Row],[Customer ID]],Table2[#All],7,FALSE)</f>
        <v>1</v>
      </c>
      <c r="I1871" t="str">
        <f>VLOOKUP(Table2[[#This Row],[Customer ID]],Table2[#All],8,FALSE)</f>
        <v>No</v>
      </c>
      <c r="J1871" t="str">
        <f>VLOOKUP(Table2[[#This Row],[Customer ID]],Table2[#All],9,FALSE)</f>
        <v>Underweight</v>
      </c>
      <c r="K1871" t="str">
        <f>VLOOKUP(Table2[[#This Row],[Customer ID]],Table2[#All],10,FALSE)</f>
        <v>Normal</v>
      </c>
    </row>
    <row r="1872" spans="1:11" ht="15.6" x14ac:dyDescent="0.3">
      <c r="A1872" s="1" t="s">
        <v>497</v>
      </c>
      <c r="B1872" t="str">
        <f>VLOOKUP('Customer Names'!A1872,'Customer Names'!$A$1:$E$2336,4,FALSE)</f>
        <v>Mr.  Dougie J</v>
      </c>
      <c r="C1872">
        <f>VLOOKUP(Table2[[#This Row],[Customer ID]],Table2[#All],2,FALSE)</f>
        <v>30.3</v>
      </c>
      <c r="D1872">
        <f>VLOOKUP(Table2[[#This Row],[Customer ID]],Table2[#All],3,FALSE)</f>
        <v>4.7699999999999996</v>
      </c>
      <c r="E1872" t="str">
        <f>VLOOKUP(Table2[[#This Row],[Customer ID]],Table2[#All],4,FALSE)</f>
        <v>Yes</v>
      </c>
      <c r="F1872" t="str">
        <f>VLOOKUP(Table2[[#This Row],[Customer ID]],Table2[#All],5,FALSE)</f>
        <v>No</v>
      </c>
      <c r="G1872" t="str">
        <f>VLOOKUP(Table2[[#This Row],[Customer ID]],Table2[#All],6,FALSE)</f>
        <v>No</v>
      </c>
      <c r="H1872">
        <f>VLOOKUP(Table2[[#This Row],[Customer ID]],Table2[#All],7,FALSE)</f>
        <v>1</v>
      </c>
      <c r="I1872" t="str">
        <f>VLOOKUP(Table2[[#This Row],[Customer ID]],Table2[#All],8,FALSE)</f>
        <v>No</v>
      </c>
      <c r="J1872" t="str">
        <f>VLOOKUP(Table2[[#This Row],[Customer ID]],Table2[#All],9,FALSE)</f>
        <v>Obesity</v>
      </c>
      <c r="K1872" t="str">
        <f>VLOOKUP(Table2[[#This Row],[Customer ID]],Table2[#All],10,FALSE)</f>
        <v>Normal</v>
      </c>
    </row>
    <row r="1873" spans="1:11" ht="15.6" x14ac:dyDescent="0.3">
      <c r="A1873" s="1" t="s">
        <v>496</v>
      </c>
      <c r="B1873" t="str">
        <f>VLOOKUP('Customer Names'!A1873,'Customer Names'!$A$1:$E$2336,4,FALSE)</f>
        <v>Mr.  Jeremiah H</v>
      </c>
      <c r="C1873">
        <f>VLOOKUP(Table2[[#This Row],[Customer ID]],Table2[#All],2,FALSE)</f>
        <v>16.670000000000002</v>
      </c>
      <c r="D1873">
        <f>VLOOKUP(Table2[[#This Row],[Customer ID]],Table2[#All],3,FALSE)</f>
        <v>5.46</v>
      </c>
      <c r="E1873" t="str">
        <f>VLOOKUP(Table2[[#This Row],[Customer ID]],Table2[#All],4,FALSE)</f>
        <v>No</v>
      </c>
      <c r="F1873" t="str">
        <f>VLOOKUP(Table2[[#This Row],[Customer ID]],Table2[#All],5,FALSE)</f>
        <v>No</v>
      </c>
      <c r="G1873" t="str">
        <f>VLOOKUP(Table2[[#This Row],[Customer ID]],Table2[#All],6,FALSE)</f>
        <v>No</v>
      </c>
      <c r="H1873">
        <f>VLOOKUP(Table2[[#This Row],[Customer ID]],Table2[#All],7,FALSE)</f>
        <v>0</v>
      </c>
      <c r="I1873" t="str">
        <f>VLOOKUP(Table2[[#This Row],[Customer ID]],Table2[#All],8,FALSE)</f>
        <v>No</v>
      </c>
      <c r="J1873" t="str">
        <f>VLOOKUP(Table2[[#This Row],[Customer ID]],Table2[#All],9,FALSE)</f>
        <v>Underweight</v>
      </c>
      <c r="K1873" t="str">
        <f>VLOOKUP(Table2[[#This Row],[Customer ID]],Table2[#All],10,FALSE)</f>
        <v>Normal</v>
      </c>
    </row>
    <row r="1874" spans="1:11" ht="15.6" x14ac:dyDescent="0.3">
      <c r="A1874" s="1" t="s">
        <v>495</v>
      </c>
      <c r="B1874" t="str">
        <f>VLOOKUP('Customer Names'!A1874,'Customer Names'!$A$1:$E$2336,4,FALSE)</f>
        <v>Mr.  Ashley J.</v>
      </c>
      <c r="C1874">
        <f>VLOOKUP(Table2[[#This Row],[Customer ID]],Table2[#All],2,FALSE)</f>
        <v>28.594999999999999</v>
      </c>
      <c r="D1874">
        <f>VLOOKUP(Table2[[#This Row],[Customer ID]],Table2[#All],3,FALSE)</f>
        <v>5.43</v>
      </c>
      <c r="E1874" t="str">
        <f>VLOOKUP(Table2[[#This Row],[Customer ID]],Table2[#All],4,FALSE)</f>
        <v>No</v>
      </c>
      <c r="F1874" t="str">
        <f>VLOOKUP(Table2[[#This Row],[Customer ID]],Table2[#All],5,FALSE)</f>
        <v>No</v>
      </c>
      <c r="G1874" t="str">
        <f>VLOOKUP(Table2[[#This Row],[Customer ID]],Table2[#All],6,FALSE)</f>
        <v>No</v>
      </c>
      <c r="H1874">
        <f>VLOOKUP(Table2[[#This Row],[Customer ID]],Table2[#All],7,FALSE)</f>
        <v>0</v>
      </c>
      <c r="I1874" t="str">
        <f>VLOOKUP(Table2[[#This Row],[Customer ID]],Table2[#All],8,FALSE)</f>
        <v>No</v>
      </c>
      <c r="J1874" t="str">
        <f>VLOOKUP(Table2[[#This Row],[Customer ID]],Table2[#All],9,FALSE)</f>
        <v>Overweight</v>
      </c>
      <c r="K1874" t="str">
        <f>VLOOKUP(Table2[[#This Row],[Customer ID]],Table2[#All],10,FALSE)</f>
        <v>Normal</v>
      </c>
    </row>
    <row r="1875" spans="1:11" ht="15.6" x14ac:dyDescent="0.3">
      <c r="A1875" s="1" t="s">
        <v>494</v>
      </c>
      <c r="B1875" t="str">
        <f>VLOOKUP('Customer Names'!A1875,'Customer Names'!$A$1:$E$2336,4,FALSE)</f>
        <v>Mr.  Turner J.</v>
      </c>
      <c r="C1875">
        <f>VLOOKUP(Table2[[#This Row],[Customer ID]],Table2[#All],2,FALSE)</f>
        <v>25.934999999999999</v>
      </c>
      <c r="D1875">
        <f>VLOOKUP(Table2[[#This Row],[Customer ID]],Table2[#All],3,FALSE)</f>
        <v>4.29</v>
      </c>
      <c r="E1875" t="str">
        <f>VLOOKUP(Table2[[#This Row],[Customer ID]],Table2[#All],4,FALSE)</f>
        <v>No</v>
      </c>
      <c r="F1875" t="str">
        <f>VLOOKUP(Table2[[#This Row],[Customer ID]],Table2[#All],5,FALSE)</f>
        <v>No</v>
      </c>
      <c r="G1875" t="str">
        <f>VLOOKUP(Table2[[#This Row],[Customer ID]],Table2[#All],6,FALSE)</f>
        <v>No</v>
      </c>
      <c r="H1875">
        <f>VLOOKUP(Table2[[#This Row],[Customer ID]],Table2[#All],7,FALSE)</f>
        <v>0</v>
      </c>
      <c r="I1875" t="str">
        <f>VLOOKUP(Table2[[#This Row],[Customer ID]],Table2[#All],8,FALSE)</f>
        <v>No</v>
      </c>
      <c r="J1875" t="str">
        <f>VLOOKUP(Table2[[#This Row],[Customer ID]],Table2[#All],9,FALSE)</f>
        <v>Overweight</v>
      </c>
      <c r="K1875" t="str">
        <f>VLOOKUP(Table2[[#This Row],[Customer ID]],Table2[#All],10,FALSE)</f>
        <v>Normal</v>
      </c>
    </row>
    <row r="1876" spans="1:11" ht="15.6" x14ac:dyDescent="0.3">
      <c r="A1876" s="1" t="s">
        <v>493</v>
      </c>
      <c r="B1876" t="str">
        <f>VLOOKUP('Customer Names'!A1876,'Customer Names'!$A$1:$E$2336,4,FALSE)</f>
        <v>Mr.  Roger</v>
      </c>
      <c r="C1876">
        <f>VLOOKUP(Table2[[#This Row],[Customer ID]],Table2[#All],2,FALSE)</f>
        <v>27.645</v>
      </c>
      <c r="D1876">
        <f>VLOOKUP(Table2[[#This Row],[Customer ID]],Table2[#All],3,FALSE)</f>
        <v>5.25</v>
      </c>
      <c r="E1876" t="str">
        <f>VLOOKUP(Table2[[#This Row],[Customer ID]],Table2[#All],4,FALSE)</f>
        <v>No</v>
      </c>
      <c r="F1876" t="str">
        <f>VLOOKUP(Table2[[#This Row],[Customer ID]],Table2[#All],5,FALSE)</f>
        <v>No</v>
      </c>
      <c r="G1876" t="str">
        <f>VLOOKUP(Table2[[#This Row],[Customer ID]],Table2[#All],6,FALSE)</f>
        <v>No</v>
      </c>
      <c r="H1876">
        <f>VLOOKUP(Table2[[#This Row],[Customer ID]],Table2[#All],7,FALSE)</f>
        <v>1</v>
      </c>
      <c r="I1876" t="str">
        <f>VLOOKUP(Table2[[#This Row],[Customer ID]],Table2[#All],8,FALSE)</f>
        <v>No</v>
      </c>
      <c r="J1876" t="str">
        <f>VLOOKUP(Table2[[#This Row],[Customer ID]],Table2[#All],9,FALSE)</f>
        <v>Overweight</v>
      </c>
      <c r="K1876" t="str">
        <f>VLOOKUP(Table2[[#This Row],[Customer ID]],Table2[#All],10,FALSE)</f>
        <v>Normal</v>
      </c>
    </row>
    <row r="1877" spans="1:11" ht="15.6" x14ac:dyDescent="0.3">
      <c r="A1877" s="1" t="s">
        <v>492</v>
      </c>
      <c r="B1877" t="str">
        <f>VLOOKUP('Customer Names'!A1877,'Customer Names'!$A$1:$E$2336,4,FALSE)</f>
        <v>Ms.  Pamela</v>
      </c>
      <c r="C1877">
        <f>VLOOKUP(Table2[[#This Row],[Customer ID]],Table2[#All],2,FALSE)</f>
        <v>30.1</v>
      </c>
      <c r="D1877">
        <f>VLOOKUP(Table2[[#This Row],[Customer ID]],Table2[#All],3,FALSE)</f>
        <v>4.04</v>
      </c>
      <c r="E1877" t="str">
        <f>VLOOKUP(Table2[[#This Row],[Customer ID]],Table2[#All],4,FALSE)</f>
        <v>No</v>
      </c>
      <c r="F1877" t="str">
        <f>VLOOKUP(Table2[[#This Row],[Customer ID]],Table2[#All],5,FALSE)</f>
        <v>No</v>
      </c>
      <c r="G1877" t="str">
        <f>VLOOKUP(Table2[[#This Row],[Customer ID]],Table2[#All],6,FALSE)</f>
        <v>No</v>
      </c>
      <c r="H1877">
        <f>VLOOKUP(Table2[[#This Row],[Customer ID]],Table2[#All],7,FALSE)</f>
        <v>1</v>
      </c>
      <c r="I1877" t="str">
        <f>VLOOKUP(Table2[[#This Row],[Customer ID]],Table2[#All],8,FALSE)</f>
        <v>No</v>
      </c>
      <c r="J1877" t="str">
        <f>VLOOKUP(Table2[[#This Row],[Customer ID]],Table2[#All],9,FALSE)</f>
        <v>Obesity</v>
      </c>
      <c r="K1877" t="str">
        <f>VLOOKUP(Table2[[#This Row],[Customer ID]],Table2[#All],10,FALSE)</f>
        <v>Normal</v>
      </c>
    </row>
    <row r="1878" spans="1:11" ht="15.6" x14ac:dyDescent="0.3">
      <c r="A1878" s="1" t="s">
        <v>491</v>
      </c>
      <c r="B1878" t="str">
        <f>VLOOKUP('Customer Names'!A1878,'Customer Names'!$A$1:$E$2336,4,FALSE)</f>
        <v>Ms.  Allison M.</v>
      </c>
      <c r="C1878">
        <f>VLOOKUP(Table2[[#This Row],[Customer ID]],Table2[#All],2,FALSE)</f>
        <v>26.79</v>
      </c>
      <c r="D1878">
        <f>VLOOKUP(Table2[[#This Row],[Customer ID]],Table2[#All],3,FALSE)</f>
        <v>5</v>
      </c>
      <c r="E1878" t="str">
        <f>VLOOKUP(Table2[[#This Row],[Customer ID]],Table2[#All],4,FALSE)</f>
        <v>Yes</v>
      </c>
      <c r="F1878" t="str">
        <f>VLOOKUP(Table2[[#This Row],[Customer ID]],Table2[#All],5,FALSE)</f>
        <v>No</v>
      </c>
      <c r="G1878" t="str">
        <f>VLOOKUP(Table2[[#This Row],[Customer ID]],Table2[#All],6,FALSE)</f>
        <v>Yes</v>
      </c>
      <c r="H1878">
        <f>VLOOKUP(Table2[[#This Row],[Customer ID]],Table2[#All],7,FALSE)</f>
        <v>1</v>
      </c>
      <c r="I1878" t="str">
        <f>VLOOKUP(Table2[[#This Row],[Customer ID]],Table2[#All],8,FALSE)</f>
        <v>No</v>
      </c>
      <c r="J1878" t="str">
        <f>VLOOKUP(Table2[[#This Row],[Customer ID]],Table2[#All],9,FALSE)</f>
        <v>Overweight</v>
      </c>
      <c r="K1878" t="str">
        <f>VLOOKUP(Table2[[#This Row],[Customer ID]],Table2[#All],10,FALSE)</f>
        <v>Normal</v>
      </c>
    </row>
    <row r="1879" spans="1:11" ht="15.6" x14ac:dyDescent="0.3">
      <c r="A1879" s="1" t="s">
        <v>490</v>
      </c>
      <c r="B1879" t="str">
        <f>VLOOKUP('Customer Names'!A1879,'Customer Names'!$A$1:$E$2336,4,FALSE)</f>
        <v>Mrs.  Katherine H.</v>
      </c>
      <c r="C1879">
        <f>VLOOKUP(Table2[[#This Row],[Customer ID]],Table2[#All],2,FALSE)</f>
        <v>27.1</v>
      </c>
      <c r="D1879">
        <f>VLOOKUP(Table2[[#This Row],[Customer ID]],Table2[#All],3,FALSE)</f>
        <v>4.01</v>
      </c>
      <c r="E1879" t="str">
        <f>VLOOKUP(Table2[[#This Row],[Customer ID]],Table2[#All],4,FALSE)</f>
        <v>Yes</v>
      </c>
      <c r="F1879" t="str">
        <f>VLOOKUP(Table2[[#This Row],[Customer ID]],Table2[#All],5,FALSE)</f>
        <v>No</v>
      </c>
      <c r="G1879" t="str">
        <f>VLOOKUP(Table2[[#This Row],[Customer ID]],Table2[#All],6,FALSE)</f>
        <v>No</v>
      </c>
      <c r="H1879">
        <f>VLOOKUP(Table2[[#This Row],[Customer ID]],Table2[#All],7,FALSE)</f>
        <v>1</v>
      </c>
      <c r="I1879" t="str">
        <f>VLOOKUP(Table2[[#This Row],[Customer ID]],Table2[#All],8,FALSE)</f>
        <v>No</v>
      </c>
      <c r="J1879" t="str">
        <f>VLOOKUP(Table2[[#This Row],[Customer ID]],Table2[#All],9,FALSE)</f>
        <v>Overweight</v>
      </c>
      <c r="K1879" t="str">
        <f>VLOOKUP(Table2[[#This Row],[Customer ID]],Table2[#All],10,FALSE)</f>
        <v>Normal</v>
      </c>
    </row>
    <row r="1880" spans="1:11" ht="15.6" x14ac:dyDescent="0.3">
      <c r="A1880" s="1" t="s">
        <v>489</v>
      </c>
      <c r="B1880" t="str">
        <f>VLOOKUP('Customer Names'!A1880,'Customer Names'!$A$1:$E$2336,4,FALSE)</f>
        <v>Ms.  Robin</v>
      </c>
      <c r="C1880">
        <f>VLOOKUP(Table2[[#This Row],[Customer ID]],Table2[#All],2,FALSE)</f>
        <v>24.31</v>
      </c>
      <c r="D1880">
        <f>VLOOKUP(Table2[[#This Row],[Customer ID]],Table2[#All],3,FALSE)</f>
        <v>5.4</v>
      </c>
      <c r="E1880" t="str">
        <f>VLOOKUP(Table2[[#This Row],[Customer ID]],Table2[#All],4,FALSE)</f>
        <v>No</v>
      </c>
      <c r="F1880" t="str">
        <f>VLOOKUP(Table2[[#This Row],[Customer ID]],Table2[#All],5,FALSE)</f>
        <v>No</v>
      </c>
      <c r="G1880" t="str">
        <f>VLOOKUP(Table2[[#This Row],[Customer ID]],Table2[#All],6,FALSE)</f>
        <v>No</v>
      </c>
      <c r="H1880">
        <f>VLOOKUP(Table2[[#This Row],[Customer ID]],Table2[#All],7,FALSE)</f>
        <v>0</v>
      </c>
      <c r="I1880" t="str">
        <f>VLOOKUP(Table2[[#This Row],[Customer ID]],Table2[#All],8,FALSE)</f>
        <v>No</v>
      </c>
      <c r="J1880" t="str">
        <f>VLOOKUP(Table2[[#This Row],[Customer ID]],Table2[#All],9,FALSE)</f>
        <v>Normalweight</v>
      </c>
      <c r="K1880" t="str">
        <f>VLOOKUP(Table2[[#This Row],[Customer ID]],Table2[#All],10,FALSE)</f>
        <v>Normal</v>
      </c>
    </row>
    <row r="1881" spans="1:11" ht="15.6" x14ac:dyDescent="0.3">
      <c r="A1881" s="1" t="s">
        <v>488</v>
      </c>
      <c r="B1881" t="str">
        <f>VLOOKUP('Customer Names'!A1881,'Customer Names'!$A$1:$E$2336,4,FALSE)</f>
        <v>Ms.  Terri</v>
      </c>
      <c r="C1881">
        <f>VLOOKUP(Table2[[#This Row],[Customer ID]],Table2[#All],2,FALSE)</f>
        <v>15.53</v>
      </c>
      <c r="D1881">
        <f>VLOOKUP(Table2[[#This Row],[Customer ID]],Table2[#All],3,FALSE)</f>
        <v>5.81</v>
      </c>
      <c r="E1881" t="str">
        <f>VLOOKUP(Table2[[#This Row],[Customer ID]],Table2[#All],4,FALSE)</f>
        <v>No</v>
      </c>
      <c r="F1881" t="str">
        <f>VLOOKUP(Table2[[#This Row],[Customer ID]],Table2[#All],5,FALSE)</f>
        <v>No</v>
      </c>
      <c r="G1881" t="str">
        <f>VLOOKUP(Table2[[#This Row],[Customer ID]],Table2[#All],6,FALSE)</f>
        <v>No</v>
      </c>
      <c r="H1881">
        <f>VLOOKUP(Table2[[#This Row],[Customer ID]],Table2[#All],7,FALSE)</f>
        <v>1</v>
      </c>
      <c r="I1881" t="str">
        <f>VLOOKUP(Table2[[#This Row],[Customer ID]],Table2[#All],8,FALSE)</f>
        <v>No</v>
      </c>
      <c r="J1881" t="str">
        <f>VLOOKUP(Table2[[#This Row],[Customer ID]],Table2[#All],9,FALSE)</f>
        <v>Underweight</v>
      </c>
      <c r="K1881" t="str">
        <f>VLOOKUP(Table2[[#This Row],[Customer ID]],Table2[#All],10,FALSE)</f>
        <v>Prediabetes</v>
      </c>
    </row>
    <row r="1882" spans="1:11" ht="15.6" x14ac:dyDescent="0.3">
      <c r="A1882" s="1" t="s">
        <v>487</v>
      </c>
      <c r="B1882" t="str">
        <f>VLOOKUP('Customer Names'!A1882,'Customer Names'!$A$1:$E$2336,4,FALSE)</f>
        <v>Mr.  Eddie</v>
      </c>
      <c r="C1882">
        <f>VLOOKUP(Table2[[#This Row],[Customer ID]],Table2[#All],2,FALSE)</f>
        <v>30.7</v>
      </c>
      <c r="D1882">
        <f>VLOOKUP(Table2[[#This Row],[Customer ID]],Table2[#All],3,FALSE)</f>
        <v>5.82</v>
      </c>
      <c r="E1882" t="str">
        <f>VLOOKUP(Table2[[#This Row],[Customer ID]],Table2[#All],4,FALSE)</f>
        <v>No</v>
      </c>
      <c r="F1882" t="str">
        <f>VLOOKUP(Table2[[#This Row],[Customer ID]],Table2[#All],5,FALSE)</f>
        <v>No</v>
      </c>
      <c r="G1882" t="str">
        <f>VLOOKUP(Table2[[#This Row],[Customer ID]],Table2[#All],6,FALSE)</f>
        <v>No</v>
      </c>
      <c r="H1882">
        <f>VLOOKUP(Table2[[#This Row],[Customer ID]],Table2[#All],7,FALSE)</f>
        <v>1</v>
      </c>
      <c r="I1882" t="str">
        <f>VLOOKUP(Table2[[#This Row],[Customer ID]],Table2[#All],8,FALSE)</f>
        <v>No</v>
      </c>
      <c r="J1882" t="str">
        <f>VLOOKUP(Table2[[#This Row],[Customer ID]],Table2[#All],9,FALSE)</f>
        <v>Obesity</v>
      </c>
      <c r="K1882" t="str">
        <f>VLOOKUP(Table2[[#This Row],[Customer ID]],Table2[#All],10,FALSE)</f>
        <v>Prediabetes</v>
      </c>
    </row>
    <row r="1883" spans="1:11" ht="15.6" x14ac:dyDescent="0.3">
      <c r="A1883" s="1" t="s">
        <v>486</v>
      </c>
      <c r="B1883" t="str">
        <f>VLOOKUP('Customer Names'!A1883,'Customer Names'!$A$1:$E$2336,4,FALSE)</f>
        <v>Ms.  Pamela</v>
      </c>
      <c r="C1883">
        <f>VLOOKUP(Table2[[#This Row],[Customer ID]],Table2[#All],2,FALSE)</f>
        <v>33.33</v>
      </c>
      <c r="D1883">
        <f>VLOOKUP(Table2[[#This Row],[Customer ID]],Table2[#All],3,FALSE)</f>
        <v>4.82</v>
      </c>
      <c r="E1883" t="str">
        <f>VLOOKUP(Table2[[#This Row],[Customer ID]],Table2[#All],4,FALSE)</f>
        <v>No</v>
      </c>
      <c r="F1883" t="str">
        <f>VLOOKUP(Table2[[#This Row],[Customer ID]],Table2[#All],5,FALSE)</f>
        <v>No</v>
      </c>
      <c r="G1883" t="str">
        <f>VLOOKUP(Table2[[#This Row],[Customer ID]],Table2[#All],6,FALSE)</f>
        <v>No</v>
      </c>
      <c r="H1883">
        <f>VLOOKUP(Table2[[#This Row],[Customer ID]],Table2[#All],7,FALSE)</f>
        <v>1</v>
      </c>
      <c r="I1883" t="str">
        <f>VLOOKUP(Table2[[#This Row],[Customer ID]],Table2[#All],8,FALSE)</f>
        <v>No</v>
      </c>
      <c r="J1883" t="str">
        <f>VLOOKUP(Table2[[#This Row],[Customer ID]],Table2[#All],9,FALSE)</f>
        <v>Obesity</v>
      </c>
      <c r="K1883" t="str">
        <f>VLOOKUP(Table2[[#This Row],[Customer ID]],Table2[#All],10,FALSE)</f>
        <v>Normal</v>
      </c>
    </row>
    <row r="1884" spans="1:11" ht="15.6" x14ac:dyDescent="0.3">
      <c r="A1884" s="1" t="s">
        <v>485</v>
      </c>
      <c r="B1884" t="str">
        <f>VLOOKUP('Customer Names'!A1884,'Customer Names'!$A$1:$E$2336,4,FALSE)</f>
        <v>Ms.  Joyce</v>
      </c>
      <c r="C1884">
        <f>VLOOKUP(Table2[[#This Row],[Customer ID]],Table2[#All],2,FALSE)</f>
        <v>32.4</v>
      </c>
      <c r="D1884">
        <f>VLOOKUP(Table2[[#This Row],[Customer ID]],Table2[#All],3,FALSE)</f>
        <v>5.08</v>
      </c>
      <c r="E1884" t="str">
        <f>VLOOKUP(Table2[[#This Row],[Customer ID]],Table2[#All],4,FALSE)</f>
        <v>No</v>
      </c>
      <c r="F1884" t="str">
        <f>VLOOKUP(Table2[[#This Row],[Customer ID]],Table2[#All],5,FALSE)</f>
        <v>No</v>
      </c>
      <c r="G1884" t="str">
        <f>VLOOKUP(Table2[[#This Row],[Customer ID]],Table2[#All],6,FALSE)</f>
        <v>No</v>
      </c>
      <c r="H1884">
        <f>VLOOKUP(Table2[[#This Row],[Customer ID]],Table2[#All],7,FALSE)</f>
        <v>1</v>
      </c>
      <c r="I1884" t="str">
        <f>VLOOKUP(Table2[[#This Row],[Customer ID]],Table2[#All],8,FALSE)</f>
        <v>No</v>
      </c>
      <c r="J1884" t="str">
        <f>VLOOKUP(Table2[[#This Row],[Customer ID]],Table2[#All],9,FALSE)</f>
        <v>Obesity</v>
      </c>
      <c r="K1884" t="str">
        <f>VLOOKUP(Table2[[#This Row],[Customer ID]],Table2[#All],10,FALSE)</f>
        <v>Normal</v>
      </c>
    </row>
    <row r="1885" spans="1:11" ht="15.6" x14ac:dyDescent="0.3">
      <c r="A1885" s="1" t="s">
        <v>484</v>
      </c>
      <c r="B1885" t="str">
        <f>VLOOKUP('Customer Names'!A1885,'Customer Names'!$A$1:$E$2336,4,FALSE)</f>
        <v>Ms.  Alison W.</v>
      </c>
      <c r="C1885">
        <f>VLOOKUP(Table2[[#This Row],[Customer ID]],Table2[#All],2,FALSE)</f>
        <v>27.93</v>
      </c>
      <c r="D1885">
        <f>VLOOKUP(Table2[[#This Row],[Customer ID]],Table2[#All],3,FALSE)</f>
        <v>5.59</v>
      </c>
      <c r="E1885" t="str">
        <f>VLOOKUP(Table2[[#This Row],[Customer ID]],Table2[#All],4,FALSE)</f>
        <v>No</v>
      </c>
      <c r="F1885" t="str">
        <f>VLOOKUP(Table2[[#This Row],[Customer ID]],Table2[#All],5,FALSE)</f>
        <v>No</v>
      </c>
      <c r="G1885" t="str">
        <f>VLOOKUP(Table2[[#This Row],[Customer ID]],Table2[#All],6,FALSE)</f>
        <v>No</v>
      </c>
      <c r="H1885">
        <f>VLOOKUP(Table2[[#This Row],[Customer ID]],Table2[#All],7,FALSE)</f>
        <v>1</v>
      </c>
      <c r="I1885" t="str">
        <f>VLOOKUP(Table2[[#This Row],[Customer ID]],Table2[#All],8,FALSE)</f>
        <v>No</v>
      </c>
      <c r="J1885" t="str">
        <f>VLOOKUP(Table2[[#This Row],[Customer ID]],Table2[#All],9,FALSE)</f>
        <v>Overweight</v>
      </c>
      <c r="K1885" t="str">
        <f>VLOOKUP(Table2[[#This Row],[Customer ID]],Table2[#All],10,FALSE)</f>
        <v>Normal</v>
      </c>
    </row>
    <row r="1886" spans="1:11" ht="15.6" x14ac:dyDescent="0.3">
      <c r="A1886" s="1" t="s">
        <v>483</v>
      </c>
      <c r="B1886" t="str">
        <f>VLOOKUP('Customer Names'!A1886,'Customer Names'!$A$1:$E$2336,4,FALSE)</f>
        <v>Ms.  Tammara C</v>
      </c>
      <c r="C1886">
        <f>VLOOKUP(Table2[[#This Row],[Customer ID]],Table2[#All],2,FALSE)</f>
        <v>21.754999999999999</v>
      </c>
      <c r="D1886">
        <f>VLOOKUP(Table2[[#This Row],[Customer ID]],Table2[#All],3,FALSE)</f>
        <v>5.12</v>
      </c>
      <c r="E1886" t="str">
        <f>VLOOKUP(Table2[[#This Row],[Customer ID]],Table2[#All],4,FALSE)</f>
        <v>No</v>
      </c>
      <c r="F1886" t="str">
        <f>VLOOKUP(Table2[[#This Row],[Customer ID]],Table2[#All],5,FALSE)</f>
        <v>No</v>
      </c>
      <c r="G1886" t="str">
        <f>VLOOKUP(Table2[[#This Row],[Customer ID]],Table2[#All],6,FALSE)</f>
        <v>No</v>
      </c>
      <c r="H1886">
        <f>VLOOKUP(Table2[[#This Row],[Customer ID]],Table2[#All],7,FALSE)</f>
        <v>0</v>
      </c>
      <c r="I1886" t="str">
        <f>VLOOKUP(Table2[[#This Row],[Customer ID]],Table2[#All],8,FALSE)</f>
        <v>No</v>
      </c>
      <c r="J1886" t="str">
        <f>VLOOKUP(Table2[[#This Row],[Customer ID]],Table2[#All],9,FALSE)</f>
        <v>Normalweight</v>
      </c>
      <c r="K1886" t="str">
        <f>VLOOKUP(Table2[[#This Row],[Customer ID]],Table2[#All],10,FALSE)</f>
        <v>Normal</v>
      </c>
    </row>
    <row r="1887" spans="1:11" ht="15.6" x14ac:dyDescent="0.3">
      <c r="A1887" s="1" t="s">
        <v>482</v>
      </c>
      <c r="B1887" t="str">
        <f>VLOOKUP('Customer Names'!A1887,'Customer Names'!$A$1:$E$2336,4,FALSE)</f>
        <v>Ms.  Dorota</v>
      </c>
      <c r="C1887">
        <f>VLOOKUP(Table2[[#This Row],[Customer ID]],Table2[#All],2,FALSE)</f>
        <v>25.934999999999999</v>
      </c>
      <c r="D1887">
        <f>VLOOKUP(Table2[[#This Row],[Customer ID]],Table2[#All],3,FALSE)</f>
        <v>4.95</v>
      </c>
      <c r="E1887" t="str">
        <f>VLOOKUP(Table2[[#This Row],[Customer ID]],Table2[#All],4,FALSE)</f>
        <v>No</v>
      </c>
      <c r="F1887" t="str">
        <f>VLOOKUP(Table2[[#This Row],[Customer ID]],Table2[#All],5,FALSE)</f>
        <v>No</v>
      </c>
      <c r="G1887" t="str">
        <f>VLOOKUP(Table2[[#This Row],[Customer ID]],Table2[#All],6,FALSE)</f>
        <v>No</v>
      </c>
      <c r="H1887">
        <f>VLOOKUP(Table2[[#This Row],[Customer ID]],Table2[#All],7,FALSE)</f>
        <v>0</v>
      </c>
      <c r="I1887" t="str">
        <f>VLOOKUP(Table2[[#This Row],[Customer ID]],Table2[#All],8,FALSE)</f>
        <v>No</v>
      </c>
      <c r="J1887" t="str">
        <f>VLOOKUP(Table2[[#This Row],[Customer ID]],Table2[#All],9,FALSE)</f>
        <v>Overweight</v>
      </c>
      <c r="K1887" t="str">
        <f>VLOOKUP(Table2[[#This Row],[Customer ID]],Table2[#All],10,FALSE)</f>
        <v>Normal</v>
      </c>
    </row>
    <row r="1888" spans="1:11" ht="15.6" x14ac:dyDescent="0.3">
      <c r="A1888" s="1" t="s">
        <v>481</v>
      </c>
      <c r="B1888" t="str">
        <f>VLOOKUP('Customer Names'!A1888,'Customer Names'!$A$1:$E$2336,4,FALSE)</f>
        <v>Mr.  Jose Norberto Sr.</v>
      </c>
      <c r="C1888">
        <f>VLOOKUP(Table2[[#This Row],[Customer ID]],Table2[#All],2,FALSE)</f>
        <v>31.5</v>
      </c>
      <c r="D1888">
        <f>VLOOKUP(Table2[[#This Row],[Customer ID]],Table2[#All],3,FALSE)</f>
        <v>6.16</v>
      </c>
      <c r="E1888" t="str">
        <f>VLOOKUP(Table2[[#This Row],[Customer ID]],Table2[#All],4,FALSE)</f>
        <v>No</v>
      </c>
      <c r="F1888" t="str">
        <f>VLOOKUP(Table2[[#This Row],[Customer ID]],Table2[#All],5,FALSE)</f>
        <v>No</v>
      </c>
      <c r="G1888" t="str">
        <f>VLOOKUP(Table2[[#This Row],[Customer ID]],Table2[#All],6,FALSE)</f>
        <v>No</v>
      </c>
      <c r="H1888">
        <f>VLOOKUP(Table2[[#This Row],[Customer ID]],Table2[#All],7,FALSE)</f>
        <v>0</v>
      </c>
      <c r="I1888" t="str">
        <f>VLOOKUP(Table2[[#This Row],[Customer ID]],Table2[#All],8,FALSE)</f>
        <v>No</v>
      </c>
      <c r="J1888" t="str">
        <f>VLOOKUP(Table2[[#This Row],[Customer ID]],Table2[#All],9,FALSE)</f>
        <v>Obesity</v>
      </c>
      <c r="K1888" t="str">
        <f>VLOOKUP(Table2[[#This Row],[Customer ID]],Table2[#All],10,FALSE)</f>
        <v>Prediabetes</v>
      </c>
    </row>
    <row r="1889" spans="1:11" ht="15.6" x14ac:dyDescent="0.3">
      <c r="A1889" s="1" t="s">
        <v>480</v>
      </c>
      <c r="B1889" t="str">
        <f>VLOOKUP('Customer Names'!A1889,'Customer Names'!$A$1:$E$2336,4,FALSE)</f>
        <v>Mr.  Peter</v>
      </c>
      <c r="C1889">
        <f>VLOOKUP(Table2[[#This Row],[Customer ID]],Table2[#All],2,FALSE)</f>
        <v>30.03</v>
      </c>
      <c r="D1889">
        <f>VLOOKUP(Table2[[#This Row],[Customer ID]],Table2[#All],3,FALSE)</f>
        <v>6.41</v>
      </c>
      <c r="E1889" t="str">
        <f>VLOOKUP(Table2[[#This Row],[Customer ID]],Table2[#All],4,FALSE)</f>
        <v>No</v>
      </c>
      <c r="F1889" t="str">
        <f>VLOOKUP(Table2[[#This Row],[Customer ID]],Table2[#All],5,FALSE)</f>
        <v>No</v>
      </c>
      <c r="G1889" t="str">
        <f>VLOOKUP(Table2[[#This Row],[Customer ID]],Table2[#All],6,FALSE)</f>
        <v>No</v>
      </c>
      <c r="H1889">
        <f>VLOOKUP(Table2[[#This Row],[Customer ID]],Table2[#All],7,FALSE)</f>
        <v>0</v>
      </c>
      <c r="I1889" t="str">
        <f>VLOOKUP(Table2[[#This Row],[Customer ID]],Table2[#All],8,FALSE)</f>
        <v>No</v>
      </c>
      <c r="J1889" t="str">
        <f>VLOOKUP(Table2[[#This Row],[Customer ID]],Table2[#All],9,FALSE)</f>
        <v>Obesity</v>
      </c>
      <c r="K1889" t="str">
        <f>VLOOKUP(Table2[[#This Row],[Customer ID]],Table2[#All],10,FALSE)</f>
        <v>Prediabetes</v>
      </c>
    </row>
    <row r="1890" spans="1:11" ht="15.6" x14ac:dyDescent="0.3">
      <c r="A1890" s="1" t="s">
        <v>479</v>
      </c>
      <c r="B1890" t="str">
        <f>VLOOKUP('Customer Names'!A1890,'Customer Names'!$A$1:$E$2336,4,FALSE)</f>
        <v>Mr.  Bryant</v>
      </c>
      <c r="C1890">
        <f>VLOOKUP(Table2[[#This Row],[Customer ID]],Table2[#All],2,FALSE)</f>
        <v>33.479999999999997</v>
      </c>
      <c r="D1890">
        <f>VLOOKUP(Table2[[#This Row],[Customer ID]],Table2[#All],3,FALSE)</f>
        <v>8.94</v>
      </c>
      <c r="E1890" t="str">
        <f>VLOOKUP(Table2[[#This Row],[Customer ID]],Table2[#All],4,FALSE)</f>
        <v>No</v>
      </c>
      <c r="F1890" t="str">
        <f>VLOOKUP(Table2[[#This Row],[Customer ID]],Table2[#All],5,FALSE)</f>
        <v>No</v>
      </c>
      <c r="G1890" t="str">
        <f>VLOOKUP(Table2[[#This Row],[Customer ID]],Table2[#All],6,FALSE)</f>
        <v>No</v>
      </c>
      <c r="H1890">
        <f>VLOOKUP(Table2[[#This Row],[Customer ID]],Table2[#All],7,FALSE)</f>
        <v>0</v>
      </c>
      <c r="I1890" t="str">
        <f>VLOOKUP(Table2[[#This Row],[Customer ID]],Table2[#All],8,FALSE)</f>
        <v>No</v>
      </c>
      <c r="J1890" t="str">
        <f>VLOOKUP(Table2[[#This Row],[Customer ID]],Table2[#All],9,FALSE)</f>
        <v>Obesity</v>
      </c>
      <c r="K1890" t="str">
        <f>VLOOKUP(Table2[[#This Row],[Customer ID]],Table2[#All],10,FALSE)</f>
        <v>Diabetes</v>
      </c>
    </row>
    <row r="1891" spans="1:11" ht="15.6" x14ac:dyDescent="0.3">
      <c r="A1891" s="1" t="s">
        <v>478</v>
      </c>
      <c r="B1891" t="str">
        <f>VLOOKUP('Customer Names'!A1891,'Customer Names'!$A$1:$E$2336,4,FALSE)</f>
        <v>Ms.  Christina</v>
      </c>
      <c r="C1891">
        <f>VLOOKUP(Table2[[#This Row],[Customer ID]],Table2[#All],2,FALSE)</f>
        <v>16.510000000000002</v>
      </c>
      <c r="D1891">
        <f>VLOOKUP(Table2[[#This Row],[Customer ID]],Table2[#All],3,FALSE)</f>
        <v>4.42</v>
      </c>
      <c r="E1891" t="str">
        <f>VLOOKUP(Table2[[#This Row],[Customer ID]],Table2[#All],4,FALSE)</f>
        <v>Yes</v>
      </c>
      <c r="F1891" t="str">
        <f>VLOOKUP(Table2[[#This Row],[Customer ID]],Table2[#All],5,FALSE)</f>
        <v>No</v>
      </c>
      <c r="G1891" t="str">
        <f>VLOOKUP(Table2[[#This Row],[Customer ID]],Table2[#All],6,FALSE)</f>
        <v>Yes</v>
      </c>
      <c r="H1891">
        <f>VLOOKUP(Table2[[#This Row],[Customer ID]],Table2[#All],7,FALSE)</f>
        <v>1</v>
      </c>
      <c r="I1891" t="str">
        <f>VLOOKUP(Table2[[#This Row],[Customer ID]],Table2[#All],8,FALSE)</f>
        <v>No</v>
      </c>
      <c r="J1891" t="str">
        <f>VLOOKUP(Table2[[#This Row],[Customer ID]],Table2[#All],9,FALSE)</f>
        <v>Underweight</v>
      </c>
      <c r="K1891" t="str">
        <f>VLOOKUP(Table2[[#This Row],[Customer ID]],Table2[#All],10,FALSE)</f>
        <v>Normal</v>
      </c>
    </row>
    <row r="1892" spans="1:11" ht="15.6" x14ac:dyDescent="0.3">
      <c r="A1892" s="1" t="s">
        <v>477</v>
      </c>
      <c r="B1892" t="str">
        <f>VLOOKUP('Customer Names'!A1892,'Customer Names'!$A$1:$E$2336,4,FALSE)</f>
        <v>Mr.  John</v>
      </c>
      <c r="C1892">
        <f>VLOOKUP(Table2[[#This Row],[Customer ID]],Table2[#All],2,FALSE)</f>
        <v>33.155000000000001</v>
      </c>
      <c r="D1892">
        <f>VLOOKUP(Table2[[#This Row],[Customer ID]],Table2[#All],3,FALSE)</f>
        <v>5.3</v>
      </c>
      <c r="E1892" t="str">
        <f>VLOOKUP(Table2[[#This Row],[Customer ID]],Table2[#All],4,FALSE)</f>
        <v>Yes</v>
      </c>
      <c r="F1892" t="str">
        <f>VLOOKUP(Table2[[#This Row],[Customer ID]],Table2[#All],5,FALSE)</f>
        <v>No</v>
      </c>
      <c r="G1892" t="str">
        <f>VLOOKUP(Table2[[#This Row],[Customer ID]],Table2[#All],6,FALSE)</f>
        <v>No</v>
      </c>
      <c r="H1892">
        <f>VLOOKUP(Table2[[#This Row],[Customer ID]],Table2[#All],7,FALSE)</f>
        <v>1</v>
      </c>
      <c r="I1892" t="str">
        <f>VLOOKUP(Table2[[#This Row],[Customer ID]],Table2[#All],8,FALSE)</f>
        <v>No</v>
      </c>
      <c r="J1892" t="str">
        <f>VLOOKUP(Table2[[#This Row],[Customer ID]],Table2[#All],9,FALSE)</f>
        <v>Obesity</v>
      </c>
      <c r="K1892" t="str">
        <f>VLOOKUP(Table2[[#This Row],[Customer ID]],Table2[#All],10,FALSE)</f>
        <v>Normal</v>
      </c>
    </row>
    <row r="1893" spans="1:11" ht="15.6" x14ac:dyDescent="0.3">
      <c r="A1893" s="1" t="s">
        <v>476</v>
      </c>
      <c r="B1893" t="str">
        <f>VLOOKUP('Customer Names'!A1893,'Customer Names'!$A$1:$E$2336,4,FALSE)</f>
        <v>Mr.  Eduardo</v>
      </c>
      <c r="C1893">
        <f>VLOOKUP(Table2[[#This Row],[Customer ID]],Table2[#All],2,FALSE)</f>
        <v>37.29</v>
      </c>
      <c r="D1893">
        <f>VLOOKUP(Table2[[#This Row],[Customer ID]],Table2[#All],3,FALSE)</f>
        <v>4.6399999999999997</v>
      </c>
      <c r="E1893" t="str">
        <f>VLOOKUP(Table2[[#This Row],[Customer ID]],Table2[#All],4,FALSE)</f>
        <v>No</v>
      </c>
      <c r="F1893" t="str">
        <f>VLOOKUP(Table2[[#This Row],[Customer ID]],Table2[#All],5,FALSE)</f>
        <v>No</v>
      </c>
      <c r="G1893" t="str">
        <f>VLOOKUP(Table2[[#This Row],[Customer ID]],Table2[#All],6,FALSE)</f>
        <v>Yes</v>
      </c>
      <c r="H1893">
        <f>VLOOKUP(Table2[[#This Row],[Customer ID]],Table2[#All],7,FALSE)</f>
        <v>1</v>
      </c>
      <c r="I1893" t="str">
        <f>VLOOKUP(Table2[[#This Row],[Customer ID]],Table2[#All],8,FALSE)</f>
        <v>No</v>
      </c>
      <c r="J1893" t="str">
        <f>VLOOKUP(Table2[[#This Row],[Customer ID]],Table2[#All],9,FALSE)</f>
        <v>Obesity</v>
      </c>
      <c r="K1893" t="str">
        <f>VLOOKUP(Table2[[#This Row],[Customer ID]],Table2[#All],10,FALSE)</f>
        <v>Normal</v>
      </c>
    </row>
    <row r="1894" spans="1:11" ht="15.6" x14ac:dyDescent="0.3">
      <c r="A1894" s="1" t="s">
        <v>475</v>
      </c>
      <c r="B1894" t="str">
        <f>VLOOKUP('Customer Names'!A1894,'Customer Names'!$A$1:$E$2336,4,FALSE)</f>
        <v>Ms.  Laura M.</v>
      </c>
      <c r="C1894">
        <f>VLOOKUP(Table2[[#This Row],[Customer ID]],Table2[#All],2,FALSE)</f>
        <v>20.23</v>
      </c>
      <c r="D1894">
        <f>VLOOKUP(Table2[[#This Row],[Customer ID]],Table2[#All],3,FALSE)</f>
        <v>6.16</v>
      </c>
      <c r="E1894" t="str">
        <f>VLOOKUP(Table2[[#This Row],[Customer ID]],Table2[#All],4,FALSE)</f>
        <v>Yes</v>
      </c>
      <c r="F1894" t="str">
        <f>VLOOKUP(Table2[[#This Row],[Customer ID]],Table2[#All],5,FALSE)</f>
        <v>No</v>
      </c>
      <c r="G1894" t="str">
        <f>VLOOKUP(Table2[[#This Row],[Customer ID]],Table2[#All],6,FALSE)</f>
        <v>No</v>
      </c>
      <c r="H1894">
        <f>VLOOKUP(Table2[[#This Row],[Customer ID]],Table2[#All],7,FALSE)</f>
        <v>1</v>
      </c>
      <c r="I1894" t="str">
        <f>VLOOKUP(Table2[[#This Row],[Customer ID]],Table2[#All],8,FALSE)</f>
        <v>No</v>
      </c>
      <c r="J1894" t="str">
        <f>VLOOKUP(Table2[[#This Row],[Customer ID]],Table2[#All],9,FALSE)</f>
        <v>Normalweight</v>
      </c>
      <c r="K1894" t="str">
        <f>VLOOKUP(Table2[[#This Row],[Customer ID]],Table2[#All],10,FALSE)</f>
        <v>Prediabetes</v>
      </c>
    </row>
    <row r="1895" spans="1:11" ht="15.6" x14ac:dyDescent="0.3">
      <c r="A1895" s="1" t="s">
        <v>474</v>
      </c>
      <c r="B1895" t="str">
        <f>VLOOKUP('Customer Names'!A1895,'Customer Names'!$A$1:$E$2336,4,FALSE)</f>
        <v>Mr.  Charlie</v>
      </c>
      <c r="C1895">
        <f>VLOOKUP(Table2[[#This Row],[Customer ID]],Table2[#All],2,FALSE)</f>
        <v>28.975000000000001</v>
      </c>
      <c r="D1895">
        <f>VLOOKUP(Table2[[#This Row],[Customer ID]],Table2[#All],3,FALSE)</f>
        <v>4.12</v>
      </c>
      <c r="E1895" t="str">
        <f>VLOOKUP(Table2[[#This Row],[Customer ID]],Table2[#All],4,FALSE)</f>
        <v>No</v>
      </c>
      <c r="F1895" t="str">
        <f>VLOOKUP(Table2[[#This Row],[Customer ID]],Table2[#All],5,FALSE)</f>
        <v>No</v>
      </c>
      <c r="G1895" t="str">
        <f>VLOOKUP(Table2[[#This Row],[Customer ID]],Table2[#All],6,FALSE)</f>
        <v>Yes</v>
      </c>
      <c r="H1895">
        <f>VLOOKUP(Table2[[#This Row],[Customer ID]],Table2[#All],7,FALSE)</f>
        <v>1</v>
      </c>
      <c r="I1895" t="str">
        <f>VLOOKUP(Table2[[#This Row],[Customer ID]],Table2[#All],8,FALSE)</f>
        <v>No</v>
      </c>
      <c r="J1895" t="str">
        <f>VLOOKUP(Table2[[#This Row],[Customer ID]],Table2[#All],9,FALSE)</f>
        <v>Overweight</v>
      </c>
      <c r="K1895" t="str">
        <f>VLOOKUP(Table2[[#This Row],[Customer ID]],Table2[#All],10,FALSE)</f>
        <v>Normal</v>
      </c>
    </row>
    <row r="1896" spans="1:11" ht="15.6" x14ac:dyDescent="0.3">
      <c r="A1896" s="1" t="s">
        <v>473</v>
      </c>
      <c r="B1896" t="str">
        <f>VLOOKUP('Customer Names'!A1896,'Customer Names'!$A$1:$E$2336,4,FALSE)</f>
        <v>Ms.  Melissa D.</v>
      </c>
      <c r="C1896">
        <f>VLOOKUP(Table2[[#This Row],[Customer ID]],Table2[#All],2,FALSE)</f>
        <v>16.420000000000002</v>
      </c>
      <c r="D1896">
        <f>VLOOKUP(Table2[[#This Row],[Customer ID]],Table2[#All],3,FALSE)</f>
        <v>5.77</v>
      </c>
      <c r="E1896" t="str">
        <f>VLOOKUP(Table2[[#This Row],[Customer ID]],Table2[#All],4,FALSE)</f>
        <v>Yes</v>
      </c>
      <c r="F1896" t="str">
        <f>VLOOKUP(Table2[[#This Row],[Customer ID]],Table2[#All],5,FALSE)</f>
        <v>No</v>
      </c>
      <c r="G1896" t="str">
        <f>VLOOKUP(Table2[[#This Row],[Customer ID]],Table2[#All],6,FALSE)</f>
        <v>Yes</v>
      </c>
      <c r="H1896">
        <f>VLOOKUP(Table2[[#This Row],[Customer ID]],Table2[#All],7,FALSE)</f>
        <v>1</v>
      </c>
      <c r="I1896" t="str">
        <f>VLOOKUP(Table2[[#This Row],[Customer ID]],Table2[#All],8,FALSE)</f>
        <v>No</v>
      </c>
      <c r="J1896" t="str">
        <f>VLOOKUP(Table2[[#This Row],[Customer ID]],Table2[#All],9,FALSE)</f>
        <v>Underweight</v>
      </c>
      <c r="K1896" t="str">
        <f>VLOOKUP(Table2[[#This Row],[Customer ID]],Table2[#All],10,FALSE)</f>
        <v>Prediabetes</v>
      </c>
    </row>
    <row r="1897" spans="1:11" ht="15.6" x14ac:dyDescent="0.3">
      <c r="A1897" s="1" t="s">
        <v>472</v>
      </c>
      <c r="B1897" t="str">
        <f>VLOOKUP('Customer Names'!A1897,'Customer Names'!$A$1:$E$2336,4,FALSE)</f>
        <v>Mr.  Dan C. Jr.</v>
      </c>
      <c r="C1897">
        <f>VLOOKUP(Table2[[#This Row],[Customer ID]],Table2[#All],2,FALSE)</f>
        <v>17.559999999999999</v>
      </c>
      <c r="D1897">
        <f>VLOOKUP(Table2[[#This Row],[Customer ID]],Table2[#All],3,FALSE)</f>
        <v>6.2</v>
      </c>
      <c r="E1897" t="str">
        <f>VLOOKUP(Table2[[#This Row],[Customer ID]],Table2[#All],4,FALSE)</f>
        <v>No</v>
      </c>
      <c r="F1897" t="str">
        <f>VLOOKUP(Table2[[#This Row],[Customer ID]],Table2[#All],5,FALSE)</f>
        <v>No</v>
      </c>
      <c r="G1897" t="str">
        <f>VLOOKUP(Table2[[#This Row],[Customer ID]],Table2[#All],6,FALSE)</f>
        <v>No</v>
      </c>
      <c r="H1897">
        <f>VLOOKUP(Table2[[#This Row],[Customer ID]],Table2[#All],7,FALSE)</f>
        <v>1</v>
      </c>
      <c r="I1897" t="str">
        <f>VLOOKUP(Table2[[#This Row],[Customer ID]],Table2[#All],8,FALSE)</f>
        <v>No</v>
      </c>
      <c r="J1897" t="str">
        <f>VLOOKUP(Table2[[#This Row],[Customer ID]],Table2[#All],9,FALSE)</f>
        <v>Underweight</v>
      </c>
      <c r="K1897" t="str">
        <f>VLOOKUP(Table2[[#This Row],[Customer ID]],Table2[#All],10,FALSE)</f>
        <v>Prediabetes</v>
      </c>
    </row>
    <row r="1898" spans="1:11" ht="15.6" x14ac:dyDescent="0.3">
      <c r="A1898" s="1" t="s">
        <v>471</v>
      </c>
      <c r="B1898" t="str">
        <f>VLOOKUP('Customer Names'!A1898,'Customer Names'!$A$1:$E$2336,4,FALSE)</f>
        <v>Mr.  Matthew</v>
      </c>
      <c r="C1898">
        <f>VLOOKUP(Table2[[#This Row],[Customer ID]],Table2[#All],2,FALSE)</f>
        <v>24.13</v>
      </c>
      <c r="D1898">
        <f>VLOOKUP(Table2[[#This Row],[Customer ID]],Table2[#All],3,FALSE)</f>
        <v>4.3899999999999997</v>
      </c>
      <c r="E1898" t="str">
        <f>VLOOKUP(Table2[[#This Row],[Customer ID]],Table2[#All],4,FALSE)</f>
        <v>No</v>
      </c>
      <c r="F1898" t="str">
        <f>VLOOKUP(Table2[[#This Row],[Customer ID]],Table2[#All],5,FALSE)</f>
        <v>No</v>
      </c>
      <c r="G1898" t="str">
        <f>VLOOKUP(Table2[[#This Row],[Customer ID]],Table2[#All],6,FALSE)</f>
        <v>No</v>
      </c>
      <c r="H1898">
        <f>VLOOKUP(Table2[[#This Row],[Customer ID]],Table2[#All],7,FALSE)</f>
        <v>1</v>
      </c>
      <c r="I1898" t="str">
        <f>VLOOKUP(Table2[[#This Row],[Customer ID]],Table2[#All],8,FALSE)</f>
        <v>No</v>
      </c>
      <c r="J1898" t="str">
        <f>VLOOKUP(Table2[[#This Row],[Customer ID]],Table2[#All],9,FALSE)</f>
        <v>Normalweight</v>
      </c>
      <c r="K1898" t="str">
        <f>VLOOKUP(Table2[[#This Row],[Customer ID]],Table2[#All],10,FALSE)</f>
        <v>Normal</v>
      </c>
    </row>
    <row r="1899" spans="1:11" ht="15.6" x14ac:dyDescent="0.3">
      <c r="A1899" s="1" t="s">
        <v>470</v>
      </c>
      <c r="B1899" t="str">
        <f>VLOOKUP('Customer Names'!A1899,'Customer Names'!$A$1:$E$2336,4,FALSE)</f>
        <v>Mr.  Wesley C.</v>
      </c>
      <c r="C1899">
        <f>VLOOKUP(Table2[[#This Row],[Customer ID]],Table2[#All],2,FALSE)</f>
        <v>19.95</v>
      </c>
      <c r="D1899">
        <f>VLOOKUP(Table2[[#This Row],[Customer ID]],Table2[#All],3,FALSE)</f>
        <v>5.13</v>
      </c>
      <c r="E1899" t="str">
        <f>VLOOKUP(Table2[[#This Row],[Customer ID]],Table2[#All],4,FALSE)</f>
        <v>No</v>
      </c>
      <c r="F1899" t="str">
        <f>VLOOKUP(Table2[[#This Row],[Customer ID]],Table2[#All],5,FALSE)</f>
        <v>yes</v>
      </c>
      <c r="G1899" t="str">
        <f>VLOOKUP(Table2[[#This Row],[Customer ID]],Table2[#All],6,FALSE)</f>
        <v>No</v>
      </c>
      <c r="H1899">
        <f>VLOOKUP(Table2[[#This Row],[Customer ID]],Table2[#All],7,FALSE)</f>
        <v>2</v>
      </c>
      <c r="I1899" t="str">
        <f>VLOOKUP(Table2[[#This Row],[Customer ID]],Table2[#All],8,FALSE)</f>
        <v>No</v>
      </c>
      <c r="J1899" t="str">
        <f>VLOOKUP(Table2[[#This Row],[Customer ID]],Table2[#All],9,FALSE)</f>
        <v>Normalweight</v>
      </c>
      <c r="K1899" t="str">
        <f>VLOOKUP(Table2[[#This Row],[Customer ID]],Table2[#All],10,FALSE)</f>
        <v>Normal</v>
      </c>
    </row>
    <row r="1900" spans="1:11" ht="15.6" x14ac:dyDescent="0.3">
      <c r="A1900" s="1" t="s">
        <v>469</v>
      </c>
      <c r="B1900" t="str">
        <f>VLOOKUP('Customer Names'!A1900,'Customer Names'!$A$1:$E$2336,4,FALSE)</f>
        <v>Mr.  Christopher</v>
      </c>
      <c r="C1900">
        <f>VLOOKUP(Table2[[#This Row],[Customer ID]],Table2[#All],2,FALSE)</f>
        <v>21.24</v>
      </c>
      <c r="D1900">
        <f>VLOOKUP(Table2[[#This Row],[Customer ID]],Table2[#All],3,FALSE)</f>
        <v>4.49</v>
      </c>
      <c r="E1900" t="str">
        <f>VLOOKUP(Table2[[#This Row],[Customer ID]],Table2[#All],4,FALSE)</f>
        <v>No</v>
      </c>
      <c r="F1900" t="str">
        <f>VLOOKUP(Table2[[#This Row],[Customer ID]],Table2[#All],5,FALSE)</f>
        <v>No</v>
      </c>
      <c r="G1900" t="str">
        <f>VLOOKUP(Table2[[#This Row],[Customer ID]],Table2[#All],6,FALSE)</f>
        <v>No</v>
      </c>
      <c r="H1900">
        <f>VLOOKUP(Table2[[#This Row],[Customer ID]],Table2[#All],7,FALSE)</f>
        <v>0</v>
      </c>
      <c r="I1900" t="str">
        <f>VLOOKUP(Table2[[#This Row],[Customer ID]],Table2[#All],8,FALSE)</f>
        <v>No</v>
      </c>
      <c r="J1900" t="str">
        <f>VLOOKUP(Table2[[#This Row],[Customer ID]],Table2[#All],9,FALSE)</f>
        <v>Normalweight</v>
      </c>
      <c r="K1900" t="str">
        <f>VLOOKUP(Table2[[#This Row],[Customer ID]],Table2[#All],10,FALSE)</f>
        <v>Normal</v>
      </c>
    </row>
    <row r="1901" spans="1:11" ht="15.6" x14ac:dyDescent="0.3">
      <c r="A1901" s="1" t="s">
        <v>468</v>
      </c>
      <c r="B1901" t="str">
        <f>VLOOKUP('Customer Names'!A1901,'Customer Names'!$A$1:$E$2336,4,FALSE)</f>
        <v>Ms.  Jessica</v>
      </c>
      <c r="C1901">
        <f>VLOOKUP(Table2[[#This Row],[Customer ID]],Table2[#All],2,FALSE)</f>
        <v>44.22</v>
      </c>
      <c r="D1901">
        <f>VLOOKUP(Table2[[#This Row],[Customer ID]],Table2[#All],3,FALSE)</f>
        <v>6.35</v>
      </c>
      <c r="E1901" t="str">
        <f>VLOOKUP(Table2[[#This Row],[Customer ID]],Table2[#All],4,FALSE)</f>
        <v>No</v>
      </c>
      <c r="F1901" t="str">
        <f>VLOOKUP(Table2[[#This Row],[Customer ID]],Table2[#All],5,FALSE)</f>
        <v>No</v>
      </c>
      <c r="G1901" t="str">
        <f>VLOOKUP(Table2[[#This Row],[Customer ID]],Table2[#All],6,FALSE)</f>
        <v>No</v>
      </c>
      <c r="H1901">
        <f>VLOOKUP(Table2[[#This Row],[Customer ID]],Table2[#All],7,FALSE)</f>
        <v>0</v>
      </c>
      <c r="I1901" t="str">
        <f>VLOOKUP(Table2[[#This Row],[Customer ID]],Table2[#All],8,FALSE)</f>
        <v>No</v>
      </c>
      <c r="J1901" t="str">
        <f>VLOOKUP(Table2[[#This Row],[Customer ID]],Table2[#All],9,FALSE)</f>
        <v>Obesity</v>
      </c>
      <c r="K1901" t="str">
        <f>VLOOKUP(Table2[[#This Row],[Customer ID]],Table2[#All],10,FALSE)</f>
        <v>Prediabetes</v>
      </c>
    </row>
    <row r="1902" spans="1:11" ht="15.6" x14ac:dyDescent="0.3">
      <c r="A1902" s="1" t="s">
        <v>467</v>
      </c>
      <c r="B1902" t="str">
        <f>VLOOKUP('Customer Names'!A1902,'Customer Names'!$A$1:$E$2336,4,FALSE)</f>
        <v>Ms.  Christin</v>
      </c>
      <c r="C1902">
        <f>VLOOKUP(Table2[[#This Row],[Customer ID]],Table2[#All],2,FALSE)</f>
        <v>41.1</v>
      </c>
      <c r="D1902">
        <f>VLOOKUP(Table2[[#This Row],[Customer ID]],Table2[#All],3,FALSE)</f>
        <v>5.79</v>
      </c>
      <c r="E1902" t="str">
        <f>VLOOKUP(Table2[[#This Row],[Customer ID]],Table2[#All],4,FALSE)</f>
        <v>No</v>
      </c>
      <c r="F1902" t="str">
        <f>VLOOKUP(Table2[[#This Row],[Customer ID]],Table2[#All],5,FALSE)</f>
        <v>No</v>
      </c>
      <c r="G1902" t="str">
        <f>VLOOKUP(Table2[[#This Row],[Customer ID]],Table2[#All],6,FALSE)</f>
        <v>No</v>
      </c>
      <c r="H1902">
        <f>VLOOKUP(Table2[[#This Row],[Customer ID]],Table2[#All],7,FALSE)</f>
        <v>0</v>
      </c>
      <c r="I1902" t="str">
        <f>VLOOKUP(Table2[[#This Row],[Customer ID]],Table2[#All],8,FALSE)</f>
        <v>No</v>
      </c>
      <c r="J1902" t="str">
        <f>VLOOKUP(Table2[[#This Row],[Customer ID]],Table2[#All],9,FALSE)</f>
        <v>Obesity</v>
      </c>
      <c r="K1902" t="str">
        <f>VLOOKUP(Table2[[#This Row],[Customer ID]],Table2[#All],10,FALSE)</f>
        <v>Prediabetes</v>
      </c>
    </row>
    <row r="1903" spans="1:11" ht="15.6" x14ac:dyDescent="0.3">
      <c r="A1903" s="1" t="s">
        <v>466</v>
      </c>
      <c r="B1903" t="str">
        <f>VLOOKUP('Customer Names'!A1903,'Customer Names'!$A$1:$E$2336,4,FALSE)</f>
        <v>Ms.  Sara</v>
      </c>
      <c r="C1903">
        <f>VLOOKUP(Table2[[#This Row],[Customer ID]],Table2[#All],2,FALSE)</f>
        <v>34.200000000000003</v>
      </c>
      <c r="D1903">
        <f>VLOOKUP(Table2[[#This Row],[Customer ID]],Table2[#All],3,FALSE)</f>
        <v>4.78</v>
      </c>
      <c r="E1903" t="str">
        <f>VLOOKUP(Table2[[#This Row],[Customer ID]],Table2[#All],4,FALSE)</f>
        <v>Yes</v>
      </c>
      <c r="F1903" t="str">
        <f>VLOOKUP(Table2[[#This Row],[Customer ID]],Table2[#All],5,FALSE)</f>
        <v>No</v>
      </c>
      <c r="G1903" t="str">
        <f>VLOOKUP(Table2[[#This Row],[Customer ID]],Table2[#All],6,FALSE)</f>
        <v>No</v>
      </c>
      <c r="H1903">
        <f>VLOOKUP(Table2[[#This Row],[Customer ID]],Table2[#All],7,FALSE)</f>
        <v>0</v>
      </c>
      <c r="I1903" t="str">
        <f>VLOOKUP(Table2[[#This Row],[Customer ID]],Table2[#All],8,FALSE)</f>
        <v>No</v>
      </c>
      <c r="J1903" t="str">
        <f>VLOOKUP(Table2[[#This Row],[Customer ID]],Table2[#All],9,FALSE)</f>
        <v>Obesity</v>
      </c>
      <c r="K1903" t="str">
        <f>VLOOKUP(Table2[[#This Row],[Customer ID]],Table2[#All],10,FALSE)</f>
        <v>Normal</v>
      </c>
    </row>
    <row r="1904" spans="1:11" ht="15.6" x14ac:dyDescent="0.3">
      <c r="A1904" s="1" t="s">
        <v>465</v>
      </c>
      <c r="B1904" t="str">
        <f>VLOOKUP('Customer Names'!A1904,'Customer Names'!$A$1:$E$2336,4,FALSE)</f>
        <v>Ms.  Elizabeth</v>
      </c>
      <c r="C1904">
        <f>VLOOKUP(Table2[[#This Row],[Customer ID]],Table2[#All],2,FALSE)</f>
        <v>29.92</v>
      </c>
      <c r="D1904">
        <f>VLOOKUP(Table2[[#This Row],[Customer ID]],Table2[#All],3,FALSE)</f>
        <v>6.02</v>
      </c>
      <c r="E1904" t="str">
        <f>VLOOKUP(Table2[[#This Row],[Customer ID]],Table2[#All],4,FALSE)</f>
        <v>Yes</v>
      </c>
      <c r="F1904" t="str">
        <f>VLOOKUP(Table2[[#This Row],[Customer ID]],Table2[#All],5,FALSE)</f>
        <v>No</v>
      </c>
      <c r="G1904" t="str">
        <f>VLOOKUP(Table2[[#This Row],[Customer ID]],Table2[#All],6,FALSE)</f>
        <v>No</v>
      </c>
      <c r="H1904">
        <f>VLOOKUP(Table2[[#This Row],[Customer ID]],Table2[#All],7,FALSE)</f>
        <v>0</v>
      </c>
      <c r="I1904" t="str">
        <f>VLOOKUP(Table2[[#This Row],[Customer ID]],Table2[#All],8,FALSE)</f>
        <v>No</v>
      </c>
      <c r="J1904" t="str">
        <f>VLOOKUP(Table2[[#This Row],[Customer ID]],Table2[#All],9,FALSE)</f>
        <v>Overweight</v>
      </c>
      <c r="K1904" t="str">
        <f>VLOOKUP(Table2[[#This Row],[Customer ID]],Table2[#All],10,FALSE)</f>
        <v>Prediabetes</v>
      </c>
    </row>
    <row r="1905" spans="1:11" ht="15.6" x14ac:dyDescent="0.3">
      <c r="A1905" s="1" t="s">
        <v>464</v>
      </c>
      <c r="B1905" t="str">
        <f>VLOOKUP('Customer Names'!A1905,'Customer Names'!$A$1:$E$2336,4,FALSE)</f>
        <v>Ms.  Margaret P.</v>
      </c>
      <c r="C1905">
        <f>VLOOKUP(Table2[[#This Row],[Customer ID]],Table2[#All],2,FALSE)</f>
        <v>28.93</v>
      </c>
      <c r="D1905">
        <f>VLOOKUP(Table2[[#This Row],[Customer ID]],Table2[#All],3,FALSE)</f>
        <v>4.4400000000000004</v>
      </c>
      <c r="E1905" t="str">
        <f>VLOOKUP(Table2[[#This Row],[Customer ID]],Table2[#All],4,FALSE)</f>
        <v>No</v>
      </c>
      <c r="F1905" t="str">
        <f>VLOOKUP(Table2[[#This Row],[Customer ID]],Table2[#All],5,FALSE)</f>
        <v>No</v>
      </c>
      <c r="G1905" t="str">
        <f>VLOOKUP(Table2[[#This Row],[Customer ID]],Table2[#All],6,FALSE)</f>
        <v>No</v>
      </c>
      <c r="H1905">
        <f>VLOOKUP(Table2[[#This Row],[Customer ID]],Table2[#All],7,FALSE)</f>
        <v>0</v>
      </c>
      <c r="I1905" t="str">
        <f>VLOOKUP(Table2[[#This Row],[Customer ID]],Table2[#All],8,FALSE)</f>
        <v>No</v>
      </c>
      <c r="J1905" t="str">
        <f>VLOOKUP(Table2[[#This Row],[Customer ID]],Table2[#All],9,FALSE)</f>
        <v>Overweight</v>
      </c>
      <c r="K1905" t="str">
        <f>VLOOKUP(Table2[[#This Row],[Customer ID]],Table2[#All],10,FALSE)</f>
        <v>Normal</v>
      </c>
    </row>
    <row r="1906" spans="1:11" ht="15.6" x14ac:dyDescent="0.3">
      <c r="A1906" s="1" t="s">
        <v>463</v>
      </c>
      <c r="B1906" t="str">
        <f>VLOOKUP('Customer Names'!A1906,'Customer Names'!$A$1:$E$2336,4,FALSE)</f>
        <v>Ms.  Tiffany K</v>
      </c>
      <c r="C1906">
        <f>VLOOKUP(Table2[[#This Row],[Customer ID]],Table2[#All],2,FALSE)</f>
        <v>31.254999999999999</v>
      </c>
      <c r="D1906">
        <f>VLOOKUP(Table2[[#This Row],[Customer ID]],Table2[#All],3,FALSE)</f>
        <v>5.84</v>
      </c>
      <c r="E1906" t="str">
        <f>VLOOKUP(Table2[[#This Row],[Customer ID]],Table2[#All],4,FALSE)</f>
        <v>Yes</v>
      </c>
      <c r="F1906" t="str">
        <f>VLOOKUP(Table2[[#This Row],[Customer ID]],Table2[#All],5,FALSE)</f>
        <v>No</v>
      </c>
      <c r="G1906" t="str">
        <f>VLOOKUP(Table2[[#This Row],[Customer ID]],Table2[#All],6,FALSE)</f>
        <v>No</v>
      </c>
      <c r="H1906">
        <f>VLOOKUP(Table2[[#This Row],[Customer ID]],Table2[#All],7,FALSE)</f>
        <v>1</v>
      </c>
      <c r="I1906" t="str">
        <f>VLOOKUP(Table2[[#This Row],[Customer ID]],Table2[#All],8,FALSE)</f>
        <v>No</v>
      </c>
      <c r="J1906" t="str">
        <f>VLOOKUP(Table2[[#This Row],[Customer ID]],Table2[#All],9,FALSE)</f>
        <v>Obesity</v>
      </c>
      <c r="K1906" t="str">
        <f>VLOOKUP(Table2[[#This Row],[Customer ID]],Table2[#All],10,FALSE)</f>
        <v>Prediabetes</v>
      </c>
    </row>
    <row r="1907" spans="1:11" ht="15.6" x14ac:dyDescent="0.3">
      <c r="A1907" s="1" t="s">
        <v>462</v>
      </c>
      <c r="B1907" t="str">
        <f>VLOOKUP('Customer Names'!A1907,'Customer Names'!$A$1:$E$2336,4,FALSE)</f>
        <v>Mr.  David M.</v>
      </c>
      <c r="C1907">
        <f>VLOOKUP(Table2[[#This Row],[Customer ID]],Table2[#All],2,FALSE)</f>
        <v>29.83</v>
      </c>
      <c r="D1907">
        <f>VLOOKUP(Table2[[#This Row],[Customer ID]],Table2[#All],3,FALSE)</f>
        <v>5.39</v>
      </c>
      <c r="E1907" t="str">
        <f>VLOOKUP(Table2[[#This Row],[Customer ID]],Table2[#All],4,FALSE)</f>
        <v>No</v>
      </c>
      <c r="F1907" t="str">
        <f>VLOOKUP(Table2[[#This Row],[Customer ID]],Table2[#All],5,FALSE)</f>
        <v>No</v>
      </c>
      <c r="G1907" t="str">
        <f>VLOOKUP(Table2[[#This Row],[Customer ID]],Table2[#All],6,FALSE)</f>
        <v>No</v>
      </c>
      <c r="H1907">
        <f>VLOOKUP(Table2[[#This Row],[Customer ID]],Table2[#All],7,FALSE)</f>
        <v>0</v>
      </c>
      <c r="I1907" t="str">
        <f>VLOOKUP(Table2[[#This Row],[Customer ID]],Table2[#All],8,FALSE)</f>
        <v>No</v>
      </c>
      <c r="J1907" t="str">
        <f>VLOOKUP(Table2[[#This Row],[Customer ID]],Table2[#All],9,FALSE)</f>
        <v>Overweight</v>
      </c>
      <c r="K1907" t="str">
        <f>VLOOKUP(Table2[[#This Row],[Customer ID]],Table2[#All],10,FALSE)</f>
        <v>Normal</v>
      </c>
    </row>
    <row r="1908" spans="1:11" ht="15.6" x14ac:dyDescent="0.3">
      <c r="A1908" s="1" t="s">
        <v>461</v>
      </c>
      <c r="B1908" t="str">
        <f>VLOOKUP('Customer Names'!A1908,'Customer Names'!$A$1:$E$2336,4,FALSE)</f>
        <v>Ms.  Christine E</v>
      </c>
      <c r="C1908">
        <f>VLOOKUP(Table2[[#This Row],[Customer ID]],Table2[#All],2,FALSE)</f>
        <v>29.59</v>
      </c>
      <c r="D1908">
        <f>VLOOKUP(Table2[[#This Row],[Customer ID]],Table2[#All],3,FALSE)</f>
        <v>6.16</v>
      </c>
      <c r="E1908" t="str">
        <f>VLOOKUP(Table2[[#This Row],[Customer ID]],Table2[#All],4,FALSE)</f>
        <v>No</v>
      </c>
      <c r="F1908" t="str">
        <f>VLOOKUP(Table2[[#This Row],[Customer ID]],Table2[#All],5,FALSE)</f>
        <v>No</v>
      </c>
      <c r="G1908" t="str">
        <f>VLOOKUP(Table2[[#This Row],[Customer ID]],Table2[#All],6,FALSE)</f>
        <v>Yes</v>
      </c>
      <c r="H1908">
        <f>VLOOKUP(Table2[[#This Row],[Customer ID]],Table2[#All],7,FALSE)</f>
        <v>1</v>
      </c>
      <c r="I1908" t="str">
        <f>VLOOKUP(Table2[[#This Row],[Customer ID]],Table2[#All],8,FALSE)</f>
        <v>No</v>
      </c>
      <c r="J1908" t="str">
        <f>VLOOKUP(Table2[[#This Row],[Customer ID]],Table2[#All],9,FALSE)</f>
        <v>Overweight</v>
      </c>
      <c r="K1908" t="str">
        <f>VLOOKUP(Table2[[#This Row],[Customer ID]],Table2[#All],10,FALSE)</f>
        <v>Prediabetes</v>
      </c>
    </row>
    <row r="1909" spans="1:11" ht="15.6" x14ac:dyDescent="0.3">
      <c r="A1909" s="1" t="s">
        <v>460</v>
      </c>
      <c r="B1909" t="str">
        <f>VLOOKUP('Customer Names'!A1909,'Customer Names'!$A$1:$E$2336,4,FALSE)</f>
        <v>Ms.  Donna</v>
      </c>
      <c r="C1909">
        <f>VLOOKUP(Table2[[#This Row],[Customer ID]],Table2[#All],2,FALSE)</f>
        <v>31.16</v>
      </c>
      <c r="D1909">
        <f>VLOOKUP(Table2[[#This Row],[Customer ID]],Table2[#All],3,FALSE)</f>
        <v>4.49</v>
      </c>
      <c r="E1909" t="str">
        <f>VLOOKUP(Table2[[#This Row],[Customer ID]],Table2[#All],4,FALSE)</f>
        <v>No</v>
      </c>
      <c r="F1909" t="str">
        <f>VLOOKUP(Table2[[#This Row],[Customer ID]],Table2[#All],5,FALSE)</f>
        <v>No</v>
      </c>
      <c r="G1909" t="str">
        <f>VLOOKUP(Table2[[#This Row],[Customer ID]],Table2[#All],6,FALSE)</f>
        <v>Yes</v>
      </c>
      <c r="H1909">
        <f>VLOOKUP(Table2[[#This Row],[Customer ID]],Table2[#All],7,FALSE)</f>
        <v>1</v>
      </c>
      <c r="I1909" t="str">
        <f>VLOOKUP(Table2[[#This Row],[Customer ID]],Table2[#All],8,FALSE)</f>
        <v>No</v>
      </c>
      <c r="J1909" t="str">
        <f>VLOOKUP(Table2[[#This Row],[Customer ID]],Table2[#All],9,FALSE)</f>
        <v>Obesity</v>
      </c>
      <c r="K1909" t="str">
        <f>VLOOKUP(Table2[[#This Row],[Customer ID]],Table2[#All],10,FALSE)</f>
        <v>Normal</v>
      </c>
    </row>
    <row r="1910" spans="1:11" ht="15.6" x14ac:dyDescent="0.3">
      <c r="A1910" s="1" t="s">
        <v>459</v>
      </c>
      <c r="B1910" t="str">
        <f>VLOOKUP('Customer Names'!A1910,'Customer Names'!$A$1:$E$2336,4,FALSE)</f>
        <v>Mr.  Rod</v>
      </c>
      <c r="C1910">
        <f>VLOOKUP(Table2[[#This Row],[Customer ID]],Table2[#All],2,FALSE)</f>
        <v>34.21</v>
      </c>
      <c r="D1910">
        <f>VLOOKUP(Table2[[#This Row],[Customer ID]],Table2[#All],3,FALSE)</f>
        <v>4.4800000000000004</v>
      </c>
      <c r="E1910" t="str">
        <f>VLOOKUP(Table2[[#This Row],[Customer ID]],Table2[#All],4,FALSE)</f>
        <v>Yes</v>
      </c>
      <c r="F1910" t="str">
        <f>VLOOKUP(Table2[[#This Row],[Customer ID]],Table2[#All],5,FALSE)</f>
        <v>No</v>
      </c>
      <c r="G1910" t="str">
        <f>VLOOKUP(Table2[[#This Row],[Customer ID]],Table2[#All],6,FALSE)</f>
        <v>No</v>
      </c>
      <c r="H1910">
        <f>VLOOKUP(Table2[[#This Row],[Customer ID]],Table2[#All],7,FALSE)</f>
        <v>1</v>
      </c>
      <c r="I1910" t="str">
        <f>VLOOKUP(Table2[[#This Row],[Customer ID]],Table2[#All],8,FALSE)</f>
        <v>No</v>
      </c>
      <c r="J1910" t="str">
        <f>VLOOKUP(Table2[[#This Row],[Customer ID]],Table2[#All],9,FALSE)</f>
        <v>Obesity</v>
      </c>
      <c r="K1910" t="str">
        <f>VLOOKUP(Table2[[#This Row],[Customer ID]],Table2[#All],10,FALSE)</f>
        <v>Normal</v>
      </c>
    </row>
    <row r="1911" spans="1:11" ht="15.6" x14ac:dyDescent="0.3">
      <c r="A1911" s="1" t="s">
        <v>458</v>
      </c>
      <c r="B1911" t="str">
        <f>VLOOKUP('Customer Names'!A1911,'Customer Names'!$A$1:$E$2336,4,FALSE)</f>
        <v>Mr.  Joe</v>
      </c>
      <c r="C1911">
        <f>VLOOKUP(Table2[[#This Row],[Customer ID]],Table2[#All],2,FALSE)</f>
        <v>34.86</v>
      </c>
      <c r="D1911">
        <f>VLOOKUP(Table2[[#This Row],[Customer ID]],Table2[#All],3,FALSE)</f>
        <v>10.97</v>
      </c>
      <c r="E1911" t="str">
        <f>VLOOKUP(Table2[[#This Row],[Customer ID]],Table2[#All],4,FALSE)</f>
        <v>No</v>
      </c>
      <c r="F1911" t="str">
        <f>VLOOKUP(Table2[[#This Row],[Customer ID]],Table2[#All],5,FALSE)</f>
        <v>No</v>
      </c>
      <c r="G1911" t="str">
        <f>VLOOKUP(Table2[[#This Row],[Customer ID]],Table2[#All],6,FALSE)</f>
        <v>No</v>
      </c>
      <c r="H1911">
        <f>VLOOKUP(Table2[[#This Row],[Customer ID]],Table2[#All],7,FALSE)</f>
        <v>0</v>
      </c>
      <c r="I1911" t="str">
        <f>VLOOKUP(Table2[[#This Row],[Customer ID]],Table2[#All],8,FALSE)</f>
        <v>No</v>
      </c>
      <c r="J1911" t="str">
        <f>VLOOKUP(Table2[[#This Row],[Customer ID]],Table2[#All],9,FALSE)</f>
        <v>Obesity</v>
      </c>
      <c r="K1911" t="str">
        <f>VLOOKUP(Table2[[#This Row],[Customer ID]],Table2[#All],10,FALSE)</f>
        <v>Diabetes</v>
      </c>
    </row>
    <row r="1912" spans="1:11" ht="15.6" x14ac:dyDescent="0.3">
      <c r="A1912" s="1" t="s">
        <v>457</v>
      </c>
      <c r="B1912" t="str">
        <f>VLOOKUP('Customer Names'!A1912,'Customer Names'!$A$1:$E$2336,4,FALSE)</f>
        <v>Ms.  Kayleigh</v>
      </c>
      <c r="C1912">
        <f>VLOOKUP(Table2[[#This Row],[Customer ID]],Table2[#All],2,FALSE)</f>
        <v>34.58</v>
      </c>
      <c r="D1912">
        <f>VLOOKUP(Table2[[#This Row],[Customer ID]],Table2[#All],3,FALSE)</f>
        <v>5.14</v>
      </c>
      <c r="E1912" t="str">
        <f>VLOOKUP(Table2[[#This Row],[Customer ID]],Table2[#All],4,FALSE)</f>
        <v>No</v>
      </c>
      <c r="F1912" t="str">
        <f>VLOOKUP(Table2[[#This Row],[Customer ID]],Table2[#All],5,FALSE)</f>
        <v>yes</v>
      </c>
      <c r="G1912" t="str">
        <f>VLOOKUP(Table2[[#This Row],[Customer ID]],Table2[#All],6,FALSE)</f>
        <v>No</v>
      </c>
      <c r="H1912">
        <f>VLOOKUP(Table2[[#This Row],[Customer ID]],Table2[#All],7,FALSE)</f>
        <v>2</v>
      </c>
      <c r="I1912" t="str">
        <f>VLOOKUP(Table2[[#This Row],[Customer ID]],Table2[#All],8,FALSE)</f>
        <v>No</v>
      </c>
      <c r="J1912" t="str">
        <f>VLOOKUP(Table2[[#This Row],[Customer ID]],Table2[#All],9,FALSE)</f>
        <v>Obesity</v>
      </c>
      <c r="K1912" t="str">
        <f>VLOOKUP(Table2[[#This Row],[Customer ID]],Table2[#All],10,FALSE)</f>
        <v>Normal</v>
      </c>
    </row>
    <row r="1913" spans="1:11" ht="15.6" x14ac:dyDescent="0.3">
      <c r="A1913" s="1" t="s">
        <v>456</v>
      </c>
      <c r="B1913" t="str">
        <f>VLOOKUP('Customer Names'!A1913,'Customer Names'!$A$1:$E$2336,4,FALSE)</f>
        <v>Mr.  Lorcan A.</v>
      </c>
      <c r="C1913">
        <f>VLOOKUP(Table2[[#This Row],[Customer ID]],Table2[#All],2,FALSE)</f>
        <v>17.940000000000001</v>
      </c>
      <c r="D1913">
        <f>VLOOKUP(Table2[[#This Row],[Customer ID]],Table2[#All],3,FALSE)</f>
        <v>5.17</v>
      </c>
      <c r="E1913" t="str">
        <f>VLOOKUP(Table2[[#This Row],[Customer ID]],Table2[#All],4,FALSE)</f>
        <v>Yes</v>
      </c>
      <c r="F1913" t="str">
        <f>VLOOKUP(Table2[[#This Row],[Customer ID]],Table2[#All],5,FALSE)</f>
        <v>No</v>
      </c>
      <c r="G1913" t="str">
        <f>VLOOKUP(Table2[[#This Row],[Customer ID]],Table2[#All],6,FALSE)</f>
        <v>No</v>
      </c>
      <c r="H1913">
        <f>VLOOKUP(Table2[[#This Row],[Customer ID]],Table2[#All],7,FALSE)</f>
        <v>0</v>
      </c>
      <c r="I1913" t="str">
        <f>VLOOKUP(Table2[[#This Row],[Customer ID]],Table2[#All],8,FALSE)</f>
        <v>No</v>
      </c>
      <c r="J1913" t="str">
        <f>VLOOKUP(Table2[[#This Row],[Customer ID]],Table2[#All],9,FALSE)</f>
        <v>Underweight</v>
      </c>
      <c r="K1913" t="str">
        <f>VLOOKUP(Table2[[#This Row],[Customer ID]],Table2[#All],10,FALSE)</f>
        <v>Normal</v>
      </c>
    </row>
    <row r="1914" spans="1:11" ht="15.6" x14ac:dyDescent="0.3">
      <c r="A1914" s="1" t="s">
        <v>455</v>
      </c>
      <c r="B1914" t="str">
        <f>VLOOKUP('Customer Names'!A1914,'Customer Names'!$A$1:$E$2336,4,FALSE)</f>
        <v>Mr.  Billy</v>
      </c>
      <c r="C1914">
        <f>VLOOKUP(Table2[[#This Row],[Customer ID]],Table2[#All],2,FALSE)</f>
        <v>26.8</v>
      </c>
      <c r="D1914">
        <f>VLOOKUP(Table2[[#This Row],[Customer ID]],Table2[#All],3,FALSE)</f>
        <v>6.18</v>
      </c>
      <c r="E1914" t="str">
        <f>VLOOKUP(Table2[[#This Row],[Customer ID]],Table2[#All],4,FALSE)</f>
        <v>Yes</v>
      </c>
      <c r="F1914" t="str">
        <f>VLOOKUP(Table2[[#This Row],[Customer ID]],Table2[#All],5,FALSE)</f>
        <v>No</v>
      </c>
      <c r="G1914" t="str">
        <f>VLOOKUP(Table2[[#This Row],[Customer ID]],Table2[#All],6,FALSE)</f>
        <v>Yes</v>
      </c>
      <c r="H1914">
        <f>VLOOKUP(Table2[[#This Row],[Customer ID]],Table2[#All],7,FALSE)</f>
        <v>1</v>
      </c>
      <c r="I1914" t="str">
        <f>VLOOKUP(Table2[[#This Row],[Customer ID]],Table2[#All],8,FALSE)</f>
        <v>No</v>
      </c>
      <c r="J1914" t="str">
        <f>VLOOKUP(Table2[[#This Row],[Customer ID]],Table2[#All],9,FALSE)</f>
        <v>Overweight</v>
      </c>
      <c r="K1914" t="str">
        <f>VLOOKUP(Table2[[#This Row],[Customer ID]],Table2[#All],10,FALSE)</f>
        <v>Prediabetes</v>
      </c>
    </row>
    <row r="1915" spans="1:11" ht="15.6" x14ac:dyDescent="0.3">
      <c r="A1915" s="1" t="s">
        <v>454</v>
      </c>
      <c r="B1915" t="str">
        <f>VLOOKUP('Customer Names'!A1915,'Customer Names'!$A$1:$E$2336,4,FALSE)</f>
        <v>Mr.  Paul M.</v>
      </c>
      <c r="C1915">
        <f>VLOOKUP(Table2[[#This Row],[Customer ID]],Table2[#All],2,FALSE)</f>
        <v>17.690000000000001</v>
      </c>
      <c r="D1915">
        <f>VLOOKUP(Table2[[#This Row],[Customer ID]],Table2[#All],3,FALSE)</f>
        <v>9.07</v>
      </c>
      <c r="E1915" t="str">
        <f>VLOOKUP(Table2[[#This Row],[Customer ID]],Table2[#All],4,FALSE)</f>
        <v>Yes</v>
      </c>
      <c r="F1915" t="str">
        <f>VLOOKUP(Table2[[#This Row],[Customer ID]],Table2[#All],5,FALSE)</f>
        <v>No</v>
      </c>
      <c r="G1915" t="str">
        <f>VLOOKUP(Table2[[#This Row],[Customer ID]],Table2[#All],6,FALSE)</f>
        <v>No</v>
      </c>
      <c r="H1915">
        <f>VLOOKUP(Table2[[#This Row],[Customer ID]],Table2[#All],7,FALSE)</f>
        <v>0</v>
      </c>
      <c r="I1915" t="str">
        <f>VLOOKUP(Table2[[#This Row],[Customer ID]],Table2[#All],8,FALSE)</f>
        <v>No</v>
      </c>
      <c r="J1915" t="str">
        <f>VLOOKUP(Table2[[#This Row],[Customer ID]],Table2[#All],9,FALSE)</f>
        <v>Underweight</v>
      </c>
      <c r="K1915" t="str">
        <f>VLOOKUP(Table2[[#This Row],[Customer ID]],Table2[#All],10,FALSE)</f>
        <v>Diabetes</v>
      </c>
    </row>
    <row r="1916" spans="1:11" ht="15.6" x14ac:dyDescent="0.3">
      <c r="A1916" s="1" t="s">
        <v>453</v>
      </c>
      <c r="B1916" t="str">
        <f>VLOOKUP('Customer Names'!A1916,'Customer Names'!$A$1:$E$2336,4,FALSE)</f>
        <v>Ms.  Brenda M.</v>
      </c>
      <c r="C1916">
        <f>VLOOKUP(Table2[[#This Row],[Customer ID]],Table2[#All],2,FALSE)</f>
        <v>25.77</v>
      </c>
      <c r="D1916">
        <f>VLOOKUP(Table2[[#This Row],[Customer ID]],Table2[#All],3,FALSE)</f>
        <v>4.43</v>
      </c>
      <c r="E1916" t="str">
        <f>VLOOKUP(Table2[[#This Row],[Customer ID]],Table2[#All],4,FALSE)</f>
        <v>No</v>
      </c>
      <c r="F1916" t="str">
        <f>VLOOKUP(Table2[[#This Row],[Customer ID]],Table2[#All],5,FALSE)</f>
        <v>No</v>
      </c>
      <c r="G1916" t="str">
        <f>VLOOKUP(Table2[[#This Row],[Customer ID]],Table2[#All],6,FALSE)</f>
        <v>Yes</v>
      </c>
      <c r="H1916">
        <f>VLOOKUP(Table2[[#This Row],[Customer ID]],Table2[#All],7,FALSE)</f>
        <v>1</v>
      </c>
      <c r="I1916" t="str">
        <f>VLOOKUP(Table2[[#This Row],[Customer ID]],Table2[#All],8,FALSE)</f>
        <v>No</v>
      </c>
      <c r="J1916" t="str">
        <f>VLOOKUP(Table2[[#This Row],[Customer ID]],Table2[#All],9,FALSE)</f>
        <v>Overweight</v>
      </c>
      <c r="K1916" t="str">
        <f>VLOOKUP(Table2[[#This Row],[Customer ID]],Table2[#All],10,FALSE)</f>
        <v>Normal</v>
      </c>
    </row>
    <row r="1917" spans="1:11" ht="15.6" x14ac:dyDescent="0.3">
      <c r="A1917" s="1" t="s">
        <v>452</v>
      </c>
      <c r="B1917" t="str">
        <f>VLOOKUP('Customer Names'!A1917,'Customer Names'!$A$1:$E$2336,4,FALSE)</f>
        <v>Mr.  Jeff H</v>
      </c>
      <c r="C1917">
        <f>VLOOKUP(Table2[[#This Row],[Customer ID]],Table2[#All],2,FALSE)</f>
        <v>34.46</v>
      </c>
      <c r="D1917">
        <f>VLOOKUP(Table2[[#This Row],[Customer ID]],Table2[#All],3,FALSE)</f>
        <v>4.17</v>
      </c>
      <c r="E1917" t="str">
        <f>VLOOKUP(Table2[[#This Row],[Customer ID]],Table2[#All],4,FALSE)</f>
        <v>No</v>
      </c>
      <c r="F1917" t="str">
        <f>VLOOKUP(Table2[[#This Row],[Customer ID]],Table2[#All],5,FALSE)</f>
        <v>yes</v>
      </c>
      <c r="G1917" t="str">
        <f>VLOOKUP(Table2[[#This Row],[Customer ID]],Table2[#All],6,FALSE)</f>
        <v>No</v>
      </c>
      <c r="H1917">
        <f>VLOOKUP(Table2[[#This Row],[Customer ID]],Table2[#All],7,FALSE)</f>
        <v>1</v>
      </c>
      <c r="I1917" t="str">
        <f>VLOOKUP(Table2[[#This Row],[Customer ID]],Table2[#All],8,FALSE)</f>
        <v>No</v>
      </c>
      <c r="J1917" t="str">
        <f>VLOOKUP(Table2[[#This Row],[Customer ID]],Table2[#All],9,FALSE)</f>
        <v>Obesity</v>
      </c>
      <c r="K1917" t="str">
        <f>VLOOKUP(Table2[[#This Row],[Customer ID]],Table2[#All],10,FALSE)</f>
        <v>Normal</v>
      </c>
    </row>
    <row r="1918" spans="1:11" ht="15.6" x14ac:dyDescent="0.3">
      <c r="A1918" s="1" t="s">
        <v>451</v>
      </c>
      <c r="B1918" t="str">
        <f>VLOOKUP('Customer Names'!A1918,'Customer Names'!$A$1:$E$2336,4,FALSE)</f>
        <v>Mr.  Michael</v>
      </c>
      <c r="C1918">
        <f>VLOOKUP(Table2[[#This Row],[Customer ID]],Table2[#All],2,FALSE)</f>
        <v>30.875</v>
      </c>
      <c r="D1918">
        <f>VLOOKUP(Table2[[#This Row],[Customer ID]],Table2[#All],3,FALSE)</f>
        <v>4.95</v>
      </c>
      <c r="E1918" t="str">
        <f>VLOOKUP(Table2[[#This Row],[Customer ID]],Table2[#All],4,FALSE)</f>
        <v>Yes</v>
      </c>
      <c r="F1918" t="str">
        <f>VLOOKUP(Table2[[#This Row],[Customer ID]],Table2[#All],5,FALSE)</f>
        <v>No</v>
      </c>
      <c r="G1918" t="str">
        <f>VLOOKUP(Table2[[#This Row],[Customer ID]],Table2[#All],6,FALSE)</f>
        <v>No</v>
      </c>
      <c r="H1918">
        <f>VLOOKUP(Table2[[#This Row],[Customer ID]],Table2[#All],7,FALSE)</f>
        <v>0</v>
      </c>
      <c r="I1918" t="str">
        <f>VLOOKUP(Table2[[#This Row],[Customer ID]],Table2[#All],8,FALSE)</f>
        <v>No</v>
      </c>
      <c r="J1918" t="str">
        <f>VLOOKUP(Table2[[#This Row],[Customer ID]],Table2[#All],9,FALSE)</f>
        <v>Obesity</v>
      </c>
      <c r="K1918" t="str">
        <f>VLOOKUP(Table2[[#This Row],[Customer ID]],Table2[#All],10,FALSE)</f>
        <v>Normal</v>
      </c>
    </row>
    <row r="1919" spans="1:11" ht="15.6" x14ac:dyDescent="0.3">
      <c r="A1919" s="1" t="s">
        <v>450</v>
      </c>
      <c r="B1919" t="str">
        <f>VLOOKUP('Customer Names'!A1919,'Customer Names'!$A$1:$E$2336,4,FALSE)</f>
        <v>Mr.  Jan</v>
      </c>
      <c r="C1919">
        <f>VLOOKUP(Table2[[#This Row],[Customer ID]],Table2[#All],2,FALSE)</f>
        <v>39.49</v>
      </c>
      <c r="D1919">
        <f>VLOOKUP(Table2[[#This Row],[Customer ID]],Table2[#All],3,FALSE)</f>
        <v>5.13</v>
      </c>
      <c r="E1919" t="str">
        <f>VLOOKUP(Table2[[#This Row],[Customer ID]],Table2[#All],4,FALSE)</f>
        <v>No</v>
      </c>
      <c r="F1919" t="str">
        <f>VLOOKUP(Table2[[#This Row],[Customer ID]],Table2[#All],5,FALSE)</f>
        <v>No</v>
      </c>
      <c r="G1919" t="str">
        <f>VLOOKUP(Table2[[#This Row],[Customer ID]],Table2[#All],6,FALSE)</f>
        <v>No</v>
      </c>
      <c r="H1919">
        <f>VLOOKUP(Table2[[#This Row],[Customer ID]],Table2[#All],7,FALSE)</f>
        <v>0</v>
      </c>
      <c r="I1919" t="str">
        <f>VLOOKUP(Table2[[#This Row],[Customer ID]],Table2[#All],8,FALSE)</f>
        <v>No</v>
      </c>
      <c r="J1919" t="str">
        <f>VLOOKUP(Table2[[#This Row],[Customer ID]],Table2[#All],9,FALSE)</f>
        <v>Obesity</v>
      </c>
      <c r="K1919" t="str">
        <f>VLOOKUP(Table2[[#This Row],[Customer ID]],Table2[#All],10,FALSE)</f>
        <v>Normal</v>
      </c>
    </row>
    <row r="1920" spans="1:11" ht="15.6" x14ac:dyDescent="0.3">
      <c r="A1920" s="1" t="s">
        <v>449</v>
      </c>
      <c r="B1920" t="str">
        <f>VLOOKUP('Customer Names'!A1920,'Customer Names'!$A$1:$E$2336,4,FALSE)</f>
        <v>Mr.  Bernard</v>
      </c>
      <c r="C1920">
        <f>VLOOKUP(Table2[[#This Row],[Customer ID]],Table2[#All],2,FALSE)</f>
        <v>28.88</v>
      </c>
      <c r="D1920">
        <f>VLOOKUP(Table2[[#This Row],[Customer ID]],Table2[#All],3,FALSE)</f>
        <v>4.0999999999999996</v>
      </c>
      <c r="E1920" t="str">
        <f>VLOOKUP(Table2[[#This Row],[Customer ID]],Table2[#All],4,FALSE)</f>
        <v>No</v>
      </c>
      <c r="F1920" t="str">
        <f>VLOOKUP(Table2[[#This Row],[Customer ID]],Table2[#All],5,FALSE)</f>
        <v>No</v>
      </c>
      <c r="G1920" t="str">
        <f>VLOOKUP(Table2[[#This Row],[Customer ID]],Table2[#All],6,FALSE)</f>
        <v>No</v>
      </c>
      <c r="H1920">
        <f>VLOOKUP(Table2[[#This Row],[Customer ID]],Table2[#All],7,FALSE)</f>
        <v>0</v>
      </c>
      <c r="I1920" t="str">
        <f>VLOOKUP(Table2[[#This Row],[Customer ID]],Table2[#All],8,FALSE)</f>
        <v>No</v>
      </c>
      <c r="J1920" t="str">
        <f>VLOOKUP(Table2[[#This Row],[Customer ID]],Table2[#All],9,FALSE)</f>
        <v>Overweight</v>
      </c>
      <c r="K1920" t="str">
        <f>VLOOKUP(Table2[[#This Row],[Customer ID]],Table2[#All],10,FALSE)</f>
        <v>Normal</v>
      </c>
    </row>
    <row r="1921" spans="1:11" ht="15.6" x14ac:dyDescent="0.3">
      <c r="A1921" s="1" t="s">
        <v>448</v>
      </c>
      <c r="B1921" t="str">
        <f>VLOOKUP('Customer Names'!A1921,'Customer Names'!$A$1:$E$2336,4,FALSE)</f>
        <v>Mr.  Craig</v>
      </c>
      <c r="C1921">
        <f>VLOOKUP(Table2[[#This Row],[Customer ID]],Table2[#All],2,FALSE)</f>
        <v>20.234999999999999</v>
      </c>
      <c r="D1921">
        <f>VLOOKUP(Table2[[#This Row],[Customer ID]],Table2[#All],3,FALSE)</f>
        <v>5.01</v>
      </c>
      <c r="E1921" t="str">
        <f>VLOOKUP(Table2[[#This Row],[Customer ID]],Table2[#All],4,FALSE)</f>
        <v>Yes</v>
      </c>
      <c r="F1921" t="str">
        <f>VLOOKUP(Table2[[#This Row],[Customer ID]],Table2[#All],5,FALSE)</f>
        <v>No</v>
      </c>
      <c r="G1921" t="str">
        <f>VLOOKUP(Table2[[#This Row],[Customer ID]],Table2[#All],6,FALSE)</f>
        <v>No</v>
      </c>
      <c r="H1921">
        <f>VLOOKUP(Table2[[#This Row],[Customer ID]],Table2[#All],7,FALSE)</f>
        <v>0</v>
      </c>
      <c r="I1921" t="str">
        <f>VLOOKUP(Table2[[#This Row],[Customer ID]],Table2[#All],8,FALSE)</f>
        <v>No</v>
      </c>
      <c r="J1921" t="str">
        <f>VLOOKUP(Table2[[#This Row],[Customer ID]],Table2[#All],9,FALSE)</f>
        <v>Normalweight</v>
      </c>
      <c r="K1921" t="str">
        <f>VLOOKUP(Table2[[#This Row],[Customer ID]],Table2[#All],10,FALSE)</f>
        <v>Normal</v>
      </c>
    </row>
    <row r="1922" spans="1:11" ht="15.6" x14ac:dyDescent="0.3">
      <c r="A1922" s="1" t="s">
        <v>447</v>
      </c>
      <c r="B1922" t="str">
        <f>VLOOKUP('Customer Names'!A1922,'Customer Names'!$A$1:$E$2336,4,FALSE)</f>
        <v>Mrs.  Bryn</v>
      </c>
      <c r="C1922">
        <f>VLOOKUP(Table2[[#This Row],[Customer ID]],Table2[#All],2,FALSE)</f>
        <v>30.67</v>
      </c>
      <c r="D1922">
        <f>VLOOKUP(Table2[[#This Row],[Customer ID]],Table2[#All],3,FALSE)</f>
        <v>5.09</v>
      </c>
      <c r="E1922" t="str">
        <f>VLOOKUP(Table2[[#This Row],[Customer ID]],Table2[#All],4,FALSE)</f>
        <v>Yes</v>
      </c>
      <c r="F1922" t="str">
        <f>VLOOKUP(Table2[[#This Row],[Customer ID]],Table2[#All],5,FALSE)</f>
        <v>No</v>
      </c>
      <c r="G1922" t="str">
        <f>VLOOKUP(Table2[[#This Row],[Customer ID]],Table2[#All],6,FALSE)</f>
        <v>No</v>
      </c>
      <c r="H1922">
        <f>VLOOKUP(Table2[[#This Row],[Customer ID]],Table2[#All],7,FALSE)</f>
        <v>0</v>
      </c>
      <c r="I1922" t="str">
        <f>VLOOKUP(Table2[[#This Row],[Customer ID]],Table2[#All],8,FALSE)</f>
        <v>No</v>
      </c>
      <c r="J1922" t="str">
        <f>VLOOKUP(Table2[[#This Row],[Customer ID]],Table2[#All],9,FALSE)</f>
        <v>Obesity</v>
      </c>
      <c r="K1922" t="str">
        <f>VLOOKUP(Table2[[#This Row],[Customer ID]],Table2[#All],10,FALSE)</f>
        <v>Normal</v>
      </c>
    </row>
    <row r="1923" spans="1:11" ht="15.6" x14ac:dyDescent="0.3">
      <c r="A1923" s="1" t="s">
        <v>446</v>
      </c>
      <c r="B1923" t="str">
        <f>VLOOKUP('Customer Names'!A1923,'Customer Names'!$A$1:$E$2336,4,FALSE)</f>
        <v>Mr.  Michael</v>
      </c>
      <c r="C1923">
        <f>VLOOKUP(Table2[[#This Row],[Customer ID]],Table2[#All],2,FALSE)</f>
        <v>30.875</v>
      </c>
      <c r="D1923">
        <f>VLOOKUP(Table2[[#This Row],[Customer ID]],Table2[#All],3,FALSE)</f>
        <v>6.49</v>
      </c>
      <c r="E1923" t="str">
        <f>VLOOKUP(Table2[[#This Row],[Customer ID]],Table2[#All],4,FALSE)</f>
        <v>No</v>
      </c>
      <c r="F1923" t="str">
        <f>VLOOKUP(Table2[[#This Row],[Customer ID]],Table2[#All],5,FALSE)</f>
        <v>No</v>
      </c>
      <c r="G1923" t="str">
        <f>VLOOKUP(Table2[[#This Row],[Customer ID]],Table2[#All],6,FALSE)</f>
        <v>No</v>
      </c>
      <c r="H1923">
        <f>VLOOKUP(Table2[[#This Row],[Customer ID]],Table2[#All],7,FALSE)</f>
        <v>0</v>
      </c>
      <c r="I1923" t="str">
        <f>VLOOKUP(Table2[[#This Row],[Customer ID]],Table2[#All],8,FALSE)</f>
        <v>No</v>
      </c>
      <c r="J1923" t="str">
        <f>VLOOKUP(Table2[[#This Row],[Customer ID]],Table2[#All],9,FALSE)</f>
        <v>Obesity</v>
      </c>
      <c r="K1923" t="str">
        <f>VLOOKUP(Table2[[#This Row],[Customer ID]],Table2[#All],10,FALSE)</f>
        <v>Prediabetes</v>
      </c>
    </row>
    <row r="1924" spans="1:11" ht="15.6" x14ac:dyDescent="0.3">
      <c r="A1924" s="1" t="s">
        <v>445</v>
      </c>
      <c r="B1924" t="str">
        <f>VLOOKUP('Customer Names'!A1924,'Customer Names'!$A$1:$E$2336,4,FALSE)</f>
        <v>Mr.  Benjamin</v>
      </c>
      <c r="C1924">
        <f>VLOOKUP(Table2[[#This Row],[Customer ID]],Table2[#All],2,FALSE)</f>
        <v>23.8</v>
      </c>
      <c r="D1924">
        <f>VLOOKUP(Table2[[#This Row],[Customer ID]],Table2[#All],3,FALSE)</f>
        <v>4.08</v>
      </c>
      <c r="E1924" t="str">
        <f>VLOOKUP(Table2[[#This Row],[Customer ID]],Table2[#All],4,FALSE)</f>
        <v>No</v>
      </c>
      <c r="F1924" t="str">
        <f>VLOOKUP(Table2[[#This Row],[Customer ID]],Table2[#All],5,FALSE)</f>
        <v>No</v>
      </c>
      <c r="G1924" t="str">
        <f>VLOOKUP(Table2[[#This Row],[Customer ID]],Table2[#All],6,FALSE)</f>
        <v>No</v>
      </c>
      <c r="H1924">
        <f>VLOOKUP(Table2[[#This Row],[Customer ID]],Table2[#All],7,FALSE)</f>
        <v>0</v>
      </c>
      <c r="I1924" t="str">
        <f>VLOOKUP(Table2[[#This Row],[Customer ID]],Table2[#All],8,FALSE)</f>
        <v>No</v>
      </c>
      <c r="J1924" t="str">
        <f>VLOOKUP(Table2[[#This Row],[Customer ID]],Table2[#All],9,FALSE)</f>
        <v>Normalweight</v>
      </c>
      <c r="K1924" t="str">
        <f>VLOOKUP(Table2[[#This Row],[Customer ID]],Table2[#All],10,FALSE)</f>
        <v>Normal</v>
      </c>
    </row>
    <row r="1925" spans="1:11" ht="15.6" x14ac:dyDescent="0.3">
      <c r="A1925" s="1" t="s">
        <v>444</v>
      </c>
      <c r="B1925" t="str">
        <f>VLOOKUP('Customer Names'!A1925,'Customer Names'!$A$1:$E$2336,4,FALSE)</f>
        <v>Mr.  Jay</v>
      </c>
      <c r="C1925">
        <f>VLOOKUP(Table2[[#This Row],[Customer ID]],Table2[#All],2,FALSE)</f>
        <v>15.37</v>
      </c>
      <c r="D1925">
        <f>VLOOKUP(Table2[[#This Row],[Customer ID]],Table2[#All],3,FALSE)</f>
        <v>8.6300000000000008</v>
      </c>
      <c r="E1925" t="str">
        <f>VLOOKUP(Table2[[#This Row],[Customer ID]],Table2[#All],4,FALSE)</f>
        <v>Yes</v>
      </c>
      <c r="F1925" t="str">
        <f>VLOOKUP(Table2[[#This Row],[Customer ID]],Table2[#All],5,FALSE)</f>
        <v>No</v>
      </c>
      <c r="G1925" t="str">
        <f>VLOOKUP(Table2[[#This Row],[Customer ID]],Table2[#All],6,FALSE)</f>
        <v>No</v>
      </c>
      <c r="H1925">
        <f>VLOOKUP(Table2[[#This Row],[Customer ID]],Table2[#All],7,FALSE)</f>
        <v>0</v>
      </c>
      <c r="I1925" t="str">
        <f>VLOOKUP(Table2[[#This Row],[Customer ID]],Table2[#All],8,FALSE)</f>
        <v>No</v>
      </c>
      <c r="J1925" t="str">
        <f>VLOOKUP(Table2[[#This Row],[Customer ID]],Table2[#All],9,FALSE)</f>
        <v>Underweight</v>
      </c>
      <c r="K1925" t="str">
        <f>VLOOKUP(Table2[[#This Row],[Customer ID]],Table2[#All],10,FALSE)</f>
        <v>Diabetes</v>
      </c>
    </row>
    <row r="1926" spans="1:11" ht="15.6" x14ac:dyDescent="0.3">
      <c r="A1926" s="1" t="s">
        <v>443</v>
      </c>
      <c r="B1926" t="str">
        <f>VLOOKUP('Customer Names'!A1926,'Customer Names'!$A$1:$E$2336,4,FALSE)</f>
        <v>Mr.  William</v>
      </c>
      <c r="C1926">
        <f>VLOOKUP(Table2[[#This Row],[Customer ID]],Table2[#All],2,FALSE)</f>
        <v>30.4</v>
      </c>
      <c r="D1926">
        <f>VLOOKUP(Table2[[#This Row],[Customer ID]],Table2[#All],3,FALSE)</f>
        <v>5.28</v>
      </c>
      <c r="E1926" t="str">
        <f>VLOOKUP(Table2[[#This Row],[Customer ID]],Table2[#All],4,FALSE)</f>
        <v>No</v>
      </c>
      <c r="F1926" t="str">
        <f>VLOOKUP(Table2[[#This Row],[Customer ID]],Table2[#All],5,FALSE)</f>
        <v>No</v>
      </c>
      <c r="G1926" t="str">
        <f>VLOOKUP(Table2[[#This Row],[Customer ID]],Table2[#All],6,FALSE)</f>
        <v>No</v>
      </c>
      <c r="H1926">
        <f>VLOOKUP(Table2[[#This Row],[Customer ID]],Table2[#All],7,FALSE)</f>
        <v>0</v>
      </c>
      <c r="I1926" t="str">
        <f>VLOOKUP(Table2[[#This Row],[Customer ID]],Table2[#All],8,FALSE)</f>
        <v>No</v>
      </c>
      <c r="J1926" t="str">
        <f>VLOOKUP(Table2[[#This Row],[Customer ID]],Table2[#All],9,FALSE)</f>
        <v>Obesity</v>
      </c>
      <c r="K1926" t="str">
        <f>VLOOKUP(Table2[[#This Row],[Customer ID]],Table2[#All],10,FALSE)</f>
        <v>Normal</v>
      </c>
    </row>
    <row r="1927" spans="1:11" ht="15.6" x14ac:dyDescent="0.3">
      <c r="A1927" s="1" t="s">
        <v>442</v>
      </c>
      <c r="B1927" t="str">
        <f>VLOOKUP('Customer Names'!A1927,'Customer Names'!$A$1:$E$2336,4,FALSE)</f>
        <v>Ms.  Shelley</v>
      </c>
      <c r="C1927">
        <f>VLOOKUP(Table2[[#This Row],[Customer ID]],Table2[#All],2,FALSE)</f>
        <v>19.48</v>
      </c>
      <c r="D1927">
        <f>VLOOKUP(Table2[[#This Row],[Customer ID]],Table2[#All],3,FALSE)</f>
        <v>5.63</v>
      </c>
      <c r="E1927" t="str">
        <f>VLOOKUP(Table2[[#This Row],[Customer ID]],Table2[#All],4,FALSE)</f>
        <v>Yes</v>
      </c>
      <c r="F1927" t="str">
        <f>VLOOKUP(Table2[[#This Row],[Customer ID]],Table2[#All],5,FALSE)</f>
        <v>No</v>
      </c>
      <c r="G1927" t="str">
        <f>VLOOKUP(Table2[[#This Row],[Customer ID]],Table2[#All],6,FALSE)</f>
        <v>No</v>
      </c>
      <c r="H1927">
        <f>VLOOKUP(Table2[[#This Row],[Customer ID]],Table2[#All],7,FALSE)</f>
        <v>1</v>
      </c>
      <c r="I1927" t="str">
        <f>VLOOKUP(Table2[[#This Row],[Customer ID]],Table2[#All],8,FALSE)</f>
        <v>No</v>
      </c>
      <c r="J1927" t="str">
        <f>VLOOKUP(Table2[[#This Row],[Customer ID]],Table2[#All],9,FALSE)</f>
        <v>Normalweight</v>
      </c>
      <c r="K1927" t="str">
        <f>VLOOKUP(Table2[[#This Row],[Customer ID]],Table2[#All],10,FALSE)</f>
        <v>Normal</v>
      </c>
    </row>
    <row r="1928" spans="1:11" ht="15.6" x14ac:dyDescent="0.3">
      <c r="A1928" s="1" t="s">
        <v>441</v>
      </c>
      <c r="B1928" t="str">
        <f>VLOOKUP('Customer Names'!A1928,'Customer Names'!$A$1:$E$2336,4,FALSE)</f>
        <v>Ms.  Jekaterina</v>
      </c>
      <c r="C1928">
        <f>VLOOKUP(Table2[[#This Row],[Customer ID]],Table2[#All],2,FALSE)</f>
        <v>16.96</v>
      </c>
      <c r="D1928">
        <f>VLOOKUP(Table2[[#This Row],[Customer ID]],Table2[#All],3,FALSE)</f>
        <v>11.47</v>
      </c>
      <c r="E1928" t="str">
        <f>VLOOKUP(Table2[[#This Row],[Customer ID]],Table2[#All],4,FALSE)</f>
        <v>Yes</v>
      </c>
      <c r="F1928" t="str">
        <f>VLOOKUP(Table2[[#This Row],[Customer ID]],Table2[#All],5,FALSE)</f>
        <v>No</v>
      </c>
      <c r="G1928" t="str">
        <f>VLOOKUP(Table2[[#This Row],[Customer ID]],Table2[#All],6,FALSE)</f>
        <v>No</v>
      </c>
      <c r="H1928">
        <f>VLOOKUP(Table2[[#This Row],[Customer ID]],Table2[#All],7,FALSE)</f>
        <v>0</v>
      </c>
      <c r="I1928" t="str">
        <f>VLOOKUP(Table2[[#This Row],[Customer ID]],Table2[#All],8,FALSE)</f>
        <v>No</v>
      </c>
      <c r="J1928" t="str">
        <f>VLOOKUP(Table2[[#This Row],[Customer ID]],Table2[#All],9,FALSE)</f>
        <v>Underweight</v>
      </c>
      <c r="K1928" t="str">
        <f>VLOOKUP(Table2[[#This Row],[Customer ID]],Table2[#All],10,FALSE)</f>
        <v>Diabetes</v>
      </c>
    </row>
    <row r="1929" spans="1:11" ht="15.6" x14ac:dyDescent="0.3">
      <c r="A1929" s="1" t="s">
        <v>440</v>
      </c>
      <c r="B1929" t="str">
        <f>VLOOKUP('Customer Names'!A1929,'Customer Names'!$A$1:$E$2336,4,FALSE)</f>
        <v>Mr.  Daniel</v>
      </c>
      <c r="C1929">
        <f>VLOOKUP(Table2[[#This Row],[Customer ID]],Table2[#All],2,FALSE)</f>
        <v>19.05</v>
      </c>
      <c r="D1929">
        <f>VLOOKUP(Table2[[#This Row],[Customer ID]],Table2[#All],3,FALSE)</f>
        <v>4.92</v>
      </c>
      <c r="E1929" t="str">
        <f>VLOOKUP(Table2[[#This Row],[Customer ID]],Table2[#All],4,FALSE)</f>
        <v>No</v>
      </c>
      <c r="F1929" t="str">
        <f>VLOOKUP(Table2[[#This Row],[Customer ID]],Table2[#All],5,FALSE)</f>
        <v>No</v>
      </c>
      <c r="G1929" t="str">
        <f>VLOOKUP(Table2[[#This Row],[Customer ID]],Table2[#All],6,FALSE)</f>
        <v>No</v>
      </c>
      <c r="H1929">
        <f>VLOOKUP(Table2[[#This Row],[Customer ID]],Table2[#All],7,FALSE)</f>
        <v>1</v>
      </c>
      <c r="I1929" t="str">
        <f>VLOOKUP(Table2[[#This Row],[Customer ID]],Table2[#All],8,FALSE)</f>
        <v>No</v>
      </c>
      <c r="J1929" t="str">
        <f>VLOOKUP(Table2[[#This Row],[Customer ID]],Table2[#All],9,FALSE)</f>
        <v>Normalweight</v>
      </c>
      <c r="K1929" t="str">
        <f>VLOOKUP(Table2[[#This Row],[Customer ID]],Table2[#All],10,FALSE)</f>
        <v>Normal</v>
      </c>
    </row>
    <row r="1930" spans="1:11" ht="15.6" x14ac:dyDescent="0.3">
      <c r="A1930" s="1" t="s">
        <v>439</v>
      </c>
      <c r="B1930" t="str">
        <f>VLOOKUP('Customer Names'!A1930,'Customer Names'!$A$1:$E$2336,4,FALSE)</f>
        <v>Ms.  Pauline</v>
      </c>
      <c r="C1930">
        <f>VLOOKUP(Table2[[#This Row],[Customer ID]],Table2[#All],2,FALSE)</f>
        <v>37.619999999999997</v>
      </c>
      <c r="D1930">
        <f>VLOOKUP(Table2[[#This Row],[Customer ID]],Table2[#All],3,FALSE)</f>
        <v>4.18</v>
      </c>
      <c r="E1930" t="str">
        <f>VLOOKUP(Table2[[#This Row],[Customer ID]],Table2[#All],4,FALSE)</f>
        <v>No</v>
      </c>
      <c r="F1930" t="str">
        <f>VLOOKUP(Table2[[#This Row],[Customer ID]],Table2[#All],5,FALSE)</f>
        <v>No</v>
      </c>
      <c r="G1930" t="str">
        <f>VLOOKUP(Table2[[#This Row],[Customer ID]],Table2[#All],6,FALSE)</f>
        <v>No</v>
      </c>
      <c r="H1930">
        <f>VLOOKUP(Table2[[#This Row],[Customer ID]],Table2[#All],7,FALSE)</f>
        <v>0</v>
      </c>
      <c r="I1930" t="str">
        <f>VLOOKUP(Table2[[#This Row],[Customer ID]],Table2[#All],8,FALSE)</f>
        <v>No</v>
      </c>
      <c r="J1930" t="str">
        <f>VLOOKUP(Table2[[#This Row],[Customer ID]],Table2[#All],9,FALSE)</f>
        <v>Obesity</v>
      </c>
      <c r="K1930" t="str">
        <f>VLOOKUP(Table2[[#This Row],[Customer ID]],Table2[#All],10,FALSE)</f>
        <v>Normal</v>
      </c>
    </row>
    <row r="1931" spans="1:11" ht="15.6" x14ac:dyDescent="0.3">
      <c r="A1931" s="1" t="s">
        <v>438</v>
      </c>
      <c r="B1931" t="str">
        <f>VLOOKUP('Customer Names'!A1931,'Customer Names'!$A$1:$E$2336,4,FALSE)</f>
        <v>Ms.  Colleen</v>
      </c>
      <c r="C1931">
        <f>VLOOKUP(Table2[[#This Row],[Customer ID]],Table2[#All],2,FALSE)</f>
        <v>29.1</v>
      </c>
      <c r="D1931">
        <f>VLOOKUP(Table2[[#This Row],[Customer ID]],Table2[#All],3,FALSE)</f>
        <v>4.67</v>
      </c>
      <c r="E1931" t="str">
        <f>VLOOKUP(Table2[[#This Row],[Customer ID]],Table2[#All],4,FALSE)</f>
        <v>No</v>
      </c>
      <c r="F1931" t="str">
        <f>VLOOKUP(Table2[[#This Row],[Customer ID]],Table2[#All],5,FALSE)</f>
        <v>No</v>
      </c>
      <c r="G1931" t="str">
        <f>VLOOKUP(Table2[[#This Row],[Customer ID]],Table2[#All],6,FALSE)</f>
        <v>No</v>
      </c>
      <c r="H1931">
        <f>VLOOKUP(Table2[[#This Row],[Customer ID]],Table2[#All],7,FALSE)</f>
        <v>0</v>
      </c>
      <c r="I1931" t="str">
        <f>VLOOKUP(Table2[[#This Row],[Customer ID]],Table2[#All],8,FALSE)</f>
        <v>No</v>
      </c>
      <c r="J1931" t="str">
        <f>VLOOKUP(Table2[[#This Row],[Customer ID]],Table2[#All],9,FALSE)</f>
        <v>Overweight</v>
      </c>
      <c r="K1931" t="str">
        <f>VLOOKUP(Table2[[#This Row],[Customer ID]],Table2[#All],10,FALSE)</f>
        <v>Normal</v>
      </c>
    </row>
    <row r="1932" spans="1:11" ht="15.6" x14ac:dyDescent="0.3">
      <c r="A1932" s="1" t="s">
        <v>437</v>
      </c>
      <c r="B1932" t="str">
        <f>VLOOKUP('Customer Names'!A1932,'Customer Names'!$A$1:$E$2336,4,FALSE)</f>
        <v>Ms.  Aleah K</v>
      </c>
      <c r="C1932">
        <f>VLOOKUP(Table2[[#This Row],[Customer ID]],Table2[#All],2,FALSE)</f>
        <v>26.62</v>
      </c>
      <c r="D1932">
        <f>VLOOKUP(Table2[[#This Row],[Customer ID]],Table2[#All],3,FALSE)</f>
        <v>6.24</v>
      </c>
      <c r="E1932" t="str">
        <f>VLOOKUP(Table2[[#This Row],[Customer ID]],Table2[#All],4,FALSE)</f>
        <v>No</v>
      </c>
      <c r="F1932" t="str">
        <f>VLOOKUP(Table2[[#This Row],[Customer ID]],Table2[#All],5,FALSE)</f>
        <v>No</v>
      </c>
      <c r="G1932" t="str">
        <f>VLOOKUP(Table2[[#This Row],[Customer ID]],Table2[#All],6,FALSE)</f>
        <v>No</v>
      </c>
      <c r="H1932">
        <f>VLOOKUP(Table2[[#This Row],[Customer ID]],Table2[#All],7,FALSE)</f>
        <v>0</v>
      </c>
      <c r="I1932" t="str">
        <f>VLOOKUP(Table2[[#This Row],[Customer ID]],Table2[#All],8,FALSE)</f>
        <v>No</v>
      </c>
      <c r="J1932" t="str">
        <f>VLOOKUP(Table2[[#This Row],[Customer ID]],Table2[#All],9,FALSE)</f>
        <v>Overweight</v>
      </c>
      <c r="K1932" t="str">
        <f>VLOOKUP(Table2[[#This Row],[Customer ID]],Table2[#All],10,FALSE)</f>
        <v>Prediabetes</v>
      </c>
    </row>
    <row r="1933" spans="1:11" ht="15.6" x14ac:dyDescent="0.3">
      <c r="A1933" s="1" t="s">
        <v>436</v>
      </c>
      <c r="B1933" t="str">
        <f>VLOOKUP('Customer Names'!A1933,'Customer Names'!$A$1:$E$2336,4,FALSE)</f>
        <v>Ms.  Mare</v>
      </c>
      <c r="C1933">
        <f>VLOOKUP(Table2[[#This Row],[Customer ID]],Table2[#All],2,FALSE)</f>
        <v>25.74</v>
      </c>
      <c r="D1933">
        <f>VLOOKUP(Table2[[#This Row],[Customer ID]],Table2[#All],3,FALSE)</f>
        <v>5.99</v>
      </c>
      <c r="E1933" t="str">
        <f>VLOOKUP(Table2[[#This Row],[Customer ID]],Table2[#All],4,FALSE)</f>
        <v>No</v>
      </c>
      <c r="F1933" t="str">
        <f>VLOOKUP(Table2[[#This Row],[Customer ID]],Table2[#All],5,FALSE)</f>
        <v>No</v>
      </c>
      <c r="G1933" t="str">
        <f>VLOOKUP(Table2[[#This Row],[Customer ID]],Table2[#All],6,FALSE)</f>
        <v>No</v>
      </c>
      <c r="H1933">
        <f>VLOOKUP(Table2[[#This Row],[Customer ID]],Table2[#All],7,FALSE)</f>
        <v>0</v>
      </c>
      <c r="I1933" t="str">
        <f>VLOOKUP(Table2[[#This Row],[Customer ID]],Table2[#All],8,FALSE)</f>
        <v>No</v>
      </c>
      <c r="J1933" t="str">
        <f>VLOOKUP(Table2[[#This Row],[Customer ID]],Table2[#All],9,FALSE)</f>
        <v>Overweight</v>
      </c>
      <c r="K1933" t="str">
        <f>VLOOKUP(Table2[[#This Row],[Customer ID]],Table2[#All],10,FALSE)</f>
        <v>Prediabetes</v>
      </c>
    </row>
    <row r="1934" spans="1:11" ht="15.6" x14ac:dyDescent="0.3">
      <c r="A1934" s="1" t="s">
        <v>435</v>
      </c>
      <c r="B1934" t="str">
        <f>VLOOKUP('Customer Names'!A1934,'Customer Names'!$A$1:$E$2336,4,FALSE)</f>
        <v>Mr.  Kevin</v>
      </c>
      <c r="C1934">
        <f>VLOOKUP(Table2[[#This Row],[Customer ID]],Table2[#All],2,FALSE)</f>
        <v>18.22</v>
      </c>
      <c r="D1934">
        <f>VLOOKUP(Table2[[#This Row],[Customer ID]],Table2[#All],3,FALSE)</f>
        <v>10.27</v>
      </c>
      <c r="E1934" t="str">
        <f>VLOOKUP(Table2[[#This Row],[Customer ID]],Table2[#All],4,FALSE)</f>
        <v>Yes</v>
      </c>
      <c r="F1934" t="str">
        <f>VLOOKUP(Table2[[#This Row],[Customer ID]],Table2[#All],5,FALSE)</f>
        <v>No</v>
      </c>
      <c r="G1934" t="str">
        <f>VLOOKUP(Table2[[#This Row],[Customer ID]],Table2[#All],6,FALSE)</f>
        <v>No</v>
      </c>
      <c r="H1934">
        <f>VLOOKUP(Table2[[#This Row],[Customer ID]],Table2[#All],7,FALSE)</f>
        <v>1</v>
      </c>
      <c r="I1934" t="str">
        <f>VLOOKUP(Table2[[#This Row],[Customer ID]],Table2[#All],8,FALSE)</f>
        <v>No</v>
      </c>
      <c r="J1934" t="str">
        <f>VLOOKUP(Table2[[#This Row],[Customer ID]],Table2[#All],9,FALSE)</f>
        <v>Underweight</v>
      </c>
      <c r="K1934" t="str">
        <f>VLOOKUP(Table2[[#This Row],[Customer ID]],Table2[#All],10,FALSE)</f>
        <v>Diabetes</v>
      </c>
    </row>
    <row r="1935" spans="1:11" ht="15.6" x14ac:dyDescent="0.3">
      <c r="A1935" s="1" t="s">
        <v>434</v>
      </c>
      <c r="B1935" t="str">
        <f>VLOOKUP('Customer Names'!A1935,'Customer Names'!$A$1:$E$2336,4,FALSE)</f>
        <v>Ms.  Jessica</v>
      </c>
      <c r="C1935">
        <f>VLOOKUP(Table2[[#This Row],[Customer ID]],Table2[#All],2,FALSE)</f>
        <v>26.03</v>
      </c>
      <c r="D1935">
        <f>VLOOKUP(Table2[[#This Row],[Customer ID]],Table2[#All],3,FALSE)</f>
        <v>5.97</v>
      </c>
      <c r="E1935" t="str">
        <f>VLOOKUP(Table2[[#This Row],[Customer ID]],Table2[#All],4,FALSE)</f>
        <v>No</v>
      </c>
      <c r="F1935" t="str">
        <f>VLOOKUP(Table2[[#This Row],[Customer ID]],Table2[#All],5,FALSE)</f>
        <v>No</v>
      </c>
      <c r="G1935" t="str">
        <f>VLOOKUP(Table2[[#This Row],[Customer ID]],Table2[#All],6,FALSE)</f>
        <v>Yes</v>
      </c>
      <c r="H1935">
        <f>VLOOKUP(Table2[[#This Row],[Customer ID]],Table2[#All],7,FALSE)</f>
        <v>1</v>
      </c>
      <c r="I1935" t="str">
        <f>VLOOKUP(Table2[[#This Row],[Customer ID]],Table2[#All],8,FALSE)</f>
        <v>No</v>
      </c>
      <c r="J1935" t="str">
        <f>VLOOKUP(Table2[[#This Row],[Customer ID]],Table2[#All],9,FALSE)</f>
        <v>Overweight</v>
      </c>
      <c r="K1935" t="str">
        <f>VLOOKUP(Table2[[#This Row],[Customer ID]],Table2[#All],10,FALSE)</f>
        <v>Prediabetes</v>
      </c>
    </row>
    <row r="1936" spans="1:11" ht="15.6" x14ac:dyDescent="0.3">
      <c r="A1936" s="1" t="s">
        <v>433</v>
      </c>
      <c r="B1936" t="str">
        <f>VLOOKUP('Customer Names'!A1936,'Customer Names'!$A$1:$E$2336,4,FALSE)</f>
        <v>Ms.  Amanda R</v>
      </c>
      <c r="C1936">
        <f>VLOOKUP(Table2[[#This Row],[Customer ID]],Table2[#All],2,FALSE)</f>
        <v>17.29</v>
      </c>
      <c r="D1936">
        <f>VLOOKUP(Table2[[#This Row],[Customer ID]],Table2[#All],3,FALSE)</f>
        <v>4.9800000000000004</v>
      </c>
      <c r="E1936" t="str">
        <f>VLOOKUP(Table2[[#This Row],[Customer ID]],Table2[#All],4,FALSE)</f>
        <v>No</v>
      </c>
      <c r="F1936" t="str">
        <f>VLOOKUP(Table2[[#This Row],[Customer ID]],Table2[#All],5,FALSE)</f>
        <v>No</v>
      </c>
      <c r="G1936" t="str">
        <f>VLOOKUP(Table2[[#This Row],[Customer ID]],Table2[#All],6,FALSE)</f>
        <v>No</v>
      </c>
      <c r="H1936">
        <f>VLOOKUP(Table2[[#This Row],[Customer ID]],Table2[#All],7,FALSE)</f>
        <v>0</v>
      </c>
      <c r="I1936" t="str">
        <f>VLOOKUP(Table2[[#This Row],[Customer ID]],Table2[#All],8,FALSE)</f>
        <v>No</v>
      </c>
      <c r="J1936" t="str">
        <f>VLOOKUP(Table2[[#This Row],[Customer ID]],Table2[#All],9,FALSE)</f>
        <v>Underweight</v>
      </c>
      <c r="K1936" t="str">
        <f>VLOOKUP(Table2[[#This Row],[Customer ID]],Table2[#All],10,FALSE)</f>
        <v>Normal</v>
      </c>
    </row>
    <row r="1937" spans="1:11" ht="15.6" x14ac:dyDescent="0.3">
      <c r="A1937" s="1" t="s">
        <v>432</v>
      </c>
      <c r="B1937" t="str">
        <f>VLOOKUP('Customer Names'!A1937,'Customer Names'!$A$1:$E$2336,4,FALSE)</f>
        <v>Mr.  Murray W.</v>
      </c>
      <c r="C1937">
        <f>VLOOKUP(Table2[[#This Row],[Customer ID]],Table2[#All],2,FALSE)</f>
        <v>18.170000000000002</v>
      </c>
      <c r="D1937">
        <f>VLOOKUP(Table2[[#This Row],[Customer ID]],Table2[#All],3,FALSE)</f>
        <v>6.91</v>
      </c>
      <c r="E1937" t="str">
        <f>VLOOKUP(Table2[[#This Row],[Customer ID]],Table2[#All],4,FALSE)</f>
        <v>Yes</v>
      </c>
      <c r="F1937" t="str">
        <f>VLOOKUP(Table2[[#This Row],[Customer ID]],Table2[#All],5,FALSE)</f>
        <v>No</v>
      </c>
      <c r="G1937" t="str">
        <f>VLOOKUP(Table2[[#This Row],[Customer ID]],Table2[#All],6,FALSE)</f>
        <v>No</v>
      </c>
      <c r="H1937">
        <f>VLOOKUP(Table2[[#This Row],[Customer ID]],Table2[#All],7,FALSE)</f>
        <v>1</v>
      </c>
      <c r="I1937" t="str">
        <f>VLOOKUP(Table2[[#This Row],[Customer ID]],Table2[#All],8,FALSE)</f>
        <v>No</v>
      </c>
      <c r="J1937" t="str">
        <f>VLOOKUP(Table2[[#This Row],[Customer ID]],Table2[#All],9,FALSE)</f>
        <v>Underweight</v>
      </c>
      <c r="K1937" t="str">
        <f>VLOOKUP(Table2[[#This Row],[Customer ID]],Table2[#All],10,FALSE)</f>
        <v>Diabetes</v>
      </c>
    </row>
    <row r="1938" spans="1:11" ht="15.6" x14ac:dyDescent="0.3">
      <c r="A1938" s="1" t="s">
        <v>431</v>
      </c>
      <c r="B1938" t="str">
        <f>VLOOKUP('Customer Names'!A1938,'Customer Names'!$A$1:$E$2336,4,FALSE)</f>
        <v>Mrs.  Meghan P.</v>
      </c>
      <c r="C1938">
        <f>VLOOKUP(Table2[[#This Row],[Customer ID]],Table2[#All],2,FALSE)</f>
        <v>32.54</v>
      </c>
      <c r="D1938">
        <f>VLOOKUP(Table2[[#This Row],[Customer ID]],Table2[#All],3,FALSE)</f>
        <v>6.38</v>
      </c>
      <c r="E1938" t="str">
        <f>VLOOKUP(Table2[[#This Row],[Customer ID]],Table2[#All],4,FALSE)</f>
        <v>No</v>
      </c>
      <c r="F1938" t="str">
        <f>VLOOKUP(Table2[[#This Row],[Customer ID]],Table2[#All],5,FALSE)</f>
        <v>yes</v>
      </c>
      <c r="G1938" t="str">
        <f>VLOOKUP(Table2[[#This Row],[Customer ID]],Table2[#All],6,FALSE)</f>
        <v>No</v>
      </c>
      <c r="H1938">
        <f>VLOOKUP(Table2[[#This Row],[Customer ID]],Table2[#All],7,FALSE)</f>
        <v>1</v>
      </c>
      <c r="I1938" t="str">
        <f>VLOOKUP(Table2[[#This Row],[Customer ID]],Table2[#All],8,FALSE)</f>
        <v>No</v>
      </c>
      <c r="J1938" t="str">
        <f>VLOOKUP(Table2[[#This Row],[Customer ID]],Table2[#All],9,FALSE)</f>
        <v>Obesity</v>
      </c>
      <c r="K1938" t="str">
        <f>VLOOKUP(Table2[[#This Row],[Customer ID]],Table2[#All],10,FALSE)</f>
        <v>Prediabetes</v>
      </c>
    </row>
    <row r="1939" spans="1:11" ht="15.6" x14ac:dyDescent="0.3">
      <c r="A1939" s="1" t="s">
        <v>430</v>
      </c>
      <c r="B1939" t="str">
        <f>VLOOKUP('Customer Names'!A1939,'Customer Names'!$A$1:$E$2336,4,FALSE)</f>
        <v>Mr.  David</v>
      </c>
      <c r="C1939">
        <f>VLOOKUP(Table2[[#This Row],[Customer ID]],Table2[#All],2,FALSE)</f>
        <v>30.25</v>
      </c>
      <c r="D1939">
        <f>VLOOKUP(Table2[[#This Row],[Customer ID]],Table2[#All],3,FALSE)</f>
        <v>4.7699999999999996</v>
      </c>
      <c r="E1939" t="str">
        <f>VLOOKUP(Table2[[#This Row],[Customer ID]],Table2[#All],4,FALSE)</f>
        <v>No</v>
      </c>
      <c r="F1939" t="str">
        <f>VLOOKUP(Table2[[#This Row],[Customer ID]],Table2[#All],5,FALSE)</f>
        <v>No</v>
      </c>
      <c r="G1939" t="str">
        <f>VLOOKUP(Table2[[#This Row],[Customer ID]],Table2[#All],6,FALSE)</f>
        <v>No</v>
      </c>
      <c r="H1939">
        <f>VLOOKUP(Table2[[#This Row],[Customer ID]],Table2[#All],7,FALSE)</f>
        <v>0</v>
      </c>
      <c r="I1939" t="str">
        <f>VLOOKUP(Table2[[#This Row],[Customer ID]],Table2[#All],8,FALSE)</f>
        <v>No</v>
      </c>
      <c r="J1939" t="str">
        <f>VLOOKUP(Table2[[#This Row],[Customer ID]],Table2[#All],9,FALSE)</f>
        <v>Obesity</v>
      </c>
      <c r="K1939" t="str">
        <f>VLOOKUP(Table2[[#This Row],[Customer ID]],Table2[#All],10,FALSE)</f>
        <v>Normal</v>
      </c>
    </row>
    <row r="1940" spans="1:11" ht="15.6" x14ac:dyDescent="0.3">
      <c r="A1940" s="1" t="s">
        <v>429</v>
      </c>
      <c r="B1940" t="str">
        <f>VLOOKUP('Customer Names'!A1940,'Customer Names'!$A$1:$E$2336,4,FALSE)</f>
        <v>Mr.  Seth</v>
      </c>
      <c r="C1940">
        <f>VLOOKUP(Table2[[#This Row],[Customer ID]],Table2[#All],2,FALSE)</f>
        <v>19.59</v>
      </c>
      <c r="D1940">
        <f>VLOOKUP(Table2[[#This Row],[Customer ID]],Table2[#All],3,FALSE)</f>
        <v>6.04</v>
      </c>
      <c r="E1940" t="str">
        <f>VLOOKUP(Table2[[#This Row],[Customer ID]],Table2[#All],4,FALSE)</f>
        <v>Yes</v>
      </c>
      <c r="F1940" t="str">
        <f>VLOOKUP(Table2[[#This Row],[Customer ID]],Table2[#All],5,FALSE)</f>
        <v>No</v>
      </c>
      <c r="G1940" t="str">
        <f>VLOOKUP(Table2[[#This Row],[Customer ID]],Table2[#All],6,FALSE)</f>
        <v>No</v>
      </c>
      <c r="H1940">
        <f>VLOOKUP(Table2[[#This Row],[Customer ID]],Table2[#All],7,FALSE)</f>
        <v>1</v>
      </c>
      <c r="I1940" t="str">
        <f>VLOOKUP(Table2[[#This Row],[Customer ID]],Table2[#All],8,FALSE)</f>
        <v>No</v>
      </c>
      <c r="J1940" t="str">
        <f>VLOOKUP(Table2[[#This Row],[Customer ID]],Table2[#All],9,FALSE)</f>
        <v>Normalweight</v>
      </c>
      <c r="K1940" t="str">
        <f>VLOOKUP(Table2[[#This Row],[Customer ID]],Table2[#All],10,FALSE)</f>
        <v>Prediabetes</v>
      </c>
    </row>
    <row r="1941" spans="1:11" ht="15.6" x14ac:dyDescent="0.3">
      <c r="A1941" s="1" t="s">
        <v>428</v>
      </c>
      <c r="B1941" t="str">
        <f>VLOOKUP('Customer Names'!A1941,'Customer Names'!$A$1:$E$2336,4,FALSE)</f>
        <v>Mr.  Michael P.</v>
      </c>
      <c r="C1941">
        <f>VLOOKUP(Table2[[#This Row],[Customer ID]],Table2[#All],2,FALSE)</f>
        <v>45.9</v>
      </c>
      <c r="D1941">
        <f>VLOOKUP(Table2[[#This Row],[Customer ID]],Table2[#All],3,FALSE)</f>
        <v>4.3</v>
      </c>
      <c r="E1941" t="str">
        <f>VLOOKUP(Table2[[#This Row],[Customer ID]],Table2[#All],4,FALSE)</f>
        <v>Yes</v>
      </c>
      <c r="F1941" t="str">
        <f>VLOOKUP(Table2[[#This Row],[Customer ID]],Table2[#All],5,FALSE)</f>
        <v>No</v>
      </c>
      <c r="G1941" t="str">
        <f>VLOOKUP(Table2[[#This Row],[Customer ID]],Table2[#All],6,FALSE)</f>
        <v>No</v>
      </c>
      <c r="H1941">
        <f>VLOOKUP(Table2[[#This Row],[Customer ID]],Table2[#All],7,FALSE)</f>
        <v>1</v>
      </c>
      <c r="I1941" t="str">
        <f>VLOOKUP(Table2[[#This Row],[Customer ID]],Table2[#All],8,FALSE)</f>
        <v>No</v>
      </c>
      <c r="J1941" t="str">
        <f>VLOOKUP(Table2[[#This Row],[Customer ID]],Table2[#All],9,FALSE)</f>
        <v>Obesity</v>
      </c>
      <c r="K1941" t="str">
        <f>VLOOKUP(Table2[[#This Row],[Customer ID]],Table2[#All],10,FALSE)</f>
        <v>Normal</v>
      </c>
    </row>
    <row r="1942" spans="1:11" ht="15.6" x14ac:dyDescent="0.3">
      <c r="A1942" s="1" t="s">
        <v>427</v>
      </c>
      <c r="B1942" t="str">
        <f>VLOOKUP('Customer Names'!A1942,'Customer Names'!$A$1:$E$2336,4,FALSE)</f>
        <v>Mr.  Russell M</v>
      </c>
      <c r="C1942">
        <f>VLOOKUP(Table2[[#This Row],[Customer ID]],Table2[#All],2,FALSE)</f>
        <v>17.059999999999999</v>
      </c>
      <c r="D1942">
        <f>VLOOKUP(Table2[[#This Row],[Customer ID]],Table2[#All],3,FALSE)</f>
        <v>8.75</v>
      </c>
      <c r="E1942" t="str">
        <f>VLOOKUP(Table2[[#This Row],[Customer ID]],Table2[#All],4,FALSE)</f>
        <v>Yes</v>
      </c>
      <c r="F1942" t="str">
        <f>VLOOKUP(Table2[[#This Row],[Customer ID]],Table2[#All],5,FALSE)</f>
        <v>No</v>
      </c>
      <c r="G1942" t="str">
        <f>VLOOKUP(Table2[[#This Row],[Customer ID]],Table2[#All],6,FALSE)</f>
        <v>No</v>
      </c>
      <c r="H1942">
        <f>VLOOKUP(Table2[[#This Row],[Customer ID]],Table2[#All],7,FALSE)</f>
        <v>0</v>
      </c>
      <c r="I1942" t="str">
        <f>VLOOKUP(Table2[[#This Row],[Customer ID]],Table2[#All],8,FALSE)</f>
        <v>No</v>
      </c>
      <c r="J1942" t="str">
        <f>VLOOKUP(Table2[[#This Row],[Customer ID]],Table2[#All],9,FALSE)</f>
        <v>Underweight</v>
      </c>
      <c r="K1942" t="str">
        <f>VLOOKUP(Table2[[#This Row],[Customer ID]],Table2[#All],10,FALSE)</f>
        <v>Diabetes</v>
      </c>
    </row>
    <row r="1943" spans="1:11" ht="15.6" x14ac:dyDescent="0.3">
      <c r="A1943" s="1" t="s">
        <v>426</v>
      </c>
      <c r="B1943" t="str">
        <f>VLOOKUP('Customer Names'!A1943,'Customer Names'!$A$1:$E$2336,4,FALSE)</f>
        <v>Mr.  Martin</v>
      </c>
      <c r="C1943">
        <f>VLOOKUP(Table2[[#This Row],[Customer ID]],Table2[#All],2,FALSE)</f>
        <v>32.07</v>
      </c>
      <c r="D1943">
        <f>VLOOKUP(Table2[[#This Row],[Customer ID]],Table2[#All],3,FALSE)</f>
        <v>5.25</v>
      </c>
      <c r="E1943" t="str">
        <f>VLOOKUP(Table2[[#This Row],[Customer ID]],Table2[#All],4,FALSE)</f>
        <v>No</v>
      </c>
      <c r="F1943" t="str">
        <f>VLOOKUP(Table2[[#This Row],[Customer ID]],Table2[#All],5,FALSE)</f>
        <v>No</v>
      </c>
      <c r="G1943" t="str">
        <f>VLOOKUP(Table2[[#This Row],[Customer ID]],Table2[#All],6,FALSE)</f>
        <v>Yes</v>
      </c>
      <c r="H1943">
        <f>VLOOKUP(Table2[[#This Row],[Customer ID]],Table2[#All],7,FALSE)</f>
        <v>1</v>
      </c>
      <c r="I1943" t="str">
        <f>VLOOKUP(Table2[[#This Row],[Customer ID]],Table2[#All],8,FALSE)</f>
        <v>No</v>
      </c>
      <c r="J1943" t="str">
        <f>VLOOKUP(Table2[[#This Row],[Customer ID]],Table2[#All],9,FALSE)</f>
        <v>Obesity</v>
      </c>
      <c r="K1943" t="str">
        <f>VLOOKUP(Table2[[#This Row],[Customer ID]],Table2[#All],10,FALSE)</f>
        <v>Normal</v>
      </c>
    </row>
    <row r="1944" spans="1:11" ht="15.6" x14ac:dyDescent="0.3">
      <c r="A1944" s="1" t="s">
        <v>425</v>
      </c>
      <c r="B1944" t="str">
        <f>VLOOKUP('Customer Names'!A1944,'Customer Names'!$A$1:$E$2336,4,FALSE)</f>
        <v>Mr.  Michael</v>
      </c>
      <c r="C1944">
        <f>VLOOKUP(Table2[[#This Row],[Customer ID]],Table2[#All],2,FALSE)</f>
        <v>16.5</v>
      </c>
      <c r="D1944">
        <f>VLOOKUP(Table2[[#This Row],[Customer ID]],Table2[#All],3,FALSE)</f>
        <v>5.03</v>
      </c>
      <c r="E1944" t="str">
        <f>VLOOKUP(Table2[[#This Row],[Customer ID]],Table2[#All],4,FALSE)</f>
        <v>No</v>
      </c>
      <c r="F1944" t="str">
        <f>VLOOKUP(Table2[[#This Row],[Customer ID]],Table2[#All],5,FALSE)</f>
        <v>No</v>
      </c>
      <c r="G1944" t="str">
        <f>VLOOKUP(Table2[[#This Row],[Customer ID]],Table2[#All],6,FALSE)</f>
        <v>No</v>
      </c>
      <c r="H1944">
        <f>VLOOKUP(Table2[[#This Row],[Customer ID]],Table2[#All],7,FALSE)</f>
        <v>1</v>
      </c>
      <c r="I1944" t="str">
        <f>VLOOKUP(Table2[[#This Row],[Customer ID]],Table2[#All],8,FALSE)</f>
        <v>No</v>
      </c>
      <c r="J1944" t="str">
        <f>VLOOKUP(Table2[[#This Row],[Customer ID]],Table2[#All],9,FALSE)</f>
        <v>Underweight</v>
      </c>
      <c r="K1944" t="str">
        <f>VLOOKUP(Table2[[#This Row],[Customer ID]],Table2[#All],10,FALSE)</f>
        <v>Normal</v>
      </c>
    </row>
    <row r="1945" spans="1:11" ht="15.6" x14ac:dyDescent="0.3">
      <c r="A1945" s="1" t="s">
        <v>424</v>
      </c>
      <c r="B1945" t="str">
        <f>VLOOKUP('Customer Names'!A1945,'Customer Names'!$A$1:$E$2336,4,FALSE)</f>
        <v>Mr.  Miles</v>
      </c>
      <c r="C1945">
        <f>VLOOKUP(Table2[[#This Row],[Customer ID]],Table2[#All],2,FALSE)</f>
        <v>31.4</v>
      </c>
      <c r="D1945">
        <f>VLOOKUP(Table2[[#This Row],[Customer ID]],Table2[#All],3,FALSE)</f>
        <v>5.88</v>
      </c>
      <c r="E1945" t="str">
        <f>VLOOKUP(Table2[[#This Row],[Customer ID]],Table2[#All],4,FALSE)</f>
        <v>No</v>
      </c>
      <c r="F1945" t="str">
        <f>VLOOKUP(Table2[[#This Row],[Customer ID]],Table2[#All],5,FALSE)</f>
        <v>No</v>
      </c>
      <c r="G1945" t="str">
        <f>VLOOKUP(Table2[[#This Row],[Customer ID]],Table2[#All],6,FALSE)</f>
        <v>No</v>
      </c>
      <c r="H1945">
        <f>VLOOKUP(Table2[[#This Row],[Customer ID]],Table2[#All],7,FALSE)</f>
        <v>1</v>
      </c>
      <c r="I1945" t="str">
        <f>VLOOKUP(Table2[[#This Row],[Customer ID]],Table2[#All],8,FALSE)</f>
        <v>No</v>
      </c>
      <c r="J1945" t="str">
        <f>VLOOKUP(Table2[[#This Row],[Customer ID]],Table2[#All],9,FALSE)</f>
        <v>Obesity</v>
      </c>
      <c r="K1945" t="str">
        <f>VLOOKUP(Table2[[#This Row],[Customer ID]],Table2[#All],10,FALSE)</f>
        <v>Prediabetes</v>
      </c>
    </row>
    <row r="1946" spans="1:11" ht="15.6" x14ac:dyDescent="0.3">
      <c r="A1946" s="1" t="s">
        <v>423</v>
      </c>
      <c r="B1946" t="str">
        <f>VLOOKUP('Customer Names'!A1946,'Customer Names'!$A$1:$E$2336,4,FALSE)</f>
        <v>Ms.  Amanda</v>
      </c>
      <c r="C1946">
        <f>VLOOKUP(Table2[[#This Row],[Customer ID]],Table2[#All],2,FALSE)</f>
        <v>20.36</v>
      </c>
      <c r="D1946">
        <f>VLOOKUP(Table2[[#This Row],[Customer ID]],Table2[#All],3,FALSE)</f>
        <v>4.49</v>
      </c>
      <c r="E1946" t="str">
        <f>VLOOKUP(Table2[[#This Row],[Customer ID]],Table2[#All],4,FALSE)</f>
        <v>No</v>
      </c>
      <c r="F1946" t="str">
        <f>VLOOKUP(Table2[[#This Row],[Customer ID]],Table2[#All],5,FALSE)</f>
        <v>No</v>
      </c>
      <c r="G1946" t="str">
        <f>VLOOKUP(Table2[[#This Row],[Customer ID]],Table2[#All],6,FALSE)</f>
        <v>No</v>
      </c>
      <c r="H1946">
        <f>VLOOKUP(Table2[[#This Row],[Customer ID]],Table2[#All],7,FALSE)</f>
        <v>0</v>
      </c>
      <c r="I1946" t="str">
        <f>VLOOKUP(Table2[[#This Row],[Customer ID]],Table2[#All],8,FALSE)</f>
        <v>No</v>
      </c>
      <c r="J1946" t="str">
        <f>VLOOKUP(Table2[[#This Row],[Customer ID]],Table2[#All],9,FALSE)</f>
        <v>Normalweight</v>
      </c>
      <c r="K1946" t="str">
        <f>VLOOKUP(Table2[[#This Row],[Customer ID]],Table2[#All],10,FALSE)</f>
        <v>Normal</v>
      </c>
    </row>
    <row r="1947" spans="1:11" ht="15.6" x14ac:dyDescent="0.3">
      <c r="A1947" s="1" t="s">
        <v>422</v>
      </c>
      <c r="B1947" t="str">
        <f>VLOOKUP('Customer Names'!A1947,'Customer Names'!$A$1:$E$2336,4,FALSE)</f>
        <v>Mr.  Roger</v>
      </c>
      <c r="C1947">
        <f>VLOOKUP(Table2[[#This Row],[Customer ID]],Table2[#All],2,FALSE)</f>
        <v>25.46</v>
      </c>
      <c r="D1947">
        <f>VLOOKUP(Table2[[#This Row],[Customer ID]],Table2[#All],3,FALSE)</f>
        <v>4.1399999999999997</v>
      </c>
      <c r="E1947" t="str">
        <f>VLOOKUP(Table2[[#This Row],[Customer ID]],Table2[#All],4,FALSE)</f>
        <v>No</v>
      </c>
      <c r="F1947" t="str">
        <f>VLOOKUP(Table2[[#This Row],[Customer ID]],Table2[#All],5,FALSE)</f>
        <v>No</v>
      </c>
      <c r="G1947" t="str">
        <f>VLOOKUP(Table2[[#This Row],[Customer ID]],Table2[#All],6,FALSE)</f>
        <v>No</v>
      </c>
      <c r="H1947">
        <f>VLOOKUP(Table2[[#This Row],[Customer ID]],Table2[#All],7,FALSE)</f>
        <v>1</v>
      </c>
      <c r="I1947" t="str">
        <f>VLOOKUP(Table2[[#This Row],[Customer ID]],Table2[#All],8,FALSE)</f>
        <v>No</v>
      </c>
      <c r="J1947" t="str">
        <f>VLOOKUP(Table2[[#This Row],[Customer ID]],Table2[#All],9,FALSE)</f>
        <v>Overweight</v>
      </c>
      <c r="K1947" t="str">
        <f>VLOOKUP(Table2[[#This Row],[Customer ID]],Table2[#All],10,FALSE)</f>
        <v>Normal</v>
      </c>
    </row>
    <row r="1948" spans="1:11" ht="15.6" x14ac:dyDescent="0.3">
      <c r="A1948" s="1" t="s">
        <v>421</v>
      </c>
      <c r="B1948" t="str">
        <f>VLOOKUP('Customer Names'!A1948,'Customer Names'!$A$1:$E$2336,4,FALSE)</f>
        <v>Mr.  Brock J</v>
      </c>
      <c r="C1948">
        <f>VLOOKUP(Table2[[#This Row],[Customer ID]],Table2[#All],2,FALSE)</f>
        <v>17.09</v>
      </c>
      <c r="D1948">
        <f>VLOOKUP(Table2[[#This Row],[Customer ID]],Table2[#All],3,FALSE)</f>
        <v>5.8</v>
      </c>
      <c r="E1948" t="str">
        <f>VLOOKUP(Table2[[#This Row],[Customer ID]],Table2[#All],4,FALSE)</f>
        <v>Yes</v>
      </c>
      <c r="F1948" t="str">
        <f>VLOOKUP(Table2[[#This Row],[Customer ID]],Table2[#All],5,FALSE)</f>
        <v>No</v>
      </c>
      <c r="G1948" t="str">
        <f>VLOOKUP(Table2[[#This Row],[Customer ID]],Table2[#All],6,FALSE)</f>
        <v>No</v>
      </c>
      <c r="H1948">
        <f>VLOOKUP(Table2[[#This Row],[Customer ID]],Table2[#All],7,FALSE)</f>
        <v>0</v>
      </c>
      <c r="I1948" t="str">
        <f>VLOOKUP(Table2[[#This Row],[Customer ID]],Table2[#All],8,FALSE)</f>
        <v>No</v>
      </c>
      <c r="J1948" t="str">
        <f>VLOOKUP(Table2[[#This Row],[Customer ID]],Table2[#All],9,FALSE)</f>
        <v>Underweight</v>
      </c>
      <c r="K1948" t="str">
        <f>VLOOKUP(Table2[[#This Row],[Customer ID]],Table2[#All],10,FALSE)</f>
        <v>Prediabetes</v>
      </c>
    </row>
    <row r="1949" spans="1:11" ht="15.6" x14ac:dyDescent="0.3">
      <c r="A1949" s="1" t="s">
        <v>420</v>
      </c>
      <c r="B1949" t="str">
        <f>VLOOKUP('Customer Names'!A1949,'Customer Names'!$A$1:$E$2336,4,FALSE)</f>
        <v>Mr.  Stephen F.</v>
      </c>
      <c r="C1949">
        <f>VLOOKUP(Table2[[#This Row],[Customer ID]],Table2[#All],2,FALSE)</f>
        <v>20.83</v>
      </c>
      <c r="D1949">
        <f>VLOOKUP(Table2[[#This Row],[Customer ID]],Table2[#All],3,FALSE)</f>
        <v>5.12</v>
      </c>
      <c r="E1949" t="str">
        <f>VLOOKUP(Table2[[#This Row],[Customer ID]],Table2[#All],4,FALSE)</f>
        <v>No</v>
      </c>
      <c r="F1949" t="str">
        <f>VLOOKUP(Table2[[#This Row],[Customer ID]],Table2[#All],5,FALSE)</f>
        <v>No</v>
      </c>
      <c r="G1949" t="str">
        <f>VLOOKUP(Table2[[#This Row],[Customer ID]],Table2[#All],6,FALSE)</f>
        <v>No</v>
      </c>
      <c r="H1949">
        <f>VLOOKUP(Table2[[#This Row],[Customer ID]],Table2[#All],7,FALSE)</f>
        <v>0</v>
      </c>
      <c r="I1949" t="str">
        <f>VLOOKUP(Table2[[#This Row],[Customer ID]],Table2[#All],8,FALSE)</f>
        <v>No</v>
      </c>
      <c r="J1949" t="str">
        <f>VLOOKUP(Table2[[#This Row],[Customer ID]],Table2[#All],9,FALSE)</f>
        <v>Normalweight</v>
      </c>
      <c r="K1949" t="str">
        <f>VLOOKUP(Table2[[#This Row],[Customer ID]],Table2[#All],10,FALSE)</f>
        <v>Normal</v>
      </c>
    </row>
    <row r="1950" spans="1:11" ht="15.6" x14ac:dyDescent="0.3">
      <c r="A1950" s="1" t="s">
        <v>419</v>
      </c>
      <c r="B1950" t="str">
        <f>VLOOKUP('Customer Names'!A1950,'Customer Names'!$A$1:$E$2336,4,FALSE)</f>
        <v>Ms.  Missy</v>
      </c>
      <c r="C1950">
        <f>VLOOKUP(Table2[[#This Row],[Customer ID]],Table2[#All],2,FALSE)</f>
        <v>18.920000000000002</v>
      </c>
      <c r="D1950">
        <f>VLOOKUP(Table2[[#This Row],[Customer ID]],Table2[#All],3,FALSE)</f>
        <v>5.98</v>
      </c>
      <c r="E1950" t="str">
        <f>VLOOKUP(Table2[[#This Row],[Customer ID]],Table2[#All],4,FALSE)</f>
        <v>Yes</v>
      </c>
      <c r="F1950" t="str">
        <f>VLOOKUP(Table2[[#This Row],[Customer ID]],Table2[#All],5,FALSE)</f>
        <v>No</v>
      </c>
      <c r="G1950" t="str">
        <f>VLOOKUP(Table2[[#This Row],[Customer ID]],Table2[#All],6,FALSE)</f>
        <v>No</v>
      </c>
      <c r="H1950">
        <f>VLOOKUP(Table2[[#This Row],[Customer ID]],Table2[#All],7,FALSE)</f>
        <v>1</v>
      </c>
      <c r="I1950" t="str">
        <f>VLOOKUP(Table2[[#This Row],[Customer ID]],Table2[#All],8,FALSE)</f>
        <v>No</v>
      </c>
      <c r="J1950" t="str">
        <f>VLOOKUP(Table2[[#This Row],[Customer ID]],Table2[#All],9,FALSE)</f>
        <v>Normalweight</v>
      </c>
      <c r="K1950" t="str">
        <f>VLOOKUP(Table2[[#This Row],[Customer ID]],Table2[#All],10,FALSE)</f>
        <v>Prediabetes</v>
      </c>
    </row>
    <row r="1951" spans="1:11" ht="15.6" x14ac:dyDescent="0.3">
      <c r="A1951" s="1" t="s">
        <v>418</v>
      </c>
      <c r="B1951" t="str">
        <f>VLOOKUP('Customer Names'!A1951,'Customer Names'!$A$1:$E$2336,4,FALSE)</f>
        <v>Mr.  William</v>
      </c>
      <c r="C1951">
        <f>VLOOKUP(Table2[[#This Row],[Customer ID]],Table2[#All],2,FALSE)</f>
        <v>37.1</v>
      </c>
      <c r="D1951">
        <f>VLOOKUP(Table2[[#This Row],[Customer ID]],Table2[#All],3,FALSE)</f>
        <v>5.46</v>
      </c>
      <c r="E1951" t="str">
        <f>VLOOKUP(Table2[[#This Row],[Customer ID]],Table2[#All],4,FALSE)</f>
        <v>No</v>
      </c>
      <c r="F1951" t="str">
        <f>VLOOKUP(Table2[[#This Row],[Customer ID]],Table2[#All],5,FALSE)</f>
        <v>No</v>
      </c>
      <c r="G1951" t="str">
        <f>VLOOKUP(Table2[[#This Row],[Customer ID]],Table2[#All],6,FALSE)</f>
        <v>No</v>
      </c>
      <c r="H1951">
        <f>VLOOKUP(Table2[[#This Row],[Customer ID]],Table2[#All],7,FALSE)</f>
        <v>0</v>
      </c>
      <c r="I1951" t="str">
        <f>VLOOKUP(Table2[[#This Row],[Customer ID]],Table2[#All],8,FALSE)</f>
        <v>No</v>
      </c>
      <c r="J1951" t="str">
        <f>VLOOKUP(Table2[[#This Row],[Customer ID]],Table2[#All],9,FALSE)</f>
        <v>Obesity</v>
      </c>
      <c r="K1951" t="str">
        <f>VLOOKUP(Table2[[#This Row],[Customer ID]],Table2[#All],10,FALSE)</f>
        <v>Normal</v>
      </c>
    </row>
    <row r="1952" spans="1:11" ht="15.6" x14ac:dyDescent="0.3">
      <c r="A1952" s="1" t="s">
        <v>417</v>
      </c>
      <c r="B1952" t="str">
        <f>VLOOKUP('Customer Names'!A1952,'Customer Names'!$A$1:$E$2336,4,FALSE)</f>
        <v>Ms.  Lauren M</v>
      </c>
      <c r="C1952">
        <f>VLOOKUP(Table2[[#This Row],[Customer ID]],Table2[#All],2,FALSE)</f>
        <v>22.515000000000001</v>
      </c>
      <c r="D1952">
        <f>VLOOKUP(Table2[[#This Row],[Customer ID]],Table2[#All],3,FALSE)</f>
        <v>4.91</v>
      </c>
      <c r="E1952" t="str">
        <f>VLOOKUP(Table2[[#This Row],[Customer ID]],Table2[#All],4,FALSE)</f>
        <v>Yes</v>
      </c>
      <c r="F1952" t="str">
        <f>VLOOKUP(Table2[[#This Row],[Customer ID]],Table2[#All],5,FALSE)</f>
        <v>No</v>
      </c>
      <c r="G1952" t="str">
        <f>VLOOKUP(Table2[[#This Row],[Customer ID]],Table2[#All],6,FALSE)</f>
        <v>Yes</v>
      </c>
      <c r="H1952">
        <f>VLOOKUP(Table2[[#This Row],[Customer ID]],Table2[#All],7,FALSE)</f>
        <v>1</v>
      </c>
      <c r="I1952" t="str">
        <f>VLOOKUP(Table2[[#This Row],[Customer ID]],Table2[#All],8,FALSE)</f>
        <v>No</v>
      </c>
      <c r="J1952" t="str">
        <f>VLOOKUP(Table2[[#This Row],[Customer ID]],Table2[#All],9,FALSE)</f>
        <v>Normalweight</v>
      </c>
      <c r="K1952" t="str">
        <f>VLOOKUP(Table2[[#This Row],[Customer ID]],Table2[#All],10,FALSE)</f>
        <v>Normal</v>
      </c>
    </row>
    <row r="1953" spans="1:11" ht="15.6" x14ac:dyDescent="0.3">
      <c r="A1953" s="1" t="s">
        <v>416</v>
      </c>
      <c r="B1953" t="str">
        <f>VLOOKUP('Customer Names'!A1953,'Customer Names'!$A$1:$E$2336,4,FALSE)</f>
        <v>Mr.  Apolo U.</v>
      </c>
      <c r="C1953">
        <f>VLOOKUP(Table2[[#This Row],[Customer ID]],Table2[#All],2,FALSE)</f>
        <v>32.700000000000003</v>
      </c>
      <c r="D1953">
        <f>VLOOKUP(Table2[[#This Row],[Customer ID]],Table2[#All],3,FALSE)</f>
        <v>4.66</v>
      </c>
      <c r="E1953" t="str">
        <f>VLOOKUP(Table2[[#This Row],[Customer ID]],Table2[#All],4,FALSE)</f>
        <v>No</v>
      </c>
      <c r="F1953" t="str">
        <f>VLOOKUP(Table2[[#This Row],[Customer ID]],Table2[#All],5,FALSE)</f>
        <v>No</v>
      </c>
      <c r="G1953" t="str">
        <f>VLOOKUP(Table2[[#This Row],[Customer ID]],Table2[#All],6,FALSE)</f>
        <v>No</v>
      </c>
      <c r="H1953">
        <f>VLOOKUP(Table2[[#This Row],[Customer ID]],Table2[#All],7,FALSE)</f>
        <v>0</v>
      </c>
      <c r="I1953" t="str">
        <f>VLOOKUP(Table2[[#This Row],[Customer ID]],Table2[#All],8,FALSE)</f>
        <v>No</v>
      </c>
      <c r="J1953" t="str">
        <f>VLOOKUP(Table2[[#This Row],[Customer ID]],Table2[#All],9,FALSE)</f>
        <v>Obesity</v>
      </c>
      <c r="K1953" t="str">
        <f>VLOOKUP(Table2[[#This Row],[Customer ID]],Table2[#All],10,FALSE)</f>
        <v>Normal</v>
      </c>
    </row>
    <row r="1954" spans="1:11" ht="15.6" x14ac:dyDescent="0.3">
      <c r="A1954" s="1" t="s">
        <v>415</v>
      </c>
      <c r="B1954" t="str">
        <f>VLOOKUP('Customer Names'!A1954,'Customer Names'!$A$1:$E$2336,4,FALSE)</f>
        <v>Mr.  Alfons</v>
      </c>
      <c r="C1954">
        <f>VLOOKUP(Table2[[#This Row],[Customer ID]],Table2[#All],2,FALSE)</f>
        <v>17.75</v>
      </c>
      <c r="D1954">
        <f>VLOOKUP(Table2[[#This Row],[Customer ID]],Table2[#All],3,FALSE)</f>
        <v>6.8</v>
      </c>
      <c r="E1954" t="str">
        <f>VLOOKUP(Table2[[#This Row],[Customer ID]],Table2[#All],4,FALSE)</f>
        <v>Yes</v>
      </c>
      <c r="F1954" t="str">
        <f>VLOOKUP(Table2[[#This Row],[Customer ID]],Table2[#All],5,FALSE)</f>
        <v>No</v>
      </c>
      <c r="G1954" t="str">
        <f>VLOOKUP(Table2[[#This Row],[Customer ID]],Table2[#All],6,FALSE)</f>
        <v>No</v>
      </c>
      <c r="H1954">
        <f>VLOOKUP(Table2[[#This Row],[Customer ID]],Table2[#All],7,FALSE)</f>
        <v>1</v>
      </c>
      <c r="I1954" t="str">
        <f>VLOOKUP(Table2[[#This Row],[Customer ID]],Table2[#All],8,FALSE)</f>
        <v>No</v>
      </c>
      <c r="J1954" t="str">
        <f>VLOOKUP(Table2[[#This Row],[Customer ID]],Table2[#All],9,FALSE)</f>
        <v>Underweight</v>
      </c>
      <c r="K1954" t="str">
        <f>VLOOKUP(Table2[[#This Row],[Customer ID]],Table2[#All],10,FALSE)</f>
        <v>Diabetes</v>
      </c>
    </row>
    <row r="1955" spans="1:11" ht="15.6" x14ac:dyDescent="0.3">
      <c r="A1955" s="1" t="s">
        <v>414</v>
      </c>
      <c r="B1955" t="str">
        <f>VLOOKUP('Customer Names'!A1955,'Customer Names'!$A$1:$E$2336,4,FALSE)</f>
        <v>Ms.  Amber</v>
      </c>
      <c r="C1955">
        <f>VLOOKUP(Table2[[#This Row],[Customer ID]],Table2[#All],2,FALSE)</f>
        <v>33.630000000000003</v>
      </c>
      <c r="D1955">
        <f>VLOOKUP(Table2[[#This Row],[Customer ID]],Table2[#All],3,FALSE)</f>
        <v>4.47</v>
      </c>
      <c r="E1955" t="str">
        <f>VLOOKUP(Table2[[#This Row],[Customer ID]],Table2[#All],4,FALSE)</f>
        <v>Yes</v>
      </c>
      <c r="F1955" t="str">
        <f>VLOOKUP(Table2[[#This Row],[Customer ID]],Table2[#All],5,FALSE)</f>
        <v>No</v>
      </c>
      <c r="G1955" t="str">
        <f>VLOOKUP(Table2[[#This Row],[Customer ID]],Table2[#All],6,FALSE)</f>
        <v>No</v>
      </c>
      <c r="H1955">
        <f>VLOOKUP(Table2[[#This Row],[Customer ID]],Table2[#All],7,FALSE)</f>
        <v>0</v>
      </c>
      <c r="I1955" t="str">
        <f>VLOOKUP(Table2[[#This Row],[Customer ID]],Table2[#All],8,FALSE)</f>
        <v>No</v>
      </c>
      <c r="J1955" t="str">
        <f>VLOOKUP(Table2[[#This Row],[Customer ID]],Table2[#All],9,FALSE)</f>
        <v>Obesity</v>
      </c>
      <c r="K1955" t="str">
        <f>VLOOKUP(Table2[[#This Row],[Customer ID]],Table2[#All],10,FALSE)</f>
        <v>Normal</v>
      </c>
    </row>
    <row r="1956" spans="1:11" ht="15.6" x14ac:dyDescent="0.3">
      <c r="A1956" s="1" t="s">
        <v>413</v>
      </c>
      <c r="B1956" t="str">
        <f>VLOOKUP('Customer Names'!A1956,'Customer Names'!$A$1:$E$2336,4,FALSE)</f>
        <v>Ms.  Leah C.</v>
      </c>
      <c r="C1956">
        <f>VLOOKUP(Table2[[#This Row],[Customer ID]],Table2[#All],2,FALSE)</f>
        <v>34.799999999999997</v>
      </c>
      <c r="D1956">
        <f>VLOOKUP(Table2[[#This Row],[Customer ID]],Table2[#All],3,FALSE)</f>
        <v>4.08</v>
      </c>
      <c r="E1956" t="str">
        <f>VLOOKUP(Table2[[#This Row],[Customer ID]],Table2[#All],4,FALSE)</f>
        <v>Yes</v>
      </c>
      <c r="F1956" t="str">
        <f>VLOOKUP(Table2[[#This Row],[Customer ID]],Table2[#All],5,FALSE)</f>
        <v>No</v>
      </c>
      <c r="G1956" t="str">
        <f>VLOOKUP(Table2[[#This Row],[Customer ID]],Table2[#All],6,FALSE)</f>
        <v>No</v>
      </c>
      <c r="H1956">
        <f>VLOOKUP(Table2[[#This Row],[Customer ID]],Table2[#All],7,FALSE)</f>
        <v>1</v>
      </c>
      <c r="I1956" t="str">
        <f>VLOOKUP(Table2[[#This Row],[Customer ID]],Table2[#All],8,FALSE)</f>
        <v>No</v>
      </c>
      <c r="J1956" t="str">
        <f>VLOOKUP(Table2[[#This Row],[Customer ID]],Table2[#All],9,FALSE)</f>
        <v>Obesity</v>
      </c>
      <c r="K1956" t="str">
        <f>VLOOKUP(Table2[[#This Row],[Customer ID]],Table2[#All],10,FALSE)</f>
        <v>Normal</v>
      </c>
    </row>
    <row r="1957" spans="1:11" ht="15.6" x14ac:dyDescent="0.3">
      <c r="A1957" s="1" t="s">
        <v>412</v>
      </c>
      <c r="B1957" t="str">
        <f>VLOOKUP('Customer Names'!A1957,'Customer Names'!$A$1:$E$2336,4,FALSE)</f>
        <v>Ms.  Lilia</v>
      </c>
      <c r="C1957">
        <f>VLOOKUP(Table2[[#This Row],[Customer ID]],Table2[#All],2,FALSE)</f>
        <v>16.809999999999999</v>
      </c>
      <c r="D1957">
        <f>VLOOKUP(Table2[[#This Row],[Customer ID]],Table2[#All],3,FALSE)</f>
        <v>5.51</v>
      </c>
      <c r="E1957" t="str">
        <f>VLOOKUP(Table2[[#This Row],[Customer ID]],Table2[#All],4,FALSE)</f>
        <v>Yes</v>
      </c>
      <c r="F1957" t="str">
        <f>VLOOKUP(Table2[[#This Row],[Customer ID]],Table2[#All],5,FALSE)</f>
        <v>No</v>
      </c>
      <c r="G1957" t="str">
        <f>VLOOKUP(Table2[[#This Row],[Customer ID]],Table2[#All],6,FALSE)</f>
        <v>No</v>
      </c>
      <c r="H1957">
        <f>VLOOKUP(Table2[[#This Row],[Customer ID]],Table2[#All],7,FALSE)</f>
        <v>1</v>
      </c>
      <c r="I1957" t="str">
        <f>VLOOKUP(Table2[[#This Row],[Customer ID]],Table2[#All],8,FALSE)</f>
        <v>No</v>
      </c>
      <c r="J1957" t="str">
        <f>VLOOKUP(Table2[[#This Row],[Customer ID]],Table2[#All],9,FALSE)</f>
        <v>Underweight</v>
      </c>
      <c r="K1957" t="str">
        <f>VLOOKUP(Table2[[#This Row],[Customer ID]],Table2[#All],10,FALSE)</f>
        <v>Normal</v>
      </c>
    </row>
    <row r="1958" spans="1:11" ht="15.6" x14ac:dyDescent="0.3">
      <c r="A1958" s="1" t="s">
        <v>411</v>
      </c>
      <c r="B1958" t="str">
        <f>VLOOKUP('Customer Names'!A1958,'Customer Names'!$A$1:$E$2336,4,FALSE)</f>
        <v>Mr.  Danny</v>
      </c>
      <c r="C1958">
        <f>VLOOKUP(Table2[[#This Row],[Customer ID]],Table2[#All],2,FALSE)</f>
        <v>16.690000000000001</v>
      </c>
      <c r="D1958">
        <f>VLOOKUP(Table2[[#This Row],[Customer ID]],Table2[#All],3,FALSE)</f>
        <v>8.4</v>
      </c>
      <c r="E1958" t="str">
        <f>VLOOKUP(Table2[[#This Row],[Customer ID]],Table2[#All],4,FALSE)</f>
        <v>Yes</v>
      </c>
      <c r="F1958" t="str">
        <f>VLOOKUP(Table2[[#This Row],[Customer ID]],Table2[#All],5,FALSE)</f>
        <v>No</v>
      </c>
      <c r="G1958" t="str">
        <f>VLOOKUP(Table2[[#This Row],[Customer ID]],Table2[#All],6,FALSE)</f>
        <v>No</v>
      </c>
      <c r="H1958">
        <f>VLOOKUP(Table2[[#This Row],[Customer ID]],Table2[#All],7,FALSE)</f>
        <v>0</v>
      </c>
      <c r="I1958" t="str">
        <f>VLOOKUP(Table2[[#This Row],[Customer ID]],Table2[#All],8,FALSE)</f>
        <v>No</v>
      </c>
      <c r="J1958" t="str">
        <f>VLOOKUP(Table2[[#This Row],[Customer ID]],Table2[#All],9,FALSE)</f>
        <v>Underweight</v>
      </c>
      <c r="K1958" t="str">
        <f>VLOOKUP(Table2[[#This Row],[Customer ID]],Table2[#All],10,FALSE)</f>
        <v>Diabetes</v>
      </c>
    </row>
    <row r="1959" spans="1:11" ht="15.6" x14ac:dyDescent="0.3">
      <c r="A1959" s="1" t="s">
        <v>410</v>
      </c>
      <c r="B1959" t="str">
        <f>VLOOKUP('Customer Names'!A1959,'Customer Names'!$A$1:$E$2336,4,FALSE)</f>
        <v>Ms.  Lauren</v>
      </c>
      <c r="C1959">
        <f>VLOOKUP(Table2[[#This Row],[Customer ID]],Table2[#All],2,FALSE)</f>
        <v>23.21</v>
      </c>
      <c r="D1959">
        <f>VLOOKUP(Table2[[#This Row],[Customer ID]],Table2[#All],3,FALSE)</f>
        <v>5.14</v>
      </c>
      <c r="E1959" t="str">
        <f>VLOOKUP(Table2[[#This Row],[Customer ID]],Table2[#All],4,FALSE)</f>
        <v>Yes</v>
      </c>
      <c r="F1959" t="str">
        <f>VLOOKUP(Table2[[#This Row],[Customer ID]],Table2[#All],5,FALSE)</f>
        <v>No</v>
      </c>
      <c r="G1959" t="str">
        <f>VLOOKUP(Table2[[#This Row],[Customer ID]],Table2[#All],6,FALSE)</f>
        <v>No</v>
      </c>
      <c r="H1959">
        <f>VLOOKUP(Table2[[#This Row],[Customer ID]],Table2[#All],7,FALSE)</f>
        <v>1</v>
      </c>
      <c r="I1959" t="str">
        <f>VLOOKUP(Table2[[#This Row],[Customer ID]],Table2[#All],8,FALSE)</f>
        <v>No</v>
      </c>
      <c r="J1959" t="str">
        <f>VLOOKUP(Table2[[#This Row],[Customer ID]],Table2[#All],9,FALSE)</f>
        <v>Normalweight</v>
      </c>
      <c r="K1959" t="str">
        <f>VLOOKUP(Table2[[#This Row],[Customer ID]],Table2[#All],10,FALSE)</f>
        <v>Normal</v>
      </c>
    </row>
    <row r="1960" spans="1:11" ht="15.6" x14ac:dyDescent="0.3">
      <c r="A1960" s="1" t="s">
        <v>409</v>
      </c>
      <c r="B1960" t="str">
        <f>VLOOKUP('Customer Names'!A1960,'Customer Names'!$A$1:$E$2336,4,FALSE)</f>
        <v>Ms.  Courtney</v>
      </c>
      <c r="C1960">
        <f>VLOOKUP(Table2[[#This Row],[Customer ID]],Table2[#All],2,FALSE)</f>
        <v>25.175000000000001</v>
      </c>
      <c r="D1960">
        <f>VLOOKUP(Table2[[#This Row],[Customer ID]],Table2[#All],3,FALSE)</f>
        <v>5.21</v>
      </c>
      <c r="E1960" t="str">
        <f>VLOOKUP(Table2[[#This Row],[Customer ID]],Table2[#All],4,FALSE)</f>
        <v>Yes</v>
      </c>
      <c r="F1960" t="str">
        <f>VLOOKUP(Table2[[#This Row],[Customer ID]],Table2[#All],5,FALSE)</f>
        <v>No</v>
      </c>
      <c r="G1960" t="str">
        <f>VLOOKUP(Table2[[#This Row],[Customer ID]],Table2[#All],6,FALSE)</f>
        <v>No</v>
      </c>
      <c r="H1960">
        <f>VLOOKUP(Table2[[#This Row],[Customer ID]],Table2[#All],7,FALSE)</f>
        <v>1</v>
      </c>
      <c r="I1960" t="str">
        <f>VLOOKUP(Table2[[#This Row],[Customer ID]],Table2[#All],8,FALSE)</f>
        <v>No</v>
      </c>
      <c r="J1960" t="str">
        <f>VLOOKUP(Table2[[#This Row],[Customer ID]],Table2[#All],9,FALSE)</f>
        <v>Overweight</v>
      </c>
      <c r="K1960" t="str">
        <f>VLOOKUP(Table2[[#This Row],[Customer ID]],Table2[#All],10,FALSE)</f>
        <v>Normal</v>
      </c>
    </row>
    <row r="1961" spans="1:11" ht="15.6" x14ac:dyDescent="0.3">
      <c r="A1961" s="1" t="s">
        <v>408</v>
      </c>
      <c r="B1961" t="str">
        <f>VLOOKUP('Customer Names'!A1961,'Customer Names'!$A$1:$E$2336,4,FALSE)</f>
        <v>Ms.  Elizabeth</v>
      </c>
      <c r="C1961">
        <f>VLOOKUP(Table2[[#This Row],[Customer ID]],Table2[#All],2,FALSE)</f>
        <v>34.770000000000003</v>
      </c>
      <c r="D1961">
        <f>VLOOKUP(Table2[[#This Row],[Customer ID]],Table2[#All],3,FALSE)</f>
        <v>6.23</v>
      </c>
      <c r="E1961" t="str">
        <f>VLOOKUP(Table2[[#This Row],[Customer ID]],Table2[#All],4,FALSE)</f>
        <v>No</v>
      </c>
      <c r="F1961" t="str">
        <f>VLOOKUP(Table2[[#This Row],[Customer ID]],Table2[#All],5,FALSE)</f>
        <v>No</v>
      </c>
      <c r="G1961" t="str">
        <f>VLOOKUP(Table2[[#This Row],[Customer ID]],Table2[#All],6,FALSE)</f>
        <v>No</v>
      </c>
      <c r="H1961">
        <f>VLOOKUP(Table2[[#This Row],[Customer ID]],Table2[#All],7,FALSE)</f>
        <v>0</v>
      </c>
      <c r="I1961" t="str">
        <f>VLOOKUP(Table2[[#This Row],[Customer ID]],Table2[#All],8,FALSE)</f>
        <v>No</v>
      </c>
      <c r="J1961" t="str">
        <f>VLOOKUP(Table2[[#This Row],[Customer ID]],Table2[#All],9,FALSE)</f>
        <v>Obesity</v>
      </c>
      <c r="K1961" t="str">
        <f>VLOOKUP(Table2[[#This Row],[Customer ID]],Table2[#All],10,FALSE)</f>
        <v>Prediabetes</v>
      </c>
    </row>
    <row r="1962" spans="1:11" ht="15.6" x14ac:dyDescent="0.3">
      <c r="A1962" s="1" t="s">
        <v>407</v>
      </c>
      <c r="B1962" t="str">
        <f>VLOOKUP('Customer Names'!A1962,'Customer Names'!$A$1:$E$2336,4,FALSE)</f>
        <v>Ms.  Satomi</v>
      </c>
      <c r="C1962">
        <f>VLOOKUP(Table2[[#This Row],[Customer ID]],Table2[#All],2,FALSE)</f>
        <v>27.7</v>
      </c>
      <c r="D1962">
        <f>VLOOKUP(Table2[[#This Row],[Customer ID]],Table2[#All],3,FALSE)</f>
        <v>5.6</v>
      </c>
      <c r="E1962" t="str">
        <f>VLOOKUP(Table2[[#This Row],[Customer ID]],Table2[#All],4,FALSE)</f>
        <v>No</v>
      </c>
      <c r="F1962" t="str">
        <f>VLOOKUP(Table2[[#This Row],[Customer ID]],Table2[#All],5,FALSE)</f>
        <v>No</v>
      </c>
      <c r="G1962" t="str">
        <f>VLOOKUP(Table2[[#This Row],[Customer ID]],Table2[#All],6,FALSE)</f>
        <v>No</v>
      </c>
      <c r="H1962">
        <f>VLOOKUP(Table2[[#This Row],[Customer ID]],Table2[#All],7,FALSE)</f>
        <v>1</v>
      </c>
      <c r="I1962" t="str">
        <f>VLOOKUP(Table2[[#This Row],[Customer ID]],Table2[#All],8,FALSE)</f>
        <v>No</v>
      </c>
      <c r="J1962" t="str">
        <f>VLOOKUP(Table2[[#This Row],[Customer ID]],Table2[#All],9,FALSE)</f>
        <v>Overweight</v>
      </c>
      <c r="K1962" t="str">
        <f>VLOOKUP(Table2[[#This Row],[Customer ID]],Table2[#All],10,FALSE)</f>
        <v>Normal</v>
      </c>
    </row>
    <row r="1963" spans="1:11" ht="15.6" x14ac:dyDescent="0.3">
      <c r="A1963" s="1" t="s">
        <v>406</v>
      </c>
      <c r="B1963" t="str">
        <f>VLOOKUP('Customer Names'!A1963,'Customer Names'!$A$1:$E$2336,4,FALSE)</f>
        <v>Mr.  Matthew D</v>
      </c>
      <c r="C1963">
        <f>VLOOKUP(Table2[[#This Row],[Customer ID]],Table2[#All],2,FALSE)</f>
        <v>19.12</v>
      </c>
      <c r="D1963">
        <f>VLOOKUP(Table2[[#This Row],[Customer ID]],Table2[#All],3,FALSE)</f>
        <v>4.72</v>
      </c>
      <c r="E1963" t="str">
        <f>VLOOKUP(Table2[[#This Row],[Customer ID]],Table2[#All],4,FALSE)</f>
        <v>Yes</v>
      </c>
      <c r="F1963" t="str">
        <f>VLOOKUP(Table2[[#This Row],[Customer ID]],Table2[#All],5,FALSE)</f>
        <v>No</v>
      </c>
      <c r="G1963" t="str">
        <f>VLOOKUP(Table2[[#This Row],[Customer ID]],Table2[#All],6,FALSE)</f>
        <v>No</v>
      </c>
      <c r="H1963">
        <f>VLOOKUP(Table2[[#This Row],[Customer ID]],Table2[#All],7,FALSE)</f>
        <v>1</v>
      </c>
      <c r="I1963" t="str">
        <f>VLOOKUP(Table2[[#This Row],[Customer ID]],Table2[#All],8,FALSE)</f>
        <v>No</v>
      </c>
      <c r="J1963" t="str">
        <f>VLOOKUP(Table2[[#This Row],[Customer ID]],Table2[#All],9,FALSE)</f>
        <v>Normalweight</v>
      </c>
      <c r="K1963" t="str">
        <f>VLOOKUP(Table2[[#This Row],[Customer ID]],Table2[#All],10,FALSE)</f>
        <v>Normal</v>
      </c>
    </row>
    <row r="1964" spans="1:11" ht="15.6" x14ac:dyDescent="0.3">
      <c r="A1964" s="1" t="s">
        <v>405</v>
      </c>
      <c r="B1964" t="str">
        <f>VLOOKUP('Customer Names'!A1964,'Customer Names'!$A$1:$E$2336,4,FALSE)</f>
        <v>Mr.  Peter T II</v>
      </c>
      <c r="C1964">
        <f>VLOOKUP(Table2[[#This Row],[Customer ID]],Table2[#All],2,FALSE)</f>
        <v>32.67</v>
      </c>
      <c r="D1964">
        <f>VLOOKUP(Table2[[#This Row],[Customer ID]],Table2[#All],3,FALSE)</f>
        <v>4.67</v>
      </c>
      <c r="E1964" t="str">
        <f>VLOOKUP(Table2[[#This Row],[Customer ID]],Table2[#All],4,FALSE)</f>
        <v>No</v>
      </c>
      <c r="F1964" t="str">
        <f>VLOOKUP(Table2[[#This Row],[Customer ID]],Table2[#All],5,FALSE)</f>
        <v>No</v>
      </c>
      <c r="G1964" t="str">
        <f>VLOOKUP(Table2[[#This Row],[Customer ID]],Table2[#All],6,FALSE)</f>
        <v>Yes</v>
      </c>
      <c r="H1964">
        <f>VLOOKUP(Table2[[#This Row],[Customer ID]],Table2[#All],7,FALSE)</f>
        <v>1</v>
      </c>
      <c r="I1964" t="str">
        <f>VLOOKUP(Table2[[#This Row],[Customer ID]],Table2[#All],8,FALSE)</f>
        <v>No</v>
      </c>
      <c r="J1964" t="str">
        <f>VLOOKUP(Table2[[#This Row],[Customer ID]],Table2[#All],9,FALSE)</f>
        <v>Obesity</v>
      </c>
      <c r="K1964" t="str">
        <f>VLOOKUP(Table2[[#This Row],[Customer ID]],Table2[#All],10,FALSE)</f>
        <v>Normal</v>
      </c>
    </row>
    <row r="1965" spans="1:11" ht="15.6" x14ac:dyDescent="0.3">
      <c r="A1965" s="1" t="s">
        <v>404</v>
      </c>
      <c r="B1965" t="str">
        <f>VLOOKUP('Customer Names'!A1965,'Customer Names'!$A$1:$E$2336,4,FALSE)</f>
        <v>Mr.  Manuel</v>
      </c>
      <c r="C1965">
        <f>VLOOKUP(Table2[[#This Row],[Customer ID]],Table2[#All],2,FALSE)</f>
        <v>28.5</v>
      </c>
      <c r="D1965">
        <f>VLOOKUP(Table2[[#This Row],[Customer ID]],Table2[#All],3,FALSE)</f>
        <v>6.11</v>
      </c>
      <c r="E1965" t="str">
        <f>VLOOKUP(Table2[[#This Row],[Customer ID]],Table2[#All],4,FALSE)</f>
        <v>No</v>
      </c>
      <c r="F1965" t="str">
        <f>VLOOKUP(Table2[[#This Row],[Customer ID]],Table2[#All],5,FALSE)</f>
        <v>No</v>
      </c>
      <c r="G1965" t="str">
        <f>VLOOKUP(Table2[[#This Row],[Customer ID]],Table2[#All],6,FALSE)</f>
        <v>No</v>
      </c>
      <c r="H1965">
        <f>VLOOKUP(Table2[[#This Row],[Customer ID]],Table2[#All],7,FALSE)</f>
        <v>1</v>
      </c>
      <c r="I1965" t="str">
        <f>VLOOKUP(Table2[[#This Row],[Customer ID]],Table2[#All],8,FALSE)</f>
        <v>No</v>
      </c>
      <c r="J1965" t="str">
        <f>VLOOKUP(Table2[[#This Row],[Customer ID]],Table2[#All],9,FALSE)</f>
        <v>Overweight</v>
      </c>
      <c r="K1965" t="str">
        <f>VLOOKUP(Table2[[#This Row],[Customer ID]],Table2[#All],10,FALSE)</f>
        <v>Prediabetes</v>
      </c>
    </row>
    <row r="1966" spans="1:11" ht="15.6" x14ac:dyDescent="0.3">
      <c r="A1966" s="1" t="s">
        <v>403</v>
      </c>
      <c r="B1966" t="str">
        <f>VLOOKUP('Customer Names'!A1966,'Customer Names'!$A$1:$E$2336,4,FALSE)</f>
        <v>Ms.  Kindsey P.</v>
      </c>
      <c r="C1966">
        <f>VLOOKUP(Table2[[#This Row],[Customer ID]],Table2[#All],2,FALSE)</f>
        <v>39.270000000000003</v>
      </c>
      <c r="D1966">
        <f>VLOOKUP(Table2[[#This Row],[Customer ID]],Table2[#All],3,FALSE)</f>
        <v>6.25</v>
      </c>
      <c r="E1966" t="str">
        <f>VLOOKUP(Table2[[#This Row],[Customer ID]],Table2[#All],4,FALSE)</f>
        <v>No</v>
      </c>
      <c r="F1966" t="str">
        <f>VLOOKUP(Table2[[#This Row],[Customer ID]],Table2[#All],5,FALSE)</f>
        <v>No</v>
      </c>
      <c r="G1966" t="str">
        <f>VLOOKUP(Table2[[#This Row],[Customer ID]],Table2[#All],6,FALSE)</f>
        <v>No</v>
      </c>
      <c r="H1966">
        <f>VLOOKUP(Table2[[#This Row],[Customer ID]],Table2[#All],7,FALSE)</f>
        <v>0</v>
      </c>
      <c r="I1966" t="str">
        <f>VLOOKUP(Table2[[#This Row],[Customer ID]],Table2[#All],8,FALSE)</f>
        <v>No</v>
      </c>
      <c r="J1966" t="str">
        <f>VLOOKUP(Table2[[#This Row],[Customer ID]],Table2[#All],9,FALSE)</f>
        <v>Obesity</v>
      </c>
      <c r="K1966" t="str">
        <f>VLOOKUP(Table2[[#This Row],[Customer ID]],Table2[#All],10,FALSE)</f>
        <v>Prediabetes</v>
      </c>
    </row>
    <row r="1967" spans="1:11" ht="15.6" x14ac:dyDescent="0.3">
      <c r="A1967" s="1" t="s">
        <v>402</v>
      </c>
      <c r="B1967" t="str">
        <f>VLOOKUP('Customer Names'!A1967,'Customer Names'!$A$1:$E$2336,4,FALSE)</f>
        <v>Mr.  Thomas G.</v>
      </c>
      <c r="C1967">
        <f>VLOOKUP(Table2[[#This Row],[Customer ID]],Table2[#All],2,FALSE)</f>
        <v>32.49</v>
      </c>
      <c r="D1967">
        <f>VLOOKUP(Table2[[#This Row],[Customer ID]],Table2[#All],3,FALSE)</f>
        <v>4</v>
      </c>
      <c r="E1967" t="str">
        <f>VLOOKUP(Table2[[#This Row],[Customer ID]],Table2[#All],4,FALSE)</f>
        <v>Yes</v>
      </c>
      <c r="F1967" t="str">
        <f>VLOOKUP(Table2[[#This Row],[Customer ID]],Table2[#All],5,FALSE)</f>
        <v>No</v>
      </c>
      <c r="G1967" t="str">
        <f>VLOOKUP(Table2[[#This Row],[Customer ID]],Table2[#All],6,FALSE)</f>
        <v>No</v>
      </c>
      <c r="H1967">
        <f>VLOOKUP(Table2[[#This Row],[Customer ID]],Table2[#All],7,FALSE)</f>
        <v>0</v>
      </c>
      <c r="I1967" t="str">
        <f>VLOOKUP(Table2[[#This Row],[Customer ID]],Table2[#All],8,FALSE)</f>
        <v>No</v>
      </c>
      <c r="J1967" t="str">
        <f>VLOOKUP(Table2[[#This Row],[Customer ID]],Table2[#All],9,FALSE)</f>
        <v>Obesity</v>
      </c>
      <c r="K1967" t="str">
        <f>VLOOKUP(Table2[[#This Row],[Customer ID]],Table2[#All],10,FALSE)</f>
        <v>Normal</v>
      </c>
    </row>
    <row r="1968" spans="1:11" ht="15.6" x14ac:dyDescent="0.3">
      <c r="A1968" s="1" t="s">
        <v>401</v>
      </c>
      <c r="B1968" t="str">
        <f>VLOOKUP('Customer Names'!A1968,'Customer Names'!$A$1:$E$2336,4,FALSE)</f>
        <v>Mr.  Kyle S</v>
      </c>
      <c r="C1968">
        <f>VLOOKUP(Table2[[#This Row],[Customer ID]],Table2[#All],2,FALSE)</f>
        <v>23.7</v>
      </c>
      <c r="D1968">
        <f>VLOOKUP(Table2[[#This Row],[Customer ID]],Table2[#All],3,FALSE)</f>
        <v>5.55</v>
      </c>
      <c r="E1968" t="str">
        <f>VLOOKUP(Table2[[#This Row],[Customer ID]],Table2[#All],4,FALSE)</f>
        <v>Yes</v>
      </c>
      <c r="F1968" t="str">
        <f>VLOOKUP(Table2[[#This Row],[Customer ID]],Table2[#All],5,FALSE)</f>
        <v>No</v>
      </c>
      <c r="G1968" t="str">
        <f>VLOOKUP(Table2[[#This Row],[Customer ID]],Table2[#All],6,FALSE)</f>
        <v>No</v>
      </c>
      <c r="H1968">
        <f>VLOOKUP(Table2[[#This Row],[Customer ID]],Table2[#All],7,FALSE)</f>
        <v>0</v>
      </c>
      <c r="I1968" t="str">
        <f>VLOOKUP(Table2[[#This Row],[Customer ID]],Table2[#All],8,FALSE)</f>
        <v>No</v>
      </c>
      <c r="J1968" t="str">
        <f>VLOOKUP(Table2[[#This Row],[Customer ID]],Table2[#All],9,FALSE)</f>
        <v>Normalweight</v>
      </c>
      <c r="K1968" t="str">
        <f>VLOOKUP(Table2[[#This Row],[Customer ID]],Table2[#All],10,FALSE)</f>
        <v>Normal</v>
      </c>
    </row>
    <row r="1969" spans="1:11" ht="15.6" x14ac:dyDescent="0.3">
      <c r="A1969" s="1" t="s">
        <v>400</v>
      </c>
      <c r="B1969" t="str">
        <f>VLOOKUP('Customer Names'!A1969,'Customer Names'!$A$1:$E$2336,4,FALSE)</f>
        <v>Mr.  Alexander J.</v>
      </c>
      <c r="C1969">
        <f>VLOOKUP(Table2[[#This Row],[Customer ID]],Table2[#All],2,FALSE)</f>
        <v>30.4</v>
      </c>
      <c r="D1969">
        <f>VLOOKUP(Table2[[#This Row],[Customer ID]],Table2[#All],3,FALSE)</f>
        <v>5.95</v>
      </c>
      <c r="E1969" t="str">
        <f>VLOOKUP(Table2[[#This Row],[Customer ID]],Table2[#All],4,FALSE)</f>
        <v>No</v>
      </c>
      <c r="F1969" t="str">
        <f>VLOOKUP(Table2[[#This Row],[Customer ID]],Table2[#All],5,FALSE)</f>
        <v>yes</v>
      </c>
      <c r="G1969" t="str">
        <f>VLOOKUP(Table2[[#This Row],[Customer ID]],Table2[#All],6,FALSE)</f>
        <v>No</v>
      </c>
      <c r="H1969">
        <f>VLOOKUP(Table2[[#This Row],[Customer ID]],Table2[#All],7,FALSE)</f>
        <v>1</v>
      </c>
      <c r="I1969" t="str">
        <f>VLOOKUP(Table2[[#This Row],[Customer ID]],Table2[#All],8,FALSE)</f>
        <v>No</v>
      </c>
      <c r="J1969" t="str">
        <f>VLOOKUP(Table2[[#This Row],[Customer ID]],Table2[#All],9,FALSE)</f>
        <v>Obesity</v>
      </c>
      <c r="K1969" t="str">
        <f>VLOOKUP(Table2[[#This Row],[Customer ID]],Table2[#All],10,FALSE)</f>
        <v>Prediabetes</v>
      </c>
    </row>
    <row r="1970" spans="1:11" ht="15.6" x14ac:dyDescent="0.3">
      <c r="A1970" s="1" t="s">
        <v>399</v>
      </c>
      <c r="B1970" t="str">
        <f>VLOOKUP('Customer Names'!A1970,'Customer Names'!$A$1:$E$2336,4,FALSE)</f>
        <v>Mr.  Dustin L</v>
      </c>
      <c r="C1970">
        <f>VLOOKUP(Table2[[#This Row],[Customer ID]],Table2[#All],2,FALSE)</f>
        <v>38.94</v>
      </c>
      <c r="D1970">
        <f>VLOOKUP(Table2[[#This Row],[Customer ID]],Table2[#All],3,FALSE)</f>
        <v>4.3600000000000003</v>
      </c>
      <c r="E1970" t="str">
        <f>VLOOKUP(Table2[[#This Row],[Customer ID]],Table2[#All],4,FALSE)</f>
        <v>No</v>
      </c>
      <c r="F1970" t="str">
        <f>VLOOKUP(Table2[[#This Row],[Customer ID]],Table2[#All],5,FALSE)</f>
        <v>No</v>
      </c>
      <c r="G1970" t="str">
        <f>VLOOKUP(Table2[[#This Row],[Customer ID]],Table2[#All],6,FALSE)</f>
        <v>Yes</v>
      </c>
      <c r="H1970">
        <f>VLOOKUP(Table2[[#This Row],[Customer ID]],Table2[#All],7,FALSE)</f>
        <v>1</v>
      </c>
      <c r="I1970" t="str">
        <f>VLOOKUP(Table2[[#This Row],[Customer ID]],Table2[#All],8,FALSE)</f>
        <v>No</v>
      </c>
      <c r="J1970" t="str">
        <f>VLOOKUP(Table2[[#This Row],[Customer ID]],Table2[#All],9,FALSE)</f>
        <v>Obesity</v>
      </c>
      <c r="K1970" t="str">
        <f>VLOOKUP(Table2[[#This Row],[Customer ID]],Table2[#All],10,FALSE)</f>
        <v>Normal</v>
      </c>
    </row>
    <row r="1971" spans="1:11" ht="15.6" x14ac:dyDescent="0.3">
      <c r="A1971" s="1" t="s">
        <v>398</v>
      </c>
      <c r="B1971" t="str">
        <f>VLOOKUP('Customer Names'!A1971,'Customer Names'!$A$1:$E$2336,4,FALSE)</f>
        <v>Mrs.  Chloe</v>
      </c>
      <c r="C1971">
        <f>VLOOKUP(Table2[[#This Row],[Customer ID]],Table2[#All],2,FALSE)</f>
        <v>31.02</v>
      </c>
      <c r="D1971">
        <f>VLOOKUP(Table2[[#This Row],[Customer ID]],Table2[#All],3,FALSE)</f>
        <v>4.84</v>
      </c>
      <c r="E1971" t="str">
        <f>VLOOKUP(Table2[[#This Row],[Customer ID]],Table2[#All],4,FALSE)</f>
        <v>No</v>
      </c>
      <c r="F1971" t="str">
        <f>VLOOKUP(Table2[[#This Row],[Customer ID]],Table2[#All],5,FALSE)</f>
        <v>No</v>
      </c>
      <c r="G1971" t="str">
        <f>VLOOKUP(Table2[[#This Row],[Customer ID]],Table2[#All],6,FALSE)</f>
        <v>Yes</v>
      </c>
      <c r="H1971">
        <f>VLOOKUP(Table2[[#This Row],[Customer ID]],Table2[#All],7,FALSE)</f>
        <v>1</v>
      </c>
      <c r="I1971" t="str">
        <f>VLOOKUP(Table2[[#This Row],[Customer ID]],Table2[#All],8,FALSE)</f>
        <v>No</v>
      </c>
      <c r="J1971" t="str">
        <f>VLOOKUP(Table2[[#This Row],[Customer ID]],Table2[#All],9,FALSE)</f>
        <v>Obesity</v>
      </c>
      <c r="K1971" t="str">
        <f>VLOOKUP(Table2[[#This Row],[Customer ID]],Table2[#All],10,FALSE)</f>
        <v>Normal</v>
      </c>
    </row>
    <row r="1972" spans="1:11" ht="15.6" x14ac:dyDescent="0.3">
      <c r="A1972" s="1" t="s">
        <v>397</v>
      </c>
      <c r="B1972" t="str">
        <f>VLOOKUP('Customer Names'!A1972,'Customer Names'!$A$1:$E$2336,4,FALSE)</f>
        <v>Ms.  Cailtlin</v>
      </c>
      <c r="C1972">
        <f>VLOOKUP(Table2[[#This Row],[Customer ID]],Table2[#All],2,FALSE)</f>
        <v>17.5</v>
      </c>
      <c r="D1972">
        <f>VLOOKUP(Table2[[#This Row],[Customer ID]],Table2[#All],3,FALSE)</f>
        <v>4.5599999999999996</v>
      </c>
      <c r="E1972" t="str">
        <f>VLOOKUP(Table2[[#This Row],[Customer ID]],Table2[#All],4,FALSE)</f>
        <v>No</v>
      </c>
      <c r="F1972" t="str">
        <f>VLOOKUP(Table2[[#This Row],[Customer ID]],Table2[#All],5,FALSE)</f>
        <v>No</v>
      </c>
      <c r="G1972" t="str">
        <f>VLOOKUP(Table2[[#This Row],[Customer ID]],Table2[#All],6,FALSE)</f>
        <v>No</v>
      </c>
      <c r="H1972">
        <f>VLOOKUP(Table2[[#This Row],[Customer ID]],Table2[#All],7,FALSE)</f>
        <v>1</v>
      </c>
      <c r="I1972" t="str">
        <f>VLOOKUP(Table2[[#This Row],[Customer ID]],Table2[#All],8,FALSE)</f>
        <v>No</v>
      </c>
      <c r="J1972" t="str">
        <f>VLOOKUP(Table2[[#This Row],[Customer ID]],Table2[#All],9,FALSE)</f>
        <v>Underweight</v>
      </c>
      <c r="K1972" t="str">
        <f>VLOOKUP(Table2[[#This Row],[Customer ID]],Table2[#All],10,FALSE)</f>
        <v>Normal</v>
      </c>
    </row>
    <row r="1973" spans="1:11" ht="15.6" x14ac:dyDescent="0.3">
      <c r="A1973" s="1" t="s">
        <v>396</v>
      </c>
      <c r="B1973" t="str">
        <f>VLOOKUP('Customer Names'!A1973,'Customer Names'!$A$1:$E$2336,4,FALSE)</f>
        <v>Mr.  Joshua</v>
      </c>
      <c r="C1973">
        <f>VLOOKUP(Table2[[#This Row],[Customer ID]],Table2[#All],2,FALSE)</f>
        <v>34.799999999999997</v>
      </c>
      <c r="D1973">
        <f>VLOOKUP(Table2[[#This Row],[Customer ID]],Table2[#All],3,FALSE)</f>
        <v>4.42</v>
      </c>
      <c r="E1973" t="str">
        <f>VLOOKUP(Table2[[#This Row],[Customer ID]],Table2[#All],4,FALSE)</f>
        <v>Yes</v>
      </c>
      <c r="F1973" t="str">
        <f>VLOOKUP(Table2[[#This Row],[Customer ID]],Table2[#All],5,FALSE)</f>
        <v>yes</v>
      </c>
      <c r="G1973" t="str">
        <f>VLOOKUP(Table2[[#This Row],[Customer ID]],Table2[#All],6,FALSE)</f>
        <v>No</v>
      </c>
      <c r="H1973">
        <f>VLOOKUP(Table2[[#This Row],[Customer ID]],Table2[#All],7,FALSE)</f>
        <v>2</v>
      </c>
      <c r="I1973" t="str">
        <f>VLOOKUP(Table2[[#This Row],[Customer ID]],Table2[#All],8,FALSE)</f>
        <v>No</v>
      </c>
      <c r="J1973" t="str">
        <f>VLOOKUP(Table2[[#This Row],[Customer ID]],Table2[#All],9,FALSE)</f>
        <v>Obesity</v>
      </c>
      <c r="K1973" t="str">
        <f>VLOOKUP(Table2[[#This Row],[Customer ID]],Table2[#All],10,FALSE)</f>
        <v>Normal</v>
      </c>
    </row>
    <row r="1974" spans="1:11" ht="15.6" x14ac:dyDescent="0.3">
      <c r="A1974" s="1" t="s">
        <v>395</v>
      </c>
      <c r="B1974" t="str">
        <f>VLOOKUP('Customer Names'!A1974,'Customer Names'!$A$1:$E$2336,4,FALSE)</f>
        <v>Mr.  Chuy</v>
      </c>
      <c r="C1974">
        <f>VLOOKUP(Table2[[#This Row],[Customer ID]],Table2[#All],2,FALSE)</f>
        <v>17.3</v>
      </c>
      <c r="D1974">
        <f>VLOOKUP(Table2[[#This Row],[Customer ID]],Table2[#All],3,FALSE)</f>
        <v>7.66</v>
      </c>
      <c r="E1974" t="str">
        <f>VLOOKUP(Table2[[#This Row],[Customer ID]],Table2[#All],4,FALSE)</f>
        <v>Yes</v>
      </c>
      <c r="F1974" t="str">
        <f>VLOOKUP(Table2[[#This Row],[Customer ID]],Table2[#All],5,FALSE)</f>
        <v>No</v>
      </c>
      <c r="G1974" t="str">
        <f>VLOOKUP(Table2[[#This Row],[Customer ID]],Table2[#All],6,FALSE)</f>
        <v>No</v>
      </c>
      <c r="H1974">
        <f>VLOOKUP(Table2[[#This Row],[Customer ID]],Table2[#All],7,FALSE)</f>
        <v>1</v>
      </c>
      <c r="I1974" t="str">
        <f>VLOOKUP(Table2[[#This Row],[Customer ID]],Table2[#All],8,FALSE)</f>
        <v>No</v>
      </c>
      <c r="J1974" t="str">
        <f>VLOOKUP(Table2[[#This Row],[Customer ID]],Table2[#All],9,FALSE)</f>
        <v>Underweight</v>
      </c>
      <c r="K1974" t="str">
        <f>VLOOKUP(Table2[[#This Row],[Customer ID]],Table2[#All],10,FALSE)</f>
        <v>Diabetes</v>
      </c>
    </row>
    <row r="1975" spans="1:11" ht="15.6" x14ac:dyDescent="0.3">
      <c r="A1975" s="1" t="s">
        <v>394</v>
      </c>
      <c r="B1975" t="str">
        <f>VLOOKUP('Customer Names'!A1975,'Customer Names'!$A$1:$E$2336,4,FALSE)</f>
        <v>Ms.  Laurie B</v>
      </c>
      <c r="C1975">
        <f>VLOOKUP(Table2[[#This Row],[Customer ID]],Table2[#All],2,FALSE)</f>
        <v>32.25</v>
      </c>
      <c r="D1975">
        <f>VLOOKUP(Table2[[#This Row],[Customer ID]],Table2[#All],3,FALSE)</f>
        <v>5.2</v>
      </c>
      <c r="E1975" t="str">
        <f>VLOOKUP(Table2[[#This Row],[Customer ID]],Table2[#All],4,FALSE)</f>
        <v>Yes</v>
      </c>
      <c r="F1975" t="str">
        <f>VLOOKUP(Table2[[#This Row],[Customer ID]],Table2[#All],5,FALSE)</f>
        <v>No</v>
      </c>
      <c r="G1975" t="str">
        <f>VLOOKUP(Table2[[#This Row],[Customer ID]],Table2[#All],6,FALSE)</f>
        <v>No</v>
      </c>
      <c r="H1975">
        <f>VLOOKUP(Table2[[#This Row],[Customer ID]],Table2[#All],7,FALSE)</f>
        <v>0</v>
      </c>
      <c r="I1975" t="str">
        <f>VLOOKUP(Table2[[#This Row],[Customer ID]],Table2[#All],8,FALSE)</f>
        <v>No</v>
      </c>
      <c r="J1975" t="str">
        <f>VLOOKUP(Table2[[#This Row],[Customer ID]],Table2[#All],9,FALSE)</f>
        <v>Obesity</v>
      </c>
      <c r="K1975" t="str">
        <f>VLOOKUP(Table2[[#This Row],[Customer ID]],Table2[#All],10,FALSE)</f>
        <v>Normal</v>
      </c>
    </row>
    <row r="1976" spans="1:11" ht="15.6" x14ac:dyDescent="0.3">
      <c r="A1976" s="1" t="s">
        <v>393</v>
      </c>
      <c r="B1976" t="str">
        <f>VLOOKUP('Customer Names'!A1976,'Customer Names'!$A$1:$E$2336,4,FALSE)</f>
        <v>Ms.  Rachel B.</v>
      </c>
      <c r="C1976">
        <f>VLOOKUP(Table2[[#This Row],[Customer ID]],Table2[#All],2,FALSE)</f>
        <v>42.4</v>
      </c>
      <c r="D1976">
        <f>VLOOKUP(Table2[[#This Row],[Customer ID]],Table2[#All],3,FALSE)</f>
        <v>5.53</v>
      </c>
      <c r="E1976" t="str">
        <f>VLOOKUP(Table2[[#This Row],[Customer ID]],Table2[#All],4,FALSE)</f>
        <v>Yes</v>
      </c>
      <c r="F1976" t="str">
        <f>VLOOKUP(Table2[[#This Row],[Customer ID]],Table2[#All],5,FALSE)</f>
        <v>No</v>
      </c>
      <c r="G1976" t="str">
        <f>VLOOKUP(Table2[[#This Row],[Customer ID]],Table2[#All],6,FALSE)</f>
        <v>No</v>
      </c>
      <c r="H1976">
        <f>VLOOKUP(Table2[[#This Row],[Customer ID]],Table2[#All],7,FALSE)</f>
        <v>0</v>
      </c>
      <c r="I1976" t="str">
        <f>VLOOKUP(Table2[[#This Row],[Customer ID]],Table2[#All],8,FALSE)</f>
        <v>No</v>
      </c>
      <c r="J1976" t="str">
        <f>VLOOKUP(Table2[[#This Row],[Customer ID]],Table2[#All],9,FALSE)</f>
        <v>Obesity</v>
      </c>
      <c r="K1976" t="str">
        <f>VLOOKUP(Table2[[#This Row],[Customer ID]],Table2[#All],10,FALSE)</f>
        <v>Normal</v>
      </c>
    </row>
    <row r="1977" spans="1:11" ht="15.6" x14ac:dyDescent="0.3">
      <c r="A1977" s="1" t="s">
        <v>392</v>
      </c>
      <c r="B1977" t="str">
        <f>VLOOKUP('Customer Names'!A1977,'Customer Names'!$A$1:$E$2336,4,FALSE)</f>
        <v>Ms.  Liza</v>
      </c>
      <c r="C1977">
        <f>VLOOKUP(Table2[[#This Row],[Customer ID]],Table2[#All],2,FALSE)</f>
        <v>38.664999999999999</v>
      </c>
      <c r="D1977">
        <f>VLOOKUP(Table2[[#This Row],[Customer ID]],Table2[#All],3,FALSE)</f>
        <v>4.8600000000000003</v>
      </c>
      <c r="E1977" t="str">
        <f>VLOOKUP(Table2[[#This Row],[Customer ID]],Table2[#All],4,FALSE)</f>
        <v>No</v>
      </c>
      <c r="F1977" t="str">
        <f>VLOOKUP(Table2[[#This Row],[Customer ID]],Table2[#All],5,FALSE)</f>
        <v>yes</v>
      </c>
      <c r="G1977" t="str">
        <f>VLOOKUP(Table2[[#This Row],[Customer ID]],Table2[#All],6,FALSE)</f>
        <v>No</v>
      </c>
      <c r="H1977">
        <f>VLOOKUP(Table2[[#This Row],[Customer ID]],Table2[#All],7,FALSE)</f>
        <v>1</v>
      </c>
      <c r="I1977" t="str">
        <f>VLOOKUP(Table2[[#This Row],[Customer ID]],Table2[#All],8,FALSE)</f>
        <v>No</v>
      </c>
      <c r="J1977" t="str">
        <f>VLOOKUP(Table2[[#This Row],[Customer ID]],Table2[#All],9,FALSE)</f>
        <v>Obesity</v>
      </c>
      <c r="K1977" t="str">
        <f>VLOOKUP(Table2[[#This Row],[Customer ID]],Table2[#All],10,FALSE)</f>
        <v>Normal</v>
      </c>
    </row>
    <row r="1978" spans="1:11" ht="15.6" x14ac:dyDescent="0.3">
      <c r="A1978" s="1" t="s">
        <v>391</v>
      </c>
      <c r="B1978" t="str">
        <f>VLOOKUP('Customer Names'!A1978,'Customer Names'!$A$1:$E$2336,4,FALSE)</f>
        <v>Ms.  Lindsey</v>
      </c>
      <c r="C1978">
        <f>VLOOKUP(Table2[[#This Row],[Customer ID]],Table2[#All],2,FALSE)</f>
        <v>29.92</v>
      </c>
      <c r="D1978">
        <f>VLOOKUP(Table2[[#This Row],[Customer ID]],Table2[#All],3,FALSE)</f>
        <v>5.49</v>
      </c>
      <c r="E1978" t="str">
        <f>VLOOKUP(Table2[[#This Row],[Customer ID]],Table2[#All],4,FALSE)</f>
        <v>Yes</v>
      </c>
      <c r="F1978" t="str">
        <f>VLOOKUP(Table2[[#This Row],[Customer ID]],Table2[#All],5,FALSE)</f>
        <v>No</v>
      </c>
      <c r="G1978" t="str">
        <f>VLOOKUP(Table2[[#This Row],[Customer ID]],Table2[#All],6,FALSE)</f>
        <v>No</v>
      </c>
      <c r="H1978">
        <f>VLOOKUP(Table2[[#This Row],[Customer ID]],Table2[#All],7,FALSE)</f>
        <v>0</v>
      </c>
      <c r="I1978" t="str">
        <f>VLOOKUP(Table2[[#This Row],[Customer ID]],Table2[#All],8,FALSE)</f>
        <v>No</v>
      </c>
      <c r="J1978" t="str">
        <f>VLOOKUP(Table2[[#This Row],[Customer ID]],Table2[#All],9,FALSE)</f>
        <v>Overweight</v>
      </c>
      <c r="K1978" t="str">
        <f>VLOOKUP(Table2[[#This Row],[Customer ID]],Table2[#All],10,FALSE)</f>
        <v>Normal</v>
      </c>
    </row>
    <row r="1979" spans="1:11" ht="15.6" x14ac:dyDescent="0.3">
      <c r="A1979" s="1" t="s">
        <v>390</v>
      </c>
      <c r="B1979" t="str">
        <f>VLOOKUP('Customer Names'!A1979,'Customer Names'!$A$1:$E$2336,4,FALSE)</f>
        <v>Ms.  Lindsay E.</v>
      </c>
      <c r="C1979">
        <f>VLOOKUP(Table2[[#This Row],[Customer ID]],Table2[#All],2,FALSE)</f>
        <v>29.48</v>
      </c>
      <c r="D1979">
        <f>VLOOKUP(Table2[[#This Row],[Customer ID]],Table2[#All],3,FALSE)</f>
        <v>4.09</v>
      </c>
      <c r="E1979" t="str">
        <f>VLOOKUP(Table2[[#This Row],[Customer ID]],Table2[#All],4,FALSE)</f>
        <v>Yes</v>
      </c>
      <c r="F1979" t="str">
        <f>VLOOKUP(Table2[[#This Row],[Customer ID]],Table2[#All],5,FALSE)</f>
        <v>No</v>
      </c>
      <c r="G1979" t="str">
        <f>VLOOKUP(Table2[[#This Row],[Customer ID]],Table2[#All],6,FALSE)</f>
        <v>No</v>
      </c>
      <c r="H1979">
        <f>VLOOKUP(Table2[[#This Row],[Customer ID]],Table2[#All],7,FALSE)</f>
        <v>0</v>
      </c>
      <c r="I1979" t="str">
        <f>VLOOKUP(Table2[[#This Row],[Customer ID]],Table2[#All],8,FALSE)</f>
        <v>No</v>
      </c>
      <c r="J1979" t="str">
        <f>VLOOKUP(Table2[[#This Row],[Customer ID]],Table2[#All],9,FALSE)</f>
        <v>Overweight</v>
      </c>
      <c r="K1979" t="str">
        <f>VLOOKUP(Table2[[#This Row],[Customer ID]],Table2[#All],10,FALSE)</f>
        <v>Normal</v>
      </c>
    </row>
    <row r="1980" spans="1:11" ht="15.6" x14ac:dyDescent="0.3">
      <c r="A1980" s="1" t="s">
        <v>389</v>
      </c>
      <c r="B1980" t="str">
        <f>VLOOKUP('Customer Names'!A1980,'Customer Names'!$A$1:$E$2336,4,FALSE)</f>
        <v>Ms.  Kathleen M.</v>
      </c>
      <c r="C1980">
        <f>VLOOKUP(Table2[[#This Row],[Customer ID]],Table2[#All],2,FALSE)</f>
        <v>28.785</v>
      </c>
      <c r="D1980">
        <f>VLOOKUP(Table2[[#This Row],[Customer ID]],Table2[#All],3,FALSE)</f>
        <v>4.3099999999999996</v>
      </c>
      <c r="E1980" t="str">
        <f>VLOOKUP(Table2[[#This Row],[Customer ID]],Table2[#All],4,FALSE)</f>
        <v>Yes</v>
      </c>
      <c r="F1980" t="str">
        <f>VLOOKUP(Table2[[#This Row],[Customer ID]],Table2[#All],5,FALSE)</f>
        <v>No</v>
      </c>
      <c r="G1980" t="str">
        <f>VLOOKUP(Table2[[#This Row],[Customer ID]],Table2[#All],6,FALSE)</f>
        <v>No</v>
      </c>
      <c r="H1980">
        <f>VLOOKUP(Table2[[#This Row],[Customer ID]],Table2[#All],7,FALSE)</f>
        <v>0</v>
      </c>
      <c r="I1980" t="str">
        <f>VLOOKUP(Table2[[#This Row],[Customer ID]],Table2[#All],8,FALSE)</f>
        <v>No</v>
      </c>
      <c r="J1980" t="str">
        <f>VLOOKUP(Table2[[#This Row],[Customer ID]],Table2[#All],9,FALSE)</f>
        <v>Overweight</v>
      </c>
      <c r="K1980" t="str">
        <f>VLOOKUP(Table2[[#This Row],[Customer ID]],Table2[#All],10,FALSE)</f>
        <v>Normal</v>
      </c>
    </row>
    <row r="1981" spans="1:11" ht="15.6" x14ac:dyDescent="0.3">
      <c r="A1981" s="1" t="s">
        <v>388</v>
      </c>
      <c r="B1981" t="str">
        <f>VLOOKUP('Customer Names'!A1981,'Customer Names'!$A$1:$E$2336,4,FALSE)</f>
        <v>Ms.  Aya</v>
      </c>
      <c r="C1981">
        <f>VLOOKUP(Table2[[#This Row],[Customer ID]],Table2[#All],2,FALSE)</f>
        <v>19.8</v>
      </c>
      <c r="D1981">
        <f>VLOOKUP(Table2[[#This Row],[Customer ID]],Table2[#All],3,FALSE)</f>
        <v>4</v>
      </c>
      <c r="E1981" t="str">
        <f>VLOOKUP(Table2[[#This Row],[Customer ID]],Table2[#All],4,FALSE)</f>
        <v>Yes</v>
      </c>
      <c r="F1981" t="str">
        <f>VLOOKUP(Table2[[#This Row],[Customer ID]],Table2[#All],5,FALSE)</f>
        <v>No</v>
      </c>
      <c r="G1981" t="str">
        <f>VLOOKUP(Table2[[#This Row],[Customer ID]],Table2[#All],6,FALSE)</f>
        <v>No</v>
      </c>
      <c r="H1981">
        <f>VLOOKUP(Table2[[#This Row],[Customer ID]],Table2[#All],7,FALSE)</f>
        <v>0</v>
      </c>
      <c r="I1981" t="str">
        <f>VLOOKUP(Table2[[#This Row],[Customer ID]],Table2[#All],8,FALSE)</f>
        <v>No</v>
      </c>
      <c r="J1981" t="str">
        <f>VLOOKUP(Table2[[#This Row],[Customer ID]],Table2[#All],9,FALSE)</f>
        <v>Normalweight</v>
      </c>
      <c r="K1981" t="str">
        <f>VLOOKUP(Table2[[#This Row],[Customer ID]],Table2[#All],10,FALSE)</f>
        <v>Normal</v>
      </c>
    </row>
    <row r="1982" spans="1:11" ht="15.6" x14ac:dyDescent="0.3">
      <c r="A1982" s="1" t="s">
        <v>387</v>
      </c>
      <c r="B1982" t="str">
        <f>VLOOKUP('Customer Names'!A1982,'Customer Names'!$A$1:$E$2336,4,FALSE)</f>
        <v>Ms.  Carolyn R</v>
      </c>
      <c r="C1982">
        <f>VLOOKUP(Table2[[#This Row],[Customer ID]],Table2[#All],2,FALSE)</f>
        <v>35.53</v>
      </c>
      <c r="D1982">
        <f>VLOOKUP(Table2[[#This Row],[Customer ID]],Table2[#All],3,FALSE)</f>
        <v>4.68</v>
      </c>
      <c r="E1982" t="str">
        <f>VLOOKUP(Table2[[#This Row],[Customer ID]],Table2[#All],4,FALSE)</f>
        <v>No</v>
      </c>
      <c r="F1982" t="str">
        <f>VLOOKUP(Table2[[#This Row],[Customer ID]],Table2[#All],5,FALSE)</f>
        <v>No</v>
      </c>
      <c r="G1982" t="str">
        <f>VLOOKUP(Table2[[#This Row],[Customer ID]],Table2[#All],6,FALSE)</f>
        <v>Yes</v>
      </c>
      <c r="H1982">
        <f>VLOOKUP(Table2[[#This Row],[Customer ID]],Table2[#All],7,FALSE)</f>
        <v>1</v>
      </c>
      <c r="I1982" t="str">
        <f>VLOOKUP(Table2[[#This Row],[Customer ID]],Table2[#All],8,FALSE)</f>
        <v>No</v>
      </c>
      <c r="J1982" t="str">
        <f>VLOOKUP(Table2[[#This Row],[Customer ID]],Table2[#All],9,FALSE)</f>
        <v>Obesity</v>
      </c>
      <c r="K1982" t="str">
        <f>VLOOKUP(Table2[[#This Row],[Customer ID]],Table2[#All],10,FALSE)</f>
        <v>Normal</v>
      </c>
    </row>
    <row r="1983" spans="1:11" ht="15.6" x14ac:dyDescent="0.3">
      <c r="A1983" s="1" t="s">
        <v>386</v>
      </c>
      <c r="B1983" t="str">
        <f>VLOOKUP('Customer Names'!A1983,'Customer Names'!$A$1:$E$2336,4,FALSE)</f>
        <v>Ms.  Bethany</v>
      </c>
      <c r="C1983">
        <f>VLOOKUP(Table2[[#This Row],[Customer ID]],Table2[#All],2,FALSE)</f>
        <v>21.47</v>
      </c>
      <c r="D1983">
        <f>VLOOKUP(Table2[[#This Row],[Customer ID]],Table2[#All],3,FALSE)</f>
        <v>4.0199999999999996</v>
      </c>
      <c r="E1983" t="str">
        <f>VLOOKUP(Table2[[#This Row],[Customer ID]],Table2[#All],4,FALSE)</f>
        <v>Yes</v>
      </c>
      <c r="F1983" t="str">
        <f>VLOOKUP(Table2[[#This Row],[Customer ID]],Table2[#All],5,FALSE)</f>
        <v>No</v>
      </c>
      <c r="G1983" t="str">
        <f>VLOOKUP(Table2[[#This Row],[Customer ID]],Table2[#All],6,FALSE)</f>
        <v>No</v>
      </c>
      <c r="H1983">
        <f>VLOOKUP(Table2[[#This Row],[Customer ID]],Table2[#All],7,FALSE)</f>
        <v>1</v>
      </c>
      <c r="I1983" t="str">
        <f>VLOOKUP(Table2[[#This Row],[Customer ID]],Table2[#All],8,FALSE)</f>
        <v>No</v>
      </c>
      <c r="J1983" t="str">
        <f>VLOOKUP(Table2[[#This Row],[Customer ID]],Table2[#All],9,FALSE)</f>
        <v>Normalweight</v>
      </c>
      <c r="K1983" t="str">
        <f>VLOOKUP(Table2[[#This Row],[Customer ID]],Table2[#All],10,FALSE)</f>
        <v>Normal</v>
      </c>
    </row>
    <row r="1984" spans="1:11" ht="15.6" x14ac:dyDescent="0.3">
      <c r="A1984" s="1" t="s">
        <v>385</v>
      </c>
      <c r="B1984" t="str">
        <f>VLOOKUP('Customer Names'!A1984,'Customer Names'!$A$1:$E$2336,4,FALSE)</f>
        <v>Ms.  Holly A</v>
      </c>
      <c r="C1984">
        <f>VLOOKUP(Table2[[#This Row],[Customer ID]],Table2[#All],2,FALSE)</f>
        <v>25.9</v>
      </c>
      <c r="D1984">
        <f>VLOOKUP(Table2[[#This Row],[Customer ID]],Table2[#All],3,FALSE)</f>
        <v>5.12</v>
      </c>
      <c r="E1984" t="str">
        <f>VLOOKUP(Table2[[#This Row],[Customer ID]],Table2[#All],4,FALSE)</f>
        <v>No</v>
      </c>
      <c r="F1984" t="str">
        <f>VLOOKUP(Table2[[#This Row],[Customer ID]],Table2[#All],5,FALSE)</f>
        <v>No</v>
      </c>
      <c r="G1984" t="str">
        <f>VLOOKUP(Table2[[#This Row],[Customer ID]],Table2[#All],6,FALSE)</f>
        <v>Yes</v>
      </c>
      <c r="H1984">
        <f>VLOOKUP(Table2[[#This Row],[Customer ID]],Table2[#All],7,FALSE)</f>
        <v>1</v>
      </c>
      <c r="I1984" t="str">
        <f>VLOOKUP(Table2[[#This Row],[Customer ID]],Table2[#All],8,FALSE)</f>
        <v>No</v>
      </c>
      <c r="J1984" t="str">
        <f>VLOOKUP(Table2[[#This Row],[Customer ID]],Table2[#All],9,FALSE)</f>
        <v>Overweight</v>
      </c>
      <c r="K1984" t="str">
        <f>VLOOKUP(Table2[[#This Row],[Customer ID]],Table2[#All],10,FALSE)</f>
        <v>Normal</v>
      </c>
    </row>
    <row r="1985" spans="1:11" ht="15.6" x14ac:dyDescent="0.3">
      <c r="A1985" s="1" t="s">
        <v>384</v>
      </c>
      <c r="B1985" t="str">
        <f>VLOOKUP('Customer Names'!A1985,'Customer Names'!$A$1:$E$2336,4,FALSE)</f>
        <v>Mr.  Ping</v>
      </c>
      <c r="C1985">
        <f>VLOOKUP(Table2[[#This Row],[Customer ID]],Table2[#All],2,FALSE)</f>
        <v>20.81</v>
      </c>
      <c r="D1985">
        <f>VLOOKUP(Table2[[#This Row],[Customer ID]],Table2[#All],3,FALSE)</f>
        <v>5.52</v>
      </c>
      <c r="E1985" t="str">
        <f>VLOOKUP(Table2[[#This Row],[Customer ID]],Table2[#All],4,FALSE)</f>
        <v>No</v>
      </c>
      <c r="F1985" t="str">
        <f>VLOOKUP(Table2[[#This Row],[Customer ID]],Table2[#All],5,FALSE)</f>
        <v>No</v>
      </c>
      <c r="G1985" t="str">
        <f>VLOOKUP(Table2[[#This Row],[Customer ID]],Table2[#All],6,FALSE)</f>
        <v>No</v>
      </c>
      <c r="H1985">
        <f>VLOOKUP(Table2[[#This Row],[Customer ID]],Table2[#All],7,FALSE)</f>
        <v>0</v>
      </c>
      <c r="I1985" t="str">
        <f>VLOOKUP(Table2[[#This Row],[Customer ID]],Table2[#All],8,FALSE)</f>
        <v>No</v>
      </c>
      <c r="J1985" t="str">
        <f>VLOOKUP(Table2[[#This Row],[Customer ID]],Table2[#All],9,FALSE)</f>
        <v>Normalweight</v>
      </c>
      <c r="K1985" t="str">
        <f>VLOOKUP(Table2[[#This Row],[Customer ID]],Table2[#All],10,FALSE)</f>
        <v>Normal</v>
      </c>
    </row>
    <row r="1986" spans="1:11" ht="15.6" x14ac:dyDescent="0.3">
      <c r="A1986" s="1" t="s">
        <v>383</v>
      </c>
      <c r="B1986" t="str">
        <f>VLOOKUP('Customer Names'!A1986,'Customer Names'!$A$1:$E$2336,4,FALSE)</f>
        <v>Mr.  Tim</v>
      </c>
      <c r="C1986">
        <f>VLOOKUP(Table2[[#This Row],[Customer ID]],Table2[#All],2,FALSE)</f>
        <v>25.84</v>
      </c>
      <c r="D1986">
        <f>VLOOKUP(Table2[[#This Row],[Customer ID]],Table2[#All],3,FALSE)</f>
        <v>5.81</v>
      </c>
      <c r="E1986" t="str">
        <f>VLOOKUP(Table2[[#This Row],[Customer ID]],Table2[#All],4,FALSE)</f>
        <v>Yes</v>
      </c>
      <c r="F1986" t="str">
        <f>VLOOKUP(Table2[[#This Row],[Customer ID]],Table2[#All],5,FALSE)</f>
        <v>No</v>
      </c>
      <c r="G1986" t="str">
        <f>VLOOKUP(Table2[[#This Row],[Customer ID]],Table2[#All],6,FALSE)</f>
        <v>Yes</v>
      </c>
      <c r="H1986">
        <f>VLOOKUP(Table2[[#This Row],[Customer ID]],Table2[#All],7,FALSE)</f>
        <v>1</v>
      </c>
      <c r="I1986" t="str">
        <f>VLOOKUP(Table2[[#This Row],[Customer ID]],Table2[#All],8,FALSE)</f>
        <v>No</v>
      </c>
      <c r="J1986" t="str">
        <f>VLOOKUP(Table2[[#This Row],[Customer ID]],Table2[#All],9,FALSE)</f>
        <v>Overweight</v>
      </c>
      <c r="K1986" t="str">
        <f>VLOOKUP(Table2[[#This Row],[Customer ID]],Table2[#All],10,FALSE)</f>
        <v>Prediabetes</v>
      </c>
    </row>
    <row r="1987" spans="1:11" ht="15.6" x14ac:dyDescent="0.3">
      <c r="A1987" s="1" t="s">
        <v>382</v>
      </c>
      <c r="B1987" t="str">
        <f>VLOOKUP('Customer Names'!A1987,'Customer Names'!$A$1:$E$2336,4,FALSE)</f>
        <v>Mr.  John</v>
      </c>
      <c r="C1987">
        <f>VLOOKUP(Table2[[#This Row],[Customer ID]],Table2[#All],2,FALSE)</f>
        <v>30.95</v>
      </c>
      <c r="D1987">
        <f>VLOOKUP(Table2[[#This Row],[Customer ID]],Table2[#All],3,FALSE)</f>
        <v>5.16</v>
      </c>
      <c r="E1987" t="str">
        <f>VLOOKUP(Table2[[#This Row],[Customer ID]],Table2[#All],4,FALSE)</f>
        <v>No</v>
      </c>
      <c r="F1987" t="str">
        <f>VLOOKUP(Table2[[#This Row],[Customer ID]],Table2[#All],5,FALSE)</f>
        <v>No</v>
      </c>
      <c r="G1987" t="str">
        <f>VLOOKUP(Table2[[#This Row],[Customer ID]],Table2[#All],6,FALSE)</f>
        <v>Yes</v>
      </c>
      <c r="H1987">
        <f>VLOOKUP(Table2[[#This Row],[Customer ID]],Table2[#All],7,FALSE)</f>
        <v>1</v>
      </c>
      <c r="I1987" t="str">
        <f>VLOOKUP(Table2[[#This Row],[Customer ID]],Table2[#All],8,FALSE)</f>
        <v>No</v>
      </c>
      <c r="J1987" t="str">
        <f>VLOOKUP(Table2[[#This Row],[Customer ID]],Table2[#All],9,FALSE)</f>
        <v>Obesity</v>
      </c>
      <c r="K1987" t="str">
        <f>VLOOKUP(Table2[[#This Row],[Customer ID]],Table2[#All],10,FALSE)</f>
        <v>Normal</v>
      </c>
    </row>
    <row r="1988" spans="1:11" ht="15.6" x14ac:dyDescent="0.3">
      <c r="A1988" s="1" t="s">
        <v>381</v>
      </c>
      <c r="B1988" t="str">
        <f>VLOOKUP('Customer Names'!A1988,'Customer Names'!$A$1:$E$2336,4,FALSE)</f>
        <v>Mrs.  Cynthia</v>
      </c>
      <c r="C1988">
        <f>VLOOKUP(Table2[[#This Row],[Customer ID]],Table2[#All],2,FALSE)</f>
        <v>30.54</v>
      </c>
      <c r="D1988">
        <f>VLOOKUP(Table2[[#This Row],[Customer ID]],Table2[#All],3,FALSE)</f>
        <v>5</v>
      </c>
      <c r="E1988" t="str">
        <f>VLOOKUP(Table2[[#This Row],[Customer ID]],Table2[#All],4,FALSE)</f>
        <v>No</v>
      </c>
      <c r="F1988" t="str">
        <f>VLOOKUP(Table2[[#This Row],[Customer ID]],Table2[#All],5,FALSE)</f>
        <v>No</v>
      </c>
      <c r="G1988" t="str">
        <f>VLOOKUP(Table2[[#This Row],[Customer ID]],Table2[#All],6,FALSE)</f>
        <v>Yes</v>
      </c>
      <c r="H1988">
        <f>VLOOKUP(Table2[[#This Row],[Customer ID]],Table2[#All],7,FALSE)</f>
        <v>1</v>
      </c>
      <c r="I1988" t="str">
        <f>VLOOKUP(Table2[[#This Row],[Customer ID]],Table2[#All],8,FALSE)</f>
        <v>No</v>
      </c>
      <c r="J1988" t="str">
        <f>VLOOKUP(Table2[[#This Row],[Customer ID]],Table2[#All],9,FALSE)</f>
        <v>Obesity</v>
      </c>
      <c r="K1988" t="str">
        <f>VLOOKUP(Table2[[#This Row],[Customer ID]],Table2[#All],10,FALSE)</f>
        <v>Normal</v>
      </c>
    </row>
    <row r="1989" spans="1:11" ht="15.6" x14ac:dyDescent="0.3">
      <c r="A1989" s="1" t="s">
        <v>380</v>
      </c>
      <c r="B1989" t="str">
        <f>VLOOKUP('Customer Names'!A1989,'Customer Names'!$A$1:$E$2336,4,FALSE)</f>
        <v>Mr.  Emmett</v>
      </c>
      <c r="C1989">
        <f>VLOOKUP(Table2[[#This Row],[Customer ID]],Table2[#All],2,FALSE)</f>
        <v>33.914999999999999</v>
      </c>
      <c r="D1989">
        <f>VLOOKUP(Table2[[#This Row],[Customer ID]],Table2[#All],3,FALSE)</f>
        <v>5.84</v>
      </c>
      <c r="E1989" t="str">
        <f>VLOOKUP(Table2[[#This Row],[Customer ID]],Table2[#All],4,FALSE)</f>
        <v>Yes</v>
      </c>
      <c r="F1989" t="str">
        <f>VLOOKUP(Table2[[#This Row],[Customer ID]],Table2[#All],5,FALSE)</f>
        <v>No</v>
      </c>
      <c r="G1989" t="str">
        <f>VLOOKUP(Table2[[#This Row],[Customer ID]],Table2[#All],6,FALSE)</f>
        <v>No</v>
      </c>
      <c r="H1989">
        <f>VLOOKUP(Table2[[#This Row],[Customer ID]],Table2[#All],7,FALSE)</f>
        <v>0</v>
      </c>
      <c r="I1989" t="str">
        <f>VLOOKUP(Table2[[#This Row],[Customer ID]],Table2[#All],8,FALSE)</f>
        <v>No</v>
      </c>
      <c r="J1989" t="str">
        <f>VLOOKUP(Table2[[#This Row],[Customer ID]],Table2[#All],9,FALSE)</f>
        <v>Obesity</v>
      </c>
      <c r="K1989" t="str">
        <f>VLOOKUP(Table2[[#This Row],[Customer ID]],Table2[#All],10,FALSE)</f>
        <v>Prediabetes</v>
      </c>
    </row>
    <row r="1990" spans="1:11" ht="15.6" x14ac:dyDescent="0.3">
      <c r="A1990" s="1" t="s">
        <v>379</v>
      </c>
      <c r="B1990" t="str">
        <f>VLOOKUP('Customer Names'!A1990,'Customer Names'!$A$1:$E$2336,4,FALSE)</f>
        <v>Ms.  Kate</v>
      </c>
      <c r="C1990">
        <f>VLOOKUP(Table2[[#This Row],[Customer ID]],Table2[#All],2,FALSE)</f>
        <v>33.31</v>
      </c>
      <c r="D1990">
        <f>VLOOKUP(Table2[[#This Row],[Customer ID]],Table2[#All],3,FALSE)</f>
        <v>4.1900000000000004</v>
      </c>
      <c r="E1990" t="str">
        <f>VLOOKUP(Table2[[#This Row],[Customer ID]],Table2[#All],4,FALSE)</f>
        <v>No</v>
      </c>
      <c r="F1990" t="str">
        <f>VLOOKUP(Table2[[#This Row],[Customer ID]],Table2[#All],5,FALSE)</f>
        <v>No</v>
      </c>
      <c r="G1990" t="str">
        <f>VLOOKUP(Table2[[#This Row],[Customer ID]],Table2[#All],6,FALSE)</f>
        <v>Yes</v>
      </c>
      <c r="H1990">
        <f>VLOOKUP(Table2[[#This Row],[Customer ID]],Table2[#All],7,FALSE)</f>
        <v>1</v>
      </c>
      <c r="I1990" t="str">
        <f>VLOOKUP(Table2[[#This Row],[Customer ID]],Table2[#All],8,FALSE)</f>
        <v>No</v>
      </c>
      <c r="J1990" t="str">
        <f>VLOOKUP(Table2[[#This Row],[Customer ID]],Table2[#All],9,FALSE)</f>
        <v>Obesity</v>
      </c>
      <c r="K1990" t="str">
        <f>VLOOKUP(Table2[[#This Row],[Customer ID]],Table2[#All],10,FALSE)</f>
        <v>Normal</v>
      </c>
    </row>
    <row r="1991" spans="1:11" ht="15.6" x14ac:dyDescent="0.3">
      <c r="A1991" s="1" t="s">
        <v>378</v>
      </c>
      <c r="B1991" t="str">
        <f>VLOOKUP('Customer Names'!A1991,'Customer Names'!$A$1:$E$2336,4,FALSE)</f>
        <v>Mr.  Christopher L.</v>
      </c>
      <c r="C1991">
        <f>VLOOKUP(Table2[[#This Row],[Customer ID]],Table2[#All],2,FALSE)</f>
        <v>25.745000000000001</v>
      </c>
      <c r="D1991">
        <f>VLOOKUP(Table2[[#This Row],[Customer ID]],Table2[#All],3,FALSE)</f>
        <v>4.62</v>
      </c>
      <c r="E1991" t="str">
        <f>VLOOKUP(Table2[[#This Row],[Customer ID]],Table2[#All],4,FALSE)</f>
        <v>Yes</v>
      </c>
      <c r="F1991" t="str">
        <f>VLOOKUP(Table2[[#This Row],[Customer ID]],Table2[#All],5,FALSE)</f>
        <v>No</v>
      </c>
      <c r="G1991" t="str">
        <f>VLOOKUP(Table2[[#This Row],[Customer ID]],Table2[#All],6,FALSE)</f>
        <v>No</v>
      </c>
      <c r="H1991">
        <f>VLOOKUP(Table2[[#This Row],[Customer ID]],Table2[#All],7,FALSE)</f>
        <v>0</v>
      </c>
      <c r="I1991" t="str">
        <f>VLOOKUP(Table2[[#This Row],[Customer ID]],Table2[#All],8,FALSE)</f>
        <v>No</v>
      </c>
      <c r="J1991" t="str">
        <f>VLOOKUP(Table2[[#This Row],[Customer ID]],Table2[#All],9,FALSE)</f>
        <v>Overweight</v>
      </c>
      <c r="K1991" t="str">
        <f>VLOOKUP(Table2[[#This Row],[Customer ID]],Table2[#All],10,FALSE)</f>
        <v>Normal</v>
      </c>
    </row>
    <row r="1992" spans="1:11" ht="15.6" x14ac:dyDescent="0.3">
      <c r="A1992" s="1" t="s">
        <v>377</v>
      </c>
      <c r="B1992" t="str">
        <f>VLOOKUP('Customer Names'!A1992,'Customer Names'!$A$1:$E$2336,4,FALSE)</f>
        <v>Mr.  Christopher P.</v>
      </c>
      <c r="C1992">
        <f>VLOOKUP(Table2[[#This Row],[Customer ID]],Table2[#All],2,FALSE)</f>
        <v>37.1</v>
      </c>
      <c r="D1992">
        <f>VLOOKUP(Table2[[#This Row],[Customer ID]],Table2[#All],3,FALSE)</f>
        <v>6.24</v>
      </c>
      <c r="E1992" t="str">
        <f>VLOOKUP(Table2[[#This Row],[Customer ID]],Table2[#All],4,FALSE)</f>
        <v>No</v>
      </c>
      <c r="F1992" t="str">
        <f>VLOOKUP(Table2[[#This Row],[Customer ID]],Table2[#All],5,FALSE)</f>
        <v>No</v>
      </c>
      <c r="G1992" t="str">
        <f>VLOOKUP(Table2[[#This Row],[Customer ID]],Table2[#All],6,FALSE)</f>
        <v>No</v>
      </c>
      <c r="H1992">
        <f>VLOOKUP(Table2[[#This Row],[Customer ID]],Table2[#All],7,FALSE)</f>
        <v>0</v>
      </c>
      <c r="I1992" t="str">
        <f>VLOOKUP(Table2[[#This Row],[Customer ID]],Table2[#All],8,FALSE)</f>
        <v>No</v>
      </c>
      <c r="J1992" t="str">
        <f>VLOOKUP(Table2[[#This Row],[Customer ID]],Table2[#All],9,FALSE)</f>
        <v>Obesity</v>
      </c>
      <c r="K1992" t="str">
        <f>VLOOKUP(Table2[[#This Row],[Customer ID]],Table2[#All],10,FALSE)</f>
        <v>Prediabetes</v>
      </c>
    </row>
    <row r="1993" spans="1:11" ht="15.6" x14ac:dyDescent="0.3">
      <c r="A1993" s="1" t="s">
        <v>376</v>
      </c>
      <c r="B1993" t="str">
        <f>VLOOKUP('Customer Names'!A1993,'Customer Names'!$A$1:$E$2336,4,FALSE)</f>
        <v>Mr.  Christopher W</v>
      </c>
      <c r="C1993">
        <f>VLOOKUP(Table2[[#This Row],[Customer ID]],Table2[#All],2,FALSE)</f>
        <v>35.435000000000002</v>
      </c>
      <c r="D1993">
        <f>VLOOKUP(Table2[[#This Row],[Customer ID]],Table2[#All],3,FALSE)</f>
        <v>5.81</v>
      </c>
      <c r="E1993" t="str">
        <f>VLOOKUP(Table2[[#This Row],[Customer ID]],Table2[#All],4,FALSE)</f>
        <v>No</v>
      </c>
      <c r="F1993" t="str">
        <f>VLOOKUP(Table2[[#This Row],[Customer ID]],Table2[#All],5,FALSE)</f>
        <v>No</v>
      </c>
      <c r="G1993" t="str">
        <f>VLOOKUP(Table2[[#This Row],[Customer ID]],Table2[#All],6,FALSE)</f>
        <v>No</v>
      </c>
      <c r="H1993">
        <f>VLOOKUP(Table2[[#This Row],[Customer ID]],Table2[#All],7,FALSE)</f>
        <v>0</v>
      </c>
      <c r="I1993" t="str">
        <f>VLOOKUP(Table2[[#This Row],[Customer ID]],Table2[#All],8,FALSE)</f>
        <v>No</v>
      </c>
      <c r="J1993" t="str">
        <f>VLOOKUP(Table2[[#This Row],[Customer ID]],Table2[#All],9,FALSE)</f>
        <v>Obesity</v>
      </c>
      <c r="K1993" t="str">
        <f>VLOOKUP(Table2[[#This Row],[Customer ID]],Table2[#All],10,FALSE)</f>
        <v>Prediabetes</v>
      </c>
    </row>
    <row r="1994" spans="1:11" ht="15.6" x14ac:dyDescent="0.3">
      <c r="A1994" s="1" t="s">
        <v>375</v>
      </c>
      <c r="B1994" t="str">
        <f>VLOOKUP('Customer Names'!A1994,'Customer Names'!$A$1:$E$2336,4,FALSE)</f>
        <v>Mr.  Norman H.</v>
      </c>
      <c r="C1994">
        <f>VLOOKUP(Table2[[#This Row],[Customer ID]],Table2[#All],2,FALSE)</f>
        <v>20.399999999999999</v>
      </c>
      <c r="D1994">
        <f>VLOOKUP(Table2[[#This Row],[Customer ID]],Table2[#All],3,FALSE)</f>
        <v>4.83</v>
      </c>
      <c r="E1994" t="str">
        <f>VLOOKUP(Table2[[#This Row],[Customer ID]],Table2[#All],4,FALSE)</f>
        <v>No</v>
      </c>
      <c r="F1994" t="str">
        <f>VLOOKUP(Table2[[#This Row],[Customer ID]],Table2[#All],5,FALSE)</f>
        <v>No</v>
      </c>
      <c r="G1994" t="str">
        <f>VLOOKUP(Table2[[#This Row],[Customer ID]],Table2[#All],6,FALSE)</f>
        <v>No</v>
      </c>
      <c r="H1994">
        <f>VLOOKUP(Table2[[#This Row],[Customer ID]],Table2[#All],7,FALSE)</f>
        <v>0</v>
      </c>
      <c r="I1994" t="str">
        <f>VLOOKUP(Table2[[#This Row],[Customer ID]],Table2[#All],8,FALSE)</f>
        <v>No</v>
      </c>
      <c r="J1994" t="str">
        <f>VLOOKUP(Table2[[#This Row],[Customer ID]],Table2[#All],9,FALSE)</f>
        <v>Normalweight</v>
      </c>
      <c r="K1994" t="str">
        <f>VLOOKUP(Table2[[#This Row],[Customer ID]],Table2[#All],10,FALSE)</f>
        <v>Normal</v>
      </c>
    </row>
    <row r="1995" spans="1:11" ht="15.6" x14ac:dyDescent="0.3">
      <c r="A1995" s="1" t="s">
        <v>374</v>
      </c>
      <c r="B1995" t="str">
        <f>VLOOKUP('Customer Names'!A1995,'Customer Names'!$A$1:$E$2336,4,FALSE)</f>
        <v>Ms.  Susan</v>
      </c>
      <c r="C1995">
        <f>VLOOKUP(Table2[[#This Row],[Customer ID]],Table2[#All],2,FALSE)</f>
        <v>42.13</v>
      </c>
      <c r="D1995">
        <f>VLOOKUP(Table2[[#This Row],[Customer ID]],Table2[#All],3,FALSE)</f>
        <v>5.72</v>
      </c>
      <c r="E1995" t="str">
        <f>VLOOKUP(Table2[[#This Row],[Customer ID]],Table2[#All],4,FALSE)</f>
        <v>Yes</v>
      </c>
      <c r="F1995" t="str">
        <f>VLOOKUP(Table2[[#This Row],[Customer ID]],Table2[#All],5,FALSE)</f>
        <v>No</v>
      </c>
      <c r="G1995" t="str">
        <f>VLOOKUP(Table2[[#This Row],[Customer ID]],Table2[#All],6,FALSE)</f>
        <v>Yes</v>
      </c>
      <c r="H1995">
        <f>VLOOKUP(Table2[[#This Row],[Customer ID]],Table2[#All],7,FALSE)</f>
        <v>1</v>
      </c>
      <c r="I1995" t="str">
        <f>VLOOKUP(Table2[[#This Row],[Customer ID]],Table2[#All],8,FALSE)</f>
        <v>No</v>
      </c>
      <c r="J1995" t="str">
        <f>VLOOKUP(Table2[[#This Row],[Customer ID]],Table2[#All],9,FALSE)</f>
        <v>Obesity</v>
      </c>
      <c r="K1995" t="str">
        <f>VLOOKUP(Table2[[#This Row],[Customer ID]],Table2[#All],10,FALSE)</f>
        <v>Prediabetes</v>
      </c>
    </row>
    <row r="1996" spans="1:11" ht="15.6" x14ac:dyDescent="0.3">
      <c r="A1996" s="1" t="s">
        <v>373</v>
      </c>
      <c r="B1996" t="str">
        <f>VLOOKUP('Customer Names'!A1996,'Customer Names'!$A$1:$E$2336,4,FALSE)</f>
        <v>Ms.  Tatyana K</v>
      </c>
      <c r="C1996">
        <f>VLOOKUP(Table2[[#This Row],[Customer ID]],Table2[#All],2,FALSE)</f>
        <v>33.99</v>
      </c>
      <c r="D1996">
        <f>VLOOKUP(Table2[[#This Row],[Customer ID]],Table2[#All],3,FALSE)</f>
        <v>4.83</v>
      </c>
      <c r="E1996" t="str">
        <f>VLOOKUP(Table2[[#This Row],[Customer ID]],Table2[#All],4,FALSE)</f>
        <v>Yes</v>
      </c>
      <c r="F1996" t="str">
        <f>VLOOKUP(Table2[[#This Row],[Customer ID]],Table2[#All],5,FALSE)</f>
        <v>No</v>
      </c>
      <c r="G1996" t="str">
        <f>VLOOKUP(Table2[[#This Row],[Customer ID]],Table2[#All],6,FALSE)</f>
        <v>Yes</v>
      </c>
      <c r="H1996">
        <f>VLOOKUP(Table2[[#This Row],[Customer ID]],Table2[#All],7,FALSE)</f>
        <v>1</v>
      </c>
      <c r="I1996" t="str">
        <f>VLOOKUP(Table2[[#This Row],[Customer ID]],Table2[#All],8,FALSE)</f>
        <v>No</v>
      </c>
      <c r="J1996" t="str">
        <f>VLOOKUP(Table2[[#This Row],[Customer ID]],Table2[#All],9,FALSE)</f>
        <v>Obesity</v>
      </c>
      <c r="K1996" t="str">
        <f>VLOOKUP(Table2[[#This Row],[Customer ID]],Table2[#All],10,FALSE)</f>
        <v>Normal</v>
      </c>
    </row>
    <row r="1997" spans="1:11" ht="15.6" x14ac:dyDescent="0.3">
      <c r="A1997" s="1" t="s">
        <v>372</v>
      </c>
      <c r="B1997" t="str">
        <f>VLOOKUP('Customer Names'!A1997,'Customer Names'!$A$1:$E$2336,4,FALSE)</f>
        <v>Ms.  Chrissy</v>
      </c>
      <c r="C1997">
        <f>VLOOKUP(Table2[[#This Row],[Customer ID]],Table2[#All],2,FALSE)</f>
        <v>28.594999999999999</v>
      </c>
      <c r="D1997">
        <f>VLOOKUP(Table2[[#This Row],[Customer ID]],Table2[#All],3,FALSE)</f>
        <v>4.1399999999999997</v>
      </c>
      <c r="E1997" t="str">
        <f>VLOOKUP(Table2[[#This Row],[Customer ID]],Table2[#All],4,FALSE)</f>
        <v>Yes</v>
      </c>
      <c r="F1997" t="str">
        <f>VLOOKUP(Table2[[#This Row],[Customer ID]],Table2[#All],5,FALSE)</f>
        <v>No</v>
      </c>
      <c r="G1997" t="str">
        <f>VLOOKUP(Table2[[#This Row],[Customer ID]],Table2[#All],6,FALSE)</f>
        <v>Yes</v>
      </c>
      <c r="H1997">
        <f>VLOOKUP(Table2[[#This Row],[Customer ID]],Table2[#All],7,FALSE)</f>
        <v>1</v>
      </c>
      <c r="I1997" t="str">
        <f>VLOOKUP(Table2[[#This Row],[Customer ID]],Table2[#All],8,FALSE)</f>
        <v>No</v>
      </c>
      <c r="J1997" t="str">
        <f>VLOOKUP(Table2[[#This Row],[Customer ID]],Table2[#All],9,FALSE)</f>
        <v>Overweight</v>
      </c>
      <c r="K1997" t="str">
        <f>VLOOKUP(Table2[[#This Row],[Customer ID]],Table2[#All],10,FALSE)</f>
        <v>Normal</v>
      </c>
    </row>
    <row r="1998" spans="1:11" ht="15.6" x14ac:dyDescent="0.3">
      <c r="A1998" s="1" t="s">
        <v>371</v>
      </c>
      <c r="B1998" t="str">
        <f>VLOOKUP('Customer Names'!A1998,'Customer Names'!$A$1:$E$2336,4,FALSE)</f>
        <v>Ms.  Carrie</v>
      </c>
      <c r="C1998">
        <f>VLOOKUP(Table2[[#This Row],[Customer ID]],Table2[#All],2,FALSE)</f>
        <v>20.8</v>
      </c>
      <c r="D1998">
        <f>VLOOKUP(Table2[[#This Row],[Customer ID]],Table2[#All],3,FALSE)</f>
        <v>4.07</v>
      </c>
      <c r="E1998" t="str">
        <f>VLOOKUP(Table2[[#This Row],[Customer ID]],Table2[#All],4,FALSE)</f>
        <v>Yes</v>
      </c>
      <c r="F1998" t="str">
        <f>VLOOKUP(Table2[[#This Row],[Customer ID]],Table2[#All],5,FALSE)</f>
        <v>No</v>
      </c>
      <c r="G1998" t="str">
        <f>VLOOKUP(Table2[[#This Row],[Customer ID]],Table2[#All],6,FALSE)</f>
        <v>Yes</v>
      </c>
      <c r="H1998">
        <f>VLOOKUP(Table2[[#This Row],[Customer ID]],Table2[#All],7,FALSE)</f>
        <v>1</v>
      </c>
      <c r="I1998" t="str">
        <f>VLOOKUP(Table2[[#This Row],[Customer ID]],Table2[#All],8,FALSE)</f>
        <v>No</v>
      </c>
      <c r="J1998" t="str">
        <f>VLOOKUP(Table2[[#This Row],[Customer ID]],Table2[#All],9,FALSE)</f>
        <v>Normalweight</v>
      </c>
      <c r="K1998" t="str">
        <f>VLOOKUP(Table2[[#This Row],[Customer ID]],Table2[#All],10,FALSE)</f>
        <v>Normal</v>
      </c>
    </row>
    <row r="1999" spans="1:11" ht="15.6" x14ac:dyDescent="0.3">
      <c r="A1999" s="1" t="s">
        <v>370</v>
      </c>
      <c r="B1999" t="str">
        <f>VLOOKUP('Customer Names'!A1999,'Customer Names'!$A$1:$E$2336,4,FALSE)</f>
        <v>Ms.  Halle</v>
      </c>
      <c r="C1999">
        <f>VLOOKUP(Table2[[#This Row],[Customer ID]],Table2[#All],2,FALSE)</f>
        <v>23.465</v>
      </c>
      <c r="D1999">
        <f>VLOOKUP(Table2[[#This Row],[Customer ID]],Table2[#All],3,FALSE)</f>
        <v>6.26</v>
      </c>
      <c r="E1999" t="str">
        <f>VLOOKUP(Table2[[#This Row],[Customer ID]],Table2[#All],4,FALSE)</f>
        <v>Yes</v>
      </c>
      <c r="F1999" t="str">
        <f>VLOOKUP(Table2[[#This Row],[Customer ID]],Table2[#All],5,FALSE)</f>
        <v>No</v>
      </c>
      <c r="G1999" t="str">
        <f>VLOOKUP(Table2[[#This Row],[Customer ID]],Table2[#All],6,FALSE)</f>
        <v>Yes</v>
      </c>
      <c r="H1999">
        <f>VLOOKUP(Table2[[#This Row],[Customer ID]],Table2[#All],7,FALSE)</f>
        <v>1</v>
      </c>
      <c r="I1999" t="str">
        <f>VLOOKUP(Table2[[#This Row],[Customer ID]],Table2[#All],8,FALSE)</f>
        <v>No</v>
      </c>
      <c r="J1999" t="str">
        <f>VLOOKUP(Table2[[#This Row],[Customer ID]],Table2[#All],9,FALSE)</f>
        <v>Normalweight</v>
      </c>
      <c r="K1999" t="str">
        <f>VLOOKUP(Table2[[#This Row],[Customer ID]],Table2[#All],10,FALSE)</f>
        <v>Prediabetes</v>
      </c>
    </row>
    <row r="2000" spans="1:11" ht="15.6" x14ac:dyDescent="0.3">
      <c r="A2000" s="1" t="s">
        <v>369</v>
      </c>
      <c r="B2000" t="str">
        <f>VLOOKUP('Customer Names'!A2000,'Customer Names'!$A$1:$E$2336,4,FALSE)</f>
        <v>Ms.  Carolyn</v>
      </c>
      <c r="C2000">
        <f>VLOOKUP(Table2[[#This Row],[Customer ID]],Table2[#All],2,FALSE)</f>
        <v>40.185000000000002</v>
      </c>
      <c r="D2000">
        <f>VLOOKUP(Table2[[#This Row],[Customer ID]],Table2[#All],3,FALSE)</f>
        <v>5.88</v>
      </c>
      <c r="E2000" t="str">
        <f>VLOOKUP(Table2[[#This Row],[Customer ID]],Table2[#All],4,FALSE)</f>
        <v>Yes</v>
      </c>
      <c r="F2000" t="str">
        <f>VLOOKUP(Table2[[#This Row],[Customer ID]],Table2[#All],5,FALSE)</f>
        <v>No</v>
      </c>
      <c r="G2000" t="str">
        <f>VLOOKUP(Table2[[#This Row],[Customer ID]],Table2[#All],6,FALSE)</f>
        <v>No</v>
      </c>
      <c r="H2000">
        <f>VLOOKUP(Table2[[#This Row],[Customer ID]],Table2[#All],7,FALSE)</f>
        <v>0</v>
      </c>
      <c r="I2000" t="str">
        <f>VLOOKUP(Table2[[#This Row],[Customer ID]],Table2[#All],8,FALSE)</f>
        <v>No</v>
      </c>
      <c r="J2000" t="str">
        <f>VLOOKUP(Table2[[#This Row],[Customer ID]],Table2[#All],9,FALSE)</f>
        <v>Obesity</v>
      </c>
      <c r="K2000" t="str">
        <f>VLOOKUP(Table2[[#This Row],[Customer ID]],Table2[#All],10,FALSE)</f>
        <v>Prediabetes</v>
      </c>
    </row>
    <row r="2001" spans="1:11" ht="15.6" x14ac:dyDescent="0.3">
      <c r="A2001" s="1" t="s">
        <v>368</v>
      </c>
      <c r="B2001" t="str">
        <f>VLOOKUP('Customer Names'!A2001,'Customer Names'!$A$1:$E$2336,4,FALSE)</f>
        <v>Ms.  Tara D.</v>
      </c>
      <c r="C2001">
        <f>VLOOKUP(Table2[[#This Row],[Customer ID]],Table2[#All],2,FALSE)</f>
        <v>21.89</v>
      </c>
      <c r="D2001">
        <f>VLOOKUP(Table2[[#This Row],[Customer ID]],Table2[#All],3,FALSE)</f>
        <v>5.72</v>
      </c>
      <c r="E2001" t="str">
        <f>VLOOKUP(Table2[[#This Row],[Customer ID]],Table2[#All],4,FALSE)</f>
        <v>Yes</v>
      </c>
      <c r="F2001" t="str">
        <f>VLOOKUP(Table2[[#This Row],[Customer ID]],Table2[#All],5,FALSE)</f>
        <v>No</v>
      </c>
      <c r="G2001" t="str">
        <f>VLOOKUP(Table2[[#This Row],[Customer ID]],Table2[#All],6,FALSE)</f>
        <v>No</v>
      </c>
      <c r="H2001">
        <f>VLOOKUP(Table2[[#This Row],[Customer ID]],Table2[#All],7,FALSE)</f>
        <v>0</v>
      </c>
      <c r="I2001" t="str">
        <f>VLOOKUP(Table2[[#This Row],[Customer ID]],Table2[#All],8,FALSE)</f>
        <v>No</v>
      </c>
      <c r="J2001" t="str">
        <f>VLOOKUP(Table2[[#This Row],[Customer ID]],Table2[#All],9,FALSE)</f>
        <v>Normalweight</v>
      </c>
      <c r="K2001" t="str">
        <f>VLOOKUP(Table2[[#This Row],[Customer ID]],Table2[#All],10,FALSE)</f>
        <v>Prediabetes</v>
      </c>
    </row>
    <row r="2002" spans="1:11" ht="15.6" x14ac:dyDescent="0.3">
      <c r="A2002" s="1" t="s">
        <v>367</v>
      </c>
      <c r="B2002" t="str">
        <f>VLOOKUP('Customer Names'!A2002,'Customer Names'!$A$1:$E$2336,4,FALSE)</f>
        <v>Mr.  Rasim M</v>
      </c>
      <c r="C2002">
        <f>VLOOKUP(Table2[[#This Row],[Customer ID]],Table2[#All],2,FALSE)</f>
        <v>29.34</v>
      </c>
      <c r="D2002">
        <f>VLOOKUP(Table2[[#This Row],[Customer ID]],Table2[#All],3,FALSE)</f>
        <v>6.09</v>
      </c>
      <c r="E2002" t="str">
        <f>VLOOKUP(Table2[[#This Row],[Customer ID]],Table2[#All],4,FALSE)</f>
        <v>Yes</v>
      </c>
      <c r="F2002" t="str">
        <f>VLOOKUP(Table2[[#This Row],[Customer ID]],Table2[#All],5,FALSE)</f>
        <v>yes</v>
      </c>
      <c r="G2002" t="str">
        <f>VLOOKUP(Table2[[#This Row],[Customer ID]],Table2[#All],6,FALSE)</f>
        <v>No</v>
      </c>
      <c r="H2002">
        <f>VLOOKUP(Table2[[#This Row],[Customer ID]],Table2[#All],7,FALSE)</f>
        <v>2</v>
      </c>
      <c r="I2002" t="str">
        <f>VLOOKUP(Table2[[#This Row],[Customer ID]],Table2[#All],8,FALSE)</f>
        <v>No</v>
      </c>
      <c r="J2002" t="str">
        <f>VLOOKUP(Table2[[#This Row],[Customer ID]],Table2[#All],9,FALSE)</f>
        <v>Overweight</v>
      </c>
      <c r="K2002" t="str">
        <f>VLOOKUP(Table2[[#This Row],[Customer ID]],Table2[#All],10,FALSE)</f>
        <v>Prediabetes</v>
      </c>
    </row>
    <row r="2003" spans="1:11" ht="15.6" x14ac:dyDescent="0.3">
      <c r="A2003" s="1" t="s">
        <v>366</v>
      </c>
      <c r="B2003" t="str">
        <f>VLOOKUP('Customer Names'!A2003,'Customer Names'!$A$1:$E$2336,4,FALSE)</f>
        <v>Ms.  Dina</v>
      </c>
      <c r="C2003">
        <f>VLOOKUP(Table2[[#This Row],[Customer ID]],Table2[#All],2,FALSE)</f>
        <v>22.61</v>
      </c>
      <c r="D2003">
        <f>VLOOKUP(Table2[[#This Row],[Customer ID]],Table2[#All],3,FALSE)</f>
        <v>4.25</v>
      </c>
      <c r="E2003" t="str">
        <f>VLOOKUP(Table2[[#This Row],[Customer ID]],Table2[#All],4,FALSE)</f>
        <v>Yes</v>
      </c>
      <c r="F2003" t="str">
        <f>VLOOKUP(Table2[[#This Row],[Customer ID]],Table2[#All],5,FALSE)</f>
        <v>No</v>
      </c>
      <c r="G2003" t="str">
        <f>VLOOKUP(Table2[[#This Row],[Customer ID]],Table2[#All],6,FALSE)</f>
        <v>No</v>
      </c>
      <c r="H2003">
        <f>VLOOKUP(Table2[[#This Row],[Customer ID]],Table2[#All],7,FALSE)</f>
        <v>0</v>
      </c>
      <c r="I2003" t="str">
        <f>VLOOKUP(Table2[[#This Row],[Customer ID]],Table2[#All],8,FALSE)</f>
        <v>No</v>
      </c>
      <c r="J2003" t="str">
        <f>VLOOKUP(Table2[[#This Row],[Customer ID]],Table2[#All],9,FALSE)</f>
        <v>Normalweight</v>
      </c>
      <c r="K2003" t="str">
        <f>VLOOKUP(Table2[[#This Row],[Customer ID]],Table2[#All],10,FALSE)</f>
        <v>Normal</v>
      </c>
    </row>
    <row r="2004" spans="1:11" ht="15.6" x14ac:dyDescent="0.3">
      <c r="A2004" s="1" t="s">
        <v>365</v>
      </c>
      <c r="B2004" t="str">
        <f>VLOOKUP('Customer Names'!A2004,'Customer Names'!$A$1:$E$2336,4,FALSE)</f>
        <v>Ms.  Lisa</v>
      </c>
      <c r="C2004">
        <f>VLOOKUP(Table2[[#This Row],[Customer ID]],Table2[#All],2,FALSE)</f>
        <v>22.23</v>
      </c>
      <c r="D2004">
        <f>VLOOKUP(Table2[[#This Row],[Customer ID]],Table2[#All],3,FALSE)</f>
        <v>6.09</v>
      </c>
      <c r="E2004" t="str">
        <f>VLOOKUP(Table2[[#This Row],[Customer ID]],Table2[#All],4,FALSE)</f>
        <v>Yes</v>
      </c>
      <c r="F2004" t="str">
        <f>VLOOKUP(Table2[[#This Row],[Customer ID]],Table2[#All],5,FALSE)</f>
        <v>No</v>
      </c>
      <c r="G2004" t="str">
        <f>VLOOKUP(Table2[[#This Row],[Customer ID]],Table2[#All],6,FALSE)</f>
        <v>No</v>
      </c>
      <c r="H2004">
        <f>VLOOKUP(Table2[[#This Row],[Customer ID]],Table2[#All],7,FALSE)</f>
        <v>0</v>
      </c>
      <c r="I2004" t="str">
        <f>VLOOKUP(Table2[[#This Row],[Customer ID]],Table2[#All],8,FALSE)</f>
        <v>No</v>
      </c>
      <c r="J2004" t="str">
        <f>VLOOKUP(Table2[[#This Row],[Customer ID]],Table2[#All],9,FALSE)</f>
        <v>Normalweight</v>
      </c>
      <c r="K2004" t="str">
        <f>VLOOKUP(Table2[[#This Row],[Customer ID]],Table2[#All],10,FALSE)</f>
        <v>Prediabetes</v>
      </c>
    </row>
    <row r="2005" spans="1:11" ht="15.6" x14ac:dyDescent="0.3">
      <c r="A2005" s="1" t="s">
        <v>364</v>
      </c>
      <c r="B2005" t="str">
        <f>VLOOKUP('Customer Names'!A2005,'Customer Names'!$A$1:$E$2336,4,FALSE)</f>
        <v>Ms.  Caitrin</v>
      </c>
      <c r="C2005">
        <f>VLOOKUP(Table2[[#This Row],[Customer ID]],Table2[#All],2,FALSE)</f>
        <v>33.4</v>
      </c>
      <c r="D2005">
        <f>VLOOKUP(Table2[[#This Row],[Customer ID]],Table2[#All],3,FALSE)</f>
        <v>5.51</v>
      </c>
      <c r="E2005" t="str">
        <f>VLOOKUP(Table2[[#This Row],[Customer ID]],Table2[#All],4,FALSE)</f>
        <v>No</v>
      </c>
      <c r="F2005" t="str">
        <f>VLOOKUP(Table2[[#This Row],[Customer ID]],Table2[#All],5,FALSE)</f>
        <v>No</v>
      </c>
      <c r="G2005" t="str">
        <f>VLOOKUP(Table2[[#This Row],[Customer ID]],Table2[#All],6,FALSE)</f>
        <v>No</v>
      </c>
      <c r="H2005">
        <f>VLOOKUP(Table2[[#This Row],[Customer ID]],Table2[#All],7,FALSE)</f>
        <v>0</v>
      </c>
      <c r="I2005" t="str">
        <f>VLOOKUP(Table2[[#This Row],[Customer ID]],Table2[#All],8,FALSE)</f>
        <v>No</v>
      </c>
      <c r="J2005" t="str">
        <f>VLOOKUP(Table2[[#This Row],[Customer ID]],Table2[#All],9,FALSE)</f>
        <v>Obesity</v>
      </c>
      <c r="K2005" t="str">
        <f>VLOOKUP(Table2[[#This Row],[Customer ID]],Table2[#All],10,FALSE)</f>
        <v>Normal</v>
      </c>
    </row>
    <row r="2006" spans="1:11" ht="15.6" x14ac:dyDescent="0.3">
      <c r="A2006" s="1" t="s">
        <v>363</v>
      </c>
      <c r="B2006" t="str">
        <f>VLOOKUP('Customer Names'!A2006,'Customer Names'!$A$1:$E$2336,4,FALSE)</f>
        <v>Ms.  Adriana S</v>
      </c>
      <c r="C2006">
        <f>VLOOKUP(Table2[[#This Row],[Customer ID]],Table2[#All],2,FALSE)</f>
        <v>33.11</v>
      </c>
      <c r="D2006">
        <f>VLOOKUP(Table2[[#This Row],[Customer ID]],Table2[#All],3,FALSE)</f>
        <v>5.63</v>
      </c>
      <c r="E2006" t="str">
        <f>VLOOKUP(Table2[[#This Row],[Customer ID]],Table2[#All],4,FALSE)</f>
        <v>No</v>
      </c>
      <c r="F2006" t="str">
        <f>VLOOKUP(Table2[[#This Row],[Customer ID]],Table2[#All],5,FALSE)</f>
        <v>No</v>
      </c>
      <c r="G2006" t="str">
        <f>VLOOKUP(Table2[[#This Row],[Customer ID]],Table2[#All],6,FALSE)</f>
        <v>No</v>
      </c>
      <c r="H2006">
        <f>VLOOKUP(Table2[[#This Row],[Customer ID]],Table2[#All],7,FALSE)</f>
        <v>0</v>
      </c>
      <c r="I2006" t="str">
        <f>VLOOKUP(Table2[[#This Row],[Customer ID]],Table2[#All],8,FALSE)</f>
        <v>No</v>
      </c>
      <c r="J2006" t="str">
        <f>VLOOKUP(Table2[[#This Row],[Customer ID]],Table2[#All],9,FALSE)</f>
        <v>Obesity</v>
      </c>
      <c r="K2006" t="str">
        <f>VLOOKUP(Table2[[#This Row],[Customer ID]],Table2[#All],10,FALSE)</f>
        <v>Normal</v>
      </c>
    </row>
    <row r="2007" spans="1:11" ht="15.6" x14ac:dyDescent="0.3">
      <c r="A2007" s="1" t="s">
        <v>362</v>
      </c>
      <c r="B2007" t="str">
        <f>VLOOKUP('Customer Names'!A2007,'Customer Names'!$A$1:$E$2336,4,FALSE)</f>
        <v>Ms.  Megan</v>
      </c>
      <c r="C2007">
        <f>VLOOKUP(Table2[[#This Row],[Customer ID]],Table2[#All],2,FALSE)</f>
        <v>16.815000000000001</v>
      </c>
      <c r="D2007">
        <f>VLOOKUP(Table2[[#This Row],[Customer ID]],Table2[#All],3,FALSE)</f>
        <v>5.29</v>
      </c>
      <c r="E2007" t="str">
        <f>VLOOKUP(Table2[[#This Row],[Customer ID]],Table2[#All],4,FALSE)</f>
        <v>Yes</v>
      </c>
      <c r="F2007" t="str">
        <f>VLOOKUP(Table2[[#This Row],[Customer ID]],Table2[#All],5,FALSE)</f>
        <v>No</v>
      </c>
      <c r="G2007" t="str">
        <f>VLOOKUP(Table2[[#This Row],[Customer ID]],Table2[#All],6,FALSE)</f>
        <v>No</v>
      </c>
      <c r="H2007">
        <f>VLOOKUP(Table2[[#This Row],[Customer ID]],Table2[#All],7,FALSE)</f>
        <v>0</v>
      </c>
      <c r="I2007" t="str">
        <f>VLOOKUP(Table2[[#This Row],[Customer ID]],Table2[#All],8,FALSE)</f>
        <v>No</v>
      </c>
      <c r="J2007" t="str">
        <f>VLOOKUP(Table2[[#This Row],[Customer ID]],Table2[#All],9,FALSE)</f>
        <v>Underweight</v>
      </c>
      <c r="K2007" t="str">
        <f>VLOOKUP(Table2[[#This Row],[Customer ID]],Table2[#All],10,FALSE)</f>
        <v>Normal</v>
      </c>
    </row>
    <row r="2008" spans="1:11" ht="15.6" x14ac:dyDescent="0.3">
      <c r="A2008" s="1" t="s">
        <v>361</v>
      </c>
      <c r="B2008" t="str">
        <f>VLOOKUP('Customer Names'!A2008,'Customer Names'!$A$1:$E$2336,4,FALSE)</f>
        <v>Mrs.  Kristen M</v>
      </c>
      <c r="C2008">
        <f>VLOOKUP(Table2[[#This Row],[Customer ID]],Table2[#All],2,FALSE)</f>
        <v>25.61</v>
      </c>
      <c r="D2008">
        <f>VLOOKUP(Table2[[#This Row],[Customer ID]],Table2[#All],3,FALSE)</f>
        <v>4</v>
      </c>
      <c r="E2008" t="str">
        <f>VLOOKUP(Table2[[#This Row],[Customer ID]],Table2[#All],4,FALSE)</f>
        <v>No</v>
      </c>
      <c r="F2008" t="str">
        <f>VLOOKUP(Table2[[#This Row],[Customer ID]],Table2[#All],5,FALSE)</f>
        <v>No</v>
      </c>
      <c r="G2008" t="str">
        <f>VLOOKUP(Table2[[#This Row],[Customer ID]],Table2[#All],6,FALSE)</f>
        <v>Yes</v>
      </c>
      <c r="H2008">
        <f>VLOOKUP(Table2[[#This Row],[Customer ID]],Table2[#All],7,FALSE)</f>
        <v>1</v>
      </c>
      <c r="I2008" t="str">
        <f>VLOOKUP(Table2[[#This Row],[Customer ID]],Table2[#All],8,FALSE)</f>
        <v>No</v>
      </c>
      <c r="J2008" t="str">
        <f>VLOOKUP(Table2[[#This Row],[Customer ID]],Table2[#All],9,FALSE)</f>
        <v>Overweight</v>
      </c>
      <c r="K2008" t="str">
        <f>VLOOKUP(Table2[[#This Row],[Customer ID]],Table2[#All],10,FALSE)</f>
        <v>Normal</v>
      </c>
    </row>
    <row r="2009" spans="1:11" ht="15.6" x14ac:dyDescent="0.3">
      <c r="A2009" s="1" t="s">
        <v>360</v>
      </c>
      <c r="B2009" t="str">
        <f>VLOOKUP('Customer Names'!A2009,'Customer Names'!$A$1:$E$2336,4,FALSE)</f>
        <v>Ms.  Alix</v>
      </c>
      <c r="C2009">
        <f>VLOOKUP(Table2[[#This Row],[Customer ID]],Table2[#All],2,FALSE)</f>
        <v>25.8</v>
      </c>
      <c r="D2009">
        <f>VLOOKUP(Table2[[#This Row],[Customer ID]],Table2[#All],3,FALSE)</f>
        <v>5.49</v>
      </c>
      <c r="E2009" t="str">
        <f>VLOOKUP(Table2[[#This Row],[Customer ID]],Table2[#All],4,FALSE)</f>
        <v>No</v>
      </c>
      <c r="F2009" t="str">
        <f>VLOOKUP(Table2[[#This Row],[Customer ID]],Table2[#All],5,FALSE)</f>
        <v>No</v>
      </c>
      <c r="G2009" t="str">
        <f>VLOOKUP(Table2[[#This Row],[Customer ID]],Table2[#All],6,FALSE)</f>
        <v>No</v>
      </c>
      <c r="H2009">
        <f>VLOOKUP(Table2[[#This Row],[Customer ID]],Table2[#All],7,FALSE)</f>
        <v>0</v>
      </c>
      <c r="I2009" t="str">
        <f>VLOOKUP(Table2[[#This Row],[Customer ID]],Table2[#All],8,FALSE)</f>
        <v>No</v>
      </c>
      <c r="J2009" t="str">
        <f>VLOOKUP(Table2[[#This Row],[Customer ID]],Table2[#All],9,FALSE)</f>
        <v>Overweight</v>
      </c>
      <c r="K2009" t="str">
        <f>VLOOKUP(Table2[[#This Row],[Customer ID]],Table2[#All],10,FALSE)</f>
        <v>Normal</v>
      </c>
    </row>
    <row r="2010" spans="1:11" ht="15.6" x14ac:dyDescent="0.3">
      <c r="A2010" s="1" t="s">
        <v>359</v>
      </c>
      <c r="B2010" t="str">
        <f>VLOOKUP('Customer Names'!A2010,'Customer Names'!$A$1:$E$2336,4,FALSE)</f>
        <v>Mr.  Kakushin</v>
      </c>
      <c r="C2010">
        <f>VLOOKUP(Table2[[#This Row],[Customer ID]],Table2[#All],2,FALSE)</f>
        <v>27.39</v>
      </c>
      <c r="D2010">
        <f>VLOOKUP(Table2[[#This Row],[Customer ID]],Table2[#All],3,FALSE)</f>
        <v>5.34</v>
      </c>
      <c r="E2010" t="str">
        <f>VLOOKUP(Table2[[#This Row],[Customer ID]],Table2[#All],4,FALSE)</f>
        <v>No</v>
      </c>
      <c r="F2010" t="str">
        <f>VLOOKUP(Table2[[#This Row],[Customer ID]],Table2[#All],5,FALSE)</f>
        <v>No</v>
      </c>
      <c r="G2010" t="str">
        <f>VLOOKUP(Table2[[#This Row],[Customer ID]],Table2[#All],6,FALSE)</f>
        <v>No</v>
      </c>
      <c r="H2010">
        <f>VLOOKUP(Table2[[#This Row],[Customer ID]],Table2[#All],7,FALSE)</f>
        <v>0</v>
      </c>
      <c r="I2010" t="str">
        <f>VLOOKUP(Table2[[#This Row],[Customer ID]],Table2[#All],8,FALSE)</f>
        <v>No</v>
      </c>
      <c r="J2010" t="str">
        <f>VLOOKUP(Table2[[#This Row],[Customer ID]],Table2[#All],9,FALSE)</f>
        <v>Overweight</v>
      </c>
      <c r="K2010" t="str">
        <f>VLOOKUP(Table2[[#This Row],[Customer ID]],Table2[#All],10,FALSE)</f>
        <v>Normal</v>
      </c>
    </row>
    <row r="2011" spans="1:11" ht="15.6" x14ac:dyDescent="0.3">
      <c r="A2011" s="1" t="s">
        <v>358</v>
      </c>
      <c r="B2011" t="str">
        <f>VLOOKUP('Customer Names'!A2011,'Customer Names'!$A$1:$E$2336,4,FALSE)</f>
        <v>Mr.  Michael J</v>
      </c>
      <c r="C2011">
        <f>VLOOKUP(Table2[[#This Row],[Customer ID]],Table2[#All],2,FALSE)</f>
        <v>17.03</v>
      </c>
      <c r="D2011">
        <f>VLOOKUP(Table2[[#This Row],[Customer ID]],Table2[#All],3,FALSE)</f>
        <v>4.12</v>
      </c>
      <c r="E2011" t="str">
        <f>VLOOKUP(Table2[[#This Row],[Customer ID]],Table2[#All],4,FALSE)</f>
        <v>No</v>
      </c>
      <c r="F2011" t="str">
        <f>VLOOKUP(Table2[[#This Row],[Customer ID]],Table2[#All],5,FALSE)</f>
        <v>No</v>
      </c>
      <c r="G2011" t="str">
        <f>VLOOKUP(Table2[[#This Row],[Customer ID]],Table2[#All],6,FALSE)</f>
        <v>No</v>
      </c>
      <c r="H2011">
        <f>VLOOKUP(Table2[[#This Row],[Customer ID]],Table2[#All],7,FALSE)</f>
        <v>1</v>
      </c>
      <c r="I2011" t="str">
        <f>VLOOKUP(Table2[[#This Row],[Customer ID]],Table2[#All],8,FALSE)</f>
        <v>No</v>
      </c>
      <c r="J2011" t="str">
        <f>VLOOKUP(Table2[[#This Row],[Customer ID]],Table2[#All],9,FALSE)</f>
        <v>Underweight</v>
      </c>
      <c r="K2011" t="str">
        <f>VLOOKUP(Table2[[#This Row],[Customer ID]],Table2[#All],10,FALSE)</f>
        <v>Normal</v>
      </c>
    </row>
    <row r="2012" spans="1:11" ht="15.6" x14ac:dyDescent="0.3">
      <c r="A2012" s="1" t="s">
        <v>357</v>
      </c>
      <c r="B2012" t="str">
        <f>VLOOKUP('Customer Names'!A2012,'Customer Names'!$A$1:$E$2336,4,FALSE)</f>
        <v>Mr.  Bradley</v>
      </c>
      <c r="C2012">
        <f>VLOOKUP(Table2[[#This Row],[Customer ID]],Table2[#All],2,FALSE)</f>
        <v>23.75</v>
      </c>
      <c r="D2012">
        <f>VLOOKUP(Table2[[#This Row],[Customer ID]],Table2[#All],3,FALSE)</f>
        <v>5.49</v>
      </c>
      <c r="E2012" t="str">
        <f>VLOOKUP(Table2[[#This Row],[Customer ID]],Table2[#All],4,FALSE)</f>
        <v>Yes</v>
      </c>
      <c r="F2012" t="str">
        <f>VLOOKUP(Table2[[#This Row],[Customer ID]],Table2[#All],5,FALSE)</f>
        <v>No</v>
      </c>
      <c r="G2012" t="str">
        <f>VLOOKUP(Table2[[#This Row],[Customer ID]],Table2[#All],6,FALSE)</f>
        <v>No</v>
      </c>
      <c r="H2012">
        <f>VLOOKUP(Table2[[#This Row],[Customer ID]],Table2[#All],7,FALSE)</f>
        <v>0</v>
      </c>
      <c r="I2012" t="str">
        <f>VLOOKUP(Table2[[#This Row],[Customer ID]],Table2[#All],8,FALSE)</f>
        <v>No</v>
      </c>
      <c r="J2012" t="str">
        <f>VLOOKUP(Table2[[#This Row],[Customer ID]],Table2[#All],9,FALSE)</f>
        <v>Normalweight</v>
      </c>
      <c r="K2012" t="str">
        <f>VLOOKUP(Table2[[#This Row],[Customer ID]],Table2[#All],10,FALSE)</f>
        <v>Normal</v>
      </c>
    </row>
    <row r="2013" spans="1:11" ht="15.6" x14ac:dyDescent="0.3">
      <c r="A2013" s="1" t="s">
        <v>355</v>
      </c>
      <c r="B2013" t="str">
        <f>VLOOKUP('Customer Names'!A2013,'Customer Names'!$A$1:$E$2336,4,FALSE)</f>
        <v>Mr.  Matt</v>
      </c>
      <c r="C2013">
        <f>VLOOKUP(Table2[[#This Row],[Customer ID]],Table2[#All],2,FALSE)</f>
        <v>26.03</v>
      </c>
      <c r="D2013">
        <f>VLOOKUP(Table2[[#This Row],[Customer ID]],Table2[#All],3,FALSE)</f>
        <v>5.1100000000000003</v>
      </c>
      <c r="E2013" t="str">
        <f>VLOOKUP(Table2[[#This Row],[Customer ID]],Table2[#All],4,FALSE)</f>
        <v>Yes</v>
      </c>
      <c r="F2013" t="str">
        <f>VLOOKUP(Table2[[#This Row],[Customer ID]],Table2[#All],5,FALSE)</f>
        <v>No</v>
      </c>
      <c r="G2013" t="str">
        <f>VLOOKUP(Table2[[#This Row],[Customer ID]],Table2[#All],6,FALSE)</f>
        <v>No</v>
      </c>
      <c r="H2013">
        <f>VLOOKUP(Table2[[#This Row],[Customer ID]],Table2[#All],7,FALSE)</f>
        <v>1</v>
      </c>
      <c r="I2013" t="str">
        <f>VLOOKUP(Table2[[#This Row],[Customer ID]],Table2[#All],8,FALSE)</f>
        <v>No</v>
      </c>
      <c r="J2013" t="str">
        <f>VLOOKUP(Table2[[#This Row],[Customer ID]],Table2[#All],9,FALSE)</f>
        <v>Overweight</v>
      </c>
      <c r="K2013" t="str">
        <f>VLOOKUP(Table2[[#This Row],[Customer ID]],Table2[#All],10,FALSE)</f>
        <v>Normal</v>
      </c>
    </row>
    <row r="2014" spans="1:11" ht="15.6" x14ac:dyDescent="0.3">
      <c r="A2014" s="1" t="s">
        <v>354</v>
      </c>
      <c r="B2014" t="str">
        <f>VLOOKUP('Customer Names'!A2014,'Customer Names'!$A$1:$E$2336,4,FALSE)</f>
        <v>Ms.  Amanda C.</v>
      </c>
      <c r="C2014">
        <f>VLOOKUP(Table2[[#This Row],[Customer ID]],Table2[#All],2,FALSE)</f>
        <v>16.079999999999998</v>
      </c>
      <c r="D2014">
        <f>VLOOKUP(Table2[[#This Row],[Customer ID]],Table2[#All],3,FALSE)</f>
        <v>5.94</v>
      </c>
      <c r="E2014" t="str">
        <f>VLOOKUP(Table2[[#This Row],[Customer ID]],Table2[#All],4,FALSE)</f>
        <v>No</v>
      </c>
      <c r="F2014" t="str">
        <f>VLOOKUP(Table2[[#This Row],[Customer ID]],Table2[#All],5,FALSE)</f>
        <v>No</v>
      </c>
      <c r="G2014" t="str">
        <f>VLOOKUP(Table2[[#This Row],[Customer ID]],Table2[#All],6,FALSE)</f>
        <v>No</v>
      </c>
      <c r="H2014">
        <f>VLOOKUP(Table2[[#This Row],[Customer ID]],Table2[#All],7,FALSE)</f>
        <v>0</v>
      </c>
      <c r="I2014" t="str">
        <f>VLOOKUP(Table2[[#This Row],[Customer ID]],Table2[#All],8,FALSE)</f>
        <v>No</v>
      </c>
      <c r="J2014" t="str">
        <f>VLOOKUP(Table2[[#This Row],[Customer ID]],Table2[#All],9,FALSE)</f>
        <v>Underweight</v>
      </c>
      <c r="K2014" t="str">
        <f>VLOOKUP(Table2[[#This Row],[Customer ID]],Table2[#All],10,FALSE)</f>
        <v>Prediabetes</v>
      </c>
    </row>
    <row r="2015" spans="1:11" ht="15.6" x14ac:dyDescent="0.3">
      <c r="A2015" s="1" t="s">
        <v>353</v>
      </c>
      <c r="B2015" t="str">
        <f>VLOOKUP('Customer Names'!A2015,'Customer Names'!$A$1:$E$2336,4,FALSE)</f>
        <v>Mr.  Valur</v>
      </c>
      <c r="C2015">
        <f>VLOOKUP(Table2[[#This Row],[Customer ID]],Table2[#All],2,FALSE)</f>
        <v>30.875</v>
      </c>
      <c r="D2015">
        <f>VLOOKUP(Table2[[#This Row],[Customer ID]],Table2[#All],3,FALSE)</f>
        <v>5.54</v>
      </c>
      <c r="E2015" t="str">
        <f>VLOOKUP(Table2[[#This Row],[Customer ID]],Table2[#All],4,FALSE)</f>
        <v>No</v>
      </c>
      <c r="F2015" t="str">
        <f>VLOOKUP(Table2[[#This Row],[Customer ID]],Table2[#All],5,FALSE)</f>
        <v>No</v>
      </c>
      <c r="G2015" t="str">
        <f>VLOOKUP(Table2[[#This Row],[Customer ID]],Table2[#All],6,FALSE)</f>
        <v>No</v>
      </c>
      <c r="H2015">
        <f>VLOOKUP(Table2[[#This Row],[Customer ID]],Table2[#All],7,FALSE)</f>
        <v>0</v>
      </c>
      <c r="I2015" t="str">
        <f>VLOOKUP(Table2[[#This Row],[Customer ID]],Table2[#All],8,FALSE)</f>
        <v>No</v>
      </c>
      <c r="J2015" t="str">
        <f>VLOOKUP(Table2[[#This Row],[Customer ID]],Table2[#All],9,FALSE)</f>
        <v>Obesity</v>
      </c>
      <c r="K2015" t="str">
        <f>VLOOKUP(Table2[[#This Row],[Customer ID]],Table2[#All],10,FALSE)</f>
        <v>Normal</v>
      </c>
    </row>
    <row r="2016" spans="1:11" ht="15.6" x14ac:dyDescent="0.3">
      <c r="A2016" s="1" t="s">
        <v>352</v>
      </c>
      <c r="B2016" t="str">
        <f>VLOOKUP('Customer Names'!A2016,'Customer Names'!$A$1:$E$2336,4,FALSE)</f>
        <v>Ms.  Erica J</v>
      </c>
      <c r="C2016">
        <f>VLOOKUP(Table2[[#This Row],[Customer ID]],Table2[#All],2,FALSE)</f>
        <v>31.79</v>
      </c>
      <c r="D2016">
        <f>VLOOKUP(Table2[[#This Row],[Customer ID]],Table2[#All],3,FALSE)</f>
        <v>7.09</v>
      </c>
      <c r="E2016" t="str">
        <f>VLOOKUP(Table2[[#This Row],[Customer ID]],Table2[#All],4,FALSE)</f>
        <v>No</v>
      </c>
      <c r="F2016" t="str">
        <f>VLOOKUP(Table2[[#This Row],[Customer ID]],Table2[#All],5,FALSE)</f>
        <v>No</v>
      </c>
      <c r="G2016" t="str">
        <f>VLOOKUP(Table2[[#This Row],[Customer ID]],Table2[#All],6,FALSE)</f>
        <v>No</v>
      </c>
      <c r="H2016">
        <f>VLOOKUP(Table2[[#This Row],[Customer ID]],Table2[#All],7,FALSE)</f>
        <v>0</v>
      </c>
      <c r="I2016" t="str">
        <f>VLOOKUP(Table2[[#This Row],[Customer ID]],Table2[#All],8,FALSE)</f>
        <v>No</v>
      </c>
      <c r="J2016" t="str">
        <f>VLOOKUP(Table2[[#This Row],[Customer ID]],Table2[#All],9,FALSE)</f>
        <v>Obesity</v>
      </c>
      <c r="K2016" t="str">
        <f>VLOOKUP(Table2[[#This Row],[Customer ID]],Table2[#All],10,FALSE)</f>
        <v>Diabetes</v>
      </c>
    </row>
    <row r="2017" spans="1:11" ht="15.6" x14ac:dyDescent="0.3">
      <c r="A2017" s="1" t="s">
        <v>351</v>
      </c>
      <c r="B2017" t="str">
        <f>VLOOKUP('Customer Names'!A2017,'Customer Names'!$A$1:$E$2336,4,FALSE)</f>
        <v>Mr.  Stephen F.</v>
      </c>
      <c r="C2017">
        <f>VLOOKUP(Table2[[#This Row],[Customer ID]],Table2[#All],2,FALSE)</f>
        <v>28.48</v>
      </c>
      <c r="D2017">
        <f>VLOOKUP(Table2[[#This Row],[Customer ID]],Table2[#All],3,FALSE)</f>
        <v>6.22</v>
      </c>
      <c r="E2017" t="str">
        <f>VLOOKUP(Table2[[#This Row],[Customer ID]],Table2[#All],4,FALSE)</f>
        <v>Yes</v>
      </c>
      <c r="F2017" t="str">
        <f>VLOOKUP(Table2[[#This Row],[Customer ID]],Table2[#All],5,FALSE)</f>
        <v>No</v>
      </c>
      <c r="G2017" t="str">
        <f>VLOOKUP(Table2[[#This Row],[Customer ID]],Table2[#All],6,FALSE)</f>
        <v>Yes</v>
      </c>
      <c r="H2017">
        <f>VLOOKUP(Table2[[#This Row],[Customer ID]],Table2[#All],7,FALSE)</f>
        <v>1</v>
      </c>
      <c r="I2017" t="str">
        <f>VLOOKUP(Table2[[#This Row],[Customer ID]],Table2[#All],8,FALSE)</f>
        <v>No</v>
      </c>
      <c r="J2017" t="str">
        <f>VLOOKUP(Table2[[#This Row],[Customer ID]],Table2[#All],9,FALSE)</f>
        <v>Overweight</v>
      </c>
      <c r="K2017" t="str">
        <f>VLOOKUP(Table2[[#This Row],[Customer ID]],Table2[#All],10,FALSE)</f>
        <v>Prediabetes</v>
      </c>
    </row>
    <row r="2018" spans="1:11" ht="15.6" x14ac:dyDescent="0.3">
      <c r="A2018" s="1" t="s">
        <v>350</v>
      </c>
      <c r="B2018" t="str">
        <f>VLOOKUP('Customer Names'!A2018,'Customer Names'!$A$1:$E$2336,4,FALSE)</f>
        <v>Ms.  Lissa</v>
      </c>
      <c r="C2018">
        <f>VLOOKUP(Table2[[#This Row],[Customer ID]],Table2[#All],2,FALSE)</f>
        <v>26.6</v>
      </c>
      <c r="D2018">
        <f>VLOOKUP(Table2[[#This Row],[Customer ID]],Table2[#All],3,FALSE)</f>
        <v>4.33</v>
      </c>
      <c r="E2018" t="str">
        <f>VLOOKUP(Table2[[#This Row],[Customer ID]],Table2[#All],4,FALSE)</f>
        <v>No</v>
      </c>
      <c r="F2018" t="str">
        <f>VLOOKUP(Table2[[#This Row],[Customer ID]],Table2[#All],5,FALSE)</f>
        <v>No</v>
      </c>
      <c r="G2018" t="str">
        <f>VLOOKUP(Table2[[#This Row],[Customer ID]],Table2[#All],6,FALSE)</f>
        <v>No</v>
      </c>
      <c r="H2018">
        <f>VLOOKUP(Table2[[#This Row],[Customer ID]],Table2[#All],7,FALSE)</f>
        <v>1</v>
      </c>
      <c r="I2018" t="str">
        <f>VLOOKUP(Table2[[#This Row],[Customer ID]],Table2[#All],8,FALSE)</f>
        <v>No</v>
      </c>
      <c r="J2018" t="str">
        <f>VLOOKUP(Table2[[#This Row],[Customer ID]],Table2[#All],9,FALSE)</f>
        <v>Overweight</v>
      </c>
      <c r="K2018" t="str">
        <f>VLOOKUP(Table2[[#This Row],[Customer ID]],Table2[#All],10,FALSE)</f>
        <v>Normal</v>
      </c>
    </row>
    <row r="2019" spans="1:11" ht="15.6" x14ac:dyDescent="0.3">
      <c r="A2019" s="1" t="s">
        <v>349</v>
      </c>
      <c r="B2019" t="str">
        <f>VLOOKUP('Customer Names'!A2019,'Customer Names'!$A$1:$E$2336,4,FALSE)</f>
        <v>Ms.  Megan</v>
      </c>
      <c r="C2019">
        <f>VLOOKUP(Table2[[#This Row],[Customer ID]],Table2[#All],2,FALSE)</f>
        <v>25.27</v>
      </c>
      <c r="D2019">
        <f>VLOOKUP(Table2[[#This Row],[Customer ID]],Table2[#All],3,FALSE)</f>
        <v>5.83</v>
      </c>
      <c r="E2019" t="str">
        <f>VLOOKUP(Table2[[#This Row],[Customer ID]],Table2[#All],4,FALSE)</f>
        <v>No</v>
      </c>
      <c r="F2019" t="str">
        <f>VLOOKUP(Table2[[#This Row],[Customer ID]],Table2[#All],5,FALSE)</f>
        <v>No</v>
      </c>
      <c r="G2019" t="str">
        <f>VLOOKUP(Table2[[#This Row],[Customer ID]],Table2[#All],6,FALSE)</f>
        <v>No</v>
      </c>
      <c r="H2019">
        <f>VLOOKUP(Table2[[#This Row],[Customer ID]],Table2[#All],7,FALSE)</f>
        <v>1</v>
      </c>
      <c r="I2019" t="str">
        <f>VLOOKUP(Table2[[#This Row],[Customer ID]],Table2[#All],8,FALSE)</f>
        <v>No</v>
      </c>
      <c r="J2019" t="str">
        <f>VLOOKUP(Table2[[#This Row],[Customer ID]],Table2[#All],9,FALSE)</f>
        <v>Overweight</v>
      </c>
      <c r="K2019" t="str">
        <f>VLOOKUP(Table2[[#This Row],[Customer ID]],Table2[#All],10,FALSE)</f>
        <v>Prediabetes</v>
      </c>
    </row>
    <row r="2020" spans="1:11" ht="15.6" x14ac:dyDescent="0.3">
      <c r="A2020" s="1" t="s">
        <v>348</v>
      </c>
      <c r="B2020" t="str">
        <f>VLOOKUP('Customer Names'!A2020,'Customer Names'!$A$1:$E$2336,4,FALSE)</f>
        <v>Ms.  Alyson</v>
      </c>
      <c r="C2020">
        <f>VLOOKUP(Table2[[#This Row],[Customer ID]],Table2[#All],2,FALSE)</f>
        <v>34.484999999999999</v>
      </c>
      <c r="D2020">
        <f>VLOOKUP(Table2[[#This Row],[Customer ID]],Table2[#All],3,FALSE)</f>
        <v>4.7</v>
      </c>
      <c r="E2020" t="str">
        <f>VLOOKUP(Table2[[#This Row],[Customer ID]],Table2[#All],4,FALSE)</f>
        <v>Yes</v>
      </c>
      <c r="F2020" t="str">
        <f>VLOOKUP(Table2[[#This Row],[Customer ID]],Table2[#All],5,FALSE)</f>
        <v>No</v>
      </c>
      <c r="G2020" t="str">
        <f>VLOOKUP(Table2[[#This Row],[Customer ID]],Table2[#All],6,FALSE)</f>
        <v>Yes</v>
      </c>
      <c r="H2020">
        <f>VLOOKUP(Table2[[#This Row],[Customer ID]],Table2[#All],7,FALSE)</f>
        <v>1</v>
      </c>
      <c r="I2020" t="str">
        <f>VLOOKUP(Table2[[#This Row],[Customer ID]],Table2[#All],8,FALSE)</f>
        <v>No</v>
      </c>
      <c r="J2020" t="str">
        <f>VLOOKUP(Table2[[#This Row],[Customer ID]],Table2[#All],9,FALSE)</f>
        <v>Obesity</v>
      </c>
      <c r="K2020" t="str">
        <f>VLOOKUP(Table2[[#This Row],[Customer ID]],Table2[#All],10,FALSE)</f>
        <v>Normal</v>
      </c>
    </row>
    <row r="2021" spans="1:11" ht="15.6" x14ac:dyDescent="0.3">
      <c r="A2021" s="1" t="s">
        <v>347</v>
      </c>
      <c r="B2021" t="str">
        <f>VLOOKUP('Customer Names'!A2021,'Customer Names'!$A$1:$E$2336,4,FALSE)</f>
        <v>Mr.  Chance B</v>
      </c>
      <c r="C2021">
        <f>VLOOKUP(Table2[[#This Row],[Customer ID]],Table2[#All],2,FALSE)</f>
        <v>15.57</v>
      </c>
      <c r="D2021">
        <f>VLOOKUP(Table2[[#This Row],[Customer ID]],Table2[#All],3,FALSE)</f>
        <v>4.07</v>
      </c>
      <c r="E2021" t="str">
        <f>VLOOKUP(Table2[[#This Row],[Customer ID]],Table2[#All],4,FALSE)</f>
        <v>Yes</v>
      </c>
      <c r="F2021" t="str">
        <f>VLOOKUP(Table2[[#This Row],[Customer ID]],Table2[#All],5,FALSE)</f>
        <v>No</v>
      </c>
      <c r="G2021" t="str">
        <f>VLOOKUP(Table2[[#This Row],[Customer ID]],Table2[#All],6,FALSE)</f>
        <v>No</v>
      </c>
      <c r="H2021">
        <f>VLOOKUP(Table2[[#This Row],[Customer ID]],Table2[#All],7,FALSE)</f>
        <v>1</v>
      </c>
      <c r="I2021" t="str">
        <f>VLOOKUP(Table2[[#This Row],[Customer ID]],Table2[#All],8,FALSE)</f>
        <v>No</v>
      </c>
      <c r="J2021" t="str">
        <f>VLOOKUP(Table2[[#This Row],[Customer ID]],Table2[#All],9,FALSE)</f>
        <v>Underweight</v>
      </c>
      <c r="K2021" t="str">
        <f>VLOOKUP(Table2[[#This Row],[Customer ID]],Table2[#All],10,FALSE)</f>
        <v>Normal</v>
      </c>
    </row>
    <row r="2022" spans="1:11" ht="15.6" x14ac:dyDescent="0.3">
      <c r="A2022" s="1" t="s">
        <v>346</v>
      </c>
      <c r="B2022" t="str">
        <f>VLOOKUP('Customer Names'!A2022,'Customer Names'!$A$1:$E$2336,4,FALSE)</f>
        <v>Mr.  Sean P</v>
      </c>
      <c r="C2022">
        <f>VLOOKUP(Table2[[#This Row],[Customer ID]],Table2[#All],2,FALSE)</f>
        <v>30.36</v>
      </c>
      <c r="D2022">
        <f>VLOOKUP(Table2[[#This Row],[Customer ID]],Table2[#All],3,FALSE)</f>
        <v>9.39</v>
      </c>
      <c r="E2022" t="str">
        <f>VLOOKUP(Table2[[#This Row],[Customer ID]],Table2[#All],4,FALSE)</f>
        <v>No</v>
      </c>
      <c r="F2022" t="str">
        <f>VLOOKUP(Table2[[#This Row],[Customer ID]],Table2[#All],5,FALSE)</f>
        <v>No</v>
      </c>
      <c r="G2022" t="str">
        <f>VLOOKUP(Table2[[#This Row],[Customer ID]],Table2[#All],6,FALSE)</f>
        <v>No</v>
      </c>
      <c r="H2022">
        <f>VLOOKUP(Table2[[#This Row],[Customer ID]],Table2[#All],7,FALSE)</f>
        <v>0</v>
      </c>
      <c r="I2022" t="str">
        <f>VLOOKUP(Table2[[#This Row],[Customer ID]],Table2[#All],8,FALSE)</f>
        <v>No</v>
      </c>
      <c r="J2022" t="str">
        <f>VLOOKUP(Table2[[#This Row],[Customer ID]],Table2[#All],9,FALSE)</f>
        <v>Obesity</v>
      </c>
      <c r="K2022" t="str">
        <f>VLOOKUP(Table2[[#This Row],[Customer ID]],Table2[#All],10,FALSE)</f>
        <v>Diabetes</v>
      </c>
    </row>
    <row r="2023" spans="1:11" ht="15.6" x14ac:dyDescent="0.3">
      <c r="A2023" s="1" t="s">
        <v>345</v>
      </c>
      <c r="B2023" t="str">
        <f>VLOOKUP('Customer Names'!A2023,'Customer Names'!$A$1:$E$2336,4,FALSE)</f>
        <v>Ms.  Therese</v>
      </c>
      <c r="C2023">
        <f>VLOOKUP(Table2[[#This Row],[Customer ID]],Table2[#All],2,FALSE)</f>
        <v>19.37</v>
      </c>
      <c r="D2023">
        <f>VLOOKUP(Table2[[#This Row],[Customer ID]],Table2[#All],3,FALSE)</f>
        <v>4.18</v>
      </c>
      <c r="E2023" t="str">
        <f>VLOOKUP(Table2[[#This Row],[Customer ID]],Table2[#All],4,FALSE)</f>
        <v>No</v>
      </c>
      <c r="F2023" t="str">
        <f>VLOOKUP(Table2[[#This Row],[Customer ID]],Table2[#All],5,FALSE)</f>
        <v>No</v>
      </c>
      <c r="G2023" t="str">
        <f>VLOOKUP(Table2[[#This Row],[Customer ID]],Table2[#All],6,FALSE)</f>
        <v>No</v>
      </c>
      <c r="H2023">
        <f>VLOOKUP(Table2[[#This Row],[Customer ID]],Table2[#All],7,FALSE)</f>
        <v>0</v>
      </c>
      <c r="I2023" t="str">
        <f>VLOOKUP(Table2[[#This Row],[Customer ID]],Table2[#All],8,FALSE)</f>
        <v>No</v>
      </c>
      <c r="J2023" t="str">
        <f>VLOOKUP(Table2[[#This Row],[Customer ID]],Table2[#All],9,FALSE)</f>
        <v>Normalweight</v>
      </c>
      <c r="K2023" t="str">
        <f>VLOOKUP(Table2[[#This Row],[Customer ID]],Table2[#All],10,FALSE)</f>
        <v>Normal</v>
      </c>
    </row>
    <row r="2024" spans="1:11" ht="15.6" x14ac:dyDescent="0.3">
      <c r="A2024" s="1" t="s">
        <v>344</v>
      </c>
      <c r="B2024" t="str">
        <f>VLOOKUP('Customer Names'!A2024,'Customer Names'!$A$1:$E$2336,4,FALSE)</f>
        <v>Mr.  Beau</v>
      </c>
      <c r="C2024">
        <f>VLOOKUP(Table2[[#This Row],[Customer ID]],Table2[#All],2,FALSE)</f>
        <v>16.71</v>
      </c>
      <c r="D2024">
        <f>VLOOKUP(Table2[[#This Row],[Customer ID]],Table2[#All],3,FALSE)</f>
        <v>4.18</v>
      </c>
      <c r="E2024" t="str">
        <f>VLOOKUP(Table2[[#This Row],[Customer ID]],Table2[#All],4,FALSE)</f>
        <v>No</v>
      </c>
      <c r="F2024" t="str">
        <f>VLOOKUP(Table2[[#This Row],[Customer ID]],Table2[#All],5,FALSE)</f>
        <v>No</v>
      </c>
      <c r="G2024" t="str">
        <f>VLOOKUP(Table2[[#This Row],[Customer ID]],Table2[#All],6,FALSE)</f>
        <v>No</v>
      </c>
      <c r="H2024">
        <f>VLOOKUP(Table2[[#This Row],[Customer ID]],Table2[#All],7,FALSE)</f>
        <v>1</v>
      </c>
      <c r="I2024" t="str">
        <f>VLOOKUP(Table2[[#This Row],[Customer ID]],Table2[#All],8,FALSE)</f>
        <v>No</v>
      </c>
      <c r="J2024" t="str">
        <f>VLOOKUP(Table2[[#This Row],[Customer ID]],Table2[#All],9,FALSE)</f>
        <v>Underweight</v>
      </c>
      <c r="K2024" t="str">
        <f>VLOOKUP(Table2[[#This Row],[Customer ID]],Table2[#All],10,FALSE)</f>
        <v>Normal</v>
      </c>
    </row>
    <row r="2025" spans="1:11" ht="15.6" x14ac:dyDescent="0.3">
      <c r="A2025" s="1" t="s">
        <v>343</v>
      </c>
      <c r="B2025" t="str">
        <f>VLOOKUP('Customer Names'!A2025,'Customer Names'!$A$1:$E$2336,4,FALSE)</f>
        <v>Ms.  Kelsey M</v>
      </c>
      <c r="C2025">
        <f>VLOOKUP(Table2[[#This Row],[Customer ID]],Table2[#All],2,FALSE)</f>
        <v>24.1</v>
      </c>
      <c r="D2025">
        <f>VLOOKUP(Table2[[#This Row],[Customer ID]],Table2[#All],3,FALSE)</f>
        <v>4.4000000000000004</v>
      </c>
      <c r="E2025" t="str">
        <f>VLOOKUP(Table2[[#This Row],[Customer ID]],Table2[#All],4,FALSE)</f>
        <v>Yes</v>
      </c>
      <c r="F2025" t="str">
        <f>VLOOKUP(Table2[[#This Row],[Customer ID]],Table2[#All],5,FALSE)</f>
        <v>No</v>
      </c>
      <c r="G2025" t="str">
        <f>VLOOKUP(Table2[[#This Row],[Customer ID]],Table2[#All],6,FALSE)</f>
        <v>No</v>
      </c>
      <c r="H2025">
        <f>VLOOKUP(Table2[[#This Row],[Customer ID]],Table2[#All],7,FALSE)</f>
        <v>1</v>
      </c>
      <c r="I2025" t="str">
        <f>VLOOKUP(Table2[[#This Row],[Customer ID]],Table2[#All],8,FALSE)</f>
        <v>No</v>
      </c>
      <c r="J2025" t="str">
        <f>VLOOKUP(Table2[[#This Row],[Customer ID]],Table2[#All],9,FALSE)</f>
        <v>Normalweight</v>
      </c>
      <c r="K2025" t="str">
        <f>VLOOKUP(Table2[[#This Row],[Customer ID]],Table2[#All],10,FALSE)</f>
        <v>Normal</v>
      </c>
    </row>
    <row r="2026" spans="1:11" ht="15.6" x14ac:dyDescent="0.3">
      <c r="A2026" s="1" t="s">
        <v>342</v>
      </c>
      <c r="B2026" t="str">
        <f>VLOOKUP('Customer Names'!A2026,'Customer Names'!$A$1:$E$2336,4,FALSE)</f>
        <v>Ms.  Gretchen</v>
      </c>
      <c r="C2026">
        <f>VLOOKUP(Table2[[#This Row],[Customer ID]],Table2[#All],2,FALSE)</f>
        <v>29.77</v>
      </c>
      <c r="D2026">
        <f>VLOOKUP(Table2[[#This Row],[Customer ID]],Table2[#All],3,FALSE)</f>
        <v>9.9</v>
      </c>
      <c r="E2026" t="str">
        <f>VLOOKUP(Table2[[#This Row],[Customer ID]],Table2[#All],4,FALSE)</f>
        <v>No</v>
      </c>
      <c r="F2026" t="str">
        <f>VLOOKUP(Table2[[#This Row],[Customer ID]],Table2[#All],5,FALSE)</f>
        <v>No</v>
      </c>
      <c r="G2026" t="str">
        <f>VLOOKUP(Table2[[#This Row],[Customer ID]],Table2[#All],6,FALSE)</f>
        <v>No</v>
      </c>
      <c r="H2026">
        <f>VLOOKUP(Table2[[#This Row],[Customer ID]],Table2[#All],7,FALSE)</f>
        <v>0</v>
      </c>
      <c r="I2026" t="str">
        <f>VLOOKUP(Table2[[#This Row],[Customer ID]],Table2[#All],8,FALSE)</f>
        <v>No</v>
      </c>
      <c r="J2026" t="str">
        <f>VLOOKUP(Table2[[#This Row],[Customer ID]],Table2[#All],9,FALSE)</f>
        <v>Overweight</v>
      </c>
      <c r="K2026" t="str">
        <f>VLOOKUP(Table2[[#This Row],[Customer ID]],Table2[#All],10,FALSE)</f>
        <v>Diabetes</v>
      </c>
    </row>
    <row r="2027" spans="1:11" ht="15.6" x14ac:dyDescent="0.3">
      <c r="A2027" s="1" t="s">
        <v>341</v>
      </c>
      <c r="B2027" t="str">
        <f>VLOOKUP('Customer Names'!A2027,'Customer Names'!$A$1:$E$2336,4,FALSE)</f>
        <v>Mr.  Nicholas E.</v>
      </c>
      <c r="C2027">
        <f>VLOOKUP(Table2[[#This Row],[Customer ID]],Table2[#All],2,FALSE)</f>
        <v>46.53</v>
      </c>
      <c r="D2027">
        <f>VLOOKUP(Table2[[#This Row],[Customer ID]],Table2[#All],3,FALSE)</f>
        <v>4.84</v>
      </c>
      <c r="E2027" t="str">
        <f>VLOOKUP(Table2[[#This Row],[Customer ID]],Table2[#All],4,FALSE)</f>
        <v>Yes</v>
      </c>
      <c r="F2027" t="str">
        <f>VLOOKUP(Table2[[#This Row],[Customer ID]],Table2[#All],5,FALSE)</f>
        <v>No</v>
      </c>
      <c r="G2027" t="str">
        <f>VLOOKUP(Table2[[#This Row],[Customer ID]],Table2[#All],6,FALSE)</f>
        <v>No</v>
      </c>
      <c r="H2027">
        <f>VLOOKUP(Table2[[#This Row],[Customer ID]],Table2[#All],7,FALSE)</f>
        <v>0</v>
      </c>
      <c r="I2027" t="str">
        <f>VLOOKUP(Table2[[#This Row],[Customer ID]],Table2[#All],8,FALSE)</f>
        <v>No</v>
      </c>
      <c r="J2027" t="str">
        <f>VLOOKUP(Table2[[#This Row],[Customer ID]],Table2[#All],9,FALSE)</f>
        <v>Obesity</v>
      </c>
      <c r="K2027" t="str">
        <f>VLOOKUP(Table2[[#This Row],[Customer ID]],Table2[#All],10,FALSE)</f>
        <v>Normal</v>
      </c>
    </row>
    <row r="2028" spans="1:11" ht="15.6" x14ac:dyDescent="0.3">
      <c r="A2028" s="1" t="s">
        <v>340</v>
      </c>
      <c r="B2028" t="str">
        <f>VLOOKUP('Customer Names'!A2028,'Customer Names'!$A$1:$E$2336,4,FALSE)</f>
        <v>Ms.  Deborah</v>
      </c>
      <c r="C2028">
        <f>VLOOKUP(Table2[[#This Row],[Customer ID]],Table2[#All],2,FALSE)</f>
        <v>23.4</v>
      </c>
      <c r="D2028">
        <f>VLOOKUP(Table2[[#This Row],[Customer ID]],Table2[#All],3,FALSE)</f>
        <v>5.53</v>
      </c>
      <c r="E2028" t="str">
        <f>VLOOKUP(Table2[[#This Row],[Customer ID]],Table2[#All],4,FALSE)</f>
        <v>No</v>
      </c>
      <c r="F2028" t="str">
        <f>VLOOKUP(Table2[[#This Row],[Customer ID]],Table2[#All],5,FALSE)</f>
        <v>No</v>
      </c>
      <c r="G2028" t="str">
        <f>VLOOKUP(Table2[[#This Row],[Customer ID]],Table2[#All],6,FALSE)</f>
        <v>Yes</v>
      </c>
      <c r="H2028">
        <f>VLOOKUP(Table2[[#This Row],[Customer ID]],Table2[#All],7,FALSE)</f>
        <v>1</v>
      </c>
      <c r="I2028" t="str">
        <f>VLOOKUP(Table2[[#This Row],[Customer ID]],Table2[#All],8,FALSE)</f>
        <v>No</v>
      </c>
      <c r="J2028" t="str">
        <f>VLOOKUP(Table2[[#This Row],[Customer ID]],Table2[#All],9,FALSE)</f>
        <v>Normalweight</v>
      </c>
      <c r="K2028" t="str">
        <f>VLOOKUP(Table2[[#This Row],[Customer ID]],Table2[#All],10,FALSE)</f>
        <v>Normal</v>
      </c>
    </row>
    <row r="2029" spans="1:11" ht="15.6" x14ac:dyDescent="0.3">
      <c r="A2029" s="1" t="s">
        <v>339</v>
      </c>
      <c r="B2029" t="str">
        <f>VLOOKUP('Customer Names'!A2029,'Customer Names'!$A$1:$E$2336,4,FALSE)</f>
        <v>Mr.  Chuck W. Jr.</v>
      </c>
      <c r="C2029">
        <f>VLOOKUP(Table2[[#This Row],[Customer ID]],Table2[#All],2,FALSE)</f>
        <v>30</v>
      </c>
      <c r="D2029">
        <f>VLOOKUP(Table2[[#This Row],[Customer ID]],Table2[#All],3,FALSE)</f>
        <v>4.33</v>
      </c>
      <c r="E2029" t="str">
        <f>VLOOKUP(Table2[[#This Row],[Customer ID]],Table2[#All],4,FALSE)</f>
        <v>Yes</v>
      </c>
      <c r="F2029" t="str">
        <f>VLOOKUP(Table2[[#This Row],[Customer ID]],Table2[#All],5,FALSE)</f>
        <v>No</v>
      </c>
      <c r="G2029" t="str">
        <f>VLOOKUP(Table2[[#This Row],[Customer ID]],Table2[#All],6,FALSE)</f>
        <v>No</v>
      </c>
      <c r="H2029">
        <f>VLOOKUP(Table2[[#This Row],[Customer ID]],Table2[#All],7,FALSE)</f>
        <v>0</v>
      </c>
      <c r="I2029" t="str">
        <f>VLOOKUP(Table2[[#This Row],[Customer ID]],Table2[#All],8,FALSE)</f>
        <v>No</v>
      </c>
      <c r="J2029" t="str">
        <f>VLOOKUP(Table2[[#This Row],[Customer ID]],Table2[#All],9,FALSE)</f>
        <v>Obesity</v>
      </c>
      <c r="K2029" t="str">
        <f>VLOOKUP(Table2[[#This Row],[Customer ID]],Table2[#All],10,FALSE)</f>
        <v>Normal</v>
      </c>
    </row>
    <row r="2030" spans="1:11" ht="15.6" x14ac:dyDescent="0.3">
      <c r="A2030" s="1" t="s">
        <v>338</v>
      </c>
      <c r="B2030" t="str">
        <f>VLOOKUP('Customer Names'!A2030,'Customer Names'!$A$1:$E$2336,4,FALSE)</f>
        <v>Mr.  Daniel</v>
      </c>
      <c r="C2030">
        <f>VLOOKUP(Table2[[#This Row],[Customer ID]],Table2[#All],2,FALSE)</f>
        <v>29.15</v>
      </c>
      <c r="D2030">
        <f>VLOOKUP(Table2[[#This Row],[Customer ID]],Table2[#All],3,FALSE)</f>
        <v>4.91</v>
      </c>
      <c r="E2030" t="str">
        <f>VLOOKUP(Table2[[#This Row],[Customer ID]],Table2[#All],4,FALSE)</f>
        <v>Yes</v>
      </c>
      <c r="F2030" t="str">
        <f>VLOOKUP(Table2[[#This Row],[Customer ID]],Table2[#All],5,FALSE)</f>
        <v>No</v>
      </c>
      <c r="G2030" t="str">
        <f>VLOOKUP(Table2[[#This Row],[Customer ID]],Table2[#All],6,FALSE)</f>
        <v>No</v>
      </c>
      <c r="H2030">
        <f>VLOOKUP(Table2[[#This Row],[Customer ID]],Table2[#All],7,FALSE)</f>
        <v>0</v>
      </c>
      <c r="I2030" t="str">
        <f>VLOOKUP(Table2[[#This Row],[Customer ID]],Table2[#All],8,FALSE)</f>
        <v>No</v>
      </c>
      <c r="J2030" t="str">
        <f>VLOOKUP(Table2[[#This Row],[Customer ID]],Table2[#All],9,FALSE)</f>
        <v>Overweight</v>
      </c>
      <c r="K2030" t="str">
        <f>VLOOKUP(Table2[[#This Row],[Customer ID]],Table2[#All],10,FALSE)</f>
        <v>Normal</v>
      </c>
    </row>
    <row r="2031" spans="1:11" ht="15.6" x14ac:dyDescent="0.3">
      <c r="A2031" s="1" t="s">
        <v>337</v>
      </c>
      <c r="B2031" t="str">
        <f>VLOOKUP('Customer Names'!A2031,'Customer Names'!$A$1:$E$2336,4,FALSE)</f>
        <v>Ms.  Amany</v>
      </c>
      <c r="C2031">
        <f>VLOOKUP(Table2[[#This Row],[Customer ID]],Table2[#All],2,FALSE)</f>
        <v>34.865000000000002</v>
      </c>
      <c r="D2031">
        <f>VLOOKUP(Table2[[#This Row],[Customer ID]],Table2[#All],3,FALSE)</f>
        <v>4.8</v>
      </c>
      <c r="E2031" t="str">
        <f>VLOOKUP(Table2[[#This Row],[Customer ID]],Table2[#All],4,FALSE)</f>
        <v>No</v>
      </c>
      <c r="F2031" t="str">
        <f>VLOOKUP(Table2[[#This Row],[Customer ID]],Table2[#All],5,FALSE)</f>
        <v>No</v>
      </c>
      <c r="G2031" t="str">
        <f>VLOOKUP(Table2[[#This Row],[Customer ID]],Table2[#All],6,FALSE)</f>
        <v>No</v>
      </c>
      <c r="H2031">
        <f>VLOOKUP(Table2[[#This Row],[Customer ID]],Table2[#All],7,FALSE)</f>
        <v>0</v>
      </c>
      <c r="I2031" t="str">
        <f>VLOOKUP(Table2[[#This Row],[Customer ID]],Table2[#All],8,FALSE)</f>
        <v>No</v>
      </c>
      <c r="J2031" t="str">
        <f>VLOOKUP(Table2[[#This Row],[Customer ID]],Table2[#All],9,FALSE)</f>
        <v>Obesity</v>
      </c>
      <c r="K2031" t="str">
        <f>VLOOKUP(Table2[[#This Row],[Customer ID]],Table2[#All],10,FALSE)</f>
        <v>Normal</v>
      </c>
    </row>
    <row r="2032" spans="1:11" ht="15.6" x14ac:dyDescent="0.3">
      <c r="A2032" s="1" t="s">
        <v>336</v>
      </c>
      <c r="B2032" t="str">
        <f>VLOOKUP('Customer Names'!A2032,'Customer Names'!$A$1:$E$2336,4,FALSE)</f>
        <v>Ms.  Kipling</v>
      </c>
      <c r="C2032">
        <f>VLOOKUP(Table2[[#This Row],[Customer ID]],Table2[#All],2,FALSE)</f>
        <v>28.12</v>
      </c>
      <c r="D2032">
        <f>VLOOKUP(Table2[[#This Row],[Customer ID]],Table2[#All],3,FALSE)</f>
        <v>5.55</v>
      </c>
      <c r="E2032" t="str">
        <f>VLOOKUP(Table2[[#This Row],[Customer ID]],Table2[#All],4,FALSE)</f>
        <v>Yes</v>
      </c>
      <c r="F2032" t="str">
        <f>VLOOKUP(Table2[[#This Row],[Customer ID]],Table2[#All],5,FALSE)</f>
        <v>yes</v>
      </c>
      <c r="G2032" t="str">
        <f>VLOOKUP(Table2[[#This Row],[Customer ID]],Table2[#All],6,FALSE)</f>
        <v>No</v>
      </c>
      <c r="H2032">
        <f>VLOOKUP(Table2[[#This Row],[Customer ID]],Table2[#All],7,FALSE)</f>
        <v>2</v>
      </c>
      <c r="I2032" t="str">
        <f>VLOOKUP(Table2[[#This Row],[Customer ID]],Table2[#All],8,FALSE)</f>
        <v>No</v>
      </c>
      <c r="J2032" t="str">
        <f>VLOOKUP(Table2[[#This Row],[Customer ID]],Table2[#All],9,FALSE)</f>
        <v>Overweight</v>
      </c>
      <c r="K2032" t="str">
        <f>VLOOKUP(Table2[[#This Row],[Customer ID]],Table2[#All],10,FALSE)</f>
        <v>Normal</v>
      </c>
    </row>
    <row r="2033" spans="1:11" ht="15.6" x14ac:dyDescent="0.3">
      <c r="A2033" s="1" t="s">
        <v>335</v>
      </c>
      <c r="B2033" t="str">
        <f>VLOOKUP('Customer Names'!A2033,'Customer Names'!$A$1:$E$2336,4,FALSE)</f>
        <v>Mr.  Duncan</v>
      </c>
      <c r="C2033">
        <f>VLOOKUP(Table2[[#This Row],[Customer ID]],Table2[#All],2,FALSE)</f>
        <v>29.45</v>
      </c>
      <c r="D2033">
        <f>VLOOKUP(Table2[[#This Row],[Customer ID]],Table2[#All],3,FALSE)</f>
        <v>5.24</v>
      </c>
      <c r="E2033" t="str">
        <f>VLOOKUP(Table2[[#This Row],[Customer ID]],Table2[#All],4,FALSE)</f>
        <v>Yes</v>
      </c>
      <c r="F2033" t="str">
        <f>VLOOKUP(Table2[[#This Row],[Customer ID]],Table2[#All],5,FALSE)</f>
        <v>No</v>
      </c>
      <c r="G2033" t="str">
        <f>VLOOKUP(Table2[[#This Row],[Customer ID]],Table2[#All],6,FALSE)</f>
        <v>No</v>
      </c>
      <c r="H2033">
        <f>VLOOKUP(Table2[[#This Row],[Customer ID]],Table2[#All],7,FALSE)</f>
        <v>0</v>
      </c>
      <c r="I2033" t="str">
        <f>VLOOKUP(Table2[[#This Row],[Customer ID]],Table2[#All],8,FALSE)</f>
        <v>No</v>
      </c>
      <c r="J2033" t="str">
        <f>VLOOKUP(Table2[[#This Row],[Customer ID]],Table2[#All],9,FALSE)</f>
        <v>Overweight</v>
      </c>
      <c r="K2033" t="str">
        <f>VLOOKUP(Table2[[#This Row],[Customer ID]],Table2[#All],10,FALSE)</f>
        <v>Normal</v>
      </c>
    </row>
    <row r="2034" spans="1:11" ht="15.6" x14ac:dyDescent="0.3">
      <c r="A2034" s="1" t="s">
        <v>334</v>
      </c>
      <c r="B2034" t="str">
        <f>VLOOKUP('Customer Names'!A2034,'Customer Names'!$A$1:$E$2336,4,FALSE)</f>
        <v>Mr.  Louis C.</v>
      </c>
      <c r="C2034">
        <f>VLOOKUP(Table2[[#This Row],[Customer ID]],Table2[#All],2,FALSE)</f>
        <v>27.94</v>
      </c>
      <c r="D2034">
        <f>VLOOKUP(Table2[[#This Row],[Customer ID]],Table2[#All],3,FALSE)</f>
        <v>6.08</v>
      </c>
      <c r="E2034" t="str">
        <f>VLOOKUP(Table2[[#This Row],[Customer ID]],Table2[#All],4,FALSE)</f>
        <v>No</v>
      </c>
      <c r="F2034" t="str">
        <f>VLOOKUP(Table2[[#This Row],[Customer ID]],Table2[#All],5,FALSE)</f>
        <v>No</v>
      </c>
      <c r="G2034" t="str">
        <f>VLOOKUP(Table2[[#This Row],[Customer ID]],Table2[#All],6,FALSE)</f>
        <v>Yes</v>
      </c>
      <c r="H2034">
        <f>VLOOKUP(Table2[[#This Row],[Customer ID]],Table2[#All],7,FALSE)</f>
        <v>1</v>
      </c>
      <c r="I2034" t="str">
        <f>VLOOKUP(Table2[[#This Row],[Customer ID]],Table2[#All],8,FALSE)</f>
        <v>No</v>
      </c>
      <c r="J2034" t="str">
        <f>VLOOKUP(Table2[[#This Row],[Customer ID]],Table2[#All],9,FALSE)</f>
        <v>Overweight</v>
      </c>
      <c r="K2034" t="str">
        <f>VLOOKUP(Table2[[#This Row],[Customer ID]],Table2[#All],10,FALSE)</f>
        <v>Prediabetes</v>
      </c>
    </row>
    <row r="2035" spans="1:11" ht="15.6" x14ac:dyDescent="0.3">
      <c r="A2035" s="1" t="s">
        <v>333</v>
      </c>
      <c r="B2035" t="str">
        <f>VLOOKUP('Customer Names'!A2035,'Customer Names'!$A$1:$E$2336,4,FALSE)</f>
        <v>Mr.  Daniel J</v>
      </c>
      <c r="C2035">
        <f>VLOOKUP(Table2[[#This Row],[Customer ID]],Table2[#All],2,FALSE)</f>
        <v>27.2</v>
      </c>
      <c r="D2035">
        <f>VLOOKUP(Table2[[#This Row],[Customer ID]],Table2[#All],3,FALSE)</f>
        <v>5.83</v>
      </c>
      <c r="E2035" t="str">
        <f>VLOOKUP(Table2[[#This Row],[Customer ID]],Table2[#All],4,FALSE)</f>
        <v>No</v>
      </c>
      <c r="F2035" t="str">
        <f>VLOOKUP(Table2[[#This Row],[Customer ID]],Table2[#All],5,FALSE)</f>
        <v>No</v>
      </c>
      <c r="G2035" t="str">
        <f>VLOOKUP(Table2[[#This Row],[Customer ID]],Table2[#All],6,FALSE)</f>
        <v>Yes</v>
      </c>
      <c r="H2035">
        <f>VLOOKUP(Table2[[#This Row],[Customer ID]],Table2[#All],7,FALSE)</f>
        <v>1</v>
      </c>
      <c r="I2035" t="str">
        <f>VLOOKUP(Table2[[#This Row],[Customer ID]],Table2[#All],8,FALSE)</f>
        <v>No</v>
      </c>
      <c r="J2035" t="str">
        <f>VLOOKUP(Table2[[#This Row],[Customer ID]],Table2[#All],9,FALSE)</f>
        <v>Overweight</v>
      </c>
      <c r="K2035" t="str">
        <f>VLOOKUP(Table2[[#This Row],[Customer ID]],Table2[#All],10,FALSE)</f>
        <v>Prediabetes</v>
      </c>
    </row>
    <row r="2036" spans="1:11" ht="15.6" x14ac:dyDescent="0.3">
      <c r="A2036" s="1" t="s">
        <v>332</v>
      </c>
      <c r="B2036" t="str">
        <f>VLOOKUP('Customer Names'!A2036,'Customer Names'!$A$1:$E$2336,4,FALSE)</f>
        <v>Ms.  Ildiko M.</v>
      </c>
      <c r="C2036">
        <f>VLOOKUP(Table2[[#This Row],[Customer ID]],Table2[#All],2,FALSE)</f>
        <v>33.344999999999999</v>
      </c>
      <c r="D2036">
        <f>VLOOKUP(Table2[[#This Row],[Customer ID]],Table2[#All],3,FALSE)</f>
        <v>4.29</v>
      </c>
      <c r="E2036" t="str">
        <f>VLOOKUP(Table2[[#This Row],[Customer ID]],Table2[#All],4,FALSE)</f>
        <v>No</v>
      </c>
      <c r="F2036" t="str">
        <f>VLOOKUP(Table2[[#This Row],[Customer ID]],Table2[#All],5,FALSE)</f>
        <v>No</v>
      </c>
      <c r="G2036" t="str">
        <f>VLOOKUP(Table2[[#This Row],[Customer ID]],Table2[#All],6,FALSE)</f>
        <v>No</v>
      </c>
      <c r="H2036">
        <f>VLOOKUP(Table2[[#This Row],[Customer ID]],Table2[#All],7,FALSE)</f>
        <v>1</v>
      </c>
      <c r="I2036" t="str">
        <f>VLOOKUP(Table2[[#This Row],[Customer ID]],Table2[#All],8,FALSE)</f>
        <v>No</v>
      </c>
      <c r="J2036" t="str">
        <f>VLOOKUP(Table2[[#This Row],[Customer ID]],Table2[#All],9,FALSE)</f>
        <v>Obesity</v>
      </c>
      <c r="K2036" t="str">
        <f>VLOOKUP(Table2[[#This Row],[Customer ID]],Table2[#All],10,FALSE)</f>
        <v>Normal</v>
      </c>
    </row>
    <row r="2037" spans="1:11" ht="15.6" x14ac:dyDescent="0.3">
      <c r="A2037" s="1" t="s">
        <v>331</v>
      </c>
      <c r="B2037" t="str">
        <f>VLOOKUP('Customer Names'!A2037,'Customer Names'!$A$1:$E$2336,4,FALSE)</f>
        <v>Ms.  Melinda E.</v>
      </c>
      <c r="C2037">
        <f>VLOOKUP(Table2[[#This Row],[Customer ID]],Table2[#All],2,FALSE)</f>
        <v>29.925000000000001</v>
      </c>
      <c r="D2037">
        <f>VLOOKUP(Table2[[#This Row],[Customer ID]],Table2[#All],3,FALSE)</f>
        <v>5.3</v>
      </c>
      <c r="E2037" t="str">
        <f>VLOOKUP(Table2[[#This Row],[Customer ID]],Table2[#All],4,FALSE)</f>
        <v>No</v>
      </c>
      <c r="F2037" t="str">
        <f>VLOOKUP(Table2[[#This Row],[Customer ID]],Table2[#All],5,FALSE)</f>
        <v>No</v>
      </c>
      <c r="G2037" t="str">
        <f>VLOOKUP(Table2[[#This Row],[Customer ID]],Table2[#All],6,FALSE)</f>
        <v>No</v>
      </c>
      <c r="H2037">
        <f>VLOOKUP(Table2[[#This Row],[Customer ID]],Table2[#All],7,FALSE)</f>
        <v>1</v>
      </c>
      <c r="I2037" t="str">
        <f>VLOOKUP(Table2[[#This Row],[Customer ID]],Table2[#All],8,FALSE)</f>
        <v>No</v>
      </c>
      <c r="J2037" t="str">
        <f>VLOOKUP(Table2[[#This Row],[Customer ID]],Table2[#All],9,FALSE)</f>
        <v>Overweight</v>
      </c>
      <c r="K2037" t="str">
        <f>VLOOKUP(Table2[[#This Row],[Customer ID]],Table2[#All],10,FALSE)</f>
        <v>Normal</v>
      </c>
    </row>
    <row r="2038" spans="1:11" ht="15.6" x14ac:dyDescent="0.3">
      <c r="A2038" s="1" t="s">
        <v>330</v>
      </c>
      <c r="B2038" t="str">
        <f>VLOOKUP('Customer Names'!A2038,'Customer Names'!$A$1:$E$2336,4,FALSE)</f>
        <v>Ms.  Ashley M</v>
      </c>
      <c r="C2038">
        <f>VLOOKUP(Table2[[#This Row],[Customer ID]],Table2[#All],2,FALSE)</f>
        <v>24.225000000000001</v>
      </c>
      <c r="D2038">
        <f>VLOOKUP(Table2[[#This Row],[Customer ID]],Table2[#All],3,FALSE)</f>
        <v>4.42</v>
      </c>
      <c r="E2038" t="str">
        <f>VLOOKUP(Table2[[#This Row],[Customer ID]],Table2[#All],4,FALSE)</f>
        <v>No</v>
      </c>
      <c r="F2038" t="str">
        <f>VLOOKUP(Table2[[#This Row],[Customer ID]],Table2[#All],5,FALSE)</f>
        <v>No</v>
      </c>
      <c r="G2038" t="str">
        <f>VLOOKUP(Table2[[#This Row],[Customer ID]],Table2[#All],6,FALSE)</f>
        <v>No</v>
      </c>
      <c r="H2038">
        <f>VLOOKUP(Table2[[#This Row],[Customer ID]],Table2[#All],7,FALSE)</f>
        <v>1</v>
      </c>
      <c r="I2038" t="str">
        <f>VLOOKUP(Table2[[#This Row],[Customer ID]],Table2[#All],8,FALSE)</f>
        <v>No</v>
      </c>
      <c r="J2038" t="str">
        <f>VLOOKUP(Table2[[#This Row],[Customer ID]],Table2[#All],9,FALSE)</f>
        <v>Normalweight</v>
      </c>
      <c r="K2038" t="str">
        <f>VLOOKUP(Table2[[#This Row],[Customer ID]],Table2[#All],10,FALSE)</f>
        <v>Normal</v>
      </c>
    </row>
    <row r="2039" spans="1:11" ht="15.6" x14ac:dyDescent="0.3">
      <c r="A2039" s="1" t="s">
        <v>329</v>
      </c>
      <c r="B2039" t="str">
        <f>VLOOKUP('Customer Names'!A2039,'Customer Names'!$A$1:$E$2336,4,FALSE)</f>
        <v>Ms.  Stephanie</v>
      </c>
      <c r="C2039">
        <f>VLOOKUP(Table2[[#This Row],[Customer ID]],Table2[#All],2,FALSE)</f>
        <v>29.68</v>
      </c>
      <c r="D2039">
        <f>VLOOKUP(Table2[[#This Row],[Customer ID]],Table2[#All],3,FALSE)</f>
        <v>5.68</v>
      </c>
      <c r="E2039" t="str">
        <f>VLOOKUP(Table2[[#This Row],[Customer ID]],Table2[#All],4,FALSE)</f>
        <v>No</v>
      </c>
      <c r="F2039" t="str">
        <f>VLOOKUP(Table2[[#This Row],[Customer ID]],Table2[#All],5,FALSE)</f>
        <v>yes</v>
      </c>
      <c r="G2039" t="str">
        <f>VLOOKUP(Table2[[#This Row],[Customer ID]],Table2[#All],6,FALSE)</f>
        <v>No</v>
      </c>
      <c r="H2039">
        <f>VLOOKUP(Table2[[#This Row],[Customer ID]],Table2[#All],7,FALSE)</f>
        <v>1</v>
      </c>
      <c r="I2039" t="str">
        <f>VLOOKUP(Table2[[#This Row],[Customer ID]],Table2[#All],8,FALSE)</f>
        <v>No</v>
      </c>
      <c r="J2039" t="str">
        <f>VLOOKUP(Table2[[#This Row],[Customer ID]],Table2[#All],9,FALSE)</f>
        <v>Overweight</v>
      </c>
      <c r="K2039" t="str">
        <f>VLOOKUP(Table2[[#This Row],[Customer ID]],Table2[#All],10,FALSE)</f>
        <v>Normal</v>
      </c>
    </row>
    <row r="2040" spans="1:11" ht="15.6" x14ac:dyDescent="0.3">
      <c r="A2040" s="1" t="s">
        <v>328</v>
      </c>
      <c r="B2040" t="str">
        <f>VLOOKUP('Customer Names'!A2040,'Customer Names'!$A$1:$E$2336,4,FALSE)</f>
        <v>Mr.  Sean P.</v>
      </c>
      <c r="C2040">
        <f>VLOOKUP(Table2[[#This Row],[Customer ID]],Table2[#All],2,FALSE)</f>
        <v>20.614999999999998</v>
      </c>
      <c r="D2040">
        <f>VLOOKUP(Table2[[#This Row],[Customer ID]],Table2[#All],3,FALSE)</f>
        <v>6.05</v>
      </c>
      <c r="E2040" t="str">
        <f>VLOOKUP(Table2[[#This Row],[Customer ID]],Table2[#All],4,FALSE)</f>
        <v>No</v>
      </c>
      <c r="F2040" t="str">
        <f>VLOOKUP(Table2[[#This Row],[Customer ID]],Table2[#All],5,FALSE)</f>
        <v>No</v>
      </c>
      <c r="G2040" t="str">
        <f>VLOOKUP(Table2[[#This Row],[Customer ID]],Table2[#All],6,FALSE)</f>
        <v>Yes</v>
      </c>
      <c r="H2040">
        <f>VLOOKUP(Table2[[#This Row],[Customer ID]],Table2[#All],7,FALSE)</f>
        <v>1</v>
      </c>
      <c r="I2040" t="str">
        <f>VLOOKUP(Table2[[#This Row],[Customer ID]],Table2[#All],8,FALSE)</f>
        <v>No</v>
      </c>
      <c r="J2040" t="str">
        <f>VLOOKUP(Table2[[#This Row],[Customer ID]],Table2[#All],9,FALSE)</f>
        <v>Normalweight</v>
      </c>
      <c r="K2040" t="str">
        <f>VLOOKUP(Table2[[#This Row],[Customer ID]],Table2[#All],10,FALSE)</f>
        <v>Prediabetes</v>
      </c>
    </row>
    <row r="2041" spans="1:11" ht="15.6" x14ac:dyDescent="0.3">
      <c r="A2041" s="1" t="s">
        <v>327</v>
      </c>
      <c r="B2041" t="str">
        <f>VLOOKUP('Customer Names'!A2041,'Customer Names'!$A$1:$E$2336,4,FALSE)</f>
        <v>Ms.  Emily G</v>
      </c>
      <c r="C2041">
        <f>VLOOKUP(Table2[[#This Row],[Customer ID]],Table2[#All],2,FALSE)</f>
        <v>32.119999999999997</v>
      </c>
      <c r="D2041">
        <f>VLOOKUP(Table2[[#This Row],[Customer ID]],Table2[#All],3,FALSE)</f>
        <v>5.33</v>
      </c>
      <c r="E2041" t="str">
        <f>VLOOKUP(Table2[[#This Row],[Customer ID]],Table2[#All],4,FALSE)</f>
        <v>No</v>
      </c>
      <c r="F2041" t="str">
        <f>VLOOKUP(Table2[[#This Row],[Customer ID]],Table2[#All],5,FALSE)</f>
        <v>yes</v>
      </c>
      <c r="G2041" t="str">
        <f>VLOOKUP(Table2[[#This Row],[Customer ID]],Table2[#All],6,FALSE)</f>
        <v>No</v>
      </c>
      <c r="H2041">
        <f>VLOOKUP(Table2[[#This Row],[Customer ID]],Table2[#All],7,FALSE)</f>
        <v>1</v>
      </c>
      <c r="I2041" t="str">
        <f>VLOOKUP(Table2[[#This Row],[Customer ID]],Table2[#All],8,FALSE)</f>
        <v>No</v>
      </c>
      <c r="J2041" t="str">
        <f>VLOOKUP(Table2[[#This Row],[Customer ID]],Table2[#All],9,FALSE)</f>
        <v>Obesity</v>
      </c>
      <c r="K2041" t="str">
        <f>VLOOKUP(Table2[[#This Row],[Customer ID]],Table2[#All],10,FALSE)</f>
        <v>Normal</v>
      </c>
    </row>
    <row r="2042" spans="1:11" ht="15.6" x14ac:dyDescent="0.3">
      <c r="A2042" s="1" t="s">
        <v>326</v>
      </c>
      <c r="B2042" t="str">
        <f>VLOOKUP('Customer Names'!A2042,'Customer Names'!$A$1:$E$2336,4,FALSE)</f>
        <v>Mr.  Malcolm</v>
      </c>
      <c r="C2042">
        <f>VLOOKUP(Table2[[#This Row],[Customer ID]],Table2[#All],2,FALSE)</f>
        <v>27.36</v>
      </c>
      <c r="D2042">
        <f>VLOOKUP(Table2[[#This Row],[Customer ID]],Table2[#All],3,FALSE)</f>
        <v>6.22</v>
      </c>
      <c r="E2042" t="str">
        <f>VLOOKUP(Table2[[#This Row],[Customer ID]],Table2[#All],4,FALSE)</f>
        <v>No</v>
      </c>
      <c r="F2042" t="str">
        <f>VLOOKUP(Table2[[#This Row],[Customer ID]],Table2[#All],5,FALSE)</f>
        <v>No</v>
      </c>
      <c r="G2042" t="str">
        <f>VLOOKUP(Table2[[#This Row],[Customer ID]],Table2[#All],6,FALSE)</f>
        <v>No</v>
      </c>
      <c r="H2042">
        <f>VLOOKUP(Table2[[#This Row],[Customer ID]],Table2[#All],7,FALSE)</f>
        <v>0</v>
      </c>
      <c r="I2042" t="str">
        <f>VLOOKUP(Table2[[#This Row],[Customer ID]],Table2[#All],8,FALSE)</f>
        <v>No</v>
      </c>
      <c r="J2042" t="str">
        <f>VLOOKUP(Table2[[#This Row],[Customer ID]],Table2[#All],9,FALSE)</f>
        <v>Overweight</v>
      </c>
      <c r="K2042" t="str">
        <f>VLOOKUP(Table2[[#This Row],[Customer ID]],Table2[#All],10,FALSE)</f>
        <v>Prediabetes</v>
      </c>
    </row>
    <row r="2043" spans="1:11" ht="15.6" x14ac:dyDescent="0.3">
      <c r="A2043" s="1" t="s">
        <v>325</v>
      </c>
      <c r="B2043" t="str">
        <f>VLOOKUP('Customer Names'!A2043,'Customer Names'!$A$1:$E$2336,4,FALSE)</f>
        <v>Mr.  Danilo</v>
      </c>
      <c r="C2043">
        <f>VLOOKUP(Table2[[#This Row],[Customer ID]],Table2[#All],2,FALSE)</f>
        <v>17.385000000000002</v>
      </c>
      <c r="D2043">
        <f>VLOOKUP(Table2[[#This Row],[Customer ID]],Table2[#All],3,FALSE)</f>
        <v>5.84</v>
      </c>
      <c r="E2043" t="str">
        <f>VLOOKUP(Table2[[#This Row],[Customer ID]],Table2[#All],4,FALSE)</f>
        <v>No</v>
      </c>
      <c r="F2043" t="str">
        <f>VLOOKUP(Table2[[#This Row],[Customer ID]],Table2[#All],5,FALSE)</f>
        <v>No</v>
      </c>
      <c r="G2043" t="str">
        <f>VLOOKUP(Table2[[#This Row],[Customer ID]],Table2[#All],6,FALSE)</f>
        <v>No</v>
      </c>
      <c r="H2043">
        <f>VLOOKUP(Table2[[#This Row],[Customer ID]],Table2[#All],7,FALSE)</f>
        <v>0</v>
      </c>
      <c r="I2043" t="str">
        <f>VLOOKUP(Table2[[#This Row],[Customer ID]],Table2[#All],8,FALSE)</f>
        <v>No</v>
      </c>
      <c r="J2043" t="str">
        <f>VLOOKUP(Table2[[#This Row],[Customer ID]],Table2[#All],9,FALSE)</f>
        <v>Underweight</v>
      </c>
      <c r="K2043" t="str">
        <f>VLOOKUP(Table2[[#This Row],[Customer ID]],Table2[#All],10,FALSE)</f>
        <v>Prediabetes</v>
      </c>
    </row>
    <row r="2044" spans="1:11" ht="15.6" x14ac:dyDescent="0.3">
      <c r="A2044" s="1" t="s">
        <v>324</v>
      </c>
      <c r="B2044" t="str">
        <f>VLOOKUP('Customer Names'!A2044,'Customer Names'!$A$1:$E$2336,4,FALSE)</f>
        <v>Mr.  Mikko</v>
      </c>
      <c r="C2044">
        <f>VLOOKUP(Table2[[#This Row],[Customer ID]],Table2[#All],2,FALSE)</f>
        <v>30.13</v>
      </c>
      <c r="D2044">
        <f>VLOOKUP(Table2[[#This Row],[Customer ID]],Table2[#All],3,FALSE)</f>
        <v>5.71</v>
      </c>
      <c r="E2044" t="str">
        <f>VLOOKUP(Table2[[#This Row],[Customer ID]],Table2[#All],4,FALSE)</f>
        <v>No</v>
      </c>
      <c r="F2044" t="str">
        <f>VLOOKUP(Table2[[#This Row],[Customer ID]],Table2[#All],5,FALSE)</f>
        <v>yes</v>
      </c>
      <c r="G2044" t="str">
        <f>VLOOKUP(Table2[[#This Row],[Customer ID]],Table2[#All],6,FALSE)</f>
        <v>No</v>
      </c>
      <c r="H2044">
        <f>VLOOKUP(Table2[[#This Row],[Customer ID]],Table2[#All],7,FALSE)</f>
        <v>1</v>
      </c>
      <c r="I2044" t="str">
        <f>VLOOKUP(Table2[[#This Row],[Customer ID]],Table2[#All],8,FALSE)</f>
        <v>No</v>
      </c>
      <c r="J2044" t="str">
        <f>VLOOKUP(Table2[[#This Row],[Customer ID]],Table2[#All],9,FALSE)</f>
        <v>Obesity</v>
      </c>
      <c r="K2044" t="str">
        <f>VLOOKUP(Table2[[#This Row],[Customer ID]],Table2[#All],10,FALSE)</f>
        <v>Prediabetes</v>
      </c>
    </row>
    <row r="2045" spans="1:11" ht="15.6" x14ac:dyDescent="0.3">
      <c r="A2045" s="1" t="s">
        <v>323</v>
      </c>
      <c r="B2045" t="str">
        <f>VLOOKUP('Customer Names'!A2045,'Customer Names'!$A$1:$E$2336,4,FALSE)</f>
        <v>Ms.  Paula C.</v>
      </c>
      <c r="C2045">
        <f>VLOOKUP(Table2[[#This Row],[Customer ID]],Table2[#All],2,FALSE)</f>
        <v>25.44</v>
      </c>
      <c r="D2045">
        <f>VLOOKUP(Table2[[#This Row],[Customer ID]],Table2[#All],3,FALSE)</f>
        <v>6.04</v>
      </c>
      <c r="E2045" t="str">
        <f>VLOOKUP(Table2[[#This Row],[Customer ID]],Table2[#All],4,FALSE)</f>
        <v>Yes</v>
      </c>
      <c r="F2045" t="str">
        <f>VLOOKUP(Table2[[#This Row],[Customer ID]],Table2[#All],5,FALSE)</f>
        <v>No</v>
      </c>
      <c r="G2045" t="str">
        <f>VLOOKUP(Table2[[#This Row],[Customer ID]],Table2[#All],6,FALSE)</f>
        <v>Yes</v>
      </c>
      <c r="H2045">
        <f>VLOOKUP(Table2[[#This Row],[Customer ID]],Table2[#All],7,FALSE)</f>
        <v>1</v>
      </c>
      <c r="I2045" t="str">
        <f>VLOOKUP(Table2[[#This Row],[Customer ID]],Table2[#All],8,FALSE)</f>
        <v>No</v>
      </c>
      <c r="J2045" t="str">
        <f>VLOOKUP(Table2[[#This Row],[Customer ID]],Table2[#All],9,FALSE)</f>
        <v>Overweight</v>
      </c>
      <c r="K2045" t="str">
        <f>VLOOKUP(Table2[[#This Row],[Customer ID]],Table2[#All],10,FALSE)</f>
        <v>Prediabetes</v>
      </c>
    </row>
    <row r="2046" spans="1:11" ht="15.6" x14ac:dyDescent="0.3">
      <c r="A2046" s="1" t="s">
        <v>322</v>
      </c>
      <c r="B2046" t="str">
        <f>VLOOKUP('Customer Names'!A2046,'Customer Names'!$A$1:$E$2336,4,FALSE)</f>
        <v>Ms.  Kirsten N.</v>
      </c>
      <c r="C2046">
        <f>VLOOKUP(Table2[[#This Row],[Customer ID]],Table2[#All],2,FALSE)</f>
        <v>39.805</v>
      </c>
      <c r="D2046">
        <f>VLOOKUP(Table2[[#This Row],[Customer ID]],Table2[#All],3,FALSE)</f>
        <v>4.38</v>
      </c>
      <c r="E2046" t="str">
        <f>VLOOKUP(Table2[[#This Row],[Customer ID]],Table2[#All],4,FALSE)</f>
        <v>No</v>
      </c>
      <c r="F2046" t="str">
        <f>VLOOKUP(Table2[[#This Row],[Customer ID]],Table2[#All],5,FALSE)</f>
        <v>yes</v>
      </c>
      <c r="G2046" t="str">
        <f>VLOOKUP(Table2[[#This Row],[Customer ID]],Table2[#All],6,FALSE)</f>
        <v>No</v>
      </c>
      <c r="H2046">
        <f>VLOOKUP(Table2[[#This Row],[Customer ID]],Table2[#All],7,FALSE)</f>
        <v>1</v>
      </c>
      <c r="I2046" t="str">
        <f>VLOOKUP(Table2[[#This Row],[Customer ID]],Table2[#All],8,FALSE)</f>
        <v>No</v>
      </c>
      <c r="J2046" t="str">
        <f>VLOOKUP(Table2[[#This Row],[Customer ID]],Table2[#All],9,FALSE)</f>
        <v>Obesity</v>
      </c>
      <c r="K2046" t="str">
        <f>VLOOKUP(Table2[[#This Row],[Customer ID]],Table2[#All],10,FALSE)</f>
        <v>Normal</v>
      </c>
    </row>
    <row r="2047" spans="1:11" ht="15.6" x14ac:dyDescent="0.3">
      <c r="A2047" s="1" t="s">
        <v>321</v>
      </c>
      <c r="B2047" t="str">
        <f>VLOOKUP('Customer Names'!A2047,'Customer Names'!$A$1:$E$2336,4,FALSE)</f>
        <v>Ms.  Christy</v>
      </c>
      <c r="C2047">
        <f>VLOOKUP(Table2[[#This Row],[Customer ID]],Table2[#All],2,FALSE)</f>
        <v>30.4</v>
      </c>
      <c r="D2047">
        <f>VLOOKUP(Table2[[#This Row],[Customer ID]],Table2[#All],3,FALSE)</f>
        <v>5.56</v>
      </c>
      <c r="E2047" t="str">
        <f>VLOOKUP(Table2[[#This Row],[Customer ID]],Table2[#All],4,FALSE)</f>
        <v>Yes</v>
      </c>
      <c r="F2047" t="str">
        <f>VLOOKUP(Table2[[#This Row],[Customer ID]],Table2[#All],5,FALSE)</f>
        <v>yes</v>
      </c>
      <c r="G2047" t="str">
        <f>VLOOKUP(Table2[[#This Row],[Customer ID]],Table2[#All],6,FALSE)</f>
        <v>No</v>
      </c>
      <c r="H2047">
        <f>VLOOKUP(Table2[[#This Row],[Customer ID]],Table2[#All],7,FALSE)</f>
        <v>1</v>
      </c>
      <c r="I2047" t="str">
        <f>VLOOKUP(Table2[[#This Row],[Customer ID]],Table2[#All],8,FALSE)</f>
        <v>No</v>
      </c>
      <c r="J2047" t="str">
        <f>VLOOKUP(Table2[[#This Row],[Customer ID]],Table2[#All],9,FALSE)</f>
        <v>Obesity</v>
      </c>
      <c r="K2047" t="str">
        <f>VLOOKUP(Table2[[#This Row],[Customer ID]],Table2[#All],10,FALSE)</f>
        <v>Normal</v>
      </c>
    </row>
    <row r="2048" spans="1:11" ht="15.6" x14ac:dyDescent="0.3">
      <c r="A2048" s="1" t="s">
        <v>320</v>
      </c>
      <c r="B2048" t="str">
        <f>VLOOKUP('Customer Names'!A2048,'Customer Names'!$A$1:$E$2336,4,FALSE)</f>
        <v>Ms.  Jennifer</v>
      </c>
      <c r="C2048">
        <f>VLOOKUP(Table2[[#This Row],[Customer ID]],Table2[#All],2,FALSE)</f>
        <v>23.18</v>
      </c>
      <c r="D2048">
        <f>VLOOKUP(Table2[[#This Row],[Customer ID]],Table2[#All],3,FALSE)</f>
        <v>4.24</v>
      </c>
      <c r="E2048" t="str">
        <f>VLOOKUP(Table2[[#This Row],[Customer ID]],Table2[#All],4,FALSE)</f>
        <v>No</v>
      </c>
      <c r="F2048" t="str">
        <f>VLOOKUP(Table2[[#This Row],[Customer ID]],Table2[#All],5,FALSE)</f>
        <v>yes</v>
      </c>
      <c r="G2048" t="str">
        <f>VLOOKUP(Table2[[#This Row],[Customer ID]],Table2[#All],6,FALSE)</f>
        <v>No</v>
      </c>
      <c r="H2048">
        <f>VLOOKUP(Table2[[#This Row],[Customer ID]],Table2[#All],7,FALSE)</f>
        <v>1</v>
      </c>
      <c r="I2048" t="str">
        <f>VLOOKUP(Table2[[#This Row],[Customer ID]],Table2[#All],8,FALSE)</f>
        <v>No</v>
      </c>
      <c r="J2048" t="str">
        <f>VLOOKUP(Table2[[#This Row],[Customer ID]],Table2[#All],9,FALSE)</f>
        <v>Normalweight</v>
      </c>
      <c r="K2048" t="str">
        <f>VLOOKUP(Table2[[#This Row],[Customer ID]],Table2[#All],10,FALSE)</f>
        <v>Normal</v>
      </c>
    </row>
    <row r="2049" spans="1:11" ht="15.6" x14ac:dyDescent="0.3">
      <c r="A2049" s="1" t="s">
        <v>319</v>
      </c>
      <c r="B2049" t="str">
        <f>VLOOKUP('Customer Names'!A2049,'Customer Names'!$A$1:$E$2336,4,FALSE)</f>
        <v>Ms.  Jingjing</v>
      </c>
      <c r="C2049">
        <f>VLOOKUP(Table2[[#This Row],[Customer ID]],Table2[#All],2,FALSE)</f>
        <v>39.615000000000002</v>
      </c>
      <c r="D2049">
        <f>VLOOKUP(Table2[[#This Row],[Customer ID]],Table2[#All],3,FALSE)</f>
        <v>6.32</v>
      </c>
      <c r="E2049" t="str">
        <f>VLOOKUP(Table2[[#This Row],[Customer ID]],Table2[#All],4,FALSE)</f>
        <v>No</v>
      </c>
      <c r="F2049" t="str">
        <f>VLOOKUP(Table2[[#This Row],[Customer ID]],Table2[#All],5,FALSE)</f>
        <v>No</v>
      </c>
      <c r="G2049" t="str">
        <f>VLOOKUP(Table2[[#This Row],[Customer ID]],Table2[#All],6,FALSE)</f>
        <v>Yes</v>
      </c>
      <c r="H2049">
        <f>VLOOKUP(Table2[[#This Row],[Customer ID]],Table2[#All],7,FALSE)</f>
        <v>1</v>
      </c>
      <c r="I2049" t="str">
        <f>VLOOKUP(Table2[[#This Row],[Customer ID]],Table2[#All],8,FALSE)</f>
        <v>No</v>
      </c>
      <c r="J2049" t="str">
        <f>VLOOKUP(Table2[[#This Row],[Customer ID]],Table2[#All],9,FALSE)</f>
        <v>Obesity</v>
      </c>
      <c r="K2049" t="str">
        <f>VLOOKUP(Table2[[#This Row],[Customer ID]],Table2[#All],10,FALSE)</f>
        <v>Prediabetes</v>
      </c>
    </row>
    <row r="2050" spans="1:11" ht="15.6" x14ac:dyDescent="0.3">
      <c r="A2050" s="1" t="s">
        <v>318</v>
      </c>
      <c r="B2050" t="str">
        <f>VLOOKUP('Customer Names'!A2050,'Customer Names'!$A$1:$E$2336,4,FALSE)</f>
        <v>Mr.  Morgan</v>
      </c>
      <c r="C2050">
        <f>VLOOKUP(Table2[[#This Row],[Customer ID]],Table2[#All],2,FALSE)</f>
        <v>30.59</v>
      </c>
      <c r="D2050">
        <f>VLOOKUP(Table2[[#This Row],[Customer ID]],Table2[#All],3,FALSE)</f>
        <v>6.3</v>
      </c>
      <c r="E2050" t="str">
        <f>VLOOKUP(Table2[[#This Row],[Customer ID]],Table2[#All],4,FALSE)</f>
        <v>Yes</v>
      </c>
      <c r="F2050" t="str">
        <f>VLOOKUP(Table2[[#This Row],[Customer ID]],Table2[#All],5,FALSE)</f>
        <v>No</v>
      </c>
      <c r="G2050" t="str">
        <f>VLOOKUP(Table2[[#This Row],[Customer ID]],Table2[#All],6,FALSE)</f>
        <v>Yes</v>
      </c>
      <c r="H2050">
        <f>VLOOKUP(Table2[[#This Row],[Customer ID]],Table2[#All],7,FALSE)</f>
        <v>1</v>
      </c>
      <c r="I2050" t="str">
        <f>VLOOKUP(Table2[[#This Row],[Customer ID]],Table2[#All],8,FALSE)</f>
        <v>No</v>
      </c>
      <c r="J2050" t="str">
        <f>VLOOKUP(Table2[[#This Row],[Customer ID]],Table2[#All],9,FALSE)</f>
        <v>Obesity</v>
      </c>
      <c r="K2050" t="str">
        <f>VLOOKUP(Table2[[#This Row],[Customer ID]],Table2[#All],10,FALSE)</f>
        <v>Prediabetes</v>
      </c>
    </row>
    <row r="2051" spans="1:11" ht="15.6" x14ac:dyDescent="0.3">
      <c r="A2051" s="1" t="s">
        <v>317</v>
      </c>
      <c r="B2051" t="str">
        <f>VLOOKUP('Customer Names'!A2051,'Customer Names'!$A$1:$E$2336,4,FALSE)</f>
        <v>Mr.  Patrick J.</v>
      </c>
      <c r="C2051">
        <f>VLOOKUP(Table2[[#This Row],[Customer ID]],Table2[#All],2,FALSE)</f>
        <v>16.72</v>
      </c>
      <c r="D2051">
        <f>VLOOKUP(Table2[[#This Row],[Customer ID]],Table2[#All],3,FALSE)</f>
        <v>4.38</v>
      </c>
      <c r="E2051" t="str">
        <f>VLOOKUP(Table2[[#This Row],[Customer ID]],Table2[#All],4,FALSE)</f>
        <v>Yes</v>
      </c>
      <c r="F2051" t="str">
        <f>VLOOKUP(Table2[[#This Row],[Customer ID]],Table2[#All],5,FALSE)</f>
        <v>No</v>
      </c>
      <c r="G2051" t="str">
        <f>VLOOKUP(Table2[[#This Row],[Customer ID]],Table2[#All],6,FALSE)</f>
        <v>No</v>
      </c>
      <c r="H2051">
        <f>VLOOKUP(Table2[[#This Row],[Customer ID]],Table2[#All],7,FALSE)</f>
        <v>1</v>
      </c>
      <c r="I2051" t="str">
        <f>VLOOKUP(Table2[[#This Row],[Customer ID]],Table2[#All],8,FALSE)</f>
        <v>No</v>
      </c>
      <c r="J2051" t="str">
        <f>VLOOKUP(Table2[[#This Row],[Customer ID]],Table2[#All],9,FALSE)</f>
        <v>Underweight</v>
      </c>
      <c r="K2051" t="str">
        <f>VLOOKUP(Table2[[#This Row],[Customer ID]],Table2[#All],10,FALSE)</f>
        <v>Normal</v>
      </c>
    </row>
    <row r="2052" spans="1:11" ht="15.6" x14ac:dyDescent="0.3">
      <c r="A2052" s="1" t="s">
        <v>316</v>
      </c>
      <c r="B2052" t="str">
        <f>VLOOKUP('Customer Names'!A2052,'Customer Names'!$A$1:$E$2336,4,FALSE)</f>
        <v>Mr.  Frankline</v>
      </c>
      <c r="C2052">
        <f>VLOOKUP(Table2[[#This Row],[Customer ID]],Table2[#All],2,FALSE)</f>
        <v>26.22</v>
      </c>
      <c r="D2052">
        <f>VLOOKUP(Table2[[#This Row],[Customer ID]],Table2[#All],3,FALSE)</f>
        <v>4.6500000000000004</v>
      </c>
      <c r="E2052" t="str">
        <f>VLOOKUP(Table2[[#This Row],[Customer ID]],Table2[#All],4,FALSE)</f>
        <v>Yes</v>
      </c>
      <c r="F2052" t="str">
        <f>VLOOKUP(Table2[[#This Row],[Customer ID]],Table2[#All],5,FALSE)</f>
        <v>No</v>
      </c>
      <c r="G2052" t="str">
        <f>VLOOKUP(Table2[[#This Row],[Customer ID]],Table2[#All],6,FALSE)</f>
        <v>Yes</v>
      </c>
      <c r="H2052">
        <f>VLOOKUP(Table2[[#This Row],[Customer ID]],Table2[#All],7,FALSE)</f>
        <v>1</v>
      </c>
      <c r="I2052" t="str">
        <f>VLOOKUP(Table2[[#This Row],[Customer ID]],Table2[#All],8,FALSE)</f>
        <v>No</v>
      </c>
      <c r="J2052" t="str">
        <f>VLOOKUP(Table2[[#This Row],[Customer ID]],Table2[#All],9,FALSE)</f>
        <v>Overweight</v>
      </c>
      <c r="K2052" t="str">
        <f>VLOOKUP(Table2[[#This Row],[Customer ID]],Table2[#All],10,FALSE)</f>
        <v>Normal</v>
      </c>
    </row>
    <row r="2053" spans="1:11" ht="15.6" x14ac:dyDescent="0.3">
      <c r="A2053" s="1" t="s">
        <v>315</v>
      </c>
      <c r="B2053" t="str">
        <f>VLOOKUP('Customer Names'!A2053,'Customer Names'!$A$1:$E$2336,4,FALSE)</f>
        <v>Ms.  Laura T.</v>
      </c>
      <c r="C2053">
        <f>VLOOKUP(Table2[[#This Row],[Customer ID]],Table2[#All],2,FALSE)</f>
        <v>31.824999999999999</v>
      </c>
      <c r="D2053">
        <f>VLOOKUP(Table2[[#This Row],[Customer ID]],Table2[#All],3,FALSE)</f>
        <v>4.7</v>
      </c>
      <c r="E2053" t="str">
        <f>VLOOKUP(Table2[[#This Row],[Customer ID]],Table2[#All],4,FALSE)</f>
        <v>No</v>
      </c>
      <c r="F2053" t="str">
        <f>VLOOKUP(Table2[[#This Row],[Customer ID]],Table2[#All],5,FALSE)</f>
        <v>No</v>
      </c>
      <c r="G2053" t="str">
        <f>VLOOKUP(Table2[[#This Row],[Customer ID]],Table2[#All],6,FALSE)</f>
        <v>Yes</v>
      </c>
      <c r="H2053">
        <f>VLOOKUP(Table2[[#This Row],[Customer ID]],Table2[#All],7,FALSE)</f>
        <v>1</v>
      </c>
      <c r="I2053" t="str">
        <f>VLOOKUP(Table2[[#This Row],[Customer ID]],Table2[#All],8,FALSE)</f>
        <v>No</v>
      </c>
      <c r="J2053" t="str">
        <f>VLOOKUP(Table2[[#This Row],[Customer ID]],Table2[#All],9,FALSE)</f>
        <v>Obesity</v>
      </c>
      <c r="K2053" t="str">
        <f>VLOOKUP(Table2[[#This Row],[Customer ID]],Table2[#All],10,FALSE)</f>
        <v>Normal</v>
      </c>
    </row>
    <row r="2054" spans="1:11" ht="15.6" x14ac:dyDescent="0.3">
      <c r="A2054" s="1" t="s">
        <v>314</v>
      </c>
      <c r="B2054" t="str">
        <f>VLOOKUP('Customer Names'!A2054,'Customer Names'!$A$1:$E$2336,4,FALSE)</f>
        <v>Ms.  Natalia</v>
      </c>
      <c r="C2054">
        <f>VLOOKUP(Table2[[#This Row],[Customer ID]],Table2[#All],2,FALSE)</f>
        <v>25.745000000000001</v>
      </c>
      <c r="D2054">
        <f>VLOOKUP(Table2[[#This Row],[Customer ID]],Table2[#All],3,FALSE)</f>
        <v>4.34</v>
      </c>
      <c r="E2054" t="str">
        <f>VLOOKUP(Table2[[#This Row],[Customer ID]],Table2[#All],4,FALSE)</f>
        <v>No</v>
      </c>
      <c r="F2054" t="str">
        <f>VLOOKUP(Table2[[#This Row],[Customer ID]],Table2[#All],5,FALSE)</f>
        <v>No</v>
      </c>
      <c r="G2054" t="str">
        <f>VLOOKUP(Table2[[#This Row],[Customer ID]],Table2[#All],6,FALSE)</f>
        <v>Yes</v>
      </c>
      <c r="H2054">
        <f>VLOOKUP(Table2[[#This Row],[Customer ID]],Table2[#All],7,FALSE)</f>
        <v>1</v>
      </c>
      <c r="I2054" t="str">
        <f>VLOOKUP(Table2[[#This Row],[Customer ID]],Table2[#All],8,FALSE)</f>
        <v>No</v>
      </c>
      <c r="J2054" t="str">
        <f>VLOOKUP(Table2[[#This Row],[Customer ID]],Table2[#All],9,FALSE)</f>
        <v>Overweight</v>
      </c>
      <c r="K2054" t="str">
        <f>VLOOKUP(Table2[[#This Row],[Customer ID]],Table2[#All],10,FALSE)</f>
        <v>Normal</v>
      </c>
    </row>
    <row r="2055" spans="1:11" ht="15.6" x14ac:dyDescent="0.3">
      <c r="A2055" s="1" t="s">
        <v>313</v>
      </c>
      <c r="B2055" t="str">
        <f>VLOOKUP('Customer Names'!A2055,'Customer Names'!$A$1:$E$2336,4,FALSE)</f>
        <v>Ms.  Jennifer L.</v>
      </c>
      <c r="C2055">
        <f>VLOOKUP(Table2[[#This Row],[Customer ID]],Table2[#All],2,FALSE)</f>
        <v>24.605</v>
      </c>
      <c r="D2055">
        <f>VLOOKUP(Table2[[#This Row],[Customer ID]],Table2[#All],3,FALSE)</f>
        <v>5.62</v>
      </c>
      <c r="E2055" t="str">
        <f>VLOOKUP(Table2[[#This Row],[Customer ID]],Table2[#All],4,FALSE)</f>
        <v>No</v>
      </c>
      <c r="F2055" t="str">
        <f>VLOOKUP(Table2[[#This Row],[Customer ID]],Table2[#All],5,FALSE)</f>
        <v>No</v>
      </c>
      <c r="G2055" t="str">
        <f>VLOOKUP(Table2[[#This Row],[Customer ID]],Table2[#All],6,FALSE)</f>
        <v>Yes</v>
      </c>
      <c r="H2055">
        <f>VLOOKUP(Table2[[#This Row],[Customer ID]],Table2[#All],7,FALSE)</f>
        <v>1</v>
      </c>
      <c r="I2055" t="str">
        <f>VLOOKUP(Table2[[#This Row],[Customer ID]],Table2[#All],8,FALSE)</f>
        <v>No</v>
      </c>
      <c r="J2055" t="str">
        <f>VLOOKUP(Table2[[#This Row],[Customer ID]],Table2[#All],9,FALSE)</f>
        <v>Normalweight</v>
      </c>
      <c r="K2055" t="str">
        <f>VLOOKUP(Table2[[#This Row],[Customer ID]],Table2[#All],10,FALSE)</f>
        <v>Normal</v>
      </c>
    </row>
    <row r="2056" spans="1:11" ht="15.6" x14ac:dyDescent="0.3">
      <c r="A2056" s="1" t="s">
        <v>312</v>
      </c>
      <c r="B2056" t="str">
        <f>VLOOKUP('Customer Names'!A2056,'Customer Names'!$A$1:$E$2336,4,FALSE)</f>
        <v>Ms.  Brooke</v>
      </c>
      <c r="C2056">
        <f>VLOOKUP(Table2[[#This Row],[Customer ID]],Table2[#All],2,FALSE)</f>
        <v>24.51</v>
      </c>
      <c r="D2056">
        <f>VLOOKUP(Table2[[#This Row],[Customer ID]],Table2[#All],3,FALSE)</f>
        <v>4.24</v>
      </c>
      <c r="E2056" t="str">
        <f>VLOOKUP(Table2[[#This Row],[Customer ID]],Table2[#All],4,FALSE)</f>
        <v>No</v>
      </c>
      <c r="F2056" t="str">
        <f>VLOOKUP(Table2[[#This Row],[Customer ID]],Table2[#All],5,FALSE)</f>
        <v>No</v>
      </c>
      <c r="G2056" t="str">
        <f>VLOOKUP(Table2[[#This Row],[Customer ID]],Table2[#All],6,FALSE)</f>
        <v>Yes</v>
      </c>
      <c r="H2056">
        <f>VLOOKUP(Table2[[#This Row],[Customer ID]],Table2[#All],7,FALSE)</f>
        <v>1</v>
      </c>
      <c r="I2056" t="str">
        <f>VLOOKUP(Table2[[#This Row],[Customer ID]],Table2[#All],8,FALSE)</f>
        <v>No</v>
      </c>
      <c r="J2056" t="str">
        <f>VLOOKUP(Table2[[#This Row],[Customer ID]],Table2[#All],9,FALSE)</f>
        <v>Normalweight</v>
      </c>
      <c r="K2056" t="str">
        <f>VLOOKUP(Table2[[#This Row],[Customer ID]],Table2[#All],10,FALSE)</f>
        <v>Normal</v>
      </c>
    </row>
    <row r="2057" spans="1:11" ht="15.6" x14ac:dyDescent="0.3">
      <c r="A2057" s="1" t="s">
        <v>311</v>
      </c>
      <c r="B2057" t="str">
        <f>VLOOKUP('Customer Names'!A2057,'Customer Names'!$A$1:$E$2336,4,FALSE)</f>
        <v>Mr.  Jeremy M</v>
      </c>
      <c r="C2057">
        <f>VLOOKUP(Table2[[#This Row],[Customer ID]],Table2[#All],2,FALSE)</f>
        <v>31.065000000000001</v>
      </c>
      <c r="D2057">
        <f>VLOOKUP(Table2[[#This Row],[Customer ID]],Table2[#All],3,FALSE)</f>
        <v>4.57</v>
      </c>
      <c r="E2057" t="str">
        <f>VLOOKUP(Table2[[#This Row],[Customer ID]],Table2[#All],4,FALSE)</f>
        <v>Yes</v>
      </c>
      <c r="F2057" t="str">
        <f>VLOOKUP(Table2[[#This Row],[Customer ID]],Table2[#All],5,FALSE)</f>
        <v>No</v>
      </c>
      <c r="G2057" t="str">
        <f>VLOOKUP(Table2[[#This Row],[Customer ID]],Table2[#All],6,FALSE)</f>
        <v>No</v>
      </c>
      <c r="H2057">
        <f>VLOOKUP(Table2[[#This Row],[Customer ID]],Table2[#All],7,FALSE)</f>
        <v>0</v>
      </c>
      <c r="I2057" t="str">
        <f>VLOOKUP(Table2[[#This Row],[Customer ID]],Table2[#All],8,FALSE)</f>
        <v>No</v>
      </c>
      <c r="J2057" t="str">
        <f>VLOOKUP(Table2[[#This Row],[Customer ID]],Table2[#All],9,FALSE)</f>
        <v>Obesity</v>
      </c>
      <c r="K2057" t="str">
        <f>VLOOKUP(Table2[[#This Row],[Customer ID]],Table2[#All],10,FALSE)</f>
        <v>Normal</v>
      </c>
    </row>
    <row r="2058" spans="1:11" ht="15.6" x14ac:dyDescent="0.3">
      <c r="A2058" s="1" t="s">
        <v>310</v>
      </c>
      <c r="B2058" t="str">
        <f>VLOOKUP('Customer Names'!A2058,'Customer Names'!$A$1:$E$2336,4,FALSE)</f>
        <v>Ms.  Megan L.</v>
      </c>
      <c r="C2058">
        <f>VLOOKUP(Table2[[#This Row],[Customer ID]],Table2[#All],2,FALSE)</f>
        <v>28.12</v>
      </c>
      <c r="D2058">
        <f>VLOOKUP(Table2[[#This Row],[Customer ID]],Table2[#All],3,FALSE)</f>
        <v>5.05</v>
      </c>
      <c r="E2058" t="str">
        <f>VLOOKUP(Table2[[#This Row],[Customer ID]],Table2[#All],4,FALSE)</f>
        <v>No</v>
      </c>
      <c r="F2058" t="str">
        <f>VLOOKUP(Table2[[#This Row],[Customer ID]],Table2[#All],5,FALSE)</f>
        <v>No</v>
      </c>
      <c r="G2058" t="str">
        <f>VLOOKUP(Table2[[#This Row],[Customer ID]],Table2[#All],6,FALSE)</f>
        <v>No</v>
      </c>
      <c r="H2058">
        <f>VLOOKUP(Table2[[#This Row],[Customer ID]],Table2[#All],7,FALSE)</f>
        <v>0</v>
      </c>
      <c r="I2058" t="str">
        <f>VLOOKUP(Table2[[#This Row],[Customer ID]],Table2[#All],8,FALSE)</f>
        <v>No</v>
      </c>
      <c r="J2058" t="str">
        <f>VLOOKUP(Table2[[#This Row],[Customer ID]],Table2[#All],9,FALSE)</f>
        <v>Overweight</v>
      </c>
      <c r="K2058" t="str">
        <f>VLOOKUP(Table2[[#This Row],[Customer ID]],Table2[#All],10,FALSE)</f>
        <v>Normal</v>
      </c>
    </row>
    <row r="2059" spans="1:11" ht="15.6" x14ac:dyDescent="0.3">
      <c r="A2059" s="1" t="s">
        <v>309</v>
      </c>
      <c r="B2059" t="str">
        <f>VLOOKUP('Customer Names'!A2059,'Customer Names'!$A$1:$E$2336,4,FALSE)</f>
        <v>Mr.  Bryan</v>
      </c>
      <c r="C2059">
        <f>VLOOKUP(Table2[[#This Row],[Customer ID]],Table2[#All],2,FALSE)</f>
        <v>38.06</v>
      </c>
      <c r="D2059">
        <f>VLOOKUP(Table2[[#This Row],[Customer ID]],Table2[#All],3,FALSE)</f>
        <v>6.16</v>
      </c>
      <c r="E2059" t="str">
        <f>VLOOKUP(Table2[[#This Row],[Customer ID]],Table2[#All],4,FALSE)</f>
        <v>No</v>
      </c>
      <c r="F2059" t="str">
        <f>VLOOKUP(Table2[[#This Row],[Customer ID]],Table2[#All],5,FALSE)</f>
        <v>No</v>
      </c>
      <c r="G2059" t="str">
        <f>VLOOKUP(Table2[[#This Row],[Customer ID]],Table2[#All],6,FALSE)</f>
        <v>No</v>
      </c>
      <c r="H2059">
        <f>VLOOKUP(Table2[[#This Row],[Customer ID]],Table2[#All],7,FALSE)</f>
        <v>0</v>
      </c>
      <c r="I2059" t="str">
        <f>VLOOKUP(Table2[[#This Row],[Customer ID]],Table2[#All],8,FALSE)</f>
        <v>No</v>
      </c>
      <c r="J2059" t="str">
        <f>VLOOKUP(Table2[[#This Row],[Customer ID]],Table2[#All],9,FALSE)</f>
        <v>Obesity</v>
      </c>
      <c r="K2059" t="str">
        <f>VLOOKUP(Table2[[#This Row],[Customer ID]],Table2[#All],10,FALSE)</f>
        <v>Prediabetes</v>
      </c>
    </row>
    <row r="2060" spans="1:11" ht="15.6" x14ac:dyDescent="0.3">
      <c r="A2060" s="1" t="s">
        <v>308</v>
      </c>
      <c r="B2060" t="str">
        <f>VLOOKUP('Customer Names'!A2060,'Customer Names'!$A$1:$E$2336,4,FALSE)</f>
        <v>Ms.  Marny</v>
      </c>
      <c r="C2060">
        <f>VLOOKUP(Table2[[#This Row],[Customer ID]],Table2[#All],2,FALSE)</f>
        <v>24.96</v>
      </c>
      <c r="D2060">
        <f>VLOOKUP(Table2[[#This Row],[Customer ID]],Table2[#All],3,FALSE)</f>
        <v>4.57</v>
      </c>
      <c r="E2060" t="str">
        <f>VLOOKUP(Table2[[#This Row],[Customer ID]],Table2[#All],4,FALSE)</f>
        <v>No</v>
      </c>
      <c r="F2060" t="str">
        <f>VLOOKUP(Table2[[#This Row],[Customer ID]],Table2[#All],5,FALSE)</f>
        <v>No</v>
      </c>
      <c r="G2060" t="str">
        <f>VLOOKUP(Table2[[#This Row],[Customer ID]],Table2[#All],6,FALSE)</f>
        <v>No</v>
      </c>
      <c r="H2060">
        <f>VLOOKUP(Table2[[#This Row],[Customer ID]],Table2[#All],7,FALSE)</f>
        <v>0</v>
      </c>
      <c r="I2060" t="str">
        <f>VLOOKUP(Table2[[#This Row],[Customer ID]],Table2[#All],8,FALSE)</f>
        <v>No</v>
      </c>
      <c r="J2060" t="str">
        <f>VLOOKUP(Table2[[#This Row],[Customer ID]],Table2[#All],9,FALSE)</f>
        <v>Normalweight</v>
      </c>
      <c r="K2060" t="str">
        <f>VLOOKUP(Table2[[#This Row],[Customer ID]],Table2[#All],10,FALSE)</f>
        <v>Normal</v>
      </c>
    </row>
    <row r="2061" spans="1:11" ht="15.6" x14ac:dyDescent="0.3">
      <c r="A2061" s="1" t="s">
        <v>307</v>
      </c>
      <c r="B2061" t="str">
        <f>VLOOKUP('Customer Names'!A2061,'Customer Names'!$A$1:$E$2336,4,FALSE)</f>
        <v>Mr.  Marc</v>
      </c>
      <c r="C2061">
        <f>VLOOKUP(Table2[[#This Row],[Customer ID]],Table2[#All],2,FALSE)</f>
        <v>17.670000000000002</v>
      </c>
      <c r="D2061">
        <f>VLOOKUP(Table2[[#This Row],[Customer ID]],Table2[#All],3,FALSE)</f>
        <v>5.53</v>
      </c>
      <c r="E2061" t="str">
        <f>VLOOKUP(Table2[[#This Row],[Customer ID]],Table2[#All],4,FALSE)</f>
        <v>Yes</v>
      </c>
      <c r="F2061" t="str">
        <f>VLOOKUP(Table2[[#This Row],[Customer ID]],Table2[#All],5,FALSE)</f>
        <v>No</v>
      </c>
      <c r="G2061" t="str">
        <f>VLOOKUP(Table2[[#This Row],[Customer ID]],Table2[#All],6,FALSE)</f>
        <v>No</v>
      </c>
      <c r="H2061">
        <f>VLOOKUP(Table2[[#This Row],[Customer ID]],Table2[#All],7,FALSE)</f>
        <v>0</v>
      </c>
      <c r="I2061" t="str">
        <f>VLOOKUP(Table2[[#This Row],[Customer ID]],Table2[#All],8,FALSE)</f>
        <v>No</v>
      </c>
      <c r="J2061" t="str">
        <f>VLOOKUP(Table2[[#This Row],[Customer ID]],Table2[#All],9,FALSE)</f>
        <v>Underweight</v>
      </c>
      <c r="K2061" t="str">
        <f>VLOOKUP(Table2[[#This Row],[Customer ID]],Table2[#All],10,FALSE)</f>
        <v>Normal</v>
      </c>
    </row>
    <row r="2062" spans="1:11" ht="15.6" x14ac:dyDescent="0.3">
      <c r="A2062" s="1" t="s">
        <v>306</v>
      </c>
      <c r="B2062" t="str">
        <f>VLOOKUP('Customer Names'!A2062,'Customer Names'!$A$1:$E$2336,4,FALSE)</f>
        <v>Mr.  Benjamin L</v>
      </c>
      <c r="C2062">
        <f>VLOOKUP(Table2[[#This Row],[Customer ID]],Table2[#All],2,FALSE)</f>
        <v>31.35</v>
      </c>
      <c r="D2062">
        <f>VLOOKUP(Table2[[#This Row],[Customer ID]],Table2[#All],3,FALSE)</f>
        <v>5.84</v>
      </c>
      <c r="E2062" t="str">
        <f>VLOOKUP(Table2[[#This Row],[Customer ID]],Table2[#All],4,FALSE)</f>
        <v>No</v>
      </c>
      <c r="F2062" t="str">
        <f>VLOOKUP(Table2[[#This Row],[Customer ID]],Table2[#All],5,FALSE)</f>
        <v>yes</v>
      </c>
      <c r="G2062" t="str">
        <f>VLOOKUP(Table2[[#This Row],[Customer ID]],Table2[#All],6,FALSE)</f>
        <v>No</v>
      </c>
      <c r="H2062">
        <f>VLOOKUP(Table2[[#This Row],[Customer ID]],Table2[#All],7,FALSE)</f>
        <v>1</v>
      </c>
      <c r="I2062" t="str">
        <f>VLOOKUP(Table2[[#This Row],[Customer ID]],Table2[#All],8,FALSE)</f>
        <v>No</v>
      </c>
      <c r="J2062" t="str">
        <f>VLOOKUP(Table2[[#This Row],[Customer ID]],Table2[#All],9,FALSE)</f>
        <v>Obesity</v>
      </c>
      <c r="K2062" t="str">
        <f>VLOOKUP(Table2[[#This Row],[Customer ID]],Table2[#All],10,FALSE)</f>
        <v>Prediabetes</v>
      </c>
    </row>
    <row r="2063" spans="1:11" ht="15.6" x14ac:dyDescent="0.3">
      <c r="A2063" s="1" t="s">
        <v>305</v>
      </c>
      <c r="B2063" t="str">
        <f>VLOOKUP('Customer Names'!A2063,'Customer Names'!$A$1:$E$2336,4,FALSE)</f>
        <v>Mr.  Rob G</v>
      </c>
      <c r="C2063">
        <f>VLOOKUP(Table2[[#This Row],[Customer ID]],Table2[#All],2,FALSE)</f>
        <v>28.31</v>
      </c>
      <c r="D2063">
        <f>VLOOKUP(Table2[[#This Row],[Customer ID]],Table2[#All],3,FALSE)</f>
        <v>6.41</v>
      </c>
      <c r="E2063" t="str">
        <f>VLOOKUP(Table2[[#This Row],[Customer ID]],Table2[#All],4,FALSE)</f>
        <v>No</v>
      </c>
      <c r="F2063" t="str">
        <f>VLOOKUP(Table2[[#This Row],[Customer ID]],Table2[#All],5,FALSE)</f>
        <v>yes</v>
      </c>
      <c r="G2063" t="str">
        <f>VLOOKUP(Table2[[#This Row],[Customer ID]],Table2[#All],6,FALSE)</f>
        <v>No</v>
      </c>
      <c r="H2063">
        <f>VLOOKUP(Table2[[#This Row],[Customer ID]],Table2[#All],7,FALSE)</f>
        <v>1</v>
      </c>
      <c r="I2063" t="str">
        <f>VLOOKUP(Table2[[#This Row],[Customer ID]],Table2[#All],8,FALSE)</f>
        <v>No</v>
      </c>
      <c r="J2063" t="str">
        <f>VLOOKUP(Table2[[#This Row],[Customer ID]],Table2[#All],9,FALSE)</f>
        <v>Overweight</v>
      </c>
      <c r="K2063" t="str">
        <f>VLOOKUP(Table2[[#This Row],[Customer ID]],Table2[#All],10,FALSE)</f>
        <v>Prediabetes</v>
      </c>
    </row>
    <row r="2064" spans="1:11" ht="15.6" x14ac:dyDescent="0.3">
      <c r="A2064" s="1" t="s">
        <v>304</v>
      </c>
      <c r="B2064" t="str">
        <f>VLOOKUP('Customer Names'!A2064,'Customer Names'!$A$1:$E$2336,4,FALSE)</f>
        <v>Ms.  Stefanie A</v>
      </c>
      <c r="C2064">
        <f>VLOOKUP(Table2[[#This Row],[Customer ID]],Table2[#All],2,FALSE)</f>
        <v>30.3</v>
      </c>
      <c r="D2064">
        <f>VLOOKUP(Table2[[#This Row],[Customer ID]],Table2[#All],3,FALSE)</f>
        <v>4.7300000000000004</v>
      </c>
      <c r="E2064" t="str">
        <f>VLOOKUP(Table2[[#This Row],[Customer ID]],Table2[#All],4,FALSE)</f>
        <v>Yes</v>
      </c>
      <c r="F2064" t="str">
        <f>VLOOKUP(Table2[[#This Row],[Customer ID]],Table2[#All],5,FALSE)</f>
        <v>No</v>
      </c>
      <c r="G2064" t="str">
        <f>VLOOKUP(Table2[[#This Row],[Customer ID]],Table2[#All],6,FALSE)</f>
        <v>Yes</v>
      </c>
      <c r="H2064">
        <f>VLOOKUP(Table2[[#This Row],[Customer ID]],Table2[#All],7,FALSE)</f>
        <v>1</v>
      </c>
      <c r="I2064" t="str">
        <f>VLOOKUP(Table2[[#This Row],[Customer ID]],Table2[#All],8,FALSE)</f>
        <v>No</v>
      </c>
      <c r="J2064" t="str">
        <f>VLOOKUP(Table2[[#This Row],[Customer ID]],Table2[#All],9,FALSE)</f>
        <v>Obesity</v>
      </c>
      <c r="K2064" t="str">
        <f>VLOOKUP(Table2[[#This Row],[Customer ID]],Table2[#All],10,FALSE)</f>
        <v>Normal</v>
      </c>
    </row>
    <row r="2065" spans="1:11" ht="15.6" x14ac:dyDescent="0.3">
      <c r="A2065" s="1" t="s">
        <v>303</v>
      </c>
      <c r="B2065" t="str">
        <f>VLOOKUP('Customer Names'!A2065,'Customer Names'!$A$1:$E$2336,4,FALSE)</f>
        <v>Ms.  Stephanie</v>
      </c>
      <c r="C2065">
        <f>VLOOKUP(Table2[[#This Row],[Customer ID]],Table2[#All],2,FALSE)</f>
        <v>26.4</v>
      </c>
      <c r="D2065">
        <f>VLOOKUP(Table2[[#This Row],[Customer ID]],Table2[#All],3,FALSE)</f>
        <v>6.22</v>
      </c>
      <c r="E2065" t="str">
        <f>VLOOKUP(Table2[[#This Row],[Customer ID]],Table2[#All],4,FALSE)</f>
        <v>Yes</v>
      </c>
      <c r="F2065" t="str">
        <f>VLOOKUP(Table2[[#This Row],[Customer ID]],Table2[#All],5,FALSE)</f>
        <v>No</v>
      </c>
      <c r="G2065" t="str">
        <f>VLOOKUP(Table2[[#This Row],[Customer ID]],Table2[#All],6,FALSE)</f>
        <v>No</v>
      </c>
      <c r="H2065">
        <f>VLOOKUP(Table2[[#This Row],[Customer ID]],Table2[#All],7,FALSE)</f>
        <v>0</v>
      </c>
      <c r="I2065" t="str">
        <f>VLOOKUP(Table2[[#This Row],[Customer ID]],Table2[#All],8,FALSE)</f>
        <v>No</v>
      </c>
      <c r="J2065" t="str">
        <f>VLOOKUP(Table2[[#This Row],[Customer ID]],Table2[#All],9,FALSE)</f>
        <v>Overweight</v>
      </c>
      <c r="K2065" t="str">
        <f>VLOOKUP(Table2[[#This Row],[Customer ID]],Table2[#All],10,FALSE)</f>
        <v>Prediabetes</v>
      </c>
    </row>
    <row r="2066" spans="1:11" ht="15.6" x14ac:dyDescent="0.3">
      <c r="A2066" s="1" t="s">
        <v>302</v>
      </c>
      <c r="B2066" t="str">
        <f>VLOOKUP('Customer Names'!A2066,'Customer Names'!$A$1:$E$2336,4,FALSE)</f>
        <v>Ms.  Caroline F.</v>
      </c>
      <c r="C2066">
        <f>VLOOKUP(Table2[[#This Row],[Customer ID]],Table2[#All],2,FALSE)</f>
        <v>22.135000000000002</v>
      </c>
      <c r="D2066">
        <f>VLOOKUP(Table2[[#This Row],[Customer ID]],Table2[#All],3,FALSE)</f>
        <v>4.46</v>
      </c>
      <c r="E2066" t="str">
        <f>VLOOKUP(Table2[[#This Row],[Customer ID]],Table2[#All],4,FALSE)</f>
        <v>Yes</v>
      </c>
      <c r="F2066" t="str">
        <f>VLOOKUP(Table2[[#This Row],[Customer ID]],Table2[#All],5,FALSE)</f>
        <v>No</v>
      </c>
      <c r="G2066" t="str">
        <f>VLOOKUP(Table2[[#This Row],[Customer ID]],Table2[#All],6,FALSE)</f>
        <v>No</v>
      </c>
      <c r="H2066">
        <f>VLOOKUP(Table2[[#This Row],[Customer ID]],Table2[#All],7,FALSE)</f>
        <v>0</v>
      </c>
      <c r="I2066" t="str">
        <f>VLOOKUP(Table2[[#This Row],[Customer ID]],Table2[#All],8,FALSE)</f>
        <v>No</v>
      </c>
      <c r="J2066" t="str">
        <f>VLOOKUP(Table2[[#This Row],[Customer ID]],Table2[#All],9,FALSE)</f>
        <v>Normalweight</v>
      </c>
      <c r="K2066" t="str">
        <f>VLOOKUP(Table2[[#This Row],[Customer ID]],Table2[#All],10,FALSE)</f>
        <v>Normal</v>
      </c>
    </row>
    <row r="2067" spans="1:11" ht="15.6" x14ac:dyDescent="0.3">
      <c r="A2067" s="1" t="s">
        <v>301</v>
      </c>
      <c r="B2067" t="str">
        <f>VLOOKUP('Customer Names'!A2067,'Customer Names'!$A$1:$E$2336,4,FALSE)</f>
        <v>Ms.  Julia J.</v>
      </c>
      <c r="C2067">
        <f>VLOOKUP(Table2[[#This Row],[Customer ID]],Table2[#All],2,FALSE)</f>
        <v>17.399999999999999</v>
      </c>
      <c r="D2067">
        <f>VLOOKUP(Table2[[#This Row],[Customer ID]],Table2[#All],3,FALSE)</f>
        <v>4.5</v>
      </c>
      <c r="E2067" t="str">
        <f>VLOOKUP(Table2[[#This Row],[Customer ID]],Table2[#All],4,FALSE)</f>
        <v>Yes</v>
      </c>
      <c r="F2067" t="str">
        <f>VLOOKUP(Table2[[#This Row],[Customer ID]],Table2[#All],5,FALSE)</f>
        <v>No</v>
      </c>
      <c r="G2067" t="str">
        <f>VLOOKUP(Table2[[#This Row],[Customer ID]],Table2[#All],6,FALSE)</f>
        <v>No</v>
      </c>
      <c r="H2067">
        <f>VLOOKUP(Table2[[#This Row],[Customer ID]],Table2[#All],7,FALSE)</f>
        <v>0</v>
      </c>
      <c r="I2067" t="str">
        <f>VLOOKUP(Table2[[#This Row],[Customer ID]],Table2[#All],8,FALSE)</f>
        <v>No</v>
      </c>
      <c r="J2067" t="str">
        <f>VLOOKUP(Table2[[#This Row],[Customer ID]],Table2[#All],9,FALSE)</f>
        <v>Underweight</v>
      </c>
      <c r="K2067" t="str">
        <f>VLOOKUP(Table2[[#This Row],[Customer ID]],Table2[#All],10,FALSE)</f>
        <v>Normal</v>
      </c>
    </row>
    <row r="2068" spans="1:11" ht="15.6" x14ac:dyDescent="0.3">
      <c r="A2068" s="1" t="s">
        <v>299</v>
      </c>
      <c r="B2068" t="str">
        <f>VLOOKUP('Customer Names'!A2068,'Customer Names'!$A$1:$E$2336,4,FALSE)</f>
        <v>Mr.  Jack</v>
      </c>
      <c r="C2068">
        <f>VLOOKUP(Table2[[#This Row],[Customer ID]],Table2[#All],2,FALSE)</f>
        <v>28.06</v>
      </c>
      <c r="D2068">
        <f>VLOOKUP(Table2[[#This Row],[Customer ID]],Table2[#All],3,FALSE)</f>
        <v>8.93</v>
      </c>
      <c r="E2068" t="str">
        <f>VLOOKUP(Table2[[#This Row],[Customer ID]],Table2[#All],4,FALSE)</f>
        <v>No</v>
      </c>
      <c r="F2068" t="str">
        <f>VLOOKUP(Table2[[#This Row],[Customer ID]],Table2[#All],5,FALSE)</f>
        <v>No</v>
      </c>
      <c r="G2068" t="str">
        <f>VLOOKUP(Table2[[#This Row],[Customer ID]],Table2[#All],6,FALSE)</f>
        <v>No</v>
      </c>
      <c r="H2068">
        <f>VLOOKUP(Table2[[#This Row],[Customer ID]],Table2[#All],7,FALSE)</f>
        <v>0</v>
      </c>
      <c r="I2068" t="str">
        <f>VLOOKUP(Table2[[#This Row],[Customer ID]],Table2[#All],8,FALSE)</f>
        <v>No</v>
      </c>
      <c r="J2068" t="str">
        <f>VLOOKUP(Table2[[#This Row],[Customer ID]],Table2[#All],9,FALSE)</f>
        <v>Overweight</v>
      </c>
      <c r="K2068" t="str">
        <f>VLOOKUP(Table2[[#This Row],[Customer ID]],Table2[#All],10,FALSE)</f>
        <v>Diabetes</v>
      </c>
    </row>
    <row r="2069" spans="1:11" ht="15.6" x14ac:dyDescent="0.3">
      <c r="A2069" s="1" t="s">
        <v>298</v>
      </c>
      <c r="B2069" t="str">
        <f>VLOOKUP('Customer Names'!A2069,'Customer Names'!$A$1:$E$2336,4,FALSE)</f>
        <v>Mr.  Bernat</v>
      </c>
      <c r="C2069">
        <f>VLOOKUP(Table2[[#This Row],[Customer ID]],Table2[#All],2,FALSE)</f>
        <v>31.13</v>
      </c>
      <c r="D2069">
        <f>VLOOKUP(Table2[[#This Row],[Customer ID]],Table2[#All],3,FALSE)</f>
        <v>11.02</v>
      </c>
      <c r="E2069" t="str">
        <f>VLOOKUP(Table2[[#This Row],[Customer ID]],Table2[#All],4,FALSE)</f>
        <v>No</v>
      </c>
      <c r="F2069" t="str">
        <f>VLOOKUP(Table2[[#This Row],[Customer ID]],Table2[#All],5,FALSE)</f>
        <v>No</v>
      </c>
      <c r="G2069" t="str">
        <f>VLOOKUP(Table2[[#This Row],[Customer ID]],Table2[#All],6,FALSE)</f>
        <v>No</v>
      </c>
      <c r="H2069">
        <f>VLOOKUP(Table2[[#This Row],[Customer ID]],Table2[#All],7,FALSE)</f>
        <v>0</v>
      </c>
      <c r="I2069" t="str">
        <f>VLOOKUP(Table2[[#This Row],[Customer ID]],Table2[#All],8,FALSE)</f>
        <v>No</v>
      </c>
      <c r="J2069" t="str">
        <f>VLOOKUP(Table2[[#This Row],[Customer ID]],Table2[#All],9,FALSE)</f>
        <v>Obesity</v>
      </c>
      <c r="K2069" t="str">
        <f>VLOOKUP(Table2[[#This Row],[Customer ID]],Table2[#All],10,FALSE)</f>
        <v>Diabetes</v>
      </c>
    </row>
    <row r="2070" spans="1:11" ht="15.6" x14ac:dyDescent="0.3">
      <c r="A2070" s="1" t="s">
        <v>297</v>
      </c>
      <c r="B2070" t="str">
        <f>VLOOKUP('Customer Names'!A2070,'Customer Names'!$A$1:$E$2336,4,FALSE)</f>
        <v>Mr.  Hicham</v>
      </c>
      <c r="C2070">
        <f>VLOOKUP(Table2[[#This Row],[Customer ID]],Table2[#All],2,FALSE)</f>
        <v>18.46</v>
      </c>
      <c r="D2070">
        <f>VLOOKUP(Table2[[#This Row],[Customer ID]],Table2[#All],3,FALSE)</f>
        <v>5.25</v>
      </c>
      <c r="E2070" t="str">
        <f>VLOOKUP(Table2[[#This Row],[Customer ID]],Table2[#All],4,FALSE)</f>
        <v>No</v>
      </c>
      <c r="F2070" t="str">
        <f>VLOOKUP(Table2[[#This Row],[Customer ID]],Table2[#All],5,FALSE)</f>
        <v>No</v>
      </c>
      <c r="G2070" t="str">
        <f>VLOOKUP(Table2[[#This Row],[Customer ID]],Table2[#All],6,FALSE)</f>
        <v>No</v>
      </c>
      <c r="H2070">
        <f>VLOOKUP(Table2[[#This Row],[Customer ID]],Table2[#All],7,FALSE)</f>
        <v>0</v>
      </c>
      <c r="I2070" t="str">
        <f>VLOOKUP(Table2[[#This Row],[Customer ID]],Table2[#All],8,FALSE)</f>
        <v>No</v>
      </c>
      <c r="J2070" t="str">
        <f>VLOOKUP(Table2[[#This Row],[Customer ID]],Table2[#All],9,FALSE)</f>
        <v>Underweight</v>
      </c>
      <c r="K2070" t="str">
        <f>VLOOKUP(Table2[[#This Row],[Customer ID]],Table2[#All],10,FALSE)</f>
        <v>Normal</v>
      </c>
    </row>
    <row r="2071" spans="1:11" ht="15.6" x14ac:dyDescent="0.3">
      <c r="A2071" s="1" t="s">
        <v>296</v>
      </c>
      <c r="B2071" t="str">
        <f>VLOOKUP('Customer Names'!A2071,'Customer Names'!$A$1:$E$2336,4,FALSE)</f>
        <v>Ms.  Sarah</v>
      </c>
      <c r="C2071">
        <f>VLOOKUP(Table2[[#This Row],[Customer ID]],Table2[#All],2,FALSE)</f>
        <v>17.3</v>
      </c>
      <c r="D2071">
        <f>VLOOKUP(Table2[[#This Row],[Customer ID]],Table2[#All],3,FALSE)</f>
        <v>4.75</v>
      </c>
      <c r="E2071" t="str">
        <f>VLOOKUP(Table2[[#This Row],[Customer ID]],Table2[#All],4,FALSE)</f>
        <v>No</v>
      </c>
      <c r="F2071" t="str">
        <f>VLOOKUP(Table2[[#This Row],[Customer ID]],Table2[#All],5,FALSE)</f>
        <v>No</v>
      </c>
      <c r="G2071" t="str">
        <f>VLOOKUP(Table2[[#This Row],[Customer ID]],Table2[#All],6,FALSE)</f>
        <v>No</v>
      </c>
      <c r="H2071">
        <f>VLOOKUP(Table2[[#This Row],[Customer ID]],Table2[#All],7,FALSE)</f>
        <v>0</v>
      </c>
      <c r="I2071" t="str">
        <f>VLOOKUP(Table2[[#This Row],[Customer ID]],Table2[#All],8,FALSE)</f>
        <v>No</v>
      </c>
      <c r="J2071" t="str">
        <f>VLOOKUP(Table2[[#This Row],[Customer ID]],Table2[#All],9,FALSE)</f>
        <v>Underweight</v>
      </c>
      <c r="K2071" t="str">
        <f>VLOOKUP(Table2[[#This Row],[Customer ID]],Table2[#All],10,FALSE)</f>
        <v>Normal</v>
      </c>
    </row>
    <row r="2072" spans="1:11" ht="15.6" x14ac:dyDescent="0.3">
      <c r="A2072" s="1" t="s">
        <v>295</v>
      </c>
      <c r="B2072" t="str">
        <f>VLOOKUP('Customer Names'!A2072,'Customer Names'!$A$1:$E$2336,4,FALSE)</f>
        <v>Mr.  Anthony S</v>
      </c>
      <c r="C2072">
        <f>VLOOKUP(Table2[[#This Row],[Customer ID]],Table2[#All],2,FALSE)</f>
        <v>35.625</v>
      </c>
      <c r="D2072">
        <f>VLOOKUP(Table2[[#This Row],[Customer ID]],Table2[#All],3,FALSE)</f>
        <v>4.68</v>
      </c>
      <c r="E2072" t="str">
        <f>VLOOKUP(Table2[[#This Row],[Customer ID]],Table2[#All],4,FALSE)</f>
        <v>Yes</v>
      </c>
      <c r="F2072" t="str">
        <f>VLOOKUP(Table2[[#This Row],[Customer ID]],Table2[#All],5,FALSE)</f>
        <v>No</v>
      </c>
      <c r="G2072" t="str">
        <f>VLOOKUP(Table2[[#This Row],[Customer ID]],Table2[#All],6,FALSE)</f>
        <v>Yes</v>
      </c>
      <c r="H2072">
        <f>VLOOKUP(Table2[[#This Row],[Customer ID]],Table2[#All],7,FALSE)</f>
        <v>1</v>
      </c>
      <c r="I2072" t="str">
        <f>VLOOKUP(Table2[[#This Row],[Customer ID]],Table2[#All],8,FALSE)</f>
        <v>No</v>
      </c>
      <c r="J2072" t="str">
        <f>VLOOKUP(Table2[[#This Row],[Customer ID]],Table2[#All],9,FALSE)</f>
        <v>Obesity</v>
      </c>
      <c r="K2072" t="str">
        <f>VLOOKUP(Table2[[#This Row],[Customer ID]],Table2[#All],10,FALSE)</f>
        <v>Normal</v>
      </c>
    </row>
    <row r="2073" spans="1:11" ht="15.6" x14ac:dyDescent="0.3">
      <c r="A2073" s="1" t="s">
        <v>294</v>
      </c>
      <c r="B2073" t="str">
        <f>VLOOKUP('Customer Names'!A2073,'Customer Names'!$A$1:$E$2336,4,FALSE)</f>
        <v>Ms.  Elisabetta</v>
      </c>
      <c r="C2073">
        <f>VLOOKUP(Table2[[#This Row],[Customer ID]],Table2[#All],2,FALSE)</f>
        <v>20.234999999999999</v>
      </c>
      <c r="D2073">
        <f>VLOOKUP(Table2[[#This Row],[Customer ID]],Table2[#All],3,FALSE)</f>
        <v>6.17</v>
      </c>
      <c r="E2073" t="str">
        <f>VLOOKUP(Table2[[#This Row],[Customer ID]],Table2[#All],4,FALSE)</f>
        <v>Yes</v>
      </c>
      <c r="F2073" t="str">
        <f>VLOOKUP(Table2[[#This Row],[Customer ID]],Table2[#All],5,FALSE)</f>
        <v>yes</v>
      </c>
      <c r="G2073" t="str">
        <f>VLOOKUP(Table2[[#This Row],[Customer ID]],Table2[#All],6,FALSE)</f>
        <v>No</v>
      </c>
      <c r="H2073">
        <f>VLOOKUP(Table2[[#This Row],[Customer ID]],Table2[#All],7,FALSE)</f>
        <v>2</v>
      </c>
      <c r="I2073" t="str">
        <f>VLOOKUP(Table2[[#This Row],[Customer ID]],Table2[#All],8,FALSE)</f>
        <v>No</v>
      </c>
      <c r="J2073" t="str">
        <f>VLOOKUP(Table2[[#This Row],[Customer ID]],Table2[#All],9,FALSE)</f>
        <v>Normalweight</v>
      </c>
      <c r="K2073" t="str">
        <f>VLOOKUP(Table2[[#This Row],[Customer ID]],Table2[#All],10,FALSE)</f>
        <v>Prediabetes</v>
      </c>
    </row>
    <row r="2074" spans="1:11" ht="15.6" x14ac:dyDescent="0.3">
      <c r="A2074" s="1" t="s">
        <v>293</v>
      </c>
      <c r="B2074" t="str">
        <f>VLOOKUP('Customer Names'!A2074,'Customer Names'!$A$1:$E$2336,4,FALSE)</f>
        <v>Mr.  Trevor N.</v>
      </c>
      <c r="C2074">
        <f>VLOOKUP(Table2[[#This Row],[Customer ID]],Table2[#All],2,FALSE)</f>
        <v>27.55</v>
      </c>
      <c r="D2074">
        <f>VLOOKUP(Table2[[#This Row],[Customer ID]],Table2[#All],3,FALSE)</f>
        <v>4.5599999999999996</v>
      </c>
      <c r="E2074" t="str">
        <f>VLOOKUP(Table2[[#This Row],[Customer ID]],Table2[#All],4,FALSE)</f>
        <v>Yes</v>
      </c>
      <c r="F2074" t="str">
        <f>VLOOKUP(Table2[[#This Row],[Customer ID]],Table2[#All],5,FALSE)</f>
        <v>No</v>
      </c>
      <c r="G2074" t="str">
        <f>VLOOKUP(Table2[[#This Row],[Customer ID]],Table2[#All],6,FALSE)</f>
        <v>Yes</v>
      </c>
      <c r="H2074">
        <f>VLOOKUP(Table2[[#This Row],[Customer ID]],Table2[#All],7,FALSE)</f>
        <v>1</v>
      </c>
      <c r="I2074" t="str">
        <f>VLOOKUP(Table2[[#This Row],[Customer ID]],Table2[#All],8,FALSE)</f>
        <v>No</v>
      </c>
      <c r="J2074" t="str">
        <f>VLOOKUP(Table2[[#This Row],[Customer ID]],Table2[#All],9,FALSE)</f>
        <v>Overweight</v>
      </c>
      <c r="K2074" t="str">
        <f>VLOOKUP(Table2[[#This Row],[Customer ID]],Table2[#All],10,FALSE)</f>
        <v>Normal</v>
      </c>
    </row>
    <row r="2075" spans="1:11" ht="15.6" x14ac:dyDescent="0.3">
      <c r="A2075" s="1" t="s">
        <v>292</v>
      </c>
      <c r="B2075" t="str">
        <f>VLOOKUP('Customer Names'!A2075,'Customer Names'!$A$1:$E$2336,4,FALSE)</f>
        <v>Ms.  Nancy</v>
      </c>
      <c r="C2075">
        <f>VLOOKUP(Table2[[#This Row],[Customer ID]],Table2[#All],2,FALSE)</f>
        <v>17.97</v>
      </c>
      <c r="D2075">
        <f>VLOOKUP(Table2[[#This Row],[Customer ID]],Table2[#All],3,FALSE)</f>
        <v>6.3</v>
      </c>
      <c r="E2075" t="str">
        <f>VLOOKUP(Table2[[#This Row],[Customer ID]],Table2[#All],4,FALSE)</f>
        <v>No</v>
      </c>
      <c r="F2075" t="str">
        <f>VLOOKUP(Table2[[#This Row],[Customer ID]],Table2[#All],5,FALSE)</f>
        <v>No</v>
      </c>
      <c r="G2075" t="str">
        <f>VLOOKUP(Table2[[#This Row],[Customer ID]],Table2[#All],6,FALSE)</f>
        <v>No</v>
      </c>
      <c r="H2075">
        <f>VLOOKUP(Table2[[#This Row],[Customer ID]],Table2[#All],7,FALSE)</f>
        <v>0</v>
      </c>
      <c r="I2075" t="str">
        <f>VLOOKUP(Table2[[#This Row],[Customer ID]],Table2[#All],8,FALSE)</f>
        <v>No</v>
      </c>
      <c r="J2075" t="str">
        <f>VLOOKUP(Table2[[#This Row],[Customer ID]],Table2[#All],9,FALSE)</f>
        <v>Underweight</v>
      </c>
      <c r="K2075" t="str">
        <f>VLOOKUP(Table2[[#This Row],[Customer ID]],Table2[#All],10,FALSE)</f>
        <v>Prediabetes</v>
      </c>
    </row>
    <row r="2076" spans="1:11" ht="15.6" x14ac:dyDescent="0.3">
      <c r="A2076" s="1" t="s">
        <v>291</v>
      </c>
      <c r="B2076" t="str">
        <f>VLOOKUP('Customer Names'!A2076,'Customer Names'!$A$1:$E$2336,4,FALSE)</f>
        <v>Ms.  Allison R.</v>
      </c>
      <c r="C2076">
        <f>VLOOKUP(Table2[[#This Row],[Customer ID]],Table2[#All],2,FALSE)</f>
        <v>29.98</v>
      </c>
      <c r="D2076">
        <f>VLOOKUP(Table2[[#This Row],[Customer ID]],Table2[#All],3,FALSE)</f>
        <v>6.03</v>
      </c>
      <c r="E2076" t="str">
        <f>VLOOKUP(Table2[[#This Row],[Customer ID]],Table2[#All],4,FALSE)</f>
        <v>No</v>
      </c>
      <c r="F2076" t="str">
        <f>VLOOKUP(Table2[[#This Row],[Customer ID]],Table2[#All],5,FALSE)</f>
        <v>yes</v>
      </c>
      <c r="G2076" t="str">
        <f>VLOOKUP(Table2[[#This Row],[Customer ID]],Table2[#All],6,FALSE)</f>
        <v>No</v>
      </c>
      <c r="H2076">
        <f>VLOOKUP(Table2[[#This Row],[Customer ID]],Table2[#All],7,FALSE)</f>
        <v>1</v>
      </c>
      <c r="I2076" t="str">
        <f>VLOOKUP(Table2[[#This Row],[Customer ID]],Table2[#All],8,FALSE)</f>
        <v>No</v>
      </c>
      <c r="J2076" t="str">
        <f>VLOOKUP(Table2[[#This Row],[Customer ID]],Table2[#All],9,FALSE)</f>
        <v>Overweight</v>
      </c>
      <c r="K2076" t="str">
        <f>VLOOKUP(Table2[[#This Row],[Customer ID]],Table2[#All],10,FALSE)</f>
        <v>Prediabetes</v>
      </c>
    </row>
    <row r="2077" spans="1:11" ht="15.6" x14ac:dyDescent="0.3">
      <c r="A2077" s="1" t="s">
        <v>290</v>
      </c>
      <c r="B2077" t="str">
        <f>VLOOKUP('Customer Names'!A2077,'Customer Names'!$A$1:$E$2336,4,FALSE)</f>
        <v>Mr.  Robert J.</v>
      </c>
      <c r="C2077">
        <f>VLOOKUP(Table2[[#This Row],[Customer ID]],Table2[#All],2,FALSE)</f>
        <v>33.659999999999997</v>
      </c>
      <c r="D2077">
        <f>VLOOKUP(Table2[[#This Row],[Customer ID]],Table2[#All],3,FALSE)</f>
        <v>4.2</v>
      </c>
      <c r="E2077" t="str">
        <f>VLOOKUP(Table2[[#This Row],[Customer ID]],Table2[#All],4,FALSE)</f>
        <v>Yes</v>
      </c>
      <c r="F2077" t="str">
        <f>VLOOKUP(Table2[[#This Row],[Customer ID]],Table2[#All],5,FALSE)</f>
        <v>No</v>
      </c>
      <c r="G2077" t="str">
        <f>VLOOKUP(Table2[[#This Row],[Customer ID]],Table2[#All],6,FALSE)</f>
        <v>No</v>
      </c>
      <c r="H2077">
        <f>VLOOKUP(Table2[[#This Row],[Customer ID]],Table2[#All],7,FALSE)</f>
        <v>1</v>
      </c>
      <c r="I2077" t="str">
        <f>VLOOKUP(Table2[[#This Row],[Customer ID]],Table2[#All],8,FALSE)</f>
        <v>No</v>
      </c>
      <c r="J2077" t="str">
        <f>VLOOKUP(Table2[[#This Row],[Customer ID]],Table2[#All],9,FALSE)</f>
        <v>Obesity</v>
      </c>
      <c r="K2077" t="str">
        <f>VLOOKUP(Table2[[#This Row],[Customer ID]],Table2[#All],10,FALSE)</f>
        <v>Normal</v>
      </c>
    </row>
    <row r="2078" spans="1:11" ht="15.6" x14ac:dyDescent="0.3">
      <c r="A2078" s="1" t="s">
        <v>289</v>
      </c>
      <c r="B2078" t="str">
        <f>VLOOKUP('Customer Names'!A2078,'Customer Names'!$A$1:$E$2336,4,FALSE)</f>
        <v>Mr.  Nicholas</v>
      </c>
      <c r="C2078">
        <f>VLOOKUP(Table2[[#This Row],[Customer ID]],Table2[#All],2,FALSE)</f>
        <v>32.67</v>
      </c>
      <c r="D2078">
        <f>VLOOKUP(Table2[[#This Row],[Customer ID]],Table2[#All],3,FALSE)</f>
        <v>5.61</v>
      </c>
      <c r="E2078" t="str">
        <f>VLOOKUP(Table2[[#This Row],[Customer ID]],Table2[#All],4,FALSE)</f>
        <v>Yes</v>
      </c>
      <c r="F2078" t="str">
        <f>VLOOKUP(Table2[[#This Row],[Customer ID]],Table2[#All],5,FALSE)</f>
        <v>No</v>
      </c>
      <c r="G2078" t="str">
        <f>VLOOKUP(Table2[[#This Row],[Customer ID]],Table2[#All],6,FALSE)</f>
        <v>No</v>
      </c>
      <c r="H2078">
        <f>VLOOKUP(Table2[[#This Row],[Customer ID]],Table2[#All],7,FALSE)</f>
        <v>1</v>
      </c>
      <c r="I2078" t="str">
        <f>VLOOKUP(Table2[[#This Row],[Customer ID]],Table2[#All],8,FALSE)</f>
        <v>No</v>
      </c>
      <c r="J2078" t="str">
        <f>VLOOKUP(Table2[[#This Row],[Customer ID]],Table2[#All],9,FALSE)</f>
        <v>Obesity</v>
      </c>
      <c r="K2078" t="str">
        <f>VLOOKUP(Table2[[#This Row],[Customer ID]],Table2[#All],10,FALSE)</f>
        <v>Normal</v>
      </c>
    </row>
    <row r="2079" spans="1:11" ht="15.6" x14ac:dyDescent="0.3">
      <c r="A2079" s="1" t="s">
        <v>288</v>
      </c>
      <c r="B2079" t="str">
        <f>VLOOKUP('Customer Names'!A2079,'Customer Names'!$A$1:$E$2336,4,FALSE)</f>
        <v>Mr.  Kevin L</v>
      </c>
      <c r="C2079">
        <f>VLOOKUP(Table2[[#This Row],[Customer ID]],Table2[#All],2,FALSE)</f>
        <v>30.5</v>
      </c>
      <c r="D2079">
        <f>VLOOKUP(Table2[[#This Row],[Customer ID]],Table2[#All],3,FALSE)</f>
        <v>5.88</v>
      </c>
      <c r="E2079" t="str">
        <f>VLOOKUP(Table2[[#This Row],[Customer ID]],Table2[#All],4,FALSE)</f>
        <v>Yes</v>
      </c>
      <c r="F2079" t="str">
        <f>VLOOKUP(Table2[[#This Row],[Customer ID]],Table2[#All],5,FALSE)</f>
        <v>No</v>
      </c>
      <c r="G2079" t="str">
        <f>VLOOKUP(Table2[[#This Row],[Customer ID]],Table2[#All],6,FALSE)</f>
        <v>No</v>
      </c>
      <c r="H2079">
        <f>VLOOKUP(Table2[[#This Row],[Customer ID]],Table2[#All],7,FALSE)</f>
        <v>1</v>
      </c>
      <c r="I2079" t="str">
        <f>VLOOKUP(Table2[[#This Row],[Customer ID]],Table2[#All],8,FALSE)</f>
        <v>No</v>
      </c>
      <c r="J2079" t="str">
        <f>VLOOKUP(Table2[[#This Row],[Customer ID]],Table2[#All],9,FALSE)</f>
        <v>Obesity</v>
      </c>
      <c r="K2079" t="str">
        <f>VLOOKUP(Table2[[#This Row],[Customer ID]],Table2[#All],10,FALSE)</f>
        <v>Prediabetes</v>
      </c>
    </row>
    <row r="2080" spans="1:11" ht="15.6" x14ac:dyDescent="0.3">
      <c r="A2080" s="1" t="s">
        <v>287</v>
      </c>
      <c r="B2080" t="str">
        <f>VLOOKUP('Customer Names'!A2080,'Customer Names'!$A$1:$E$2336,4,FALSE)</f>
        <v>Mr.  Bryan</v>
      </c>
      <c r="C2080">
        <f>VLOOKUP(Table2[[#This Row],[Customer ID]],Table2[#All],2,FALSE)</f>
        <v>23.1</v>
      </c>
      <c r="D2080">
        <f>VLOOKUP(Table2[[#This Row],[Customer ID]],Table2[#All],3,FALSE)</f>
        <v>5.92</v>
      </c>
      <c r="E2080" t="str">
        <f>VLOOKUP(Table2[[#This Row],[Customer ID]],Table2[#All],4,FALSE)</f>
        <v>Yes</v>
      </c>
      <c r="F2080" t="str">
        <f>VLOOKUP(Table2[[#This Row],[Customer ID]],Table2[#All],5,FALSE)</f>
        <v>No</v>
      </c>
      <c r="G2080" t="str">
        <f>VLOOKUP(Table2[[#This Row],[Customer ID]],Table2[#All],6,FALSE)</f>
        <v>No</v>
      </c>
      <c r="H2080">
        <f>VLOOKUP(Table2[[#This Row],[Customer ID]],Table2[#All],7,FALSE)</f>
        <v>1</v>
      </c>
      <c r="I2080" t="str">
        <f>VLOOKUP(Table2[[#This Row],[Customer ID]],Table2[#All],8,FALSE)</f>
        <v>No</v>
      </c>
      <c r="J2080" t="str">
        <f>VLOOKUP(Table2[[#This Row],[Customer ID]],Table2[#All],9,FALSE)</f>
        <v>Normalweight</v>
      </c>
      <c r="K2080" t="str">
        <f>VLOOKUP(Table2[[#This Row],[Customer ID]],Table2[#All],10,FALSE)</f>
        <v>Prediabetes</v>
      </c>
    </row>
    <row r="2081" spans="1:11" ht="15.6" x14ac:dyDescent="0.3">
      <c r="A2081" s="1" t="s">
        <v>286</v>
      </c>
      <c r="B2081" t="str">
        <f>VLOOKUP('Customer Names'!A2081,'Customer Names'!$A$1:$E$2336,4,FALSE)</f>
        <v>Ms.  Janae N.</v>
      </c>
      <c r="C2081">
        <f>VLOOKUP(Table2[[#This Row],[Customer ID]],Table2[#All],2,FALSE)</f>
        <v>39.49</v>
      </c>
      <c r="D2081">
        <f>VLOOKUP(Table2[[#This Row],[Customer ID]],Table2[#All],3,FALSE)</f>
        <v>4.8099999999999996</v>
      </c>
      <c r="E2081" t="str">
        <f>VLOOKUP(Table2[[#This Row],[Customer ID]],Table2[#All],4,FALSE)</f>
        <v>No</v>
      </c>
      <c r="F2081" t="str">
        <f>VLOOKUP(Table2[[#This Row],[Customer ID]],Table2[#All],5,FALSE)</f>
        <v>No</v>
      </c>
      <c r="G2081" t="str">
        <f>VLOOKUP(Table2[[#This Row],[Customer ID]],Table2[#All],6,FALSE)</f>
        <v>No</v>
      </c>
      <c r="H2081">
        <f>VLOOKUP(Table2[[#This Row],[Customer ID]],Table2[#All],7,FALSE)</f>
        <v>1</v>
      </c>
      <c r="I2081" t="str">
        <f>VLOOKUP(Table2[[#This Row],[Customer ID]],Table2[#All],8,FALSE)</f>
        <v>No</v>
      </c>
      <c r="J2081" t="str">
        <f>VLOOKUP(Table2[[#This Row],[Customer ID]],Table2[#All],9,FALSE)</f>
        <v>Obesity</v>
      </c>
      <c r="K2081" t="str">
        <f>VLOOKUP(Table2[[#This Row],[Customer ID]],Table2[#All],10,FALSE)</f>
        <v>Normal</v>
      </c>
    </row>
    <row r="2082" spans="1:11" ht="15.6" x14ac:dyDescent="0.3">
      <c r="A2082" s="1" t="s">
        <v>285</v>
      </c>
      <c r="B2082" t="str">
        <f>VLOOKUP('Customer Names'!A2082,'Customer Names'!$A$1:$E$2336,4,FALSE)</f>
        <v>Ms.  Audrey</v>
      </c>
      <c r="C2082">
        <f>VLOOKUP(Table2[[#This Row],[Customer ID]],Table2[#All],2,FALSE)</f>
        <v>33.99</v>
      </c>
      <c r="D2082">
        <f>VLOOKUP(Table2[[#This Row],[Customer ID]],Table2[#All],3,FALSE)</f>
        <v>4.55</v>
      </c>
      <c r="E2082" t="str">
        <f>VLOOKUP(Table2[[#This Row],[Customer ID]],Table2[#All],4,FALSE)</f>
        <v>No</v>
      </c>
      <c r="F2082" t="str">
        <f>VLOOKUP(Table2[[#This Row],[Customer ID]],Table2[#All],5,FALSE)</f>
        <v>No</v>
      </c>
      <c r="G2082" t="str">
        <f>VLOOKUP(Table2[[#This Row],[Customer ID]],Table2[#All],6,FALSE)</f>
        <v>No</v>
      </c>
      <c r="H2082">
        <f>VLOOKUP(Table2[[#This Row],[Customer ID]],Table2[#All],7,FALSE)</f>
        <v>1</v>
      </c>
      <c r="I2082" t="str">
        <f>VLOOKUP(Table2[[#This Row],[Customer ID]],Table2[#All],8,FALSE)</f>
        <v>No</v>
      </c>
      <c r="J2082" t="str">
        <f>VLOOKUP(Table2[[#This Row],[Customer ID]],Table2[#All],9,FALSE)</f>
        <v>Obesity</v>
      </c>
      <c r="K2082" t="str">
        <f>VLOOKUP(Table2[[#This Row],[Customer ID]],Table2[#All],10,FALSE)</f>
        <v>Normal</v>
      </c>
    </row>
    <row r="2083" spans="1:11" ht="15.6" x14ac:dyDescent="0.3">
      <c r="A2083" s="1" t="s">
        <v>284</v>
      </c>
      <c r="B2083" t="str">
        <f>VLOOKUP('Customer Names'!A2083,'Customer Names'!$A$1:$E$2336,4,FALSE)</f>
        <v>Ms.  Laura</v>
      </c>
      <c r="C2083">
        <f>VLOOKUP(Table2[[#This Row],[Customer ID]],Table2[#All],2,FALSE)</f>
        <v>27.72</v>
      </c>
      <c r="D2083">
        <f>VLOOKUP(Table2[[#This Row],[Customer ID]],Table2[#All],3,FALSE)</f>
        <v>6.43</v>
      </c>
      <c r="E2083" t="str">
        <f>VLOOKUP(Table2[[#This Row],[Customer ID]],Table2[#All],4,FALSE)</f>
        <v>No</v>
      </c>
      <c r="F2083" t="str">
        <f>VLOOKUP(Table2[[#This Row],[Customer ID]],Table2[#All],5,FALSE)</f>
        <v>No</v>
      </c>
      <c r="G2083" t="str">
        <f>VLOOKUP(Table2[[#This Row],[Customer ID]],Table2[#All],6,FALSE)</f>
        <v>No</v>
      </c>
      <c r="H2083">
        <f>VLOOKUP(Table2[[#This Row],[Customer ID]],Table2[#All],7,FALSE)</f>
        <v>1</v>
      </c>
      <c r="I2083" t="str">
        <f>VLOOKUP(Table2[[#This Row],[Customer ID]],Table2[#All],8,FALSE)</f>
        <v>No</v>
      </c>
      <c r="J2083" t="str">
        <f>VLOOKUP(Table2[[#This Row],[Customer ID]],Table2[#All],9,FALSE)</f>
        <v>Overweight</v>
      </c>
      <c r="K2083" t="str">
        <f>VLOOKUP(Table2[[#This Row],[Customer ID]],Table2[#All],10,FALSE)</f>
        <v>Prediabetes</v>
      </c>
    </row>
    <row r="2084" spans="1:11" ht="15.6" x14ac:dyDescent="0.3">
      <c r="A2084" s="1" t="s">
        <v>283</v>
      </c>
      <c r="B2084" t="str">
        <f>VLOOKUP('Customer Names'!A2084,'Customer Names'!$A$1:$E$2336,4,FALSE)</f>
        <v>Ms.  Nicole F</v>
      </c>
      <c r="C2084">
        <f>VLOOKUP(Table2[[#This Row],[Customer ID]],Table2[#All],2,FALSE)</f>
        <v>30.59</v>
      </c>
      <c r="D2084">
        <f>VLOOKUP(Table2[[#This Row],[Customer ID]],Table2[#All],3,FALSE)</f>
        <v>11.62</v>
      </c>
      <c r="E2084" t="str">
        <f>VLOOKUP(Table2[[#This Row],[Customer ID]],Table2[#All],4,FALSE)</f>
        <v>No</v>
      </c>
      <c r="F2084" t="str">
        <f>VLOOKUP(Table2[[#This Row],[Customer ID]],Table2[#All],5,FALSE)</f>
        <v>No</v>
      </c>
      <c r="G2084" t="str">
        <f>VLOOKUP(Table2[[#This Row],[Customer ID]],Table2[#All],6,FALSE)</f>
        <v>No</v>
      </c>
      <c r="H2084">
        <f>VLOOKUP(Table2[[#This Row],[Customer ID]],Table2[#All],7,FALSE)</f>
        <v>0</v>
      </c>
      <c r="I2084" t="str">
        <f>VLOOKUP(Table2[[#This Row],[Customer ID]],Table2[#All],8,FALSE)</f>
        <v>No</v>
      </c>
      <c r="J2084" t="str">
        <f>VLOOKUP(Table2[[#This Row],[Customer ID]],Table2[#All],9,FALSE)</f>
        <v>Obesity</v>
      </c>
      <c r="K2084" t="str">
        <f>VLOOKUP(Table2[[#This Row],[Customer ID]],Table2[#All],10,FALSE)</f>
        <v>Diabetes</v>
      </c>
    </row>
    <row r="2085" spans="1:11" ht="15.6" x14ac:dyDescent="0.3">
      <c r="A2085" s="1" t="s">
        <v>282</v>
      </c>
      <c r="B2085" t="str">
        <f>VLOOKUP('Customer Names'!A2085,'Customer Names'!$A$1:$E$2336,4,FALSE)</f>
        <v>Ms.  Krista L</v>
      </c>
      <c r="C2085">
        <f>VLOOKUP(Table2[[#This Row],[Customer ID]],Table2[#All],2,FALSE)</f>
        <v>22.6</v>
      </c>
      <c r="D2085">
        <f>VLOOKUP(Table2[[#This Row],[Customer ID]],Table2[#All],3,FALSE)</f>
        <v>6.04</v>
      </c>
      <c r="E2085" t="str">
        <f>VLOOKUP(Table2[[#This Row],[Customer ID]],Table2[#All],4,FALSE)</f>
        <v>No</v>
      </c>
      <c r="F2085" t="str">
        <f>VLOOKUP(Table2[[#This Row],[Customer ID]],Table2[#All],5,FALSE)</f>
        <v>No</v>
      </c>
      <c r="G2085" t="str">
        <f>VLOOKUP(Table2[[#This Row],[Customer ID]],Table2[#All],6,FALSE)</f>
        <v>No</v>
      </c>
      <c r="H2085">
        <f>VLOOKUP(Table2[[#This Row],[Customer ID]],Table2[#All],7,FALSE)</f>
        <v>1</v>
      </c>
      <c r="I2085" t="str">
        <f>VLOOKUP(Table2[[#This Row],[Customer ID]],Table2[#All],8,FALSE)</f>
        <v>No</v>
      </c>
      <c r="J2085" t="str">
        <f>VLOOKUP(Table2[[#This Row],[Customer ID]],Table2[#All],9,FALSE)</f>
        <v>Normalweight</v>
      </c>
      <c r="K2085" t="str">
        <f>VLOOKUP(Table2[[#This Row],[Customer ID]],Table2[#All],10,FALSE)</f>
        <v>Prediabetes</v>
      </c>
    </row>
    <row r="2086" spans="1:11" ht="15.6" x14ac:dyDescent="0.3">
      <c r="A2086" s="1" t="s">
        <v>281</v>
      </c>
      <c r="B2086" t="str">
        <f>VLOOKUP('Customer Names'!A2086,'Customer Names'!$A$1:$E$2336,4,FALSE)</f>
        <v>Ms.  Denise</v>
      </c>
      <c r="C2086">
        <f>VLOOKUP(Table2[[#This Row],[Customer ID]],Table2[#All],2,FALSE)</f>
        <v>28.785</v>
      </c>
      <c r="D2086">
        <f>VLOOKUP(Table2[[#This Row],[Customer ID]],Table2[#All],3,FALSE)</f>
        <v>8.82</v>
      </c>
      <c r="E2086" t="str">
        <f>VLOOKUP(Table2[[#This Row],[Customer ID]],Table2[#All],4,FALSE)</f>
        <v>No</v>
      </c>
      <c r="F2086" t="str">
        <f>VLOOKUP(Table2[[#This Row],[Customer ID]],Table2[#All],5,FALSE)</f>
        <v>No</v>
      </c>
      <c r="G2086" t="str">
        <f>VLOOKUP(Table2[[#This Row],[Customer ID]],Table2[#All],6,FALSE)</f>
        <v>No</v>
      </c>
      <c r="H2086">
        <f>VLOOKUP(Table2[[#This Row],[Customer ID]],Table2[#All],7,FALSE)</f>
        <v>0</v>
      </c>
      <c r="I2086" t="str">
        <f>VLOOKUP(Table2[[#This Row],[Customer ID]],Table2[#All],8,FALSE)</f>
        <v>No</v>
      </c>
      <c r="J2086" t="str">
        <f>VLOOKUP(Table2[[#This Row],[Customer ID]],Table2[#All],9,FALSE)</f>
        <v>Overweight</v>
      </c>
      <c r="K2086" t="str">
        <f>VLOOKUP(Table2[[#This Row],[Customer ID]],Table2[#All],10,FALSE)</f>
        <v>Diabetes</v>
      </c>
    </row>
    <row r="2087" spans="1:11" ht="15.6" x14ac:dyDescent="0.3">
      <c r="A2087" s="1" t="s">
        <v>280</v>
      </c>
      <c r="B2087" t="str">
        <f>VLOOKUP('Customer Names'!A2087,'Customer Names'!$A$1:$E$2336,4,FALSE)</f>
        <v>Mr.  Ariel</v>
      </c>
      <c r="C2087">
        <f>VLOOKUP(Table2[[#This Row],[Customer ID]],Table2[#All],2,FALSE)</f>
        <v>50.38</v>
      </c>
      <c r="D2087">
        <f>VLOOKUP(Table2[[#This Row],[Customer ID]],Table2[#All],3,FALSE)</f>
        <v>5.8</v>
      </c>
      <c r="E2087" t="str">
        <f>VLOOKUP(Table2[[#This Row],[Customer ID]],Table2[#All],4,FALSE)</f>
        <v>No</v>
      </c>
      <c r="F2087" t="str">
        <f>VLOOKUP(Table2[[#This Row],[Customer ID]],Table2[#All],5,FALSE)</f>
        <v>No</v>
      </c>
      <c r="G2087" t="str">
        <f>VLOOKUP(Table2[[#This Row],[Customer ID]],Table2[#All],6,FALSE)</f>
        <v>No</v>
      </c>
      <c r="H2087">
        <f>VLOOKUP(Table2[[#This Row],[Customer ID]],Table2[#All],7,FALSE)</f>
        <v>0</v>
      </c>
      <c r="I2087" t="str">
        <f>VLOOKUP(Table2[[#This Row],[Customer ID]],Table2[#All],8,FALSE)</f>
        <v>No</v>
      </c>
      <c r="J2087" t="str">
        <f>VLOOKUP(Table2[[#This Row],[Customer ID]],Table2[#All],9,FALSE)</f>
        <v>Obesity</v>
      </c>
      <c r="K2087" t="str">
        <f>VLOOKUP(Table2[[#This Row],[Customer ID]],Table2[#All],10,FALSE)</f>
        <v>Prediabetes</v>
      </c>
    </row>
    <row r="2088" spans="1:11" ht="15.6" x14ac:dyDescent="0.3">
      <c r="A2088" s="1" t="s">
        <v>279</v>
      </c>
      <c r="B2088" t="str">
        <f>VLOOKUP('Customer Names'!A2088,'Customer Names'!$A$1:$E$2336,4,FALSE)</f>
        <v>Mr.  Jeremy</v>
      </c>
      <c r="C2088">
        <f>VLOOKUP(Table2[[#This Row],[Customer ID]],Table2[#All],2,FALSE)</f>
        <v>35.200000000000003</v>
      </c>
      <c r="D2088">
        <f>VLOOKUP(Table2[[#This Row],[Customer ID]],Table2[#All],3,FALSE)</f>
        <v>4.28</v>
      </c>
      <c r="E2088" t="str">
        <f>VLOOKUP(Table2[[#This Row],[Customer ID]],Table2[#All],4,FALSE)</f>
        <v>No</v>
      </c>
      <c r="F2088" t="str">
        <f>VLOOKUP(Table2[[#This Row],[Customer ID]],Table2[#All],5,FALSE)</f>
        <v>No</v>
      </c>
      <c r="G2088" t="str">
        <f>VLOOKUP(Table2[[#This Row],[Customer ID]],Table2[#All],6,FALSE)</f>
        <v>No</v>
      </c>
      <c r="H2088">
        <f>VLOOKUP(Table2[[#This Row],[Customer ID]],Table2[#All],7,FALSE)</f>
        <v>0</v>
      </c>
      <c r="I2088" t="str">
        <f>VLOOKUP(Table2[[#This Row],[Customer ID]],Table2[#All],8,FALSE)</f>
        <v>No</v>
      </c>
      <c r="J2088" t="str">
        <f>VLOOKUP(Table2[[#This Row],[Customer ID]],Table2[#All],9,FALSE)</f>
        <v>Obesity</v>
      </c>
      <c r="K2088" t="str">
        <f>VLOOKUP(Table2[[#This Row],[Customer ID]],Table2[#All],10,FALSE)</f>
        <v>Normal</v>
      </c>
    </row>
    <row r="2089" spans="1:11" ht="15.6" x14ac:dyDescent="0.3">
      <c r="A2089" s="1" t="s">
        <v>278</v>
      </c>
      <c r="B2089" t="str">
        <f>VLOOKUP('Customer Names'!A2089,'Customer Names'!$A$1:$E$2336,4,FALSE)</f>
        <v>Ms.  Rosalie</v>
      </c>
      <c r="C2089">
        <f>VLOOKUP(Table2[[#This Row],[Customer ID]],Table2[#All],2,FALSE)</f>
        <v>35.72</v>
      </c>
      <c r="D2089">
        <f>VLOOKUP(Table2[[#This Row],[Customer ID]],Table2[#All],3,FALSE)</f>
        <v>5.5</v>
      </c>
      <c r="E2089" t="str">
        <f>VLOOKUP(Table2[[#This Row],[Customer ID]],Table2[#All],4,FALSE)</f>
        <v>Yes</v>
      </c>
      <c r="F2089" t="str">
        <f>VLOOKUP(Table2[[#This Row],[Customer ID]],Table2[#All],5,FALSE)</f>
        <v>No</v>
      </c>
      <c r="G2089" t="str">
        <f>VLOOKUP(Table2[[#This Row],[Customer ID]],Table2[#All],6,FALSE)</f>
        <v>No</v>
      </c>
      <c r="H2089">
        <f>VLOOKUP(Table2[[#This Row],[Customer ID]],Table2[#All],7,FALSE)</f>
        <v>0</v>
      </c>
      <c r="I2089" t="str">
        <f>VLOOKUP(Table2[[#This Row],[Customer ID]],Table2[#All],8,FALSE)</f>
        <v>No</v>
      </c>
      <c r="J2089" t="str">
        <f>VLOOKUP(Table2[[#This Row],[Customer ID]],Table2[#All],9,FALSE)</f>
        <v>Obesity</v>
      </c>
      <c r="K2089" t="str">
        <f>VLOOKUP(Table2[[#This Row],[Customer ID]],Table2[#All],10,FALSE)</f>
        <v>Normal</v>
      </c>
    </row>
    <row r="2090" spans="1:11" ht="15.6" x14ac:dyDescent="0.3">
      <c r="A2090" s="1" t="s">
        <v>277</v>
      </c>
      <c r="B2090" t="str">
        <f>VLOOKUP('Customer Names'!A2090,'Customer Names'!$A$1:$E$2336,4,FALSE)</f>
        <v>Mr.  Jay</v>
      </c>
      <c r="C2090">
        <f>VLOOKUP(Table2[[#This Row],[Customer ID]],Table2[#All],2,FALSE)</f>
        <v>24.51</v>
      </c>
      <c r="D2090">
        <f>VLOOKUP(Table2[[#This Row],[Customer ID]],Table2[#All],3,FALSE)</f>
        <v>4.6900000000000004</v>
      </c>
      <c r="E2090" t="str">
        <f>VLOOKUP(Table2[[#This Row],[Customer ID]],Table2[#All],4,FALSE)</f>
        <v>No</v>
      </c>
      <c r="F2090" t="str">
        <f>VLOOKUP(Table2[[#This Row],[Customer ID]],Table2[#All],5,FALSE)</f>
        <v>No</v>
      </c>
      <c r="G2090" t="str">
        <f>VLOOKUP(Table2[[#This Row],[Customer ID]],Table2[#All],6,FALSE)</f>
        <v>No</v>
      </c>
      <c r="H2090">
        <f>VLOOKUP(Table2[[#This Row],[Customer ID]],Table2[#All],7,FALSE)</f>
        <v>0</v>
      </c>
      <c r="I2090" t="str">
        <f>VLOOKUP(Table2[[#This Row],[Customer ID]],Table2[#All],8,FALSE)</f>
        <v>No</v>
      </c>
      <c r="J2090" t="str">
        <f>VLOOKUP(Table2[[#This Row],[Customer ID]],Table2[#All],9,FALSE)</f>
        <v>Normalweight</v>
      </c>
      <c r="K2090" t="str">
        <f>VLOOKUP(Table2[[#This Row],[Customer ID]],Table2[#All],10,FALSE)</f>
        <v>Normal</v>
      </c>
    </row>
    <row r="2091" spans="1:11" ht="15.6" x14ac:dyDescent="0.3">
      <c r="A2091" s="1" t="s">
        <v>275</v>
      </c>
      <c r="B2091" t="str">
        <f>VLOOKUP('Customer Names'!A2091,'Customer Names'!$A$1:$E$2336,4,FALSE)</f>
        <v>Mr.  Vitaliy</v>
      </c>
      <c r="C2091">
        <f>VLOOKUP(Table2[[#This Row],[Customer ID]],Table2[#All],2,FALSE)</f>
        <v>23.844999999999999</v>
      </c>
      <c r="D2091">
        <f>VLOOKUP(Table2[[#This Row],[Customer ID]],Table2[#All],3,FALSE)</f>
        <v>4.43</v>
      </c>
      <c r="E2091" t="str">
        <f>VLOOKUP(Table2[[#This Row],[Customer ID]],Table2[#All],4,FALSE)</f>
        <v>No</v>
      </c>
      <c r="F2091" t="str">
        <f>VLOOKUP(Table2[[#This Row],[Customer ID]],Table2[#All],5,FALSE)</f>
        <v>No</v>
      </c>
      <c r="G2091" t="str">
        <f>VLOOKUP(Table2[[#This Row],[Customer ID]],Table2[#All],6,FALSE)</f>
        <v>No</v>
      </c>
      <c r="H2091">
        <f>VLOOKUP(Table2[[#This Row],[Customer ID]],Table2[#All],7,FALSE)</f>
        <v>0</v>
      </c>
      <c r="I2091" t="str">
        <f>VLOOKUP(Table2[[#This Row],[Customer ID]],Table2[#All],8,FALSE)</f>
        <v>No</v>
      </c>
      <c r="J2091" t="str">
        <f>VLOOKUP(Table2[[#This Row],[Customer ID]],Table2[#All],9,FALSE)</f>
        <v>Normalweight</v>
      </c>
      <c r="K2091" t="str">
        <f>VLOOKUP(Table2[[#This Row],[Customer ID]],Table2[#All],10,FALSE)</f>
        <v>Normal</v>
      </c>
    </row>
    <row r="2092" spans="1:11" ht="15.6" x14ac:dyDescent="0.3">
      <c r="A2092" s="1" t="s">
        <v>274</v>
      </c>
      <c r="B2092" t="str">
        <f>VLOOKUP('Customer Names'!A2092,'Customer Names'!$A$1:$E$2336,4,FALSE)</f>
        <v>Mr.  Benjamin W.</v>
      </c>
      <c r="C2092">
        <f>VLOOKUP(Table2[[#This Row],[Customer ID]],Table2[#All],2,FALSE)</f>
        <v>15.68</v>
      </c>
      <c r="D2092">
        <f>VLOOKUP(Table2[[#This Row],[Customer ID]],Table2[#All],3,FALSE)</f>
        <v>6.16</v>
      </c>
      <c r="E2092" t="str">
        <f>VLOOKUP(Table2[[#This Row],[Customer ID]],Table2[#All],4,FALSE)</f>
        <v>Yes</v>
      </c>
      <c r="F2092" t="str">
        <f>VLOOKUP(Table2[[#This Row],[Customer ID]],Table2[#All],5,FALSE)</f>
        <v>No</v>
      </c>
      <c r="G2092" t="str">
        <f>VLOOKUP(Table2[[#This Row],[Customer ID]],Table2[#All],6,FALSE)</f>
        <v>No</v>
      </c>
      <c r="H2092">
        <f>VLOOKUP(Table2[[#This Row],[Customer ID]],Table2[#All],7,FALSE)</f>
        <v>1</v>
      </c>
      <c r="I2092" t="str">
        <f>VLOOKUP(Table2[[#This Row],[Customer ID]],Table2[#All],8,FALSE)</f>
        <v>No</v>
      </c>
      <c r="J2092" t="str">
        <f>VLOOKUP(Table2[[#This Row],[Customer ID]],Table2[#All],9,FALSE)</f>
        <v>Underweight</v>
      </c>
      <c r="K2092" t="str">
        <f>VLOOKUP(Table2[[#This Row],[Customer ID]],Table2[#All],10,FALSE)</f>
        <v>Prediabetes</v>
      </c>
    </row>
    <row r="2093" spans="1:11" ht="15.6" x14ac:dyDescent="0.3">
      <c r="A2093" s="1" t="s">
        <v>273</v>
      </c>
      <c r="B2093" t="str">
        <f>VLOOKUP('Customer Names'!A2093,'Customer Names'!$A$1:$E$2336,4,FALSE)</f>
        <v>Mr.  Jesse</v>
      </c>
      <c r="C2093">
        <f>VLOOKUP(Table2[[#This Row],[Customer ID]],Table2[#All],2,FALSE)</f>
        <v>32.395000000000003</v>
      </c>
      <c r="D2093">
        <f>VLOOKUP(Table2[[#This Row],[Customer ID]],Table2[#All],3,FALSE)</f>
        <v>6.66</v>
      </c>
      <c r="E2093" t="str">
        <f>VLOOKUP(Table2[[#This Row],[Customer ID]],Table2[#All],4,FALSE)</f>
        <v>No</v>
      </c>
      <c r="F2093" t="str">
        <f>VLOOKUP(Table2[[#This Row],[Customer ID]],Table2[#All],5,FALSE)</f>
        <v>No</v>
      </c>
      <c r="G2093" t="str">
        <f>VLOOKUP(Table2[[#This Row],[Customer ID]],Table2[#All],6,FALSE)</f>
        <v>No</v>
      </c>
      <c r="H2093">
        <f>VLOOKUP(Table2[[#This Row],[Customer ID]],Table2[#All],7,FALSE)</f>
        <v>0</v>
      </c>
      <c r="I2093" t="str">
        <f>VLOOKUP(Table2[[#This Row],[Customer ID]],Table2[#All],8,FALSE)</f>
        <v>No</v>
      </c>
      <c r="J2093" t="str">
        <f>VLOOKUP(Table2[[#This Row],[Customer ID]],Table2[#All],9,FALSE)</f>
        <v>Obesity</v>
      </c>
      <c r="K2093" t="str">
        <f>VLOOKUP(Table2[[#This Row],[Customer ID]],Table2[#All],10,FALSE)</f>
        <v>Diabetes</v>
      </c>
    </row>
    <row r="2094" spans="1:11" ht="15.6" x14ac:dyDescent="0.3">
      <c r="A2094" s="1" t="s">
        <v>272</v>
      </c>
      <c r="B2094" t="str">
        <f>VLOOKUP('Customer Names'!A2094,'Customer Names'!$A$1:$E$2336,4,FALSE)</f>
        <v>Mr.  Mark</v>
      </c>
      <c r="C2094">
        <f>VLOOKUP(Table2[[#This Row],[Customer ID]],Table2[#All],2,FALSE)</f>
        <v>23.655000000000001</v>
      </c>
      <c r="D2094">
        <f>VLOOKUP(Table2[[#This Row],[Customer ID]],Table2[#All],3,FALSE)</f>
        <v>5.92</v>
      </c>
      <c r="E2094" t="str">
        <f>VLOOKUP(Table2[[#This Row],[Customer ID]],Table2[#All],4,FALSE)</f>
        <v>No</v>
      </c>
      <c r="F2094" t="str">
        <f>VLOOKUP(Table2[[#This Row],[Customer ID]],Table2[#All],5,FALSE)</f>
        <v>No</v>
      </c>
      <c r="G2094" t="str">
        <f>VLOOKUP(Table2[[#This Row],[Customer ID]],Table2[#All],6,FALSE)</f>
        <v>No</v>
      </c>
      <c r="H2094">
        <f>VLOOKUP(Table2[[#This Row],[Customer ID]],Table2[#All],7,FALSE)</f>
        <v>1</v>
      </c>
      <c r="I2094" t="str">
        <f>VLOOKUP(Table2[[#This Row],[Customer ID]],Table2[#All],8,FALSE)</f>
        <v>No</v>
      </c>
      <c r="J2094" t="str">
        <f>VLOOKUP(Table2[[#This Row],[Customer ID]],Table2[#All],9,FALSE)</f>
        <v>Normalweight</v>
      </c>
      <c r="K2094" t="str">
        <f>VLOOKUP(Table2[[#This Row],[Customer ID]],Table2[#All],10,FALSE)</f>
        <v>Prediabetes</v>
      </c>
    </row>
    <row r="2095" spans="1:11" ht="15.6" x14ac:dyDescent="0.3">
      <c r="A2095" s="1" t="s">
        <v>271</v>
      </c>
      <c r="B2095" t="str">
        <f>VLOOKUP('Customer Names'!A2095,'Customer Names'!$A$1:$E$2336,4,FALSE)</f>
        <v>Ms.  Lauren</v>
      </c>
      <c r="C2095">
        <f>VLOOKUP(Table2[[#This Row],[Customer ID]],Table2[#All],2,FALSE)</f>
        <v>28.4</v>
      </c>
      <c r="D2095">
        <f>VLOOKUP(Table2[[#This Row],[Customer ID]],Table2[#All],3,FALSE)</f>
        <v>5.97</v>
      </c>
      <c r="E2095" t="str">
        <f>VLOOKUP(Table2[[#This Row],[Customer ID]],Table2[#All],4,FALSE)</f>
        <v>No</v>
      </c>
      <c r="F2095" t="str">
        <f>VLOOKUP(Table2[[#This Row],[Customer ID]],Table2[#All],5,FALSE)</f>
        <v>No</v>
      </c>
      <c r="G2095" t="str">
        <f>VLOOKUP(Table2[[#This Row],[Customer ID]],Table2[#All],6,FALSE)</f>
        <v>Yes</v>
      </c>
      <c r="H2095">
        <f>VLOOKUP(Table2[[#This Row],[Customer ID]],Table2[#All],7,FALSE)</f>
        <v>1</v>
      </c>
      <c r="I2095" t="str">
        <f>VLOOKUP(Table2[[#This Row],[Customer ID]],Table2[#All],8,FALSE)</f>
        <v>No</v>
      </c>
      <c r="J2095" t="str">
        <f>VLOOKUP(Table2[[#This Row],[Customer ID]],Table2[#All],9,FALSE)</f>
        <v>Overweight</v>
      </c>
      <c r="K2095" t="str">
        <f>VLOOKUP(Table2[[#This Row],[Customer ID]],Table2[#All],10,FALSE)</f>
        <v>Prediabetes</v>
      </c>
    </row>
    <row r="2096" spans="1:11" ht="15.6" x14ac:dyDescent="0.3">
      <c r="A2096" s="1" t="s">
        <v>270</v>
      </c>
      <c r="B2096" t="str">
        <f>VLOOKUP('Customer Names'!A2096,'Customer Names'!$A$1:$E$2336,4,FALSE)</f>
        <v>Mr.  Massimiliano</v>
      </c>
      <c r="C2096">
        <f>VLOOKUP(Table2[[#This Row],[Customer ID]],Table2[#All],2,FALSE)</f>
        <v>35.42</v>
      </c>
      <c r="D2096">
        <f>VLOOKUP(Table2[[#This Row],[Customer ID]],Table2[#All],3,FALSE)</f>
        <v>4.6399999999999997</v>
      </c>
      <c r="E2096" t="str">
        <f>VLOOKUP(Table2[[#This Row],[Customer ID]],Table2[#All],4,FALSE)</f>
        <v>Yes</v>
      </c>
      <c r="F2096" t="str">
        <f>VLOOKUP(Table2[[#This Row],[Customer ID]],Table2[#All],5,FALSE)</f>
        <v>No</v>
      </c>
      <c r="G2096" t="str">
        <f>VLOOKUP(Table2[[#This Row],[Customer ID]],Table2[#All],6,FALSE)</f>
        <v>No</v>
      </c>
      <c r="H2096">
        <f>VLOOKUP(Table2[[#This Row],[Customer ID]],Table2[#All],7,FALSE)</f>
        <v>0</v>
      </c>
      <c r="I2096" t="str">
        <f>VLOOKUP(Table2[[#This Row],[Customer ID]],Table2[#All],8,FALSE)</f>
        <v>No</v>
      </c>
      <c r="J2096" t="str">
        <f>VLOOKUP(Table2[[#This Row],[Customer ID]],Table2[#All],9,FALSE)</f>
        <v>Obesity</v>
      </c>
      <c r="K2096" t="str">
        <f>VLOOKUP(Table2[[#This Row],[Customer ID]],Table2[#All],10,FALSE)</f>
        <v>Normal</v>
      </c>
    </row>
    <row r="2097" spans="1:11" ht="15.6" x14ac:dyDescent="0.3">
      <c r="A2097" s="1" t="s">
        <v>269</v>
      </c>
      <c r="B2097" t="str">
        <f>VLOOKUP('Customer Names'!A2097,'Customer Names'!$A$1:$E$2336,4,FALSE)</f>
        <v>Mr.  Josh</v>
      </c>
      <c r="C2097">
        <f>VLOOKUP(Table2[[#This Row],[Customer ID]],Table2[#All],2,FALSE)</f>
        <v>26.18</v>
      </c>
      <c r="D2097">
        <f>VLOOKUP(Table2[[#This Row],[Customer ID]],Table2[#All],3,FALSE)</f>
        <v>6.12</v>
      </c>
      <c r="E2097" t="str">
        <f>VLOOKUP(Table2[[#This Row],[Customer ID]],Table2[#All],4,FALSE)</f>
        <v>No</v>
      </c>
      <c r="F2097" t="str">
        <f>VLOOKUP(Table2[[#This Row],[Customer ID]],Table2[#All],5,FALSE)</f>
        <v>yes</v>
      </c>
      <c r="G2097" t="str">
        <f>VLOOKUP(Table2[[#This Row],[Customer ID]],Table2[#All],6,FALSE)</f>
        <v>No</v>
      </c>
      <c r="H2097">
        <f>VLOOKUP(Table2[[#This Row],[Customer ID]],Table2[#All],7,FALSE)</f>
        <v>1</v>
      </c>
      <c r="I2097" t="str">
        <f>VLOOKUP(Table2[[#This Row],[Customer ID]],Table2[#All],8,FALSE)</f>
        <v>No</v>
      </c>
      <c r="J2097" t="str">
        <f>VLOOKUP(Table2[[#This Row],[Customer ID]],Table2[#All],9,FALSE)</f>
        <v>Overweight</v>
      </c>
      <c r="K2097" t="str">
        <f>VLOOKUP(Table2[[#This Row],[Customer ID]],Table2[#All],10,FALSE)</f>
        <v>Prediabetes</v>
      </c>
    </row>
    <row r="2098" spans="1:11" ht="15.6" x14ac:dyDescent="0.3">
      <c r="A2098" s="1" t="s">
        <v>268</v>
      </c>
      <c r="B2098" t="str">
        <f>VLOOKUP('Customer Names'!A2098,'Customer Names'!$A$1:$E$2336,4,FALSE)</f>
        <v>Mr.  Kiyokatsu</v>
      </c>
      <c r="C2098">
        <f>VLOOKUP(Table2[[#This Row],[Customer ID]],Table2[#All],2,FALSE)</f>
        <v>20.8</v>
      </c>
      <c r="D2098">
        <f>VLOOKUP(Table2[[#This Row],[Customer ID]],Table2[#All],3,FALSE)</f>
        <v>4.87</v>
      </c>
      <c r="E2098" t="str">
        <f>VLOOKUP(Table2[[#This Row],[Customer ID]],Table2[#All],4,FALSE)</f>
        <v>Yes</v>
      </c>
      <c r="F2098" t="str">
        <f>VLOOKUP(Table2[[#This Row],[Customer ID]],Table2[#All],5,FALSE)</f>
        <v>No</v>
      </c>
      <c r="G2098" t="str">
        <f>VLOOKUP(Table2[[#This Row],[Customer ID]],Table2[#All],6,FALSE)</f>
        <v>No</v>
      </c>
      <c r="H2098">
        <f>VLOOKUP(Table2[[#This Row],[Customer ID]],Table2[#All],7,FALSE)</f>
        <v>0</v>
      </c>
      <c r="I2098" t="str">
        <f>VLOOKUP(Table2[[#This Row],[Customer ID]],Table2[#All],8,FALSE)</f>
        <v>No</v>
      </c>
      <c r="J2098" t="str">
        <f>VLOOKUP(Table2[[#This Row],[Customer ID]],Table2[#All],9,FALSE)</f>
        <v>Normalweight</v>
      </c>
      <c r="K2098" t="str">
        <f>VLOOKUP(Table2[[#This Row],[Customer ID]],Table2[#All],10,FALSE)</f>
        <v>Normal</v>
      </c>
    </row>
    <row r="2099" spans="1:11" ht="15.6" x14ac:dyDescent="0.3">
      <c r="A2099" s="1" t="s">
        <v>267</v>
      </c>
      <c r="B2099" t="str">
        <f>VLOOKUP('Customer Names'!A2099,'Customer Names'!$A$1:$E$2336,4,FALSE)</f>
        <v>Ms.  Amanda L</v>
      </c>
      <c r="C2099">
        <f>VLOOKUP(Table2[[#This Row],[Customer ID]],Table2[#All],2,FALSE)</f>
        <v>15.82</v>
      </c>
      <c r="D2099">
        <f>VLOOKUP(Table2[[#This Row],[Customer ID]],Table2[#All],3,FALSE)</f>
        <v>4.5999999999999996</v>
      </c>
      <c r="E2099" t="str">
        <f>VLOOKUP(Table2[[#This Row],[Customer ID]],Table2[#All],4,FALSE)</f>
        <v>No</v>
      </c>
      <c r="F2099" t="str">
        <f>VLOOKUP(Table2[[#This Row],[Customer ID]],Table2[#All],5,FALSE)</f>
        <v>No</v>
      </c>
      <c r="G2099" t="str">
        <f>VLOOKUP(Table2[[#This Row],[Customer ID]],Table2[#All],6,FALSE)</f>
        <v>No</v>
      </c>
      <c r="H2099">
        <f>VLOOKUP(Table2[[#This Row],[Customer ID]],Table2[#All],7,FALSE)</f>
        <v>0</v>
      </c>
      <c r="I2099" t="str">
        <f>VLOOKUP(Table2[[#This Row],[Customer ID]],Table2[#All],8,FALSE)</f>
        <v>No</v>
      </c>
      <c r="J2099" t="str">
        <f>VLOOKUP(Table2[[#This Row],[Customer ID]],Table2[#All],9,FALSE)</f>
        <v>Underweight</v>
      </c>
      <c r="K2099" t="str">
        <f>VLOOKUP(Table2[[#This Row],[Customer ID]],Table2[#All],10,FALSE)</f>
        <v>Normal</v>
      </c>
    </row>
    <row r="2100" spans="1:11" ht="15.6" x14ac:dyDescent="0.3">
      <c r="A2100" s="1" t="s">
        <v>266</v>
      </c>
      <c r="B2100" t="str">
        <f>VLOOKUP('Customer Names'!A2100,'Customer Names'!$A$1:$E$2336,4,FALSE)</f>
        <v>Mr.  Matthew</v>
      </c>
      <c r="C2100">
        <f>VLOOKUP(Table2[[#This Row],[Customer ID]],Table2[#All],2,FALSE)</f>
        <v>17.670000000000002</v>
      </c>
      <c r="D2100">
        <f>VLOOKUP(Table2[[#This Row],[Customer ID]],Table2[#All],3,FALSE)</f>
        <v>4.78</v>
      </c>
      <c r="E2100" t="str">
        <f>VLOOKUP(Table2[[#This Row],[Customer ID]],Table2[#All],4,FALSE)</f>
        <v>No</v>
      </c>
      <c r="F2100" t="str">
        <f>VLOOKUP(Table2[[#This Row],[Customer ID]],Table2[#All],5,FALSE)</f>
        <v>No</v>
      </c>
      <c r="G2100" t="str">
        <f>VLOOKUP(Table2[[#This Row],[Customer ID]],Table2[#All],6,FALSE)</f>
        <v>No</v>
      </c>
      <c r="H2100">
        <f>VLOOKUP(Table2[[#This Row],[Customer ID]],Table2[#All],7,FALSE)</f>
        <v>0</v>
      </c>
      <c r="I2100" t="str">
        <f>VLOOKUP(Table2[[#This Row],[Customer ID]],Table2[#All],8,FALSE)</f>
        <v>No</v>
      </c>
      <c r="J2100" t="str">
        <f>VLOOKUP(Table2[[#This Row],[Customer ID]],Table2[#All],9,FALSE)</f>
        <v>Underweight</v>
      </c>
      <c r="K2100" t="str">
        <f>VLOOKUP(Table2[[#This Row],[Customer ID]],Table2[#All],10,FALSE)</f>
        <v>Normal</v>
      </c>
    </row>
    <row r="2101" spans="1:11" ht="15.6" x14ac:dyDescent="0.3">
      <c r="A2101" s="1" t="s">
        <v>265</v>
      </c>
      <c r="B2101" t="str">
        <f>VLOOKUP('Customer Names'!A2101,'Customer Names'!$A$1:$E$2336,4,FALSE)</f>
        <v>Ms.  Julia M</v>
      </c>
      <c r="C2101">
        <f>VLOOKUP(Table2[[#This Row],[Customer ID]],Table2[#All],2,FALSE)</f>
        <v>31.92</v>
      </c>
      <c r="D2101">
        <f>VLOOKUP(Table2[[#This Row],[Customer ID]],Table2[#All],3,FALSE)</f>
        <v>11.05</v>
      </c>
      <c r="E2101" t="str">
        <f>VLOOKUP(Table2[[#This Row],[Customer ID]],Table2[#All],4,FALSE)</f>
        <v>No</v>
      </c>
      <c r="F2101" t="str">
        <f>VLOOKUP(Table2[[#This Row],[Customer ID]],Table2[#All],5,FALSE)</f>
        <v>No</v>
      </c>
      <c r="G2101" t="str">
        <f>VLOOKUP(Table2[[#This Row],[Customer ID]],Table2[#All],6,FALSE)</f>
        <v>No</v>
      </c>
      <c r="H2101">
        <f>VLOOKUP(Table2[[#This Row],[Customer ID]],Table2[#All],7,FALSE)</f>
        <v>0</v>
      </c>
      <c r="I2101" t="str">
        <f>VLOOKUP(Table2[[#This Row],[Customer ID]],Table2[#All],8,FALSE)</f>
        <v>No</v>
      </c>
      <c r="J2101" t="str">
        <f>VLOOKUP(Table2[[#This Row],[Customer ID]],Table2[#All],9,FALSE)</f>
        <v>Obesity</v>
      </c>
      <c r="K2101" t="str">
        <f>VLOOKUP(Table2[[#This Row],[Customer ID]],Table2[#All],10,FALSE)</f>
        <v>Diabetes</v>
      </c>
    </row>
    <row r="2102" spans="1:11" ht="15.6" x14ac:dyDescent="0.3">
      <c r="A2102" s="1" t="s">
        <v>264</v>
      </c>
      <c r="B2102" t="str">
        <f>VLOOKUP('Customer Names'!A2102,'Customer Names'!$A$1:$E$2336,4,FALSE)</f>
        <v>Ms.  Rhea</v>
      </c>
      <c r="C2102">
        <f>VLOOKUP(Table2[[#This Row],[Customer ID]],Table2[#All],2,FALSE)</f>
        <v>28.975000000000001</v>
      </c>
      <c r="D2102">
        <f>VLOOKUP(Table2[[#This Row],[Customer ID]],Table2[#All],3,FALSE)</f>
        <v>7.62</v>
      </c>
      <c r="E2102" t="str">
        <f>VLOOKUP(Table2[[#This Row],[Customer ID]],Table2[#All],4,FALSE)</f>
        <v>No</v>
      </c>
      <c r="F2102" t="str">
        <f>VLOOKUP(Table2[[#This Row],[Customer ID]],Table2[#All],5,FALSE)</f>
        <v>No</v>
      </c>
      <c r="G2102" t="str">
        <f>VLOOKUP(Table2[[#This Row],[Customer ID]],Table2[#All],6,FALSE)</f>
        <v>No</v>
      </c>
      <c r="H2102">
        <f>VLOOKUP(Table2[[#This Row],[Customer ID]],Table2[#All],7,FALSE)</f>
        <v>0</v>
      </c>
      <c r="I2102" t="str">
        <f>VLOOKUP(Table2[[#This Row],[Customer ID]],Table2[#All],8,FALSE)</f>
        <v>No</v>
      </c>
      <c r="J2102" t="str">
        <f>VLOOKUP(Table2[[#This Row],[Customer ID]],Table2[#All],9,FALSE)</f>
        <v>Overweight</v>
      </c>
      <c r="K2102" t="str">
        <f>VLOOKUP(Table2[[#This Row],[Customer ID]],Table2[#All],10,FALSE)</f>
        <v>Diabetes</v>
      </c>
    </row>
    <row r="2103" spans="1:11" ht="15.6" x14ac:dyDescent="0.3">
      <c r="A2103" s="1" t="s">
        <v>263</v>
      </c>
      <c r="B2103" t="str">
        <f>VLOOKUP('Customer Names'!A2103,'Customer Names'!$A$1:$E$2336,4,FALSE)</f>
        <v>Mr.  Justin</v>
      </c>
      <c r="C2103">
        <f>VLOOKUP(Table2[[#This Row],[Customer ID]],Table2[#All],2,FALSE)</f>
        <v>31.73</v>
      </c>
      <c r="D2103">
        <f>VLOOKUP(Table2[[#This Row],[Customer ID]],Table2[#All],3,FALSE)</f>
        <v>4.78</v>
      </c>
      <c r="E2103" t="str">
        <f>VLOOKUP(Table2[[#This Row],[Customer ID]],Table2[#All],4,FALSE)</f>
        <v>Yes</v>
      </c>
      <c r="F2103" t="str">
        <f>VLOOKUP(Table2[[#This Row],[Customer ID]],Table2[#All],5,FALSE)</f>
        <v>yes</v>
      </c>
      <c r="G2103" t="str">
        <f>VLOOKUP(Table2[[#This Row],[Customer ID]],Table2[#All],6,FALSE)</f>
        <v>No</v>
      </c>
      <c r="H2103">
        <f>VLOOKUP(Table2[[#This Row],[Customer ID]],Table2[#All],7,FALSE)</f>
        <v>2</v>
      </c>
      <c r="I2103" t="str">
        <f>VLOOKUP(Table2[[#This Row],[Customer ID]],Table2[#All],8,FALSE)</f>
        <v>No</v>
      </c>
      <c r="J2103" t="str">
        <f>VLOOKUP(Table2[[#This Row],[Customer ID]],Table2[#All],9,FALSE)</f>
        <v>Obesity</v>
      </c>
      <c r="K2103" t="str">
        <f>VLOOKUP(Table2[[#This Row],[Customer ID]],Table2[#All],10,FALSE)</f>
        <v>Normal</v>
      </c>
    </row>
    <row r="2104" spans="1:11" ht="15.6" x14ac:dyDescent="0.3">
      <c r="A2104" s="1" t="s">
        <v>262</v>
      </c>
      <c r="B2104" t="str">
        <f>VLOOKUP('Customer Names'!A2104,'Customer Names'!$A$1:$E$2336,4,FALSE)</f>
        <v>Mr.  Shamus M.</v>
      </c>
      <c r="C2104">
        <f>VLOOKUP(Table2[[#This Row],[Customer ID]],Table2[#All],2,FALSE)</f>
        <v>28.88</v>
      </c>
      <c r="D2104">
        <f>VLOOKUP(Table2[[#This Row],[Customer ID]],Table2[#All],3,FALSE)</f>
        <v>6.09</v>
      </c>
      <c r="E2104" t="str">
        <f>VLOOKUP(Table2[[#This Row],[Customer ID]],Table2[#All],4,FALSE)</f>
        <v>Yes</v>
      </c>
      <c r="F2104" t="str">
        <f>VLOOKUP(Table2[[#This Row],[Customer ID]],Table2[#All],5,FALSE)</f>
        <v>yes</v>
      </c>
      <c r="G2104" t="str">
        <f>VLOOKUP(Table2[[#This Row],[Customer ID]],Table2[#All],6,FALSE)</f>
        <v>No</v>
      </c>
      <c r="H2104">
        <f>VLOOKUP(Table2[[#This Row],[Customer ID]],Table2[#All],7,FALSE)</f>
        <v>2</v>
      </c>
      <c r="I2104" t="str">
        <f>VLOOKUP(Table2[[#This Row],[Customer ID]],Table2[#All],8,FALSE)</f>
        <v>No</v>
      </c>
      <c r="J2104" t="str">
        <f>VLOOKUP(Table2[[#This Row],[Customer ID]],Table2[#All],9,FALSE)</f>
        <v>Overweight</v>
      </c>
      <c r="K2104" t="str">
        <f>VLOOKUP(Table2[[#This Row],[Customer ID]],Table2[#All],10,FALSE)</f>
        <v>Prediabetes</v>
      </c>
    </row>
    <row r="2105" spans="1:11" ht="15.6" x14ac:dyDescent="0.3">
      <c r="A2105" s="1" t="s">
        <v>261</v>
      </c>
      <c r="B2105" t="str">
        <f>VLOOKUP('Customer Names'!A2105,'Customer Names'!$A$1:$E$2336,4,FALSE)</f>
        <v>Mr.  Mike</v>
      </c>
      <c r="C2105">
        <f>VLOOKUP(Table2[[#This Row],[Customer ID]],Table2[#All],2,FALSE)</f>
        <v>25.555</v>
      </c>
      <c r="D2105">
        <f>VLOOKUP(Table2[[#This Row],[Customer ID]],Table2[#All],3,FALSE)</f>
        <v>5.1100000000000003</v>
      </c>
      <c r="E2105" t="str">
        <f>VLOOKUP(Table2[[#This Row],[Customer ID]],Table2[#All],4,FALSE)</f>
        <v>No</v>
      </c>
      <c r="F2105" t="str">
        <f>VLOOKUP(Table2[[#This Row],[Customer ID]],Table2[#All],5,FALSE)</f>
        <v>No</v>
      </c>
      <c r="G2105" t="str">
        <f>VLOOKUP(Table2[[#This Row],[Customer ID]],Table2[#All],6,FALSE)</f>
        <v>Yes</v>
      </c>
      <c r="H2105">
        <f>VLOOKUP(Table2[[#This Row],[Customer ID]],Table2[#All],7,FALSE)</f>
        <v>1</v>
      </c>
      <c r="I2105" t="str">
        <f>VLOOKUP(Table2[[#This Row],[Customer ID]],Table2[#All],8,FALSE)</f>
        <v>No</v>
      </c>
      <c r="J2105" t="str">
        <f>VLOOKUP(Table2[[#This Row],[Customer ID]],Table2[#All],9,FALSE)</f>
        <v>Overweight</v>
      </c>
      <c r="K2105" t="str">
        <f>VLOOKUP(Table2[[#This Row],[Customer ID]],Table2[#All],10,FALSE)</f>
        <v>Normal</v>
      </c>
    </row>
    <row r="2106" spans="1:11" ht="15.6" x14ac:dyDescent="0.3">
      <c r="A2106" s="1" t="s">
        <v>260</v>
      </c>
      <c r="B2106" t="str">
        <f>VLOOKUP('Customer Names'!A2106,'Customer Names'!$A$1:$E$2336,4,FALSE)</f>
        <v>Ms.  Mary Beth</v>
      </c>
      <c r="C2106">
        <f>VLOOKUP(Table2[[#This Row],[Customer ID]],Table2[#All],2,FALSE)</f>
        <v>37.29</v>
      </c>
      <c r="D2106">
        <f>VLOOKUP(Table2[[#This Row],[Customer ID]],Table2[#All],3,FALSE)</f>
        <v>4.46</v>
      </c>
      <c r="E2106" t="str">
        <f>VLOOKUP(Table2[[#This Row],[Customer ID]],Table2[#All],4,FALSE)</f>
        <v>No</v>
      </c>
      <c r="F2106" t="str">
        <f>VLOOKUP(Table2[[#This Row],[Customer ID]],Table2[#All],5,FALSE)</f>
        <v>yes</v>
      </c>
      <c r="G2106" t="str">
        <f>VLOOKUP(Table2[[#This Row],[Customer ID]],Table2[#All],6,FALSE)</f>
        <v>No</v>
      </c>
      <c r="H2106">
        <f>VLOOKUP(Table2[[#This Row],[Customer ID]],Table2[#All],7,FALSE)</f>
        <v>1</v>
      </c>
      <c r="I2106" t="str">
        <f>VLOOKUP(Table2[[#This Row],[Customer ID]],Table2[#All],8,FALSE)</f>
        <v>No</v>
      </c>
      <c r="J2106" t="str">
        <f>VLOOKUP(Table2[[#This Row],[Customer ID]],Table2[#All],9,FALSE)</f>
        <v>Obesity</v>
      </c>
      <c r="K2106" t="str">
        <f>VLOOKUP(Table2[[#This Row],[Customer ID]],Table2[#All],10,FALSE)</f>
        <v>Normal</v>
      </c>
    </row>
    <row r="2107" spans="1:11" ht="15.6" x14ac:dyDescent="0.3">
      <c r="A2107" s="1" t="s">
        <v>259</v>
      </c>
      <c r="B2107" t="str">
        <f>VLOOKUP('Customer Names'!A2107,'Customer Names'!$A$1:$E$2336,4,FALSE)</f>
        <v>Ms.  Erin</v>
      </c>
      <c r="C2107">
        <f>VLOOKUP(Table2[[#This Row],[Customer ID]],Table2[#All],2,FALSE)</f>
        <v>40.28</v>
      </c>
      <c r="D2107">
        <f>VLOOKUP(Table2[[#This Row],[Customer ID]],Table2[#All],3,FALSE)</f>
        <v>6.11</v>
      </c>
      <c r="E2107" t="str">
        <f>VLOOKUP(Table2[[#This Row],[Customer ID]],Table2[#All],4,FALSE)</f>
        <v>No</v>
      </c>
      <c r="F2107" t="str">
        <f>VLOOKUP(Table2[[#This Row],[Customer ID]],Table2[#All],5,FALSE)</f>
        <v>yes</v>
      </c>
      <c r="G2107" t="str">
        <f>VLOOKUP(Table2[[#This Row],[Customer ID]],Table2[#All],6,FALSE)</f>
        <v>No</v>
      </c>
      <c r="H2107">
        <f>VLOOKUP(Table2[[#This Row],[Customer ID]],Table2[#All],7,FALSE)</f>
        <v>1</v>
      </c>
      <c r="I2107" t="str">
        <f>VLOOKUP(Table2[[#This Row],[Customer ID]],Table2[#All],8,FALSE)</f>
        <v>No</v>
      </c>
      <c r="J2107" t="str">
        <f>VLOOKUP(Table2[[#This Row],[Customer ID]],Table2[#All],9,FALSE)</f>
        <v>Obesity</v>
      </c>
      <c r="K2107" t="str">
        <f>VLOOKUP(Table2[[#This Row],[Customer ID]],Table2[#All],10,FALSE)</f>
        <v>Prediabetes</v>
      </c>
    </row>
    <row r="2108" spans="1:11" ht="15.6" x14ac:dyDescent="0.3">
      <c r="A2108" s="1" t="s">
        <v>258</v>
      </c>
      <c r="B2108" t="str">
        <f>VLOOKUP('Customer Names'!A2108,'Customer Names'!$A$1:$E$2336,4,FALSE)</f>
        <v>Ms.  Hallie</v>
      </c>
      <c r="C2108">
        <f>VLOOKUP(Table2[[#This Row],[Customer ID]],Table2[#All],2,FALSE)</f>
        <v>40.185000000000002</v>
      </c>
      <c r="D2108">
        <f>VLOOKUP(Table2[[#This Row],[Customer ID]],Table2[#All],3,FALSE)</f>
        <v>4.66</v>
      </c>
      <c r="E2108" t="str">
        <f>VLOOKUP(Table2[[#This Row],[Customer ID]],Table2[#All],4,FALSE)</f>
        <v>No</v>
      </c>
      <c r="F2108" t="str">
        <f>VLOOKUP(Table2[[#This Row],[Customer ID]],Table2[#All],5,FALSE)</f>
        <v>yes</v>
      </c>
      <c r="G2108" t="str">
        <f>VLOOKUP(Table2[[#This Row],[Customer ID]],Table2[#All],6,FALSE)</f>
        <v>No</v>
      </c>
      <c r="H2108">
        <f>VLOOKUP(Table2[[#This Row],[Customer ID]],Table2[#All],7,FALSE)</f>
        <v>1</v>
      </c>
      <c r="I2108" t="str">
        <f>VLOOKUP(Table2[[#This Row],[Customer ID]],Table2[#All],8,FALSE)</f>
        <v>No</v>
      </c>
      <c r="J2108" t="str">
        <f>VLOOKUP(Table2[[#This Row],[Customer ID]],Table2[#All],9,FALSE)</f>
        <v>Obesity</v>
      </c>
      <c r="K2108" t="str">
        <f>VLOOKUP(Table2[[#This Row],[Customer ID]],Table2[#All],10,FALSE)</f>
        <v>Normal</v>
      </c>
    </row>
    <row r="2109" spans="1:11" ht="15.6" x14ac:dyDescent="0.3">
      <c r="A2109" s="1" t="s">
        <v>257</v>
      </c>
      <c r="B2109" t="str">
        <f>VLOOKUP('Customer Names'!A2109,'Customer Names'!$A$1:$E$2336,4,FALSE)</f>
        <v>Ms.  Paige P</v>
      </c>
      <c r="C2109">
        <f>VLOOKUP(Table2[[#This Row],[Customer ID]],Table2[#All],2,FALSE)</f>
        <v>23.57</v>
      </c>
      <c r="D2109">
        <f>VLOOKUP(Table2[[#This Row],[Customer ID]],Table2[#All],3,FALSE)</f>
        <v>6.14</v>
      </c>
      <c r="E2109" t="str">
        <f>VLOOKUP(Table2[[#This Row],[Customer ID]],Table2[#All],4,FALSE)</f>
        <v>No</v>
      </c>
      <c r="F2109" t="str">
        <f>VLOOKUP(Table2[[#This Row],[Customer ID]],Table2[#All],5,FALSE)</f>
        <v>No</v>
      </c>
      <c r="G2109" t="str">
        <f>VLOOKUP(Table2[[#This Row],[Customer ID]],Table2[#All],6,FALSE)</f>
        <v>No</v>
      </c>
      <c r="H2109">
        <f>VLOOKUP(Table2[[#This Row],[Customer ID]],Table2[#All],7,FALSE)</f>
        <v>0</v>
      </c>
      <c r="I2109" t="str">
        <f>VLOOKUP(Table2[[#This Row],[Customer ID]],Table2[#All],8,FALSE)</f>
        <v>No</v>
      </c>
      <c r="J2109" t="str">
        <f>VLOOKUP(Table2[[#This Row],[Customer ID]],Table2[#All],9,FALSE)</f>
        <v>Normalweight</v>
      </c>
      <c r="K2109" t="str">
        <f>VLOOKUP(Table2[[#This Row],[Customer ID]],Table2[#All],10,FALSE)</f>
        <v>Prediabetes</v>
      </c>
    </row>
    <row r="2110" spans="1:11" ht="15.6" x14ac:dyDescent="0.3">
      <c r="A2110" s="1" t="s">
        <v>256</v>
      </c>
      <c r="B2110" t="str">
        <f>VLOOKUP('Customer Names'!A2110,'Customer Names'!$A$1:$E$2336,4,FALSE)</f>
        <v>Ms.  Ji</v>
      </c>
      <c r="C2110">
        <f>VLOOKUP(Table2[[#This Row],[Customer ID]],Table2[#All],2,FALSE)</f>
        <v>35.625</v>
      </c>
      <c r="D2110">
        <f>VLOOKUP(Table2[[#This Row],[Customer ID]],Table2[#All],3,FALSE)</f>
        <v>6.21</v>
      </c>
      <c r="E2110" t="str">
        <f>VLOOKUP(Table2[[#This Row],[Customer ID]],Table2[#All],4,FALSE)</f>
        <v>No</v>
      </c>
      <c r="F2110" t="str">
        <f>VLOOKUP(Table2[[#This Row],[Customer ID]],Table2[#All],5,FALSE)</f>
        <v>yes</v>
      </c>
      <c r="G2110" t="str">
        <f>VLOOKUP(Table2[[#This Row],[Customer ID]],Table2[#All],6,FALSE)</f>
        <v>No</v>
      </c>
      <c r="H2110">
        <f>VLOOKUP(Table2[[#This Row],[Customer ID]],Table2[#All],7,FALSE)</f>
        <v>1</v>
      </c>
      <c r="I2110" t="str">
        <f>VLOOKUP(Table2[[#This Row],[Customer ID]],Table2[#All],8,FALSE)</f>
        <v>No</v>
      </c>
      <c r="J2110" t="str">
        <f>VLOOKUP(Table2[[#This Row],[Customer ID]],Table2[#All],9,FALSE)</f>
        <v>Obesity</v>
      </c>
      <c r="K2110" t="str">
        <f>VLOOKUP(Table2[[#This Row],[Customer ID]],Table2[#All],10,FALSE)</f>
        <v>Prediabetes</v>
      </c>
    </row>
    <row r="2111" spans="1:11" ht="15.6" x14ac:dyDescent="0.3">
      <c r="A2111" s="1" t="s">
        <v>255</v>
      </c>
      <c r="B2111" t="str">
        <f>VLOOKUP('Customer Names'!A2111,'Customer Names'!$A$1:$E$2336,4,FALSE)</f>
        <v>Ms.  Carissa A</v>
      </c>
      <c r="C2111">
        <f>VLOOKUP(Table2[[#This Row],[Customer ID]],Table2[#All],2,FALSE)</f>
        <v>33.155000000000001</v>
      </c>
      <c r="D2111">
        <f>VLOOKUP(Table2[[#This Row],[Customer ID]],Table2[#All],3,FALSE)</f>
        <v>4.5999999999999996</v>
      </c>
      <c r="E2111" t="str">
        <f>VLOOKUP(Table2[[#This Row],[Customer ID]],Table2[#All],4,FALSE)</f>
        <v>No</v>
      </c>
      <c r="F2111" t="str">
        <f>VLOOKUP(Table2[[#This Row],[Customer ID]],Table2[#All],5,FALSE)</f>
        <v>yes</v>
      </c>
      <c r="G2111" t="str">
        <f>VLOOKUP(Table2[[#This Row],[Customer ID]],Table2[#All],6,FALSE)</f>
        <v>No</v>
      </c>
      <c r="H2111">
        <f>VLOOKUP(Table2[[#This Row],[Customer ID]],Table2[#All],7,FALSE)</f>
        <v>1</v>
      </c>
      <c r="I2111" t="str">
        <f>VLOOKUP(Table2[[#This Row],[Customer ID]],Table2[#All],8,FALSE)</f>
        <v>No</v>
      </c>
      <c r="J2111" t="str">
        <f>VLOOKUP(Table2[[#This Row],[Customer ID]],Table2[#All],9,FALSE)</f>
        <v>Obesity</v>
      </c>
      <c r="K2111" t="str">
        <f>VLOOKUP(Table2[[#This Row],[Customer ID]],Table2[#All],10,FALSE)</f>
        <v>Normal</v>
      </c>
    </row>
    <row r="2112" spans="1:11" ht="15.6" x14ac:dyDescent="0.3">
      <c r="A2112" s="1" t="s">
        <v>254</v>
      </c>
      <c r="B2112" t="str">
        <f>VLOOKUP('Customer Names'!A2112,'Customer Names'!$A$1:$E$2336,4,FALSE)</f>
        <v>Ms.  Mona</v>
      </c>
      <c r="C2112">
        <f>VLOOKUP(Table2[[#This Row],[Customer ID]],Table2[#All],2,FALSE)</f>
        <v>31.92</v>
      </c>
      <c r="D2112">
        <f>VLOOKUP(Table2[[#This Row],[Customer ID]],Table2[#All],3,FALSE)</f>
        <v>5.04</v>
      </c>
      <c r="E2112" t="str">
        <f>VLOOKUP(Table2[[#This Row],[Customer ID]],Table2[#All],4,FALSE)</f>
        <v>No</v>
      </c>
      <c r="F2112" t="str">
        <f>VLOOKUP(Table2[[#This Row],[Customer ID]],Table2[#All],5,FALSE)</f>
        <v>yes</v>
      </c>
      <c r="G2112" t="str">
        <f>VLOOKUP(Table2[[#This Row],[Customer ID]],Table2[#All],6,FALSE)</f>
        <v>No</v>
      </c>
      <c r="H2112">
        <f>VLOOKUP(Table2[[#This Row],[Customer ID]],Table2[#All],7,FALSE)</f>
        <v>1</v>
      </c>
      <c r="I2112" t="str">
        <f>VLOOKUP(Table2[[#This Row],[Customer ID]],Table2[#All],8,FALSE)</f>
        <v>No</v>
      </c>
      <c r="J2112" t="str">
        <f>VLOOKUP(Table2[[#This Row],[Customer ID]],Table2[#All],9,FALSE)</f>
        <v>Obesity</v>
      </c>
      <c r="K2112" t="str">
        <f>VLOOKUP(Table2[[#This Row],[Customer ID]],Table2[#All],10,FALSE)</f>
        <v>Normal</v>
      </c>
    </row>
    <row r="2113" spans="1:11" ht="15.6" x14ac:dyDescent="0.3">
      <c r="A2113" s="1" t="s">
        <v>253</v>
      </c>
      <c r="B2113" t="str">
        <f>VLOOKUP('Customer Names'!A2113,'Customer Names'!$A$1:$E$2336,4,FALSE)</f>
        <v>Ms.  Kristin R.</v>
      </c>
      <c r="C2113">
        <f>VLOOKUP(Table2[[#This Row],[Customer ID]],Table2[#All],2,FALSE)</f>
        <v>30.305</v>
      </c>
      <c r="D2113">
        <f>VLOOKUP(Table2[[#This Row],[Customer ID]],Table2[#All],3,FALSE)</f>
        <v>5.08</v>
      </c>
      <c r="E2113" t="str">
        <f>VLOOKUP(Table2[[#This Row],[Customer ID]],Table2[#All],4,FALSE)</f>
        <v>No</v>
      </c>
      <c r="F2113" t="str">
        <f>VLOOKUP(Table2[[#This Row],[Customer ID]],Table2[#All],5,FALSE)</f>
        <v>yes</v>
      </c>
      <c r="G2113" t="str">
        <f>VLOOKUP(Table2[[#This Row],[Customer ID]],Table2[#All],6,FALSE)</f>
        <v>No</v>
      </c>
      <c r="H2113">
        <f>VLOOKUP(Table2[[#This Row],[Customer ID]],Table2[#All],7,FALSE)</f>
        <v>1</v>
      </c>
      <c r="I2113" t="str">
        <f>VLOOKUP(Table2[[#This Row],[Customer ID]],Table2[#All],8,FALSE)</f>
        <v>No</v>
      </c>
      <c r="J2113" t="str">
        <f>VLOOKUP(Table2[[#This Row],[Customer ID]],Table2[#All],9,FALSE)</f>
        <v>Obesity</v>
      </c>
      <c r="K2113" t="str">
        <f>VLOOKUP(Table2[[#This Row],[Customer ID]],Table2[#All],10,FALSE)</f>
        <v>Normal</v>
      </c>
    </row>
    <row r="2114" spans="1:11" ht="15.6" x14ac:dyDescent="0.3">
      <c r="A2114" s="1" t="s">
        <v>252</v>
      </c>
      <c r="B2114" t="str">
        <f>VLOOKUP('Customer Names'!A2114,'Customer Names'!$A$1:$E$2336,4,FALSE)</f>
        <v>Ms.  Beth</v>
      </c>
      <c r="C2114">
        <f>VLOOKUP(Table2[[#This Row],[Customer ID]],Table2[#All],2,FALSE)</f>
        <v>30.114999999999998</v>
      </c>
      <c r="D2114">
        <f>VLOOKUP(Table2[[#This Row],[Customer ID]],Table2[#All],3,FALSE)</f>
        <v>4.38</v>
      </c>
      <c r="E2114" t="str">
        <f>VLOOKUP(Table2[[#This Row],[Customer ID]],Table2[#All],4,FALSE)</f>
        <v>No</v>
      </c>
      <c r="F2114" t="str">
        <f>VLOOKUP(Table2[[#This Row],[Customer ID]],Table2[#All],5,FALSE)</f>
        <v>yes</v>
      </c>
      <c r="G2114" t="str">
        <f>VLOOKUP(Table2[[#This Row],[Customer ID]],Table2[#All],6,FALSE)</f>
        <v>No</v>
      </c>
      <c r="H2114">
        <f>VLOOKUP(Table2[[#This Row],[Customer ID]],Table2[#All],7,FALSE)</f>
        <v>1</v>
      </c>
      <c r="I2114" t="str">
        <f>VLOOKUP(Table2[[#This Row],[Customer ID]],Table2[#All],8,FALSE)</f>
        <v>No</v>
      </c>
      <c r="J2114" t="str">
        <f>VLOOKUP(Table2[[#This Row],[Customer ID]],Table2[#All],9,FALSE)</f>
        <v>Obesity</v>
      </c>
      <c r="K2114" t="str">
        <f>VLOOKUP(Table2[[#This Row],[Customer ID]],Table2[#All],10,FALSE)</f>
        <v>Normal</v>
      </c>
    </row>
    <row r="2115" spans="1:11" ht="15.6" x14ac:dyDescent="0.3">
      <c r="A2115" s="1" t="s">
        <v>251</v>
      </c>
      <c r="B2115" t="str">
        <f>VLOOKUP('Customer Names'!A2115,'Customer Names'!$A$1:$E$2336,4,FALSE)</f>
        <v>Ms.  Allison</v>
      </c>
      <c r="C2115">
        <f>VLOOKUP(Table2[[#This Row],[Customer ID]],Table2[#All],2,FALSE)</f>
        <v>24.09</v>
      </c>
      <c r="D2115">
        <f>VLOOKUP(Table2[[#This Row],[Customer ID]],Table2[#All],3,FALSE)</f>
        <v>4.79</v>
      </c>
      <c r="E2115" t="str">
        <f>VLOOKUP(Table2[[#This Row],[Customer ID]],Table2[#All],4,FALSE)</f>
        <v>No</v>
      </c>
      <c r="F2115" t="str">
        <f>VLOOKUP(Table2[[#This Row],[Customer ID]],Table2[#All],5,FALSE)</f>
        <v>yes</v>
      </c>
      <c r="G2115" t="str">
        <f>VLOOKUP(Table2[[#This Row],[Customer ID]],Table2[#All],6,FALSE)</f>
        <v>No</v>
      </c>
      <c r="H2115">
        <f>VLOOKUP(Table2[[#This Row],[Customer ID]],Table2[#All],7,FALSE)</f>
        <v>1</v>
      </c>
      <c r="I2115" t="str">
        <f>VLOOKUP(Table2[[#This Row],[Customer ID]],Table2[#All],8,FALSE)</f>
        <v>No</v>
      </c>
      <c r="J2115" t="str">
        <f>VLOOKUP(Table2[[#This Row],[Customer ID]],Table2[#All],9,FALSE)</f>
        <v>Normalweight</v>
      </c>
      <c r="K2115" t="str">
        <f>VLOOKUP(Table2[[#This Row],[Customer ID]],Table2[#All],10,FALSE)</f>
        <v>Normal</v>
      </c>
    </row>
    <row r="2116" spans="1:11" ht="15.6" x14ac:dyDescent="0.3">
      <c r="A2116" s="1" t="s">
        <v>250</v>
      </c>
      <c r="B2116" t="str">
        <f>VLOOKUP('Customer Names'!A2116,'Customer Names'!$A$1:$E$2336,4,FALSE)</f>
        <v>Ms.  Ashley E</v>
      </c>
      <c r="C2116">
        <f>VLOOKUP(Table2[[#This Row],[Customer ID]],Table2[#All],2,FALSE)</f>
        <v>28.215</v>
      </c>
      <c r="D2116">
        <f>VLOOKUP(Table2[[#This Row],[Customer ID]],Table2[#All],3,FALSE)</f>
        <v>4.21</v>
      </c>
      <c r="E2116" t="str">
        <f>VLOOKUP(Table2[[#This Row],[Customer ID]],Table2[#All],4,FALSE)</f>
        <v>No</v>
      </c>
      <c r="F2116" t="str">
        <f>VLOOKUP(Table2[[#This Row],[Customer ID]],Table2[#All],5,FALSE)</f>
        <v>yes</v>
      </c>
      <c r="G2116" t="str">
        <f>VLOOKUP(Table2[[#This Row],[Customer ID]],Table2[#All],6,FALSE)</f>
        <v>No</v>
      </c>
      <c r="H2116">
        <f>VLOOKUP(Table2[[#This Row],[Customer ID]],Table2[#All],7,FALSE)</f>
        <v>1</v>
      </c>
      <c r="I2116" t="str">
        <f>VLOOKUP(Table2[[#This Row],[Customer ID]],Table2[#All],8,FALSE)</f>
        <v>No</v>
      </c>
      <c r="J2116" t="str">
        <f>VLOOKUP(Table2[[#This Row],[Customer ID]],Table2[#All],9,FALSE)</f>
        <v>Overweight</v>
      </c>
      <c r="K2116" t="str">
        <f>VLOOKUP(Table2[[#This Row],[Customer ID]],Table2[#All],10,FALSE)</f>
        <v>Normal</v>
      </c>
    </row>
    <row r="2117" spans="1:11" ht="15.6" x14ac:dyDescent="0.3">
      <c r="A2117" s="1" t="s">
        <v>248</v>
      </c>
      <c r="B2117" t="str">
        <f>VLOOKUP('Customer Names'!A2117,'Customer Names'!$A$1:$E$2336,4,FALSE)</f>
        <v>Ms.  Hilary K.</v>
      </c>
      <c r="C2117">
        <f>VLOOKUP(Table2[[#This Row],[Customer ID]],Table2[#All],2,FALSE)</f>
        <v>26.315000000000001</v>
      </c>
      <c r="D2117">
        <f>VLOOKUP(Table2[[#This Row],[Customer ID]],Table2[#All],3,FALSE)</f>
        <v>5.47</v>
      </c>
      <c r="E2117" t="str">
        <f>VLOOKUP(Table2[[#This Row],[Customer ID]],Table2[#All],4,FALSE)</f>
        <v>No</v>
      </c>
      <c r="F2117" t="str">
        <f>VLOOKUP(Table2[[#This Row],[Customer ID]],Table2[#All],5,FALSE)</f>
        <v>yes</v>
      </c>
      <c r="G2117" t="str">
        <f>VLOOKUP(Table2[[#This Row],[Customer ID]],Table2[#All],6,FALSE)</f>
        <v>No</v>
      </c>
      <c r="H2117">
        <f>VLOOKUP(Table2[[#This Row],[Customer ID]],Table2[#All],7,FALSE)</f>
        <v>1</v>
      </c>
      <c r="I2117" t="str">
        <f>VLOOKUP(Table2[[#This Row],[Customer ID]],Table2[#All],8,FALSE)</f>
        <v>No</v>
      </c>
      <c r="J2117" t="str">
        <f>VLOOKUP(Table2[[#This Row],[Customer ID]],Table2[#All],9,FALSE)</f>
        <v>Overweight</v>
      </c>
      <c r="K2117" t="str">
        <f>VLOOKUP(Table2[[#This Row],[Customer ID]],Table2[#All],10,FALSE)</f>
        <v>Normal</v>
      </c>
    </row>
    <row r="2118" spans="1:11" ht="15.6" x14ac:dyDescent="0.3">
      <c r="A2118" s="1" t="s">
        <v>246</v>
      </c>
      <c r="B2118" t="str">
        <f>VLOOKUP('Customer Names'!A2118,'Customer Names'!$A$1:$E$2336,4,FALSE)</f>
        <v>Ms.  Dominique</v>
      </c>
      <c r="C2118">
        <f>VLOOKUP(Table2[[#This Row],[Customer ID]],Table2[#All],2,FALSE)</f>
        <v>25.08</v>
      </c>
      <c r="D2118">
        <f>VLOOKUP(Table2[[#This Row],[Customer ID]],Table2[#All],3,FALSE)</f>
        <v>5.09</v>
      </c>
      <c r="E2118" t="str">
        <f>VLOOKUP(Table2[[#This Row],[Customer ID]],Table2[#All],4,FALSE)</f>
        <v>No</v>
      </c>
      <c r="F2118" t="str">
        <f>VLOOKUP(Table2[[#This Row],[Customer ID]],Table2[#All],5,FALSE)</f>
        <v>yes</v>
      </c>
      <c r="G2118" t="str">
        <f>VLOOKUP(Table2[[#This Row],[Customer ID]],Table2[#All],6,FALSE)</f>
        <v>No</v>
      </c>
      <c r="H2118">
        <f>VLOOKUP(Table2[[#This Row],[Customer ID]],Table2[#All],7,FALSE)</f>
        <v>1</v>
      </c>
      <c r="I2118" t="str">
        <f>VLOOKUP(Table2[[#This Row],[Customer ID]],Table2[#All],8,FALSE)</f>
        <v>No</v>
      </c>
      <c r="J2118" t="str">
        <f>VLOOKUP(Table2[[#This Row],[Customer ID]],Table2[#All],9,FALSE)</f>
        <v>Overweight</v>
      </c>
      <c r="K2118" t="str">
        <f>VLOOKUP(Table2[[#This Row],[Customer ID]],Table2[#All],10,FALSE)</f>
        <v>Normal</v>
      </c>
    </row>
    <row r="2119" spans="1:11" ht="15.6" x14ac:dyDescent="0.3">
      <c r="A2119" s="1" t="s">
        <v>245</v>
      </c>
      <c r="B2119" t="str">
        <f>VLOOKUP('Customer Names'!A2119,'Customer Names'!$A$1:$E$2336,4,FALSE)</f>
        <v>Mr.  Carlos I</v>
      </c>
      <c r="C2119">
        <f>VLOOKUP(Table2[[#This Row],[Customer ID]],Table2[#All],2,FALSE)</f>
        <v>15.41</v>
      </c>
      <c r="D2119">
        <f>VLOOKUP(Table2[[#This Row],[Customer ID]],Table2[#All],3,FALSE)</f>
        <v>5.08</v>
      </c>
      <c r="E2119" t="str">
        <f>VLOOKUP(Table2[[#This Row],[Customer ID]],Table2[#All],4,FALSE)</f>
        <v>No</v>
      </c>
      <c r="F2119" t="str">
        <f>VLOOKUP(Table2[[#This Row],[Customer ID]],Table2[#All],5,FALSE)</f>
        <v>No</v>
      </c>
      <c r="G2119" t="str">
        <f>VLOOKUP(Table2[[#This Row],[Customer ID]],Table2[#All],6,FALSE)</f>
        <v>No</v>
      </c>
      <c r="H2119">
        <f>VLOOKUP(Table2[[#This Row],[Customer ID]],Table2[#All],7,FALSE)</f>
        <v>0</v>
      </c>
      <c r="I2119" t="str">
        <f>VLOOKUP(Table2[[#This Row],[Customer ID]],Table2[#All],8,FALSE)</f>
        <v>No</v>
      </c>
      <c r="J2119" t="str">
        <f>VLOOKUP(Table2[[#This Row],[Customer ID]],Table2[#All],9,FALSE)</f>
        <v>Underweight</v>
      </c>
      <c r="K2119" t="str">
        <f>VLOOKUP(Table2[[#This Row],[Customer ID]],Table2[#All],10,FALSE)</f>
        <v>Normal</v>
      </c>
    </row>
    <row r="2120" spans="1:11" ht="15.6" x14ac:dyDescent="0.3">
      <c r="A2120" s="1" t="s">
        <v>244</v>
      </c>
      <c r="B2120" t="str">
        <f>VLOOKUP('Customer Names'!A2120,'Customer Names'!$A$1:$E$2336,4,FALSE)</f>
        <v>Mr.  Matthew</v>
      </c>
      <c r="C2120">
        <f>VLOOKUP(Table2[[#This Row],[Customer ID]],Table2[#All],2,FALSE)</f>
        <v>23.83</v>
      </c>
      <c r="D2120">
        <f>VLOOKUP(Table2[[#This Row],[Customer ID]],Table2[#All],3,FALSE)</f>
        <v>5.68</v>
      </c>
      <c r="E2120" t="str">
        <f>VLOOKUP(Table2[[#This Row],[Customer ID]],Table2[#All],4,FALSE)</f>
        <v>No</v>
      </c>
      <c r="F2120" t="str">
        <f>VLOOKUP(Table2[[#This Row],[Customer ID]],Table2[#All],5,FALSE)</f>
        <v>No</v>
      </c>
      <c r="G2120" t="str">
        <f>VLOOKUP(Table2[[#This Row],[Customer ID]],Table2[#All],6,FALSE)</f>
        <v>No</v>
      </c>
      <c r="H2120">
        <f>VLOOKUP(Table2[[#This Row],[Customer ID]],Table2[#All],7,FALSE)</f>
        <v>0</v>
      </c>
      <c r="I2120" t="str">
        <f>VLOOKUP(Table2[[#This Row],[Customer ID]],Table2[#All],8,FALSE)</f>
        <v>No</v>
      </c>
      <c r="J2120" t="str">
        <f>VLOOKUP(Table2[[#This Row],[Customer ID]],Table2[#All],9,FALSE)</f>
        <v>Normalweight</v>
      </c>
      <c r="K2120" t="str">
        <f>VLOOKUP(Table2[[#This Row],[Customer ID]],Table2[#All],10,FALSE)</f>
        <v>Normal</v>
      </c>
    </row>
    <row r="2121" spans="1:11" ht="15.6" x14ac:dyDescent="0.3">
      <c r="A2121" s="1" t="s">
        <v>243</v>
      </c>
      <c r="B2121" t="str">
        <f>VLOOKUP('Customer Names'!A2121,'Customer Names'!$A$1:$E$2336,4,FALSE)</f>
        <v>Ms.  Kara</v>
      </c>
      <c r="C2121">
        <f>VLOOKUP(Table2[[#This Row],[Customer ID]],Table2[#All],2,FALSE)</f>
        <v>36</v>
      </c>
      <c r="D2121">
        <f>VLOOKUP(Table2[[#This Row],[Customer ID]],Table2[#All],3,FALSE)</f>
        <v>4.66</v>
      </c>
      <c r="E2121" t="str">
        <f>VLOOKUP(Table2[[#This Row],[Customer ID]],Table2[#All],4,FALSE)</f>
        <v>No</v>
      </c>
      <c r="F2121" t="str">
        <f>VLOOKUP(Table2[[#This Row],[Customer ID]],Table2[#All],5,FALSE)</f>
        <v>yes</v>
      </c>
      <c r="G2121" t="str">
        <f>VLOOKUP(Table2[[#This Row],[Customer ID]],Table2[#All],6,FALSE)</f>
        <v>No</v>
      </c>
      <c r="H2121">
        <f>VLOOKUP(Table2[[#This Row],[Customer ID]],Table2[#All],7,FALSE)</f>
        <v>1</v>
      </c>
      <c r="I2121" t="str">
        <f>VLOOKUP(Table2[[#This Row],[Customer ID]],Table2[#All],8,FALSE)</f>
        <v>No</v>
      </c>
      <c r="J2121" t="str">
        <f>VLOOKUP(Table2[[#This Row],[Customer ID]],Table2[#All],9,FALSE)</f>
        <v>Obesity</v>
      </c>
      <c r="K2121" t="str">
        <f>VLOOKUP(Table2[[#This Row],[Customer ID]],Table2[#All],10,FALSE)</f>
        <v>Normal</v>
      </c>
    </row>
    <row r="2122" spans="1:11" ht="15.6" x14ac:dyDescent="0.3">
      <c r="A2122" s="1" t="s">
        <v>242</v>
      </c>
      <c r="B2122" t="str">
        <f>VLOOKUP('Customer Names'!A2122,'Customer Names'!$A$1:$E$2336,4,FALSE)</f>
        <v>Ms.  Sarah S</v>
      </c>
      <c r="C2122">
        <f>VLOOKUP(Table2[[#This Row],[Customer ID]],Table2[#All],2,FALSE)</f>
        <v>28.82</v>
      </c>
      <c r="D2122">
        <f>VLOOKUP(Table2[[#This Row],[Customer ID]],Table2[#All],3,FALSE)</f>
        <v>5.59</v>
      </c>
      <c r="E2122" t="str">
        <f>VLOOKUP(Table2[[#This Row],[Customer ID]],Table2[#All],4,FALSE)</f>
        <v>No</v>
      </c>
      <c r="F2122" t="str">
        <f>VLOOKUP(Table2[[#This Row],[Customer ID]],Table2[#All],5,FALSE)</f>
        <v>yes</v>
      </c>
      <c r="G2122" t="str">
        <f>VLOOKUP(Table2[[#This Row],[Customer ID]],Table2[#All],6,FALSE)</f>
        <v>No</v>
      </c>
      <c r="H2122">
        <f>VLOOKUP(Table2[[#This Row],[Customer ID]],Table2[#All],7,FALSE)</f>
        <v>1</v>
      </c>
      <c r="I2122" t="str">
        <f>VLOOKUP(Table2[[#This Row],[Customer ID]],Table2[#All],8,FALSE)</f>
        <v>No</v>
      </c>
      <c r="J2122" t="str">
        <f>VLOOKUP(Table2[[#This Row],[Customer ID]],Table2[#All],9,FALSE)</f>
        <v>Overweight</v>
      </c>
      <c r="K2122" t="str">
        <f>VLOOKUP(Table2[[#This Row],[Customer ID]],Table2[#All],10,FALSE)</f>
        <v>Normal</v>
      </c>
    </row>
    <row r="2123" spans="1:11" ht="15.6" x14ac:dyDescent="0.3">
      <c r="A2123" s="1" t="s">
        <v>241</v>
      </c>
      <c r="B2123" t="str">
        <f>VLOOKUP('Customer Names'!A2123,'Customer Names'!$A$1:$E$2336,4,FALSE)</f>
        <v>Ms.  Shauna R.</v>
      </c>
      <c r="C2123">
        <f>VLOOKUP(Table2[[#This Row],[Customer ID]],Table2[#All],2,FALSE)</f>
        <v>28.05</v>
      </c>
      <c r="D2123">
        <f>VLOOKUP(Table2[[#This Row],[Customer ID]],Table2[#All],3,FALSE)</f>
        <v>6.2</v>
      </c>
      <c r="E2123" t="str">
        <f>VLOOKUP(Table2[[#This Row],[Customer ID]],Table2[#All],4,FALSE)</f>
        <v>No</v>
      </c>
      <c r="F2123" t="str">
        <f>VLOOKUP(Table2[[#This Row],[Customer ID]],Table2[#All],5,FALSE)</f>
        <v>yes</v>
      </c>
      <c r="G2123" t="str">
        <f>VLOOKUP(Table2[[#This Row],[Customer ID]],Table2[#All],6,FALSE)</f>
        <v>No</v>
      </c>
      <c r="H2123">
        <f>VLOOKUP(Table2[[#This Row],[Customer ID]],Table2[#All],7,FALSE)</f>
        <v>1</v>
      </c>
      <c r="I2123" t="str">
        <f>VLOOKUP(Table2[[#This Row],[Customer ID]],Table2[#All],8,FALSE)</f>
        <v>No</v>
      </c>
      <c r="J2123" t="str">
        <f>VLOOKUP(Table2[[#This Row],[Customer ID]],Table2[#All],9,FALSE)</f>
        <v>Overweight</v>
      </c>
      <c r="K2123" t="str">
        <f>VLOOKUP(Table2[[#This Row],[Customer ID]],Table2[#All],10,FALSE)</f>
        <v>Prediabetes</v>
      </c>
    </row>
    <row r="2124" spans="1:11" ht="15.6" x14ac:dyDescent="0.3">
      <c r="A2124" s="1" t="s">
        <v>240</v>
      </c>
      <c r="B2124" t="str">
        <f>VLOOKUP('Customer Names'!A2124,'Customer Names'!$A$1:$E$2336,4,FALSE)</f>
        <v>Ms.  Lindsay J.</v>
      </c>
      <c r="C2124">
        <f>VLOOKUP(Table2[[#This Row],[Customer ID]],Table2[#All],2,FALSE)</f>
        <v>27.1</v>
      </c>
      <c r="D2124">
        <f>VLOOKUP(Table2[[#This Row],[Customer ID]],Table2[#All],3,FALSE)</f>
        <v>4.45</v>
      </c>
      <c r="E2124" t="str">
        <f>VLOOKUP(Table2[[#This Row],[Customer ID]],Table2[#All],4,FALSE)</f>
        <v>No</v>
      </c>
      <c r="F2124" t="str">
        <f>VLOOKUP(Table2[[#This Row],[Customer ID]],Table2[#All],5,FALSE)</f>
        <v>yes</v>
      </c>
      <c r="G2124" t="str">
        <f>VLOOKUP(Table2[[#This Row],[Customer ID]],Table2[#All],6,FALSE)</f>
        <v>No</v>
      </c>
      <c r="H2124">
        <f>VLOOKUP(Table2[[#This Row],[Customer ID]],Table2[#All],7,FALSE)</f>
        <v>1</v>
      </c>
      <c r="I2124" t="str">
        <f>VLOOKUP(Table2[[#This Row],[Customer ID]],Table2[#All],8,FALSE)</f>
        <v>No</v>
      </c>
      <c r="J2124" t="str">
        <f>VLOOKUP(Table2[[#This Row],[Customer ID]],Table2[#All],9,FALSE)</f>
        <v>Overweight</v>
      </c>
      <c r="K2124" t="str">
        <f>VLOOKUP(Table2[[#This Row],[Customer ID]],Table2[#All],10,FALSE)</f>
        <v>Normal</v>
      </c>
    </row>
    <row r="2125" spans="1:11" ht="15.6" x14ac:dyDescent="0.3">
      <c r="A2125" s="1" t="s">
        <v>239</v>
      </c>
      <c r="B2125" t="str">
        <f>VLOOKUP('Customer Names'!A2125,'Customer Names'!$A$1:$E$2336,4,FALSE)</f>
        <v>Ms.  Danya A.</v>
      </c>
      <c r="C2125">
        <f>VLOOKUP(Table2[[#This Row],[Customer ID]],Table2[#All],2,FALSE)</f>
        <v>24.3</v>
      </c>
      <c r="D2125">
        <f>VLOOKUP(Table2[[#This Row],[Customer ID]],Table2[#All],3,FALSE)</f>
        <v>6.1</v>
      </c>
      <c r="E2125" t="str">
        <f>VLOOKUP(Table2[[#This Row],[Customer ID]],Table2[#All],4,FALSE)</f>
        <v>Yes</v>
      </c>
      <c r="F2125" t="str">
        <f>VLOOKUP(Table2[[#This Row],[Customer ID]],Table2[#All],5,FALSE)</f>
        <v>yes</v>
      </c>
      <c r="G2125" t="str">
        <f>VLOOKUP(Table2[[#This Row],[Customer ID]],Table2[#All],6,FALSE)</f>
        <v>No</v>
      </c>
      <c r="H2125">
        <f>VLOOKUP(Table2[[#This Row],[Customer ID]],Table2[#All],7,FALSE)</f>
        <v>1</v>
      </c>
      <c r="I2125" t="str">
        <f>VLOOKUP(Table2[[#This Row],[Customer ID]],Table2[#All],8,FALSE)</f>
        <v>No</v>
      </c>
      <c r="J2125" t="str">
        <f>VLOOKUP(Table2[[#This Row],[Customer ID]],Table2[#All],9,FALSE)</f>
        <v>Normalweight</v>
      </c>
      <c r="K2125" t="str">
        <f>VLOOKUP(Table2[[#This Row],[Customer ID]],Table2[#All],10,FALSE)</f>
        <v>Prediabetes</v>
      </c>
    </row>
    <row r="2126" spans="1:11" ht="15.6" x14ac:dyDescent="0.3">
      <c r="A2126" s="1" t="s">
        <v>238</v>
      </c>
      <c r="B2126" t="str">
        <f>VLOOKUP('Customer Names'!A2126,'Customer Names'!$A$1:$E$2336,4,FALSE)</f>
        <v>Ms.  Lorraine</v>
      </c>
      <c r="C2126">
        <f>VLOOKUP(Table2[[#This Row],[Customer ID]],Table2[#All],2,FALSE)</f>
        <v>30.72</v>
      </c>
      <c r="D2126">
        <f>VLOOKUP(Table2[[#This Row],[Customer ID]],Table2[#All],3,FALSE)</f>
        <v>6.06</v>
      </c>
      <c r="E2126" t="str">
        <f>VLOOKUP(Table2[[#This Row],[Customer ID]],Table2[#All],4,FALSE)</f>
        <v>No</v>
      </c>
      <c r="F2126" t="str">
        <f>VLOOKUP(Table2[[#This Row],[Customer ID]],Table2[#All],5,FALSE)</f>
        <v>yes</v>
      </c>
      <c r="G2126" t="str">
        <f>VLOOKUP(Table2[[#This Row],[Customer ID]],Table2[#All],6,FALSE)</f>
        <v>No</v>
      </c>
      <c r="H2126">
        <f>VLOOKUP(Table2[[#This Row],[Customer ID]],Table2[#All],7,FALSE)</f>
        <v>1</v>
      </c>
      <c r="I2126" t="str">
        <f>VLOOKUP(Table2[[#This Row],[Customer ID]],Table2[#All],8,FALSE)</f>
        <v>No</v>
      </c>
      <c r="J2126" t="str">
        <f>VLOOKUP(Table2[[#This Row],[Customer ID]],Table2[#All],9,FALSE)</f>
        <v>Obesity</v>
      </c>
      <c r="K2126" t="str">
        <f>VLOOKUP(Table2[[#This Row],[Customer ID]],Table2[#All],10,FALSE)</f>
        <v>Prediabetes</v>
      </c>
    </row>
    <row r="2127" spans="1:11" ht="15.6" x14ac:dyDescent="0.3">
      <c r="A2127" s="1" t="s">
        <v>237</v>
      </c>
      <c r="B2127" t="str">
        <f>VLOOKUP('Customer Names'!A2127,'Customer Names'!$A$1:$E$2336,4,FALSE)</f>
        <v>Ms.  Jennifer L.</v>
      </c>
      <c r="C2127">
        <f>VLOOKUP(Table2[[#This Row],[Customer ID]],Table2[#All],2,FALSE)</f>
        <v>37.43</v>
      </c>
      <c r="D2127">
        <f>VLOOKUP(Table2[[#This Row],[Customer ID]],Table2[#All],3,FALSE)</f>
        <v>4.5599999999999996</v>
      </c>
      <c r="E2127" t="str">
        <f>VLOOKUP(Table2[[#This Row],[Customer ID]],Table2[#All],4,FALSE)</f>
        <v>No</v>
      </c>
      <c r="F2127" t="str">
        <f>VLOOKUP(Table2[[#This Row],[Customer ID]],Table2[#All],5,FALSE)</f>
        <v>No</v>
      </c>
      <c r="G2127" t="str">
        <f>VLOOKUP(Table2[[#This Row],[Customer ID]],Table2[#All],6,FALSE)</f>
        <v>Yes</v>
      </c>
      <c r="H2127">
        <f>VLOOKUP(Table2[[#This Row],[Customer ID]],Table2[#All],7,FALSE)</f>
        <v>1</v>
      </c>
      <c r="I2127" t="str">
        <f>VLOOKUP(Table2[[#This Row],[Customer ID]],Table2[#All],8,FALSE)</f>
        <v>No</v>
      </c>
      <c r="J2127" t="str">
        <f>VLOOKUP(Table2[[#This Row],[Customer ID]],Table2[#All],9,FALSE)</f>
        <v>Obesity</v>
      </c>
      <c r="K2127" t="str">
        <f>VLOOKUP(Table2[[#This Row],[Customer ID]],Table2[#All],10,FALSE)</f>
        <v>Normal</v>
      </c>
    </row>
    <row r="2128" spans="1:11" ht="15.6" x14ac:dyDescent="0.3">
      <c r="A2128" s="1" t="s">
        <v>236</v>
      </c>
      <c r="B2128" t="str">
        <f>VLOOKUP('Customer Names'!A2128,'Customer Names'!$A$1:$E$2336,4,FALSE)</f>
        <v>Mr.  Jesus Sr.</v>
      </c>
      <c r="C2128">
        <f>VLOOKUP(Table2[[#This Row],[Customer ID]],Table2[#All],2,FALSE)</f>
        <v>25.74</v>
      </c>
      <c r="D2128">
        <f>VLOOKUP(Table2[[#This Row],[Customer ID]],Table2[#All],3,FALSE)</f>
        <v>6.41</v>
      </c>
      <c r="E2128" t="str">
        <f>VLOOKUP(Table2[[#This Row],[Customer ID]],Table2[#All],4,FALSE)</f>
        <v>Yes</v>
      </c>
      <c r="F2128" t="str">
        <f>VLOOKUP(Table2[[#This Row],[Customer ID]],Table2[#All],5,FALSE)</f>
        <v>No</v>
      </c>
      <c r="G2128" t="str">
        <f>VLOOKUP(Table2[[#This Row],[Customer ID]],Table2[#All],6,FALSE)</f>
        <v>Yes</v>
      </c>
      <c r="H2128">
        <f>VLOOKUP(Table2[[#This Row],[Customer ID]],Table2[#All],7,FALSE)</f>
        <v>1</v>
      </c>
      <c r="I2128" t="str">
        <f>VLOOKUP(Table2[[#This Row],[Customer ID]],Table2[#All],8,FALSE)</f>
        <v>No</v>
      </c>
      <c r="J2128" t="str">
        <f>VLOOKUP(Table2[[#This Row],[Customer ID]],Table2[#All],9,FALSE)</f>
        <v>Overweight</v>
      </c>
      <c r="K2128" t="str">
        <f>VLOOKUP(Table2[[#This Row],[Customer ID]],Table2[#All],10,FALSE)</f>
        <v>Prediabetes</v>
      </c>
    </row>
    <row r="2129" spans="1:11" ht="15.6" x14ac:dyDescent="0.3">
      <c r="A2129" s="1" t="s">
        <v>235</v>
      </c>
      <c r="B2129" t="str">
        <f>VLOOKUP('Customer Names'!A2129,'Customer Names'!$A$1:$E$2336,4,FALSE)</f>
        <v>Ms.  Kristen</v>
      </c>
      <c r="C2129">
        <f>VLOOKUP(Table2[[#This Row],[Customer ID]],Table2[#All],2,FALSE)</f>
        <v>36.575000000000003</v>
      </c>
      <c r="D2129">
        <f>VLOOKUP(Table2[[#This Row],[Customer ID]],Table2[#All],3,FALSE)</f>
        <v>5.57</v>
      </c>
      <c r="E2129" t="str">
        <f>VLOOKUP(Table2[[#This Row],[Customer ID]],Table2[#All],4,FALSE)</f>
        <v>No</v>
      </c>
      <c r="F2129" t="str">
        <f>VLOOKUP(Table2[[#This Row],[Customer ID]],Table2[#All],5,FALSE)</f>
        <v>No</v>
      </c>
      <c r="G2129" t="str">
        <f>VLOOKUP(Table2[[#This Row],[Customer ID]],Table2[#All],6,FALSE)</f>
        <v>Yes</v>
      </c>
      <c r="H2129">
        <f>VLOOKUP(Table2[[#This Row],[Customer ID]],Table2[#All],7,FALSE)</f>
        <v>1</v>
      </c>
      <c r="I2129" t="str">
        <f>VLOOKUP(Table2[[#This Row],[Customer ID]],Table2[#All],8,FALSE)</f>
        <v>No</v>
      </c>
      <c r="J2129" t="str">
        <f>VLOOKUP(Table2[[#This Row],[Customer ID]],Table2[#All],9,FALSE)</f>
        <v>Obesity</v>
      </c>
      <c r="K2129" t="str">
        <f>VLOOKUP(Table2[[#This Row],[Customer ID]],Table2[#All],10,FALSE)</f>
        <v>Normal</v>
      </c>
    </row>
    <row r="2130" spans="1:11" ht="15.6" x14ac:dyDescent="0.3">
      <c r="A2130" s="1" t="s">
        <v>234</v>
      </c>
      <c r="B2130" t="str">
        <f>VLOOKUP('Customer Names'!A2130,'Customer Names'!$A$1:$E$2336,4,FALSE)</f>
        <v>Ms.  Catherine C.</v>
      </c>
      <c r="C2130">
        <f>VLOOKUP(Table2[[#This Row],[Customer ID]],Table2[#All],2,FALSE)</f>
        <v>35.15</v>
      </c>
      <c r="D2130">
        <f>VLOOKUP(Table2[[#This Row],[Customer ID]],Table2[#All],3,FALSE)</f>
        <v>5.47</v>
      </c>
      <c r="E2130" t="str">
        <f>VLOOKUP(Table2[[#This Row],[Customer ID]],Table2[#All],4,FALSE)</f>
        <v>No</v>
      </c>
      <c r="F2130" t="str">
        <f>VLOOKUP(Table2[[#This Row],[Customer ID]],Table2[#All],5,FALSE)</f>
        <v>No</v>
      </c>
      <c r="G2130" t="str">
        <f>VLOOKUP(Table2[[#This Row],[Customer ID]],Table2[#All],6,FALSE)</f>
        <v>Yes</v>
      </c>
      <c r="H2130">
        <f>VLOOKUP(Table2[[#This Row],[Customer ID]],Table2[#All],7,FALSE)</f>
        <v>1</v>
      </c>
      <c r="I2130" t="str">
        <f>VLOOKUP(Table2[[#This Row],[Customer ID]],Table2[#All],8,FALSE)</f>
        <v>No</v>
      </c>
      <c r="J2130" t="str">
        <f>VLOOKUP(Table2[[#This Row],[Customer ID]],Table2[#All],9,FALSE)</f>
        <v>Obesity</v>
      </c>
      <c r="K2130" t="str">
        <f>VLOOKUP(Table2[[#This Row],[Customer ID]],Table2[#All],10,FALSE)</f>
        <v>Normal</v>
      </c>
    </row>
    <row r="2131" spans="1:11" ht="15.6" x14ac:dyDescent="0.3">
      <c r="A2131" s="1" t="s">
        <v>233</v>
      </c>
      <c r="B2131" t="str">
        <f>VLOOKUP('Customer Names'!A2131,'Customer Names'!$A$1:$E$2336,4,FALSE)</f>
        <v>Ms.  Paula</v>
      </c>
      <c r="C2131">
        <f>VLOOKUP(Table2[[#This Row],[Customer ID]],Table2[#All],2,FALSE)</f>
        <v>32.11</v>
      </c>
      <c r="D2131">
        <f>VLOOKUP(Table2[[#This Row],[Customer ID]],Table2[#All],3,FALSE)</f>
        <v>4.43</v>
      </c>
      <c r="E2131" t="str">
        <f>VLOOKUP(Table2[[#This Row],[Customer ID]],Table2[#All],4,FALSE)</f>
        <v>No</v>
      </c>
      <c r="F2131" t="str">
        <f>VLOOKUP(Table2[[#This Row],[Customer ID]],Table2[#All],5,FALSE)</f>
        <v>No</v>
      </c>
      <c r="G2131" t="str">
        <f>VLOOKUP(Table2[[#This Row],[Customer ID]],Table2[#All],6,FALSE)</f>
        <v>Yes</v>
      </c>
      <c r="H2131">
        <f>VLOOKUP(Table2[[#This Row],[Customer ID]],Table2[#All],7,FALSE)</f>
        <v>1</v>
      </c>
      <c r="I2131" t="str">
        <f>VLOOKUP(Table2[[#This Row],[Customer ID]],Table2[#All],8,FALSE)</f>
        <v>No</v>
      </c>
      <c r="J2131" t="str">
        <f>VLOOKUP(Table2[[#This Row],[Customer ID]],Table2[#All],9,FALSE)</f>
        <v>Obesity</v>
      </c>
      <c r="K2131" t="str">
        <f>VLOOKUP(Table2[[#This Row],[Customer ID]],Table2[#All],10,FALSE)</f>
        <v>Normal</v>
      </c>
    </row>
    <row r="2132" spans="1:11" ht="15.6" x14ac:dyDescent="0.3">
      <c r="A2132" s="1" t="s">
        <v>232</v>
      </c>
      <c r="B2132" t="str">
        <f>VLOOKUP('Customer Names'!A2132,'Customer Names'!$A$1:$E$2336,4,FALSE)</f>
        <v>Ms.  Evan</v>
      </c>
      <c r="C2132">
        <f>VLOOKUP(Table2[[#This Row],[Customer ID]],Table2[#All],2,FALSE)</f>
        <v>30.495000000000001</v>
      </c>
      <c r="D2132">
        <f>VLOOKUP(Table2[[#This Row],[Customer ID]],Table2[#All],3,FALSE)</f>
        <v>4.95</v>
      </c>
      <c r="E2132" t="str">
        <f>VLOOKUP(Table2[[#This Row],[Customer ID]],Table2[#All],4,FALSE)</f>
        <v>No</v>
      </c>
      <c r="F2132" t="str">
        <f>VLOOKUP(Table2[[#This Row],[Customer ID]],Table2[#All],5,FALSE)</f>
        <v>No</v>
      </c>
      <c r="G2132" t="str">
        <f>VLOOKUP(Table2[[#This Row],[Customer ID]],Table2[#All],6,FALSE)</f>
        <v>Yes</v>
      </c>
      <c r="H2132">
        <f>VLOOKUP(Table2[[#This Row],[Customer ID]],Table2[#All],7,FALSE)</f>
        <v>1</v>
      </c>
      <c r="I2132" t="str">
        <f>VLOOKUP(Table2[[#This Row],[Customer ID]],Table2[#All],8,FALSE)</f>
        <v>No</v>
      </c>
      <c r="J2132" t="str">
        <f>VLOOKUP(Table2[[#This Row],[Customer ID]],Table2[#All],9,FALSE)</f>
        <v>Obesity</v>
      </c>
      <c r="K2132" t="str">
        <f>VLOOKUP(Table2[[#This Row],[Customer ID]],Table2[#All],10,FALSE)</f>
        <v>Normal</v>
      </c>
    </row>
    <row r="2133" spans="1:11" ht="15.6" x14ac:dyDescent="0.3">
      <c r="A2133" s="1" t="s">
        <v>231</v>
      </c>
      <c r="B2133" t="str">
        <f>VLOOKUP('Customer Names'!A2133,'Customer Names'!$A$1:$E$2336,4,FALSE)</f>
        <v>Mr.  Nathan J</v>
      </c>
      <c r="C2133">
        <f>VLOOKUP(Table2[[#This Row],[Customer ID]],Table2[#All],2,FALSE)</f>
        <v>29.24</v>
      </c>
      <c r="D2133">
        <f>VLOOKUP(Table2[[#This Row],[Customer ID]],Table2[#All],3,FALSE)</f>
        <v>4.04</v>
      </c>
      <c r="E2133" t="str">
        <f>VLOOKUP(Table2[[#This Row],[Customer ID]],Table2[#All],4,FALSE)</f>
        <v>No</v>
      </c>
      <c r="F2133" t="str">
        <f>VLOOKUP(Table2[[#This Row],[Customer ID]],Table2[#All],5,FALSE)</f>
        <v>yes</v>
      </c>
      <c r="G2133" t="str">
        <f>VLOOKUP(Table2[[#This Row],[Customer ID]],Table2[#All],6,FALSE)</f>
        <v>No</v>
      </c>
      <c r="H2133">
        <f>VLOOKUP(Table2[[#This Row],[Customer ID]],Table2[#All],7,FALSE)</f>
        <v>1</v>
      </c>
      <c r="I2133" t="str">
        <f>VLOOKUP(Table2[[#This Row],[Customer ID]],Table2[#All],8,FALSE)</f>
        <v>No</v>
      </c>
      <c r="J2133" t="str">
        <f>VLOOKUP(Table2[[#This Row],[Customer ID]],Table2[#All],9,FALSE)</f>
        <v>Overweight</v>
      </c>
      <c r="K2133" t="str">
        <f>VLOOKUP(Table2[[#This Row],[Customer ID]],Table2[#All],10,FALSE)</f>
        <v>Normal</v>
      </c>
    </row>
    <row r="2134" spans="1:11" ht="15.6" x14ac:dyDescent="0.3">
      <c r="A2134" s="1" t="s">
        <v>230</v>
      </c>
      <c r="B2134" t="str">
        <f>VLOOKUP('Customer Names'!A2134,'Customer Names'!$A$1:$E$2336,4,FALSE)</f>
        <v>Ms.  Ashley M</v>
      </c>
      <c r="C2134">
        <f>VLOOKUP(Table2[[#This Row],[Customer ID]],Table2[#All],2,FALSE)</f>
        <v>22.515000000000001</v>
      </c>
      <c r="D2134">
        <f>VLOOKUP(Table2[[#This Row],[Customer ID]],Table2[#All],3,FALSE)</f>
        <v>5.93</v>
      </c>
      <c r="E2134" t="str">
        <f>VLOOKUP(Table2[[#This Row],[Customer ID]],Table2[#All],4,FALSE)</f>
        <v>No</v>
      </c>
      <c r="F2134" t="str">
        <f>VLOOKUP(Table2[[#This Row],[Customer ID]],Table2[#All],5,FALSE)</f>
        <v>No</v>
      </c>
      <c r="G2134" t="str">
        <f>VLOOKUP(Table2[[#This Row],[Customer ID]],Table2[#All],6,FALSE)</f>
        <v>Yes</v>
      </c>
      <c r="H2134">
        <f>VLOOKUP(Table2[[#This Row],[Customer ID]],Table2[#All],7,FALSE)</f>
        <v>1</v>
      </c>
      <c r="I2134" t="str">
        <f>VLOOKUP(Table2[[#This Row],[Customer ID]],Table2[#All],8,FALSE)</f>
        <v>No</v>
      </c>
      <c r="J2134" t="str">
        <f>VLOOKUP(Table2[[#This Row],[Customer ID]],Table2[#All],9,FALSE)</f>
        <v>Normalweight</v>
      </c>
      <c r="K2134" t="str">
        <f>VLOOKUP(Table2[[#This Row],[Customer ID]],Table2[#All],10,FALSE)</f>
        <v>Prediabetes</v>
      </c>
    </row>
    <row r="2135" spans="1:11" ht="15.6" x14ac:dyDescent="0.3">
      <c r="A2135" s="1" t="s">
        <v>229</v>
      </c>
      <c r="B2135" t="str">
        <f>VLOOKUP('Customer Names'!A2135,'Customer Names'!$A$1:$E$2336,4,FALSE)</f>
        <v>Mr.  Jason</v>
      </c>
      <c r="C2135">
        <f>VLOOKUP(Table2[[#This Row],[Customer ID]],Table2[#All],2,FALSE)</f>
        <v>15.65</v>
      </c>
      <c r="D2135">
        <f>VLOOKUP(Table2[[#This Row],[Customer ID]],Table2[#All],3,FALSE)</f>
        <v>4.2300000000000004</v>
      </c>
      <c r="E2135" t="str">
        <f>VLOOKUP(Table2[[#This Row],[Customer ID]],Table2[#All],4,FALSE)</f>
        <v>No</v>
      </c>
      <c r="F2135" t="str">
        <f>VLOOKUP(Table2[[#This Row],[Customer ID]],Table2[#All],5,FALSE)</f>
        <v>No</v>
      </c>
      <c r="G2135" t="str">
        <f>VLOOKUP(Table2[[#This Row],[Customer ID]],Table2[#All],6,FALSE)</f>
        <v>No</v>
      </c>
      <c r="H2135">
        <f>VLOOKUP(Table2[[#This Row],[Customer ID]],Table2[#All],7,FALSE)</f>
        <v>0</v>
      </c>
      <c r="I2135" t="str">
        <f>VLOOKUP(Table2[[#This Row],[Customer ID]],Table2[#All],8,FALSE)</f>
        <v>No</v>
      </c>
      <c r="J2135" t="str">
        <f>VLOOKUP(Table2[[#This Row],[Customer ID]],Table2[#All],9,FALSE)</f>
        <v>Underweight</v>
      </c>
      <c r="K2135" t="str">
        <f>VLOOKUP(Table2[[#This Row],[Customer ID]],Table2[#All],10,FALSE)</f>
        <v>Normal</v>
      </c>
    </row>
    <row r="2136" spans="1:11" ht="15.6" x14ac:dyDescent="0.3">
      <c r="A2136" s="1" t="s">
        <v>228</v>
      </c>
      <c r="B2136" t="str">
        <f>VLOOKUP('Customer Names'!A2136,'Customer Names'!$A$1:$E$2336,4,FALSE)</f>
        <v>Mr.  Marshall</v>
      </c>
      <c r="C2136">
        <f>VLOOKUP(Table2[[#This Row],[Customer ID]],Table2[#All],2,FALSE)</f>
        <v>27.36</v>
      </c>
      <c r="D2136">
        <f>VLOOKUP(Table2[[#This Row],[Customer ID]],Table2[#All],3,FALSE)</f>
        <v>5.59</v>
      </c>
      <c r="E2136" t="str">
        <f>VLOOKUP(Table2[[#This Row],[Customer ID]],Table2[#All],4,FALSE)</f>
        <v>Yes</v>
      </c>
      <c r="F2136" t="str">
        <f>VLOOKUP(Table2[[#This Row],[Customer ID]],Table2[#All],5,FALSE)</f>
        <v>No</v>
      </c>
      <c r="G2136" t="str">
        <f>VLOOKUP(Table2[[#This Row],[Customer ID]],Table2[#All],6,FALSE)</f>
        <v>No</v>
      </c>
      <c r="H2136">
        <f>VLOOKUP(Table2[[#This Row],[Customer ID]],Table2[#All],7,FALSE)</f>
        <v>0</v>
      </c>
      <c r="I2136" t="str">
        <f>VLOOKUP(Table2[[#This Row],[Customer ID]],Table2[#All],8,FALSE)</f>
        <v>No</v>
      </c>
      <c r="J2136" t="str">
        <f>VLOOKUP(Table2[[#This Row],[Customer ID]],Table2[#All],9,FALSE)</f>
        <v>Overweight</v>
      </c>
      <c r="K2136" t="str">
        <f>VLOOKUP(Table2[[#This Row],[Customer ID]],Table2[#All],10,FALSE)</f>
        <v>Normal</v>
      </c>
    </row>
    <row r="2137" spans="1:11" ht="15.6" x14ac:dyDescent="0.3">
      <c r="A2137" s="1" t="s">
        <v>227</v>
      </c>
      <c r="B2137" t="str">
        <f>VLOOKUP('Customer Names'!A2137,'Customer Names'!$A$1:$E$2336,4,FALSE)</f>
        <v>Mr.  Lavar</v>
      </c>
      <c r="C2137">
        <f>VLOOKUP(Table2[[#This Row],[Customer ID]],Table2[#All],2,FALSE)</f>
        <v>22.3</v>
      </c>
      <c r="D2137">
        <f>VLOOKUP(Table2[[#This Row],[Customer ID]],Table2[#All],3,FALSE)</f>
        <v>4.8899999999999997</v>
      </c>
      <c r="E2137" t="str">
        <f>VLOOKUP(Table2[[#This Row],[Customer ID]],Table2[#All],4,FALSE)</f>
        <v>Yes</v>
      </c>
      <c r="F2137" t="str">
        <f>VLOOKUP(Table2[[#This Row],[Customer ID]],Table2[#All],5,FALSE)</f>
        <v>No</v>
      </c>
      <c r="G2137" t="str">
        <f>VLOOKUP(Table2[[#This Row],[Customer ID]],Table2[#All],6,FALSE)</f>
        <v>No</v>
      </c>
      <c r="H2137">
        <f>VLOOKUP(Table2[[#This Row],[Customer ID]],Table2[#All],7,FALSE)</f>
        <v>0</v>
      </c>
      <c r="I2137" t="str">
        <f>VLOOKUP(Table2[[#This Row],[Customer ID]],Table2[#All],8,FALSE)</f>
        <v>No</v>
      </c>
      <c r="J2137" t="str">
        <f>VLOOKUP(Table2[[#This Row],[Customer ID]],Table2[#All],9,FALSE)</f>
        <v>Normalweight</v>
      </c>
      <c r="K2137" t="str">
        <f>VLOOKUP(Table2[[#This Row],[Customer ID]],Table2[#All],10,FALSE)</f>
        <v>Normal</v>
      </c>
    </row>
    <row r="2138" spans="1:11" ht="15.6" x14ac:dyDescent="0.3">
      <c r="A2138" s="1" t="s">
        <v>226</v>
      </c>
      <c r="B2138" t="str">
        <f>VLOOKUP('Customer Names'!A2138,'Customer Names'!$A$1:$E$2336,4,FALSE)</f>
        <v>Mr.  Charlie T.</v>
      </c>
      <c r="C2138">
        <f>VLOOKUP(Table2[[#This Row],[Customer ID]],Table2[#All],2,FALSE)</f>
        <v>26.03</v>
      </c>
      <c r="D2138">
        <f>VLOOKUP(Table2[[#This Row],[Customer ID]],Table2[#All],3,FALSE)</f>
        <v>5.81</v>
      </c>
      <c r="E2138" t="str">
        <f>VLOOKUP(Table2[[#This Row],[Customer ID]],Table2[#All],4,FALSE)</f>
        <v>Yes</v>
      </c>
      <c r="F2138" t="str">
        <f>VLOOKUP(Table2[[#This Row],[Customer ID]],Table2[#All],5,FALSE)</f>
        <v>No</v>
      </c>
      <c r="G2138" t="str">
        <f>VLOOKUP(Table2[[#This Row],[Customer ID]],Table2[#All],6,FALSE)</f>
        <v>No</v>
      </c>
      <c r="H2138">
        <f>VLOOKUP(Table2[[#This Row],[Customer ID]],Table2[#All],7,FALSE)</f>
        <v>0</v>
      </c>
      <c r="I2138" t="str">
        <f>VLOOKUP(Table2[[#This Row],[Customer ID]],Table2[#All],8,FALSE)</f>
        <v>No</v>
      </c>
      <c r="J2138" t="str">
        <f>VLOOKUP(Table2[[#This Row],[Customer ID]],Table2[#All],9,FALSE)</f>
        <v>Overweight</v>
      </c>
      <c r="K2138" t="str">
        <f>VLOOKUP(Table2[[#This Row],[Customer ID]],Table2[#All],10,FALSE)</f>
        <v>Prediabetes</v>
      </c>
    </row>
    <row r="2139" spans="1:11" ht="15.6" x14ac:dyDescent="0.3">
      <c r="A2139" s="1" t="s">
        <v>225</v>
      </c>
      <c r="B2139" t="str">
        <f>VLOOKUP('Customer Names'!A2139,'Customer Names'!$A$1:$E$2336,4,FALSE)</f>
        <v>Mrs.  Lauren</v>
      </c>
      <c r="C2139">
        <f>VLOOKUP(Table2[[#This Row],[Customer ID]],Table2[#All],2,FALSE)</f>
        <v>27.74</v>
      </c>
      <c r="D2139">
        <f>VLOOKUP(Table2[[#This Row],[Customer ID]],Table2[#All],3,FALSE)</f>
        <v>4.29</v>
      </c>
      <c r="E2139" t="str">
        <f>VLOOKUP(Table2[[#This Row],[Customer ID]],Table2[#All],4,FALSE)</f>
        <v>No</v>
      </c>
      <c r="F2139" t="str">
        <f>VLOOKUP(Table2[[#This Row],[Customer ID]],Table2[#All],5,FALSE)</f>
        <v>yes</v>
      </c>
      <c r="G2139" t="str">
        <f>VLOOKUP(Table2[[#This Row],[Customer ID]],Table2[#All],6,FALSE)</f>
        <v>No</v>
      </c>
      <c r="H2139">
        <f>VLOOKUP(Table2[[#This Row],[Customer ID]],Table2[#All],7,FALSE)</f>
        <v>1</v>
      </c>
      <c r="I2139" t="str">
        <f>VLOOKUP(Table2[[#This Row],[Customer ID]],Table2[#All],8,FALSE)</f>
        <v>No</v>
      </c>
      <c r="J2139" t="str">
        <f>VLOOKUP(Table2[[#This Row],[Customer ID]],Table2[#All],9,FALSE)</f>
        <v>Overweight</v>
      </c>
      <c r="K2139" t="str">
        <f>VLOOKUP(Table2[[#This Row],[Customer ID]],Table2[#All],10,FALSE)</f>
        <v>Normal</v>
      </c>
    </row>
    <row r="2140" spans="1:11" ht="15.6" x14ac:dyDescent="0.3">
      <c r="A2140" s="1" t="s">
        <v>224</v>
      </c>
      <c r="B2140" t="str">
        <f>VLOOKUP('Customer Names'!A2140,'Customer Names'!$A$1:$E$2336,4,FALSE)</f>
        <v>Mr.  Arthur</v>
      </c>
      <c r="C2140">
        <f>VLOOKUP(Table2[[#This Row],[Customer ID]],Table2[#All],2,FALSE)</f>
        <v>32.11</v>
      </c>
      <c r="D2140">
        <f>VLOOKUP(Table2[[#This Row],[Customer ID]],Table2[#All],3,FALSE)</f>
        <v>4.03</v>
      </c>
      <c r="E2140" t="str">
        <f>VLOOKUP(Table2[[#This Row],[Customer ID]],Table2[#All],4,FALSE)</f>
        <v>Yes</v>
      </c>
      <c r="F2140" t="str">
        <f>VLOOKUP(Table2[[#This Row],[Customer ID]],Table2[#All],5,FALSE)</f>
        <v>yes</v>
      </c>
      <c r="G2140" t="str">
        <f>VLOOKUP(Table2[[#This Row],[Customer ID]],Table2[#All],6,FALSE)</f>
        <v>No</v>
      </c>
      <c r="H2140">
        <f>VLOOKUP(Table2[[#This Row],[Customer ID]],Table2[#All],7,FALSE)</f>
        <v>2</v>
      </c>
      <c r="I2140" t="str">
        <f>VLOOKUP(Table2[[#This Row],[Customer ID]],Table2[#All],8,FALSE)</f>
        <v>No</v>
      </c>
      <c r="J2140" t="str">
        <f>VLOOKUP(Table2[[#This Row],[Customer ID]],Table2[#All],9,FALSE)</f>
        <v>Obesity</v>
      </c>
      <c r="K2140" t="str">
        <f>VLOOKUP(Table2[[#This Row],[Customer ID]],Table2[#All],10,FALSE)</f>
        <v>Normal</v>
      </c>
    </row>
    <row r="2141" spans="1:11" ht="15.6" x14ac:dyDescent="0.3">
      <c r="A2141" s="1" t="s">
        <v>223</v>
      </c>
      <c r="B2141" t="str">
        <f>VLOOKUP('Customer Names'!A2141,'Customer Names'!$A$1:$E$2336,4,FALSE)</f>
        <v>Mr.  Thomas</v>
      </c>
      <c r="C2141">
        <f>VLOOKUP(Table2[[#This Row],[Customer ID]],Table2[#All],2,FALSE)</f>
        <v>25.175000000000001</v>
      </c>
      <c r="D2141">
        <f>VLOOKUP(Table2[[#This Row],[Customer ID]],Table2[#All],3,FALSE)</f>
        <v>6.29</v>
      </c>
      <c r="E2141" t="str">
        <f>VLOOKUP(Table2[[#This Row],[Customer ID]],Table2[#All],4,FALSE)</f>
        <v>Yes</v>
      </c>
      <c r="F2141" t="str">
        <f>VLOOKUP(Table2[[#This Row],[Customer ID]],Table2[#All],5,FALSE)</f>
        <v>yes</v>
      </c>
      <c r="G2141" t="str">
        <f>VLOOKUP(Table2[[#This Row],[Customer ID]],Table2[#All],6,FALSE)</f>
        <v>No</v>
      </c>
      <c r="H2141">
        <f>VLOOKUP(Table2[[#This Row],[Customer ID]],Table2[#All],7,FALSE)</f>
        <v>2</v>
      </c>
      <c r="I2141" t="str">
        <f>VLOOKUP(Table2[[#This Row],[Customer ID]],Table2[#All],8,FALSE)</f>
        <v>No</v>
      </c>
      <c r="J2141" t="str">
        <f>VLOOKUP(Table2[[#This Row],[Customer ID]],Table2[#All],9,FALSE)</f>
        <v>Overweight</v>
      </c>
      <c r="K2141" t="str">
        <f>VLOOKUP(Table2[[#This Row],[Customer ID]],Table2[#All],10,FALSE)</f>
        <v>Prediabetes</v>
      </c>
    </row>
    <row r="2142" spans="1:11" ht="15.6" x14ac:dyDescent="0.3">
      <c r="A2142" s="1" t="s">
        <v>222</v>
      </c>
      <c r="B2142" t="str">
        <f>VLOOKUP('Customer Names'!A2142,'Customer Names'!$A$1:$E$2336,4,FALSE)</f>
        <v>Ms.  Jennifer</v>
      </c>
      <c r="C2142">
        <f>VLOOKUP(Table2[[#This Row],[Customer ID]],Table2[#All],2,FALSE)</f>
        <v>39.49</v>
      </c>
      <c r="D2142">
        <f>VLOOKUP(Table2[[#This Row],[Customer ID]],Table2[#All],3,FALSE)</f>
        <v>4.4800000000000004</v>
      </c>
      <c r="E2142" t="str">
        <f>VLOOKUP(Table2[[#This Row],[Customer ID]],Table2[#All],4,FALSE)</f>
        <v>Yes</v>
      </c>
      <c r="F2142" t="str">
        <f>VLOOKUP(Table2[[#This Row],[Customer ID]],Table2[#All],5,FALSE)</f>
        <v>No</v>
      </c>
      <c r="G2142" t="str">
        <f>VLOOKUP(Table2[[#This Row],[Customer ID]],Table2[#All],6,FALSE)</f>
        <v>No</v>
      </c>
      <c r="H2142">
        <f>VLOOKUP(Table2[[#This Row],[Customer ID]],Table2[#All],7,FALSE)</f>
        <v>0</v>
      </c>
      <c r="I2142" t="str">
        <f>VLOOKUP(Table2[[#This Row],[Customer ID]],Table2[#All],8,FALSE)</f>
        <v>No</v>
      </c>
      <c r="J2142" t="str">
        <f>VLOOKUP(Table2[[#This Row],[Customer ID]],Table2[#All],9,FALSE)</f>
        <v>Obesity</v>
      </c>
      <c r="K2142" t="str">
        <f>VLOOKUP(Table2[[#This Row],[Customer ID]],Table2[#All],10,FALSE)</f>
        <v>Normal</v>
      </c>
    </row>
    <row r="2143" spans="1:11" ht="15.6" x14ac:dyDescent="0.3">
      <c r="A2143" s="1" t="s">
        <v>221</v>
      </c>
      <c r="B2143" t="str">
        <f>VLOOKUP('Customer Names'!A2143,'Customer Names'!$A$1:$E$2336,4,FALSE)</f>
        <v>Ms.  Tammy</v>
      </c>
      <c r="C2143">
        <f>VLOOKUP(Table2[[#This Row],[Customer ID]],Table2[#All],2,FALSE)</f>
        <v>34.869999999999997</v>
      </c>
      <c r="D2143">
        <f>VLOOKUP(Table2[[#This Row],[Customer ID]],Table2[#All],3,FALSE)</f>
        <v>5.51</v>
      </c>
      <c r="E2143" t="str">
        <f>VLOOKUP(Table2[[#This Row],[Customer ID]],Table2[#All],4,FALSE)</f>
        <v>Yes</v>
      </c>
      <c r="F2143" t="str">
        <f>VLOOKUP(Table2[[#This Row],[Customer ID]],Table2[#All],5,FALSE)</f>
        <v>No</v>
      </c>
      <c r="G2143" t="str">
        <f>VLOOKUP(Table2[[#This Row],[Customer ID]],Table2[#All],6,FALSE)</f>
        <v>No</v>
      </c>
      <c r="H2143">
        <f>VLOOKUP(Table2[[#This Row],[Customer ID]],Table2[#All],7,FALSE)</f>
        <v>0</v>
      </c>
      <c r="I2143" t="str">
        <f>VLOOKUP(Table2[[#This Row],[Customer ID]],Table2[#All],8,FALSE)</f>
        <v>No</v>
      </c>
      <c r="J2143" t="str">
        <f>VLOOKUP(Table2[[#This Row],[Customer ID]],Table2[#All],9,FALSE)</f>
        <v>Obesity</v>
      </c>
      <c r="K2143" t="str">
        <f>VLOOKUP(Table2[[#This Row],[Customer ID]],Table2[#All],10,FALSE)</f>
        <v>Normal</v>
      </c>
    </row>
    <row r="2144" spans="1:11" ht="15.6" x14ac:dyDescent="0.3">
      <c r="A2144" s="1" t="s">
        <v>220</v>
      </c>
      <c r="B2144" t="str">
        <f>VLOOKUP('Customer Names'!A2144,'Customer Names'!$A$1:$E$2336,4,FALSE)</f>
        <v>Ms.  Lena</v>
      </c>
      <c r="C2144">
        <f>VLOOKUP(Table2[[#This Row],[Customer ID]],Table2[#All],2,FALSE)</f>
        <v>34.6</v>
      </c>
      <c r="D2144">
        <f>VLOOKUP(Table2[[#This Row],[Customer ID]],Table2[#All],3,FALSE)</f>
        <v>4.5</v>
      </c>
      <c r="E2144" t="str">
        <f>VLOOKUP(Table2[[#This Row],[Customer ID]],Table2[#All],4,FALSE)</f>
        <v>Yes</v>
      </c>
      <c r="F2144" t="str">
        <f>VLOOKUP(Table2[[#This Row],[Customer ID]],Table2[#All],5,FALSE)</f>
        <v>No</v>
      </c>
      <c r="G2144" t="str">
        <f>VLOOKUP(Table2[[#This Row],[Customer ID]],Table2[#All],6,FALSE)</f>
        <v>No</v>
      </c>
      <c r="H2144">
        <f>VLOOKUP(Table2[[#This Row],[Customer ID]],Table2[#All],7,FALSE)</f>
        <v>0</v>
      </c>
      <c r="I2144" t="str">
        <f>VLOOKUP(Table2[[#This Row],[Customer ID]],Table2[#All],8,FALSE)</f>
        <v>No</v>
      </c>
      <c r="J2144" t="str">
        <f>VLOOKUP(Table2[[#This Row],[Customer ID]],Table2[#All],9,FALSE)</f>
        <v>Obesity</v>
      </c>
      <c r="K2144" t="str">
        <f>VLOOKUP(Table2[[#This Row],[Customer ID]],Table2[#All],10,FALSE)</f>
        <v>Normal</v>
      </c>
    </row>
    <row r="2145" spans="1:11" ht="15.6" x14ac:dyDescent="0.3">
      <c r="A2145" s="1" t="s">
        <v>219</v>
      </c>
      <c r="B2145" t="str">
        <f>VLOOKUP('Customer Names'!A2145,'Customer Names'!$A$1:$E$2336,4,FALSE)</f>
        <v>Ms.  Valentina</v>
      </c>
      <c r="C2145">
        <f>VLOOKUP(Table2[[#This Row],[Customer ID]],Table2[#All],2,FALSE)</f>
        <v>25.8</v>
      </c>
      <c r="D2145">
        <f>VLOOKUP(Table2[[#This Row],[Customer ID]],Table2[#All],3,FALSE)</f>
        <v>6.29</v>
      </c>
      <c r="E2145" t="str">
        <f>VLOOKUP(Table2[[#This Row],[Customer ID]],Table2[#All],4,FALSE)</f>
        <v>Yes</v>
      </c>
      <c r="F2145" t="str">
        <f>VLOOKUP(Table2[[#This Row],[Customer ID]],Table2[#All],5,FALSE)</f>
        <v>No</v>
      </c>
      <c r="G2145" t="str">
        <f>VLOOKUP(Table2[[#This Row],[Customer ID]],Table2[#All],6,FALSE)</f>
        <v>No</v>
      </c>
      <c r="H2145">
        <f>VLOOKUP(Table2[[#This Row],[Customer ID]],Table2[#All],7,FALSE)</f>
        <v>0</v>
      </c>
      <c r="I2145" t="str">
        <f>VLOOKUP(Table2[[#This Row],[Customer ID]],Table2[#All],8,FALSE)</f>
        <v>No</v>
      </c>
      <c r="J2145" t="str">
        <f>VLOOKUP(Table2[[#This Row],[Customer ID]],Table2[#All],9,FALSE)</f>
        <v>Overweight</v>
      </c>
      <c r="K2145" t="str">
        <f>VLOOKUP(Table2[[#This Row],[Customer ID]],Table2[#All],10,FALSE)</f>
        <v>Prediabetes</v>
      </c>
    </row>
    <row r="2146" spans="1:11" ht="15.6" x14ac:dyDescent="0.3">
      <c r="A2146" s="1" t="s">
        <v>218</v>
      </c>
      <c r="B2146" t="str">
        <f>VLOOKUP('Customer Names'!A2146,'Customer Names'!$A$1:$E$2336,4,FALSE)</f>
        <v>Mr.  Russell N.</v>
      </c>
      <c r="C2146">
        <f>VLOOKUP(Table2[[#This Row],[Customer ID]],Table2[#All],2,FALSE)</f>
        <v>35.86</v>
      </c>
      <c r="D2146">
        <f>VLOOKUP(Table2[[#This Row],[Customer ID]],Table2[#All],3,FALSE)</f>
        <v>4.33</v>
      </c>
      <c r="E2146" t="str">
        <f>VLOOKUP(Table2[[#This Row],[Customer ID]],Table2[#All],4,FALSE)</f>
        <v>No</v>
      </c>
      <c r="F2146" t="str">
        <f>VLOOKUP(Table2[[#This Row],[Customer ID]],Table2[#All],5,FALSE)</f>
        <v>No</v>
      </c>
      <c r="G2146" t="str">
        <f>VLOOKUP(Table2[[#This Row],[Customer ID]],Table2[#All],6,FALSE)</f>
        <v>No</v>
      </c>
      <c r="H2146">
        <f>VLOOKUP(Table2[[#This Row],[Customer ID]],Table2[#All],7,FALSE)</f>
        <v>1</v>
      </c>
      <c r="I2146" t="str">
        <f>VLOOKUP(Table2[[#This Row],[Customer ID]],Table2[#All],8,FALSE)</f>
        <v>No</v>
      </c>
      <c r="J2146" t="str">
        <f>VLOOKUP(Table2[[#This Row],[Customer ID]],Table2[#All],9,FALSE)</f>
        <v>Obesity</v>
      </c>
      <c r="K2146" t="str">
        <f>VLOOKUP(Table2[[#This Row],[Customer ID]],Table2[#All],10,FALSE)</f>
        <v>Normal</v>
      </c>
    </row>
    <row r="2147" spans="1:11" ht="15.6" x14ac:dyDescent="0.3">
      <c r="A2147" s="1" t="s">
        <v>217</v>
      </c>
      <c r="B2147" t="str">
        <f>VLOOKUP('Customer Names'!A2147,'Customer Names'!$A$1:$E$2336,4,FALSE)</f>
        <v>Mr.  Scott R.</v>
      </c>
      <c r="C2147">
        <f>VLOOKUP(Table2[[#This Row],[Customer ID]],Table2[#All],2,FALSE)</f>
        <v>40.47</v>
      </c>
      <c r="D2147">
        <f>VLOOKUP(Table2[[#This Row],[Customer ID]],Table2[#All],3,FALSE)</f>
        <v>11.15</v>
      </c>
      <c r="E2147" t="str">
        <f>VLOOKUP(Table2[[#This Row],[Customer ID]],Table2[#All],4,FALSE)</f>
        <v>No</v>
      </c>
      <c r="F2147" t="str">
        <f>VLOOKUP(Table2[[#This Row],[Customer ID]],Table2[#All],5,FALSE)</f>
        <v>No</v>
      </c>
      <c r="G2147" t="str">
        <f>VLOOKUP(Table2[[#This Row],[Customer ID]],Table2[#All],6,FALSE)</f>
        <v>No</v>
      </c>
      <c r="H2147">
        <f>VLOOKUP(Table2[[#This Row],[Customer ID]],Table2[#All],7,FALSE)</f>
        <v>0</v>
      </c>
      <c r="I2147" t="str">
        <f>VLOOKUP(Table2[[#This Row],[Customer ID]],Table2[#All],8,FALSE)</f>
        <v>No</v>
      </c>
      <c r="J2147" t="str">
        <f>VLOOKUP(Table2[[#This Row],[Customer ID]],Table2[#All],9,FALSE)</f>
        <v>Obesity</v>
      </c>
      <c r="K2147" t="str">
        <f>VLOOKUP(Table2[[#This Row],[Customer ID]],Table2[#All],10,FALSE)</f>
        <v>Diabetes</v>
      </c>
    </row>
    <row r="2148" spans="1:11" ht="15.6" x14ac:dyDescent="0.3">
      <c r="A2148" s="1" t="s">
        <v>216</v>
      </c>
      <c r="B2148" t="str">
        <f>VLOOKUP('Customer Names'!A2148,'Customer Names'!$A$1:$E$2336,4,FALSE)</f>
        <v>Mr.  Jose Francisco Sr.</v>
      </c>
      <c r="C2148">
        <f>VLOOKUP(Table2[[#This Row],[Customer ID]],Table2[#All],2,FALSE)</f>
        <v>32.01</v>
      </c>
      <c r="D2148">
        <f>VLOOKUP(Table2[[#This Row],[Customer ID]],Table2[#All],3,FALSE)</f>
        <v>6.45</v>
      </c>
      <c r="E2148" t="str">
        <f>VLOOKUP(Table2[[#This Row],[Customer ID]],Table2[#All],4,FALSE)</f>
        <v>No</v>
      </c>
      <c r="F2148" t="str">
        <f>VLOOKUP(Table2[[#This Row],[Customer ID]],Table2[#All],5,FALSE)</f>
        <v>No</v>
      </c>
      <c r="G2148" t="str">
        <f>VLOOKUP(Table2[[#This Row],[Customer ID]],Table2[#All],6,FALSE)</f>
        <v>No</v>
      </c>
      <c r="H2148">
        <f>VLOOKUP(Table2[[#This Row],[Customer ID]],Table2[#All],7,FALSE)</f>
        <v>1</v>
      </c>
      <c r="I2148" t="str">
        <f>VLOOKUP(Table2[[#This Row],[Customer ID]],Table2[#All],8,FALSE)</f>
        <v>No</v>
      </c>
      <c r="J2148" t="str">
        <f>VLOOKUP(Table2[[#This Row],[Customer ID]],Table2[#All],9,FALSE)</f>
        <v>Obesity</v>
      </c>
      <c r="K2148" t="str">
        <f>VLOOKUP(Table2[[#This Row],[Customer ID]],Table2[#All],10,FALSE)</f>
        <v>Prediabetes</v>
      </c>
    </row>
    <row r="2149" spans="1:11" ht="15.6" x14ac:dyDescent="0.3">
      <c r="A2149" s="1" t="s">
        <v>215</v>
      </c>
      <c r="B2149" t="str">
        <f>VLOOKUP('Customer Names'!A2149,'Customer Names'!$A$1:$E$2336,4,FALSE)</f>
        <v>Mr.  Paul J</v>
      </c>
      <c r="C2149">
        <f>VLOOKUP(Table2[[#This Row],[Customer ID]],Table2[#All],2,FALSE)</f>
        <v>33</v>
      </c>
      <c r="D2149">
        <f>VLOOKUP(Table2[[#This Row],[Customer ID]],Table2[#All],3,FALSE)</f>
        <v>9.27</v>
      </c>
      <c r="E2149" t="str">
        <f>VLOOKUP(Table2[[#This Row],[Customer ID]],Table2[#All],4,FALSE)</f>
        <v>No</v>
      </c>
      <c r="F2149" t="str">
        <f>VLOOKUP(Table2[[#This Row],[Customer ID]],Table2[#All],5,FALSE)</f>
        <v>No</v>
      </c>
      <c r="G2149" t="str">
        <f>VLOOKUP(Table2[[#This Row],[Customer ID]],Table2[#All],6,FALSE)</f>
        <v>No</v>
      </c>
      <c r="H2149">
        <f>VLOOKUP(Table2[[#This Row],[Customer ID]],Table2[#All],7,FALSE)</f>
        <v>0</v>
      </c>
      <c r="I2149" t="str">
        <f>VLOOKUP(Table2[[#This Row],[Customer ID]],Table2[#All],8,FALSE)</f>
        <v>No</v>
      </c>
      <c r="J2149" t="str">
        <f>VLOOKUP(Table2[[#This Row],[Customer ID]],Table2[#All],9,FALSE)</f>
        <v>Obesity</v>
      </c>
      <c r="K2149" t="str">
        <f>VLOOKUP(Table2[[#This Row],[Customer ID]],Table2[#All],10,FALSE)</f>
        <v>Diabetes</v>
      </c>
    </row>
    <row r="2150" spans="1:11" ht="15.6" x14ac:dyDescent="0.3">
      <c r="A2150" s="1" t="s">
        <v>214</v>
      </c>
      <c r="B2150" t="str">
        <f>VLOOKUP('Customer Names'!A2150,'Customer Names'!$A$1:$E$2336,4,FALSE)</f>
        <v>Mr.  Adam</v>
      </c>
      <c r="C2150">
        <f>VLOOKUP(Table2[[#This Row],[Customer ID]],Table2[#All],2,FALSE)</f>
        <v>29.3</v>
      </c>
      <c r="D2150">
        <f>VLOOKUP(Table2[[#This Row],[Customer ID]],Table2[#All],3,FALSE)</f>
        <v>6.15</v>
      </c>
      <c r="E2150" t="str">
        <f>VLOOKUP(Table2[[#This Row],[Customer ID]],Table2[#All],4,FALSE)</f>
        <v>No</v>
      </c>
      <c r="F2150" t="str">
        <f>VLOOKUP(Table2[[#This Row],[Customer ID]],Table2[#All],5,FALSE)</f>
        <v>No</v>
      </c>
      <c r="G2150" t="str">
        <f>VLOOKUP(Table2[[#This Row],[Customer ID]],Table2[#All],6,FALSE)</f>
        <v>No</v>
      </c>
      <c r="H2150">
        <f>VLOOKUP(Table2[[#This Row],[Customer ID]],Table2[#All],7,FALSE)</f>
        <v>1</v>
      </c>
      <c r="I2150" t="str">
        <f>VLOOKUP(Table2[[#This Row],[Customer ID]],Table2[#All],8,FALSE)</f>
        <v>No</v>
      </c>
      <c r="J2150" t="str">
        <f>VLOOKUP(Table2[[#This Row],[Customer ID]],Table2[#All],9,FALSE)</f>
        <v>Overweight</v>
      </c>
      <c r="K2150" t="str">
        <f>VLOOKUP(Table2[[#This Row],[Customer ID]],Table2[#All],10,FALSE)</f>
        <v>Prediabetes</v>
      </c>
    </row>
    <row r="2151" spans="1:11" ht="15.6" x14ac:dyDescent="0.3">
      <c r="A2151" s="1" t="s">
        <v>213</v>
      </c>
      <c r="B2151" t="str">
        <f>VLOOKUP('Customer Names'!A2151,'Customer Names'!$A$1:$E$2336,4,FALSE)</f>
        <v>Mr.  Edward J.</v>
      </c>
      <c r="C2151">
        <f>VLOOKUP(Table2[[#This Row],[Customer ID]],Table2[#All],2,FALSE)</f>
        <v>25.8</v>
      </c>
      <c r="D2151">
        <f>VLOOKUP(Table2[[#This Row],[Customer ID]],Table2[#All],3,FALSE)</f>
        <v>4.13</v>
      </c>
      <c r="E2151" t="str">
        <f>VLOOKUP(Table2[[#This Row],[Customer ID]],Table2[#All],4,FALSE)</f>
        <v>No</v>
      </c>
      <c r="F2151" t="str">
        <f>VLOOKUP(Table2[[#This Row],[Customer ID]],Table2[#All],5,FALSE)</f>
        <v>No</v>
      </c>
      <c r="G2151" t="str">
        <f>VLOOKUP(Table2[[#This Row],[Customer ID]],Table2[#All],6,FALSE)</f>
        <v>No</v>
      </c>
      <c r="H2151">
        <f>VLOOKUP(Table2[[#This Row],[Customer ID]],Table2[#All],7,FALSE)</f>
        <v>1</v>
      </c>
      <c r="I2151" t="str">
        <f>VLOOKUP(Table2[[#This Row],[Customer ID]],Table2[#All],8,FALSE)</f>
        <v>No</v>
      </c>
      <c r="J2151" t="str">
        <f>VLOOKUP(Table2[[#This Row],[Customer ID]],Table2[#All],9,FALSE)</f>
        <v>Overweight</v>
      </c>
      <c r="K2151" t="str">
        <f>VLOOKUP(Table2[[#This Row],[Customer ID]],Table2[#All],10,FALSE)</f>
        <v>Normal</v>
      </c>
    </row>
    <row r="2152" spans="1:11" ht="15.6" x14ac:dyDescent="0.3">
      <c r="A2152" s="1" t="s">
        <v>212</v>
      </c>
      <c r="B2152" t="str">
        <f>VLOOKUP('Customer Names'!A2152,'Customer Names'!$A$1:$E$2336,4,FALSE)</f>
        <v>Mr.  Patrick A.</v>
      </c>
      <c r="C2152">
        <f>VLOOKUP(Table2[[#This Row],[Customer ID]],Table2[#All],2,FALSE)</f>
        <v>23.4</v>
      </c>
      <c r="D2152">
        <f>VLOOKUP(Table2[[#This Row],[Customer ID]],Table2[#All],3,FALSE)</f>
        <v>4.24</v>
      </c>
      <c r="E2152" t="str">
        <f>VLOOKUP(Table2[[#This Row],[Customer ID]],Table2[#All],4,FALSE)</f>
        <v>No</v>
      </c>
      <c r="F2152" t="str">
        <f>VLOOKUP(Table2[[#This Row],[Customer ID]],Table2[#All],5,FALSE)</f>
        <v>No</v>
      </c>
      <c r="G2152" t="str">
        <f>VLOOKUP(Table2[[#This Row],[Customer ID]],Table2[#All],6,FALSE)</f>
        <v>No</v>
      </c>
      <c r="H2152">
        <f>VLOOKUP(Table2[[#This Row],[Customer ID]],Table2[#All],7,FALSE)</f>
        <v>1</v>
      </c>
      <c r="I2152" t="str">
        <f>VLOOKUP(Table2[[#This Row],[Customer ID]],Table2[#All],8,FALSE)</f>
        <v>No</v>
      </c>
      <c r="J2152" t="str">
        <f>VLOOKUP(Table2[[#This Row],[Customer ID]],Table2[#All],9,FALSE)</f>
        <v>Normalweight</v>
      </c>
      <c r="K2152" t="str">
        <f>VLOOKUP(Table2[[#This Row],[Customer ID]],Table2[#All],10,FALSE)</f>
        <v>Normal</v>
      </c>
    </row>
    <row r="2153" spans="1:11" ht="15.6" x14ac:dyDescent="0.3">
      <c r="A2153" s="1" t="s">
        <v>211</v>
      </c>
      <c r="B2153" t="str">
        <f>VLOOKUP('Customer Names'!A2153,'Customer Names'!$A$1:$E$2336,4,FALSE)</f>
        <v>Mr.  Geraint H</v>
      </c>
      <c r="C2153">
        <f>VLOOKUP(Table2[[#This Row],[Customer ID]],Table2[#All],2,FALSE)</f>
        <v>27.93</v>
      </c>
      <c r="D2153">
        <f>VLOOKUP(Table2[[#This Row],[Customer ID]],Table2[#All],3,FALSE)</f>
        <v>9.8800000000000008</v>
      </c>
      <c r="E2153" t="str">
        <f>VLOOKUP(Table2[[#This Row],[Customer ID]],Table2[#All],4,FALSE)</f>
        <v>No</v>
      </c>
      <c r="F2153" t="str">
        <f>VLOOKUP(Table2[[#This Row],[Customer ID]],Table2[#All],5,FALSE)</f>
        <v>No</v>
      </c>
      <c r="G2153" t="str">
        <f>VLOOKUP(Table2[[#This Row],[Customer ID]],Table2[#All],6,FALSE)</f>
        <v>No</v>
      </c>
      <c r="H2153">
        <f>VLOOKUP(Table2[[#This Row],[Customer ID]],Table2[#All],7,FALSE)</f>
        <v>0</v>
      </c>
      <c r="I2153" t="str">
        <f>VLOOKUP(Table2[[#This Row],[Customer ID]],Table2[#All],8,FALSE)</f>
        <v>No</v>
      </c>
      <c r="J2153" t="str">
        <f>VLOOKUP(Table2[[#This Row],[Customer ID]],Table2[#All],9,FALSE)</f>
        <v>Overweight</v>
      </c>
      <c r="K2153" t="str">
        <f>VLOOKUP(Table2[[#This Row],[Customer ID]],Table2[#All],10,FALSE)</f>
        <v>Diabetes</v>
      </c>
    </row>
    <row r="2154" spans="1:11" ht="15.6" x14ac:dyDescent="0.3">
      <c r="A2154" s="1" t="s">
        <v>210</v>
      </c>
      <c r="B2154" t="str">
        <f>VLOOKUP('Customer Names'!A2154,'Customer Names'!$A$1:$E$2336,4,FALSE)</f>
        <v>Mr.  Dj</v>
      </c>
      <c r="C2154">
        <f>VLOOKUP(Table2[[#This Row],[Customer ID]],Table2[#All],2,FALSE)</f>
        <v>22</v>
      </c>
      <c r="D2154">
        <f>VLOOKUP(Table2[[#This Row],[Customer ID]],Table2[#All],3,FALSE)</f>
        <v>9.5</v>
      </c>
      <c r="E2154" t="str">
        <f>VLOOKUP(Table2[[#This Row],[Customer ID]],Table2[#All],4,FALSE)</f>
        <v>No</v>
      </c>
      <c r="F2154" t="str">
        <f>VLOOKUP(Table2[[#This Row],[Customer ID]],Table2[#All],5,FALSE)</f>
        <v>No</v>
      </c>
      <c r="G2154" t="str">
        <f>VLOOKUP(Table2[[#This Row],[Customer ID]],Table2[#All],6,FALSE)</f>
        <v>No</v>
      </c>
      <c r="H2154">
        <f>VLOOKUP(Table2[[#This Row],[Customer ID]],Table2[#All],7,FALSE)</f>
        <v>0</v>
      </c>
      <c r="I2154" t="str">
        <f>VLOOKUP(Table2[[#This Row],[Customer ID]],Table2[#All],8,FALSE)</f>
        <v>No</v>
      </c>
      <c r="J2154" t="str">
        <f>VLOOKUP(Table2[[#This Row],[Customer ID]],Table2[#All],9,FALSE)</f>
        <v>Normalweight</v>
      </c>
      <c r="K2154" t="str">
        <f>VLOOKUP(Table2[[#This Row],[Customer ID]],Table2[#All],10,FALSE)</f>
        <v>Diabetes</v>
      </c>
    </row>
    <row r="2155" spans="1:11" ht="15.6" x14ac:dyDescent="0.3">
      <c r="A2155" s="1" t="s">
        <v>209</v>
      </c>
      <c r="B2155" t="str">
        <f>VLOOKUP('Customer Names'!A2155,'Customer Names'!$A$1:$E$2336,4,FALSE)</f>
        <v>Mr.  Zachary A</v>
      </c>
      <c r="C2155">
        <f>VLOOKUP(Table2[[#This Row],[Customer ID]],Table2[#All],2,FALSE)</f>
        <v>36.86</v>
      </c>
      <c r="D2155">
        <f>VLOOKUP(Table2[[#This Row],[Customer ID]],Table2[#All],3,FALSE)</f>
        <v>4.97</v>
      </c>
      <c r="E2155" t="str">
        <f>VLOOKUP(Table2[[#This Row],[Customer ID]],Table2[#All],4,FALSE)</f>
        <v>Yes</v>
      </c>
      <c r="F2155" t="str">
        <f>VLOOKUP(Table2[[#This Row],[Customer ID]],Table2[#All],5,FALSE)</f>
        <v>No</v>
      </c>
      <c r="G2155" t="str">
        <f>VLOOKUP(Table2[[#This Row],[Customer ID]],Table2[#All],6,FALSE)</f>
        <v>No</v>
      </c>
      <c r="H2155">
        <f>VLOOKUP(Table2[[#This Row],[Customer ID]],Table2[#All],7,FALSE)</f>
        <v>0</v>
      </c>
      <c r="I2155" t="str">
        <f>VLOOKUP(Table2[[#This Row],[Customer ID]],Table2[#All],8,FALSE)</f>
        <v>No</v>
      </c>
      <c r="J2155" t="str">
        <f>VLOOKUP(Table2[[#This Row],[Customer ID]],Table2[#All],9,FALSE)</f>
        <v>Obesity</v>
      </c>
      <c r="K2155" t="str">
        <f>VLOOKUP(Table2[[#This Row],[Customer ID]],Table2[#All],10,FALSE)</f>
        <v>Normal</v>
      </c>
    </row>
    <row r="2156" spans="1:11" ht="15.6" x14ac:dyDescent="0.3">
      <c r="A2156" s="1" t="s">
        <v>208</v>
      </c>
      <c r="B2156" t="str">
        <f>VLOOKUP('Customer Names'!A2156,'Customer Names'!$A$1:$E$2336,4,FALSE)</f>
        <v>Mr.  Brian W.</v>
      </c>
      <c r="C2156">
        <f>VLOOKUP(Table2[[#This Row],[Customer ID]],Table2[#All],2,FALSE)</f>
        <v>31.254999999999999</v>
      </c>
      <c r="D2156">
        <f>VLOOKUP(Table2[[#This Row],[Customer ID]],Table2[#All],3,FALSE)</f>
        <v>5.49</v>
      </c>
      <c r="E2156" t="str">
        <f>VLOOKUP(Table2[[#This Row],[Customer ID]],Table2[#All],4,FALSE)</f>
        <v>Yes</v>
      </c>
      <c r="F2156" t="str">
        <f>VLOOKUP(Table2[[#This Row],[Customer ID]],Table2[#All],5,FALSE)</f>
        <v>No</v>
      </c>
      <c r="G2156" t="str">
        <f>VLOOKUP(Table2[[#This Row],[Customer ID]],Table2[#All],6,FALSE)</f>
        <v>No</v>
      </c>
      <c r="H2156">
        <f>VLOOKUP(Table2[[#This Row],[Customer ID]],Table2[#All],7,FALSE)</f>
        <v>0</v>
      </c>
      <c r="I2156" t="str">
        <f>VLOOKUP(Table2[[#This Row],[Customer ID]],Table2[#All],8,FALSE)</f>
        <v>No</v>
      </c>
      <c r="J2156" t="str">
        <f>VLOOKUP(Table2[[#This Row],[Customer ID]],Table2[#All],9,FALSE)</f>
        <v>Obesity</v>
      </c>
      <c r="K2156" t="str">
        <f>VLOOKUP(Table2[[#This Row],[Customer ID]],Table2[#All],10,FALSE)</f>
        <v>Normal</v>
      </c>
    </row>
    <row r="2157" spans="1:11" ht="15.6" x14ac:dyDescent="0.3">
      <c r="A2157" s="1" t="s">
        <v>207</v>
      </c>
      <c r="B2157" t="str">
        <f>VLOOKUP('Customer Names'!A2157,'Customer Names'!$A$1:$E$2336,4,FALSE)</f>
        <v>Mr.  Joe</v>
      </c>
      <c r="C2157">
        <f>VLOOKUP(Table2[[#This Row],[Customer ID]],Table2[#All],2,FALSE)</f>
        <v>23.06</v>
      </c>
      <c r="D2157">
        <f>VLOOKUP(Table2[[#This Row],[Customer ID]],Table2[#All],3,FALSE)</f>
        <v>4.47</v>
      </c>
      <c r="E2157" t="str">
        <f>VLOOKUP(Table2[[#This Row],[Customer ID]],Table2[#All],4,FALSE)</f>
        <v>No</v>
      </c>
      <c r="F2157" t="str">
        <f>VLOOKUP(Table2[[#This Row],[Customer ID]],Table2[#All],5,FALSE)</f>
        <v>No</v>
      </c>
      <c r="G2157" t="str">
        <f>VLOOKUP(Table2[[#This Row],[Customer ID]],Table2[#All],6,FALSE)</f>
        <v>No</v>
      </c>
      <c r="H2157">
        <f>VLOOKUP(Table2[[#This Row],[Customer ID]],Table2[#All],7,FALSE)</f>
        <v>0</v>
      </c>
      <c r="I2157" t="str">
        <f>VLOOKUP(Table2[[#This Row],[Customer ID]],Table2[#All],8,FALSE)</f>
        <v>No</v>
      </c>
      <c r="J2157" t="str">
        <f>VLOOKUP(Table2[[#This Row],[Customer ID]],Table2[#All],9,FALSE)</f>
        <v>Normalweight</v>
      </c>
      <c r="K2157" t="str">
        <f>VLOOKUP(Table2[[#This Row],[Customer ID]],Table2[#All],10,FALSE)</f>
        <v>Normal</v>
      </c>
    </row>
    <row r="2158" spans="1:11" ht="15.6" x14ac:dyDescent="0.3">
      <c r="A2158" s="1" t="s">
        <v>206</v>
      </c>
      <c r="B2158" t="str">
        <f>VLOOKUP('Customer Names'!A2158,'Customer Names'!$A$1:$E$2336,4,FALSE)</f>
        <v>Mr.  Stephen</v>
      </c>
      <c r="C2158">
        <f>VLOOKUP(Table2[[#This Row],[Customer ID]],Table2[#All],2,FALSE)</f>
        <v>28.975000000000001</v>
      </c>
      <c r="D2158">
        <f>VLOOKUP(Table2[[#This Row],[Customer ID]],Table2[#All],3,FALSE)</f>
        <v>4.34</v>
      </c>
      <c r="E2158" t="str">
        <f>VLOOKUP(Table2[[#This Row],[Customer ID]],Table2[#All],4,FALSE)</f>
        <v>Yes</v>
      </c>
      <c r="F2158" t="str">
        <f>VLOOKUP(Table2[[#This Row],[Customer ID]],Table2[#All],5,FALSE)</f>
        <v>No</v>
      </c>
      <c r="G2158" t="str">
        <f>VLOOKUP(Table2[[#This Row],[Customer ID]],Table2[#All],6,FALSE)</f>
        <v>No</v>
      </c>
      <c r="H2158">
        <f>VLOOKUP(Table2[[#This Row],[Customer ID]],Table2[#All],7,FALSE)</f>
        <v>0</v>
      </c>
      <c r="I2158" t="str">
        <f>VLOOKUP(Table2[[#This Row],[Customer ID]],Table2[#All],8,FALSE)</f>
        <v>No</v>
      </c>
      <c r="J2158" t="str">
        <f>VLOOKUP(Table2[[#This Row],[Customer ID]],Table2[#All],9,FALSE)</f>
        <v>Overweight</v>
      </c>
      <c r="K2158" t="str">
        <f>VLOOKUP(Table2[[#This Row],[Customer ID]],Table2[#All],10,FALSE)</f>
        <v>Normal</v>
      </c>
    </row>
    <row r="2159" spans="1:11" ht="15.6" x14ac:dyDescent="0.3">
      <c r="A2159" s="1" t="s">
        <v>205</v>
      </c>
      <c r="B2159" t="str">
        <f>VLOOKUP('Customer Names'!A2159,'Customer Names'!$A$1:$E$2336,4,FALSE)</f>
        <v>Ms.  Ellen L.</v>
      </c>
      <c r="C2159">
        <f>VLOOKUP(Table2[[#This Row],[Customer ID]],Table2[#All],2,FALSE)</f>
        <v>33.299999999999997</v>
      </c>
      <c r="D2159">
        <f>VLOOKUP(Table2[[#This Row],[Customer ID]],Table2[#All],3,FALSE)</f>
        <v>9.49</v>
      </c>
      <c r="E2159" t="str">
        <f>VLOOKUP(Table2[[#This Row],[Customer ID]],Table2[#All],4,FALSE)</f>
        <v>No</v>
      </c>
      <c r="F2159" t="str">
        <f>VLOOKUP(Table2[[#This Row],[Customer ID]],Table2[#All],5,FALSE)</f>
        <v>No</v>
      </c>
      <c r="G2159" t="str">
        <f>VLOOKUP(Table2[[#This Row],[Customer ID]],Table2[#All],6,FALSE)</f>
        <v>No</v>
      </c>
      <c r="H2159">
        <f>VLOOKUP(Table2[[#This Row],[Customer ID]],Table2[#All],7,FALSE)</f>
        <v>0</v>
      </c>
      <c r="I2159" t="str">
        <f>VLOOKUP(Table2[[#This Row],[Customer ID]],Table2[#All],8,FALSE)</f>
        <v>No</v>
      </c>
      <c r="J2159" t="str">
        <f>VLOOKUP(Table2[[#This Row],[Customer ID]],Table2[#All],9,FALSE)</f>
        <v>Obesity</v>
      </c>
      <c r="K2159" t="str">
        <f>VLOOKUP(Table2[[#This Row],[Customer ID]],Table2[#All],10,FALSE)</f>
        <v>Diabetes</v>
      </c>
    </row>
    <row r="2160" spans="1:11" ht="15.6" x14ac:dyDescent="0.3">
      <c r="A2160" s="1" t="s">
        <v>204</v>
      </c>
      <c r="B2160" t="str">
        <f>VLOOKUP('Customer Names'!A2160,'Customer Names'!$A$1:$E$2336,4,FALSE)</f>
        <v>Ms.  Cindy</v>
      </c>
      <c r="C2160">
        <f>VLOOKUP(Table2[[#This Row],[Customer ID]],Table2[#All],2,FALSE)</f>
        <v>33</v>
      </c>
      <c r="D2160">
        <f>VLOOKUP(Table2[[#This Row],[Customer ID]],Table2[#All],3,FALSE)</f>
        <v>10.16</v>
      </c>
      <c r="E2160" t="str">
        <f>VLOOKUP(Table2[[#This Row],[Customer ID]],Table2[#All],4,FALSE)</f>
        <v>No</v>
      </c>
      <c r="F2160" t="str">
        <f>VLOOKUP(Table2[[#This Row],[Customer ID]],Table2[#All],5,FALSE)</f>
        <v>No</v>
      </c>
      <c r="G2160" t="str">
        <f>VLOOKUP(Table2[[#This Row],[Customer ID]],Table2[#All],6,FALSE)</f>
        <v>No</v>
      </c>
      <c r="H2160">
        <f>VLOOKUP(Table2[[#This Row],[Customer ID]],Table2[#All],7,FALSE)</f>
        <v>0</v>
      </c>
      <c r="I2160" t="str">
        <f>VLOOKUP(Table2[[#This Row],[Customer ID]],Table2[#All],8,FALSE)</f>
        <v>No</v>
      </c>
      <c r="J2160" t="str">
        <f>VLOOKUP(Table2[[#This Row],[Customer ID]],Table2[#All],9,FALSE)</f>
        <v>Obesity</v>
      </c>
      <c r="K2160" t="str">
        <f>VLOOKUP(Table2[[#This Row],[Customer ID]],Table2[#All],10,FALSE)</f>
        <v>Diabetes</v>
      </c>
    </row>
    <row r="2161" spans="1:11" ht="15.6" x14ac:dyDescent="0.3">
      <c r="A2161" s="1" t="s">
        <v>203</v>
      </c>
      <c r="B2161" t="str">
        <f>VLOOKUP('Customer Names'!A2161,'Customer Names'!$A$1:$E$2336,4,FALSE)</f>
        <v>Ms.  Abigail R.</v>
      </c>
      <c r="C2161">
        <f>VLOOKUP(Table2[[#This Row],[Customer ID]],Table2[#All],2,FALSE)</f>
        <v>31.46</v>
      </c>
      <c r="D2161">
        <f>VLOOKUP(Table2[[#This Row],[Customer ID]],Table2[#All],3,FALSE)</f>
        <v>11.19</v>
      </c>
      <c r="E2161" t="str">
        <f>VLOOKUP(Table2[[#This Row],[Customer ID]],Table2[#All],4,FALSE)</f>
        <v>No</v>
      </c>
      <c r="F2161" t="str">
        <f>VLOOKUP(Table2[[#This Row],[Customer ID]],Table2[#All],5,FALSE)</f>
        <v>No</v>
      </c>
      <c r="G2161" t="str">
        <f>VLOOKUP(Table2[[#This Row],[Customer ID]],Table2[#All],6,FALSE)</f>
        <v>No</v>
      </c>
      <c r="H2161">
        <f>VLOOKUP(Table2[[#This Row],[Customer ID]],Table2[#All],7,FALSE)</f>
        <v>0</v>
      </c>
      <c r="I2161" t="str">
        <f>VLOOKUP(Table2[[#This Row],[Customer ID]],Table2[#All],8,FALSE)</f>
        <v>No</v>
      </c>
      <c r="J2161" t="str">
        <f>VLOOKUP(Table2[[#This Row],[Customer ID]],Table2[#All],9,FALSE)</f>
        <v>Obesity</v>
      </c>
      <c r="K2161" t="str">
        <f>VLOOKUP(Table2[[#This Row],[Customer ID]],Table2[#All],10,FALSE)</f>
        <v>Diabetes</v>
      </c>
    </row>
    <row r="2162" spans="1:11" ht="15.6" x14ac:dyDescent="0.3">
      <c r="A2162" s="1" t="s">
        <v>202</v>
      </c>
      <c r="B2162" t="str">
        <f>VLOOKUP('Customer Names'!A2162,'Customer Names'!$A$1:$E$2336,4,FALSE)</f>
        <v>Ms.  Amy L.</v>
      </c>
      <c r="C2162">
        <f>VLOOKUP(Table2[[#This Row],[Customer ID]],Table2[#All],2,FALSE)</f>
        <v>29.6</v>
      </c>
      <c r="D2162">
        <f>VLOOKUP(Table2[[#This Row],[Customer ID]],Table2[#All],3,FALSE)</f>
        <v>11.03</v>
      </c>
      <c r="E2162" t="str">
        <f>VLOOKUP(Table2[[#This Row],[Customer ID]],Table2[#All],4,FALSE)</f>
        <v>No</v>
      </c>
      <c r="F2162" t="str">
        <f>VLOOKUP(Table2[[#This Row],[Customer ID]],Table2[#All],5,FALSE)</f>
        <v>No</v>
      </c>
      <c r="G2162" t="str">
        <f>VLOOKUP(Table2[[#This Row],[Customer ID]],Table2[#All],6,FALSE)</f>
        <v>No</v>
      </c>
      <c r="H2162">
        <f>VLOOKUP(Table2[[#This Row],[Customer ID]],Table2[#All],7,FALSE)</f>
        <v>0</v>
      </c>
      <c r="I2162" t="str">
        <f>VLOOKUP(Table2[[#This Row],[Customer ID]],Table2[#All],8,FALSE)</f>
        <v>No</v>
      </c>
      <c r="J2162" t="str">
        <f>VLOOKUP(Table2[[#This Row],[Customer ID]],Table2[#All],9,FALSE)</f>
        <v>Overweight</v>
      </c>
      <c r="K2162" t="str">
        <f>VLOOKUP(Table2[[#This Row],[Customer ID]],Table2[#All],10,FALSE)</f>
        <v>Diabetes</v>
      </c>
    </row>
    <row r="2163" spans="1:11" ht="15.6" x14ac:dyDescent="0.3">
      <c r="A2163" s="1" t="s">
        <v>201</v>
      </c>
      <c r="B2163" t="str">
        <f>VLOOKUP('Customer Names'!A2163,'Customer Names'!$A$1:$E$2336,4,FALSE)</f>
        <v>Ms.  Amy</v>
      </c>
      <c r="C2163">
        <f>VLOOKUP(Table2[[#This Row],[Customer ID]],Table2[#All],2,FALSE)</f>
        <v>22.05</v>
      </c>
      <c r="D2163">
        <f>VLOOKUP(Table2[[#This Row],[Customer ID]],Table2[#All],3,FALSE)</f>
        <v>4.43</v>
      </c>
      <c r="E2163" t="str">
        <f>VLOOKUP(Table2[[#This Row],[Customer ID]],Table2[#All],4,FALSE)</f>
        <v>Yes</v>
      </c>
      <c r="F2163" t="str">
        <f>VLOOKUP(Table2[[#This Row],[Customer ID]],Table2[#All],5,FALSE)</f>
        <v>No</v>
      </c>
      <c r="G2163" t="str">
        <f>VLOOKUP(Table2[[#This Row],[Customer ID]],Table2[#All],6,FALSE)</f>
        <v>No</v>
      </c>
      <c r="H2163">
        <f>VLOOKUP(Table2[[#This Row],[Customer ID]],Table2[#All],7,FALSE)</f>
        <v>0</v>
      </c>
      <c r="I2163" t="str">
        <f>VLOOKUP(Table2[[#This Row],[Customer ID]],Table2[#All],8,FALSE)</f>
        <v>No</v>
      </c>
      <c r="J2163" t="str">
        <f>VLOOKUP(Table2[[#This Row],[Customer ID]],Table2[#All],9,FALSE)</f>
        <v>Normalweight</v>
      </c>
      <c r="K2163" t="str">
        <f>VLOOKUP(Table2[[#This Row],[Customer ID]],Table2[#All],10,FALSE)</f>
        <v>Normal</v>
      </c>
    </row>
    <row r="2164" spans="1:11" ht="15.6" x14ac:dyDescent="0.3">
      <c r="A2164" s="1" t="s">
        <v>199</v>
      </c>
      <c r="B2164" t="str">
        <f>VLOOKUP('Customer Names'!A2164,'Customer Names'!$A$1:$E$2336,4,FALSE)</f>
        <v>Mrs.  Grace H</v>
      </c>
      <c r="C2164">
        <f>VLOOKUP(Table2[[#This Row],[Customer ID]],Table2[#All],2,FALSE)</f>
        <v>27.06</v>
      </c>
      <c r="D2164">
        <f>VLOOKUP(Table2[[#This Row],[Customer ID]],Table2[#All],3,FALSE)</f>
        <v>6.14</v>
      </c>
      <c r="E2164" t="str">
        <f>VLOOKUP(Table2[[#This Row],[Customer ID]],Table2[#All],4,FALSE)</f>
        <v>No</v>
      </c>
      <c r="F2164" t="str">
        <f>VLOOKUP(Table2[[#This Row],[Customer ID]],Table2[#All],5,FALSE)</f>
        <v>yes</v>
      </c>
      <c r="G2164" t="str">
        <f>VLOOKUP(Table2[[#This Row],[Customer ID]],Table2[#All],6,FALSE)</f>
        <v>No</v>
      </c>
      <c r="H2164">
        <f>VLOOKUP(Table2[[#This Row],[Customer ID]],Table2[#All],7,FALSE)</f>
        <v>1</v>
      </c>
      <c r="I2164" t="str">
        <f>VLOOKUP(Table2[[#This Row],[Customer ID]],Table2[#All],8,FALSE)</f>
        <v>No</v>
      </c>
      <c r="J2164" t="str">
        <f>VLOOKUP(Table2[[#This Row],[Customer ID]],Table2[#All],9,FALSE)</f>
        <v>Overweight</v>
      </c>
      <c r="K2164" t="str">
        <f>VLOOKUP(Table2[[#This Row],[Customer ID]],Table2[#All],10,FALSE)</f>
        <v>Prediabetes</v>
      </c>
    </row>
    <row r="2165" spans="1:11" ht="15.6" x14ac:dyDescent="0.3">
      <c r="A2165" s="1" t="s">
        <v>198</v>
      </c>
      <c r="B2165" t="str">
        <f>VLOOKUP('Customer Names'!A2165,'Customer Names'!$A$1:$E$2336,4,FALSE)</f>
        <v>Ms.  Caitie J.</v>
      </c>
      <c r="C2165">
        <f>VLOOKUP(Table2[[#This Row],[Customer ID]],Table2[#All],2,FALSE)</f>
        <v>20.49</v>
      </c>
      <c r="D2165">
        <f>VLOOKUP(Table2[[#This Row],[Customer ID]],Table2[#All],3,FALSE)</f>
        <v>4.87</v>
      </c>
      <c r="E2165" t="str">
        <f>VLOOKUP(Table2[[#This Row],[Customer ID]],Table2[#All],4,FALSE)</f>
        <v>No</v>
      </c>
      <c r="F2165" t="str">
        <f>VLOOKUP(Table2[[#This Row],[Customer ID]],Table2[#All],5,FALSE)</f>
        <v>No</v>
      </c>
      <c r="G2165" t="str">
        <f>VLOOKUP(Table2[[#This Row],[Customer ID]],Table2[#All],6,FALSE)</f>
        <v>No</v>
      </c>
      <c r="H2165">
        <f>VLOOKUP(Table2[[#This Row],[Customer ID]],Table2[#All],7,FALSE)</f>
        <v>0</v>
      </c>
      <c r="I2165" t="str">
        <f>VLOOKUP(Table2[[#This Row],[Customer ID]],Table2[#All],8,FALSE)</f>
        <v>No</v>
      </c>
      <c r="J2165" t="str">
        <f>VLOOKUP(Table2[[#This Row],[Customer ID]],Table2[#All],9,FALSE)</f>
        <v>Normalweight</v>
      </c>
      <c r="K2165" t="str">
        <f>VLOOKUP(Table2[[#This Row],[Customer ID]],Table2[#All],10,FALSE)</f>
        <v>Normal</v>
      </c>
    </row>
    <row r="2166" spans="1:11" ht="15.6" x14ac:dyDescent="0.3">
      <c r="A2166" s="1" t="s">
        <v>197</v>
      </c>
      <c r="B2166" t="str">
        <f>VLOOKUP('Customer Names'!A2166,'Customer Names'!$A$1:$E$2336,4,FALSE)</f>
        <v>Mr.  Benjamin</v>
      </c>
      <c r="C2166">
        <f>VLOOKUP(Table2[[#This Row],[Customer ID]],Table2[#All],2,FALSE)</f>
        <v>28.4</v>
      </c>
      <c r="D2166">
        <f>VLOOKUP(Table2[[#This Row],[Customer ID]],Table2[#All],3,FALSE)</f>
        <v>4.3</v>
      </c>
      <c r="E2166" t="str">
        <f>VLOOKUP(Table2[[#This Row],[Customer ID]],Table2[#All],4,FALSE)</f>
        <v>No</v>
      </c>
      <c r="F2166" t="str">
        <f>VLOOKUP(Table2[[#This Row],[Customer ID]],Table2[#All],5,FALSE)</f>
        <v>No</v>
      </c>
      <c r="G2166" t="str">
        <f>VLOOKUP(Table2[[#This Row],[Customer ID]],Table2[#All],6,FALSE)</f>
        <v>Yes</v>
      </c>
      <c r="H2166">
        <f>VLOOKUP(Table2[[#This Row],[Customer ID]],Table2[#All],7,FALSE)</f>
        <v>1</v>
      </c>
      <c r="I2166" t="str">
        <f>VLOOKUP(Table2[[#This Row],[Customer ID]],Table2[#All],8,FALSE)</f>
        <v>No</v>
      </c>
      <c r="J2166" t="str">
        <f>VLOOKUP(Table2[[#This Row],[Customer ID]],Table2[#All],9,FALSE)</f>
        <v>Overweight</v>
      </c>
      <c r="K2166" t="str">
        <f>VLOOKUP(Table2[[#This Row],[Customer ID]],Table2[#All],10,FALSE)</f>
        <v>Normal</v>
      </c>
    </row>
    <row r="2167" spans="1:11" ht="15.6" x14ac:dyDescent="0.3">
      <c r="A2167" s="1" t="s">
        <v>196</v>
      </c>
      <c r="B2167" t="str">
        <f>VLOOKUP('Customer Names'!A2167,'Customer Names'!$A$1:$E$2336,4,FALSE)</f>
        <v>Mr.  Ian T</v>
      </c>
      <c r="C2167">
        <f>VLOOKUP(Table2[[#This Row],[Customer ID]],Table2[#All],2,FALSE)</f>
        <v>41.91</v>
      </c>
      <c r="D2167">
        <f>VLOOKUP(Table2[[#This Row],[Customer ID]],Table2[#All],3,FALSE)</f>
        <v>6.19</v>
      </c>
      <c r="E2167" t="str">
        <f>VLOOKUP(Table2[[#This Row],[Customer ID]],Table2[#All],4,FALSE)</f>
        <v>No</v>
      </c>
      <c r="F2167" t="str">
        <f>VLOOKUP(Table2[[#This Row],[Customer ID]],Table2[#All],5,FALSE)</f>
        <v>No</v>
      </c>
      <c r="G2167" t="str">
        <f>VLOOKUP(Table2[[#This Row],[Customer ID]],Table2[#All],6,FALSE)</f>
        <v>No</v>
      </c>
      <c r="H2167">
        <f>VLOOKUP(Table2[[#This Row],[Customer ID]],Table2[#All],7,FALSE)</f>
        <v>0</v>
      </c>
      <c r="I2167" t="str">
        <f>VLOOKUP(Table2[[#This Row],[Customer ID]],Table2[#All],8,FALSE)</f>
        <v>No</v>
      </c>
      <c r="J2167" t="str">
        <f>VLOOKUP(Table2[[#This Row],[Customer ID]],Table2[#All],9,FALSE)</f>
        <v>Obesity</v>
      </c>
      <c r="K2167" t="str">
        <f>VLOOKUP(Table2[[#This Row],[Customer ID]],Table2[#All],10,FALSE)</f>
        <v>Prediabetes</v>
      </c>
    </row>
    <row r="2168" spans="1:11" ht="15.6" x14ac:dyDescent="0.3">
      <c r="A2168" s="1" t="s">
        <v>195</v>
      </c>
      <c r="B2168" t="str">
        <f>VLOOKUP('Customer Names'!A2168,'Customer Names'!$A$1:$E$2336,4,FALSE)</f>
        <v>Mr.  Tadese</v>
      </c>
      <c r="C2168">
        <f>VLOOKUP(Table2[[#This Row],[Customer ID]],Table2[#All],2,FALSE)</f>
        <v>24.6</v>
      </c>
      <c r="D2168">
        <f>VLOOKUP(Table2[[#This Row],[Customer ID]],Table2[#All],3,FALSE)</f>
        <v>6.19</v>
      </c>
      <c r="E2168" t="str">
        <f>VLOOKUP(Table2[[#This Row],[Customer ID]],Table2[#All],4,FALSE)</f>
        <v>No</v>
      </c>
      <c r="F2168" t="str">
        <f>VLOOKUP(Table2[[#This Row],[Customer ID]],Table2[#All],5,FALSE)</f>
        <v>No</v>
      </c>
      <c r="G2168" t="str">
        <f>VLOOKUP(Table2[[#This Row],[Customer ID]],Table2[#All],6,FALSE)</f>
        <v>Yes</v>
      </c>
      <c r="H2168">
        <f>VLOOKUP(Table2[[#This Row],[Customer ID]],Table2[#All],7,FALSE)</f>
        <v>1</v>
      </c>
      <c r="I2168" t="str">
        <f>VLOOKUP(Table2[[#This Row],[Customer ID]],Table2[#All],8,FALSE)</f>
        <v>No</v>
      </c>
      <c r="J2168" t="str">
        <f>VLOOKUP(Table2[[#This Row],[Customer ID]],Table2[#All],9,FALSE)</f>
        <v>Normalweight</v>
      </c>
      <c r="K2168" t="str">
        <f>VLOOKUP(Table2[[#This Row],[Customer ID]],Table2[#All],10,FALSE)</f>
        <v>Prediabetes</v>
      </c>
    </row>
    <row r="2169" spans="1:11" ht="15.6" x14ac:dyDescent="0.3">
      <c r="A2169" s="1" t="s">
        <v>194</v>
      </c>
      <c r="B2169" t="str">
        <f>VLOOKUP('Customer Names'!A2169,'Customer Names'!$A$1:$E$2336,4,FALSE)</f>
        <v>Mr.  Jonathan</v>
      </c>
      <c r="C2169">
        <f>VLOOKUP(Table2[[#This Row],[Customer ID]],Table2[#All],2,FALSE)</f>
        <v>20.9</v>
      </c>
      <c r="D2169">
        <f>VLOOKUP(Table2[[#This Row],[Customer ID]],Table2[#All],3,FALSE)</f>
        <v>5.12</v>
      </c>
      <c r="E2169" t="str">
        <f>VLOOKUP(Table2[[#This Row],[Customer ID]],Table2[#All],4,FALSE)</f>
        <v>No</v>
      </c>
      <c r="F2169" t="str">
        <f>VLOOKUP(Table2[[#This Row],[Customer ID]],Table2[#All],5,FALSE)</f>
        <v>No</v>
      </c>
      <c r="G2169" t="str">
        <f>VLOOKUP(Table2[[#This Row],[Customer ID]],Table2[#All],6,FALSE)</f>
        <v>Yes</v>
      </c>
      <c r="H2169">
        <f>VLOOKUP(Table2[[#This Row],[Customer ID]],Table2[#All],7,FALSE)</f>
        <v>1</v>
      </c>
      <c r="I2169" t="str">
        <f>VLOOKUP(Table2[[#This Row],[Customer ID]],Table2[#All],8,FALSE)</f>
        <v>No</v>
      </c>
      <c r="J2169" t="str">
        <f>VLOOKUP(Table2[[#This Row],[Customer ID]],Table2[#All],9,FALSE)</f>
        <v>Normalweight</v>
      </c>
      <c r="K2169" t="str">
        <f>VLOOKUP(Table2[[#This Row],[Customer ID]],Table2[#All],10,FALSE)</f>
        <v>Normal</v>
      </c>
    </row>
    <row r="2170" spans="1:11" ht="15.6" x14ac:dyDescent="0.3">
      <c r="A2170" s="1" t="s">
        <v>193</v>
      </c>
      <c r="B2170" t="str">
        <f>VLOOKUP('Customer Names'!A2170,'Customer Names'!$A$1:$E$2336,4,FALSE)</f>
        <v>Mr.  Dathan</v>
      </c>
      <c r="C2170">
        <f>VLOOKUP(Table2[[#This Row],[Customer ID]],Table2[#All],2,FALSE)</f>
        <v>34.4</v>
      </c>
      <c r="D2170">
        <f>VLOOKUP(Table2[[#This Row],[Customer ID]],Table2[#All],3,FALSE)</f>
        <v>4.04</v>
      </c>
      <c r="E2170" t="str">
        <f>VLOOKUP(Table2[[#This Row],[Customer ID]],Table2[#All],4,FALSE)</f>
        <v>No</v>
      </c>
      <c r="F2170" t="str">
        <f>VLOOKUP(Table2[[#This Row],[Customer ID]],Table2[#All],5,FALSE)</f>
        <v>No</v>
      </c>
      <c r="G2170" t="str">
        <f>VLOOKUP(Table2[[#This Row],[Customer ID]],Table2[#All],6,FALSE)</f>
        <v>No</v>
      </c>
      <c r="H2170">
        <f>VLOOKUP(Table2[[#This Row],[Customer ID]],Table2[#All],7,FALSE)</f>
        <v>0</v>
      </c>
      <c r="I2170" t="str">
        <f>VLOOKUP(Table2[[#This Row],[Customer ID]],Table2[#All],8,FALSE)</f>
        <v>No</v>
      </c>
      <c r="J2170" t="str">
        <f>VLOOKUP(Table2[[#This Row],[Customer ID]],Table2[#All],9,FALSE)</f>
        <v>Obesity</v>
      </c>
      <c r="K2170" t="str">
        <f>VLOOKUP(Table2[[#This Row],[Customer ID]],Table2[#All],10,FALSE)</f>
        <v>Normal</v>
      </c>
    </row>
    <row r="2171" spans="1:11" ht="15.6" x14ac:dyDescent="0.3">
      <c r="A2171" s="1" t="s">
        <v>192</v>
      </c>
      <c r="B2171" t="str">
        <f>VLOOKUP('Customer Names'!A2171,'Customer Names'!$A$1:$E$2336,4,FALSE)</f>
        <v>Mr.  Eric</v>
      </c>
      <c r="C2171">
        <f>VLOOKUP(Table2[[#This Row],[Customer ID]],Table2[#All],2,FALSE)</f>
        <v>32.56</v>
      </c>
      <c r="D2171">
        <f>VLOOKUP(Table2[[#This Row],[Customer ID]],Table2[#All],3,FALSE)</f>
        <v>5.36</v>
      </c>
      <c r="E2171" t="str">
        <f>VLOOKUP(Table2[[#This Row],[Customer ID]],Table2[#All],4,FALSE)</f>
        <v>No</v>
      </c>
      <c r="F2171" t="str">
        <f>VLOOKUP(Table2[[#This Row],[Customer ID]],Table2[#All],5,FALSE)</f>
        <v>No</v>
      </c>
      <c r="G2171" t="str">
        <f>VLOOKUP(Table2[[#This Row],[Customer ID]],Table2[#All],6,FALSE)</f>
        <v>No</v>
      </c>
      <c r="H2171">
        <f>VLOOKUP(Table2[[#This Row],[Customer ID]],Table2[#All],7,FALSE)</f>
        <v>0</v>
      </c>
      <c r="I2171" t="str">
        <f>VLOOKUP(Table2[[#This Row],[Customer ID]],Table2[#All],8,FALSE)</f>
        <v>No</v>
      </c>
      <c r="J2171" t="str">
        <f>VLOOKUP(Table2[[#This Row],[Customer ID]],Table2[#All],9,FALSE)</f>
        <v>Obesity</v>
      </c>
      <c r="K2171" t="str">
        <f>VLOOKUP(Table2[[#This Row],[Customer ID]],Table2[#All],10,FALSE)</f>
        <v>Normal</v>
      </c>
    </row>
    <row r="2172" spans="1:11" ht="15.6" x14ac:dyDescent="0.3">
      <c r="A2172" s="1" t="s">
        <v>191</v>
      </c>
      <c r="B2172" t="str">
        <f>VLOOKUP('Customer Names'!A2172,'Customer Names'!$A$1:$E$2336,4,FALSE)</f>
        <v>Ms.  Allison M</v>
      </c>
      <c r="C2172">
        <f>VLOOKUP(Table2[[#This Row],[Customer ID]],Table2[#All],2,FALSE)</f>
        <v>27.98</v>
      </c>
      <c r="D2172">
        <f>VLOOKUP(Table2[[#This Row],[Customer ID]],Table2[#All],3,FALSE)</f>
        <v>4.38</v>
      </c>
      <c r="E2172" t="str">
        <f>VLOOKUP(Table2[[#This Row],[Customer ID]],Table2[#All],4,FALSE)</f>
        <v>No</v>
      </c>
      <c r="F2172" t="str">
        <f>VLOOKUP(Table2[[#This Row],[Customer ID]],Table2[#All],5,FALSE)</f>
        <v>yes</v>
      </c>
      <c r="G2172" t="str">
        <f>VLOOKUP(Table2[[#This Row],[Customer ID]],Table2[#All],6,FALSE)</f>
        <v>No</v>
      </c>
      <c r="H2172">
        <f>VLOOKUP(Table2[[#This Row],[Customer ID]],Table2[#All],7,FALSE)</f>
        <v>1</v>
      </c>
      <c r="I2172" t="str">
        <f>VLOOKUP(Table2[[#This Row],[Customer ID]],Table2[#All],8,FALSE)</f>
        <v>No</v>
      </c>
      <c r="J2172" t="str">
        <f>VLOOKUP(Table2[[#This Row],[Customer ID]],Table2[#All],9,FALSE)</f>
        <v>Overweight</v>
      </c>
      <c r="K2172" t="str">
        <f>VLOOKUP(Table2[[#This Row],[Customer ID]],Table2[#All],10,FALSE)</f>
        <v>Normal</v>
      </c>
    </row>
    <row r="2173" spans="1:11" ht="15.6" x14ac:dyDescent="0.3">
      <c r="A2173" s="1" t="s">
        <v>190</v>
      </c>
      <c r="B2173" t="str">
        <f>VLOOKUP('Customer Names'!A2173,'Customer Names'!$A$1:$E$2336,4,FALSE)</f>
        <v>Mr.  Paul</v>
      </c>
      <c r="C2173">
        <f>VLOOKUP(Table2[[#This Row],[Customer ID]],Table2[#All],2,FALSE)</f>
        <v>26.51</v>
      </c>
      <c r="D2173">
        <f>VLOOKUP(Table2[[#This Row],[Customer ID]],Table2[#All],3,FALSE)</f>
        <v>4.58</v>
      </c>
      <c r="E2173" t="str">
        <f>VLOOKUP(Table2[[#This Row],[Customer ID]],Table2[#All],4,FALSE)</f>
        <v>No</v>
      </c>
      <c r="F2173" t="str">
        <f>VLOOKUP(Table2[[#This Row],[Customer ID]],Table2[#All],5,FALSE)</f>
        <v>No</v>
      </c>
      <c r="G2173" t="str">
        <f>VLOOKUP(Table2[[#This Row],[Customer ID]],Table2[#All],6,FALSE)</f>
        <v>No</v>
      </c>
      <c r="H2173">
        <f>VLOOKUP(Table2[[#This Row],[Customer ID]],Table2[#All],7,FALSE)</f>
        <v>0</v>
      </c>
      <c r="I2173" t="str">
        <f>VLOOKUP(Table2[[#This Row],[Customer ID]],Table2[#All],8,FALSE)</f>
        <v>No</v>
      </c>
      <c r="J2173" t="str">
        <f>VLOOKUP(Table2[[#This Row],[Customer ID]],Table2[#All],9,FALSE)</f>
        <v>Overweight</v>
      </c>
      <c r="K2173" t="str">
        <f>VLOOKUP(Table2[[#This Row],[Customer ID]],Table2[#All],10,FALSE)</f>
        <v>Normal</v>
      </c>
    </row>
    <row r="2174" spans="1:11" ht="15.6" x14ac:dyDescent="0.3">
      <c r="A2174" s="1" t="s">
        <v>189</v>
      </c>
      <c r="B2174" t="str">
        <f>VLOOKUP('Customer Names'!A2174,'Customer Names'!$A$1:$E$2336,4,FALSE)</f>
        <v>Mr.  Aaron R</v>
      </c>
      <c r="C2174">
        <f>VLOOKUP(Table2[[#This Row],[Customer ID]],Table2[#All],2,FALSE)</f>
        <v>29.734999999999999</v>
      </c>
      <c r="D2174">
        <f>VLOOKUP(Table2[[#This Row],[Customer ID]],Table2[#All],3,FALSE)</f>
        <v>11.92</v>
      </c>
      <c r="E2174" t="str">
        <f>VLOOKUP(Table2[[#This Row],[Customer ID]],Table2[#All],4,FALSE)</f>
        <v>No</v>
      </c>
      <c r="F2174" t="str">
        <f>VLOOKUP(Table2[[#This Row],[Customer ID]],Table2[#All],5,FALSE)</f>
        <v>No</v>
      </c>
      <c r="G2174" t="str">
        <f>VLOOKUP(Table2[[#This Row],[Customer ID]],Table2[#All],6,FALSE)</f>
        <v>No</v>
      </c>
      <c r="H2174">
        <f>VLOOKUP(Table2[[#This Row],[Customer ID]],Table2[#All],7,FALSE)</f>
        <v>0</v>
      </c>
      <c r="I2174" t="str">
        <f>VLOOKUP(Table2[[#This Row],[Customer ID]],Table2[#All],8,FALSE)</f>
        <v>No</v>
      </c>
      <c r="J2174" t="str">
        <f>VLOOKUP(Table2[[#This Row],[Customer ID]],Table2[#All],9,FALSE)</f>
        <v>Overweight</v>
      </c>
      <c r="K2174" t="str">
        <f>VLOOKUP(Table2[[#This Row],[Customer ID]],Table2[#All],10,FALSE)</f>
        <v>Diabetes</v>
      </c>
    </row>
    <row r="2175" spans="1:11" ht="15.6" x14ac:dyDescent="0.3">
      <c r="A2175" s="1" t="s">
        <v>188</v>
      </c>
      <c r="B2175" t="str">
        <f>VLOOKUP('Customer Names'!A2175,'Customer Names'!$A$1:$E$2336,4,FALSE)</f>
        <v>Ms.  Caitlin H.</v>
      </c>
      <c r="C2175">
        <f>VLOOKUP(Table2[[#This Row],[Customer ID]],Table2[#All],2,FALSE)</f>
        <v>40.5</v>
      </c>
      <c r="D2175">
        <f>VLOOKUP(Table2[[#This Row],[Customer ID]],Table2[#All],3,FALSE)</f>
        <v>5.4</v>
      </c>
      <c r="E2175" t="str">
        <f>VLOOKUP(Table2[[#This Row],[Customer ID]],Table2[#All],4,FALSE)</f>
        <v>No</v>
      </c>
      <c r="F2175" t="str">
        <f>VLOOKUP(Table2[[#This Row],[Customer ID]],Table2[#All],5,FALSE)</f>
        <v>No</v>
      </c>
      <c r="G2175" t="str">
        <f>VLOOKUP(Table2[[#This Row],[Customer ID]],Table2[#All],6,FALSE)</f>
        <v>Yes</v>
      </c>
      <c r="H2175">
        <f>VLOOKUP(Table2[[#This Row],[Customer ID]],Table2[#All],7,FALSE)</f>
        <v>1</v>
      </c>
      <c r="I2175" t="str">
        <f>VLOOKUP(Table2[[#This Row],[Customer ID]],Table2[#All],8,FALSE)</f>
        <v>No</v>
      </c>
      <c r="J2175" t="str">
        <f>VLOOKUP(Table2[[#This Row],[Customer ID]],Table2[#All],9,FALSE)</f>
        <v>Obesity</v>
      </c>
      <c r="K2175" t="str">
        <f>VLOOKUP(Table2[[#This Row],[Customer ID]],Table2[#All],10,FALSE)</f>
        <v>Normal</v>
      </c>
    </row>
    <row r="2176" spans="1:11" ht="15.6" x14ac:dyDescent="0.3">
      <c r="A2176" s="1" t="s">
        <v>187</v>
      </c>
      <c r="B2176" t="str">
        <f>VLOOKUP('Customer Names'!A2176,'Customer Names'!$A$1:$E$2336,4,FALSE)</f>
        <v>Mr.  Harald E.</v>
      </c>
      <c r="C2176">
        <f>VLOOKUP(Table2[[#This Row],[Customer ID]],Table2[#All],2,FALSE)</f>
        <v>25.64</v>
      </c>
      <c r="D2176">
        <f>VLOOKUP(Table2[[#This Row],[Customer ID]],Table2[#All],3,FALSE)</f>
        <v>4.76</v>
      </c>
      <c r="E2176" t="str">
        <f>VLOOKUP(Table2[[#This Row],[Customer ID]],Table2[#All],4,FALSE)</f>
        <v>No</v>
      </c>
      <c r="F2176" t="str">
        <f>VLOOKUP(Table2[[#This Row],[Customer ID]],Table2[#All],5,FALSE)</f>
        <v>No</v>
      </c>
      <c r="G2176" t="str">
        <f>VLOOKUP(Table2[[#This Row],[Customer ID]],Table2[#All],6,FALSE)</f>
        <v>No</v>
      </c>
      <c r="H2176">
        <f>VLOOKUP(Table2[[#This Row],[Customer ID]],Table2[#All],7,FALSE)</f>
        <v>1</v>
      </c>
      <c r="I2176" t="str">
        <f>VLOOKUP(Table2[[#This Row],[Customer ID]],Table2[#All],8,FALSE)</f>
        <v>No</v>
      </c>
      <c r="J2176" t="str">
        <f>VLOOKUP(Table2[[#This Row],[Customer ID]],Table2[#All],9,FALSE)</f>
        <v>Overweight</v>
      </c>
      <c r="K2176" t="str">
        <f>VLOOKUP(Table2[[#This Row],[Customer ID]],Table2[#All],10,FALSE)</f>
        <v>Normal</v>
      </c>
    </row>
    <row r="2177" spans="1:11" ht="15.6" x14ac:dyDescent="0.3">
      <c r="A2177" s="1" t="s">
        <v>186</v>
      </c>
      <c r="B2177" t="str">
        <f>VLOOKUP('Customer Names'!A2177,'Customer Names'!$A$1:$E$2336,4,FALSE)</f>
        <v>Ms.  Siobhan A.</v>
      </c>
      <c r="C2177">
        <f>VLOOKUP(Table2[[#This Row],[Customer ID]],Table2[#All],2,FALSE)</f>
        <v>32.9</v>
      </c>
      <c r="D2177">
        <f>VLOOKUP(Table2[[#This Row],[Customer ID]],Table2[#All],3,FALSE)</f>
        <v>4.78</v>
      </c>
      <c r="E2177" t="str">
        <f>VLOOKUP(Table2[[#This Row],[Customer ID]],Table2[#All],4,FALSE)</f>
        <v>No</v>
      </c>
      <c r="F2177" t="str">
        <f>VLOOKUP(Table2[[#This Row],[Customer ID]],Table2[#All],5,FALSE)</f>
        <v>No</v>
      </c>
      <c r="G2177" t="str">
        <f>VLOOKUP(Table2[[#This Row],[Customer ID]],Table2[#All],6,FALSE)</f>
        <v>Yes</v>
      </c>
      <c r="H2177">
        <f>VLOOKUP(Table2[[#This Row],[Customer ID]],Table2[#All],7,FALSE)</f>
        <v>1</v>
      </c>
      <c r="I2177" t="str">
        <f>VLOOKUP(Table2[[#This Row],[Customer ID]],Table2[#All],8,FALSE)</f>
        <v>No</v>
      </c>
      <c r="J2177" t="str">
        <f>VLOOKUP(Table2[[#This Row],[Customer ID]],Table2[#All],9,FALSE)</f>
        <v>Obesity</v>
      </c>
      <c r="K2177" t="str">
        <f>VLOOKUP(Table2[[#This Row],[Customer ID]],Table2[#All],10,FALSE)</f>
        <v>Normal</v>
      </c>
    </row>
    <row r="2178" spans="1:11" ht="15.6" x14ac:dyDescent="0.3">
      <c r="A2178" s="1" t="s">
        <v>185</v>
      </c>
      <c r="B2178" t="str">
        <f>VLOOKUP('Customer Names'!A2178,'Customer Names'!$A$1:$E$2336,4,FALSE)</f>
        <v>Ms.  Andrea J.</v>
      </c>
      <c r="C2178">
        <f>VLOOKUP(Table2[[#This Row],[Customer ID]],Table2[#All],2,FALSE)</f>
        <v>29.8</v>
      </c>
      <c r="D2178">
        <f>VLOOKUP(Table2[[#This Row],[Customer ID]],Table2[#All],3,FALSE)</f>
        <v>4.26</v>
      </c>
      <c r="E2178" t="str">
        <f>VLOOKUP(Table2[[#This Row],[Customer ID]],Table2[#All],4,FALSE)</f>
        <v>No</v>
      </c>
      <c r="F2178" t="str">
        <f>VLOOKUP(Table2[[#This Row],[Customer ID]],Table2[#All],5,FALSE)</f>
        <v>No</v>
      </c>
      <c r="G2178" t="str">
        <f>VLOOKUP(Table2[[#This Row],[Customer ID]],Table2[#All],6,FALSE)</f>
        <v>Yes</v>
      </c>
      <c r="H2178">
        <f>VLOOKUP(Table2[[#This Row],[Customer ID]],Table2[#All],7,FALSE)</f>
        <v>1</v>
      </c>
      <c r="I2178" t="str">
        <f>VLOOKUP(Table2[[#This Row],[Customer ID]],Table2[#All],8,FALSE)</f>
        <v>No</v>
      </c>
      <c r="J2178" t="str">
        <f>VLOOKUP(Table2[[#This Row],[Customer ID]],Table2[#All],9,FALSE)</f>
        <v>Overweight</v>
      </c>
      <c r="K2178" t="str">
        <f>VLOOKUP(Table2[[#This Row],[Customer ID]],Table2[#All],10,FALSE)</f>
        <v>Normal</v>
      </c>
    </row>
    <row r="2179" spans="1:11" ht="15.6" x14ac:dyDescent="0.3">
      <c r="A2179" s="1" t="s">
        <v>184</v>
      </c>
      <c r="B2179" t="str">
        <f>VLOOKUP('Customer Names'!A2179,'Customer Names'!$A$1:$E$2336,4,FALSE)</f>
        <v>Ms.  Marie</v>
      </c>
      <c r="C2179">
        <f>VLOOKUP(Table2[[#This Row],[Customer ID]],Table2[#All],2,FALSE)</f>
        <v>28.9</v>
      </c>
      <c r="D2179">
        <f>VLOOKUP(Table2[[#This Row],[Customer ID]],Table2[#All],3,FALSE)</f>
        <v>5.85</v>
      </c>
      <c r="E2179" t="str">
        <f>VLOOKUP(Table2[[#This Row],[Customer ID]],Table2[#All],4,FALSE)</f>
        <v>No</v>
      </c>
      <c r="F2179" t="str">
        <f>VLOOKUP(Table2[[#This Row],[Customer ID]],Table2[#All],5,FALSE)</f>
        <v>No</v>
      </c>
      <c r="G2179" t="str">
        <f>VLOOKUP(Table2[[#This Row],[Customer ID]],Table2[#All],6,FALSE)</f>
        <v>Yes</v>
      </c>
      <c r="H2179">
        <f>VLOOKUP(Table2[[#This Row],[Customer ID]],Table2[#All],7,FALSE)</f>
        <v>1</v>
      </c>
      <c r="I2179" t="str">
        <f>VLOOKUP(Table2[[#This Row],[Customer ID]],Table2[#All],8,FALSE)</f>
        <v>No</v>
      </c>
      <c r="J2179" t="str">
        <f>VLOOKUP(Table2[[#This Row],[Customer ID]],Table2[#All],9,FALSE)</f>
        <v>Overweight</v>
      </c>
      <c r="K2179" t="str">
        <f>VLOOKUP(Table2[[#This Row],[Customer ID]],Table2[#All],10,FALSE)</f>
        <v>Prediabetes</v>
      </c>
    </row>
    <row r="2180" spans="1:11" ht="15.6" x14ac:dyDescent="0.3">
      <c r="A2180" s="1" t="s">
        <v>183</v>
      </c>
      <c r="B2180" t="str">
        <f>VLOOKUP('Customer Names'!A2180,'Customer Names'!$A$1:$E$2336,4,FALSE)</f>
        <v>Ms.  Rachel A.</v>
      </c>
      <c r="C2180">
        <f>VLOOKUP(Table2[[#This Row],[Customer ID]],Table2[#All],2,FALSE)</f>
        <v>24.7</v>
      </c>
      <c r="D2180">
        <f>VLOOKUP(Table2[[#This Row],[Customer ID]],Table2[#All],3,FALSE)</f>
        <v>5.32</v>
      </c>
      <c r="E2180" t="str">
        <f>VLOOKUP(Table2[[#This Row],[Customer ID]],Table2[#All],4,FALSE)</f>
        <v>No</v>
      </c>
      <c r="F2180" t="str">
        <f>VLOOKUP(Table2[[#This Row],[Customer ID]],Table2[#All],5,FALSE)</f>
        <v>No</v>
      </c>
      <c r="G2180" t="str">
        <f>VLOOKUP(Table2[[#This Row],[Customer ID]],Table2[#All],6,FALSE)</f>
        <v>Yes</v>
      </c>
      <c r="H2180">
        <f>VLOOKUP(Table2[[#This Row],[Customer ID]],Table2[#All],7,FALSE)</f>
        <v>1</v>
      </c>
      <c r="I2180" t="str">
        <f>VLOOKUP(Table2[[#This Row],[Customer ID]],Table2[#All],8,FALSE)</f>
        <v>No</v>
      </c>
      <c r="J2180" t="str">
        <f>VLOOKUP(Table2[[#This Row],[Customer ID]],Table2[#All],9,FALSE)</f>
        <v>Normalweight</v>
      </c>
      <c r="K2180" t="str">
        <f>VLOOKUP(Table2[[#This Row],[Customer ID]],Table2[#All],10,FALSE)</f>
        <v>Normal</v>
      </c>
    </row>
    <row r="2181" spans="1:11" ht="15.6" x14ac:dyDescent="0.3">
      <c r="A2181" s="1" t="s">
        <v>182</v>
      </c>
      <c r="B2181" t="str">
        <f>VLOOKUP('Customer Names'!A2181,'Customer Names'!$A$1:$E$2336,4,FALSE)</f>
        <v>Ms.  Emma</v>
      </c>
      <c r="C2181">
        <f>VLOOKUP(Table2[[#This Row],[Customer ID]],Table2[#All],2,FALSE)</f>
        <v>20.6</v>
      </c>
      <c r="D2181">
        <f>VLOOKUP(Table2[[#This Row],[Customer ID]],Table2[#All],3,FALSE)</f>
        <v>5.14</v>
      </c>
      <c r="E2181" t="str">
        <f>VLOOKUP(Table2[[#This Row],[Customer ID]],Table2[#All],4,FALSE)</f>
        <v>No</v>
      </c>
      <c r="F2181" t="str">
        <f>VLOOKUP(Table2[[#This Row],[Customer ID]],Table2[#All],5,FALSE)</f>
        <v>No</v>
      </c>
      <c r="G2181" t="str">
        <f>VLOOKUP(Table2[[#This Row],[Customer ID]],Table2[#All],6,FALSE)</f>
        <v>Yes</v>
      </c>
      <c r="H2181">
        <f>VLOOKUP(Table2[[#This Row],[Customer ID]],Table2[#All],7,FALSE)</f>
        <v>1</v>
      </c>
      <c r="I2181" t="str">
        <f>VLOOKUP(Table2[[#This Row],[Customer ID]],Table2[#All],8,FALSE)</f>
        <v>No</v>
      </c>
      <c r="J2181" t="str">
        <f>VLOOKUP(Table2[[#This Row],[Customer ID]],Table2[#All],9,FALSE)</f>
        <v>Normalweight</v>
      </c>
      <c r="K2181" t="str">
        <f>VLOOKUP(Table2[[#This Row],[Customer ID]],Table2[#All],10,FALSE)</f>
        <v>Normal</v>
      </c>
    </row>
    <row r="2182" spans="1:11" ht="15.6" x14ac:dyDescent="0.3">
      <c r="A2182" s="1" t="s">
        <v>181</v>
      </c>
      <c r="B2182" t="str">
        <f>VLOOKUP('Customer Names'!A2182,'Customer Names'!$A$1:$E$2336,4,FALSE)</f>
        <v>Ms.  Kiersten</v>
      </c>
      <c r="C2182">
        <f>VLOOKUP(Table2[[#This Row],[Customer ID]],Table2[#All],2,FALSE)</f>
        <v>18.600000000000001</v>
      </c>
      <c r="D2182">
        <f>VLOOKUP(Table2[[#This Row],[Customer ID]],Table2[#All],3,FALSE)</f>
        <v>5</v>
      </c>
      <c r="E2182" t="str">
        <f>VLOOKUP(Table2[[#This Row],[Customer ID]],Table2[#All],4,FALSE)</f>
        <v>No</v>
      </c>
      <c r="F2182" t="str">
        <f>VLOOKUP(Table2[[#This Row],[Customer ID]],Table2[#All],5,FALSE)</f>
        <v>No</v>
      </c>
      <c r="G2182" t="str">
        <f>VLOOKUP(Table2[[#This Row],[Customer ID]],Table2[#All],6,FALSE)</f>
        <v>Yes</v>
      </c>
      <c r="H2182">
        <f>VLOOKUP(Table2[[#This Row],[Customer ID]],Table2[#All],7,FALSE)</f>
        <v>1</v>
      </c>
      <c r="I2182" t="str">
        <f>VLOOKUP(Table2[[#This Row],[Customer ID]],Table2[#All],8,FALSE)</f>
        <v>No</v>
      </c>
      <c r="J2182" t="str">
        <f>VLOOKUP(Table2[[#This Row],[Customer ID]],Table2[#All],9,FALSE)</f>
        <v>Normalweight</v>
      </c>
      <c r="K2182" t="str">
        <f>VLOOKUP(Table2[[#This Row],[Customer ID]],Table2[#All],10,FALSE)</f>
        <v>Normal</v>
      </c>
    </row>
    <row r="2183" spans="1:11" ht="15.6" x14ac:dyDescent="0.3">
      <c r="A2183" s="1" t="s">
        <v>180</v>
      </c>
      <c r="B2183" t="str">
        <f>VLOOKUP('Customer Names'!A2183,'Customer Names'!$A$1:$E$2336,4,FALSE)</f>
        <v>Ms.  Rachael</v>
      </c>
      <c r="C2183">
        <f>VLOOKUP(Table2[[#This Row],[Customer ID]],Table2[#All],2,FALSE)</f>
        <v>17.8</v>
      </c>
      <c r="D2183">
        <f>VLOOKUP(Table2[[#This Row],[Customer ID]],Table2[#All],3,FALSE)</f>
        <v>4.55</v>
      </c>
      <c r="E2183" t="str">
        <f>VLOOKUP(Table2[[#This Row],[Customer ID]],Table2[#All],4,FALSE)</f>
        <v>No</v>
      </c>
      <c r="F2183" t="str">
        <f>VLOOKUP(Table2[[#This Row],[Customer ID]],Table2[#All],5,FALSE)</f>
        <v>No</v>
      </c>
      <c r="G2183" t="str">
        <f>VLOOKUP(Table2[[#This Row],[Customer ID]],Table2[#All],6,FALSE)</f>
        <v>Yes</v>
      </c>
      <c r="H2183">
        <f>VLOOKUP(Table2[[#This Row],[Customer ID]],Table2[#All],7,FALSE)</f>
        <v>1</v>
      </c>
      <c r="I2183" t="str">
        <f>VLOOKUP(Table2[[#This Row],[Customer ID]],Table2[#All],8,FALSE)</f>
        <v>No</v>
      </c>
      <c r="J2183" t="str">
        <f>VLOOKUP(Table2[[#This Row],[Customer ID]],Table2[#All],9,FALSE)</f>
        <v>Underweight</v>
      </c>
      <c r="K2183" t="str">
        <f>VLOOKUP(Table2[[#This Row],[Customer ID]],Table2[#All],10,FALSE)</f>
        <v>Normal</v>
      </c>
    </row>
    <row r="2184" spans="1:11" ht="15.6" x14ac:dyDescent="0.3">
      <c r="A2184" s="1" t="s">
        <v>179</v>
      </c>
      <c r="B2184" t="str">
        <f>VLOOKUP('Customer Names'!A2184,'Customer Names'!$A$1:$E$2336,4,FALSE)</f>
        <v>Mr.  Timothy P.</v>
      </c>
      <c r="C2184">
        <f>VLOOKUP(Table2[[#This Row],[Customer ID]],Table2[#All],2,FALSE)</f>
        <v>35.200000000000003</v>
      </c>
      <c r="D2184">
        <f>VLOOKUP(Table2[[#This Row],[Customer ID]],Table2[#All],3,FALSE)</f>
        <v>5.97</v>
      </c>
      <c r="E2184" t="str">
        <f>VLOOKUP(Table2[[#This Row],[Customer ID]],Table2[#All],4,FALSE)</f>
        <v>No</v>
      </c>
      <c r="F2184" t="str">
        <f>VLOOKUP(Table2[[#This Row],[Customer ID]],Table2[#All],5,FALSE)</f>
        <v>yes</v>
      </c>
      <c r="G2184" t="str">
        <f>VLOOKUP(Table2[[#This Row],[Customer ID]],Table2[#All],6,FALSE)</f>
        <v>No</v>
      </c>
      <c r="H2184">
        <f>VLOOKUP(Table2[[#This Row],[Customer ID]],Table2[#All],7,FALSE)</f>
        <v>1</v>
      </c>
      <c r="I2184" t="str">
        <f>VLOOKUP(Table2[[#This Row],[Customer ID]],Table2[#All],8,FALSE)</f>
        <v>No</v>
      </c>
      <c r="J2184" t="str">
        <f>VLOOKUP(Table2[[#This Row],[Customer ID]],Table2[#All],9,FALSE)</f>
        <v>Obesity</v>
      </c>
      <c r="K2184" t="str">
        <f>VLOOKUP(Table2[[#This Row],[Customer ID]],Table2[#All],10,FALSE)</f>
        <v>Prediabetes</v>
      </c>
    </row>
    <row r="2185" spans="1:11" ht="15.6" x14ac:dyDescent="0.3">
      <c r="A2185" s="1" t="s">
        <v>178</v>
      </c>
      <c r="B2185" t="str">
        <f>VLOOKUP('Customer Names'!A2185,'Customer Names'!$A$1:$E$2336,4,FALSE)</f>
        <v>Mr.  Lelisa</v>
      </c>
      <c r="C2185">
        <f>VLOOKUP(Table2[[#This Row],[Customer ID]],Table2[#All],2,FALSE)</f>
        <v>33.770000000000003</v>
      </c>
      <c r="D2185">
        <f>VLOOKUP(Table2[[#This Row],[Customer ID]],Table2[#All],3,FALSE)</f>
        <v>4.0199999999999996</v>
      </c>
      <c r="E2185" t="str">
        <f>VLOOKUP(Table2[[#This Row],[Customer ID]],Table2[#All],4,FALSE)</f>
        <v>No</v>
      </c>
      <c r="F2185" t="str">
        <f>VLOOKUP(Table2[[#This Row],[Customer ID]],Table2[#All],5,FALSE)</f>
        <v>yes</v>
      </c>
      <c r="G2185" t="str">
        <f>VLOOKUP(Table2[[#This Row],[Customer ID]],Table2[#All],6,FALSE)</f>
        <v>No</v>
      </c>
      <c r="H2185">
        <f>VLOOKUP(Table2[[#This Row],[Customer ID]],Table2[#All],7,FALSE)</f>
        <v>1</v>
      </c>
      <c r="I2185" t="str">
        <f>VLOOKUP(Table2[[#This Row],[Customer ID]],Table2[#All],8,FALSE)</f>
        <v>No</v>
      </c>
      <c r="J2185" t="str">
        <f>VLOOKUP(Table2[[#This Row],[Customer ID]],Table2[#All],9,FALSE)</f>
        <v>Obesity</v>
      </c>
      <c r="K2185" t="str">
        <f>VLOOKUP(Table2[[#This Row],[Customer ID]],Table2[#All],10,FALSE)</f>
        <v>Normal</v>
      </c>
    </row>
    <row r="2186" spans="1:11" ht="15.6" x14ac:dyDescent="0.3">
      <c r="A2186" s="1" t="s">
        <v>177</v>
      </c>
      <c r="B2186" t="str">
        <f>VLOOKUP('Customer Names'!A2186,'Customer Names'!$A$1:$E$2336,4,FALSE)</f>
        <v>Mr.  Nate</v>
      </c>
      <c r="C2186">
        <f>VLOOKUP(Table2[[#This Row],[Customer ID]],Table2[#All],2,FALSE)</f>
        <v>30.03</v>
      </c>
      <c r="D2186">
        <f>VLOOKUP(Table2[[#This Row],[Customer ID]],Table2[#All],3,FALSE)</f>
        <v>4.04</v>
      </c>
      <c r="E2186" t="str">
        <f>VLOOKUP(Table2[[#This Row],[Customer ID]],Table2[#All],4,FALSE)</f>
        <v>No</v>
      </c>
      <c r="F2186" t="str">
        <f>VLOOKUP(Table2[[#This Row],[Customer ID]],Table2[#All],5,FALSE)</f>
        <v>yes</v>
      </c>
      <c r="G2186" t="str">
        <f>VLOOKUP(Table2[[#This Row],[Customer ID]],Table2[#All],6,FALSE)</f>
        <v>No</v>
      </c>
      <c r="H2186">
        <f>VLOOKUP(Table2[[#This Row],[Customer ID]],Table2[#All],7,FALSE)</f>
        <v>1</v>
      </c>
      <c r="I2186" t="str">
        <f>VLOOKUP(Table2[[#This Row],[Customer ID]],Table2[#All],8,FALSE)</f>
        <v>No</v>
      </c>
      <c r="J2186" t="str">
        <f>VLOOKUP(Table2[[#This Row],[Customer ID]],Table2[#All],9,FALSE)</f>
        <v>Obesity</v>
      </c>
      <c r="K2186" t="str">
        <f>VLOOKUP(Table2[[#This Row],[Customer ID]],Table2[#All],10,FALSE)</f>
        <v>Normal</v>
      </c>
    </row>
    <row r="2187" spans="1:11" ht="15.6" x14ac:dyDescent="0.3">
      <c r="A2187" s="1" t="s">
        <v>176</v>
      </c>
      <c r="B2187" t="str">
        <f>VLOOKUP('Customer Names'!A2187,'Customer Names'!$A$1:$E$2336,4,FALSE)</f>
        <v>Mr.  Chris C.</v>
      </c>
      <c r="C2187">
        <f>VLOOKUP(Table2[[#This Row],[Customer ID]],Table2[#All],2,FALSE)</f>
        <v>29.37</v>
      </c>
      <c r="D2187">
        <f>VLOOKUP(Table2[[#This Row],[Customer ID]],Table2[#All],3,FALSE)</f>
        <v>5.54</v>
      </c>
      <c r="E2187" t="str">
        <f>VLOOKUP(Table2[[#This Row],[Customer ID]],Table2[#All],4,FALSE)</f>
        <v>No</v>
      </c>
      <c r="F2187" t="str">
        <f>VLOOKUP(Table2[[#This Row],[Customer ID]],Table2[#All],5,FALSE)</f>
        <v>yes</v>
      </c>
      <c r="G2187" t="str">
        <f>VLOOKUP(Table2[[#This Row],[Customer ID]],Table2[#All],6,FALSE)</f>
        <v>No</v>
      </c>
      <c r="H2187">
        <f>VLOOKUP(Table2[[#This Row],[Customer ID]],Table2[#All],7,FALSE)</f>
        <v>1</v>
      </c>
      <c r="I2187" t="str">
        <f>VLOOKUP(Table2[[#This Row],[Customer ID]],Table2[#All],8,FALSE)</f>
        <v>No</v>
      </c>
      <c r="J2187" t="str">
        <f>VLOOKUP(Table2[[#This Row],[Customer ID]],Table2[#All],9,FALSE)</f>
        <v>Overweight</v>
      </c>
      <c r="K2187" t="str">
        <f>VLOOKUP(Table2[[#This Row],[Customer ID]],Table2[#All],10,FALSE)</f>
        <v>Normal</v>
      </c>
    </row>
    <row r="2188" spans="1:11" ht="15.6" x14ac:dyDescent="0.3">
      <c r="A2188" s="1" t="s">
        <v>175</v>
      </c>
      <c r="B2188" t="str">
        <f>VLOOKUP('Customer Names'!A2188,'Customer Names'!$A$1:$E$2336,4,FALSE)</f>
        <v>Mr.  Scott</v>
      </c>
      <c r="C2188">
        <f>VLOOKUP(Table2[[#This Row],[Customer ID]],Table2[#All],2,FALSE)</f>
        <v>28.5</v>
      </c>
      <c r="D2188">
        <f>VLOOKUP(Table2[[#This Row],[Customer ID]],Table2[#All],3,FALSE)</f>
        <v>4.03</v>
      </c>
      <c r="E2188" t="str">
        <f>VLOOKUP(Table2[[#This Row],[Customer ID]],Table2[#All],4,FALSE)</f>
        <v>No</v>
      </c>
      <c r="F2188" t="str">
        <f>VLOOKUP(Table2[[#This Row],[Customer ID]],Table2[#All],5,FALSE)</f>
        <v>yes</v>
      </c>
      <c r="G2188" t="str">
        <f>VLOOKUP(Table2[[#This Row],[Customer ID]],Table2[#All],6,FALSE)</f>
        <v>No</v>
      </c>
      <c r="H2188">
        <f>VLOOKUP(Table2[[#This Row],[Customer ID]],Table2[#All],7,FALSE)</f>
        <v>1</v>
      </c>
      <c r="I2188" t="str">
        <f>VLOOKUP(Table2[[#This Row],[Customer ID]],Table2[#All],8,FALSE)</f>
        <v>No</v>
      </c>
      <c r="J2188" t="str">
        <f>VLOOKUP(Table2[[#This Row],[Customer ID]],Table2[#All],9,FALSE)</f>
        <v>Overweight</v>
      </c>
      <c r="K2188" t="str">
        <f>VLOOKUP(Table2[[#This Row],[Customer ID]],Table2[#All],10,FALSE)</f>
        <v>Normal</v>
      </c>
    </row>
    <row r="2189" spans="1:11" ht="15.6" x14ac:dyDescent="0.3">
      <c r="A2189" s="1" t="s">
        <v>174</v>
      </c>
      <c r="B2189" t="str">
        <f>VLOOKUP('Customer Names'!A2189,'Customer Names'!$A$1:$E$2336,4,FALSE)</f>
        <v>Mr.  Kevin</v>
      </c>
      <c r="C2189">
        <f>VLOOKUP(Table2[[#This Row],[Customer ID]],Table2[#All],2,FALSE)</f>
        <v>23.32</v>
      </c>
      <c r="D2189">
        <f>VLOOKUP(Table2[[#This Row],[Customer ID]],Table2[#All],3,FALSE)</f>
        <v>5.62</v>
      </c>
      <c r="E2189" t="str">
        <f>VLOOKUP(Table2[[#This Row],[Customer ID]],Table2[#All],4,FALSE)</f>
        <v>No</v>
      </c>
      <c r="F2189" t="str">
        <f>VLOOKUP(Table2[[#This Row],[Customer ID]],Table2[#All],5,FALSE)</f>
        <v>yes</v>
      </c>
      <c r="G2189" t="str">
        <f>VLOOKUP(Table2[[#This Row],[Customer ID]],Table2[#All],6,FALSE)</f>
        <v>No</v>
      </c>
      <c r="H2189">
        <f>VLOOKUP(Table2[[#This Row],[Customer ID]],Table2[#All],7,FALSE)</f>
        <v>1</v>
      </c>
      <c r="I2189" t="str">
        <f>VLOOKUP(Table2[[#This Row],[Customer ID]],Table2[#All],8,FALSE)</f>
        <v>No</v>
      </c>
      <c r="J2189" t="str">
        <f>VLOOKUP(Table2[[#This Row],[Customer ID]],Table2[#All],9,FALSE)</f>
        <v>Normalweight</v>
      </c>
      <c r="K2189" t="str">
        <f>VLOOKUP(Table2[[#This Row],[Customer ID]],Table2[#All],10,FALSE)</f>
        <v>Normal</v>
      </c>
    </row>
    <row r="2190" spans="1:11" ht="15.6" x14ac:dyDescent="0.3">
      <c r="A2190" s="1" t="s">
        <v>173</v>
      </c>
      <c r="B2190" t="str">
        <f>VLOOKUP('Customer Names'!A2190,'Customer Names'!$A$1:$E$2336,4,FALSE)</f>
        <v>Mr.  Erik C.</v>
      </c>
      <c r="C2190">
        <f>VLOOKUP(Table2[[#This Row],[Customer ID]],Table2[#All],2,FALSE)</f>
        <v>26.125</v>
      </c>
      <c r="D2190">
        <f>VLOOKUP(Table2[[#This Row],[Customer ID]],Table2[#All],3,FALSE)</f>
        <v>5.27</v>
      </c>
      <c r="E2190" t="str">
        <f>VLOOKUP(Table2[[#This Row],[Customer ID]],Table2[#All],4,FALSE)</f>
        <v>No</v>
      </c>
      <c r="F2190" t="str">
        <f>VLOOKUP(Table2[[#This Row],[Customer ID]],Table2[#All],5,FALSE)</f>
        <v>yes</v>
      </c>
      <c r="G2190" t="str">
        <f>VLOOKUP(Table2[[#This Row],[Customer ID]],Table2[#All],6,FALSE)</f>
        <v>No</v>
      </c>
      <c r="H2190">
        <f>VLOOKUP(Table2[[#This Row],[Customer ID]],Table2[#All],7,FALSE)</f>
        <v>1</v>
      </c>
      <c r="I2190" t="str">
        <f>VLOOKUP(Table2[[#This Row],[Customer ID]],Table2[#All],8,FALSE)</f>
        <v>No</v>
      </c>
      <c r="J2190" t="str">
        <f>VLOOKUP(Table2[[#This Row],[Customer ID]],Table2[#All],9,FALSE)</f>
        <v>Overweight</v>
      </c>
      <c r="K2190" t="str">
        <f>VLOOKUP(Table2[[#This Row],[Customer ID]],Table2[#All],10,FALSE)</f>
        <v>Normal</v>
      </c>
    </row>
    <row r="2191" spans="1:11" ht="15.6" x14ac:dyDescent="0.3">
      <c r="A2191" s="1" t="s">
        <v>172</v>
      </c>
      <c r="B2191" t="str">
        <f>VLOOKUP('Customer Names'!A2191,'Customer Names'!$A$1:$E$2336,4,FALSE)</f>
        <v>Mr.  Shawn C</v>
      </c>
      <c r="C2191">
        <f>VLOOKUP(Table2[[#This Row],[Customer ID]],Table2[#All],2,FALSE)</f>
        <v>25.46</v>
      </c>
      <c r="D2191">
        <f>VLOOKUP(Table2[[#This Row],[Customer ID]],Table2[#All],3,FALSE)</f>
        <v>5.18</v>
      </c>
      <c r="E2191" t="str">
        <f>VLOOKUP(Table2[[#This Row],[Customer ID]],Table2[#All],4,FALSE)</f>
        <v>No</v>
      </c>
      <c r="F2191" t="str">
        <f>VLOOKUP(Table2[[#This Row],[Customer ID]],Table2[#All],5,FALSE)</f>
        <v>yes</v>
      </c>
      <c r="G2191" t="str">
        <f>VLOOKUP(Table2[[#This Row],[Customer ID]],Table2[#All],6,FALSE)</f>
        <v>No</v>
      </c>
      <c r="H2191">
        <f>VLOOKUP(Table2[[#This Row],[Customer ID]],Table2[#All],7,FALSE)</f>
        <v>1</v>
      </c>
      <c r="I2191" t="str">
        <f>VLOOKUP(Table2[[#This Row],[Customer ID]],Table2[#All],8,FALSE)</f>
        <v>No</v>
      </c>
      <c r="J2191" t="str">
        <f>VLOOKUP(Table2[[#This Row],[Customer ID]],Table2[#All],9,FALSE)</f>
        <v>Overweight</v>
      </c>
      <c r="K2191" t="str">
        <f>VLOOKUP(Table2[[#This Row],[Customer ID]],Table2[#All],10,FALSE)</f>
        <v>Normal</v>
      </c>
    </row>
    <row r="2192" spans="1:11" ht="15.6" x14ac:dyDescent="0.3">
      <c r="A2192" s="1" t="s">
        <v>171</v>
      </c>
      <c r="B2192" t="str">
        <f>VLOOKUP('Customer Names'!A2192,'Customer Names'!$A$1:$E$2336,4,FALSE)</f>
        <v>Mr.  Vajin L.</v>
      </c>
      <c r="C2192">
        <f>VLOOKUP(Table2[[#This Row],[Customer ID]],Table2[#All],2,FALSE)</f>
        <v>23.75</v>
      </c>
      <c r="D2192">
        <f>VLOOKUP(Table2[[#This Row],[Customer ID]],Table2[#All],3,FALSE)</f>
        <v>5.27</v>
      </c>
      <c r="E2192" t="str">
        <f>VLOOKUP(Table2[[#This Row],[Customer ID]],Table2[#All],4,FALSE)</f>
        <v>No</v>
      </c>
      <c r="F2192" t="str">
        <f>VLOOKUP(Table2[[#This Row],[Customer ID]],Table2[#All],5,FALSE)</f>
        <v>yes</v>
      </c>
      <c r="G2192" t="str">
        <f>VLOOKUP(Table2[[#This Row],[Customer ID]],Table2[#All],6,FALSE)</f>
        <v>No</v>
      </c>
      <c r="H2192">
        <f>VLOOKUP(Table2[[#This Row],[Customer ID]],Table2[#All],7,FALSE)</f>
        <v>1</v>
      </c>
      <c r="I2192" t="str">
        <f>VLOOKUP(Table2[[#This Row],[Customer ID]],Table2[#All],8,FALSE)</f>
        <v>No</v>
      </c>
      <c r="J2192" t="str">
        <f>VLOOKUP(Table2[[#This Row],[Customer ID]],Table2[#All],9,FALSE)</f>
        <v>Normalweight</v>
      </c>
      <c r="K2192" t="str">
        <f>VLOOKUP(Table2[[#This Row],[Customer ID]],Table2[#All],10,FALSE)</f>
        <v>Normal</v>
      </c>
    </row>
    <row r="2193" spans="1:11" ht="15.6" x14ac:dyDescent="0.3">
      <c r="A2193" s="1" t="s">
        <v>169</v>
      </c>
      <c r="B2193" t="str">
        <f>VLOOKUP('Customer Names'!A2193,'Customer Names'!$A$1:$E$2336,4,FALSE)</f>
        <v>Mr.  John K. Jr.</v>
      </c>
      <c r="C2193">
        <f>VLOOKUP(Table2[[#This Row],[Customer ID]],Table2[#All],2,FALSE)</f>
        <v>23.085000000000001</v>
      </c>
      <c r="D2193">
        <f>VLOOKUP(Table2[[#This Row],[Customer ID]],Table2[#All],3,FALSE)</f>
        <v>5.62</v>
      </c>
      <c r="E2193" t="str">
        <f>VLOOKUP(Table2[[#This Row],[Customer ID]],Table2[#All],4,FALSE)</f>
        <v>No</v>
      </c>
      <c r="F2193" t="str">
        <f>VLOOKUP(Table2[[#This Row],[Customer ID]],Table2[#All],5,FALSE)</f>
        <v>yes</v>
      </c>
      <c r="G2193" t="str">
        <f>VLOOKUP(Table2[[#This Row],[Customer ID]],Table2[#All],6,FALSE)</f>
        <v>No</v>
      </c>
      <c r="H2193">
        <f>VLOOKUP(Table2[[#This Row],[Customer ID]],Table2[#All],7,FALSE)</f>
        <v>1</v>
      </c>
      <c r="I2193" t="str">
        <f>VLOOKUP(Table2[[#This Row],[Customer ID]],Table2[#All],8,FALSE)</f>
        <v>No</v>
      </c>
      <c r="J2193" t="str">
        <f>VLOOKUP(Table2[[#This Row],[Customer ID]],Table2[#All],9,FALSE)</f>
        <v>Normalweight</v>
      </c>
      <c r="K2193" t="str">
        <f>VLOOKUP(Table2[[#This Row],[Customer ID]],Table2[#All],10,FALSE)</f>
        <v>Normal</v>
      </c>
    </row>
    <row r="2194" spans="1:11" ht="15.6" x14ac:dyDescent="0.3">
      <c r="A2194" s="1" t="s">
        <v>167</v>
      </c>
      <c r="B2194" t="str">
        <f>VLOOKUP('Customer Names'!A2194,'Customer Names'!$A$1:$E$2336,4,FALSE)</f>
        <v>Mr.  Kevin J.</v>
      </c>
      <c r="C2194">
        <f>VLOOKUP(Table2[[#This Row],[Customer ID]],Table2[#All],2,FALSE)</f>
        <v>22.99</v>
      </c>
      <c r="D2194">
        <f>VLOOKUP(Table2[[#This Row],[Customer ID]],Table2[#All],3,FALSE)</f>
        <v>5.0599999999999996</v>
      </c>
      <c r="E2194" t="str">
        <f>VLOOKUP(Table2[[#This Row],[Customer ID]],Table2[#All],4,FALSE)</f>
        <v>No</v>
      </c>
      <c r="F2194" t="str">
        <f>VLOOKUP(Table2[[#This Row],[Customer ID]],Table2[#All],5,FALSE)</f>
        <v>yes</v>
      </c>
      <c r="G2194" t="str">
        <f>VLOOKUP(Table2[[#This Row],[Customer ID]],Table2[#All],6,FALSE)</f>
        <v>No</v>
      </c>
      <c r="H2194">
        <f>VLOOKUP(Table2[[#This Row],[Customer ID]],Table2[#All],7,FALSE)</f>
        <v>1</v>
      </c>
      <c r="I2194" t="str">
        <f>VLOOKUP(Table2[[#This Row],[Customer ID]],Table2[#All],8,FALSE)</f>
        <v>No</v>
      </c>
      <c r="J2194" t="str">
        <f>VLOOKUP(Table2[[#This Row],[Customer ID]],Table2[#All],9,FALSE)</f>
        <v>Normalweight</v>
      </c>
      <c r="K2194" t="str">
        <f>VLOOKUP(Table2[[#This Row],[Customer ID]],Table2[#All],10,FALSE)</f>
        <v>Normal</v>
      </c>
    </row>
    <row r="2195" spans="1:11" ht="15.6" x14ac:dyDescent="0.3">
      <c r="A2195" s="1" t="s">
        <v>165</v>
      </c>
      <c r="B2195" t="str">
        <f>VLOOKUP('Customer Names'!A2195,'Customer Names'!$A$1:$E$2336,4,FALSE)</f>
        <v>Mr.  Kirby W.</v>
      </c>
      <c r="C2195">
        <f>VLOOKUP(Table2[[#This Row],[Customer ID]],Table2[#All],2,FALSE)</f>
        <v>21.47</v>
      </c>
      <c r="D2195">
        <f>VLOOKUP(Table2[[#This Row],[Customer ID]],Table2[#All],3,FALSE)</f>
        <v>4.6900000000000004</v>
      </c>
      <c r="E2195" t="str">
        <f>VLOOKUP(Table2[[#This Row],[Customer ID]],Table2[#All],4,FALSE)</f>
        <v>No</v>
      </c>
      <c r="F2195" t="str">
        <f>VLOOKUP(Table2[[#This Row],[Customer ID]],Table2[#All],5,FALSE)</f>
        <v>yes</v>
      </c>
      <c r="G2195" t="str">
        <f>VLOOKUP(Table2[[#This Row],[Customer ID]],Table2[#All],6,FALSE)</f>
        <v>No</v>
      </c>
      <c r="H2195">
        <f>VLOOKUP(Table2[[#This Row],[Customer ID]],Table2[#All],7,FALSE)</f>
        <v>1</v>
      </c>
      <c r="I2195" t="str">
        <f>VLOOKUP(Table2[[#This Row],[Customer ID]],Table2[#All],8,FALSE)</f>
        <v>No</v>
      </c>
      <c r="J2195" t="str">
        <f>VLOOKUP(Table2[[#This Row],[Customer ID]],Table2[#All],9,FALSE)</f>
        <v>Normalweight</v>
      </c>
      <c r="K2195" t="str">
        <f>VLOOKUP(Table2[[#This Row],[Customer ID]],Table2[#All],10,FALSE)</f>
        <v>Normal</v>
      </c>
    </row>
    <row r="2196" spans="1:11" ht="15.6" x14ac:dyDescent="0.3">
      <c r="A2196" s="1" t="s">
        <v>163</v>
      </c>
      <c r="B2196" t="str">
        <f>VLOOKUP('Customer Names'!A2196,'Customer Names'!$A$1:$E$2336,4,FALSE)</f>
        <v>Mr.  J A</v>
      </c>
      <c r="C2196">
        <f>VLOOKUP(Table2[[#This Row],[Customer ID]],Table2[#All],2,FALSE)</f>
        <v>15.96</v>
      </c>
      <c r="D2196">
        <f>VLOOKUP(Table2[[#This Row],[Customer ID]],Table2[#All],3,FALSE)</f>
        <v>5.44</v>
      </c>
      <c r="E2196" t="str">
        <f>VLOOKUP(Table2[[#This Row],[Customer ID]],Table2[#All],4,FALSE)</f>
        <v>No</v>
      </c>
      <c r="F2196" t="str">
        <f>VLOOKUP(Table2[[#This Row],[Customer ID]],Table2[#All],5,FALSE)</f>
        <v>yes</v>
      </c>
      <c r="G2196" t="str">
        <f>VLOOKUP(Table2[[#This Row],[Customer ID]],Table2[#All],6,FALSE)</f>
        <v>No</v>
      </c>
      <c r="H2196">
        <f>VLOOKUP(Table2[[#This Row],[Customer ID]],Table2[#All],7,FALSE)</f>
        <v>1</v>
      </c>
      <c r="I2196" t="str">
        <f>VLOOKUP(Table2[[#This Row],[Customer ID]],Table2[#All],8,FALSE)</f>
        <v>No</v>
      </c>
      <c r="J2196" t="str">
        <f>VLOOKUP(Table2[[#This Row],[Customer ID]],Table2[#All],9,FALSE)</f>
        <v>Underweight</v>
      </c>
      <c r="K2196" t="str">
        <f>VLOOKUP(Table2[[#This Row],[Customer ID]],Table2[#All],10,FALSE)</f>
        <v>Normal</v>
      </c>
    </row>
    <row r="2197" spans="1:11" ht="15.6" x14ac:dyDescent="0.3">
      <c r="A2197" s="1" t="s">
        <v>162</v>
      </c>
      <c r="B2197" t="str">
        <f>VLOOKUP('Customer Names'!A2197,'Customer Names'!$A$1:$E$2336,4,FALSE)</f>
        <v>Mr.  Dustin G.</v>
      </c>
      <c r="C2197">
        <f>VLOOKUP(Table2[[#This Row],[Customer ID]],Table2[#All],2,FALSE)</f>
        <v>39.5</v>
      </c>
      <c r="D2197">
        <f>VLOOKUP(Table2[[#This Row],[Customer ID]],Table2[#All],3,FALSE)</f>
        <v>5.05</v>
      </c>
      <c r="E2197" t="str">
        <f>VLOOKUP(Table2[[#This Row],[Customer ID]],Table2[#All],4,FALSE)</f>
        <v>No</v>
      </c>
      <c r="F2197" t="str">
        <f>VLOOKUP(Table2[[#This Row],[Customer ID]],Table2[#All],5,FALSE)</f>
        <v>yes</v>
      </c>
      <c r="G2197" t="str">
        <f>VLOOKUP(Table2[[#This Row],[Customer ID]],Table2[#All],6,FALSE)</f>
        <v>No</v>
      </c>
      <c r="H2197">
        <f>VLOOKUP(Table2[[#This Row],[Customer ID]],Table2[#All],7,FALSE)</f>
        <v>1</v>
      </c>
      <c r="I2197" t="str">
        <f>VLOOKUP(Table2[[#This Row],[Customer ID]],Table2[#All],8,FALSE)</f>
        <v>No</v>
      </c>
      <c r="J2197" t="str">
        <f>VLOOKUP(Table2[[#This Row],[Customer ID]],Table2[#All],9,FALSE)</f>
        <v>Obesity</v>
      </c>
      <c r="K2197" t="str">
        <f>VLOOKUP(Table2[[#This Row],[Customer ID]],Table2[#All],10,FALSE)</f>
        <v>Normal</v>
      </c>
    </row>
    <row r="2198" spans="1:11" ht="15.6" x14ac:dyDescent="0.3">
      <c r="A2198" s="1" t="s">
        <v>161</v>
      </c>
      <c r="B2198" t="str">
        <f>VLOOKUP('Customer Names'!A2198,'Customer Names'!$A$1:$E$2336,4,FALSE)</f>
        <v>Mr.  Anthony G</v>
      </c>
      <c r="C2198">
        <f>VLOOKUP(Table2[[#This Row],[Customer ID]],Table2[#All],2,FALSE)</f>
        <v>33.770000000000003</v>
      </c>
      <c r="D2198">
        <f>VLOOKUP(Table2[[#This Row],[Customer ID]],Table2[#All],3,FALSE)</f>
        <v>6</v>
      </c>
      <c r="E2198" t="str">
        <f>VLOOKUP(Table2[[#This Row],[Customer ID]],Table2[#All],4,FALSE)</f>
        <v>No</v>
      </c>
      <c r="F2198" t="str">
        <f>VLOOKUP(Table2[[#This Row],[Customer ID]],Table2[#All],5,FALSE)</f>
        <v>yes</v>
      </c>
      <c r="G2198" t="str">
        <f>VLOOKUP(Table2[[#This Row],[Customer ID]],Table2[#All],6,FALSE)</f>
        <v>No</v>
      </c>
      <c r="H2198">
        <f>VLOOKUP(Table2[[#This Row],[Customer ID]],Table2[#All],7,FALSE)</f>
        <v>1</v>
      </c>
      <c r="I2198" t="str">
        <f>VLOOKUP(Table2[[#This Row],[Customer ID]],Table2[#All],8,FALSE)</f>
        <v>No</v>
      </c>
      <c r="J2198" t="str">
        <f>VLOOKUP(Table2[[#This Row],[Customer ID]],Table2[#All],9,FALSE)</f>
        <v>Obesity</v>
      </c>
      <c r="K2198" t="str">
        <f>VLOOKUP(Table2[[#This Row],[Customer ID]],Table2[#All],10,FALSE)</f>
        <v>Prediabetes</v>
      </c>
    </row>
    <row r="2199" spans="1:11" ht="15.6" x14ac:dyDescent="0.3">
      <c r="A2199" s="1" t="s">
        <v>160</v>
      </c>
      <c r="B2199" t="str">
        <f>VLOOKUP('Customer Names'!A2199,'Customer Names'!$A$1:$E$2336,4,FALSE)</f>
        <v>Mr.  Ryan</v>
      </c>
      <c r="C2199">
        <f>VLOOKUP(Table2[[#This Row],[Customer ID]],Table2[#All],2,FALSE)</f>
        <v>26.84</v>
      </c>
      <c r="D2199">
        <f>VLOOKUP(Table2[[#This Row],[Customer ID]],Table2[#All],3,FALSE)</f>
        <v>5.99</v>
      </c>
      <c r="E2199" t="str">
        <f>VLOOKUP(Table2[[#This Row],[Customer ID]],Table2[#All],4,FALSE)</f>
        <v>Yes</v>
      </c>
      <c r="F2199" t="str">
        <f>VLOOKUP(Table2[[#This Row],[Customer ID]],Table2[#All],5,FALSE)</f>
        <v>yes</v>
      </c>
      <c r="G2199" t="str">
        <f>VLOOKUP(Table2[[#This Row],[Customer ID]],Table2[#All],6,FALSE)</f>
        <v>No</v>
      </c>
      <c r="H2199">
        <f>VLOOKUP(Table2[[#This Row],[Customer ID]],Table2[#All],7,FALSE)</f>
        <v>1</v>
      </c>
      <c r="I2199" t="str">
        <f>VLOOKUP(Table2[[#This Row],[Customer ID]],Table2[#All],8,FALSE)</f>
        <v>No</v>
      </c>
      <c r="J2199" t="str">
        <f>VLOOKUP(Table2[[#This Row],[Customer ID]],Table2[#All],9,FALSE)</f>
        <v>Overweight</v>
      </c>
      <c r="K2199" t="str">
        <f>VLOOKUP(Table2[[#This Row],[Customer ID]],Table2[#All],10,FALSE)</f>
        <v>Prediabetes</v>
      </c>
    </row>
    <row r="2200" spans="1:11" ht="15.6" x14ac:dyDescent="0.3">
      <c r="A2200" s="1" t="s">
        <v>159</v>
      </c>
      <c r="B2200" t="str">
        <f>VLOOKUP('Customer Names'!A2200,'Customer Names'!$A$1:$E$2336,4,FALSE)</f>
        <v>Mr.  Eric N</v>
      </c>
      <c r="C2200">
        <f>VLOOKUP(Table2[[#This Row],[Customer ID]],Table2[#All],2,FALSE)</f>
        <v>35.53</v>
      </c>
      <c r="D2200">
        <f>VLOOKUP(Table2[[#This Row],[Customer ID]],Table2[#All],3,FALSE)</f>
        <v>4.3600000000000003</v>
      </c>
      <c r="E2200" t="str">
        <f>VLOOKUP(Table2[[#This Row],[Customer ID]],Table2[#All],4,FALSE)</f>
        <v>No</v>
      </c>
      <c r="F2200" t="str">
        <f>VLOOKUP(Table2[[#This Row],[Customer ID]],Table2[#All],5,FALSE)</f>
        <v>No</v>
      </c>
      <c r="G2200" t="str">
        <f>VLOOKUP(Table2[[#This Row],[Customer ID]],Table2[#All],6,FALSE)</f>
        <v>Yes</v>
      </c>
      <c r="H2200">
        <f>VLOOKUP(Table2[[#This Row],[Customer ID]],Table2[#All],7,FALSE)</f>
        <v>1</v>
      </c>
      <c r="I2200" t="str">
        <f>VLOOKUP(Table2[[#This Row],[Customer ID]],Table2[#All],8,FALSE)</f>
        <v>No</v>
      </c>
      <c r="J2200" t="str">
        <f>VLOOKUP(Table2[[#This Row],[Customer ID]],Table2[#All],9,FALSE)</f>
        <v>Obesity</v>
      </c>
      <c r="K2200" t="str">
        <f>VLOOKUP(Table2[[#This Row],[Customer ID]],Table2[#All],10,FALSE)</f>
        <v>Normal</v>
      </c>
    </row>
    <row r="2201" spans="1:11" ht="15.6" x14ac:dyDescent="0.3">
      <c r="A2201" s="1" t="s">
        <v>158</v>
      </c>
      <c r="B2201" t="str">
        <f>VLOOKUP('Customer Names'!A2201,'Customer Names'!$A$1:$E$2336,4,FALSE)</f>
        <v>Mr.  Connor</v>
      </c>
      <c r="C2201">
        <f>VLOOKUP(Table2[[#This Row],[Customer ID]],Table2[#All],2,FALSE)</f>
        <v>30.59</v>
      </c>
      <c r="D2201">
        <f>VLOOKUP(Table2[[#This Row],[Customer ID]],Table2[#All],3,FALSE)</f>
        <v>4.41</v>
      </c>
      <c r="E2201" t="str">
        <f>VLOOKUP(Table2[[#This Row],[Customer ID]],Table2[#All],4,FALSE)</f>
        <v>No</v>
      </c>
      <c r="F2201" t="str">
        <f>VLOOKUP(Table2[[#This Row],[Customer ID]],Table2[#All],5,FALSE)</f>
        <v>No</v>
      </c>
      <c r="G2201" t="str">
        <f>VLOOKUP(Table2[[#This Row],[Customer ID]],Table2[#All],6,FALSE)</f>
        <v>Yes</v>
      </c>
      <c r="H2201">
        <f>VLOOKUP(Table2[[#This Row],[Customer ID]],Table2[#All],7,FALSE)</f>
        <v>1</v>
      </c>
      <c r="I2201" t="str">
        <f>VLOOKUP(Table2[[#This Row],[Customer ID]],Table2[#All],8,FALSE)</f>
        <v>No</v>
      </c>
      <c r="J2201" t="str">
        <f>VLOOKUP(Table2[[#This Row],[Customer ID]],Table2[#All],9,FALSE)</f>
        <v>Obesity</v>
      </c>
      <c r="K2201" t="str">
        <f>VLOOKUP(Table2[[#This Row],[Customer ID]],Table2[#All],10,FALSE)</f>
        <v>Normal</v>
      </c>
    </row>
    <row r="2202" spans="1:11" ht="15.6" x14ac:dyDescent="0.3">
      <c r="A2202" s="1" t="s">
        <v>157</v>
      </c>
      <c r="B2202" t="str">
        <f>VLOOKUP('Customer Names'!A2202,'Customer Names'!$A$1:$E$2336,4,FALSE)</f>
        <v>Mr.  Patrick H.</v>
      </c>
      <c r="C2202">
        <f>VLOOKUP(Table2[[#This Row],[Customer ID]],Table2[#All],2,FALSE)</f>
        <v>30.59</v>
      </c>
      <c r="D2202">
        <f>VLOOKUP(Table2[[#This Row],[Customer ID]],Table2[#All],3,FALSE)</f>
        <v>4.17</v>
      </c>
      <c r="E2202" t="str">
        <f>VLOOKUP(Table2[[#This Row],[Customer ID]],Table2[#All],4,FALSE)</f>
        <v>No</v>
      </c>
      <c r="F2202" t="str">
        <f>VLOOKUP(Table2[[#This Row],[Customer ID]],Table2[#All],5,FALSE)</f>
        <v>No</v>
      </c>
      <c r="G2202" t="str">
        <f>VLOOKUP(Table2[[#This Row],[Customer ID]],Table2[#All],6,FALSE)</f>
        <v>Yes</v>
      </c>
      <c r="H2202">
        <f>VLOOKUP(Table2[[#This Row],[Customer ID]],Table2[#All],7,FALSE)</f>
        <v>1</v>
      </c>
      <c r="I2202" t="str">
        <f>VLOOKUP(Table2[[#This Row],[Customer ID]],Table2[#All],8,FALSE)</f>
        <v>No</v>
      </c>
      <c r="J2202" t="str">
        <f>VLOOKUP(Table2[[#This Row],[Customer ID]],Table2[#All],9,FALSE)</f>
        <v>Obesity</v>
      </c>
      <c r="K2202" t="str">
        <f>VLOOKUP(Table2[[#This Row],[Customer ID]],Table2[#All],10,FALSE)</f>
        <v>Normal</v>
      </c>
    </row>
    <row r="2203" spans="1:11" ht="15.6" x14ac:dyDescent="0.3">
      <c r="A2203" s="1" t="s">
        <v>156</v>
      </c>
      <c r="B2203" t="str">
        <f>VLOOKUP('Customer Names'!A2203,'Customer Names'!$A$1:$E$2336,4,FALSE)</f>
        <v>Mr.  Tyler</v>
      </c>
      <c r="C2203">
        <f>VLOOKUP(Table2[[#This Row],[Customer ID]],Table2[#All],2,FALSE)</f>
        <v>27.835000000000001</v>
      </c>
      <c r="D2203">
        <f>VLOOKUP(Table2[[#This Row],[Customer ID]],Table2[#All],3,FALSE)</f>
        <v>4.4400000000000004</v>
      </c>
      <c r="E2203" t="str">
        <f>VLOOKUP(Table2[[#This Row],[Customer ID]],Table2[#All],4,FALSE)</f>
        <v>No</v>
      </c>
      <c r="F2203" t="str">
        <f>VLOOKUP(Table2[[#This Row],[Customer ID]],Table2[#All],5,FALSE)</f>
        <v>No</v>
      </c>
      <c r="G2203" t="str">
        <f>VLOOKUP(Table2[[#This Row],[Customer ID]],Table2[#All],6,FALSE)</f>
        <v>Yes</v>
      </c>
      <c r="H2203">
        <f>VLOOKUP(Table2[[#This Row],[Customer ID]],Table2[#All],7,FALSE)</f>
        <v>1</v>
      </c>
      <c r="I2203" t="str">
        <f>VLOOKUP(Table2[[#This Row],[Customer ID]],Table2[#All],8,FALSE)</f>
        <v>No</v>
      </c>
      <c r="J2203" t="str">
        <f>VLOOKUP(Table2[[#This Row],[Customer ID]],Table2[#All],9,FALSE)</f>
        <v>Overweight</v>
      </c>
      <c r="K2203" t="str">
        <f>VLOOKUP(Table2[[#This Row],[Customer ID]],Table2[#All],10,FALSE)</f>
        <v>Normal</v>
      </c>
    </row>
    <row r="2204" spans="1:11" ht="15.6" x14ac:dyDescent="0.3">
      <c r="A2204" s="1" t="s">
        <v>155</v>
      </c>
      <c r="B2204" t="str">
        <f>VLOOKUP('Customer Names'!A2204,'Customer Names'!$A$1:$E$2336,4,FALSE)</f>
        <v>Ms.  Deborah L.</v>
      </c>
      <c r="C2204">
        <f>VLOOKUP(Table2[[#This Row],[Customer ID]],Table2[#All],2,FALSE)</f>
        <v>40.26</v>
      </c>
      <c r="D2204">
        <f>VLOOKUP(Table2[[#This Row],[Customer ID]],Table2[#All],3,FALSE)</f>
        <v>5.52</v>
      </c>
      <c r="E2204" t="str">
        <f>VLOOKUP(Table2[[#This Row],[Customer ID]],Table2[#All],4,FALSE)</f>
        <v>No</v>
      </c>
      <c r="F2204" t="str">
        <f>VLOOKUP(Table2[[#This Row],[Customer ID]],Table2[#All],5,FALSE)</f>
        <v>yes</v>
      </c>
      <c r="G2204" t="str">
        <f>VLOOKUP(Table2[[#This Row],[Customer ID]],Table2[#All],6,FALSE)</f>
        <v>No</v>
      </c>
      <c r="H2204">
        <f>VLOOKUP(Table2[[#This Row],[Customer ID]],Table2[#All],7,FALSE)</f>
        <v>1</v>
      </c>
      <c r="I2204" t="str">
        <f>VLOOKUP(Table2[[#This Row],[Customer ID]],Table2[#All],8,FALSE)</f>
        <v>No</v>
      </c>
      <c r="J2204" t="str">
        <f>VLOOKUP(Table2[[#This Row],[Customer ID]],Table2[#All],9,FALSE)</f>
        <v>Obesity</v>
      </c>
      <c r="K2204" t="str">
        <f>VLOOKUP(Table2[[#This Row],[Customer ID]],Table2[#All],10,FALSE)</f>
        <v>Normal</v>
      </c>
    </row>
    <row r="2205" spans="1:11" ht="15.6" x14ac:dyDescent="0.3">
      <c r="A2205" s="1" t="s">
        <v>154</v>
      </c>
      <c r="B2205" t="str">
        <f>VLOOKUP('Customer Names'!A2205,'Customer Names'!$A$1:$E$2336,4,FALSE)</f>
        <v>Ms.  Andrea K</v>
      </c>
      <c r="C2205">
        <f>VLOOKUP(Table2[[#This Row],[Customer ID]],Table2[#All],2,FALSE)</f>
        <v>39.82</v>
      </c>
      <c r="D2205">
        <f>VLOOKUP(Table2[[#This Row],[Customer ID]],Table2[#All],3,FALSE)</f>
        <v>6.01</v>
      </c>
      <c r="E2205" t="str">
        <f>VLOOKUP(Table2[[#This Row],[Customer ID]],Table2[#All],4,FALSE)</f>
        <v>No</v>
      </c>
      <c r="F2205" t="str">
        <f>VLOOKUP(Table2[[#This Row],[Customer ID]],Table2[#All],5,FALSE)</f>
        <v>yes</v>
      </c>
      <c r="G2205" t="str">
        <f>VLOOKUP(Table2[[#This Row],[Customer ID]],Table2[#All],6,FALSE)</f>
        <v>No</v>
      </c>
      <c r="H2205">
        <f>VLOOKUP(Table2[[#This Row],[Customer ID]],Table2[#All],7,FALSE)</f>
        <v>1</v>
      </c>
      <c r="I2205" t="str">
        <f>VLOOKUP(Table2[[#This Row],[Customer ID]],Table2[#All],8,FALSE)</f>
        <v>No</v>
      </c>
      <c r="J2205" t="str">
        <f>VLOOKUP(Table2[[#This Row],[Customer ID]],Table2[#All],9,FALSE)</f>
        <v>Obesity</v>
      </c>
      <c r="K2205" t="str">
        <f>VLOOKUP(Table2[[#This Row],[Customer ID]],Table2[#All],10,FALSE)</f>
        <v>Prediabetes</v>
      </c>
    </row>
    <row r="2206" spans="1:11" ht="15.6" x14ac:dyDescent="0.3">
      <c r="A2206" s="1" t="s">
        <v>153</v>
      </c>
      <c r="B2206" t="str">
        <f>VLOOKUP('Customer Names'!A2206,'Customer Names'!$A$1:$E$2336,4,FALSE)</f>
        <v>Ms.  Elleree</v>
      </c>
      <c r="C2206">
        <f>VLOOKUP(Table2[[#This Row],[Customer ID]],Table2[#All],2,FALSE)</f>
        <v>39.159999999999997</v>
      </c>
      <c r="D2206">
        <f>VLOOKUP(Table2[[#This Row],[Customer ID]],Table2[#All],3,FALSE)</f>
        <v>5.81</v>
      </c>
      <c r="E2206" t="str">
        <f>VLOOKUP(Table2[[#This Row],[Customer ID]],Table2[#All],4,FALSE)</f>
        <v>No</v>
      </c>
      <c r="F2206" t="str">
        <f>VLOOKUP(Table2[[#This Row],[Customer ID]],Table2[#All],5,FALSE)</f>
        <v>yes</v>
      </c>
      <c r="G2206" t="str">
        <f>VLOOKUP(Table2[[#This Row],[Customer ID]],Table2[#All],6,FALSE)</f>
        <v>No</v>
      </c>
      <c r="H2206">
        <f>VLOOKUP(Table2[[#This Row],[Customer ID]],Table2[#All],7,FALSE)</f>
        <v>1</v>
      </c>
      <c r="I2206" t="str">
        <f>VLOOKUP(Table2[[#This Row],[Customer ID]],Table2[#All],8,FALSE)</f>
        <v>No</v>
      </c>
      <c r="J2206" t="str">
        <f>VLOOKUP(Table2[[#This Row],[Customer ID]],Table2[#All],9,FALSE)</f>
        <v>Obesity</v>
      </c>
      <c r="K2206" t="str">
        <f>VLOOKUP(Table2[[#This Row],[Customer ID]],Table2[#All],10,FALSE)</f>
        <v>Prediabetes</v>
      </c>
    </row>
    <row r="2207" spans="1:11" ht="15.6" x14ac:dyDescent="0.3">
      <c r="A2207" s="1" t="s">
        <v>152</v>
      </c>
      <c r="B2207" t="str">
        <f>VLOOKUP('Customer Names'!A2207,'Customer Names'!$A$1:$E$2336,4,FALSE)</f>
        <v>Mr.  Brandon J</v>
      </c>
      <c r="C2207">
        <f>VLOOKUP(Table2[[#This Row],[Customer ID]],Table2[#All],2,FALSE)</f>
        <v>25.555</v>
      </c>
      <c r="D2207">
        <f>VLOOKUP(Table2[[#This Row],[Customer ID]],Table2[#All],3,FALSE)</f>
        <v>4.37</v>
      </c>
      <c r="E2207" t="str">
        <f>VLOOKUP(Table2[[#This Row],[Customer ID]],Table2[#All],4,FALSE)</f>
        <v>No</v>
      </c>
      <c r="F2207" t="str">
        <f>VLOOKUP(Table2[[#This Row],[Customer ID]],Table2[#All],5,FALSE)</f>
        <v>No</v>
      </c>
      <c r="G2207" t="str">
        <f>VLOOKUP(Table2[[#This Row],[Customer ID]],Table2[#All],6,FALSE)</f>
        <v>Yes</v>
      </c>
      <c r="H2207">
        <f>VLOOKUP(Table2[[#This Row],[Customer ID]],Table2[#All],7,FALSE)</f>
        <v>1</v>
      </c>
      <c r="I2207" t="str">
        <f>VLOOKUP(Table2[[#This Row],[Customer ID]],Table2[#All],8,FALSE)</f>
        <v>No</v>
      </c>
      <c r="J2207" t="str">
        <f>VLOOKUP(Table2[[#This Row],[Customer ID]],Table2[#All],9,FALSE)</f>
        <v>Overweight</v>
      </c>
      <c r="K2207" t="str">
        <f>VLOOKUP(Table2[[#This Row],[Customer ID]],Table2[#All],10,FALSE)</f>
        <v>Normal</v>
      </c>
    </row>
    <row r="2208" spans="1:11" ht="15.6" x14ac:dyDescent="0.3">
      <c r="A2208" s="1" t="s">
        <v>151</v>
      </c>
      <c r="B2208" t="str">
        <f>VLOOKUP('Customer Names'!A2208,'Customer Names'!$A$1:$E$2336,4,FALSE)</f>
        <v>Mr.  Steve</v>
      </c>
      <c r="C2208">
        <f>VLOOKUP(Table2[[#This Row],[Customer ID]],Table2[#All],2,FALSE)</f>
        <v>25.175000000000001</v>
      </c>
      <c r="D2208">
        <f>VLOOKUP(Table2[[#This Row],[Customer ID]],Table2[#All],3,FALSE)</f>
        <v>5.74</v>
      </c>
      <c r="E2208" t="str">
        <f>VLOOKUP(Table2[[#This Row],[Customer ID]],Table2[#All],4,FALSE)</f>
        <v>No</v>
      </c>
      <c r="F2208" t="str">
        <f>VLOOKUP(Table2[[#This Row],[Customer ID]],Table2[#All],5,FALSE)</f>
        <v>No</v>
      </c>
      <c r="G2208" t="str">
        <f>VLOOKUP(Table2[[#This Row],[Customer ID]],Table2[#All],6,FALSE)</f>
        <v>Yes</v>
      </c>
      <c r="H2208">
        <f>VLOOKUP(Table2[[#This Row],[Customer ID]],Table2[#All],7,FALSE)</f>
        <v>1</v>
      </c>
      <c r="I2208" t="str">
        <f>VLOOKUP(Table2[[#This Row],[Customer ID]],Table2[#All],8,FALSE)</f>
        <v>No</v>
      </c>
      <c r="J2208" t="str">
        <f>VLOOKUP(Table2[[#This Row],[Customer ID]],Table2[#All],9,FALSE)</f>
        <v>Overweight</v>
      </c>
      <c r="K2208" t="str">
        <f>VLOOKUP(Table2[[#This Row],[Customer ID]],Table2[#All],10,FALSE)</f>
        <v>Prediabetes</v>
      </c>
    </row>
    <row r="2209" spans="1:11" ht="15.6" x14ac:dyDescent="0.3">
      <c r="A2209" s="1" t="s">
        <v>150</v>
      </c>
      <c r="B2209" t="str">
        <f>VLOOKUP('Customer Names'!A2209,'Customer Names'!$A$1:$E$2336,4,FALSE)</f>
        <v>Ms.  Nina Wavik Sr.</v>
      </c>
      <c r="C2209">
        <f>VLOOKUP(Table2[[#This Row],[Customer ID]],Table2[#All],2,FALSE)</f>
        <v>38.28</v>
      </c>
      <c r="D2209">
        <f>VLOOKUP(Table2[[#This Row],[Customer ID]],Table2[#All],3,FALSE)</f>
        <v>5.39</v>
      </c>
      <c r="E2209" t="str">
        <f>VLOOKUP(Table2[[#This Row],[Customer ID]],Table2[#All],4,FALSE)</f>
        <v>No</v>
      </c>
      <c r="F2209" t="str">
        <f>VLOOKUP(Table2[[#This Row],[Customer ID]],Table2[#All],5,FALSE)</f>
        <v>yes</v>
      </c>
      <c r="G2209" t="str">
        <f>VLOOKUP(Table2[[#This Row],[Customer ID]],Table2[#All],6,FALSE)</f>
        <v>No</v>
      </c>
      <c r="H2209">
        <f>VLOOKUP(Table2[[#This Row],[Customer ID]],Table2[#All],7,FALSE)</f>
        <v>1</v>
      </c>
      <c r="I2209" t="str">
        <f>VLOOKUP(Table2[[#This Row],[Customer ID]],Table2[#All],8,FALSE)</f>
        <v>No</v>
      </c>
      <c r="J2209" t="str">
        <f>VLOOKUP(Table2[[#This Row],[Customer ID]],Table2[#All],9,FALSE)</f>
        <v>Obesity</v>
      </c>
      <c r="K2209" t="str">
        <f>VLOOKUP(Table2[[#This Row],[Customer ID]],Table2[#All],10,FALSE)</f>
        <v>Normal</v>
      </c>
    </row>
    <row r="2210" spans="1:11" ht="15.6" x14ac:dyDescent="0.3">
      <c r="A2210" s="1" t="s">
        <v>149</v>
      </c>
      <c r="B2210" t="str">
        <f>VLOOKUP('Customer Names'!A2210,'Customer Names'!$A$1:$E$2336,4,FALSE)</f>
        <v>Ms.  Dani</v>
      </c>
      <c r="C2210">
        <f>VLOOKUP(Table2[[#This Row],[Customer ID]],Table2[#All],2,FALSE)</f>
        <v>38.17</v>
      </c>
      <c r="D2210">
        <f>VLOOKUP(Table2[[#This Row],[Customer ID]],Table2[#All],3,FALSE)</f>
        <v>4.07</v>
      </c>
      <c r="E2210" t="str">
        <f>VLOOKUP(Table2[[#This Row],[Customer ID]],Table2[#All],4,FALSE)</f>
        <v>No</v>
      </c>
      <c r="F2210" t="str">
        <f>VLOOKUP(Table2[[#This Row],[Customer ID]],Table2[#All],5,FALSE)</f>
        <v>yes</v>
      </c>
      <c r="G2210" t="str">
        <f>VLOOKUP(Table2[[#This Row],[Customer ID]],Table2[#All],6,FALSE)</f>
        <v>No</v>
      </c>
      <c r="H2210">
        <f>VLOOKUP(Table2[[#This Row],[Customer ID]],Table2[#All],7,FALSE)</f>
        <v>1</v>
      </c>
      <c r="I2210" t="str">
        <f>VLOOKUP(Table2[[#This Row],[Customer ID]],Table2[#All],8,FALSE)</f>
        <v>No</v>
      </c>
      <c r="J2210" t="str">
        <f>VLOOKUP(Table2[[#This Row],[Customer ID]],Table2[#All],9,FALSE)</f>
        <v>Obesity</v>
      </c>
      <c r="K2210" t="str">
        <f>VLOOKUP(Table2[[#This Row],[Customer ID]],Table2[#All],10,FALSE)</f>
        <v>Normal</v>
      </c>
    </row>
    <row r="2211" spans="1:11" ht="15.6" x14ac:dyDescent="0.3">
      <c r="A2211" s="1" t="s">
        <v>148</v>
      </c>
      <c r="B2211" t="str">
        <f>VLOOKUP('Customer Names'!A2211,'Customer Names'!$A$1:$E$2336,4,FALSE)</f>
        <v>Ms.  Jennifer A.</v>
      </c>
      <c r="C2211">
        <f>VLOOKUP(Table2[[#This Row],[Customer ID]],Table2[#All],2,FALSE)</f>
        <v>36.85</v>
      </c>
      <c r="D2211">
        <f>VLOOKUP(Table2[[#This Row],[Customer ID]],Table2[#All],3,FALSE)</f>
        <v>5.49</v>
      </c>
      <c r="E2211" t="str">
        <f>VLOOKUP(Table2[[#This Row],[Customer ID]],Table2[#All],4,FALSE)</f>
        <v>No</v>
      </c>
      <c r="F2211" t="str">
        <f>VLOOKUP(Table2[[#This Row],[Customer ID]],Table2[#All],5,FALSE)</f>
        <v>yes</v>
      </c>
      <c r="G2211" t="str">
        <f>VLOOKUP(Table2[[#This Row],[Customer ID]],Table2[#All],6,FALSE)</f>
        <v>No</v>
      </c>
      <c r="H2211">
        <f>VLOOKUP(Table2[[#This Row],[Customer ID]],Table2[#All],7,FALSE)</f>
        <v>1</v>
      </c>
      <c r="I2211" t="str">
        <f>VLOOKUP(Table2[[#This Row],[Customer ID]],Table2[#All],8,FALSE)</f>
        <v>No</v>
      </c>
      <c r="J2211" t="str">
        <f>VLOOKUP(Table2[[#This Row],[Customer ID]],Table2[#All],9,FALSE)</f>
        <v>Obesity</v>
      </c>
      <c r="K2211" t="str">
        <f>VLOOKUP(Table2[[#This Row],[Customer ID]],Table2[#All],10,FALSE)</f>
        <v>Normal</v>
      </c>
    </row>
    <row r="2212" spans="1:11" ht="15.6" x14ac:dyDescent="0.3">
      <c r="A2212" s="1" t="s">
        <v>147</v>
      </c>
      <c r="B2212" t="str">
        <f>VLOOKUP('Customer Names'!A2212,'Customer Names'!$A$1:$E$2336,4,FALSE)</f>
        <v>Mr.  Martin</v>
      </c>
      <c r="C2212">
        <f>VLOOKUP(Table2[[#This Row],[Customer ID]],Table2[#All],2,FALSE)</f>
        <v>22.61</v>
      </c>
      <c r="D2212">
        <f>VLOOKUP(Table2[[#This Row],[Customer ID]],Table2[#All],3,FALSE)</f>
        <v>5.68</v>
      </c>
      <c r="E2212" t="str">
        <f>VLOOKUP(Table2[[#This Row],[Customer ID]],Table2[#All],4,FALSE)</f>
        <v>No</v>
      </c>
      <c r="F2212" t="str">
        <f>VLOOKUP(Table2[[#This Row],[Customer ID]],Table2[#All],5,FALSE)</f>
        <v>No</v>
      </c>
      <c r="G2212" t="str">
        <f>VLOOKUP(Table2[[#This Row],[Customer ID]],Table2[#All],6,FALSE)</f>
        <v>Yes</v>
      </c>
      <c r="H2212">
        <f>VLOOKUP(Table2[[#This Row],[Customer ID]],Table2[#All],7,FALSE)</f>
        <v>1</v>
      </c>
      <c r="I2212" t="str">
        <f>VLOOKUP(Table2[[#This Row],[Customer ID]],Table2[#All],8,FALSE)</f>
        <v>No</v>
      </c>
      <c r="J2212" t="str">
        <f>VLOOKUP(Table2[[#This Row],[Customer ID]],Table2[#All],9,FALSE)</f>
        <v>Normalweight</v>
      </c>
      <c r="K2212" t="str">
        <f>VLOOKUP(Table2[[#This Row],[Customer ID]],Table2[#All],10,FALSE)</f>
        <v>Normal</v>
      </c>
    </row>
    <row r="2213" spans="1:11" ht="15.6" x14ac:dyDescent="0.3">
      <c r="A2213" s="1" t="s">
        <v>146</v>
      </c>
      <c r="B2213" t="str">
        <f>VLOOKUP('Customer Names'!A2213,'Customer Names'!$A$1:$E$2336,4,FALSE)</f>
        <v>Mr.  Steve</v>
      </c>
      <c r="C2213">
        <f>VLOOKUP(Table2[[#This Row],[Customer ID]],Table2[#All],2,FALSE)</f>
        <v>21.754999999999999</v>
      </c>
      <c r="D2213">
        <f>VLOOKUP(Table2[[#This Row],[Customer ID]],Table2[#All],3,FALSE)</f>
        <v>6.09</v>
      </c>
      <c r="E2213" t="str">
        <f>VLOOKUP(Table2[[#This Row],[Customer ID]],Table2[#All],4,FALSE)</f>
        <v>No</v>
      </c>
      <c r="F2213" t="str">
        <f>VLOOKUP(Table2[[#This Row],[Customer ID]],Table2[#All],5,FALSE)</f>
        <v>No</v>
      </c>
      <c r="G2213" t="str">
        <f>VLOOKUP(Table2[[#This Row],[Customer ID]],Table2[#All],6,FALSE)</f>
        <v>Yes</v>
      </c>
      <c r="H2213">
        <f>VLOOKUP(Table2[[#This Row],[Customer ID]],Table2[#All],7,FALSE)</f>
        <v>1</v>
      </c>
      <c r="I2213" t="str">
        <f>VLOOKUP(Table2[[#This Row],[Customer ID]],Table2[#All],8,FALSE)</f>
        <v>No</v>
      </c>
      <c r="J2213" t="str">
        <f>VLOOKUP(Table2[[#This Row],[Customer ID]],Table2[#All],9,FALSE)</f>
        <v>Normalweight</v>
      </c>
      <c r="K2213" t="str">
        <f>VLOOKUP(Table2[[#This Row],[Customer ID]],Table2[#All],10,FALSE)</f>
        <v>Prediabetes</v>
      </c>
    </row>
    <row r="2214" spans="1:11" ht="15.6" x14ac:dyDescent="0.3">
      <c r="A2214" s="1" t="s">
        <v>145</v>
      </c>
      <c r="B2214" t="str">
        <f>VLOOKUP('Customer Names'!A2214,'Customer Names'!$A$1:$E$2336,4,FALSE)</f>
        <v>Mr.  Christopher</v>
      </c>
      <c r="C2214">
        <f>VLOOKUP(Table2[[#This Row],[Customer ID]],Table2[#All],2,FALSE)</f>
        <v>20.425000000000001</v>
      </c>
      <c r="D2214">
        <f>VLOOKUP(Table2[[#This Row],[Customer ID]],Table2[#All],3,FALSE)</f>
        <v>5.53</v>
      </c>
      <c r="E2214" t="str">
        <f>VLOOKUP(Table2[[#This Row],[Customer ID]],Table2[#All],4,FALSE)</f>
        <v>No</v>
      </c>
      <c r="F2214" t="str">
        <f>VLOOKUP(Table2[[#This Row],[Customer ID]],Table2[#All],5,FALSE)</f>
        <v>No</v>
      </c>
      <c r="G2214" t="str">
        <f>VLOOKUP(Table2[[#This Row],[Customer ID]],Table2[#All],6,FALSE)</f>
        <v>Yes</v>
      </c>
      <c r="H2214">
        <f>VLOOKUP(Table2[[#This Row],[Customer ID]],Table2[#All],7,FALSE)</f>
        <v>1</v>
      </c>
      <c r="I2214" t="str">
        <f>VLOOKUP(Table2[[#This Row],[Customer ID]],Table2[#All],8,FALSE)</f>
        <v>No</v>
      </c>
      <c r="J2214" t="str">
        <f>VLOOKUP(Table2[[#This Row],[Customer ID]],Table2[#All],9,FALSE)</f>
        <v>Normalweight</v>
      </c>
      <c r="K2214" t="str">
        <f>VLOOKUP(Table2[[#This Row],[Customer ID]],Table2[#All],10,FALSE)</f>
        <v>Normal</v>
      </c>
    </row>
    <row r="2215" spans="1:11" ht="15.6" x14ac:dyDescent="0.3">
      <c r="A2215" s="1" t="s">
        <v>144</v>
      </c>
      <c r="B2215" t="str">
        <f>VLOOKUP('Customer Names'!A2215,'Customer Names'!$A$1:$E$2336,4,FALSE)</f>
        <v>Ms.  Kathryn M.</v>
      </c>
      <c r="C2215">
        <f>VLOOKUP(Table2[[#This Row],[Customer ID]],Table2[#All],2,FALSE)</f>
        <v>31.35</v>
      </c>
      <c r="D2215">
        <f>VLOOKUP(Table2[[#This Row],[Customer ID]],Table2[#All],3,FALSE)</f>
        <v>4.28</v>
      </c>
      <c r="E2215" t="str">
        <f>VLOOKUP(Table2[[#This Row],[Customer ID]],Table2[#All],4,FALSE)</f>
        <v>No</v>
      </c>
      <c r="F2215" t="str">
        <f>VLOOKUP(Table2[[#This Row],[Customer ID]],Table2[#All],5,FALSE)</f>
        <v>yes</v>
      </c>
      <c r="G2215" t="str">
        <f>VLOOKUP(Table2[[#This Row],[Customer ID]],Table2[#All],6,FALSE)</f>
        <v>No</v>
      </c>
      <c r="H2215">
        <f>VLOOKUP(Table2[[#This Row],[Customer ID]],Table2[#All],7,FALSE)</f>
        <v>1</v>
      </c>
      <c r="I2215" t="str">
        <f>VLOOKUP(Table2[[#This Row],[Customer ID]],Table2[#All],8,FALSE)</f>
        <v>No</v>
      </c>
      <c r="J2215" t="str">
        <f>VLOOKUP(Table2[[#This Row],[Customer ID]],Table2[#All],9,FALSE)</f>
        <v>Obesity</v>
      </c>
      <c r="K2215" t="str">
        <f>VLOOKUP(Table2[[#This Row],[Customer ID]],Table2[#All],10,FALSE)</f>
        <v>Normal</v>
      </c>
    </row>
    <row r="2216" spans="1:11" ht="15.6" x14ac:dyDescent="0.3">
      <c r="A2216" s="1" t="s">
        <v>143</v>
      </c>
      <c r="B2216" t="str">
        <f>VLOOKUP('Customer Names'!A2216,'Customer Names'!$A$1:$E$2336,4,FALSE)</f>
        <v>Ms.  Emily</v>
      </c>
      <c r="C2216">
        <f>VLOOKUP(Table2[[#This Row],[Customer ID]],Table2[#All],2,FALSE)</f>
        <v>31.13</v>
      </c>
      <c r="D2216">
        <f>VLOOKUP(Table2[[#This Row],[Customer ID]],Table2[#All],3,FALSE)</f>
        <v>6.01</v>
      </c>
      <c r="E2216" t="str">
        <f>VLOOKUP(Table2[[#This Row],[Customer ID]],Table2[#All],4,FALSE)</f>
        <v>No</v>
      </c>
      <c r="F2216" t="str">
        <f>VLOOKUP(Table2[[#This Row],[Customer ID]],Table2[#All],5,FALSE)</f>
        <v>yes</v>
      </c>
      <c r="G2216" t="str">
        <f>VLOOKUP(Table2[[#This Row],[Customer ID]],Table2[#All],6,FALSE)</f>
        <v>No</v>
      </c>
      <c r="H2216">
        <f>VLOOKUP(Table2[[#This Row],[Customer ID]],Table2[#All],7,FALSE)</f>
        <v>1</v>
      </c>
      <c r="I2216" t="str">
        <f>VLOOKUP(Table2[[#This Row],[Customer ID]],Table2[#All],8,FALSE)</f>
        <v>No</v>
      </c>
      <c r="J2216" t="str">
        <f>VLOOKUP(Table2[[#This Row],[Customer ID]],Table2[#All],9,FALSE)</f>
        <v>Obesity</v>
      </c>
      <c r="K2216" t="str">
        <f>VLOOKUP(Table2[[#This Row],[Customer ID]],Table2[#All],10,FALSE)</f>
        <v>Prediabetes</v>
      </c>
    </row>
    <row r="2217" spans="1:11" ht="15.6" x14ac:dyDescent="0.3">
      <c r="A2217" s="1" t="s">
        <v>142</v>
      </c>
      <c r="B2217" t="str">
        <f>VLOOKUP('Customer Names'!A2217,'Customer Names'!$A$1:$E$2336,4,FALSE)</f>
        <v>Mr.  Trent A</v>
      </c>
      <c r="C2217">
        <f>VLOOKUP(Table2[[#This Row],[Customer ID]],Table2[#All],2,FALSE)</f>
        <v>17.48</v>
      </c>
      <c r="D2217">
        <f>VLOOKUP(Table2[[#This Row],[Customer ID]],Table2[#All],3,FALSE)</f>
        <v>4.59</v>
      </c>
      <c r="E2217" t="str">
        <f>VLOOKUP(Table2[[#This Row],[Customer ID]],Table2[#All],4,FALSE)</f>
        <v>No</v>
      </c>
      <c r="F2217" t="str">
        <f>VLOOKUP(Table2[[#This Row],[Customer ID]],Table2[#All],5,FALSE)</f>
        <v>No</v>
      </c>
      <c r="G2217" t="str">
        <f>VLOOKUP(Table2[[#This Row],[Customer ID]],Table2[#All],6,FALSE)</f>
        <v>Yes</v>
      </c>
      <c r="H2217">
        <f>VLOOKUP(Table2[[#This Row],[Customer ID]],Table2[#All],7,FALSE)</f>
        <v>1</v>
      </c>
      <c r="I2217" t="str">
        <f>VLOOKUP(Table2[[#This Row],[Customer ID]],Table2[#All],8,FALSE)</f>
        <v>No</v>
      </c>
      <c r="J2217" t="str">
        <f>VLOOKUP(Table2[[#This Row],[Customer ID]],Table2[#All],9,FALSE)</f>
        <v>Underweight</v>
      </c>
      <c r="K2217" t="str">
        <f>VLOOKUP(Table2[[#This Row],[Customer ID]],Table2[#All],10,FALSE)</f>
        <v>Normal</v>
      </c>
    </row>
    <row r="2218" spans="1:11" ht="15.6" x14ac:dyDescent="0.3">
      <c r="A2218" s="1" t="s">
        <v>141</v>
      </c>
      <c r="B2218" t="str">
        <f>VLOOKUP('Customer Names'!A2218,'Customer Names'!$A$1:$E$2336,4,FALSE)</f>
        <v>Ms.  Jennifer E</v>
      </c>
      <c r="C2218">
        <f>VLOOKUP(Table2[[#This Row],[Customer ID]],Table2[#All],2,FALSE)</f>
        <v>22.57</v>
      </c>
      <c r="D2218">
        <f>VLOOKUP(Table2[[#This Row],[Customer ID]],Table2[#All],3,FALSE)</f>
        <v>5.8</v>
      </c>
      <c r="E2218" t="str">
        <f>VLOOKUP(Table2[[#This Row],[Customer ID]],Table2[#All],4,FALSE)</f>
        <v>Yes</v>
      </c>
      <c r="F2218" t="str">
        <f>VLOOKUP(Table2[[#This Row],[Customer ID]],Table2[#All],5,FALSE)</f>
        <v>No</v>
      </c>
      <c r="G2218" t="str">
        <f>VLOOKUP(Table2[[#This Row],[Customer ID]],Table2[#All],6,FALSE)</f>
        <v>No</v>
      </c>
      <c r="H2218">
        <f>VLOOKUP(Table2[[#This Row],[Customer ID]],Table2[#All],7,FALSE)</f>
        <v>1</v>
      </c>
      <c r="I2218" t="str">
        <f>VLOOKUP(Table2[[#This Row],[Customer ID]],Table2[#All],8,FALSE)</f>
        <v>No</v>
      </c>
      <c r="J2218" t="str">
        <f>VLOOKUP(Table2[[#This Row],[Customer ID]],Table2[#All],9,FALSE)</f>
        <v>Normalweight</v>
      </c>
      <c r="K2218" t="str">
        <f>VLOOKUP(Table2[[#This Row],[Customer ID]],Table2[#All],10,FALSE)</f>
        <v>Prediabetes</v>
      </c>
    </row>
    <row r="2219" spans="1:11" ht="15.6" x14ac:dyDescent="0.3">
      <c r="A2219" s="1" t="s">
        <v>140</v>
      </c>
      <c r="B2219" t="str">
        <f>VLOOKUP('Customer Names'!A2219,'Customer Names'!$A$1:$E$2336,4,FALSE)</f>
        <v>Ms.  Polly</v>
      </c>
      <c r="C2219">
        <f>VLOOKUP(Table2[[#This Row],[Customer ID]],Table2[#All],2,FALSE)</f>
        <v>26.73</v>
      </c>
      <c r="D2219">
        <f>VLOOKUP(Table2[[#This Row],[Customer ID]],Table2[#All],3,FALSE)</f>
        <v>5.08</v>
      </c>
      <c r="E2219" t="str">
        <f>VLOOKUP(Table2[[#This Row],[Customer ID]],Table2[#All],4,FALSE)</f>
        <v>No</v>
      </c>
      <c r="F2219" t="str">
        <f>VLOOKUP(Table2[[#This Row],[Customer ID]],Table2[#All],5,FALSE)</f>
        <v>yes</v>
      </c>
      <c r="G2219" t="str">
        <f>VLOOKUP(Table2[[#This Row],[Customer ID]],Table2[#All],6,FALSE)</f>
        <v>No</v>
      </c>
      <c r="H2219">
        <f>VLOOKUP(Table2[[#This Row],[Customer ID]],Table2[#All],7,FALSE)</f>
        <v>1</v>
      </c>
      <c r="I2219" t="str">
        <f>VLOOKUP(Table2[[#This Row],[Customer ID]],Table2[#All],8,FALSE)</f>
        <v>No</v>
      </c>
      <c r="J2219" t="str">
        <f>VLOOKUP(Table2[[#This Row],[Customer ID]],Table2[#All],9,FALSE)</f>
        <v>Overweight</v>
      </c>
      <c r="K2219" t="str">
        <f>VLOOKUP(Table2[[#This Row],[Customer ID]],Table2[#All],10,FALSE)</f>
        <v>Normal</v>
      </c>
    </row>
    <row r="2220" spans="1:11" ht="15.6" x14ac:dyDescent="0.3">
      <c r="A2220" s="1" t="s">
        <v>139</v>
      </c>
      <c r="B2220" t="str">
        <f>VLOOKUP('Customer Names'!A2220,'Customer Names'!$A$1:$E$2336,4,FALSE)</f>
        <v>Ms.  Elizabeth</v>
      </c>
      <c r="C2220">
        <f>VLOOKUP(Table2[[#This Row],[Customer ID]],Table2[#All],2,FALSE)</f>
        <v>20.79</v>
      </c>
      <c r="D2220">
        <f>VLOOKUP(Table2[[#This Row],[Customer ID]],Table2[#All],3,FALSE)</f>
        <v>5.84</v>
      </c>
      <c r="E2220" t="str">
        <f>VLOOKUP(Table2[[#This Row],[Customer ID]],Table2[#All],4,FALSE)</f>
        <v>No</v>
      </c>
      <c r="F2220" t="str">
        <f>VLOOKUP(Table2[[#This Row],[Customer ID]],Table2[#All],5,FALSE)</f>
        <v>yes</v>
      </c>
      <c r="G2220" t="str">
        <f>VLOOKUP(Table2[[#This Row],[Customer ID]],Table2[#All],6,FALSE)</f>
        <v>No</v>
      </c>
      <c r="H2220">
        <f>VLOOKUP(Table2[[#This Row],[Customer ID]],Table2[#All],7,FALSE)</f>
        <v>1</v>
      </c>
      <c r="I2220" t="str">
        <f>VLOOKUP(Table2[[#This Row],[Customer ID]],Table2[#All],8,FALSE)</f>
        <v>No</v>
      </c>
      <c r="J2220" t="str">
        <f>VLOOKUP(Table2[[#This Row],[Customer ID]],Table2[#All],9,FALSE)</f>
        <v>Normalweight</v>
      </c>
      <c r="K2220" t="str">
        <f>VLOOKUP(Table2[[#This Row],[Customer ID]],Table2[#All],10,FALSE)</f>
        <v>Prediabetes</v>
      </c>
    </row>
    <row r="2221" spans="1:11" ht="15.6" x14ac:dyDescent="0.3">
      <c r="A2221" s="1" t="s">
        <v>138</v>
      </c>
      <c r="B2221" t="str">
        <f>VLOOKUP('Customer Names'!A2221,'Customer Names'!$A$1:$E$2336,4,FALSE)</f>
        <v>Ms.  Tiffany A.</v>
      </c>
      <c r="C2221">
        <f>VLOOKUP(Table2[[#This Row],[Customer ID]],Table2[#All],2,FALSE)</f>
        <v>20.149999999999999</v>
      </c>
      <c r="D2221">
        <f>VLOOKUP(Table2[[#This Row],[Customer ID]],Table2[#All],3,FALSE)</f>
        <v>4.1500000000000004</v>
      </c>
      <c r="E2221" t="str">
        <f>VLOOKUP(Table2[[#This Row],[Customer ID]],Table2[#All],4,FALSE)</f>
        <v>No</v>
      </c>
      <c r="F2221" t="str">
        <f>VLOOKUP(Table2[[#This Row],[Customer ID]],Table2[#All],5,FALSE)</f>
        <v>No</v>
      </c>
      <c r="G2221" t="str">
        <f>VLOOKUP(Table2[[#This Row],[Customer ID]],Table2[#All],6,FALSE)</f>
        <v>No</v>
      </c>
      <c r="H2221">
        <f>VLOOKUP(Table2[[#This Row],[Customer ID]],Table2[#All],7,FALSE)</f>
        <v>1</v>
      </c>
      <c r="I2221" t="str">
        <f>VLOOKUP(Table2[[#This Row],[Customer ID]],Table2[#All],8,FALSE)</f>
        <v>No</v>
      </c>
      <c r="J2221" t="str">
        <f>VLOOKUP(Table2[[#This Row],[Customer ID]],Table2[#All],9,FALSE)</f>
        <v>Normalweight</v>
      </c>
      <c r="K2221" t="str">
        <f>VLOOKUP(Table2[[#This Row],[Customer ID]],Table2[#All],10,FALSE)</f>
        <v>Normal</v>
      </c>
    </row>
    <row r="2222" spans="1:11" ht="15.6" x14ac:dyDescent="0.3">
      <c r="A2222" s="1" t="s">
        <v>137</v>
      </c>
      <c r="B2222" t="str">
        <f>VLOOKUP('Customer Names'!A2222,'Customer Names'!$A$1:$E$2336,4,FALSE)</f>
        <v>Mr.  Cole</v>
      </c>
      <c r="C2222">
        <f>VLOOKUP(Table2[[#This Row],[Customer ID]],Table2[#All],2,FALSE)</f>
        <v>36.85</v>
      </c>
      <c r="D2222">
        <f>VLOOKUP(Table2[[#This Row],[Customer ID]],Table2[#All],3,FALSE)</f>
        <v>4.3600000000000003</v>
      </c>
      <c r="E2222" t="str">
        <f>VLOOKUP(Table2[[#This Row],[Customer ID]],Table2[#All],4,FALSE)</f>
        <v>Yes</v>
      </c>
      <c r="F2222" t="str">
        <f>VLOOKUP(Table2[[#This Row],[Customer ID]],Table2[#All],5,FALSE)</f>
        <v>No</v>
      </c>
      <c r="G2222" t="str">
        <f>VLOOKUP(Table2[[#This Row],[Customer ID]],Table2[#All],6,FALSE)</f>
        <v>No</v>
      </c>
      <c r="H2222">
        <f>VLOOKUP(Table2[[#This Row],[Customer ID]],Table2[#All],7,FALSE)</f>
        <v>0</v>
      </c>
      <c r="I2222" t="str">
        <f>VLOOKUP(Table2[[#This Row],[Customer ID]],Table2[#All],8,FALSE)</f>
        <v>No</v>
      </c>
      <c r="J2222" t="str">
        <f>VLOOKUP(Table2[[#This Row],[Customer ID]],Table2[#All],9,FALSE)</f>
        <v>Obesity</v>
      </c>
      <c r="K2222" t="str">
        <f>VLOOKUP(Table2[[#This Row],[Customer ID]],Table2[#All],10,FALSE)</f>
        <v>Normal</v>
      </c>
    </row>
    <row r="2223" spans="1:11" ht="15.6" x14ac:dyDescent="0.3">
      <c r="A2223" s="1" t="s">
        <v>136</v>
      </c>
      <c r="B2223" t="str">
        <f>VLOOKUP('Customer Names'!A2223,'Customer Names'!$A$1:$E$2336,4,FALSE)</f>
        <v>Mr.  Matthew T.</v>
      </c>
      <c r="C2223">
        <f>VLOOKUP(Table2[[#This Row],[Customer ID]],Table2[#All],2,FALSE)</f>
        <v>35.53</v>
      </c>
      <c r="D2223">
        <f>VLOOKUP(Table2[[#This Row],[Customer ID]],Table2[#All],3,FALSE)</f>
        <v>4.55</v>
      </c>
      <c r="E2223" t="str">
        <f>VLOOKUP(Table2[[#This Row],[Customer ID]],Table2[#All],4,FALSE)</f>
        <v>Yes</v>
      </c>
      <c r="F2223" t="str">
        <f>VLOOKUP(Table2[[#This Row],[Customer ID]],Table2[#All],5,FALSE)</f>
        <v>No</v>
      </c>
      <c r="G2223" t="str">
        <f>VLOOKUP(Table2[[#This Row],[Customer ID]],Table2[#All],6,FALSE)</f>
        <v>No</v>
      </c>
      <c r="H2223">
        <f>VLOOKUP(Table2[[#This Row],[Customer ID]],Table2[#All],7,FALSE)</f>
        <v>0</v>
      </c>
      <c r="I2223" t="str">
        <f>VLOOKUP(Table2[[#This Row],[Customer ID]],Table2[#All],8,FALSE)</f>
        <v>No</v>
      </c>
      <c r="J2223" t="str">
        <f>VLOOKUP(Table2[[#This Row],[Customer ID]],Table2[#All],9,FALSE)</f>
        <v>Obesity</v>
      </c>
      <c r="K2223" t="str">
        <f>VLOOKUP(Table2[[#This Row],[Customer ID]],Table2[#All],10,FALSE)</f>
        <v>Normal</v>
      </c>
    </row>
    <row r="2224" spans="1:11" ht="15.6" x14ac:dyDescent="0.3">
      <c r="A2224" s="1" t="s">
        <v>135</v>
      </c>
      <c r="B2224" t="str">
        <f>VLOOKUP('Customer Names'!A2224,'Customer Names'!$A$1:$E$2336,4,FALSE)</f>
        <v>Mr.  Zachary</v>
      </c>
      <c r="C2224">
        <f>VLOOKUP(Table2[[#This Row],[Customer ID]],Table2[#All],2,FALSE)</f>
        <v>31.1</v>
      </c>
      <c r="D2224">
        <f>VLOOKUP(Table2[[#This Row],[Customer ID]],Table2[#All],3,FALSE)</f>
        <v>4.37</v>
      </c>
      <c r="E2224" t="str">
        <f>VLOOKUP(Table2[[#This Row],[Customer ID]],Table2[#All],4,FALSE)</f>
        <v>Yes</v>
      </c>
      <c r="F2224" t="str">
        <f>VLOOKUP(Table2[[#This Row],[Customer ID]],Table2[#All],5,FALSE)</f>
        <v>No</v>
      </c>
      <c r="G2224" t="str">
        <f>VLOOKUP(Table2[[#This Row],[Customer ID]],Table2[#All],6,FALSE)</f>
        <v>No</v>
      </c>
      <c r="H2224">
        <f>VLOOKUP(Table2[[#This Row],[Customer ID]],Table2[#All],7,FALSE)</f>
        <v>0</v>
      </c>
      <c r="I2224" t="str">
        <f>VLOOKUP(Table2[[#This Row],[Customer ID]],Table2[#All],8,FALSE)</f>
        <v>No</v>
      </c>
      <c r="J2224" t="str">
        <f>VLOOKUP(Table2[[#This Row],[Customer ID]],Table2[#All],9,FALSE)</f>
        <v>Obesity</v>
      </c>
      <c r="K2224" t="str">
        <f>VLOOKUP(Table2[[#This Row],[Customer ID]],Table2[#All],10,FALSE)</f>
        <v>Normal</v>
      </c>
    </row>
    <row r="2225" spans="1:11" ht="15.6" x14ac:dyDescent="0.3">
      <c r="A2225" s="1" t="s">
        <v>134</v>
      </c>
      <c r="B2225" t="str">
        <f>VLOOKUP('Customer Names'!A2225,'Customer Names'!$A$1:$E$2336,4,FALSE)</f>
        <v>Mr.  Matthew T.</v>
      </c>
      <c r="C2225">
        <f>VLOOKUP(Table2[[#This Row],[Customer ID]],Table2[#All],2,FALSE)</f>
        <v>23.21</v>
      </c>
      <c r="D2225">
        <f>VLOOKUP(Table2[[#This Row],[Customer ID]],Table2[#All],3,FALSE)</f>
        <v>5.24</v>
      </c>
      <c r="E2225" t="str">
        <f>VLOOKUP(Table2[[#This Row],[Customer ID]],Table2[#All],4,FALSE)</f>
        <v>Yes</v>
      </c>
      <c r="F2225" t="str">
        <f>VLOOKUP(Table2[[#This Row],[Customer ID]],Table2[#All],5,FALSE)</f>
        <v>No</v>
      </c>
      <c r="G2225" t="str">
        <f>VLOOKUP(Table2[[#This Row],[Customer ID]],Table2[#All],6,FALSE)</f>
        <v>No</v>
      </c>
      <c r="H2225">
        <f>VLOOKUP(Table2[[#This Row],[Customer ID]],Table2[#All],7,FALSE)</f>
        <v>0</v>
      </c>
      <c r="I2225" t="str">
        <f>VLOOKUP(Table2[[#This Row],[Customer ID]],Table2[#All],8,FALSE)</f>
        <v>No</v>
      </c>
      <c r="J2225" t="str">
        <f>VLOOKUP(Table2[[#This Row],[Customer ID]],Table2[#All],9,FALSE)</f>
        <v>Normalweight</v>
      </c>
      <c r="K2225" t="str">
        <f>VLOOKUP(Table2[[#This Row],[Customer ID]],Table2[#All],10,FALSE)</f>
        <v>Normal</v>
      </c>
    </row>
    <row r="2226" spans="1:11" ht="15.6" x14ac:dyDescent="0.3">
      <c r="A2226" s="1" t="s">
        <v>133</v>
      </c>
      <c r="B2226" t="str">
        <f>VLOOKUP('Customer Names'!A2226,'Customer Names'!$A$1:$E$2336,4,FALSE)</f>
        <v>Mr.  Pat</v>
      </c>
      <c r="C2226">
        <f>VLOOKUP(Table2[[#This Row],[Customer ID]],Table2[#All],2,FALSE)</f>
        <v>18.36</v>
      </c>
      <c r="D2226">
        <f>VLOOKUP(Table2[[#This Row],[Customer ID]],Table2[#All],3,FALSE)</f>
        <v>5.96</v>
      </c>
      <c r="E2226" t="str">
        <f>VLOOKUP(Table2[[#This Row],[Customer ID]],Table2[#All],4,FALSE)</f>
        <v>No</v>
      </c>
      <c r="F2226" t="str">
        <f>VLOOKUP(Table2[[#This Row],[Customer ID]],Table2[#All],5,FALSE)</f>
        <v>No</v>
      </c>
      <c r="G2226" t="str">
        <f>VLOOKUP(Table2[[#This Row],[Customer ID]],Table2[#All],6,FALSE)</f>
        <v>No</v>
      </c>
      <c r="H2226">
        <f>VLOOKUP(Table2[[#This Row],[Customer ID]],Table2[#All],7,FALSE)</f>
        <v>1</v>
      </c>
      <c r="I2226" t="str">
        <f>VLOOKUP(Table2[[#This Row],[Customer ID]],Table2[#All],8,FALSE)</f>
        <v>No</v>
      </c>
      <c r="J2226" t="str">
        <f>VLOOKUP(Table2[[#This Row],[Customer ID]],Table2[#All],9,FALSE)</f>
        <v>Underweight</v>
      </c>
      <c r="K2226" t="str">
        <f>VLOOKUP(Table2[[#This Row],[Customer ID]],Table2[#All],10,FALSE)</f>
        <v>Prediabetes</v>
      </c>
    </row>
    <row r="2227" spans="1:11" ht="15.6" x14ac:dyDescent="0.3">
      <c r="A2227" s="1" t="s">
        <v>132</v>
      </c>
      <c r="B2227" t="str">
        <f>VLOOKUP('Customer Names'!A2227,'Customer Names'!$A$1:$E$2336,4,FALSE)</f>
        <v>Ms.  Ashley</v>
      </c>
      <c r="C2227">
        <f>VLOOKUP(Table2[[#This Row],[Customer ID]],Table2[#All],2,FALSE)</f>
        <v>15.92</v>
      </c>
      <c r="D2227">
        <f>VLOOKUP(Table2[[#This Row],[Customer ID]],Table2[#All],3,FALSE)</f>
        <v>4.76</v>
      </c>
      <c r="E2227" t="str">
        <f>VLOOKUP(Table2[[#This Row],[Customer ID]],Table2[#All],4,FALSE)</f>
        <v>Yes</v>
      </c>
      <c r="F2227" t="str">
        <f>VLOOKUP(Table2[[#This Row],[Customer ID]],Table2[#All],5,FALSE)</f>
        <v>No</v>
      </c>
      <c r="G2227" t="str">
        <f>VLOOKUP(Table2[[#This Row],[Customer ID]],Table2[#All],6,FALSE)</f>
        <v>No</v>
      </c>
      <c r="H2227">
        <f>VLOOKUP(Table2[[#This Row],[Customer ID]],Table2[#All],7,FALSE)</f>
        <v>1</v>
      </c>
      <c r="I2227" t="str">
        <f>VLOOKUP(Table2[[#This Row],[Customer ID]],Table2[#All],8,FALSE)</f>
        <v>No</v>
      </c>
      <c r="J2227" t="str">
        <f>VLOOKUP(Table2[[#This Row],[Customer ID]],Table2[#All],9,FALSE)</f>
        <v>Underweight</v>
      </c>
      <c r="K2227" t="str">
        <f>VLOOKUP(Table2[[#This Row],[Customer ID]],Table2[#All],10,FALSE)</f>
        <v>Normal</v>
      </c>
    </row>
    <row r="2228" spans="1:11" ht="15.6" x14ac:dyDescent="0.3">
      <c r="A2228" s="1" t="s">
        <v>131</v>
      </c>
      <c r="B2228" t="str">
        <f>VLOOKUP('Customer Names'!A2228,'Customer Names'!$A$1:$E$2336,4,FALSE)</f>
        <v>Ms.  Elizabeth A.</v>
      </c>
      <c r="C2228">
        <f>VLOOKUP(Table2[[#This Row],[Customer ID]],Table2[#All],2,FALSE)</f>
        <v>15.17</v>
      </c>
      <c r="D2228">
        <f>VLOOKUP(Table2[[#This Row],[Customer ID]],Table2[#All],3,FALSE)</f>
        <v>4.3</v>
      </c>
      <c r="E2228" t="str">
        <f>VLOOKUP(Table2[[#This Row],[Customer ID]],Table2[#All],4,FALSE)</f>
        <v>Yes</v>
      </c>
      <c r="F2228" t="str">
        <f>VLOOKUP(Table2[[#This Row],[Customer ID]],Table2[#All],5,FALSE)</f>
        <v>No</v>
      </c>
      <c r="G2228" t="str">
        <f>VLOOKUP(Table2[[#This Row],[Customer ID]],Table2[#All],6,FALSE)</f>
        <v>Yes</v>
      </c>
      <c r="H2228">
        <f>VLOOKUP(Table2[[#This Row],[Customer ID]],Table2[#All],7,FALSE)</f>
        <v>1</v>
      </c>
      <c r="I2228" t="str">
        <f>VLOOKUP(Table2[[#This Row],[Customer ID]],Table2[#All],8,FALSE)</f>
        <v>No</v>
      </c>
      <c r="J2228" t="str">
        <f>VLOOKUP(Table2[[#This Row],[Customer ID]],Table2[#All],9,FALSE)</f>
        <v>Underweight</v>
      </c>
      <c r="K2228" t="str">
        <f>VLOOKUP(Table2[[#This Row],[Customer ID]],Table2[#All],10,FALSE)</f>
        <v>Normal</v>
      </c>
    </row>
    <row r="2229" spans="1:11" ht="15.6" x14ac:dyDescent="0.3">
      <c r="A2229" s="1" t="s">
        <v>130</v>
      </c>
      <c r="B2229" t="str">
        <f>VLOOKUP('Customer Names'!A2229,'Customer Names'!$A$1:$E$2336,4,FALSE)</f>
        <v>Ms.  Rebecca M.</v>
      </c>
      <c r="C2229">
        <f>VLOOKUP(Table2[[#This Row],[Customer ID]],Table2[#All],2,FALSE)</f>
        <v>16.63</v>
      </c>
      <c r="D2229">
        <f>VLOOKUP(Table2[[#This Row],[Customer ID]],Table2[#All],3,FALSE)</f>
        <v>4.5</v>
      </c>
      <c r="E2229" t="str">
        <f>VLOOKUP(Table2[[#This Row],[Customer ID]],Table2[#All],4,FALSE)</f>
        <v>No</v>
      </c>
      <c r="F2229" t="str">
        <f>VLOOKUP(Table2[[#This Row],[Customer ID]],Table2[#All],5,FALSE)</f>
        <v>No</v>
      </c>
      <c r="G2229" t="str">
        <f>VLOOKUP(Table2[[#This Row],[Customer ID]],Table2[#All],6,FALSE)</f>
        <v>No</v>
      </c>
      <c r="H2229">
        <f>VLOOKUP(Table2[[#This Row],[Customer ID]],Table2[#All],7,FALSE)</f>
        <v>1</v>
      </c>
      <c r="I2229" t="str">
        <f>VLOOKUP(Table2[[#This Row],[Customer ID]],Table2[#All],8,FALSE)</f>
        <v>No</v>
      </c>
      <c r="J2229" t="str">
        <f>VLOOKUP(Table2[[#This Row],[Customer ID]],Table2[#All],9,FALSE)</f>
        <v>Underweight</v>
      </c>
      <c r="K2229" t="str">
        <f>VLOOKUP(Table2[[#This Row],[Customer ID]],Table2[#All],10,FALSE)</f>
        <v>Normal</v>
      </c>
    </row>
    <row r="2230" spans="1:11" ht="15.6" x14ac:dyDescent="0.3">
      <c r="A2230" s="1" t="s">
        <v>129</v>
      </c>
      <c r="B2230" t="str">
        <f>VLOOKUP('Customer Names'!A2230,'Customer Names'!$A$1:$E$2336,4,FALSE)</f>
        <v>Ms.  Ruth</v>
      </c>
      <c r="C2230">
        <f>VLOOKUP(Table2[[#This Row],[Customer ID]],Table2[#All],2,FALSE)</f>
        <v>19.39</v>
      </c>
      <c r="D2230">
        <f>VLOOKUP(Table2[[#This Row],[Customer ID]],Table2[#All],3,FALSE)</f>
        <v>5.59</v>
      </c>
      <c r="E2230" t="str">
        <f>VLOOKUP(Table2[[#This Row],[Customer ID]],Table2[#All],4,FALSE)</f>
        <v>No</v>
      </c>
      <c r="F2230" t="str">
        <f>VLOOKUP(Table2[[#This Row],[Customer ID]],Table2[#All],5,FALSE)</f>
        <v>No</v>
      </c>
      <c r="G2230" t="str">
        <f>VLOOKUP(Table2[[#This Row],[Customer ID]],Table2[#All],6,FALSE)</f>
        <v>Yes</v>
      </c>
      <c r="H2230">
        <f>VLOOKUP(Table2[[#This Row],[Customer ID]],Table2[#All],7,FALSE)</f>
        <v>1</v>
      </c>
      <c r="I2230" t="str">
        <f>VLOOKUP(Table2[[#This Row],[Customer ID]],Table2[#All],8,FALSE)</f>
        <v>No</v>
      </c>
      <c r="J2230" t="str">
        <f>VLOOKUP(Table2[[#This Row],[Customer ID]],Table2[#All],9,FALSE)</f>
        <v>Normalweight</v>
      </c>
      <c r="K2230" t="str">
        <f>VLOOKUP(Table2[[#This Row],[Customer ID]],Table2[#All],10,FALSE)</f>
        <v>Normal</v>
      </c>
    </row>
    <row r="2231" spans="1:11" ht="15.6" x14ac:dyDescent="0.3">
      <c r="A2231" s="1" t="s">
        <v>128</v>
      </c>
      <c r="B2231" t="str">
        <f>VLOOKUP('Customer Names'!A2231,'Customer Names'!$A$1:$E$2336,4,FALSE)</f>
        <v>Mr.  Gregory S</v>
      </c>
      <c r="C2231">
        <f>VLOOKUP(Table2[[#This Row],[Customer ID]],Table2[#All],2,FALSE)</f>
        <v>17.34</v>
      </c>
      <c r="D2231">
        <f>VLOOKUP(Table2[[#This Row],[Customer ID]],Table2[#All],3,FALSE)</f>
        <v>6.29</v>
      </c>
      <c r="E2231" t="str">
        <f>VLOOKUP(Table2[[#This Row],[Customer ID]],Table2[#All],4,FALSE)</f>
        <v>Yes</v>
      </c>
      <c r="F2231" t="str">
        <f>VLOOKUP(Table2[[#This Row],[Customer ID]],Table2[#All],5,FALSE)</f>
        <v>No</v>
      </c>
      <c r="G2231" t="str">
        <f>VLOOKUP(Table2[[#This Row],[Customer ID]],Table2[#All],6,FALSE)</f>
        <v>Yes</v>
      </c>
      <c r="H2231">
        <f>VLOOKUP(Table2[[#This Row],[Customer ID]],Table2[#All],7,FALSE)</f>
        <v>1</v>
      </c>
      <c r="I2231" t="str">
        <f>VLOOKUP(Table2[[#This Row],[Customer ID]],Table2[#All],8,FALSE)</f>
        <v>No</v>
      </c>
      <c r="J2231" t="str">
        <f>VLOOKUP(Table2[[#This Row],[Customer ID]],Table2[#All],9,FALSE)</f>
        <v>Underweight</v>
      </c>
      <c r="K2231" t="str">
        <f>VLOOKUP(Table2[[#This Row],[Customer ID]],Table2[#All],10,FALSE)</f>
        <v>Prediabetes</v>
      </c>
    </row>
    <row r="2232" spans="1:11" ht="15.6" x14ac:dyDescent="0.3">
      <c r="A2232" s="1" t="s">
        <v>127</v>
      </c>
      <c r="B2232" t="str">
        <f>VLOOKUP('Customer Names'!A2232,'Customer Names'!$A$1:$E$2336,4,FALSE)</f>
        <v>Ms.  Alexandra S</v>
      </c>
      <c r="C2232">
        <f>VLOOKUP(Table2[[#This Row],[Customer ID]],Table2[#All],2,FALSE)</f>
        <v>17.940000000000001</v>
      </c>
      <c r="D2232">
        <f>VLOOKUP(Table2[[#This Row],[Customer ID]],Table2[#All],3,FALSE)</f>
        <v>4.1900000000000004</v>
      </c>
      <c r="E2232" t="str">
        <f>VLOOKUP(Table2[[#This Row],[Customer ID]],Table2[#All],4,FALSE)</f>
        <v>No</v>
      </c>
      <c r="F2232" t="str">
        <f>VLOOKUP(Table2[[#This Row],[Customer ID]],Table2[#All],5,FALSE)</f>
        <v>yes</v>
      </c>
      <c r="G2232" t="str">
        <f>VLOOKUP(Table2[[#This Row],[Customer ID]],Table2[#All],6,FALSE)</f>
        <v>No</v>
      </c>
      <c r="H2232">
        <f>VLOOKUP(Table2[[#This Row],[Customer ID]],Table2[#All],7,FALSE)</f>
        <v>1</v>
      </c>
      <c r="I2232" t="str">
        <f>VLOOKUP(Table2[[#This Row],[Customer ID]],Table2[#All],8,FALSE)</f>
        <v>No</v>
      </c>
      <c r="J2232" t="str">
        <f>VLOOKUP(Table2[[#This Row],[Customer ID]],Table2[#All],9,FALSE)</f>
        <v>Underweight</v>
      </c>
      <c r="K2232" t="str">
        <f>VLOOKUP(Table2[[#This Row],[Customer ID]],Table2[#All],10,FALSE)</f>
        <v>Normal</v>
      </c>
    </row>
    <row r="2233" spans="1:11" ht="15.6" x14ac:dyDescent="0.3">
      <c r="A2233" s="1" t="s">
        <v>126</v>
      </c>
      <c r="B2233" t="str">
        <f>VLOOKUP('Customer Names'!A2233,'Customer Names'!$A$1:$E$2336,4,FALSE)</f>
        <v>Ms.  Hillary</v>
      </c>
      <c r="C2233">
        <f>VLOOKUP(Table2[[#This Row],[Customer ID]],Table2[#All],2,FALSE)</f>
        <v>16.670000000000002</v>
      </c>
      <c r="D2233">
        <f>VLOOKUP(Table2[[#This Row],[Customer ID]],Table2[#All],3,FALSE)</f>
        <v>4.7</v>
      </c>
      <c r="E2233" t="str">
        <f>VLOOKUP(Table2[[#This Row],[Customer ID]],Table2[#All],4,FALSE)</f>
        <v>Yes</v>
      </c>
      <c r="F2233" t="str">
        <f>VLOOKUP(Table2[[#This Row],[Customer ID]],Table2[#All],5,FALSE)</f>
        <v>No</v>
      </c>
      <c r="G2233" t="str">
        <f>VLOOKUP(Table2[[#This Row],[Customer ID]],Table2[#All],6,FALSE)</f>
        <v>Yes</v>
      </c>
      <c r="H2233">
        <f>VLOOKUP(Table2[[#This Row],[Customer ID]],Table2[#All],7,FALSE)</f>
        <v>1</v>
      </c>
      <c r="I2233" t="str">
        <f>VLOOKUP(Table2[[#This Row],[Customer ID]],Table2[#All],8,FALSE)</f>
        <v>No</v>
      </c>
      <c r="J2233" t="str">
        <f>VLOOKUP(Table2[[#This Row],[Customer ID]],Table2[#All],9,FALSE)</f>
        <v>Underweight</v>
      </c>
      <c r="K2233" t="str">
        <f>VLOOKUP(Table2[[#This Row],[Customer ID]],Table2[#All],10,FALSE)</f>
        <v>Normal</v>
      </c>
    </row>
    <row r="2234" spans="1:11" ht="15.6" x14ac:dyDescent="0.3">
      <c r="A2234" s="1" t="s">
        <v>125</v>
      </c>
      <c r="B2234" t="str">
        <f>VLOOKUP('Customer Names'!A2234,'Customer Names'!$A$1:$E$2336,4,FALSE)</f>
        <v>Ms.  Amy K.</v>
      </c>
      <c r="C2234">
        <f>VLOOKUP(Table2[[#This Row],[Customer ID]],Table2[#All],2,FALSE)</f>
        <v>20.58</v>
      </c>
      <c r="D2234">
        <f>VLOOKUP(Table2[[#This Row],[Customer ID]],Table2[#All],3,FALSE)</f>
        <v>5.64</v>
      </c>
      <c r="E2234" t="str">
        <f>VLOOKUP(Table2[[#This Row],[Customer ID]],Table2[#All],4,FALSE)</f>
        <v>Yes</v>
      </c>
      <c r="F2234" t="str">
        <f>VLOOKUP(Table2[[#This Row],[Customer ID]],Table2[#All],5,FALSE)</f>
        <v>No</v>
      </c>
      <c r="G2234" t="str">
        <f>VLOOKUP(Table2[[#This Row],[Customer ID]],Table2[#All],6,FALSE)</f>
        <v>No</v>
      </c>
      <c r="H2234">
        <f>VLOOKUP(Table2[[#This Row],[Customer ID]],Table2[#All],7,FALSE)</f>
        <v>0</v>
      </c>
      <c r="I2234" t="str">
        <f>VLOOKUP(Table2[[#This Row],[Customer ID]],Table2[#All],8,FALSE)</f>
        <v>No</v>
      </c>
      <c r="J2234" t="str">
        <f>VLOOKUP(Table2[[#This Row],[Customer ID]],Table2[#All],9,FALSE)</f>
        <v>Normalweight</v>
      </c>
      <c r="K2234" t="str">
        <f>VLOOKUP(Table2[[#This Row],[Customer ID]],Table2[#All],10,FALSE)</f>
        <v>Normal</v>
      </c>
    </row>
    <row r="2235" spans="1:11" ht="15.6" x14ac:dyDescent="0.3">
      <c r="A2235" s="1" t="s">
        <v>124</v>
      </c>
      <c r="B2235" t="str">
        <f>VLOOKUP('Customer Names'!A2235,'Customer Names'!$A$1:$E$2336,4,FALSE)</f>
        <v>Mr.  Scott</v>
      </c>
      <c r="C2235">
        <f>VLOOKUP(Table2[[#This Row],[Customer ID]],Table2[#All],2,FALSE)</f>
        <v>16.5</v>
      </c>
      <c r="D2235">
        <f>VLOOKUP(Table2[[#This Row],[Customer ID]],Table2[#All],3,FALSE)</f>
        <v>4.1100000000000003</v>
      </c>
      <c r="E2235" t="str">
        <f>VLOOKUP(Table2[[#This Row],[Customer ID]],Table2[#All],4,FALSE)</f>
        <v>Yes</v>
      </c>
      <c r="F2235" t="str">
        <f>VLOOKUP(Table2[[#This Row],[Customer ID]],Table2[#All],5,FALSE)</f>
        <v>No</v>
      </c>
      <c r="G2235" t="str">
        <f>VLOOKUP(Table2[[#This Row],[Customer ID]],Table2[#All],6,FALSE)</f>
        <v>No</v>
      </c>
      <c r="H2235">
        <f>VLOOKUP(Table2[[#This Row],[Customer ID]],Table2[#All],7,FALSE)</f>
        <v>0</v>
      </c>
      <c r="I2235" t="str">
        <f>VLOOKUP(Table2[[#This Row],[Customer ID]],Table2[#All],8,FALSE)</f>
        <v>No</v>
      </c>
      <c r="J2235" t="str">
        <f>VLOOKUP(Table2[[#This Row],[Customer ID]],Table2[#All],9,FALSE)</f>
        <v>Underweight</v>
      </c>
      <c r="K2235" t="str">
        <f>VLOOKUP(Table2[[#This Row],[Customer ID]],Table2[#All],10,FALSE)</f>
        <v>Normal</v>
      </c>
    </row>
    <row r="2236" spans="1:11" ht="15.6" x14ac:dyDescent="0.3">
      <c r="A2236" s="1" t="s">
        <v>123</v>
      </c>
      <c r="B2236" t="str">
        <f>VLOOKUP('Customer Names'!A2236,'Customer Names'!$A$1:$E$2336,4,FALSE)</f>
        <v>Mr.  John</v>
      </c>
      <c r="C2236">
        <f>VLOOKUP(Table2[[#This Row],[Customer ID]],Table2[#All],2,FALSE)</f>
        <v>15.41</v>
      </c>
      <c r="D2236">
        <f>VLOOKUP(Table2[[#This Row],[Customer ID]],Table2[#All],3,FALSE)</f>
        <v>5.43</v>
      </c>
      <c r="E2236" t="str">
        <f>VLOOKUP(Table2[[#This Row],[Customer ID]],Table2[#All],4,FALSE)</f>
        <v>Yes</v>
      </c>
      <c r="F2236" t="str">
        <f>VLOOKUP(Table2[[#This Row],[Customer ID]],Table2[#All],5,FALSE)</f>
        <v>No</v>
      </c>
      <c r="G2236" t="str">
        <f>VLOOKUP(Table2[[#This Row],[Customer ID]],Table2[#All],6,FALSE)</f>
        <v>Yes</v>
      </c>
      <c r="H2236">
        <f>VLOOKUP(Table2[[#This Row],[Customer ID]],Table2[#All],7,FALSE)</f>
        <v>1</v>
      </c>
      <c r="I2236" t="str">
        <f>VLOOKUP(Table2[[#This Row],[Customer ID]],Table2[#All],8,FALSE)</f>
        <v>No</v>
      </c>
      <c r="J2236" t="str">
        <f>VLOOKUP(Table2[[#This Row],[Customer ID]],Table2[#All],9,FALSE)</f>
        <v>Underweight</v>
      </c>
      <c r="K2236" t="str">
        <f>VLOOKUP(Table2[[#This Row],[Customer ID]],Table2[#All],10,FALSE)</f>
        <v>Normal</v>
      </c>
    </row>
    <row r="2237" spans="1:11" ht="15.6" x14ac:dyDescent="0.3">
      <c r="A2237" s="1" t="s">
        <v>122</v>
      </c>
      <c r="B2237" t="str">
        <f>VLOOKUP('Customer Names'!A2237,'Customer Names'!$A$1:$E$2336,4,FALSE)</f>
        <v>Mr.  Maaikel</v>
      </c>
      <c r="C2237">
        <f>VLOOKUP(Table2[[#This Row],[Customer ID]],Table2[#All],2,FALSE)</f>
        <v>24.59</v>
      </c>
      <c r="D2237">
        <f>VLOOKUP(Table2[[#This Row],[Customer ID]],Table2[#All],3,FALSE)</f>
        <v>4.38</v>
      </c>
      <c r="E2237" t="str">
        <f>VLOOKUP(Table2[[#This Row],[Customer ID]],Table2[#All],4,FALSE)</f>
        <v>No</v>
      </c>
      <c r="F2237" t="str">
        <f>VLOOKUP(Table2[[#This Row],[Customer ID]],Table2[#All],5,FALSE)</f>
        <v>No</v>
      </c>
      <c r="G2237" t="str">
        <f>VLOOKUP(Table2[[#This Row],[Customer ID]],Table2[#All],6,FALSE)</f>
        <v>No</v>
      </c>
      <c r="H2237">
        <f>VLOOKUP(Table2[[#This Row],[Customer ID]],Table2[#All],7,FALSE)</f>
        <v>1</v>
      </c>
      <c r="I2237" t="str">
        <f>VLOOKUP(Table2[[#This Row],[Customer ID]],Table2[#All],8,FALSE)</f>
        <v>No</v>
      </c>
      <c r="J2237" t="str">
        <f>VLOOKUP(Table2[[#This Row],[Customer ID]],Table2[#All],9,FALSE)</f>
        <v>Normalweight</v>
      </c>
      <c r="K2237" t="str">
        <f>VLOOKUP(Table2[[#This Row],[Customer ID]],Table2[#All],10,FALSE)</f>
        <v>Normal</v>
      </c>
    </row>
    <row r="2238" spans="1:11" ht="15.6" x14ac:dyDescent="0.3">
      <c r="A2238" s="1" t="s">
        <v>121</v>
      </c>
      <c r="B2238" t="str">
        <f>VLOOKUP('Customer Names'!A2238,'Customer Names'!$A$1:$E$2336,4,FALSE)</f>
        <v>Mr.  Daniel C</v>
      </c>
      <c r="C2238">
        <f>VLOOKUP(Table2[[#This Row],[Customer ID]],Table2[#All],2,FALSE)</f>
        <v>33.33</v>
      </c>
      <c r="D2238">
        <f>VLOOKUP(Table2[[#This Row],[Customer ID]],Table2[#All],3,FALSE)</f>
        <v>9.7899999999999991</v>
      </c>
      <c r="E2238" t="str">
        <f>VLOOKUP(Table2[[#This Row],[Customer ID]],Table2[#All],4,FALSE)</f>
        <v>No</v>
      </c>
      <c r="F2238" t="str">
        <f>VLOOKUP(Table2[[#This Row],[Customer ID]],Table2[#All],5,FALSE)</f>
        <v>No</v>
      </c>
      <c r="G2238" t="str">
        <f>VLOOKUP(Table2[[#This Row],[Customer ID]],Table2[#All],6,FALSE)</f>
        <v>No</v>
      </c>
      <c r="H2238">
        <f>VLOOKUP(Table2[[#This Row],[Customer ID]],Table2[#All],7,FALSE)</f>
        <v>0</v>
      </c>
      <c r="I2238" t="str">
        <f>VLOOKUP(Table2[[#This Row],[Customer ID]],Table2[#All],8,FALSE)</f>
        <v>No</v>
      </c>
      <c r="J2238" t="str">
        <f>VLOOKUP(Table2[[#This Row],[Customer ID]],Table2[#All],9,FALSE)</f>
        <v>Obesity</v>
      </c>
      <c r="K2238" t="str">
        <f>VLOOKUP(Table2[[#This Row],[Customer ID]],Table2[#All],10,FALSE)</f>
        <v>Diabetes</v>
      </c>
    </row>
    <row r="2239" spans="1:11" ht="15.6" x14ac:dyDescent="0.3">
      <c r="A2239" s="1" t="s">
        <v>120</v>
      </c>
      <c r="B2239" t="str">
        <f>VLOOKUP('Customer Names'!A2239,'Customer Names'!$A$1:$E$2336,4,FALSE)</f>
        <v>Mr.  Christopher S.</v>
      </c>
      <c r="C2239">
        <f>VLOOKUP(Table2[[#This Row],[Customer ID]],Table2[#All],2,FALSE)</f>
        <v>18.5</v>
      </c>
      <c r="D2239">
        <f>VLOOKUP(Table2[[#This Row],[Customer ID]],Table2[#All],3,FALSE)</f>
        <v>11.84</v>
      </c>
      <c r="E2239" t="str">
        <f>VLOOKUP(Table2[[#This Row],[Customer ID]],Table2[#All],4,FALSE)</f>
        <v>No</v>
      </c>
      <c r="F2239" t="str">
        <f>VLOOKUP(Table2[[#This Row],[Customer ID]],Table2[#All],5,FALSE)</f>
        <v>No</v>
      </c>
      <c r="G2239" t="str">
        <f>VLOOKUP(Table2[[#This Row],[Customer ID]],Table2[#All],6,FALSE)</f>
        <v>No</v>
      </c>
      <c r="H2239">
        <f>VLOOKUP(Table2[[#This Row],[Customer ID]],Table2[#All],7,FALSE)</f>
        <v>0</v>
      </c>
      <c r="I2239" t="str">
        <f>VLOOKUP(Table2[[#This Row],[Customer ID]],Table2[#All],8,FALSE)</f>
        <v>No</v>
      </c>
      <c r="J2239" t="str">
        <f>VLOOKUP(Table2[[#This Row],[Customer ID]],Table2[#All],9,FALSE)</f>
        <v>Normalweight</v>
      </c>
      <c r="K2239" t="str">
        <f>VLOOKUP(Table2[[#This Row],[Customer ID]],Table2[#All],10,FALSE)</f>
        <v>Diabetes</v>
      </c>
    </row>
    <row r="2240" spans="1:11" ht="15.6" x14ac:dyDescent="0.3">
      <c r="A2240" s="1" t="s">
        <v>119</v>
      </c>
      <c r="B2240" t="str">
        <f>VLOOKUP('Customer Names'!A2240,'Customer Names'!$A$1:$E$2336,4,FALSE)</f>
        <v>Mr.  William R</v>
      </c>
      <c r="C2240">
        <f>VLOOKUP(Table2[[#This Row],[Customer ID]],Table2[#All],2,FALSE)</f>
        <v>18.579999999999998</v>
      </c>
      <c r="D2240">
        <f>VLOOKUP(Table2[[#This Row],[Customer ID]],Table2[#All],3,FALSE)</f>
        <v>6.22</v>
      </c>
      <c r="E2240" t="str">
        <f>VLOOKUP(Table2[[#This Row],[Customer ID]],Table2[#All],4,FALSE)</f>
        <v>No</v>
      </c>
      <c r="F2240" t="str">
        <f>VLOOKUP(Table2[[#This Row],[Customer ID]],Table2[#All],5,FALSE)</f>
        <v>No</v>
      </c>
      <c r="G2240" t="str">
        <f>VLOOKUP(Table2[[#This Row],[Customer ID]],Table2[#All],6,FALSE)</f>
        <v>No</v>
      </c>
      <c r="H2240">
        <f>VLOOKUP(Table2[[#This Row],[Customer ID]],Table2[#All],7,FALSE)</f>
        <v>0</v>
      </c>
      <c r="I2240" t="str">
        <f>VLOOKUP(Table2[[#This Row],[Customer ID]],Table2[#All],8,FALSE)</f>
        <v>No</v>
      </c>
      <c r="J2240" t="str">
        <f>VLOOKUP(Table2[[#This Row],[Customer ID]],Table2[#All],9,FALSE)</f>
        <v>Normalweight</v>
      </c>
      <c r="K2240" t="str">
        <f>VLOOKUP(Table2[[#This Row],[Customer ID]],Table2[#All],10,FALSE)</f>
        <v>Prediabetes</v>
      </c>
    </row>
    <row r="2241" spans="1:11" ht="15.6" x14ac:dyDescent="0.3">
      <c r="A2241" s="1" t="s">
        <v>118</v>
      </c>
      <c r="B2241" t="str">
        <f>VLOOKUP('Customer Names'!A2241,'Customer Names'!$A$1:$E$2336,4,FALSE)</f>
        <v>Ms.  Lyndsy</v>
      </c>
      <c r="C2241">
        <f>VLOOKUP(Table2[[#This Row],[Customer ID]],Table2[#All],2,FALSE)</f>
        <v>16.64</v>
      </c>
      <c r="D2241">
        <f>VLOOKUP(Table2[[#This Row],[Customer ID]],Table2[#All],3,FALSE)</f>
        <v>10.01</v>
      </c>
      <c r="E2241" t="str">
        <f>VLOOKUP(Table2[[#This Row],[Customer ID]],Table2[#All],4,FALSE)</f>
        <v>No</v>
      </c>
      <c r="F2241" t="str">
        <f>VLOOKUP(Table2[[#This Row],[Customer ID]],Table2[#All],5,FALSE)</f>
        <v>No</v>
      </c>
      <c r="G2241" t="str">
        <f>VLOOKUP(Table2[[#This Row],[Customer ID]],Table2[#All],6,FALSE)</f>
        <v>No</v>
      </c>
      <c r="H2241">
        <f>VLOOKUP(Table2[[#This Row],[Customer ID]],Table2[#All],7,FALSE)</f>
        <v>0</v>
      </c>
      <c r="I2241" t="str">
        <f>VLOOKUP(Table2[[#This Row],[Customer ID]],Table2[#All],8,FALSE)</f>
        <v>No</v>
      </c>
      <c r="J2241" t="str">
        <f>VLOOKUP(Table2[[#This Row],[Customer ID]],Table2[#All],9,FALSE)</f>
        <v>Underweight</v>
      </c>
      <c r="K2241" t="str">
        <f>VLOOKUP(Table2[[#This Row],[Customer ID]],Table2[#All],10,FALSE)</f>
        <v>Diabetes</v>
      </c>
    </row>
    <row r="2242" spans="1:11" ht="15.6" x14ac:dyDescent="0.3">
      <c r="A2242" s="1" t="s">
        <v>117</v>
      </c>
      <c r="B2242" t="str">
        <f>VLOOKUP('Customer Names'!A2242,'Customer Names'!$A$1:$E$2336,4,FALSE)</f>
        <v>Ms.  Jessica</v>
      </c>
      <c r="C2242">
        <f>VLOOKUP(Table2[[#This Row],[Customer ID]],Table2[#All],2,FALSE)</f>
        <v>19.329999999999998</v>
      </c>
      <c r="D2242">
        <f>VLOOKUP(Table2[[#This Row],[Customer ID]],Table2[#All],3,FALSE)</f>
        <v>4.32</v>
      </c>
      <c r="E2242" t="str">
        <f>VLOOKUP(Table2[[#This Row],[Customer ID]],Table2[#All],4,FALSE)</f>
        <v>No</v>
      </c>
      <c r="F2242" t="str">
        <f>VLOOKUP(Table2[[#This Row],[Customer ID]],Table2[#All],5,FALSE)</f>
        <v>No</v>
      </c>
      <c r="G2242" t="str">
        <f>VLOOKUP(Table2[[#This Row],[Customer ID]],Table2[#All],6,FALSE)</f>
        <v>No</v>
      </c>
      <c r="H2242">
        <f>VLOOKUP(Table2[[#This Row],[Customer ID]],Table2[#All],7,FALSE)</f>
        <v>1</v>
      </c>
      <c r="I2242" t="str">
        <f>VLOOKUP(Table2[[#This Row],[Customer ID]],Table2[#All],8,FALSE)</f>
        <v>No</v>
      </c>
      <c r="J2242" t="str">
        <f>VLOOKUP(Table2[[#This Row],[Customer ID]],Table2[#All],9,FALSE)</f>
        <v>Normalweight</v>
      </c>
      <c r="K2242" t="str">
        <f>VLOOKUP(Table2[[#This Row],[Customer ID]],Table2[#All],10,FALSE)</f>
        <v>Normal</v>
      </c>
    </row>
    <row r="2243" spans="1:11" ht="15.6" x14ac:dyDescent="0.3">
      <c r="A2243" s="1" t="s">
        <v>116</v>
      </c>
      <c r="B2243" t="str">
        <f>VLOOKUP('Customer Names'!A2243,'Customer Names'!$A$1:$E$2336,4,FALSE)</f>
        <v>Ms.  Anna</v>
      </c>
      <c r="C2243">
        <f>VLOOKUP(Table2[[#This Row],[Customer ID]],Table2[#All],2,FALSE)</f>
        <v>21.26</v>
      </c>
      <c r="D2243">
        <f>VLOOKUP(Table2[[#This Row],[Customer ID]],Table2[#All],3,FALSE)</f>
        <v>5.65</v>
      </c>
      <c r="E2243" t="str">
        <f>VLOOKUP(Table2[[#This Row],[Customer ID]],Table2[#All],4,FALSE)</f>
        <v>Yes</v>
      </c>
      <c r="F2243" t="str">
        <f>VLOOKUP(Table2[[#This Row],[Customer ID]],Table2[#All],5,FALSE)</f>
        <v>No</v>
      </c>
      <c r="G2243" t="str">
        <f>VLOOKUP(Table2[[#This Row],[Customer ID]],Table2[#All],6,FALSE)</f>
        <v>Yes</v>
      </c>
      <c r="H2243">
        <f>VLOOKUP(Table2[[#This Row],[Customer ID]],Table2[#All],7,FALSE)</f>
        <v>1</v>
      </c>
      <c r="I2243" t="str">
        <f>VLOOKUP(Table2[[#This Row],[Customer ID]],Table2[#All],8,FALSE)</f>
        <v>No</v>
      </c>
      <c r="J2243" t="str">
        <f>VLOOKUP(Table2[[#This Row],[Customer ID]],Table2[#All],9,FALSE)</f>
        <v>Normalweight</v>
      </c>
      <c r="K2243" t="str">
        <f>VLOOKUP(Table2[[#This Row],[Customer ID]],Table2[#All],10,FALSE)</f>
        <v>Normal</v>
      </c>
    </row>
    <row r="2244" spans="1:11" ht="15.6" x14ac:dyDescent="0.3">
      <c r="A2244" s="1" t="s">
        <v>115</v>
      </c>
      <c r="B2244" t="str">
        <f>VLOOKUP('Customer Names'!A2244,'Customer Names'!$A$1:$E$2336,4,FALSE)</f>
        <v>Mr.  Jordan</v>
      </c>
      <c r="C2244">
        <f>VLOOKUP(Table2[[#This Row],[Customer ID]],Table2[#All],2,FALSE)</f>
        <v>15.6</v>
      </c>
      <c r="D2244">
        <f>VLOOKUP(Table2[[#This Row],[Customer ID]],Table2[#All],3,FALSE)</f>
        <v>4.12</v>
      </c>
      <c r="E2244" t="str">
        <f>VLOOKUP(Table2[[#This Row],[Customer ID]],Table2[#All],4,FALSE)</f>
        <v>Yes</v>
      </c>
      <c r="F2244" t="str">
        <f>VLOOKUP(Table2[[#This Row],[Customer ID]],Table2[#All],5,FALSE)</f>
        <v>No</v>
      </c>
      <c r="G2244" t="str">
        <f>VLOOKUP(Table2[[#This Row],[Customer ID]],Table2[#All],6,FALSE)</f>
        <v>No</v>
      </c>
      <c r="H2244">
        <f>VLOOKUP(Table2[[#This Row],[Customer ID]],Table2[#All],7,FALSE)</f>
        <v>1</v>
      </c>
      <c r="I2244" t="str">
        <f>VLOOKUP(Table2[[#This Row],[Customer ID]],Table2[#All],8,FALSE)</f>
        <v>No</v>
      </c>
      <c r="J2244" t="str">
        <f>VLOOKUP(Table2[[#This Row],[Customer ID]],Table2[#All],9,FALSE)</f>
        <v>Underweight</v>
      </c>
      <c r="K2244" t="str">
        <f>VLOOKUP(Table2[[#This Row],[Customer ID]],Table2[#All],10,FALSE)</f>
        <v>Normal</v>
      </c>
    </row>
    <row r="2245" spans="1:11" ht="15.6" x14ac:dyDescent="0.3">
      <c r="A2245" s="1" t="s">
        <v>114</v>
      </c>
      <c r="B2245" t="str">
        <f>VLOOKUP('Customer Names'!A2245,'Customer Names'!$A$1:$E$2336,4,FALSE)</f>
        <v>Mr.  Brian</v>
      </c>
      <c r="C2245">
        <f>VLOOKUP(Table2[[#This Row],[Customer ID]],Table2[#All],2,FALSE)</f>
        <v>24.39</v>
      </c>
      <c r="D2245">
        <f>VLOOKUP(Table2[[#This Row],[Customer ID]],Table2[#All],3,FALSE)</f>
        <v>6.24</v>
      </c>
      <c r="E2245" t="str">
        <f>VLOOKUP(Table2[[#This Row],[Customer ID]],Table2[#All],4,FALSE)</f>
        <v>No</v>
      </c>
      <c r="F2245" t="str">
        <f>VLOOKUP(Table2[[#This Row],[Customer ID]],Table2[#All],5,FALSE)</f>
        <v>No</v>
      </c>
      <c r="G2245" t="str">
        <f>VLOOKUP(Table2[[#This Row],[Customer ID]],Table2[#All],6,FALSE)</f>
        <v>No</v>
      </c>
      <c r="H2245">
        <f>VLOOKUP(Table2[[#This Row],[Customer ID]],Table2[#All],7,FALSE)</f>
        <v>1</v>
      </c>
      <c r="I2245" t="str">
        <f>VLOOKUP(Table2[[#This Row],[Customer ID]],Table2[#All],8,FALSE)</f>
        <v>No</v>
      </c>
      <c r="J2245" t="str">
        <f>VLOOKUP(Table2[[#This Row],[Customer ID]],Table2[#All],9,FALSE)</f>
        <v>Normalweight</v>
      </c>
      <c r="K2245" t="str">
        <f>VLOOKUP(Table2[[#This Row],[Customer ID]],Table2[#All],10,FALSE)</f>
        <v>Prediabetes</v>
      </c>
    </row>
    <row r="2246" spans="1:11" ht="15.6" x14ac:dyDescent="0.3">
      <c r="A2246" s="1" t="s">
        <v>113</v>
      </c>
      <c r="B2246" t="str">
        <f>VLOOKUP('Customer Names'!A2246,'Customer Names'!$A$1:$E$2336,4,FALSE)</f>
        <v>Ms.  Katherine A</v>
      </c>
      <c r="C2246">
        <f>VLOOKUP(Table2[[#This Row],[Customer ID]],Table2[#All],2,FALSE)</f>
        <v>24.75</v>
      </c>
      <c r="D2246">
        <f>VLOOKUP(Table2[[#This Row],[Customer ID]],Table2[#All],3,FALSE)</f>
        <v>4.83</v>
      </c>
      <c r="E2246" t="str">
        <f>VLOOKUP(Table2[[#This Row],[Customer ID]],Table2[#All],4,FALSE)</f>
        <v>No</v>
      </c>
      <c r="F2246" t="str">
        <f>VLOOKUP(Table2[[#This Row],[Customer ID]],Table2[#All],5,FALSE)</f>
        <v>No</v>
      </c>
      <c r="G2246" t="str">
        <f>VLOOKUP(Table2[[#This Row],[Customer ID]],Table2[#All],6,FALSE)</f>
        <v>No</v>
      </c>
      <c r="H2246">
        <f>VLOOKUP(Table2[[#This Row],[Customer ID]],Table2[#All],7,FALSE)</f>
        <v>0</v>
      </c>
      <c r="I2246" t="str">
        <f>VLOOKUP(Table2[[#This Row],[Customer ID]],Table2[#All],8,FALSE)</f>
        <v>No</v>
      </c>
      <c r="J2246" t="str">
        <f>VLOOKUP(Table2[[#This Row],[Customer ID]],Table2[#All],9,FALSE)</f>
        <v>Normalweight</v>
      </c>
      <c r="K2246" t="str">
        <f>VLOOKUP(Table2[[#This Row],[Customer ID]],Table2[#All],10,FALSE)</f>
        <v>Normal</v>
      </c>
    </row>
    <row r="2247" spans="1:11" ht="15.6" x14ac:dyDescent="0.3">
      <c r="A2247" s="1" t="s">
        <v>112</v>
      </c>
      <c r="B2247" t="str">
        <f>VLOOKUP('Customer Names'!A2247,'Customer Names'!$A$1:$E$2336,4,FALSE)</f>
        <v>Ms.  Melanie</v>
      </c>
      <c r="C2247">
        <f>VLOOKUP(Table2[[#This Row],[Customer ID]],Table2[#All],2,FALSE)</f>
        <v>20.88</v>
      </c>
      <c r="D2247">
        <f>VLOOKUP(Table2[[#This Row],[Customer ID]],Table2[#All],3,FALSE)</f>
        <v>7.4</v>
      </c>
      <c r="E2247" t="str">
        <f>VLOOKUP(Table2[[#This Row],[Customer ID]],Table2[#All],4,FALSE)</f>
        <v>No</v>
      </c>
      <c r="F2247" t="str">
        <f>VLOOKUP(Table2[[#This Row],[Customer ID]],Table2[#All],5,FALSE)</f>
        <v>No</v>
      </c>
      <c r="G2247" t="str">
        <f>VLOOKUP(Table2[[#This Row],[Customer ID]],Table2[#All],6,FALSE)</f>
        <v>No</v>
      </c>
      <c r="H2247">
        <f>VLOOKUP(Table2[[#This Row],[Customer ID]],Table2[#All],7,FALSE)</f>
        <v>0</v>
      </c>
      <c r="I2247" t="str">
        <f>VLOOKUP(Table2[[#This Row],[Customer ID]],Table2[#All],8,FALSE)</f>
        <v>No</v>
      </c>
      <c r="J2247" t="str">
        <f>VLOOKUP(Table2[[#This Row],[Customer ID]],Table2[#All],9,FALSE)</f>
        <v>Normalweight</v>
      </c>
      <c r="K2247" t="str">
        <f>VLOOKUP(Table2[[#This Row],[Customer ID]],Table2[#All],10,FALSE)</f>
        <v>Diabetes</v>
      </c>
    </row>
    <row r="2248" spans="1:11" ht="15.6" x14ac:dyDescent="0.3">
      <c r="A2248" s="1" t="s">
        <v>111</v>
      </c>
      <c r="B2248" t="str">
        <f>VLOOKUP('Customer Names'!A2248,'Customer Names'!$A$1:$E$2336,4,FALSE)</f>
        <v>Ms.  Jessica</v>
      </c>
      <c r="C2248">
        <f>VLOOKUP(Table2[[#This Row],[Customer ID]],Table2[#All],2,FALSE)</f>
        <v>20.43</v>
      </c>
      <c r="D2248">
        <f>VLOOKUP(Table2[[#This Row],[Customer ID]],Table2[#All],3,FALSE)</f>
        <v>4.54</v>
      </c>
      <c r="E2248" t="str">
        <f>VLOOKUP(Table2[[#This Row],[Customer ID]],Table2[#All],4,FALSE)</f>
        <v>No</v>
      </c>
      <c r="F2248" t="str">
        <f>VLOOKUP(Table2[[#This Row],[Customer ID]],Table2[#All],5,FALSE)</f>
        <v>No</v>
      </c>
      <c r="G2248" t="str">
        <f>VLOOKUP(Table2[[#This Row],[Customer ID]],Table2[#All],6,FALSE)</f>
        <v>No</v>
      </c>
      <c r="H2248">
        <f>VLOOKUP(Table2[[#This Row],[Customer ID]],Table2[#All],7,FALSE)</f>
        <v>0</v>
      </c>
      <c r="I2248" t="str">
        <f>VLOOKUP(Table2[[#This Row],[Customer ID]],Table2[#All],8,FALSE)</f>
        <v>No</v>
      </c>
      <c r="J2248" t="str">
        <f>VLOOKUP(Table2[[#This Row],[Customer ID]],Table2[#All],9,FALSE)</f>
        <v>Normalweight</v>
      </c>
      <c r="K2248" t="str">
        <f>VLOOKUP(Table2[[#This Row],[Customer ID]],Table2[#All],10,FALSE)</f>
        <v>Normal</v>
      </c>
    </row>
    <row r="2249" spans="1:11" ht="15.6" x14ac:dyDescent="0.3">
      <c r="A2249" s="1" t="s">
        <v>110</v>
      </c>
      <c r="B2249" t="str">
        <f>VLOOKUP('Customer Names'!A2249,'Customer Names'!$A$1:$E$2336,4,FALSE)</f>
        <v>Mr.  Eric S</v>
      </c>
      <c r="C2249">
        <f>VLOOKUP(Table2[[#This Row],[Customer ID]],Table2[#All],2,FALSE)</f>
        <v>15.18</v>
      </c>
      <c r="D2249">
        <f>VLOOKUP(Table2[[#This Row],[Customer ID]],Table2[#All],3,FALSE)</f>
        <v>11.11</v>
      </c>
      <c r="E2249" t="str">
        <f>VLOOKUP(Table2[[#This Row],[Customer ID]],Table2[#All],4,FALSE)</f>
        <v>No</v>
      </c>
      <c r="F2249" t="str">
        <f>VLOOKUP(Table2[[#This Row],[Customer ID]],Table2[#All],5,FALSE)</f>
        <v>No</v>
      </c>
      <c r="G2249" t="str">
        <f>VLOOKUP(Table2[[#This Row],[Customer ID]],Table2[#All],6,FALSE)</f>
        <v>No</v>
      </c>
      <c r="H2249">
        <f>VLOOKUP(Table2[[#This Row],[Customer ID]],Table2[#All],7,FALSE)</f>
        <v>0</v>
      </c>
      <c r="I2249" t="str">
        <f>VLOOKUP(Table2[[#This Row],[Customer ID]],Table2[#All],8,FALSE)</f>
        <v>No</v>
      </c>
      <c r="J2249" t="str">
        <f>VLOOKUP(Table2[[#This Row],[Customer ID]],Table2[#All],9,FALSE)</f>
        <v>Underweight</v>
      </c>
      <c r="K2249" t="str">
        <f>VLOOKUP(Table2[[#This Row],[Customer ID]],Table2[#All],10,FALSE)</f>
        <v>Diabetes</v>
      </c>
    </row>
    <row r="2250" spans="1:11" ht="15.6" x14ac:dyDescent="0.3">
      <c r="A2250" s="1" t="s">
        <v>109</v>
      </c>
      <c r="B2250" t="str">
        <f>VLOOKUP('Customer Names'!A2250,'Customer Names'!$A$1:$E$2336,4,FALSE)</f>
        <v>Mr.  Joseph</v>
      </c>
      <c r="C2250">
        <f>VLOOKUP(Table2[[#This Row],[Customer ID]],Table2[#All],2,FALSE)</f>
        <v>15.12</v>
      </c>
      <c r="D2250">
        <f>VLOOKUP(Table2[[#This Row],[Customer ID]],Table2[#All],3,FALSE)</f>
        <v>4.03</v>
      </c>
      <c r="E2250" t="str">
        <f>VLOOKUP(Table2[[#This Row],[Customer ID]],Table2[#All],4,FALSE)</f>
        <v>Yes</v>
      </c>
      <c r="F2250" t="str">
        <f>VLOOKUP(Table2[[#This Row],[Customer ID]],Table2[#All],5,FALSE)</f>
        <v>No</v>
      </c>
      <c r="G2250" t="str">
        <f>VLOOKUP(Table2[[#This Row],[Customer ID]],Table2[#All],6,FALSE)</f>
        <v>No</v>
      </c>
      <c r="H2250">
        <f>VLOOKUP(Table2[[#This Row],[Customer ID]],Table2[#All],7,FALSE)</f>
        <v>0</v>
      </c>
      <c r="I2250" t="str">
        <f>VLOOKUP(Table2[[#This Row],[Customer ID]],Table2[#All],8,FALSE)</f>
        <v>No</v>
      </c>
      <c r="J2250" t="str">
        <f>VLOOKUP(Table2[[#This Row],[Customer ID]],Table2[#All],9,FALSE)</f>
        <v>Underweight</v>
      </c>
      <c r="K2250" t="str">
        <f>VLOOKUP(Table2[[#This Row],[Customer ID]],Table2[#All],10,FALSE)</f>
        <v>Normal</v>
      </c>
    </row>
    <row r="2251" spans="1:11" ht="15.6" x14ac:dyDescent="0.3">
      <c r="A2251" s="1" t="s">
        <v>108</v>
      </c>
      <c r="B2251" t="str">
        <f>VLOOKUP('Customer Names'!A2251,'Customer Names'!$A$1:$E$2336,4,FALSE)</f>
        <v>Ms.  Mary</v>
      </c>
      <c r="C2251">
        <f>VLOOKUP(Table2[[#This Row],[Customer ID]],Table2[#All],2,FALSE)</f>
        <v>23.88</v>
      </c>
      <c r="D2251">
        <f>VLOOKUP(Table2[[#This Row],[Customer ID]],Table2[#All],3,FALSE)</f>
        <v>4.51</v>
      </c>
      <c r="E2251" t="str">
        <f>VLOOKUP(Table2[[#This Row],[Customer ID]],Table2[#All],4,FALSE)</f>
        <v>No</v>
      </c>
      <c r="F2251" t="str">
        <f>VLOOKUP(Table2[[#This Row],[Customer ID]],Table2[#All],5,FALSE)</f>
        <v>No</v>
      </c>
      <c r="G2251" t="str">
        <f>VLOOKUP(Table2[[#This Row],[Customer ID]],Table2[#All],6,FALSE)</f>
        <v>No</v>
      </c>
      <c r="H2251">
        <f>VLOOKUP(Table2[[#This Row],[Customer ID]],Table2[#All],7,FALSE)</f>
        <v>1</v>
      </c>
      <c r="I2251" t="str">
        <f>VLOOKUP(Table2[[#This Row],[Customer ID]],Table2[#All],8,FALSE)</f>
        <v>No</v>
      </c>
      <c r="J2251" t="str">
        <f>VLOOKUP(Table2[[#This Row],[Customer ID]],Table2[#All],9,FALSE)</f>
        <v>Normalweight</v>
      </c>
      <c r="K2251" t="str">
        <f>VLOOKUP(Table2[[#This Row],[Customer ID]],Table2[#All],10,FALSE)</f>
        <v>Normal</v>
      </c>
    </row>
    <row r="2252" spans="1:11" ht="15.6" x14ac:dyDescent="0.3">
      <c r="A2252" s="1" t="s">
        <v>107</v>
      </c>
      <c r="B2252" t="str">
        <f>VLOOKUP('Customer Names'!A2252,'Customer Names'!$A$1:$E$2336,4,FALSE)</f>
        <v>Ms.  Natalie</v>
      </c>
      <c r="C2252">
        <f>VLOOKUP(Table2[[#This Row],[Customer ID]],Table2[#All],2,FALSE)</f>
        <v>16.13</v>
      </c>
      <c r="D2252">
        <f>VLOOKUP(Table2[[#This Row],[Customer ID]],Table2[#All],3,FALSE)</f>
        <v>5.56</v>
      </c>
      <c r="E2252" t="str">
        <f>VLOOKUP(Table2[[#This Row],[Customer ID]],Table2[#All],4,FALSE)</f>
        <v>No</v>
      </c>
      <c r="F2252" t="str">
        <f>VLOOKUP(Table2[[#This Row],[Customer ID]],Table2[#All],5,FALSE)</f>
        <v>yes</v>
      </c>
      <c r="G2252" t="str">
        <f>VLOOKUP(Table2[[#This Row],[Customer ID]],Table2[#All],6,FALSE)</f>
        <v>No</v>
      </c>
      <c r="H2252">
        <f>VLOOKUP(Table2[[#This Row],[Customer ID]],Table2[#All],7,FALSE)</f>
        <v>1</v>
      </c>
      <c r="I2252" t="str">
        <f>VLOOKUP(Table2[[#This Row],[Customer ID]],Table2[#All],8,FALSE)</f>
        <v>No</v>
      </c>
      <c r="J2252" t="str">
        <f>VLOOKUP(Table2[[#This Row],[Customer ID]],Table2[#All],9,FALSE)</f>
        <v>Underweight</v>
      </c>
      <c r="K2252" t="str">
        <f>VLOOKUP(Table2[[#This Row],[Customer ID]],Table2[#All],10,FALSE)</f>
        <v>Normal</v>
      </c>
    </row>
    <row r="2253" spans="1:11" ht="15.6" x14ac:dyDescent="0.3">
      <c r="A2253" s="1" t="s">
        <v>106</v>
      </c>
      <c r="B2253" t="str">
        <f>VLOOKUP('Customer Names'!A2253,'Customer Names'!$A$1:$E$2336,4,FALSE)</f>
        <v>Mr.  Christopher</v>
      </c>
      <c r="C2253">
        <f>VLOOKUP(Table2[[#This Row],[Customer ID]],Table2[#All],2,FALSE)</f>
        <v>24.09</v>
      </c>
      <c r="D2253">
        <f>VLOOKUP(Table2[[#This Row],[Customer ID]],Table2[#All],3,FALSE)</f>
        <v>4.0999999999999996</v>
      </c>
      <c r="E2253" t="str">
        <f>VLOOKUP(Table2[[#This Row],[Customer ID]],Table2[#All],4,FALSE)</f>
        <v>No</v>
      </c>
      <c r="F2253" t="str">
        <f>VLOOKUP(Table2[[#This Row],[Customer ID]],Table2[#All],5,FALSE)</f>
        <v>yes</v>
      </c>
      <c r="G2253" t="str">
        <f>VLOOKUP(Table2[[#This Row],[Customer ID]],Table2[#All],6,FALSE)</f>
        <v>No</v>
      </c>
      <c r="H2253">
        <f>VLOOKUP(Table2[[#This Row],[Customer ID]],Table2[#All],7,FALSE)</f>
        <v>1</v>
      </c>
      <c r="I2253" t="str">
        <f>VLOOKUP(Table2[[#This Row],[Customer ID]],Table2[#All],8,FALSE)</f>
        <v>No</v>
      </c>
      <c r="J2253" t="str">
        <f>VLOOKUP(Table2[[#This Row],[Customer ID]],Table2[#All],9,FALSE)</f>
        <v>Normalweight</v>
      </c>
      <c r="K2253" t="str">
        <f>VLOOKUP(Table2[[#This Row],[Customer ID]],Table2[#All],10,FALSE)</f>
        <v>Normal</v>
      </c>
    </row>
    <row r="2254" spans="1:11" ht="15.6" x14ac:dyDescent="0.3">
      <c r="A2254" s="1" t="s">
        <v>105</v>
      </c>
      <c r="B2254" t="str">
        <f>VLOOKUP('Customer Names'!A2254,'Customer Names'!$A$1:$E$2336,4,FALSE)</f>
        <v>Ms.  Sonja</v>
      </c>
      <c r="C2254">
        <f>VLOOKUP(Table2[[#This Row],[Customer ID]],Table2[#All],2,FALSE)</f>
        <v>19.43</v>
      </c>
      <c r="D2254">
        <f>VLOOKUP(Table2[[#This Row],[Customer ID]],Table2[#All],3,FALSE)</f>
        <v>5.85</v>
      </c>
      <c r="E2254" t="str">
        <f>VLOOKUP(Table2[[#This Row],[Customer ID]],Table2[#All],4,FALSE)</f>
        <v>No</v>
      </c>
      <c r="F2254" t="str">
        <f>VLOOKUP(Table2[[#This Row],[Customer ID]],Table2[#All],5,FALSE)</f>
        <v>yes</v>
      </c>
      <c r="G2254" t="str">
        <f>VLOOKUP(Table2[[#This Row],[Customer ID]],Table2[#All],6,FALSE)</f>
        <v>No</v>
      </c>
      <c r="H2254">
        <f>VLOOKUP(Table2[[#This Row],[Customer ID]],Table2[#All],7,FALSE)</f>
        <v>1</v>
      </c>
      <c r="I2254" t="str">
        <f>VLOOKUP(Table2[[#This Row],[Customer ID]],Table2[#All],8,FALSE)</f>
        <v>No</v>
      </c>
      <c r="J2254" t="str">
        <f>VLOOKUP(Table2[[#This Row],[Customer ID]],Table2[#All],9,FALSE)</f>
        <v>Normalweight</v>
      </c>
      <c r="K2254" t="str">
        <f>VLOOKUP(Table2[[#This Row],[Customer ID]],Table2[#All],10,FALSE)</f>
        <v>Prediabetes</v>
      </c>
    </row>
    <row r="2255" spans="1:11" ht="15.6" x14ac:dyDescent="0.3">
      <c r="A2255" s="1" t="s">
        <v>104</v>
      </c>
      <c r="B2255" t="str">
        <f>VLOOKUP('Customer Names'!A2255,'Customer Names'!$A$1:$E$2336,4,FALSE)</f>
        <v>Ms.  Alexandra</v>
      </c>
      <c r="C2255">
        <f>VLOOKUP(Table2[[#This Row],[Customer ID]],Table2[#All],2,FALSE)</f>
        <v>15.22</v>
      </c>
      <c r="D2255">
        <f>VLOOKUP(Table2[[#This Row],[Customer ID]],Table2[#All],3,FALSE)</f>
        <v>4.92</v>
      </c>
      <c r="E2255" t="str">
        <f>VLOOKUP(Table2[[#This Row],[Customer ID]],Table2[#All],4,FALSE)</f>
        <v>Yes</v>
      </c>
      <c r="F2255" t="str">
        <f>VLOOKUP(Table2[[#This Row],[Customer ID]],Table2[#All],5,FALSE)</f>
        <v>No</v>
      </c>
      <c r="G2255" t="str">
        <f>VLOOKUP(Table2[[#This Row],[Customer ID]],Table2[#All],6,FALSE)</f>
        <v>Yes</v>
      </c>
      <c r="H2255">
        <f>VLOOKUP(Table2[[#This Row],[Customer ID]],Table2[#All],7,FALSE)</f>
        <v>1</v>
      </c>
      <c r="I2255" t="str">
        <f>VLOOKUP(Table2[[#This Row],[Customer ID]],Table2[#All],8,FALSE)</f>
        <v>No</v>
      </c>
      <c r="J2255" t="str">
        <f>VLOOKUP(Table2[[#This Row],[Customer ID]],Table2[#All],9,FALSE)</f>
        <v>Underweight</v>
      </c>
      <c r="K2255" t="str">
        <f>VLOOKUP(Table2[[#This Row],[Customer ID]],Table2[#All],10,FALSE)</f>
        <v>Normal</v>
      </c>
    </row>
    <row r="2256" spans="1:11" ht="15.6" x14ac:dyDescent="0.3">
      <c r="A2256" s="1" t="s">
        <v>103</v>
      </c>
      <c r="B2256" t="str">
        <f>VLOOKUP('Customer Names'!A2256,'Customer Names'!$A$1:$E$2336,4,FALSE)</f>
        <v>Ms.  Martha L.</v>
      </c>
      <c r="C2256">
        <f>VLOOKUP(Table2[[#This Row],[Customer ID]],Table2[#All],2,FALSE)</f>
        <v>20.72</v>
      </c>
      <c r="D2256">
        <f>VLOOKUP(Table2[[#This Row],[Customer ID]],Table2[#All],3,FALSE)</f>
        <v>9.4600000000000009</v>
      </c>
      <c r="E2256" t="str">
        <f>VLOOKUP(Table2[[#This Row],[Customer ID]],Table2[#All],4,FALSE)</f>
        <v>No</v>
      </c>
      <c r="F2256" t="str">
        <f>VLOOKUP(Table2[[#This Row],[Customer ID]],Table2[#All],5,FALSE)</f>
        <v>No</v>
      </c>
      <c r="G2256" t="str">
        <f>VLOOKUP(Table2[[#This Row],[Customer ID]],Table2[#All],6,FALSE)</f>
        <v>No</v>
      </c>
      <c r="H2256">
        <f>VLOOKUP(Table2[[#This Row],[Customer ID]],Table2[#All],7,FALSE)</f>
        <v>0</v>
      </c>
      <c r="I2256" t="str">
        <f>VLOOKUP(Table2[[#This Row],[Customer ID]],Table2[#All],8,FALSE)</f>
        <v>No</v>
      </c>
      <c r="J2256" t="str">
        <f>VLOOKUP(Table2[[#This Row],[Customer ID]],Table2[#All],9,FALSE)</f>
        <v>Normalweight</v>
      </c>
      <c r="K2256" t="str">
        <f>VLOOKUP(Table2[[#This Row],[Customer ID]],Table2[#All],10,FALSE)</f>
        <v>Diabetes</v>
      </c>
    </row>
    <row r="2257" spans="1:11" ht="15.6" x14ac:dyDescent="0.3">
      <c r="A2257" s="1" t="s">
        <v>102</v>
      </c>
      <c r="B2257" t="str">
        <f>VLOOKUP('Customer Names'!A2257,'Customer Names'!$A$1:$E$2336,4,FALSE)</f>
        <v>Mr.  Ryan C.</v>
      </c>
      <c r="C2257">
        <f>VLOOKUP(Table2[[#This Row],[Customer ID]],Table2[#All],2,FALSE)</f>
        <v>35.4</v>
      </c>
      <c r="D2257">
        <f>VLOOKUP(Table2[[#This Row],[Customer ID]],Table2[#All],3,FALSE)</f>
        <v>5.94</v>
      </c>
      <c r="E2257" t="str">
        <f>VLOOKUP(Table2[[#This Row],[Customer ID]],Table2[#All],4,FALSE)</f>
        <v>No</v>
      </c>
      <c r="F2257" t="str">
        <f>VLOOKUP(Table2[[#This Row],[Customer ID]],Table2[#All],5,FALSE)</f>
        <v>No</v>
      </c>
      <c r="G2257" t="str">
        <f>VLOOKUP(Table2[[#This Row],[Customer ID]],Table2[#All],6,FALSE)</f>
        <v>Yes</v>
      </c>
      <c r="H2257">
        <f>VLOOKUP(Table2[[#This Row],[Customer ID]],Table2[#All],7,FALSE)</f>
        <v>1</v>
      </c>
      <c r="I2257" t="str">
        <f>VLOOKUP(Table2[[#This Row],[Customer ID]],Table2[#All],8,FALSE)</f>
        <v>No</v>
      </c>
      <c r="J2257" t="str">
        <f>VLOOKUP(Table2[[#This Row],[Customer ID]],Table2[#All],9,FALSE)</f>
        <v>Obesity</v>
      </c>
      <c r="K2257" t="str">
        <f>VLOOKUP(Table2[[#This Row],[Customer ID]],Table2[#All],10,FALSE)</f>
        <v>Prediabetes</v>
      </c>
    </row>
    <row r="2258" spans="1:11" ht="15.6" x14ac:dyDescent="0.3">
      <c r="A2258" s="1" t="s">
        <v>101</v>
      </c>
      <c r="B2258" t="str">
        <f>VLOOKUP('Customer Names'!A2258,'Customer Names'!$A$1:$E$2336,4,FALSE)</f>
        <v>Mr.  Cliff</v>
      </c>
      <c r="C2258">
        <f>VLOOKUP(Table2[[#This Row],[Customer ID]],Table2[#All],2,FALSE)</f>
        <v>34.4</v>
      </c>
      <c r="D2258">
        <f>VLOOKUP(Table2[[#This Row],[Customer ID]],Table2[#All],3,FALSE)</f>
        <v>5.7</v>
      </c>
      <c r="E2258" t="str">
        <f>VLOOKUP(Table2[[#This Row],[Customer ID]],Table2[#All],4,FALSE)</f>
        <v>No</v>
      </c>
      <c r="F2258" t="str">
        <f>VLOOKUP(Table2[[#This Row],[Customer ID]],Table2[#All],5,FALSE)</f>
        <v>No</v>
      </c>
      <c r="G2258" t="str">
        <f>VLOOKUP(Table2[[#This Row],[Customer ID]],Table2[#All],6,FALSE)</f>
        <v>Yes</v>
      </c>
      <c r="H2258">
        <f>VLOOKUP(Table2[[#This Row],[Customer ID]],Table2[#All],7,FALSE)</f>
        <v>1</v>
      </c>
      <c r="I2258" t="str">
        <f>VLOOKUP(Table2[[#This Row],[Customer ID]],Table2[#All],8,FALSE)</f>
        <v>No</v>
      </c>
      <c r="J2258" t="str">
        <f>VLOOKUP(Table2[[#This Row],[Customer ID]],Table2[#All],9,FALSE)</f>
        <v>Obesity</v>
      </c>
      <c r="K2258" t="str">
        <f>VLOOKUP(Table2[[#This Row],[Customer ID]],Table2[#All],10,FALSE)</f>
        <v>Prediabetes</v>
      </c>
    </row>
    <row r="2259" spans="1:11" ht="15.6" x14ac:dyDescent="0.3">
      <c r="A2259" s="1" t="s">
        <v>100</v>
      </c>
      <c r="B2259" t="str">
        <f>VLOOKUP('Customer Names'!A2259,'Customer Names'!$A$1:$E$2336,4,FALSE)</f>
        <v>Mr.  Blue</v>
      </c>
      <c r="C2259">
        <f>VLOOKUP(Table2[[#This Row],[Customer ID]],Table2[#All],2,FALSE)</f>
        <v>34.1</v>
      </c>
      <c r="D2259">
        <f>VLOOKUP(Table2[[#This Row],[Customer ID]],Table2[#All],3,FALSE)</f>
        <v>4.13</v>
      </c>
      <c r="E2259" t="str">
        <f>VLOOKUP(Table2[[#This Row],[Customer ID]],Table2[#All],4,FALSE)</f>
        <v>No</v>
      </c>
      <c r="F2259" t="str">
        <f>VLOOKUP(Table2[[#This Row],[Customer ID]],Table2[#All],5,FALSE)</f>
        <v>No</v>
      </c>
      <c r="G2259" t="str">
        <f>VLOOKUP(Table2[[#This Row],[Customer ID]],Table2[#All],6,FALSE)</f>
        <v>Yes</v>
      </c>
      <c r="H2259">
        <f>VLOOKUP(Table2[[#This Row],[Customer ID]],Table2[#All],7,FALSE)</f>
        <v>1</v>
      </c>
      <c r="I2259" t="str">
        <f>VLOOKUP(Table2[[#This Row],[Customer ID]],Table2[#All],8,FALSE)</f>
        <v>No</v>
      </c>
      <c r="J2259" t="str">
        <f>VLOOKUP(Table2[[#This Row],[Customer ID]],Table2[#All],9,FALSE)</f>
        <v>Obesity</v>
      </c>
      <c r="K2259" t="str">
        <f>VLOOKUP(Table2[[#This Row],[Customer ID]],Table2[#All],10,FALSE)</f>
        <v>Normal</v>
      </c>
    </row>
    <row r="2260" spans="1:11" ht="15.6" x14ac:dyDescent="0.3">
      <c r="A2260" s="1" t="s">
        <v>99</v>
      </c>
      <c r="B2260" t="str">
        <f>VLOOKUP('Customer Names'!A2260,'Customer Names'!$A$1:$E$2336,4,FALSE)</f>
        <v>Mr.  Jeffrey M</v>
      </c>
      <c r="C2260">
        <f>VLOOKUP(Table2[[#This Row],[Customer ID]],Table2[#All],2,FALSE)</f>
        <v>30.4</v>
      </c>
      <c r="D2260">
        <f>VLOOKUP(Table2[[#This Row],[Customer ID]],Table2[#All],3,FALSE)</f>
        <v>4.7699999999999996</v>
      </c>
      <c r="E2260" t="str">
        <f>VLOOKUP(Table2[[#This Row],[Customer ID]],Table2[#All],4,FALSE)</f>
        <v>No</v>
      </c>
      <c r="F2260" t="str">
        <f>VLOOKUP(Table2[[#This Row],[Customer ID]],Table2[#All],5,FALSE)</f>
        <v>No</v>
      </c>
      <c r="G2260" t="str">
        <f>VLOOKUP(Table2[[#This Row],[Customer ID]],Table2[#All],6,FALSE)</f>
        <v>Yes</v>
      </c>
      <c r="H2260">
        <f>VLOOKUP(Table2[[#This Row],[Customer ID]],Table2[#All],7,FALSE)</f>
        <v>1</v>
      </c>
      <c r="I2260" t="str">
        <f>VLOOKUP(Table2[[#This Row],[Customer ID]],Table2[#All],8,FALSE)</f>
        <v>No</v>
      </c>
      <c r="J2260" t="str">
        <f>VLOOKUP(Table2[[#This Row],[Customer ID]],Table2[#All],9,FALSE)</f>
        <v>Obesity</v>
      </c>
      <c r="K2260" t="str">
        <f>VLOOKUP(Table2[[#This Row],[Customer ID]],Table2[#All],10,FALSE)</f>
        <v>Normal</v>
      </c>
    </row>
    <row r="2261" spans="1:11" ht="15.6" x14ac:dyDescent="0.3">
      <c r="A2261" s="1" t="s">
        <v>98</v>
      </c>
      <c r="B2261" t="str">
        <f>VLOOKUP('Customer Names'!A2261,'Customer Names'!$A$1:$E$2336,4,FALSE)</f>
        <v>Mr.  Andrew</v>
      </c>
      <c r="C2261">
        <f>VLOOKUP(Table2[[#This Row],[Customer ID]],Table2[#All],2,FALSE)</f>
        <v>28.7</v>
      </c>
      <c r="D2261">
        <f>VLOOKUP(Table2[[#This Row],[Customer ID]],Table2[#All],3,FALSE)</f>
        <v>4.99</v>
      </c>
      <c r="E2261" t="str">
        <f>VLOOKUP(Table2[[#This Row],[Customer ID]],Table2[#All],4,FALSE)</f>
        <v>No</v>
      </c>
      <c r="F2261" t="str">
        <f>VLOOKUP(Table2[[#This Row],[Customer ID]],Table2[#All],5,FALSE)</f>
        <v>No</v>
      </c>
      <c r="G2261" t="str">
        <f>VLOOKUP(Table2[[#This Row],[Customer ID]],Table2[#All],6,FALSE)</f>
        <v>Yes</v>
      </c>
      <c r="H2261">
        <f>VLOOKUP(Table2[[#This Row],[Customer ID]],Table2[#All],7,FALSE)</f>
        <v>1</v>
      </c>
      <c r="I2261" t="str">
        <f>VLOOKUP(Table2[[#This Row],[Customer ID]],Table2[#All],8,FALSE)</f>
        <v>No</v>
      </c>
      <c r="J2261" t="str">
        <f>VLOOKUP(Table2[[#This Row],[Customer ID]],Table2[#All],9,FALSE)</f>
        <v>Overweight</v>
      </c>
      <c r="K2261" t="str">
        <f>VLOOKUP(Table2[[#This Row],[Customer ID]],Table2[#All],10,FALSE)</f>
        <v>Normal</v>
      </c>
    </row>
    <row r="2262" spans="1:11" ht="15.6" x14ac:dyDescent="0.3">
      <c r="A2262" s="1" t="s">
        <v>97</v>
      </c>
      <c r="B2262" t="str">
        <f>VLOOKUP('Customer Names'!A2262,'Customer Names'!$A$1:$E$2336,4,FALSE)</f>
        <v>Ms.  Julia</v>
      </c>
      <c r="C2262">
        <f>VLOOKUP(Table2[[#This Row],[Customer ID]],Table2[#All],2,FALSE)</f>
        <v>17.440000000000001</v>
      </c>
      <c r="D2262">
        <f>VLOOKUP(Table2[[#This Row],[Customer ID]],Table2[#All],3,FALSE)</f>
        <v>4.42</v>
      </c>
      <c r="E2262" t="str">
        <f>VLOOKUP(Table2[[#This Row],[Customer ID]],Table2[#All],4,FALSE)</f>
        <v>Yes</v>
      </c>
      <c r="F2262" t="str">
        <f>VLOOKUP(Table2[[#This Row],[Customer ID]],Table2[#All],5,FALSE)</f>
        <v>No</v>
      </c>
      <c r="G2262" t="str">
        <f>VLOOKUP(Table2[[#This Row],[Customer ID]],Table2[#All],6,FALSE)</f>
        <v>Yes</v>
      </c>
      <c r="H2262">
        <f>VLOOKUP(Table2[[#This Row],[Customer ID]],Table2[#All],7,FALSE)</f>
        <v>1</v>
      </c>
      <c r="I2262" t="str">
        <f>VLOOKUP(Table2[[#This Row],[Customer ID]],Table2[#All],8,FALSE)</f>
        <v>No</v>
      </c>
      <c r="J2262" t="str">
        <f>VLOOKUP(Table2[[#This Row],[Customer ID]],Table2[#All],9,FALSE)</f>
        <v>Underweight</v>
      </c>
      <c r="K2262" t="str">
        <f>VLOOKUP(Table2[[#This Row],[Customer ID]],Table2[#All],10,FALSE)</f>
        <v>Normal</v>
      </c>
    </row>
    <row r="2263" spans="1:11" ht="15.6" x14ac:dyDescent="0.3">
      <c r="A2263" s="1" t="s">
        <v>96</v>
      </c>
      <c r="B2263" t="str">
        <f>VLOOKUP('Customer Names'!A2263,'Customer Names'!$A$1:$E$2336,4,FALSE)</f>
        <v>Mr.  Daniel</v>
      </c>
      <c r="C2263">
        <f>VLOOKUP(Table2[[#This Row],[Customer ID]],Table2[#All],2,FALSE)</f>
        <v>27.6</v>
      </c>
      <c r="D2263">
        <f>VLOOKUP(Table2[[#This Row],[Customer ID]],Table2[#All],3,FALSE)</f>
        <v>4.01</v>
      </c>
      <c r="E2263" t="str">
        <f>VLOOKUP(Table2[[#This Row],[Customer ID]],Table2[#All],4,FALSE)</f>
        <v>No</v>
      </c>
      <c r="F2263" t="str">
        <f>VLOOKUP(Table2[[#This Row],[Customer ID]],Table2[#All],5,FALSE)</f>
        <v>No</v>
      </c>
      <c r="G2263" t="str">
        <f>VLOOKUP(Table2[[#This Row],[Customer ID]],Table2[#All],6,FALSE)</f>
        <v>Yes</v>
      </c>
      <c r="H2263">
        <f>VLOOKUP(Table2[[#This Row],[Customer ID]],Table2[#All],7,FALSE)</f>
        <v>1</v>
      </c>
      <c r="I2263" t="str">
        <f>VLOOKUP(Table2[[#This Row],[Customer ID]],Table2[#All],8,FALSE)</f>
        <v>No</v>
      </c>
      <c r="J2263" t="str">
        <f>VLOOKUP(Table2[[#This Row],[Customer ID]],Table2[#All],9,FALSE)</f>
        <v>Overweight</v>
      </c>
      <c r="K2263" t="str">
        <f>VLOOKUP(Table2[[#This Row],[Customer ID]],Table2[#All],10,FALSE)</f>
        <v>Normal</v>
      </c>
    </row>
    <row r="2264" spans="1:11" ht="15.6" x14ac:dyDescent="0.3">
      <c r="A2264" s="1" t="s">
        <v>95</v>
      </c>
      <c r="B2264" t="str">
        <f>VLOOKUP('Customer Names'!A2264,'Customer Names'!$A$1:$E$2336,4,FALSE)</f>
        <v>Mr.  Jaime</v>
      </c>
      <c r="C2264">
        <f>VLOOKUP(Table2[[#This Row],[Customer ID]],Table2[#All],2,FALSE)</f>
        <v>20.7</v>
      </c>
      <c r="D2264">
        <f>VLOOKUP(Table2[[#This Row],[Customer ID]],Table2[#All],3,FALSE)</f>
        <v>4.49</v>
      </c>
      <c r="E2264" t="str">
        <f>VLOOKUP(Table2[[#This Row],[Customer ID]],Table2[#All],4,FALSE)</f>
        <v>No</v>
      </c>
      <c r="F2264" t="str">
        <f>VLOOKUP(Table2[[#This Row],[Customer ID]],Table2[#All],5,FALSE)</f>
        <v>No</v>
      </c>
      <c r="G2264" t="str">
        <f>VLOOKUP(Table2[[#This Row],[Customer ID]],Table2[#All],6,FALSE)</f>
        <v>Yes</v>
      </c>
      <c r="H2264">
        <f>VLOOKUP(Table2[[#This Row],[Customer ID]],Table2[#All],7,FALSE)</f>
        <v>1</v>
      </c>
      <c r="I2264" t="str">
        <f>VLOOKUP(Table2[[#This Row],[Customer ID]],Table2[#All],8,FALSE)</f>
        <v>No</v>
      </c>
      <c r="J2264" t="str">
        <f>VLOOKUP(Table2[[#This Row],[Customer ID]],Table2[#All],9,FALSE)</f>
        <v>Normalweight</v>
      </c>
      <c r="K2264" t="str">
        <f>VLOOKUP(Table2[[#This Row],[Customer ID]],Table2[#All],10,FALSE)</f>
        <v>Normal</v>
      </c>
    </row>
    <row r="2265" spans="1:11" ht="15.6" x14ac:dyDescent="0.3">
      <c r="A2265" s="1" t="s">
        <v>94</v>
      </c>
      <c r="B2265" t="str">
        <f>VLOOKUP('Customer Names'!A2265,'Customer Names'!$A$1:$E$2336,4,FALSE)</f>
        <v>Mr.  Mohd Syahidan</v>
      </c>
      <c r="C2265">
        <f>VLOOKUP(Table2[[#This Row],[Customer ID]],Table2[#All],2,FALSE)</f>
        <v>20.3</v>
      </c>
      <c r="D2265">
        <f>VLOOKUP(Table2[[#This Row],[Customer ID]],Table2[#All],3,FALSE)</f>
        <v>6.37</v>
      </c>
      <c r="E2265" t="str">
        <f>VLOOKUP(Table2[[#This Row],[Customer ID]],Table2[#All],4,FALSE)</f>
        <v>No</v>
      </c>
      <c r="F2265" t="str">
        <f>VLOOKUP(Table2[[#This Row],[Customer ID]],Table2[#All],5,FALSE)</f>
        <v>No</v>
      </c>
      <c r="G2265" t="str">
        <f>VLOOKUP(Table2[[#This Row],[Customer ID]],Table2[#All],6,FALSE)</f>
        <v>Yes</v>
      </c>
      <c r="H2265">
        <f>VLOOKUP(Table2[[#This Row],[Customer ID]],Table2[#All],7,FALSE)</f>
        <v>1</v>
      </c>
      <c r="I2265" t="str">
        <f>VLOOKUP(Table2[[#This Row],[Customer ID]],Table2[#All],8,FALSE)</f>
        <v>No</v>
      </c>
      <c r="J2265" t="str">
        <f>VLOOKUP(Table2[[#This Row],[Customer ID]],Table2[#All],9,FALSE)</f>
        <v>Normalweight</v>
      </c>
      <c r="K2265" t="str">
        <f>VLOOKUP(Table2[[#This Row],[Customer ID]],Table2[#All],10,FALSE)</f>
        <v>Prediabetes</v>
      </c>
    </row>
    <row r="2266" spans="1:11" ht="15.6" x14ac:dyDescent="0.3">
      <c r="A2266" s="1" t="s">
        <v>93</v>
      </c>
      <c r="B2266" t="str">
        <f>VLOOKUP('Customer Names'!A2266,'Customer Names'!$A$1:$E$2336,4,FALSE)</f>
        <v>Mr.  Matthew</v>
      </c>
      <c r="C2266">
        <f>VLOOKUP(Table2[[#This Row],[Customer ID]],Table2[#All],2,FALSE)</f>
        <v>19.8</v>
      </c>
      <c r="D2266">
        <f>VLOOKUP(Table2[[#This Row],[Customer ID]],Table2[#All],3,FALSE)</f>
        <v>5.12</v>
      </c>
      <c r="E2266" t="str">
        <f>VLOOKUP(Table2[[#This Row],[Customer ID]],Table2[#All],4,FALSE)</f>
        <v>No</v>
      </c>
      <c r="F2266" t="str">
        <f>VLOOKUP(Table2[[#This Row],[Customer ID]],Table2[#All],5,FALSE)</f>
        <v>No</v>
      </c>
      <c r="G2266" t="str">
        <f>VLOOKUP(Table2[[#This Row],[Customer ID]],Table2[#All],6,FALSE)</f>
        <v>Yes</v>
      </c>
      <c r="H2266">
        <f>VLOOKUP(Table2[[#This Row],[Customer ID]],Table2[#All],7,FALSE)</f>
        <v>1</v>
      </c>
      <c r="I2266" t="str">
        <f>VLOOKUP(Table2[[#This Row],[Customer ID]],Table2[#All],8,FALSE)</f>
        <v>No</v>
      </c>
      <c r="J2266" t="str">
        <f>VLOOKUP(Table2[[#This Row],[Customer ID]],Table2[#All],9,FALSE)</f>
        <v>Normalweight</v>
      </c>
      <c r="K2266" t="str">
        <f>VLOOKUP(Table2[[#This Row],[Customer ID]],Table2[#All],10,FALSE)</f>
        <v>Normal</v>
      </c>
    </row>
    <row r="2267" spans="1:11" ht="15.6" x14ac:dyDescent="0.3">
      <c r="A2267" s="1" t="s">
        <v>92</v>
      </c>
      <c r="B2267" t="str">
        <f>VLOOKUP('Customer Names'!A2267,'Customer Names'!$A$1:$E$2336,4,FALSE)</f>
        <v>Ms.  Elizabeth S.</v>
      </c>
      <c r="C2267">
        <f>VLOOKUP(Table2[[#This Row],[Customer ID]],Table2[#All],2,FALSE)</f>
        <v>21.87</v>
      </c>
      <c r="D2267">
        <f>VLOOKUP(Table2[[#This Row],[Customer ID]],Table2[#All],3,FALSE)</f>
        <v>8.59</v>
      </c>
      <c r="E2267" t="str">
        <f>VLOOKUP(Table2[[#This Row],[Customer ID]],Table2[#All],4,FALSE)</f>
        <v>No</v>
      </c>
      <c r="F2267" t="str">
        <f>VLOOKUP(Table2[[#This Row],[Customer ID]],Table2[#All],5,FALSE)</f>
        <v>No</v>
      </c>
      <c r="G2267" t="str">
        <f>VLOOKUP(Table2[[#This Row],[Customer ID]],Table2[#All],6,FALSE)</f>
        <v>No</v>
      </c>
      <c r="H2267">
        <f>VLOOKUP(Table2[[#This Row],[Customer ID]],Table2[#All],7,FALSE)</f>
        <v>0</v>
      </c>
      <c r="I2267" t="str">
        <f>VLOOKUP(Table2[[#This Row],[Customer ID]],Table2[#All],8,FALSE)</f>
        <v>No</v>
      </c>
      <c r="J2267" t="str">
        <f>VLOOKUP(Table2[[#This Row],[Customer ID]],Table2[#All],9,FALSE)</f>
        <v>Normalweight</v>
      </c>
      <c r="K2267" t="str">
        <f>VLOOKUP(Table2[[#This Row],[Customer ID]],Table2[#All],10,FALSE)</f>
        <v>Diabetes</v>
      </c>
    </row>
    <row r="2268" spans="1:11" ht="15.6" x14ac:dyDescent="0.3">
      <c r="A2268" s="1" t="s">
        <v>91</v>
      </c>
      <c r="B2268" t="str">
        <f>VLOOKUP('Customer Names'!A2268,'Customer Names'!$A$1:$E$2336,4,FALSE)</f>
        <v>Ms.  Katie</v>
      </c>
      <c r="C2268">
        <f>VLOOKUP(Table2[[#This Row],[Customer ID]],Table2[#All],2,FALSE)</f>
        <v>16.600000000000001</v>
      </c>
      <c r="D2268">
        <f>VLOOKUP(Table2[[#This Row],[Customer ID]],Table2[#All],3,FALSE)</f>
        <v>5.87</v>
      </c>
      <c r="E2268" t="str">
        <f>VLOOKUP(Table2[[#This Row],[Customer ID]],Table2[#All],4,FALSE)</f>
        <v>No</v>
      </c>
      <c r="F2268" t="str">
        <f>VLOOKUP(Table2[[#This Row],[Customer ID]],Table2[#All],5,FALSE)</f>
        <v>No</v>
      </c>
      <c r="G2268" t="str">
        <f>VLOOKUP(Table2[[#This Row],[Customer ID]],Table2[#All],6,FALSE)</f>
        <v>No</v>
      </c>
      <c r="H2268">
        <f>VLOOKUP(Table2[[#This Row],[Customer ID]],Table2[#All],7,FALSE)</f>
        <v>1</v>
      </c>
      <c r="I2268" t="str">
        <f>VLOOKUP(Table2[[#This Row],[Customer ID]],Table2[#All],8,FALSE)</f>
        <v>No</v>
      </c>
      <c r="J2268" t="str">
        <f>VLOOKUP(Table2[[#This Row],[Customer ID]],Table2[#All],9,FALSE)</f>
        <v>Underweight</v>
      </c>
      <c r="K2268" t="str">
        <f>VLOOKUP(Table2[[#This Row],[Customer ID]],Table2[#All],10,FALSE)</f>
        <v>Prediabetes</v>
      </c>
    </row>
    <row r="2269" spans="1:11" ht="15.6" x14ac:dyDescent="0.3">
      <c r="A2269" s="1" t="s">
        <v>90</v>
      </c>
      <c r="B2269" t="str">
        <f>VLOOKUP('Customer Names'!A2269,'Customer Names'!$A$1:$E$2336,4,FALSE)</f>
        <v>Ms.  Christi A.</v>
      </c>
      <c r="C2269">
        <f>VLOOKUP(Table2[[#This Row],[Customer ID]],Table2[#All],2,FALSE)</f>
        <v>21.98</v>
      </c>
      <c r="D2269">
        <f>VLOOKUP(Table2[[#This Row],[Customer ID]],Table2[#All],3,FALSE)</f>
        <v>7.03</v>
      </c>
      <c r="E2269" t="str">
        <f>VLOOKUP(Table2[[#This Row],[Customer ID]],Table2[#All],4,FALSE)</f>
        <v>No</v>
      </c>
      <c r="F2269" t="str">
        <f>VLOOKUP(Table2[[#This Row],[Customer ID]],Table2[#All],5,FALSE)</f>
        <v>No</v>
      </c>
      <c r="G2269" t="str">
        <f>VLOOKUP(Table2[[#This Row],[Customer ID]],Table2[#All],6,FALSE)</f>
        <v>No</v>
      </c>
      <c r="H2269">
        <f>VLOOKUP(Table2[[#This Row],[Customer ID]],Table2[#All],7,FALSE)</f>
        <v>0</v>
      </c>
      <c r="I2269" t="str">
        <f>VLOOKUP(Table2[[#This Row],[Customer ID]],Table2[#All],8,FALSE)</f>
        <v>No</v>
      </c>
      <c r="J2269" t="str">
        <f>VLOOKUP(Table2[[#This Row],[Customer ID]],Table2[#All],9,FALSE)</f>
        <v>Normalweight</v>
      </c>
      <c r="K2269" t="str">
        <f>VLOOKUP(Table2[[#This Row],[Customer ID]],Table2[#All],10,FALSE)</f>
        <v>Diabetes</v>
      </c>
    </row>
    <row r="2270" spans="1:11" ht="15.6" x14ac:dyDescent="0.3">
      <c r="A2270" s="1" t="s">
        <v>89</v>
      </c>
      <c r="B2270" t="str">
        <f>VLOOKUP('Customer Names'!A2270,'Customer Names'!$A$1:$E$2336,4,FALSE)</f>
        <v>Ms.  Sandra K.</v>
      </c>
      <c r="C2270">
        <f>VLOOKUP(Table2[[#This Row],[Customer ID]],Table2[#All],2,FALSE)</f>
        <v>19.7</v>
      </c>
      <c r="D2270">
        <f>VLOOKUP(Table2[[#This Row],[Customer ID]],Table2[#All],3,FALSE)</f>
        <v>5.51</v>
      </c>
      <c r="E2270" t="str">
        <f>VLOOKUP(Table2[[#This Row],[Customer ID]],Table2[#All],4,FALSE)</f>
        <v>No</v>
      </c>
      <c r="F2270" t="str">
        <f>VLOOKUP(Table2[[#This Row],[Customer ID]],Table2[#All],5,FALSE)</f>
        <v>No</v>
      </c>
      <c r="G2270" t="str">
        <f>VLOOKUP(Table2[[#This Row],[Customer ID]],Table2[#All],6,FALSE)</f>
        <v>No</v>
      </c>
      <c r="H2270">
        <f>VLOOKUP(Table2[[#This Row],[Customer ID]],Table2[#All],7,FALSE)</f>
        <v>1</v>
      </c>
      <c r="I2270" t="str">
        <f>VLOOKUP(Table2[[#This Row],[Customer ID]],Table2[#All],8,FALSE)</f>
        <v>No</v>
      </c>
      <c r="J2270" t="str">
        <f>VLOOKUP(Table2[[#This Row],[Customer ID]],Table2[#All],9,FALSE)</f>
        <v>Normalweight</v>
      </c>
      <c r="K2270" t="str">
        <f>VLOOKUP(Table2[[#This Row],[Customer ID]],Table2[#All],10,FALSE)</f>
        <v>Normal</v>
      </c>
    </row>
    <row r="2271" spans="1:11" ht="15.6" x14ac:dyDescent="0.3">
      <c r="A2271" s="1" t="s">
        <v>88</v>
      </c>
      <c r="B2271" t="str">
        <f>VLOOKUP('Customer Names'!A2271,'Customer Names'!$A$1:$E$2336,4,FALSE)</f>
        <v>Ms.  Katharine</v>
      </c>
      <c r="C2271">
        <f>VLOOKUP(Table2[[#This Row],[Customer ID]],Table2[#All],2,FALSE)</f>
        <v>19.21</v>
      </c>
      <c r="D2271">
        <f>VLOOKUP(Table2[[#This Row],[Customer ID]],Table2[#All],3,FALSE)</f>
        <v>4.76</v>
      </c>
      <c r="E2271" t="str">
        <f>VLOOKUP(Table2[[#This Row],[Customer ID]],Table2[#All],4,FALSE)</f>
        <v>No</v>
      </c>
      <c r="F2271" t="str">
        <f>VLOOKUP(Table2[[#This Row],[Customer ID]],Table2[#All],5,FALSE)</f>
        <v>yes</v>
      </c>
      <c r="G2271" t="str">
        <f>VLOOKUP(Table2[[#This Row],[Customer ID]],Table2[#All],6,FALSE)</f>
        <v>No</v>
      </c>
      <c r="H2271">
        <f>VLOOKUP(Table2[[#This Row],[Customer ID]],Table2[#All],7,FALSE)</f>
        <v>1</v>
      </c>
      <c r="I2271" t="str">
        <f>VLOOKUP(Table2[[#This Row],[Customer ID]],Table2[#All],8,FALSE)</f>
        <v>No</v>
      </c>
      <c r="J2271" t="str">
        <f>VLOOKUP(Table2[[#This Row],[Customer ID]],Table2[#All],9,FALSE)</f>
        <v>Normalweight</v>
      </c>
      <c r="K2271" t="str">
        <f>VLOOKUP(Table2[[#This Row],[Customer ID]],Table2[#All],10,FALSE)</f>
        <v>Normal</v>
      </c>
    </row>
    <row r="2272" spans="1:11" ht="15.6" x14ac:dyDescent="0.3">
      <c r="A2272" s="1" t="s">
        <v>87</v>
      </c>
      <c r="B2272" t="str">
        <f>VLOOKUP('Customer Names'!A2272,'Customer Names'!$A$1:$E$2336,4,FALSE)</f>
        <v>Mr.  Jerome</v>
      </c>
      <c r="C2272">
        <f>VLOOKUP(Table2[[#This Row],[Customer ID]],Table2[#All],2,FALSE)</f>
        <v>19.3</v>
      </c>
      <c r="D2272">
        <f>VLOOKUP(Table2[[#This Row],[Customer ID]],Table2[#All],3,FALSE)</f>
        <v>4.7</v>
      </c>
      <c r="E2272" t="str">
        <f>VLOOKUP(Table2[[#This Row],[Customer ID]],Table2[#All],4,FALSE)</f>
        <v>No</v>
      </c>
      <c r="F2272" t="str">
        <f>VLOOKUP(Table2[[#This Row],[Customer ID]],Table2[#All],5,FALSE)</f>
        <v>yes</v>
      </c>
      <c r="G2272" t="str">
        <f>VLOOKUP(Table2[[#This Row],[Customer ID]],Table2[#All],6,FALSE)</f>
        <v>No</v>
      </c>
      <c r="H2272">
        <f>VLOOKUP(Table2[[#This Row],[Customer ID]],Table2[#All],7,FALSE)</f>
        <v>1</v>
      </c>
      <c r="I2272" t="str">
        <f>VLOOKUP(Table2[[#This Row],[Customer ID]],Table2[#All],8,FALSE)</f>
        <v>No</v>
      </c>
      <c r="J2272" t="str">
        <f>VLOOKUP(Table2[[#This Row],[Customer ID]],Table2[#All],9,FALSE)</f>
        <v>Normalweight</v>
      </c>
      <c r="K2272" t="str">
        <f>VLOOKUP(Table2[[#This Row],[Customer ID]],Table2[#All],10,FALSE)</f>
        <v>Normal</v>
      </c>
    </row>
    <row r="2273" spans="1:11" ht="15.6" x14ac:dyDescent="0.3">
      <c r="A2273" s="1" t="s">
        <v>86</v>
      </c>
      <c r="B2273" t="str">
        <f>VLOOKUP('Customer Names'!A2273,'Customer Names'!$A$1:$E$2336,4,FALSE)</f>
        <v>Ms.  Julia R</v>
      </c>
      <c r="C2273">
        <f>VLOOKUP(Table2[[#This Row],[Customer ID]],Table2[#All],2,FALSE)</f>
        <v>16.22</v>
      </c>
      <c r="D2273">
        <f>VLOOKUP(Table2[[#This Row],[Customer ID]],Table2[#All],3,FALSE)</f>
        <v>6.21</v>
      </c>
      <c r="E2273" t="str">
        <f>VLOOKUP(Table2[[#This Row],[Customer ID]],Table2[#All],4,FALSE)</f>
        <v>Yes</v>
      </c>
      <c r="F2273" t="str">
        <f>VLOOKUP(Table2[[#This Row],[Customer ID]],Table2[#All],5,FALSE)</f>
        <v>No</v>
      </c>
      <c r="G2273" t="str">
        <f>VLOOKUP(Table2[[#This Row],[Customer ID]],Table2[#All],6,FALSE)</f>
        <v>No</v>
      </c>
      <c r="H2273">
        <f>VLOOKUP(Table2[[#This Row],[Customer ID]],Table2[#All],7,FALSE)</f>
        <v>0</v>
      </c>
      <c r="I2273" t="str">
        <f>VLOOKUP(Table2[[#This Row],[Customer ID]],Table2[#All],8,FALSE)</f>
        <v>No</v>
      </c>
      <c r="J2273" t="str">
        <f>VLOOKUP(Table2[[#This Row],[Customer ID]],Table2[#All],9,FALSE)</f>
        <v>Underweight</v>
      </c>
      <c r="K2273" t="str">
        <f>VLOOKUP(Table2[[#This Row],[Customer ID]],Table2[#All],10,FALSE)</f>
        <v>Prediabetes</v>
      </c>
    </row>
    <row r="2274" spans="1:11" ht="15.6" x14ac:dyDescent="0.3">
      <c r="A2274" s="1" t="s">
        <v>85</v>
      </c>
      <c r="B2274" t="str">
        <f>VLOOKUP('Customer Names'!A2274,'Customer Names'!$A$1:$E$2336,4,FALSE)</f>
        <v>Mr.  Sean Henry</v>
      </c>
      <c r="C2274">
        <f>VLOOKUP(Table2[[#This Row],[Customer ID]],Table2[#All],2,FALSE)</f>
        <v>17.12</v>
      </c>
      <c r="D2274">
        <f>VLOOKUP(Table2[[#This Row],[Customer ID]],Table2[#All],3,FALSE)</f>
        <v>4.5199999999999996</v>
      </c>
      <c r="E2274" t="str">
        <f>VLOOKUP(Table2[[#This Row],[Customer ID]],Table2[#All],4,FALSE)</f>
        <v>No</v>
      </c>
      <c r="F2274" t="str">
        <f>VLOOKUP(Table2[[#This Row],[Customer ID]],Table2[#All],5,FALSE)</f>
        <v>yes</v>
      </c>
      <c r="G2274" t="str">
        <f>VLOOKUP(Table2[[#This Row],[Customer ID]],Table2[#All],6,FALSE)</f>
        <v>No</v>
      </c>
      <c r="H2274">
        <f>VLOOKUP(Table2[[#This Row],[Customer ID]],Table2[#All],7,FALSE)</f>
        <v>1</v>
      </c>
      <c r="I2274" t="str">
        <f>VLOOKUP(Table2[[#This Row],[Customer ID]],Table2[#All],8,FALSE)</f>
        <v>No</v>
      </c>
      <c r="J2274" t="str">
        <f>VLOOKUP(Table2[[#This Row],[Customer ID]],Table2[#All],9,FALSE)</f>
        <v>Underweight</v>
      </c>
      <c r="K2274" t="str">
        <f>VLOOKUP(Table2[[#This Row],[Customer ID]],Table2[#All],10,FALSE)</f>
        <v>Normal</v>
      </c>
    </row>
    <row r="2275" spans="1:11" ht="15.6" x14ac:dyDescent="0.3">
      <c r="A2275" s="1" t="s">
        <v>84</v>
      </c>
      <c r="B2275" t="str">
        <f>VLOOKUP('Customer Names'!A2275,'Customer Names'!$A$1:$E$2336,4,FALSE)</f>
        <v>Ms.  Rachel A.</v>
      </c>
      <c r="C2275">
        <f>VLOOKUP(Table2[[#This Row],[Customer ID]],Table2[#All],2,FALSE)</f>
        <v>19.07</v>
      </c>
      <c r="D2275">
        <f>VLOOKUP(Table2[[#This Row],[Customer ID]],Table2[#All],3,FALSE)</f>
        <v>5.45</v>
      </c>
      <c r="E2275" t="str">
        <f>VLOOKUP(Table2[[#This Row],[Customer ID]],Table2[#All],4,FALSE)</f>
        <v>No</v>
      </c>
      <c r="F2275" t="str">
        <f>VLOOKUP(Table2[[#This Row],[Customer ID]],Table2[#All],5,FALSE)</f>
        <v>No</v>
      </c>
      <c r="G2275" t="str">
        <f>VLOOKUP(Table2[[#This Row],[Customer ID]],Table2[#All],6,FALSE)</f>
        <v>No</v>
      </c>
      <c r="H2275">
        <f>VLOOKUP(Table2[[#This Row],[Customer ID]],Table2[#All],7,FALSE)</f>
        <v>1</v>
      </c>
      <c r="I2275" t="str">
        <f>VLOOKUP(Table2[[#This Row],[Customer ID]],Table2[#All],8,FALSE)</f>
        <v>No</v>
      </c>
      <c r="J2275" t="str">
        <f>VLOOKUP(Table2[[#This Row],[Customer ID]],Table2[#All],9,FALSE)</f>
        <v>Normalweight</v>
      </c>
      <c r="K2275" t="str">
        <f>VLOOKUP(Table2[[#This Row],[Customer ID]],Table2[#All],10,FALSE)</f>
        <v>Normal</v>
      </c>
    </row>
    <row r="2276" spans="1:11" ht="15.6" x14ac:dyDescent="0.3">
      <c r="A2276" s="1" t="s">
        <v>83</v>
      </c>
      <c r="B2276" t="str">
        <f>VLOOKUP('Customer Names'!A2276,'Customer Names'!$A$1:$E$2336,4,FALSE)</f>
        <v>Mr.  Jim</v>
      </c>
      <c r="C2276">
        <f>VLOOKUP(Table2[[#This Row],[Customer ID]],Table2[#All],2,FALSE)</f>
        <v>15.56</v>
      </c>
      <c r="D2276">
        <f>VLOOKUP(Table2[[#This Row],[Customer ID]],Table2[#All],3,FALSE)</f>
        <v>4.42</v>
      </c>
      <c r="E2276" t="str">
        <f>VLOOKUP(Table2[[#This Row],[Customer ID]],Table2[#All],4,FALSE)</f>
        <v>No</v>
      </c>
      <c r="F2276" t="str">
        <f>VLOOKUP(Table2[[#This Row],[Customer ID]],Table2[#All],5,FALSE)</f>
        <v>No</v>
      </c>
      <c r="G2276" t="str">
        <f>VLOOKUP(Table2[[#This Row],[Customer ID]],Table2[#All],6,FALSE)</f>
        <v>No</v>
      </c>
      <c r="H2276">
        <f>VLOOKUP(Table2[[#This Row],[Customer ID]],Table2[#All],7,FALSE)</f>
        <v>0</v>
      </c>
      <c r="I2276" t="str">
        <f>VLOOKUP(Table2[[#This Row],[Customer ID]],Table2[#All],8,FALSE)</f>
        <v>No</v>
      </c>
      <c r="J2276" t="str">
        <f>VLOOKUP(Table2[[#This Row],[Customer ID]],Table2[#All],9,FALSE)</f>
        <v>Underweight</v>
      </c>
      <c r="K2276" t="str">
        <f>VLOOKUP(Table2[[#This Row],[Customer ID]],Table2[#All],10,FALSE)</f>
        <v>Normal</v>
      </c>
    </row>
    <row r="2277" spans="1:11" ht="15.6" x14ac:dyDescent="0.3">
      <c r="A2277" s="1" t="s">
        <v>82</v>
      </c>
      <c r="B2277" t="str">
        <f>VLOOKUP('Customer Names'!A2277,'Customer Names'!$A$1:$E$2336,4,FALSE)</f>
        <v>Mr.  Tim</v>
      </c>
      <c r="C2277">
        <f>VLOOKUP(Table2[[#This Row],[Customer ID]],Table2[#All],2,FALSE)</f>
        <v>22.76</v>
      </c>
      <c r="D2277">
        <f>VLOOKUP(Table2[[#This Row],[Customer ID]],Table2[#All],3,FALSE)</f>
        <v>9.44</v>
      </c>
      <c r="E2277" t="str">
        <f>VLOOKUP(Table2[[#This Row],[Customer ID]],Table2[#All],4,FALSE)</f>
        <v>No</v>
      </c>
      <c r="F2277" t="str">
        <f>VLOOKUP(Table2[[#This Row],[Customer ID]],Table2[#All],5,FALSE)</f>
        <v>No</v>
      </c>
      <c r="G2277" t="str">
        <f>VLOOKUP(Table2[[#This Row],[Customer ID]],Table2[#All],6,FALSE)</f>
        <v>No</v>
      </c>
      <c r="H2277">
        <f>VLOOKUP(Table2[[#This Row],[Customer ID]],Table2[#All],7,FALSE)</f>
        <v>0</v>
      </c>
      <c r="I2277" t="str">
        <f>VLOOKUP(Table2[[#This Row],[Customer ID]],Table2[#All],8,FALSE)</f>
        <v>No</v>
      </c>
      <c r="J2277" t="str">
        <f>VLOOKUP(Table2[[#This Row],[Customer ID]],Table2[#All],9,FALSE)</f>
        <v>Normalweight</v>
      </c>
      <c r="K2277" t="str">
        <f>VLOOKUP(Table2[[#This Row],[Customer ID]],Table2[#All],10,FALSE)</f>
        <v>Diabetes</v>
      </c>
    </row>
    <row r="2278" spans="1:11" ht="15.6" x14ac:dyDescent="0.3">
      <c r="A2278" s="1" t="s">
        <v>81</v>
      </c>
      <c r="B2278" t="str">
        <f>VLOOKUP('Customer Names'!A2278,'Customer Names'!$A$1:$E$2336,4,FALSE)</f>
        <v>Ms.  Abby L.</v>
      </c>
      <c r="C2278">
        <f>VLOOKUP(Table2[[#This Row],[Customer ID]],Table2[#All],2,FALSE)</f>
        <v>22.79</v>
      </c>
      <c r="D2278">
        <f>VLOOKUP(Table2[[#This Row],[Customer ID]],Table2[#All],3,FALSE)</f>
        <v>6.15</v>
      </c>
      <c r="E2278" t="str">
        <f>VLOOKUP(Table2[[#This Row],[Customer ID]],Table2[#All],4,FALSE)</f>
        <v>Yes</v>
      </c>
      <c r="F2278" t="str">
        <f>VLOOKUP(Table2[[#This Row],[Customer ID]],Table2[#All],5,FALSE)</f>
        <v>No</v>
      </c>
      <c r="G2278" t="str">
        <f>VLOOKUP(Table2[[#This Row],[Customer ID]],Table2[#All],6,FALSE)</f>
        <v>Yes</v>
      </c>
      <c r="H2278">
        <f>VLOOKUP(Table2[[#This Row],[Customer ID]],Table2[#All],7,FALSE)</f>
        <v>1</v>
      </c>
      <c r="I2278" t="str">
        <f>VLOOKUP(Table2[[#This Row],[Customer ID]],Table2[#All],8,FALSE)</f>
        <v>No</v>
      </c>
      <c r="J2278" t="str">
        <f>VLOOKUP(Table2[[#This Row],[Customer ID]],Table2[#All],9,FALSE)</f>
        <v>Normalweight</v>
      </c>
      <c r="K2278" t="str">
        <f>VLOOKUP(Table2[[#This Row],[Customer ID]],Table2[#All],10,FALSE)</f>
        <v>Prediabetes</v>
      </c>
    </row>
    <row r="2279" spans="1:11" ht="15.6" x14ac:dyDescent="0.3">
      <c r="A2279" s="1" t="s">
        <v>80</v>
      </c>
      <c r="B2279" t="str">
        <f>VLOOKUP('Customer Names'!A2279,'Customer Names'!$A$1:$E$2336,4,FALSE)</f>
        <v>Mr.  Mark</v>
      </c>
      <c r="C2279">
        <f>VLOOKUP(Table2[[#This Row],[Customer ID]],Table2[#All],2,FALSE)</f>
        <v>17.41</v>
      </c>
      <c r="D2279">
        <f>VLOOKUP(Table2[[#This Row],[Customer ID]],Table2[#All],3,FALSE)</f>
        <v>5.13</v>
      </c>
      <c r="E2279" t="str">
        <f>VLOOKUP(Table2[[#This Row],[Customer ID]],Table2[#All],4,FALSE)</f>
        <v>Yes</v>
      </c>
      <c r="F2279" t="str">
        <f>VLOOKUP(Table2[[#This Row],[Customer ID]],Table2[#All],5,FALSE)</f>
        <v>No</v>
      </c>
      <c r="G2279" t="str">
        <f>VLOOKUP(Table2[[#This Row],[Customer ID]],Table2[#All],6,FALSE)</f>
        <v>No</v>
      </c>
      <c r="H2279">
        <f>VLOOKUP(Table2[[#This Row],[Customer ID]],Table2[#All],7,FALSE)</f>
        <v>0</v>
      </c>
      <c r="I2279" t="str">
        <f>VLOOKUP(Table2[[#This Row],[Customer ID]],Table2[#All],8,FALSE)</f>
        <v>No</v>
      </c>
      <c r="J2279" t="str">
        <f>VLOOKUP(Table2[[#This Row],[Customer ID]],Table2[#All],9,FALSE)</f>
        <v>Underweight</v>
      </c>
      <c r="K2279" t="str">
        <f>VLOOKUP(Table2[[#This Row],[Customer ID]],Table2[#All],10,FALSE)</f>
        <v>Normal</v>
      </c>
    </row>
    <row r="2280" spans="1:11" ht="15.6" x14ac:dyDescent="0.3">
      <c r="A2280" s="1" t="s">
        <v>79</v>
      </c>
      <c r="B2280" t="str">
        <f>VLOOKUP('Customer Names'!A2280,'Customer Names'!$A$1:$E$2336,4,FALSE)</f>
        <v>Mr.  Ali</v>
      </c>
      <c r="C2280">
        <f>VLOOKUP(Table2[[#This Row],[Customer ID]],Table2[#All],2,FALSE)</f>
        <v>19.32</v>
      </c>
      <c r="D2280">
        <f>VLOOKUP(Table2[[#This Row],[Customer ID]],Table2[#All],3,FALSE)</f>
        <v>4.96</v>
      </c>
      <c r="E2280" t="str">
        <f>VLOOKUP(Table2[[#This Row],[Customer ID]],Table2[#All],4,FALSE)</f>
        <v>Yes</v>
      </c>
      <c r="F2280" t="str">
        <f>VLOOKUP(Table2[[#This Row],[Customer ID]],Table2[#All],5,FALSE)</f>
        <v>No</v>
      </c>
      <c r="G2280" t="str">
        <f>VLOOKUP(Table2[[#This Row],[Customer ID]],Table2[#All],6,FALSE)</f>
        <v>No</v>
      </c>
      <c r="H2280">
        <f>VLOOKUP(Table2[[#This Row],[Customer ID]],Table2[#All],7,FALSE)</f>
        <v>0</v>
      </c>
      <c r="I2280" t="str">
        <f>VLOOKUP(Table2[[#This Row],[Customer ID]],Table2[#All],8,FALSE)</f>
        <v>No</v>
      </c>
      <c r="J2280" t="str">
        <f>VLOOKUP(Table2[[#This Row],[Customer ID]],Table2[#All],9,FALSE)</f>
        <v>Normalweight</v>
      </c>
      <c r="K2280" t="str">
        <f>VLOOKUP(Table2[[#This Row],[Customer ID]],Table2[#All],10,FALSE)</f>
        <v>Normal</v>
      </c>
    </row>
    <row r="2281" spans="1:11" ht="15.6" x14ac:dyDescent="0.3">
      <c r="A2281" s="1" t="s">
        <v>78</v>
      </c>
      <c r="B2281" t="str">
        <f>VLOOKUP('Customer Names'!A2281,'Customer Names'!$A$1:$E$2336,4,FALSE)</f>
        <v>Mr.  Joshua</v>
      </c>
      <c r="C2281">
        <f>VLOOKUP(Table2[[#This Row],[Customer ID]],Table2[#All],2,FALSE)</f>
        <v>18.25</v>
      </c>
      <c r="D2281">
        <f>VLOOKUP(Table2[[#This Row],[Customer ID]],Table2[#All],3,FALSE)</f>
        <v>10.95</v>
      </c>
      <c r="E2281" t="str">
        <f>VLOOKUP(Table2[[#This Row],[Customer ID]],Table2[#All],4,FALSE)</f>
        <v>No</v>
      </c>
      <c r="F2281" t="str">
        <f>VLOOKUP(Table2[[#This Row],[Customer ID]],Table2[#All],5,FALSE)</f>
        <v>No</v>
      </c>
      <c r="G2281" t="str">
        <f>VLOOKUP(Table2[[#This Row],[Customer ID]],Table2[#All],6,FALSE)</f>
        <v>No</v>
      </c>
      <c r="H2281">
        <f>VLOOKUP(Table2[[#This Row],[Customer ID]],Table2[#All],7,FALSE)</f>
        <v>0</v>
      </c>
      <c r="I2281" t="str">
        <f>VLOOKUP(Table2[[#This Row],[Customer ID]],Table2[#All],8,FALSE)</f>
        <v>No</v>
      </c>
      <c r="J2281" t="str">
        <f>VLOOKUP(Table2[[#This Row],[Customer ID]],Table2[#All],9,FALSE)</f>
        <v>Underweight</v>
      </c>
      <c r="K2281" t="str">
        <f>VLOOKUP(Table2[[#This Row],[Customer ID]],Table2[#All],10,FALSE)</f>
        <v>Diabetes</v>
      </c>
    </row>
    <row r="2282" spans="1:11" ht="15.6" x14ac:dyDescent="0.3">
      <c r="A2282" s="1" t="s">
        <v>77</v>
      </c>
      <c r="B2282" t="str">
        <f>VLOOKUP('Customer Names'!A2282,'Customer Names'!$A$1:$E$2336,4,FALSE)</f>
        <v>Mr.  Pierre</v>
      </c>
      <c r="C2282">
        <f>VLOOKUP(Table2[[#This Row],[Customer ID]],Table2[#All],2,FALSE)</f>
        <v>53.13</v>
      </c>
      <c r="D2282">
        <f>VLOOKUP(Table2[[#This Row],[Customer ID]],Table2[#All],3,FALSE)</f>
        <v>4.4400000000000004</v>
      </c>
      <c r="E2282" t="str">
        <f>VLOOKUP(Table2[[#This Row],[Customer ID]],Table2[#All],4,FALSE)</f>
        <v>No</v>
      </c>
      <c r="F2282" t="str">
        <f>VLOOKUP(Table2[[#This Row],[Customer ID]],Table2[#All],5,FALSE)</f>
        <v>yes</v>
      </c>
      <c r="G2282" t="str">
        <f>VLOOKUP(Table2[[#This Row],[Customer ID]],Table2[#All],6,FALSE)</f>
        <v>No</v>
      </c>
      <c r="H2282">
        <f>VLOOKUP(Table2[[#This Row],[Customer ID]],Table2[#All],7,FALSE)</f>
        <v>1</v>
      </c>
      <c r="I2282" t="str">
        <f>VLOOKUP(Table2[[#This Row],[Customer ID]],Table2[#All],8,FALSE)</f>
        <v>No</v>
      </c>
      <c r="J2282" t="str">
        <f>VLOOKUP(Table2[[#This Row],[Customer ID]],Table2[#All],9,FALSE)</f>
        <v>Obesity</v>
      </c>
      <c r="K2282" t="str">
        <f>VLOOKUP(Table2[[#This Row],[Customer ID]],Table2[#All],10,FALSE)</f>
        <v>Normal</v>
      </c>
    </row>
    <row r="2283" spans="1:11" ht="15.6" x14ac:dyDescent="0.3">
      <c r="A2283" s="1" t="s">
        <v>76</v>
      </c>
      <c r="B2283" t="str">
        <f>VLOOKUP('Customer Names'!A2283,'Customer Names'!$A$1:$E$2336,4,FALSE)</f>
        <v>Ms.  Kate</v>
      </c>
      <c r="C2283">
        <f>VLOOKUP(Table2[[#This Row],[Customer ID]],Table2[#All],2,FALSE)</f>
        <v>20.46</v>
      </c>
      <c r="D2283">
        <f>VLOOKUP(Table2[[#This Row],[Customer ID]],Table2[#All],3,FALSE)</f>
        <v>4.0199999999999996</v>
      </c>
      <c r="E2283" t="str">
        <f>VLOOKUP(Table2[[#This Row],[Customer ID]],Table2[#All],4,FALSE)</f>
        <v>No</v>
      </c>
      <c r="F2283" t="str">
        <f>VLOOKUP(Table2[[#This Row],[Customer ID]],Table2[#All],5,FALSE)</f>
        <v>No</v>
      </c>
      <c r="G2283" t="str">
        <f>VLOOKUP(Table2[[#This Row],[Customer ID]],Table2[#All],6,FALSE)</f>
        <v>No</v>
      </c>
      <c r="H2283">
        <f>VLOOKUP(Table2[[#This Row],[Customer ID]],Table2[#All],7,FALSE)</f>
        <v>0</v>
      </c>
      <c r="I2283" t="str">
        <f>VLOOKUP(Table2[[#This Row],[Customer ID]],Table2[#All],8,FALSE)</f>
        <v>No</v>
      </c>
      <c r="J2283" t="str">
        <f>VLOOKUP(Table2[[#This Row],[Customer ID]],Table2[#All],9,FALSE)</f>
        <v>Normalweight</v>
      </c>
      <c r="K2283" t="str">
        <f>VLOOKUP(Table2[[#This Row],[Customer ID]],Table2[#All],10,FALSE)</f>
        <v>Normal</v>
      </c>
    </row>
    <row r="2284" spans="1:11" ht="15.6" x14ac:dyDescent="0.3">
      <c r="A2284" s="1" t="s">
        <v>75</v>
      </c>
      <c r="B2284" t="str">
        <f>VLOOKUP('Customer Names'!A2284,'Customer Names'!$A$1:$E$2336,4,FALSE)</f>
        <v>Mr.  David</v>
      </c>
      <c r="C2284">
        <f>VLOOKUP(Table2[[#This Row],[Customer ID]],Table2[#All],2,FALSE)</f>
        <v>43.01</v>
      </c>
      <c r="D2284">
        <f>VLOOKUP(Table2[[#This Row],[Customer ID]],Table2[#All],3,FALSE)</f>
        <v>5.44</v>
      </c>
      <c r="E2284" t="str">
        <f>VLOOKUP(Table2[[#This Row],[Customer ID]],Table2[#All],4,FALSE)</f>
        <v>No</v>
      </c>
      <c r="F2284" t="str">
        <f>VLOOKUP(Table2[[#This Row],[Customer ID]],Table2[#All],5,FALSE)</f>
        <v>yes</v>
      </c>
      <c r="G2284" t="str">
        <f>VLOOKUP(Table2[[#This Row],[Customer ID]],Table2[#All],6,FALSE)</f>
        <v>No</v>
      </c>
      <c r="H2284">
        <f>VLOOKUP(Table2[[#This Row],[Customer ID]],Table2[#All],7,FALSE)</f>
        <v>1</v>
      </c>
      <c r="I2284" t="str">
        <f>VLOOKUP(Table2[[#This Row],[Customer ID]],Table2[#All],8,FALSE)</f>
        <v>No</v>
      </c>
      <c r="J2284" t="str">
        <f>VLOOKUP(Table2[[#This Row],[Customer ID]],Table2[#All],9,FALSE)</f>
        <v>Obesity</v>
      </c>
      <c r="K2284" t="str">
        <f>VLOOKUP(Table2[[#This Row],[Customer ID]],Table2[#All],10,FALSE)</f>
        <v>Normal</v>
      </c>
    </row>
    <row r="2285" spans="1:11" ht="15.6" x14ac:dyDescent="0.3">
      <c r="A2285" s="1" t="s">
        <v>74</v>
      </c>
      <c r="B2285" t="str">
        <f>VLOOKUP('Customer Names'!A2285,'Customer Names'!$A$1:$E$2336,4,FALSE)</f>
        <v>Ms.  Carla</v>
      </c>
      <c r="C2285">
        <f>VLOOKUP(Table2[[#This Row],[Customer ID]],Table2[#All],2,FALSE)</f>
        <v>15.01</v>
      </c>
      <c r="D2285">
        <f>VLOOKUP(Table2[[#This Row],[Customer ID]],Table2[#All],3,FALSE)</f>
        <v>4.1500000000000004</v>
      </c>
      <c r="E2285" t="str">
        <f>VLOOKUP(Table2[[#This Row],[Customer ID]],Table2[#All],4,FALSE)</f>
        <v>No</v>
      </c>
      <c r="F2285" t="str">
        <f>VLOOKUP(Table2[[#This Row],[Customer ID]],Table2[#All],5,FALSE)</f>
        <v>No</v>
      </c>
      <c r="G2285" t="str">
        <f>VLOOKUP(Table2[[#This Row],[Customer ID]],Table2[#All],6,FALSE)</f>
        <v>Yes</v>
      </c>
      <c r="H2285">
        <f>VLOOKUP(Table2[[#This Row],[Customer ID]],Table2[#All],7,FALSE)</f>
        <v>1</v>
      </c>
      <c r="I2285" t="str">
        <f>VLOOKUP(Table2[[#This Row],[Customer ID]],Table2[#All],8,FALSE)</f>
        <v>No</v>
      </c>
      <c r="J2285" t="str">
        <f>VLOOKUP(Table2[[#This Row],[Customer ID]],Table2[#All],9,FALSE)</f>
        <v>Underweight</v>
      </c>
      <c r="K2285" t="str">
        <f>VLOOKUP(Table2[[#This Row],[Customer ID]],Table2[#All],10,FALSE)</f>
        <v>Normal</v>
      </c>
    </row>
    <row r="2286" spans="1:11" ht="15.6" x14ac:dyDescent="0.3">
      <c r="A2286" s="1" t="s">
        <v>73</v>
      </c>
      <c r="B2286" t="str">
        <f>VLOOKUP('Customer Names'!A2286,'Customer Names'!$A$1:$E$2336,4,FALSE)</f>
        <v>Mr.  Alvaro Sr.</v>
      </c>
      <c r="C2286">
        <f>VLOOKUP(Table2[[#This Row],[Customer ID]],Table2[#All],2,FALSE)</f>
        <v>41.14</v>
      </c>
      <c r="D2286">
        <f>VLOOKUP(Table2[[#This Row],[Customer ID]],Table2[#All],3,FALSE)</f>
        <v>6.02</v>
      </c>
      <c r="E2286" t="str">
        <f>VLOOKUP(Table2[[#This Row],[Customer ID]],Table2[#All],4,FALSE)</f>
        <v>No</v>
      </c>
      <c r="F2286" t="str">
        <f>VLOOKUP(Table2[[#This Row],[Customer ID]],Table2[#All],5,FALSE)</f>
        <v>yes</v>
      </c>
      <c r="G2286" t="str">
        <f>VLOOKUP(Table2[[#This Row],[Customer ID]],Table2[#All],6,FALSE)</f>
        <v>No</v>
      </c>
      <c r="H2286">
        <f>VLOOKUP(Table2[[#This Row],[Customer ID]],Table2[#All],7,FALSE)</f>
        <v>1</v>
      </c>
      <c r="I2286" t="str">
        <f>VLOOKUP(Table2[[#This Row],[Customer ID]],Table2[#All],8,FALSE)</f>
        <v>No</v>
      </c>
      <c r="J2286" t="str">
        <f>VLOOKUP(Table2[[#This Row],[Customer ID]],Table2[#All],9,FALSE)</f>
        <v>Obesity</v>
      </c>
      <c r="K2286" t="str">
        <f>VLOOKUP(Table2[[#This Row],[Customer ID]],Table2[#All],10,FALSE)</f>
        <v>Prediabetes</v>
      </c>
    </row>
    <row r="2287" spans="1:11" ht="15.6" x14ac:dyDescent="0.3">
      <c r="A2287" s="1" t="s">
        <v>72</v>
      </c>
      <c r="B2287" t="str">
        <f>VLOOKUP('Customer Names'!A2287,'Customer Names'!$A$1:$E$2336,4,FALSE)</f>
        <v>Ms.  Hope</v>
      </c>
      <c r="C2287">
        <f>VLOOKUP(Table2[[#This Row],[Customer ID]],Table2[#All],2,FALSE)</f>
        <v>16.55</v>
      </c>
      <c r="D2287">
        <f>VLOOKUP(Table2[[#This Row],[Customer ID]],Table2[#All],3,FALSE)</f>
        <v>7.73</v>
      </c>
      <c r="E2287" t="str">
        <f>VLOOKUP(Table2[[#This Row],[Customer ID]],Table2[#All],4,FALSE)</f>
        <v>No</v>
      </c>
      <c r="F2287" t="str">
        <f>VLOOKUP(Table2[[#This Row],[Customer ID]],Table2[#All],5,FALSE)</f>
        <v>No</v>
      </c>
      <c r="G2287" t="str">
        <f>VLOOKUP(Table2[[#This Row],[Customer ID]],Table2[#All],6,FALSE)</f>
        <v>No</v>
      </c>
      <c r="H2287">
        <f>VLOOKUP(Table2[[#This Row],[Customer ID]],Table2[#All],7,FALSE)</f>
        <v>0</v>
      </c>
      <c r="I2287" t="str">
        <f>VLOOKUP(Table2[[#This Row],[Customer ID]],Table2[#All],8,FALSE)</f>
        <v>No</v>
      </c>
      <c r="J2287" t="str">
        <f>VLOOKUP(Table2[[#This Row],[Customer ID]],Table2[#All],9,FALSE)</f>
        <v>Underweight</v>
      </c>
      <c r="K2287" t="str">
        <f>VLOOKUP(Table2[[#This Row],[Customer ID]],Table2[#All],10,FALSE)</f>
        <v>Diabetes</v>
      </c>
    </row>
    <row r="2288" spans="1:11" ht="15.6" x14ac:dyDescent="0.3">
      <c r="A2288" s="1" t="s">
        <v>71</v>
      </c>
      <c r="B2288" t="str">
        <f>VLOOKUP('Customer Names'!A2288,'Customer Names'!$A$1:$E$2336,4,FALSE)</f>
        <v>Mr.  Mark P.</v>
      </c>
      <c r="C2288">
        <f>VLOOKUP(Table2[[#This Row],[Customer ID]],Table2[#All],2,FALSE)</f>
        <v>37.29</v>
      </c>
      <c r="D2288">
        <f>VLOOKUP(Table2[[#This Row],[Customer ID]],Table2[#All],3,FALSE)</f>
        <v>5.03</v>
      </c>
      <c r="E2288" t="str">
        <f>VLOOKUP(Table2[[#This Row],[Customer ID]],Table2[#All],4,FALSE)</f>
        <v>No</v>
      </c>
      <c r="F2288" t="str">
        <f>VLOOKUP(Table2[[#This Row],[Customer ID]],Table2[#All],5,FALSE)</f>
        <v>yes</v>
      </c>
      <c r="G2288" t="str">
        <f>VLOOKUP(Table2[[#This Row],[Customer ID]],Table2[#All],6,FALSE)</f>
        <v>No</v>
      </c>
      <c r="H2288">
        <f>VLOOKUP(Table2[[#This Row],[Customer ID]],Table2[#All],7,FALSE)</f>
        <v>1</v>
      </c>
      <c r="I2288" t="str">
        <f>VLOOKUP(Table2[[#This Row],[Customer ID]],Table2[#All],8,FALSE)</f>
        <v>No</v>
      </c>
      <c r="J2288" t="str">
        <f>VLOOKUP(Table2[[#This Row],[Customer ID]],Table2[#All],9,FALSE)</f>
        <v>Obesity</v>
      </c>
      <c r="K2288" t="str">
        <f>VLOOKUP(Table2[[#This Row],[Customer ID]],Table2[#All],10,FALSE)</f>
        <v>Normal</v>
      </c>
    </row>
    <row r="2289" spans="1:11" ht="15.6" x14ac:dyDescent="0.3">
      <c r="A2289" s="1" t="s">
        <v>70</v>
      </c>
      <c r="B2289" t="str">
        <f>VLOOKUP('Customer Names'!A2289,'Customer Names'!$A$1:$E$2336,4,FALSE)</f>
        <v>Ms.  Desiree</v>
      </c>
      <c r="C2289">
        <f>VLOOKUP(Table2[[#This Row],[Customer ID]],Table2[#All],2,FALSE)</f>
        <v>16.739999999999998</v>
      </c>
      <c r="D2289">
        <f>VLOOKUP(Table2[[#This Row],[Customer ID]],Table2[#All],3,FALSE)</f>
        <v>4.08</v>
      </c>
      <c r="E2289" t="str">
        <f>VLOOKUP(Table2[[#This Row],[Customer ID]],Table2[#All],4,FALSE)</f>
        <v>Yes</v>
      </c>
      <c r="F2289" t="str">
        <f>VLOOKUP(Table2[[#This Row],[Customer ID]],Table2[#All],5,FALSE)</f>
        <v>No</v>
      </c>
      <c r="G2289" t="str">
        <f>VLOOKUP(Table2[[#This Row],[Customer ID]],Table2[#All],6,FALSE)</f>
        <v>No</v>
      </c>
      <c r="H2289">
        <f>VLOOKUP(Table2[[#This Row],[Customer ID]],Table2[#All],7,FALSE)</f>
        <v>0</v>
      </c>
      <c r="I2289" t="str">
        <f>VLOOKUP(Table2[[#This Row],[Customer ID]],Table2[#All],8,FALSE)</f>
        <v>No</v>
      </c>
      <c r="J2289" t="str">
        <f>VLOOKUP(Table2[[#This Row],[Customer ID]],Table2[#All],9,FALSE)</f>
        <v>Underweight</v>
      </c>
      <c r="K2289" t="str">
        <f>VLOOKUP(Table2[[#This Row],[Customer ID]],Table2[#All],10,FALSE)</f>
        <v>Normal</v>
      </c>
    </row>
    <row r="2290" spans="1:11" ht="15.6" x14ac:dyDescent="0.3">
      <c r="A2290" s="1" t="s">
        <v>69</v>
      </c>
      <c r="B2290" t="str">
        <f>VLOOKUP('Customer Names'!A2290,'Customer Names'!$A$1:$E$2336,4,FALSE)</f>
        <v>Mr.  Mario Jr.</v>
      </c>
      <c r="C2290">
        <f>VLOOKUP(Table2[[#This Row],[Customer ID]],Table2[#All],2,FALSE)</f>
        <v>34.43</v>
      </c>
      <c r="D2290">
        <f>VLOOKUP(Table2[[#This Row],[Customer ID]],Table2[#All],3,FALSE)</f>
        <v>4.2699999999999996</v>
      </c>
      <c r="E2290" t="str">
        <f>VLOOKUP(Table2[[#This Row],[Customer ID]],Table2[#All],4,FALSE)</f>
        <v>No</v>
      </c>
      <c r="F2290" t="str">
        <f>VLOOKUP(Table2[[#This Row],[Customer ID]],Table2[#All],5,FALSE)</f>
        <v>yes</v>
      </c>
      <c r="G2290" t="str">
        <f>VLOOKUP(Table2[[#This Row],[Customer ID]],Table2[#All],6,FALSE)</f>
        <v>No</v>
      </c>
      <c r="H2290">
        <f>VLOOKUP(Table2[[#This Row],[Customer ID]],Table2[#All],7,FALSE)</f>
        <v>1</v>
      </c>
      <c r="I2290" t="str">
        <f>VLOOKUP(Table2[[#This Row],[Customer ID]],Table2[#All],8,FALSE)</f>
        <v>No</v>
      </c>
      <c r="J2290" t="str">
        <f>VLOOKUP(Table2[[#This Row],[Customer ID]],Table2[#All],9,FALSE)</f>
        <v>Obesity</v>
      </c>
      <c r="K2290" t="str">
        <f>VLOOKUP(Table2[[#This Row],[Customer ID]],Table2[#All],10,FALSE)</f>
        <v>Normal</v>
      </c>
    </row>
    <row r="2291" spans="1:11" ht="15.6" x14ac:dyDescent="0.3">
      <c r="A2291" s="1" t="s">
        <v>68</v>
      </c>
      <c r="B2291" t="str">
        <f>VLOOKUP('Customer Names'!A2291,'Customer Names'!$A$1:$E$2336,4,FALSE)</f>
        <v>Mr.  Lusapho</v>
      </c>
      <c r="C2291">
        <f>VLOOKUP(Table2[[#This Row],[Customer ID]],Table2[#All],2,FALSE)</f>
        <v>34.1</v>
      </c>
      <c r="D2291">
        <f>VLOOKUP(Table2[[#This Row],[Customer ID]],Table2[#All],3,FALSE)</f>
        <v>4.07</v>
      </c>
      <c r="E2291" t="str">
        <f>VLOOKUP(Table2[[#This Row],[Customer ID]],Table2[#All],4,FALSE)</f>
        <v>No</v>
      </c>
      <c r="F2291" t="str">
        <f>VLOOKUP(Table2[[#This Row],[Customer ID]],Table2[#All],5,FALSE)</f>
        <v>yes</v>
      </c>
      <c r="G2291" t="str">
        <f>VLOOKUP(Table2[[#This Row],[Customer ID]],Table2[#All],6,FALSE)</f>
        <v>No</v>
      </c>
      <c r="H2291">
        <f>VLOOKUP(Table2[[#This Row],[Customer ID]],Table2[#All],7,FALSE)</f>
        <v>1</v>
      </c>
      <c r="I2291" t="str">
        <f>VLOOKUP(Table2[[#This Row],[Customer ID]],Table2[#All],8,FALSE)</f>
        <v>No</v>
      </c>
      <c r="J2291" t="str">
        <f>VLOOKUP(Table2[[#This Row],[Customer ID]],Table2[#All],9,FALSE)</f>
        <v>Obesity</v>
      </c>
      <c r="K2291" t="str">
        <f>VLOOKUP(Table2[[#This Row],[Customer ID]],Table2[#All],10,FALSE)</f>
        <v>Normal</v>
      </c>
    </row>
    <row r="2292" spans="1:11" ht="15.6" x14ac:dyDescent="0.3">
      <c r="A2292" s="1" t="s">
        <v>67</v>
      </c>
      <c r="B2292" t="str">
        <f>VLOOKUP('Customer Names'!A2292,'Customer Names'!$A$1:$E$2336,4,FALSE)</f>
        <v>Ms.  Erin C.</v>
      </c>
      <c r="C2292">
        <f>VLOOKUP(Table2[[#This Row],[Customer ID]],Table2[#All],2,FALSE)</f>
        <v>19.3</v>
      </c>
      <c r="D2292">
        <f>VLOOKUP(Table2[[#This Row],[Customer ID]],Table2[#All],3,FALSE)</f>
        <v>10.36</v>
      </c>
      <c r="E2292" t="str">
        <f>VLOOKUP(Table2[[#This Row],[Customer ID]],Table2[#All],4,FALSE)</f>
        <v>No</v>
      </c>
      <c r="F2292" t="str">
        <f>VLOOKUP(Table2[[#This Row],[Customer ID]],Table2[#All],5,FALSE)</f>
        <v>No</v>
      </c>
      <c r="G2292" t="str">
        <f>VLOOKUP(Table2[[#This Row],[Customer ID]],Table2[#All],6,FALSE)</f>
        <v>No</v>
      </c>
      <c r="H2292">
        <f>VLOOKUP(Table2[[#This Row],[Customer ID]],Table2[#All],7,FALSE)</f>
        <v>0</v>
      </c>
      <c r="I2292" t="str">
        <f>VLOOKUP(Table2[[#This Row],[Customer ID]],Table2[#All],8,FALSE)</f>
        <v>No</v>
      </c>
      <c r="J2292" t="str">
        <f>VLOOKUP(Table2[[#This Row],[Customer ID]],Table2[#All],9,FALSE)</f>
        <v>Normalweight</v>
      </c>
      <c r="K2292" t="str">
        <f>VLOOKUP(Table2[[#This Row],[Customer ID]],Table2[#All],10,FALSE)</f>
        <v>Diabetes</v>
      </c>
    </row>
    <row r="2293" spans="1:11" ht="15.6" x14ac:dyDescent="0.3">
      <c r="A2293" s="1" t="s">
        <v>66</v>
      </c>
      <c r="B2293" t="str">
        <f>VLOOKUP('Customer Names'!A2293,'Customer Names'!$A$1:$E$2336,4,FALSE)</f>
        <v>Mr.  Alan F</v>
      </c>
      <c r="C2293">
        <f>VLOOKUP(Table2[[#This Row],[Customer ID]],Table2[#All],2,FALSE)</f>
        <v>33.659999999999997</v>
      </c>
      <c r="D2293">
        <f>VLOOKUP(Table2[[#This Row],[Customer ID]],Table2[#All],3,FALSE)</f>
        <v>5.71</v>
      </c>
      <c r="E2293" t="str">
        <f>VLOOKUP(Table2[[#This Row],[Customer ID]],Table2[#All],4,FALSE)</f>
        <v>No</v>
      </c>
      <c r="F2293" t="str">
        <f>VLOOKUP(Table2[[#This Row],[Customer ID]],Table2[#All],5,FALSE)</f>
        <v>yes</v>
      </c>
      <c r="G2293" t="str">
        <f>VLOOKUP(Table2[[#This Row],[Customer ID]],Table2[#All],6,FALSE)</f>
        <v>No</v>
      </c>
      <c r="H2293">
        <f>VLOOKUP(Table2[[#This Row],[Customer ID]],Table2[#All],7,FALSE)</f>
        <v>1</v>
      </c>
      <c r="I2293" t="str">
        <f>VLOOKUP(Table2[[#This Row],[Customer ID]],Table2[#All],8,FALSE)</f>
        <v>No</v>
      </c>
      <c r="J2293" t="str">
        <f>VLOOKUP(Table2[[#This Row],[Customer ID]],Table2[#All],9,FALSE)</f>
        <v>Obesity</v>
      </c>
      <c r="K2293" t="str">
        <f>VLOOKUP(Table2[[#This Row],[Customer ID]],Table2[#All],10,FALSE)</f>
        <v>Prediabetes</v>
      </c>
    </row>
    <row r="2294" spans="1:11" ht="15.6" x14ac:dyDescent="0.3">
      <c r="A2294" s="1" t="s">
        <v>65</v>
      </c>
      <c r="B2294" t="str">
        <f>VLOOKUP('Customer Names'!A2294,'Customer Names'!$A$1:$E$2336,4,FALSE)</f>
        <v>Mr.  Ryan</v>
      </c>
      <c r="C2294">
        <f>VLOOKUP(Table2[[#This Row],[Customer ID]],Table2[#All],2,FALSE)</f>
        <v>33.33</v>
      </c>
      <c r="D2294">
        <f>VLOOKUP(Table2[[#This Row],[Customer ID]],Table2[#All],3,FALSE)</f>
        <v>6.08</v>
      </c>
      <c r="E2294" t="str">
        <f>VLOOKUP(Table2[[#This Row],[Customer ID]],Table2[#All],4,FALSE)</f>
        <v>No</v>
      </c>
      <c r="F2294" t="str">
        <f>VLOOKUP(Table2[[#This Row],[Customer ID]],Table2[#All],5,FALSE)</f>
        <v>yes</v>
      </c>
      <c r="G2294" t="str">
        <f>VLOOKUP(Table2[[#This Row],[Customer ID]],Table2[#All],6,FALSE)</f>
        <v>No</v>
      </c>
      <c r="H2294">
        <f>VLOOKUP(Table2[[#This Row],[Customer ID]],Table2[#All],7,FALSE)</f>
        <v>1</v>
      </c>
      <c r="I2294" t="str">
        <f>VLOOKUP(Table2[[#This Row],[Customer ID]],Table2[#All],8,FALSE)</f>
        <v>No</v>
      </c>
      <c r="J2294" t="str">
        <f>VLOOKUP(Table2[[#This Row],[Customer ID]],Table2[#All],9,FALSE)</f>
        <v>Obesity</v>
      </c>
      <c r="K2294" t="str">
        <f>VLOOKUP(Table2[[#This Row],[Customer ID]],Table2[#All],10,FALSE)</f>
        <v>Prediabetes</v>
      </c>
    </row>
    <row r="2295" spans="1:11" ht="15.6" x14ac:dyDescent="0.3">
      <c r="A2295" s="1" t="s">
        <v>64</v>
      </c>
      <c r="B2295" t="str">
        <f>VLOOKUP('Customer Names'!A2295,'Customer Names'!$A$1:$E$2336,4,FALSE)</f>
        <v>Ms.  Hope</v>
      </c>
      <c r="C2295">
        <f>VLOOKUP(Table2[[#This Row],[Customer ID]],Table2[#All],2,FALSE)</f>
        <v>21.84</v>
      </c>
      <c r="D2295">
        <f>VLOOKUP(Table2[[#This Row],[Customer ID]],Table2[#All],3,FALSE)</f>
        <v>5.71</v>
      </c>
      <c r="E2295" t="str">
        <f>VLOOKUP(Table2[[#This Row],[Customer ID]],Table2[#All],4,FALSE)</f>
        <v>No</v>
      </c>
      <c r="F2295" t="str">
        <f>VLOOKUP(Table2[[#This Row],[Customer ID]],Table2[#All],5,FALSE)</f>
        <v>yes</v>
      </c>
      <c r="G2295" t="str">
        <f>VLOOKUP(Table2[[#This Row],[Customer ID]],Table2[#All],6,FALSE)</f>
        <v>No</v>
      </c>
      <c r="H2295">
        <f>VLOOKUP(Table2[[#This Row],[Customer ID]],Table2[#All],7,FALSE)</f>
        <v>1</v>
      </c>
      <c r="I2295" t="str">
        <f>VLOOKUP(Table2[[#This Row],[Customer ID]],Table2[#All],8,FALSE)</f>
        <v>No</v>
      </c>
      <c r="J2295" t="str">
        <f>VLOOKUP(Table2[[#This Row],[Customer ID]],Table2[#All],9,FALSE)</f>
        <v>Normalweight</v>
      </c>
      <c r="K2295" t="str">
        <f>VLOOKUP(Table2[[#This Row],[Customer ID]],Table2[#All],10,FALSE)</f>
        <v>Prediabetes</v>
      </c>
    </row>
    <row r="2296" spans="1:11" ht="15.6" x14ac:dyDescent="0.3">
      <c r="A2296" s="1" t="s">
        <v>63</v>
      </c>
      <c r="B2296" t="str">
        <f>VLOOKUP('Customer Names'!A2296,'Customer Names'!$A$1:$E$2336,4,FALSE)</f>
        <v>Mr.  Josh</v>
      </c>
      <c r="C2296">
        <f>VLOOKUP(Table2[[#This Row],[Customer ID]],Table2[#All],2,FALSE)</f>
        <v>16.87</v>
      </c>
      <c r="D2296">
        <f>VLOOKUP(Table2[[#This Row],[Customer ID]],Table2[#All],3,FALSE)</f>
        <v>9.1300000000000008</v>
      </c>
      <c r="E2296" t="str">
        <f>VLOOKUP(Table2[[#This Row],[Customer ID]],Table2[#All],4,FALSE)</f>
        <v>No</v>
      </c>
      <c r="F2296" t="str">
        <f>VLOOKUP(Table2[[#This Row],[Customer ID]],Table2[#All],5,FALSE)</f>
        <v>No</v>
      </c>
      <c r="G2296" t="str">
        <f>VLOOKUP(Table2[[#This Row],[Customer ID]],Table2[#All],6,FALSE)</f>
        <v>No</v>
      </c>
      <c r="H2296">
        <f>VLOOKUP(Table2[[#This Row],[Customer ID]],Table2[#All],7,FALSE)</f>
        <v>0</v>
      </c>
      <c r="I2296" t="str">
        <f>VLOOKUP(Table2[[#This Row],[Customer ID]],Table2[#All],8,FALSE)</f>
        <v>No</v>
      </c>
      <c r="J2296" t="str">
        <f>VLOOKUP(Table2[[#This Row],[Customer ID]],Table2[#All],9,FALSE)</f>
        <v>Underweight</v>
      </c>
      <c r="K2296" t="str">
        <f>VLOOKUP(Table2[[#This Row],[Customer ID]],Table2[#All],10,FALSE)</f>
        <v>Diabetes</v>
      </c>
    </row>
    <row r="2297" spans="1:11" ht="15.6" x14ac:dyDescent="0.3">
      <c r="A2297" s="1" t="s">
        <v>62</v>
      </c>
      <c r="B2297" t="str">
        <f>VLOOKUP('Customer Names'!A2297,'Customer Names'!$A$1:$E$2336,4,FALSE)</f>
        <v>Mr.  Jacob J</v>
      </c>
      <c r="C2297">
        <f>VLOOKUP(Table2[[#This Row],[Customer ID]],Table2[#All],2,FALSE)</f>
        <v>30.14</v>
      </c>
      <c r="D2297">
        <f>VLOOKUP(Table2[[#This Row],[Customer ID]],Table2[#All],3,FALSE)</f>
        <v>5.49</v>
      </c>
      <c r="E2297" t="str">
        <f>VLOOKUP(Table2[[#This Row],[Customer ID]],Table2[#All],4,FALSE)</f>
        <v>No</v>
      </c>
      <c r="F2297" t="str">
        <f>VLOOKUP(Table2[[#This Row],[Customer ID]],Table2[#All],5,FALSE)</f>
        <v>yes</v>
      </c>
      <c r="G2297" t="str">
        <f>VLOOKUP(Table2[[#This Row],[Customer ID]],Table2[#All],6,FALSE)</f>
        <v>No</v>
      </c>
      <c r="H2297">
        <f>VLOOKUP(Table2[[#This Row],[Customer ID]],Table2[#All],7,FALSE)</f>
        <v>1</v>
      </c>
      <c r="I2297" t="str">
        <f>VLOOKUP(Table2[[#This Row],[Customer ID]],Table2[#All],8,FALSE)</f>
        <v>No</v>
      </c>
      <c r="J2297" t="str">
        <f>VLOOKUP(Table2[[#This Row],[Customer ID]],Table2[#All],9,FALSE)</f>
        <v>Obesity</v>
      </c>
      <c r="K2297" t="str">
        <f>VLOOKUP(Table2[[#This Row],[Customer ID]],Table2[#All],10,FALSE)</f>
        <v>Normal</v>
      </c>
    </row>
    <row r="2298" spans="1:11" ht="15.6" x14ac:dyDescent="0.3">
      <c r="A2298" s="1" t="s">
        <v>61</v>
      </c>
      <c r="B2298" t="str">
        <f>VLOOKUP('Customer Names'!A2298,'Customer Names'!$A$1:$E$2336,4,FALSE)</f>
        <v>Mr.  Jose Tomas</v>
      </c>
      <c r="C2298">
        <f>VLOOKUP(Table2[[#This Row],[Customer ID]],Table2[#All],2,FALSE)</f>
        <v>23.21</v>
      </c>
      <c r="D2298">
        <f>VLOOKUP(Table2[[#This Row],[Customer ID]],Table2[#All],3,FALSE)</f>
        <v>4.37</v>
      </c>
      <c r="E2298" t="str">
        <f>VLOOKUP(Table2[[#This Row],[Customer ID]],Table2[#All],4,FALSE)</f>
        <v>No</v>
      </c>
      <c r="F2298" t="str">
        <f>VLOOKUP(Table2[[#This Row],[Customer ID]],Table2[#All],5,FALSE)</f>
        <v>yes</v>
      </c>
      <c r="G2298" t="str">
        <f>VLOOKUP(Table2[[#This Row],[Customer ID]],Table2[#All],6,FALSE)</f>
        <v>No</v>
      </c>
      <c r="H2298">
        <f>VLOOKUP(Table2[[#This Row],[Customer ID]],Table2[#All],7,FALSE)</f>
        <v>1</v>
      </c>
      <c r="I2298" t="str">
        <f>VLOOKUP(Table2[[#This Row],[Customer ID]],Table2[#All],8,FALSE)</f>
        <v>No</v>
      </c>
      <c r="J2298" t="str">
        <f>VLOOKUP(Table2[[#This Row],[Customer ID]],Table2[#All],9,FALSE)</f>
        <v>Normalweight</v>
      </c>
      <c r="K2298" t="str">
        <f>VLOOKUP(Table2[[#This Row],[Customer ID]],Table2[#All],10,FALSE)</f>
        <v>Normal</v>
      </c>
    </row>
    <row r="2299" spans="1:11" ht="15.6" x14ac:dyDescent="0.3">
      <c r="A2299" s="1" t="s">
        <v>60</v>
      </c>
      <c r="B2299" t="str">
        <f>VLOOKUP('Customer Names'!A2299,'Customer Names'!$A$1:$E$2336,4,FALSE)</f>
        <v>Ms.  Mary Evan</v>
      </c>
      <c r="C2299">
        <f>VLOOKUP(Table2[[#This Row],[Customer ID]],Table2[#All],2,FALSE)</f>
        <v>17.170000000000002</v>
      </c>
      <c r="D2299">
        <f>VLOOKUP(Table2[[#This Row],[Customer ID]],Table2[#All],3,FALSE)</f>
        <v>8.4600000000000009</v>
      </c>
      <c r="E2299" t="str">
        <f>VLOOKUP(Table2[[#This Row],[Customer ID]],Table2[#All],4,FALSE)</f>
        <v>No</v>
      </c>
      <c r="F2299" t="str">
        <f>VLOOKUP(Table2[[#This Row],[Customer ID]],Table2[#All],5,FALSE)</f>
        <v>No</v>
      </c>
      <c r="G2299" t="str">
        <f>VLOOKUP(Table2[[#This Row],[Customer ID]],Table2[#All],6,FALSE)</f>
        <v>No</v>
      </c>
      <c r="H2299">
        <f>VLOOKUP(Table2[[#This Row],[Customer ID]],Table2[#All],7,FALSE)</f>
        <v>0</v>
      </c>
      <c r="I2299" t="str">
        <f>VLOOKUP(Table2[[#This Row],[Customer ID]],Table2[#All],8,FALSE)</f>
        <v>No</v>
      </c>
      <c r="J2299" t="str">
        <f>VLOOKUP(Table2[[#This Row],[Customer ID]],Table2[#All],9,FALSE)</f>
        <v>Underweight</v>
      </c>
      <c r="K2299" t="str">
        <f>VLOOKUP(Table2[[#This Row],[Customer ID]],Table2[#All],10,FALSE)</f>
        <v>Diabetes</v>
      </c>
    </row>
    <row r="2300" spans="1:11" ht="15.6" x14ac:dyDescent="0.3">
      <c r="A2300" s="1" t="s">
        <v>59</v>
      </c>
      <c r="B2300" t="str">
        <f>VLOOKUP('Customer Names'!A2300,'Customer Names'!$A$1:$E$2336,4,FALSE)</f>
        <v>Mr.  Justin K.</v>
      </c>
      <c r="C2300">
        <f>VLOOKUP(Table2[[#This Row],[Customer ID]],Table2[#All],2,FALSE)</f>
        <v>15.61</v>
      </c>
      <c r="D2300">
        <f>VLOOKUP(Table2[[#This Row],[Customer ID]],Table2[#All],3,FALSE)</f>
        <v>5.28</v>
      </c>
      <c r="E2300" t="str">
        <f>VLOOKUP(Table2[[#This Row],[Customer ID]],Table2[#All],4,FALSE)</f>
        <v>No</v>
      </c>
      <c r="F2300" t="str">
        <f>VLOOKUP(Table2[[#This Row],[Customer ID]],Table2[#All],5,FALSE)</f>
        <v>No</v>
      </c>
      <c r="G2300" t="str">
        <f>VLOOKUP(Table2[[#This Row],[Customer ID]],Table2[#All],6,FALSE)</f>
        <v>No</v>
      </c>
      <c r="H2300">
        <f>VLOOKUP(Table2[[#This Row],[Customer ID]],Table2[#All],7,FALSE)</f>
        <v>1</v>
      </c>
      <c r="I2300" t="str">
        <f>VLOOKUP(Table2[[#This Row],[Customer ID]],Table2[#All],8,FALSE)</f>
        <v>No</v>
      </c>
      <c r="J2300" t="str">
        <f>VLOOKUP(Table2[[#This Row],[Customer ID]],Table2[#All],9,FALSE)</f>
        <v>Underweight</v>
      </c>
      <c r="K2300" t="str">
        <f>VLOOKUP(Table2[[#This Row],[Customer ID]],Table2[#All],10,FALSE)</f>
        <v>Normal</v>
      </c>
    </row>
    <row r="2301" spans="1:11" ht="15.6" x14ac:dyDescent="0.3">
      <c r="A2301" s="1" t="s">
        <v>58</v>
      </c>
      <c r="B2301" t="str">
        <f>VLOOKUP('Customer Names'!A2301,'Customer Names'!$A$1:$E$2336,4,FALSE)</f>
        <v>Mr.  Patrick</v>
      </c>
      <c r="C2301">
        <f>VLOOKUP(Table2[[#This Row],[Customer ID]],Table2[#All],2,FALSE)</f>
        <v>17.98</v>
      </c>
      <c r="D2301">
        <f>VLOOKUP(Table2[[#This Row],[Customer ID]],Table2[#All],3,FALSE)</f>
        <v>5.33</v>
      </c>
      <c r="E2301" t="str">
        <f>VLOOKUP(Table2[[#This Row],[Customer ID]],Table2[#All],4,FALSE)</f>
        <v>Yes</v>
      </c>
      <c r="F2301" t="str">
        <f>VLOOKUP(Table2[[#This Row],[Customer ID]],Table2[#All],5,FALSE)</f>
        <v>No</v>
      </c>
      <c r="G2301" t="str">
        <f>VLOOKUP(Table2[[#This Row],[Customer ID]],Table2[#All],6,FALSE)</f>
        <v>Yes</v>
      </c>
      <c r="H2301">
        <f>VLOOKUP(Table2[[#This Row],[Customer ID]],Table2[#All],7,FALSE)</f>
        <v>1</v>
      </c>
      <c r="I2301" t="str">
        <f>VLOOKUP(Table2[[#This Row],[Customer ID]],Table2[#All],8,FALSE)</f>
        <v>No</v>
      </c>
      <c r="J2301" t="str">
        <f>VLOOKUP(Table2[[#This Row],[Customer ID]],Table2[#All],9,FALSE)</f>
        <v>Underweight</v>
      </c>
      <c r="K2301" t="str">
        <f>VLOOKUP(Table2[[#This Row],[Customer ID]],Table2[#All],10,FALSE)</f>
        <v>Normal</v>
      </c>
    </row>
    <row r="2302" spans="1:11" ht="15.6" x14ac:dyDescent="0.3">
      <c r="A2302" s="1" t="s">
        <v>57</v>
      </c>
      <c r="B2302" t="str">
        <f>VLOOKUP('Customer Names'!A2302,'Customer Names'!$A$1:$E$2336,4,FALSE)</f>
        <v>Mr.  Roman</v>
      </c>
      <c r="C2302">
        <f>VLOOKUP(Table2[[#This Row],[Customer ID]],Table2[#All],2,FALSE)</f>
        <v>21.64</v>
      </c>
      <c r="D2302">
        <f>VLOOKUP(Table2[[#This Row],[Customer ID]],Table2[#All],3,FALSE)</f>
        <v>5.5</v>
      </c>
      <c r="E2302" t="str">
        <f>VLOOKUP(Table2[[#This Row],[Customer ID]],Table2[#All],4,FALSE)</f>
        <v>No</v>
      </c>
      <c r="F2302" t="str">
        <f>VLOOKUP(Table2[[#This Row],[Customer ID]],Table2[#All],5,FALSE)</f>
        <v>yes</v>
      </c>
      <c r="G2302" t="str">
        <f>VLOOKUP(Table2[[#This Row],[Customer ID]],Table2[#All],6,FALSE)</f>
        <v>No</v>
      </c>
      <c r="H2302">
        <f>VLOOKUP(Table2[[#This Row],[Customer ID]],Table2[#All],7,FALSE)</f>
        <v>1</v>
      </c>
      <c r="I2302" t="str">
        <f>VLOOKUP(Table2[[#This Row],[Customer ID]],Table2[#All],8,FALSE)</f>
        <v>No</v>
      </c>
      <c r="J2302" t="str">
        <f>VLOOKUP(Table2[[#This Row],[Customer ID]],Table2[#All],9,FALSE)</f>
        <v>Normalweight</v>
      </c>
      <c r="K2302" t="str">
        <f>VLOOKUP(Table2[[#This Row],[Customer ID]],Table2[#All],10,FALSE)</f>
        <v>Normal</v>
      </c>
    </row>
    <row r="2303" spans="1:11" ht="15.6" x14ac:dyDescent="0.3">
      <c r="A2303" s="1" t="s">
        <v>56</v>
      </c>
      <c r="B2303" t="str">
        <f>VLOOKUP('Customer Names'!A2303,'Customer Names'!$A$1:$E$2336,4,FALSE)</f>
        <v>Mr.  David</v>
      </c>
      <c r="C2303">
        <f>VLOOKUP(Table2[[#This Row],[Customer ID]],Table2[#All],2,FALSE)</f>
        <v>16.399999999999999</v>
      </c>
      <c r="D2303">
        <f>VLOOKUP(Table2[[#This Row],[Customer ID]],Table2[#All],3,FALSE)</f>
        <v>5.4</v>
      </c>
      <c r="E2303" t="str">
        <f>VLOOKUP(Table2[[#This Row],[Customer ID]],Table2[#All],4,FALSE)</f>
        <v>No</v>
      </c>
      <c r="F2303" t="str">
        <f>VLOOKUP(Table2[[#This Row],[Customer ID]],Table2[#All],5,FALSE)</f>
        <v>No</v>
      </c>
      <c r="G2303" t="str">
        <f>VLOOKUP(Table2[[#This Row],[Customer ID]],Table2[#All],6,FALSE)</f>
        <v>Yes</v>
      </c>
      <c r="H2303">
        <f>VLOOKUP(Table2[[#This Row],[Customer ID]],Table2[#All],7,FALSE)</f>
        <v>1</v>
      </c>
      <c r="I2303" t="str">
        <f>VLOOKUP(Table2[[#This Row],[Customer ID]],Table2[#All],8,FALSE)</f>
        <v>No</v>
      </c>
      <c r="J2303" t="str">
        <f>VLOOKUP(Table2[[#This Row],[Customer ID]],Table2[#All],9,FALSE)</f>
        <v>Underweight</v>
      </c>
      <c r="K2303" t="str">
        <f>VLOOKUP(Table2[[#This Row],[Customer ID]],Table2[#All],10,FALSE)</f>
        <v>Normal</v>
      </c>
    </row>
    <row r="2304" spans="1:11" ht="15.6" x14ac:dyDescent="0.3">
      <c r="A2304" s="1" t="s">
        <v>55</v>
      </c>
      <c r="B2304" t="str">
        <f>VLOOKUP('Customer Names'!A2304,'Customer Names'!$A$1:$E$2336,4,FALSE)</f>
        <v>Ms.  Evelyn L</v>
      </c>
      <c r="C2304">
        <f>VLOOKUP(Table2[[#This Row],[Customer ID]],Table2[#All],2,FALSE)</f>
        <v>15.77</v>
      </c>
      <c r="D2304">
        <f>VLOOKUP(Table2[[#This Row],[Customer ID]],Table2[#All],3,FALSE)</f>
        <v>6.05</v>
      </c>
      <c r="E2304" t="str">
        <f>VLOOKUP(Table2[[#This Row],[Customer ID]],Table2[#All],4,FALSE)</f>
        <v>Yes</v>
      </c>
      <c r="F2304" t="str">
        <f>VLOOKUP(Table2[[#This Row],[Customer ID]],Table2[#All],5,FALSE)</f>
        <v>No</v>
      </c>
      <c r="G2304" t="str">
        <f>VLOOKUP(Table2[[#This Row],[Customer ID]],Table2[#All],6,FALSE)</f>
        <v>No</v>
      </c>
      <c r="H2304">
        <f>VLOOKUP(Table2[[#This Row],[Customer ID]],Table2[#All],7,FALSE)</f>
        <v>1</v>
      </c>
      <c r="I2304" t="str">
        <f>VLOOKUP(Table2[[#This Row],[Customer ID]],Table2[#All],8,FALSE)</f>
        <v>No</v>
      </c>
      <c r="J2304" t="str">
        <f>VLOOKUP(Table2[[#This Row],[Customer ID]],Table2[#All],9,FALSE)</f>
        <v>Underweight</v>
      </c>
      <c r="K2304" t="str">
        <f>VLOOKUP(Table2[[#This Row],[Customer ID]],Table2[#All],10,FALSE)</f>
        <v>Prediabetes</v>
      </c>
    </row>
    <row r="2305" spans="1:11" ht="15.6" x14ac:dyDescent="0.3">
      <c r="A2305" s="1" t="s">
        <v>54</v>
      </c>
      <c r="B2305" t="str">
        <f>VLOOKUP('Customer Names'!A2305,'Customer Names'!$A$1:$E$2336,4,FALSE)</f>
        <v>Mr.  Jim</v>
      </c>
      <c r="C2305">
        <f>VLOOKUP(Table2[[#This Row],[Customer ID]],Table2[#All],2,FALSE)</f>
        <v>18.27</v>
      </c>
      <c r="D2305">
        <f>VLOOKUP(Table2[[#This Row],[Customer ID]],Table2[#All],3,FALSE)</f>
        <v>11.46</v>
      </c>
      <c r="E2305" t="str">
        <f>VLOOKUP(Table2[[#This Row],[Customer ID]],Table2[#All],4,FALSE)</f>
        <v>No</v>
      </c>
      <c r="F2305" t="str">
        <f>VLOOKUP(Table2[[#This Row],[Customer ID]],Table2[#All],5,FALSE)</f>
        <v>No</v>
      </c>
      <c r="G2305" t="str">
        <f>VLOOKUP(Table2[[#This Row],[Customer ID]],Table2[#All],6,FALSE)</f>
        <v>No</v>
      </c>
      <c r="H2305">
        <f>VLOOKUP(Table2[[#This Row],[Customer ID]],Table2[#All],7,FALSE)</f>
        <v>0</v>
      </c>
      <c r="I2305" t="str">
        <f>VLOOKUP(Table2[[#This Row],[Customer ID]],Table2[#All],8,FALSE)</f>
        <v>No</v>
      </c>
      <c r="J2305" t="str">
        <f>VLOOKUP(Table2[[#This Row],[Customer ID]],Table2[#All],9,FALSE)</f>
        <v>Underweight</v>
      </c>
      <c r="K2305" t="str">
        <f>VLOOKUP(Table2[[#This Row],[Customer ID]],Table2[#All],10,FALSE)</f>
        <v>Diabetes</v>
      </c>
    </row>
    <row r="2306" spans="1:11" ht="15.6" x14ac:dyDescent="0.3">
      <c r="A2306" s="1" t="s">
        <v>53</v>
      </c>
      <c r="B2306" t="str">
        <f>VLOOKUP('Customer Names'!A2306,'Customer Names'!$A$1:$E$2336,4,FALSE)</f>
        <v>Mr.  Matthew S</v>
      </c>
      <c r="C2306">
        <f>VLOOKUP(Table2[[#This Row],[Customer ID]],Table2[#All],2,FALSE)</f>
        <v>16.489999999999998</v>
      </c>
      <c r="D2306">
        <f>VLOOKUP(Table2[[#This Row],[Customer ID]],Table2[#All],3,FALSE)</f>
        <v>8.48</v>
      </c>
      <c r="E2306" t="str">
        <f>VLOOKUP(Table2[[#This Row],[Customer ID]],Table2[#All],4,FALSE)</f>
        <v>No</v>
      </c>
      <c r="F2306" t="str">
        <f>VLOOKUP(Table2[[#This Row],[Customer ID]],Table2[#All],5,FALSE)</f>
        <v>No</v>
      </c>
      <c r="G2306" t="str">
        <f>VLOOKUP(Table2[[#This Row],[Customer ID]],Table2[#All],6,FALSE)</f>
        <v>No</v>
      </c>
      <c r="H2306">
        <f>VLOOKUP(Table2[[#This Row],[Customer ID]],Table2[#All],7,FALSE)</f>
        <v>0</v>
      </c>
      <c r="I2306" t="str">
        <f>VLOOKUP(Table2[[#This Row],[Customer ID]],Table2[#All],8,FALSE)</f>
        <v>No</v>
      </c>
      <c r="J2306" t="str">
        <f>VLOOKUP(Table2[[#This Row],[Customer ID]],Table2[#All],9,FALSE)</f>
        <v>Underweight</v>
      </c>
      <c r="K2306" t="str">
        <f>VLOOKUP(Table2[[#This Row],[Customer ID]],Table2[#All],10,FALSE)</f>
        <v>Diabetes</v>
      </c>
    </row>
    <row r="2307" spans="1:11" ht="15.6" x14ac:dyDescent="0.3">
      <c r="A2307" s="1" t="s">
        <v>52</v>
      </c>
      <c r="B2307" t="str">
        <f>VLOOKUP('Customer Names'!A2307,'Customer Names'!$A$1:$E$2336,4,FALSE)</f>
        <v>Mr.  Kenneth</v>
      </c>
      <c r="C2307">
        <f>VLOOKUP(Table2[[#This Row],[Customer ID]],Table2[#All],2,FALSE)</f>
        <v>16.14</v>
      </c>
      <c r="D2307">
        <f>VLOOKUP(Table2[[#This Row],[Customer ID]],Table2[#All],3,FALSE)</f>
        <v>4.8600000000000003</v>
      </c>
      <c r="E2307" t="str">
        <f>VLOOKUP(Table2[[#This Row],[Customer ID]],Table2[#All],4,FALSE)</f>
        <v>No</v>
      </c>
      <c r="F2307" t="str">
        <f>VLOOKUP(Table2[[#This Row],[Customer ID]],Table2[#All],5,FALSE)</f>
        <v>No</v>
      </c>
      <c r="G2307" t="str">
        <f>VLOOKUP(Table2[[#This Row],[Customer ID]],Table2[#All],6,FALSE)</f>
        <v>No</v>
      </c>
      <c r="H2307">
        <f>VLOOKUP(Table2[[#This Row],[Customer ID]],Table2[#All],7,FALSE)</f>
        <v>0</v>
      </c>
      <c r="I2307" t="str">
        <f>VLOOKUP(Table2[[#This Row],[Customer ID]],Table2[#All],8,FALSE)</f>
        <v>No</v>
      </c>
      <c r="J2307" t="str">
        <f>VLOOKUP(Table2[[#This Row],[Customer ID]],Table2[#All],9,FALSE)</f>
        <v>Underweight</v>
      </c>
      <c r="K2307" t="str">
        <f>VLOOKUP(Table2[[#This Row],[Customer ID]],Table2[#All],10,FALSE)</f>
        <v>Normal</v>
      </c>
    </row>
    <row r="2308" spans="1:11" ht="15.6" x14ac:dyDescent="0.3">
      <c r="A2308" s="1" t="s">
        <v>51</v>
      </c>
      <c r="B2308" t="str">
        <f>VLOOKUP('Customer Names'!A2308,'Customer Names'!$A$1:$E$2336,4,FALSE)</f>
        <v>Ms.  Andrea</v>
      </c>
      <c r="C2308">
        <f>VLOOKUP(Table2[[#This Row],[Customer ID]],Table2[#All],2,FALSE)</f>
        <v>20.85</v>
      </c>
      <c r="D2308">
        <f>VLOOKUP(Table2[[#This Row],[Customer ID]],Table2[#All],3,FALSE)</f>
        <v>4.45</v>
      </c>
      <c r="E2308" t="str">
        <f>VLOOKUP(Table2[[#This Row],[Customer ID]],Table2[#All],4,FALSE)</f>
        <v>Yes</v>
      </c>
      <c r="F2308" t="str">
        <f>VLOOKUP(Table2[[#This Row],[Customer ID]],Table2[#All],5,FALSE)</f>
        <v>No</v>
      </c>
      <c r="G2308" t="str">
        <f>VLOOKUP(Table2[[#This Row],[Customer ID]],Table2[#All],6,FALSE)</f>
        <v>No</v>
      </c>
      <c r="H2308">
        <f>VLOOKUP(Table2[[#This Row],[Customer ID]],Table2[#All],7,FALSE)</f>
        <v>1</v>
      </c>
      <c r="I2308" t="str">
        <f>VLOOKUP(Table2[[#This Row],[Customer ID]],Table2[#All],8,FALSE)</f>
        <v>No</v>
      </c>
      <c r="J2308" t="str">
        <f>VLOOKUP(Table2[[#This Row],[Customer ID]],Table2[#All],9,FALSE)</f>
        <v>Normalweight</v>
      </c>
      <c r="K2308" t="str">
        <f>VLOOKUP(Table2[[#This Row],[Customer ID]],Table2[#All],10,FALSE)</f>
        <v>Normal</v>
      </c>
    </row>
    <row r="2309" spans="1:11" ht="15.6" x14ac:dyDescent="0.3">
      <c r="A2309" s="1" t="s">
        <v>50</v>
      </c>
      <c r="B2309" t="str">
        <f>VLOOKUP('Customer Names'!A2309,'Customer Names'!$A$1:$E$2336,4,FALSE)</f>
        <v>Ms.  Kristina</v>
      </c>
      <c r="C2309">
        <f>VLOOKUP(Table2[[#This Row],[Customer ID]],Table2[#All],2,FALSE)</f>
        <v>15.88</v>
      </c>
      <c r="D2309">
        <f>VLOOKUP(Table2[[#This Row],[Customer ID]],Table2[#All],3,FALSE)</f>
        <v>4.3600000000000003</v>
      </c>
      <c r="E2309" t="str">
        <f>VLOOKUP(Table2[[#This Row],[Customer ID]],Table2[#All],4,FALSE)</f>
        <v>No</v>
      </c>
      <c r="F2309" t="str">
        <f>VLOOKUP(Table2[[#This Row],[Customer ID]],Table2[#All],5,FALSE)</f>
        <v>No</v>
      </c>
      <c r="G2309" t="str">
        <f>VLOOKUP(Table2[[#This Row],[Customer ID]],Table2[#All],6,FALSE)</f>
        <v>No</v>
      </c>
      <c r="H2309">
        <f>VLOOKUP(Table2[[#This Row],[Customer ID]],Table2[#All],7,FALSE)</f>
        <v>0</v>
      </c>
      <c r="I2309" t="str">
        <f>VLOOKUP(Table2[[#This Row],[Customer ID]],Table2[#All],8,FALSE)</f>
        <v>No</v>
      </c>
      <c r="J2309" t="str">
        <f>VLOOKUP(Table2[[#This Row],[Customer ID]],Table2[#All],9,FALSE)</f>
        <v>Underweight</v>
      </c>
      <c r="K2309" t="str">
        <f>VLOOKUP(Table2[[#This Row],[Customer ID]],Table2[#All],10,FALSE)</f>
        <v>Normal</v>
      </c>
    </row>
    <row r="2310" spans="1:11" ht="15.6" x14ac:dyDescent="0.3">
      <c r="A2310" s="1" t="s">
        <v>49</v>
      </c>
      <c r="B2310" t="str">
        <f>VLOOKUP('Customer Names'!A2310,'Customer Names'!$A$1:$E$2336,4,FALSE)</f>
        <v>Ms.  Kristen</v>
      </c>
      <c r="C2310">
        <f>VLOOKUP(Table2[[#This Row],[Customer ID]],Table2[#All],2,FALSE)</f>
        <v>20.66</v>
      </c>
      <c r="D2310">
        <f>VLOOKUP(Table2[[#This Row],[Customer ID]],Table2[#All],3,FALSE)</f>
        <v>5.8</v>
      </c>
      <c r="E2310" t="str">
        <f>VLOOKUP(Table2[[#This Row],[Customer ID]],Table2[#All],4,FALSE)</f>
        <v>No</v>
      </c>
      <c r="F2310" t="str">
        <f>VLOOKUP(Table2[[#This Row],[Customer ID]],Table2[#All],5,FALSE)</f>
        <v>yes</v>
      </c>
      <c r="G2310" t="str">
        <f>VLOOKUP(Table2[[#This Row],[Customer ID]],Table2[#All],6,FALSE)</f>
        <v>No</v>
      </c>
      <c r="H2310">
        <f>VLOOKUP(Table2[[#This Row],[Customer ID]],Table2[#All],7,FALSE)</f>
        <v>1</v>
      </c>
      <c r="I2310" t="str">
        <f>VLOOKUP(Table2[[#This Row],[Customer ID]],Table2[#All],8,FALSE)</f>
        <v>No</v>
      </c>
      <c r="J2310" t="str">
        <f>VLOOKUP(Table2[[#This Row],[Customer ID]],Table2[#All],9,FALSE)</f>
        <v>Normalweight</v>
      </c>
      <c r="K2310" t="str">
        <f>VLOOKUP(Table2[[#This Row],[Customer ID]],Table2[#All],10,FALSE)</f>
        <v>Prediabetes</v>
      </c>
    </row>
    <row r="2311" spans="1:11" ht="15.6" x14ac:dyDescent="0.3">
      <c r="A2311" s="1" t="s">
        <v>48</v>
      </c>
      <c r="B2311" t="str">
        <f>VLOOKUP('Customer Names'!A2311,'Customer Names'!$A$1:$E$2336,4,FALSE)</f>
        <v>Mr.  Matthew</v>
      </c>
      <c r="C2311">
        <f>VLOOKUP(Table2[[#This Row],[Customer ID]],Table2[#All],2,FALSE)</f>
        <v>20.399999999999999</v>
      </c>
      <c r="D2311">
        <f>VLOOKUP(Table2[[#This Row],[Customer ID]],Table2[#All],3,FALSE)</f>
        <v>5.27</v>
      </c>
      <c r="E2311" t="str">
        <f>VLOOKUP(Table2[[#This Row],[Customer ID]],Table2[#All],4,FALSE)</f>
        <v>No</v>
      </c>
      <c r="F2311" t="str">
        <f>VLOOKUP(Table2[[#This Row],[Customer ID]],Table2[#All],5,FALSE)</f>
        <v>No</v>
      </c>
      <c r="G2311" t="str">
        <f>VLOOKUP(Table2[[#This Row],[Customer ID]],Table2[#All],6,FALSE)</f>
        <v>No</v>
      </c>
      <c r="H2311">
        <f>VLOOKUP(Table2[[#This Row],[Customer ID]],Table2[#All],7,FALSE)</f>
        <v>0</v>
      </c>
      <c r="I2311" t="str">
        <f>VLOOKUP(Table2[[#This Row],[Customer ID]],Table2[#All],8,FALSE)</f>
        <v>No</v>
      </c>
      <c r="J2311" t="str">
        <f>VLOOKUP(Table2[[#This Row],[Customer ID]],Table2[#All],9,FALSE)</f>
        <v>Normalweight</v>
      </c>
      <c r="K2311" t="str">
        <f>VLOOKUP(Table2[[#This Row],[Customer ID]],Table2[#All],10,FALSE)</f>
        <v>Normal</v>
      </c>
    </row>
    <row r="2312" spans="1:11" ht="15.6" x14ac:dyDescent="0.3">
      <c r="A2312" s="1" t="s">
        <v>47</v>
      </c>
      <c r="B2312" t="str">
        <f>VLOOKUP('Customer Names'!A2312,'Customer Names'!$A$1:$E$2336,4,FALSE)</f>
        <v>Mrs.  Kathleen</v>
      </c>
      <c r="C2312">
        <f>VLOOKUP(Table2[[#This Row],[Customer ID]],Table2[#All],2,FALSE)</f>
        <v>25.19</v>
      </c>
      <c r="D2312">
        <f>VLOOKUP(Table2[[#This Row],[Customer ID]],Table2[#All],3,FALSE)</f>
        <v>5.64</v>
      </c>
      <c r="E2312" t="str">
        <f>VLOOKUP(Table2[[#This Row],[Customer ID]],Table2[#All],4,FALSE)</f>
        <v>Yes</v>
      </c>
      <c r="F2312" t="str">
        <f>VLOOKUP(Table2[[#This Row],[Customer ID]],Table2[#All],5,FALSE)</f>
        <v>No</v>
      </c>
      <c r="G2312" t="str">
        <f>VLOOKUP(Table2[[#This Row],[Customer ID]],Table2[#All],6,FALSE)</f>
        <v>No</v>
      </c>
      <c r="H2312">
        <f>VLOOKUP(Table2[[#This Row],[Customer ID]],Table2[#All],7,FALSE)</f>
        <v>0</v>
      </c>
      <c r="I2312" t="str">
        <f>VLOOKUP(Table2[[#This Row],[Customer ID]],Table2[#All],8,FALSE)</f>
        <v>No</v>
      </c>
      <c r="J2312" t="str">
        <f>VLOOKUP(Table2[[#This Row],[Customer ID]],Table2[#All],9,FALSE)</f>
        <v>Overweight</v>
      </c>
      <c r="K2312" t="str">
        <f>VLOOKUP(Table2[[#This Row],[Customer ID]],Table2[#All],10,FALSE)</f>
        <v>Normal</v>
      </c>
    </row>
    <row r="2313" spans="1:11" ht="15.6" x14ac:dyDescent="0.3">
      <c r="A2313" s="1" t="s">
        <v>46</v>
      </c>
      <c r="B2313" t="str">
        <f>VLOOKUP('Customer Names'!A2313,'Customer Names'!$A$1:$E$2336,4,FALSE)</f>
        <v>Ms.  Lindsey</v>
      </c>
      <c r="C2313">
        <f>VLOOKUP(Table2[[#This Row],[Customer ID]],Table2[#All],2,FALSE)</f>
        <v>20.54</v>
      </c>
      <c r="D2313">
        <f>VLOOKUP(Table2[[#This Row],[Customer ID]],Table2[#All],3,FALSE)</f>
        <v>4.2</v>
      </c>
      <c r="E2313" t="str">
        <f>VLOOKUP(Table2[[#This Row],[Customer ID]],Table2[#All],4,FALSE)</f>
        <v>Yes</v>
      </c>
      <c r="F2313" t="str">
        <f>VLOOKUP(Table2[[#This Row],[Customer ID]],Table2[#All],5,FALSE)</f>
        <v>No</v>
      </c>
      <c r="G2313" t="str">
        <f>VLOOKUP(Table2[[#This Row],[Customer ID]],Table2[#All],6,FALSE)</f>
        <v>No</v>
      </c>
      <c r="H2313">
        <f>VLOOKUP(Table2[[#This Row],[Customer ID]],Table2[#All],7,FALSE)</f>
        <v>1</v>
      </c>
      <c r="I2313" t="str">
        <f>VLOOKUP(Table2[[#This Row],[Customer ID]],Table2[#All],8,FALSE)</f>
        <v>No</v>
      </c>
      <c r="J2313" t="str">
        <f>VLOOKUP(Table2[[#This Row],[Customer ID]],Table2[#All],9,FALSE)</f>
        <v>Normalweight</v>
      </c>
      <c r="K2313" t="str">
        <f>VLOOKUP(Table2[[#This Row],[Customer ID]],Table2[#All],10,FALSE)</f>
        <v>Normal</v>
      </c>
    </row>
    <row r="2314" spans="1:11" ht="15.6" x14ac:dyDescent="0.3">
      <c r="A2314" s="1" t="s">
        <v>45</v>
      </c>
      <c r="B2314" t="str">
        <f>VLOOKUP('Customer Names'!A2314,'Customer Names'!$A$1:$E$2336,4,FALSE)</f>
        <v>Mr.  Robert</v>
      </c>
      <c r="C2314">
        <f>VLOOKUP(Table2[[#This Row],[Customer ID]],Table2[#All],2,FALSE)</f>
        <v>20.13</v>
      </c>
      <c r="D2314">
        <f>VLOOKUP(Table2[[#This Row],[Customer ID]],Table2[#All],3,FALSE)</f>
        <v>5.42</v>
      </c>
      <c r="E2314" t="str">
        <f>VLOOKUP(Table2[[#This Row],[Customer ID]],Table2[#All],4,FALSE)</f>
        <v>No</v>
      </c>
      <c r="F2314" t="str">
        <f>VLOOKUP(Table2[[#This Row],[Customer ID]],Table2[#All],5,FALSE)</f>
        <v>No</v>
      </c>
      <c r="G2314" t="str">
        <f>VLOOKUP(Table2[[#This Row],[Customer ID]],Table2[#All],6,FALSE)</f>
        <v>No</v>
      </c>
      <c r="H2314">
        <f>VLOOKUP(Table2[[#This Row],[Customer ID]],Table2[#All],7,FALSE)</f>
        <v>0</v>
      </c>
      <c r="I2314" t="str">
        <f>VLOOKUP(Table2[[#This Row],[Customer ID]],Table2[#All],8,FALSE)</f>
        <v>No</v>
      </c>
      <c r="J2314" t="str">
        <f>VLOOKUP(Table2[[#This Row],[Customer ID]],Table2[#All],9,FALSE)</f>
        <v>Normalweight</v>
      </c>
      <c r="K2314" t="str">
        <f>VLOOKUP(Table2[[#This Row],[Customer ID]],Table2[#All],10,FALSE)</f>
        <v>Normal</v>
      </c>
    </row>
    <row r="2315" spans="1:11" ht="15.6" x14ac:dyDescent="0.3">
      <c r="A2315" s="1" t="s">
        <v>44</v>
      </c>
      <c r="B2315" t="str">
        <f>VLOOKUP('Customer Names'!A2315,'Customer Names'!$A$1:$E$2336,4,FALSE)</f>
        <v>Ms.  Sarah E.</v>
      </c>
      <c r="C2315">
        <f>VLOOKUP(Table2[[#This Row],[Customer ID]],Table2[#All],2,FALSE)</f>
        <v>18.93</v>
      </c>
      <c r="D2315">
        <f>VLOOKUP(Table2[[#This Row],[Customer ID]],Table2[#All],3,FALSE)</f>
        <v>6.11</v>
      </c>
      <c r="E2315" t="str">
        <f>VLOOKUP(Table2[[#This Row],[Customer ID]],Table2[#All],4,FALSE)</f>
        <v>No</v>
      </c>
      <c r="F2315" t="str">
        <f>VLOOKUP(Table2[[#This Row],[Customer ID]],Table2[#All],5,FALSE)</f>
        <v>No</v>
      </c>
      <c r="G2315" t="str">
        <f>VLOOKUP(Table2[[#This Row],[Customer ID]],Table2[#All],6,FALSE)</f>
        <v>Yes</v>
      </c>
      <c r="H2315">
        <f>VLOOKUP(Table2[[#This Row],[Customer ID]],Table2[#All],7,FALSE)</f>
        <v>1</v>
      </c>
      <c r="I2315" t="str">
        <f>VLOOKUP(Table2[[#This Row],[Customer ID]],Table2[#All],8,FALSE)</f>
        <v>No</v>
      </c>
      <c r="J2315" t="str">
        <f>VLOOKUP(Table2[[#This Row],[Customer ID]],Table2[#All],9,FALSE)</f>
        <v>Normalweight</v>
      </c>
      <c r="K2315" t="str">
        <f>VLOOKUP(Table2[[#This Row],[Customer ID]],Table2[#All],10,FALSE)</f>
        <v>Prediabetes</v>
      </c>
    </row>
    <row r="2316" spans="1:11" ht="15.6" x14ac:dyDescent="0.3">
      <c r="A2316" s="1" t="s">
        <v>43</v>
      </c>
      <c r="B2316" t="str">
        <f>VLOOKUP('Customer Names'!A2316,'Customer Names'!$A$1:$E$2336,4,FALSE)</f>
        <v>Ms.  Flannery</v>
      </c>
      <c r="C2316">
        <f>VLOOKUP(Table2[[#This Row],[Customer ID]],Table2[#All],2,FALSE)</f>
        <v>24.14</v>
      </c>
      <c r="D2316">
        <f>VLOOKUP(Table2[[#This Row],[Customer ID]],Table2[#All],3,FALSE)</f>
        <v>5.29</v>
      </c>
      <c r="E2316" t="str">
        <f>VLOOKUP(Table2[[#This Row],[Customer ID]],Table2[#All],4,FALSE)</f>
        <v>No</v>
      </c>
      <c r="F2316" t="str">
        <f>VLOOKUP(Table2[[#This Row],[Customer ID]],Table2[#All],5,FALSE)</f>
        <v>yes</v>
      </c>
      <c r="G2316" t="str">
        <f>VLOOKUP(Table2[[#This Row],[Customer ID]],Table2[#All],6,FALSE)</f>
        <v>No</v>
      </c>
      <c r="H2316">
        <f>VLOOKUP(Table2[[#This Row],[Customer ID]],Table2[#All],7,FALSE)</f>
        <v>1</v>
      </c>
      <c r="I2316" t="str">
        <f>VLOOKUP(Table2[[#This Row],[Customer ID]],Table2[#All],8,FALSE)</f>
        <v>No</v>
      </c>
      <c r="J2316" t="str">
        <f>VLOOKUP(Table2[[#This Row],[Customer ID]],Table2[#All],9,FALSE)</f>
        <v>Normalweight</v>
      </c>
      <c r="K2316" t="str">
        <f>VLOOKUP(Table2[[#This Row],[Customer ID]],Table2[#All],10,FALSE)</f>
        <v>Normal</v>
      </c>
    </row>
    <row r="2317" spans="1:11" ht="15.6" x14ac:dyDescent="0.3">
      <c r="A2317" s="1" t="s">
        <v>41</v>
      </c>
      <c r="B2317" t="str">
        <f>VLOOKUP('Customer Names'!A2317,'Customer Names'!$A$1:$E$2336,4,FALSE)</f>
        <v>Mr.  John T</v>
      </c>
      <c r="C2317">
        <f>VLOOKUP(Table2[[#This Row],[Customer ID]],Table2[#All],2,FALSE)</f>
        <v>25.03</v>
      </c>
      <c r="D2317">
        <f>VLOOKUP(Table2[[#This Row],[Customer ID]],Table2[#All],3,FALSE)</f>
        <v>5.91</v>
      </c>
      <c r="E2317" t="str">
        <f>VLOOKUP(Table2[[#This Row],[Customer ID]],Table2[#All],4,FALSE)</f>
        <v>No</v>
      </c>
      <c r="F2317" t="str">
        <f>VLOOKUP(Table2[[#This Row],[Customer ID]],Table2[#All],5,FALSE)</f>
        <v>yes</v>
      </c>
      <c r="G2317" t="str">
        <f>VLOOKUP(Table2[[#This Row],[Customer ID]],Table2[#All],6,FALSE)</f>
        <v>No</v>
      </c>
      <c r="H2317">
        <f>VLOOKUP(Table2[[#This Row],[Customer ID]],Table2[#All],7,FALSE)</f>
        <v>1</v>
      </c>
      <c r="I2317" t="str">
        <f>VLOOKUP(Table2[[#This Row],[Customer ID]],Table2[#All],8,FALSE)</f>
        <v>No</v>
      </c>
      <c r="J2317" t="str">
        <f>VLOOKUP(Table2[[#This Row],[Customer ID]],Table2[#All],9,FALSE)</f>
        <v>Overweight</v>
      </c>
      <c r="K2317" t="str">
        <f>VLOOKUP(Table2[[#This Row],[Customer ID]],Table2[#All],10,FALSE)</f>
        <v>Prediabetes</v>
      </c>
    </row>
    <row r="2318" spans="1:11" ht="15.6" x14ac:dyDescent="0.3">
      <c r="A2318" s="1" t="s">
        <v>40</v>
      </c>
      <c r="B2318" t="str">
        <f>VLOOKUP('Customer Names'!A2318,'Customer Names'!$A$1:$E$2336,4,FALSE)</f>
        <v>Mr.  Koji</v>
      </c>
      <c r="C2318">
        <f>VLOOKUP(Table2[[#This Row],[Customer ID]],Table2[#All],2,FALSE)</f>
        <v>20.47</v>
      </c>
      <c r="D2318">
        <f>VLOOKUP(Table2[[#This Row],[Customer ID]],Table2[#All],3,FALSE)</f>
        <v>5.81</v>
      </c>
      <c r="E2318" t="str">
        <f>VLOOKUP(Table2[[#This Row],[Customer ID]],Table2[#All],4,FALSE)</f>
        <v>Yes</v>
      </c>
      <c r="F2318" t="str">
        <f>VLOOKUP(Table2[[#This Row],[Customer ID]],Table2[#All],5,FALSE)</f>
        <v>No</v>
      </c>
      <c r="G2318" t="str">
        <f>VLOOKUP(Table2[[#This Row],[Customer ID]],Table2[#All],6,FALSE)</f>
        <v>No</v>
      </c>
      <c r="H2318">
        <f>VLOOKUP(Table2[[#This Row],[Customer ID]],Table2[#All],7,FALSE)</f>
        <v>1</v>
      </c>
      <c r="I2318" t="str">
        <f>VLOOKUP(Table2[[#This Row],[Customer ID]],Table2[#All],8,FALSE)</f>
        <v>No</v>
      </c>
      <c r="J2318" t="str">
        <f>VLOOKUP(Table2[[#This Row],[Customer ID]],Table2[#All],9,FALSE)</f>
        <v>Normalweight</v>
      </c>
      <c r="K2318" t="str">
        <f>VLOOKUP(Table2[[#This Row],[Customer ID]],Table2[#All],10,FALSE)</f>
        <v>Prediabetes</v>
      </c>
    </row>
    <row r="2319" spans="1:11" ht="15.6" x14ac:dyDescent="0.3">
      <c r="A2319" s="1" t="s">
        <v>39</v>
      </c>
      <c r="B2319" t="str">
        <f>VLOOKUP('Customer Names'!A2319,'Customer Names'!$A$1:$E$2336,4,FALSE)</f>
        <v>Ms.  Candice M</v>
      </c>
      <c r="C2319">
        <f>VLOOKUP(Table2[[#This Row],[Customer ID]],Table2[#All],2,FALSE)</f>
        <v>18.82</v>
      </c>
      <c r="D2319">
        <f>VLOOKUP(Table2[[#This Row],[Customer ID]],Table2[#All],3,FALSE)</f>
        <v>5.51</v>
      </c>
      <c r="E2319" t="str">
        <f>VLOOKUP(Table2[[#This Row],[Customer ID]],Table2[#All],4,FALSE)</f>
        <v>Yes</v>
      </c>
      <c r="F2319" t="str">
        <f>VLOOKUP(Table2[[#This Row],[Customer ID]],Table2[#All],5,FALSE)</f>
        <v>No</v>
      </c>
      <c r="G2319" t="str">
        <f>VLOOKUP(Table2[[#This Row],[Customer ID]],Table2[#All],6,FALSE)</f>
        <v>No</v>
      </c>
      <c r="H2319">
        <f>VLOOKUP(Table2[[#This Row],[Customer ID]],Table2[#All],7,FALSE)</f>
        <v>0</v>
      </c>
      <c r="I2319" t="str">
        <f>VLOOKUP(Table2[[#This Row],[Customer ID]],Table2[#All],8,FALSE)</f>
        <v>No</v>
      </c>
      <c r="J2319" t="str">
        <f>VLOOKUP(Table2[[#This Row],[Customer ID]],Table2[#All],9,FALSE)</f>
        <v>Normalweight</v>
      </c>
      <c r="K2319" t="str">
        <f>VLOOKUP(Table2[[#This Row],[Customer ID]],Table2[#All],10,FALSE)</f>
        <v>Normal</v>
      </c>
    </row>
    <row r="2320" spans="1:11" ht="15.6" x14ac:dyDescent="0.3">
      <c r="A2320" s="1" t="s">
        <v>38</v>
      </c>
      <c r="B2320" t="str">
        <f>VLOOKUP('Customer Names'!A2320,'Customer Names'!$A$1:$E$2336,4,FALSE)</f>
        <v>Mr.  Theodore A.</v>
      </c>
      <c r="C2320">
        <f>VLOOKUP(Table2[[#This Row],[Customer ID]],Table2[#All],2,FALSE)</f>
        <v>17.079999999999998</v>
      </c>
      <c r="D2320">
        <f>VLOOKUP(Table2[[#This Row],[Customer ID]],Table2[#All],3,FALSE)</f>
        <v>5.73</v>
      </c>
      <c r="E2320" t="str">
        <f>VLOOKUP(Table2[[#This Row],[Customer ID]],Table2[#All],4,FALSE)</f>
        <v>No</v>
      </c>
      <c r="F2320" t="str">
        <f>VLOOKUP(Table2[[#This Row],[Customer ID]],Table2[#All],5,FALSE)</f>
        <v>No</v>
      </c>
      <c r="G2320" t="str">
        <f>VLOOKUP(Table2[[#This Row],[Customer ID]],Table2[#All],6,FALSE)</f>
        <v>Yes</v>
      </c>
      <c r="H2320">
        <f>VLOOKUP(Table2[[#This Row],[Customer ID]],Table2[#All],7,FALSE)</f>
        <v>1</v>
      </c>
      <c r="I2320" t="str">
        <f>VLOOKUP(Table2[[#This Row],[Customer ID]],Table2[#All],8,FALSE)</f>
        <v>No</v>
      </c>
      <c r="J2320" t="str">
        <f>VLOOKUP(Table2[[#This Row],[Customer ID]],Table2[#All],9,FALSE)</f>
        <v>Underweight</v>
      </c>
      <c r="K2320" t="str">
        <f>VLOOKUP(Table2[[#This Row],[Customer ID]],Table2[#All],10,FALSE)</f>
        <v>Prediabetes</v>
      </c>
    </row>
    <row r="2321" spans="1:11" ht="15.6" x14ac:dyDescent="0.3">
      <c r="A2321" s="1" t="s">
        <v>36</v>
      </c>
      <c r="B2321" t="str">
        <f>VLOOKUP('Customer Names'!A2321,'Customer Names'!$A$1:$E$2336,4,FALSE)</f>
        <v>Ms.  Lindy</v>
      </c>
      <c r="C2321">
        <f>VLOOKUP(Table2[[#This Row],[Customer ID]],Table2[#All],2,FALSE)</f>
        <v>19.21</v>
      </c>
      <c r="D2321">
        <f>VLOOKUP(Table2[[#This Row],[Customer ID]],Table2[#All],3,FALSE)</f>
        <v>5.53</v>
      </c>
      <c r="E2321" t="str">
        <f>VLOOKUP(Table2[[#This Row],[Customer ID]],Table2[#All],4,FALSE)</f>
        <v>Yes</v>
      </c>
      <c r="F2321" t="str">
        <f>VLOOKUP(Table2[[#This Row],[Customer ID]],Table2[#All],5,FALSE)</f>
        <v>No</v>
      </c>
      <c r="G2321" t="str">
        <f>VLOOKUP(Table2[[#This Row],[Customer ID]],Table2[#All],6,FALSE)</f>
        <v>No</v>
      </c>
      <c r="H2321">
        <f>VLOOKUP(Table2[[#This Row],[Customer ID]],Table2[#All],7,FALSE)</f>
        <v>0</v>
      </c>
      <c r="I2321" t="str">
        <f>VLOOKUP(Table2[[#This Row],[Customer ID]],Table2[#All],8,FALSE)</f>
        <v>No</v>
      </c>
      <c r="J2321" t="str">
        <f>VLOOKUP(Table2[[#This Row],[Customer ID]],Table2[#All],9,FALSE)</f>
        <v>Normalweight</v>
      </c>
      <c r="K2321" t="str">
        <f>VLOOKUP(Table2[[#This Row],[Customer ID]],Table2[#All],10,FALSE)</f>
        <v>Normal</v>
      </c>
    </row>
    <row r="2322" spans="1:11" ht="15.6" x14ac:dyDescent="0.3">
      <c r="A2322" s="1" t="s">
        <v>34</v>
      </c>
      <c r="B2322" t="str">
        <f>VLOOKUP('Customer Names'!A2322,'Customer Names'!$A$1:$E$2336,4,FALSE)</f>
        <v>Mr.  Thomas</v>
      </c>
      <c r="C2322">
        <f>VLOOKUP(Table2[[#This Row],[Customer ID]],Table2[#All],2,FALSE)</f>
        <v>17.86</v>
      </c>
      <c r="D2322">
        <f>VLOOKUP(Table2[[#This Row],[Customer ID]],Table2[#All],3,FALSE)</f>
        <v>5.43</v>
      </c>
      <c r="E2322" t="str">
        <f>VLOOKUP(Table2[[#This Row],[Customer ID]],Table2[#All],4,FALSE)</f>
        <v>No</v>
      </c>
      <c r="F2322" t="str">
        <f>VLOOKUP(Table2[[#This Row],[Customer ID]],Table2[#All],5,FALSE)</f>
        <v>No</v>
      </c>
      <c r="G2322" t="str">
        <f>VLOOKUP(Table2[[#This Row],[Customer ID]],Table2[#All],6,FALSE)</f>
        <v>Yes</v>
      </c>
      <c r="H2322">
        <f>VLOOKUP(Table2[[#This Row],[Customer ID]],Table2[#All],7,FALSE)</f>
        <v>1</v>
      </c>
      <c r="I2322" t="str">
        <f>VLOOKUP(Table2[[#This Row],[Customer ID]],Table2[#All],8,FALSE)</f>
        <v>No</v>
      </c>
      <c r="J2322" t="str">
        <f>VLOOKUP(Table2[[#This Row],[Customer ID]],Table2[#All],9,FALSE)</f>
        <v>Underweight</v>
      </c>
      <c r="K2322" t="str">
        <f>VLOOKUP(Table2[[#This Row],[Customer ID]],Table2[#All],10,FALSE)</f>
        <v>Normal</v>
      </c>
    </row>
    <row r="2323" spans="1:11" ht="15.6" x14ac:dyDescent="0.3">
      <c r="A2323" s="1" t="s">
        <v>33</v>
      </c>
      <c r="B2323" t="str">
        <f>VLOOKUP('Customer Names'!A2323,'Customer Names'!$A$1:$E$2336,4,FALSE)</f>
        <v>Ms.  Holly</v>
      </c>
      <c r="C2323">
        <f>VLOOKUP(Table2[[#This Row],[Customer ID]],Table2[#All],2,FALSE)</f>
        <v>21.38</v>
      </c>
      <c r="D2323">
        <f>VLOOKUP(Table2[[#This Row],[Customer ID]],Table2[#All],3,FALSE)</f>
        <v>8.01</v>
      </c>
      <c r="E2323" t="str">
        <f>VLOOKUP(Table2[[#This Row],[Customer ID]],Table2[#All],4,FALSE)</f>
        <v>No</v>
      </c>
      <c r="F2323" t="str">
        <f>VLOOKUP(Table2[[#This Row],[Customer ID]],Table2[#All],5,FALSE)</f>
        <v>No</v>
      </c>
      <c r="G2323" t="str">
        <f>VLOOKUP(Table2[[#This Row],[Customer ID]],Table2[#All],6,FALSE)</f>
        <v>No</v>
      </c>
      <c r="H2323">
        <f>VLOOKUP(Table2[[#This Row],[Customer ID]],Table2[#All],7,FALSE)</f>
        <v>0</v>
      </c>
      <c r="I2323" t="str">
        <f>VLOOKUP(Table2[[#This Row],[Customer ID]],Table2[#All],8,FALSE)</f>
        <v>No</v>
      </c>
      <c r="J2323" t="str">
        <f>VLOOKUP(Table2[[#This Row],[Customer ID]],Table2[#All],9,FALSE)</f>
        <v>Normalweight</v>
      </c>
      <c r="K2323" t="str">
        <f>VLOOKUP(Table2[[#This Row],[Customer ID]],Table2[#All],10,FALSE)</f>
        <v>Diabetes</v>
      </c>
    </row>
    <row r="2324" spans="1:11" ht="15.6" x14ac:dyDescent="0.3">
      <c r="A2324" s="1" t="s">
        <v>32</v>
      </c>
      <c r="B2324" t="str">
        <f>VLOOKUP('Customer Names'!A2324,'Customer Names'!$A$1:$E$2336,4,FALSE)</f>
        <v>Mr.  Matthew</v>
      </c>
      <c r="C2324">
        <f>VLOOKUP(Table2[[#This Row],[Customer ID]],Table2[#All],2,FALSE)</f>
        <v>23.35</v>
      </c>
      <c r="D2324">
        <f>VLOOKUP(Table2[[#This Row],[Customer ID]],Table2[#All],3,FALSE)</f>
        <v>5.94</v>
      </c>
      <c r="E2324" t="str">
        <f>VLOOKUP(Table2[[#This Row],[Customer ID]],Table2[#All],4,FALSE)</f>
        <v>No</v>
      </c>
      <c r="F2324" t="str">
        <f>VLOOKUP(Table2[[#This Row],[Customer ID]],Table2[#All],5,FALSE)</f>
        <v>No</v>
      </c>
      <c r="G2324" t="str">
        <f>VLOOKUP(Table2[[#This Row],[Customer ID]],Table2[#All],6,FALSE)</f>
        <v>No</v>
      </c>
      <c r="H2324">
        <f>VLOOKUP(Table2[[#This Row],[Customer ID]],Table2[#All],7,FALSE)</f>
        <v>0</v>
      </c>
      <c r="I2324" t="str">
        <f>VLOOKUP(Table2[[#This Row],[Customer ID]],Table2[#All],8,FALSE)</f>
        <v>No</v>
      </c>
      <c r="J2324" t="str">
        <f>VLOOKUP(Table2[[#This Row],[Customer ID]],Table2[#All],9,FALSE)</f>
        <v>Normalweight</v>
      </c>
      <c r="K2324" t="str">
        <f>VLOOKUP(Table2[[#This Row],[Customer ID]],Table2[#All],10,FALSE)</f>
        <v>Prediabetes</v>
      </c>
    </row>
    <row r="2325" spans="1:11" ht="15.6" x14ac:dyDescent="0.3">
      <c r="A2325" s="1" t="s">
        <v>29</v>
      </c>
      <c r="B2325" t="str">
        <f>VLOOKUP('Customer Names'!A2325,'Customer Names'!$A$1:$E$2336,4,FALSE)</f>
        <v>Ms.  Meghan K</v>
      </c>
      <c r="C2325">
        <f>VLOOKUP(Table2[[#This Row],[Customer ID]],Table2[#All],2,FALSE)</f>
        <v>22.24</v>
      </c>
      <c r="D2325">
        <f>VLOOKUP(Table2[[#This Row],[Customer ID]],Table2[#All],3,FALSE)</f>
        <v>5.04</v>
      </c>
      <c r="E2325" t="str">
        <f>VLOOKUP(Table2[[#This Row],[Customer ID]],Table2[#All],4,FALSE)</f>
        <v>No</v>
      </c>
      <c r="F2325" t="str">
        <f>VLOOKUP(Table2[[#This Row],[Customer ID]],Table2[#All],5,FALSE)</f>
        <v>No</v>
      </c>
      <c r="G2325" t="str">
        <f>VLOOKUP(Table2[[#This Row],[Customer ID]],Table2[#All],6,FALSE)</f>
        <v>No</v>
      </c>
      <c r="H2325">
        <f>VLOOKUP(Table2[[#This Row],[Customer ID]],Table2[#All],7,FALSE)</f>
        <v>0</v>
      </c>
      <c r="I2325" t="str">
        <f>VLOOKUP(Table2[[#This Row],[Customer ID]],Table2[#All],8,FALSE)</f>
        <v>No</v>
      </c>
      <c r="J2325" t="str">
        <f>VLOOKUP(Table2[[#This Row],[Customer ID]],Table2[#All],9,FALSE)</f>
        <v>Normalweight</v>
      </c>
      <c r="K2325" t="str">
        <f>VLOOKUP(Table2[[#This Row],[Customer ID]],Table2[#All],10,FALSE)</f>
        <v>Normal</v>
      </c>
    </row>
    <row r="2326" spans="1:11" ht="15.6" x14ac:dyDescent="0.3">
      <c r="A2326" s="1" t="s">
        <v>28</v>
      </c>
      <c r="B2326" t="str">
        <f>VLOOKUP('Customer Names'!A2326,'Customer Names'!$A$1:$E$2336,4,FALSE)</f>
        <v>Mr.  Fred</v>
      </c>
      <c r="C2326">
        <f>VLOOKUP(Table2[[#This Row],[Customer ID]],Table2[#All],2,FALSE)</f>
        <v>24.76</v>
      </c>
      <c r="D2326">
        <f>VLOOKUP(Table2[[#This Row],[Customer ID]],Table2[#All],3,FALSE)</f>
        <v>4.54</v>
      </c>
      <c r="E2326" t="str">
        <f>VLOOKUP(Table2[[#This Row],[Customer ID]],Table2[#All],4,FALSE)</f>
        <v>Yes</v>
      </c>
      <c r="F2326" t="str">
        <f>VLOOKUP(Table2[[#This Row],[Customer ID]],Table2[#All],5,FALSE)</f>
        <v>No</v>
      </c>
      <c r="G2326" t="str">
        <f>VLOOKUP(Table2[[#This Row],[Customer ID]],Table2[#All],6,FALSE)</f>
        <v>No</v>
      </c>
      <c r="H2326">
        <f>VLOOKUP(Table2[[#This Row],[Customer ID]],Table2[#All],7,FALSE)</f>
        <v>0</v>
      </c>
      <c r="I2326" t="str">
        <f>VLOOKUP(Table2[[#This Row],[Customer ID]],Table2[#All],8,FALSE)</f>
        <v>No</v>
      </c>
      <c r="J2326" t="str">
        <f>VLOOKUP(Table2[[#This Row],[Customer ID]],Table2[#All],9,FALSE)</f>
        <v>Normalweight</v>
      </c>
      <c r="K2326" t="str">
        <f>VLOOKUP(Table2[[#This Row],[Customer ID]],Table2[#All],10,FALSE)</f>
        <v>Normal</v>
      </c>
    </row>
    <row r="2327" spans="1:11" ht="15.6" x14ac:dyDescent="0.3">
      <c r="A2327" s="1" t="s">
        <v>27</v>
      </c>
      <c r="B2327" t="str">
        <f>VLOOKUP('Customer Names'!A2327,'Customer Names'!$A$1:$E$2336,4,FALSE)</f>
        <v>Mr.  Sebastian</v>
      </c>
      <c r="C2327">
        <f>VLOOKUP(Table2[[#This Row],[Customer ID]],Table2[#All],2,FALSE)</f>
        <v>20.100000000000001</v>
      </c>
      <c r="D2327">
        <f>VLOOKUP(Table2[[#This Row],[Customer ID]],Table2[#All],3,FALSE)</f>
        <v>5.6</v>
      </c>
      <c r="E2327" t="str">
        <f>VLOOKUP(Table2[[#This Row],[Customer ID]],Table2[#All],4,FALSE)</f>
        <v>Yes</v>
      </c>
      <c r="F2327" t="str">
        <f>VLOOKUP(Table2[[#This Row],[Customer ID]],Table2[#All],5,FALSE)</f>
        <v>No</v>
      </c>
      <c r="G2327" t="str">
        <f>VLOOKUP(Table2[[#This Row],[Customer ID]],Table2[#All],6,FALSE)</f>
        <v>Yes</v>
      </c>
      <c r="H2327">
        <f>VLOOKUP(Table2[[#This Row],[Customer ID]],Table2[#All],7,FALSE)</f>
        <v>1</v>
      </c>
      <c r="I2327" t="str">
        <f>VLOOKUP(Table2[[#This Row],[Customer ID]],Table2[#All],8,FALSE)</f>
        <v>No</v>
      </c>
      <c r="J2327" t="str">
        <f>VLOOKUP(Table2[[#This Row],[Customer ID]],Table2[#All],9,FALSE)</f>
        <v>Normalweight</v>
      </c>
      <c r="K2327" t="str">
        <f>VLOOKUP(Table2[[#This Row],[Customer ID]],Table2[#All],10,FALSE)</f>
        <v>Normal</v>
      </c>
    </row>
    <row r="2328" spans="1:11" ht="15.6" x14ac:dyDescent="0.3">
      <c r="A2328" s="1" t="s">
        <v>26</v>
      </c>
      <c r="B2328" t="str">
        <f>VLOOKUP('Customer Names'!A2328,'Customer Names'!$A$1:$E$2336,4,FALSE)</f>
        <v>Ms.  Laura</v>
      </c>
      <c r="C2328">
        <f>VLOOKUP(Table2[[#This Row],[Customer ID]],Table2[#All],2,FALSE)</f>
        <v>21.77</v>
      </c>
      <c r="D2328">
        <f>VLOOKUP(Table2[[#This Row],[Customer ID]],Table2[#All],3,FALSE)</f>
        <v>10.67</v>
      </c>
      <c r="E2328" t="str">
        <f>VLOOKUP(Table2[[#This Row],[Customer ID]],Table2[#All],4,FALSE)</f>
        <v>No</v>
      </c>
      <c r="F2328" t="str">
        <f>VLOOKUP(Table2[[#This Row],[Customer ID]],Table2[#All],5,FALSE)</f>
        <v>No</v>
      </c>
      <c r="G2328" t="str">
        <f>VLOOKUP(Table2[[#This Row],[Customer ID]],Table2[#All],6,FALSE)</f>
        <v>No</v>
      </c>
      <c r="H2328">
        <f>VLOOKUP(Table2[[#This Row],[Customer ID]],Table2[#All],7,FALSE)</f>
        <v>0</v>
      </c>
      <c r="I2328" t="str">
        <f>VLOOKUP(Table2[[#This Row],[Customer ID]],Table2[#All],8,FALSE)</f>
        <v>No</v>
      </c>
      <c r="J2328" t="str">
        <f>VLOOKUP(Table2[[#This Row],[Customer ID]],Table2[#All],9,FALSE)</f>
        <v>Normalweight</v>
      </c>
      <c r="K2328" t="str">
        <f>VLOOKUP(Table2[[#This Row],[Customer ID]],Table2[#All],10,FALSE)</f>
        <v>Diabetes</v>
      </c>
    </row>
    <row r="2329" spans="1:11" ht="15.6" x14ac:dyDescent="0.3">
      <c r="A2329" s="1" t="s">
        <v>25</v>
      </c>
      <c r="B2329" t="str">
        <f>VLOOKUP('Customer Names'!A2329,'Customer Names'!$A$1:$E$2336,4,FALSE)</f>
        <v>Ms.  Nicole</v>
      </c>
      <c r="C2329">
        <f>VLOOKUP(Table2[[#This Row],[Customer ID]],Table2[#All],2,FALSE)</f>
        <v>17.82</v>
      </c>
      <c r="D2329">
        <f>VLOOKUP(Table2[[#This Row],[Customer ID]],Table2[#All],3,FALSE)</f>
        <v>5.26</v>
      </c>
      <c r="E2329" t="str">
        <f>VLOOKUP(Table2[[#This Row],[Customer ID]],Table2[#All],4,FALSE)</f>
        <v>Yes</v>
      </c>
      <c r="F2329" t="str">
        <f>VLOOKUP(Table2[[#This Row],[Customer ID]],Table2[#All],5,FALSE)</f>
        <v>No</v>
      </c>
      <c r="G2329" t="str">
        <f>VLOOKUP(Table2[[#This Row],[Customer ID]],Table2[#All],6,FALSE)</f>
        <v>No</v>
      </c>
      <c r="H2329">
        <f>VLOOKUP(Table2[[#This Row],[Customer ID]],Table2[#All],7,FALSE)</f>
        <v>1</v>
      </c>
      <c r="I2329" t="str">
        <f>VLOOKUP(Table2[[#This Row],[Customer ID]],Table2[#All],8,FALSE)</f>
        <v>No</v>
      </c>
      <c r="J2329" t="str">
        <f>VLOOKUP(Table2[[#This Row],[Customer ID]],Table2[#All],9,FALSE)</f>
        <v>Underweight</v>
      </c>
      <c r="K2329" t="str">
        <f>VLOOKUP(Table2[[#This Row],[Customer ID]],Table2[#All],10,FALSE)</f>
        <v>Normal</v>
      </c>
    </row>
    <row r="2330" spans="1:11" ht="15.6" x14ac:dyDescent="0.3">
      <c r="A2330" s="1" t="s">
        <v>24</v>
      </c>
      <c r="B2330" t="str">
        <f>VLOOKUP('Customer Names'!A2330,'Customer Names'!$A$1:$E$2336,4,FALSE)</f>
        <v>Ms.  Susan E</v>
      </c>
      <c r="C2330">
        <f>VLOOKUP(Table2[[#This Row],[Customer ID]],Table2[#All],2,FALSE)</f>
        <v>17.07</v>
      </c>
      <c r="D2330">
        <f>VLOOKUP(Table2[[#This Row],[Customer ID]],Table2[#All],3,FALSE)</f>
        <v>5.22</v>
      </c>
      <c r="E2330" t="str">
        <f>VLOOKUP(Table2[[#This Row],[Customer ID]],Table2[#All],4,FALSE)</f>
        <v>No</v>
      </c>
      <c r="F2330" t="str">
        <f>VLOOKUP(Table2[[#This Row],[Customer ID]],Table2[#All],5,FALSE)</f>
        <v>No</v>
      </c>
      <c r="G2330" t="str">
        <f>VLOOKUP(Table2[[#This Row],[Customer ID]],Table2[#All],6,FALSE)</f>
        <v>Yes</v>
      </c>
      <c r="H2330">
        <f>VLOOKUP(Table2[[#This Row],[Customer ID]],Table2[#All],7,FALSE)</f>
        <v>1</v>
      </c>
      <c r="I2330" t="str">
        <f>VLOOKUP(Table2[[#This Row],[Customer ID]],Table2[#All],8,FALSE)</f>
        <v>No</v>
      </c>
      <c r="J2330" t="str">
        <f>VLOOKUP(Table2[[#This Row],[Customer ID]],Table2[#All],9,FALSE)</f>
        <v>Underweight</v>
      </c>
      <c r="K2330" t="str">
        <f>VLOOKUP(Table2[[#This Row],[Customer ID]],Table2[#All],10,FALSE)</f>
        <v>Normal</v>
      </c>
    </row>
    <row r="2331" spans="1:11" ht="15.6" x14ac:dyDescent="0.3">
      <c r="A2331" s="1" t="s">
        <v>22</v>
      </c>
      <c r="B2331" t="str">
        <f>VLOOKUP('Customer Names'!A2331,'Customer Names'!$A$1:$E$2336,4,FALSE)</f>
        <v>Ms.  Katy</v>
      </c>
      <c r="C2331">
        <f>VLOOKUP(Table2[[#This Row],[Customer ID]],Table2[#All],2,FALSE)</f>
        <v>22.24</v>
      </c>
      <c r="D2331">
        <f>VLOOKUP(Table2[[#This Row],[Customer ID]],Table2[#All],3,FALSE)</f>
        <v>4.29</v>
      </c>
      <c r="E2331" t="str">
        <f>VLOOKUP(Table2[[#This Row],[Customer ID]],Table2[#All],4,FALSE)</f>
        <v>Yes</v>
      </c>
      <c r="F2331" t="str">
        <f>VLOOKUP(Table2[[#This Row],[Customer ID]],Table2[#All],5,FALSE)</f>
        <v>No</v>
      </c>
      <c r="G2331" t="str">
        <f>VLOOKUP(Table2[[#This Row],[Customer ID]],Table2[#All],6,FALSE)</f>
        <v>No</v>
      </c>
      <c r="H2331">
        <f>VLOOKUP(Table2[[#This Row],[Customer ID]],Table2[#All],7,FALSE)</f>
        <v>0</v>
      </c>
      <c r="I2331" t="str">
        <f>VLOOKUP(Table2[[#This Row],[Customer ID]],Table2[#All],8,FALSE)</f>
        <v>No</v>
      </c>
      <c r="J2331" t="str">
        <f>VLOOKUP(Table2[[#This Row],[Customer ID]],Table2[#All],9,FALSE)</f>
        <v>Normalweight</v>
      </c>
      <c r="K2331" t="str">
        <f>VLOOKUP(Table2[[#This Row],[Customer ID]],Table2[#All],10,FALSE)</f>
        <v>Normal</v>
      </c>
    </row>
    <row r="2332" spans="1:11" ht="15.6" x14ac:dyDescent="0.3">
      <c r="A2332" s="1" t="s">
        <v>21</v>
      </c>
      <c r="B2332" t="str">
        <f>VLOOKUP('Customer Names'!A2332,'Customer Names'!$A$1:$E$2336,4,FALSE)</f>
        <v>Mr.  Jordan</v>
      </c>
      <c r="C2332">
        <f>VLOOKUP(Table2[[#This Row],[Customer ID]],Table2[#All],2,FALSE)</f>
        <v>22.34</v>
      </c>
      <c r="D2332">
        <f>VLOOKUP(Table2[[#This Row],[Customer ID]],Table2[#All],3,FALSE)</f>
        <v>5.57</v>
      </c>
      <c r="E2332" t="str">
        <f>VLOOKUP(Table2[[#This Row],[Customer ID]],Table2[#All],4,FALSE)</f>
        <v>No</v>
      </c>
      <c r="F2332" t="str">
        <f>VLOOKUP(Table2[[#This Row],[Customer ID]],Table2[#All],5,FALSE)</f>
        <v>No</v>
      </c>
      <c r="G2332" t="str">
        <f>VLOOKUP(Table2[[#This Row],[Customer ID]],Table2[#All],6,FALSE)</f>
        <v>No</v>
      </c>
      <c r="H2332">
        <f>VLOOKUP(Table2[[#This Row],[Customer ID]],Table2[#All],7,FALSE)</f>
        <v>1</v>
      </c>
      <c r="I2332" t="str">
        <f>VLOOKUP(Table2[[#This Row],[Customer ID]],Table2[#All],8,FALSE)</f>
        <v>No</v>
      </c>
      <c r="J2332" t="str">
        <f>VLOOKUP(Table2[[#This Row],[Customer ID]],Table2[#All],9,FALSE)</f>
        <v>Normalweight</v>
      </c>
      <c r="K2332" t="str">
        <f>VLOOKUP(Table2[[#This Row],[Customer ID]],Table2[#All],10,FALSE)</f>
        <v>Normal</v>
      </c>
    </row>
    <row r="2333" spans="1:11" ht="15.6" x14ac:dyDescent="0.3">
      <c r="A2333" s="1" t="s">
        <v>19</v>
      </c>
      <c r="B2333" t="str">
        <f>VLOOKUP('Customer Names'!A2333,'Customer Names'!$A$1:$E$2336,4,FALSE)</f>
        <v>Mr.  Juan D. Sr.</v>
      </c>
      <c r="C2333">
        <f>VLOOKUP(Table2[[#This Row],[Customer ID]],Table2[#All],2,FALSE)</f>
        <v>17.7</v>
      </c>
      <c r="D2333">
        <f>VLOOKUP(Table2[[#This Row],[Customer ID]],Table2[#All],3,FALSE)</f>
        <v>6.28</v>
      </c>
      <c r="E2333" t="str">
        <f>VLOOKUP(Table2[[#This Row],[Customer ID]],Table2[#All],4,FALSE)</f>
        <v>No</v>
      </c>
      <c r="F2333" t="str">
        <f>VLOOKUP(Table2[[#This Row],[Customer ID]],Table2[#All],5,FALSE)</f>
        <v>No</v>
      </c>
      <c r="G2333" t="str">
        <f>VLOOKUP(Table2[[#This Row],[Customer ID]],Table2[#All],6,FALSE)</f>
        <v>No</v>
      </c>
      <c r="H2333">
        <f>VLOOKUP(Table2[[#This Row],[Customer ID]],Table2[#All],7,FALSE)</f>
        <v>1</v>
      </c>
      <c r="I2333" t="str">
        <f>VLOOKUP(Table2[[#This Row],[Customer ID]],Table2[#All],8,FALSE)</f>
        <v>No</v>
      </c>
      <c r="J2333" t="str">
        <f>VLOOKUP(Table2[[#This Row],[Customer ID]],Table2[#All],9,FALSE)</f>
        <v>Underweight</v>
      </c>
      <c r="K2333" t="str">
        <f>VLOOKUP(Table2[[#This Row],[Customer ID]],Table2[#All],10,FALSE)</f>
        <v>Prediabetes</v>
      </c>
    </row>
    <row r="2334" spans="1:11" ht="15.6" x14ac:dyDescent="0.3">
      <c r="A2334" s="1" t="s">
        <v>17</v>
      </c>
      <c r="B2334" t="str">
        <f>VLOOKUP('Customer Names'!A2334,'Customer Names'!$A$1:$E$2336,4,FALSE)</f>
        <v>Ms.  Julie</v>
      </c>
      <c r="C2334">
        <f>VLOOKUP(Table2[[#This Row],[Customer ID]],Table2[#All],2,FALSE)</f>
        <v>16.47</v>
      </c>
      <c r="D2334">
        <f>VLOOKUP(Table2[[#This Row],[Customer ID]],Table2[#All],3,FALSE)</f>
        <v>6.35</v>
      </c>
      <c r="E2334" t="str">
        <f>VLOOKUP(Table2[[#This Row],[Customer ID]],Table2[#All],4,FALSE)</f>
        <v>No</v>
      </c>
      <c r="F2334" t="str">
        <f>VLOOKUP(Table2[[#This Row],[Customer ID]],Table2[#All],5,FALSE)</f>
        <v>No</v>
      </c>
      <c r="G2334" t="str">
        <f>VLOOKUP(Table2[[#This Row],[Customer ID]],Table2[#All],6,FALSE)</f>
        <v>Yes</v>
      </c>
      <c r="H2334">
        <f>VLOOKUP(Table2[[#This Row],[Customer ID]],Table2[#All],7,FALSE)</f>
        <v>1</v>
      </c>
      <c r="I2334" t="str">
        <f>VLOOKUP(Table2[[#This Row],[Customer ID]],Table2[#All],8,FALSE)</f>
        <v>No</v>
      </c>
      <c r="J2334" t="str">
        <f>VLOOKUP(Table2[[#This Row],[Customer ID]],Table2[#All],9,FALSE)</f>
        <v>Underweight</v>
      </c>
      <c r="K2334" t="str">
        <f>VLOOKUP(Table2[[#This Row],[Customer ID]],Table2[#All],10,FALSE)</f>
        <v>Prediabetes</v>
      </c>
    </row>
    <row r="2335" spans="1:11" ht="15.6" x14ac:dyDescent="0.3">
      <c r="A2335" s="1" t="s">
        <v>14</v>
      </c>
      <c r="B2335" t="str">
        <f>VLOOKUP('Customer Names'!A2335,'Customer Names'!$A$1:$E$2336,4,FALSE)</f>
        <v>Mr.  Evan P</v>
      </c>
      <c r="C2335">
        <f>VLOOKUP(Table2[[#This Row],[Customer ID]],Table2[#All],2,FALSE)</f>
        <v>17.600000000000001</v>
      </c>
      <c r="D2335">
        <f>VLOOKUP(Table2[[#This Row],[Customer ID]],Table2[#All],3,FALSE)</f>
        <v>4.3899999999999997</v>
      </c>
      <c r="E2335" t="str">
        <f>VLOOKUP(Table2[[#This Row],[Customer ID]],Table2[#All],4,FALSE)</f>
        <v>No</v>
      </c>
      <c r="F2335" t="str">
        <f>VLOOKUP(Table2[[#This Row],[Customer ID]],Table2[#All],5,FALSE)</f>
        <v>No</v>
      </c>
      <c r="G2335" t="str">
        <f>VLOOKUP(Table2[[#This Row],[Customer ID]],Table2[#All],6,FALSE)</f>
        <v>No</v>
      </c>
      <c r="H2335">
        <f>VLOOKUP(Table2[[#This Row],[Customer ID]],Table2[#All],7,FALSE)</f>
        <v>1</v>
      </c>
      <c r="I2335" t="str">
        <f>VLOOKUP(Table2[[#This Row],[Customer ID]],Table2[#All],8,FALSE)</f>
        <v>No</v>
      </c>
      <c r="J2335" t="str">
        <f>VLOOKUP(Table2[[#This Row],[Customer ID]],Table2[#All],9,FALSE)</f>
        <v>Underweight</v>
      </c>
      <c r="K2335" t="str">
        <f>VLOOKUP(Table2[[#This Row],[Customer ID]],Table2[#All],10,FALSE)</f>
        <v>Normal</v>
      </c>
    </row>
    <row r="2336" spans="1:11" ht="15.6" x14ac:dyDescent="0.3">
      <c r="A2336" s="1" t="s">
        <v>9</v>
      </c>
      <c r="B2336" t="str">
        <f>VLOOKUP('Customer Names'!A2336,'Customer Names'!$A$1:$E$2336,4,FALSE)</f>
        <v>Mr.  Aaron K</v>
      </c>
      <c r="C2336">
        <f>VLOOKUP(Table2[[#This Row],[Customer ID]],Table2[#All],2,FALSE)</f>
        <v>17.579999999999998</v>
      </c>
      <c r="D2336">
        <f>VLOOKUP(Table2[[#This Row],[Customer ID]],Table2[#All],3,FALSE)</f>
        <v>4.51</v>
      </c>
      <c r="E2336" t="str">
        <f>VLOOKUP(Table2[[#This Row],[Customer ID]],Table2[#All],4,FALSE)</f>
        <v>No</v>
      </c>
      <c r="F2336" t="str">
        <f>VLOOKUP(Table2[[#This Row],[Customer ID]],Table2[#All],5,FALSE)</f>
        <v>No</v>
      </c>
      <c r="G2336" t="str">
        <f>VLOOKUP(Table2[[#This Row],[Customer ID]],Table2[#All],6,FALSE)</f>
        <v>No</v>
      </c>
      <c r="H2336">
        <f>VLOOKUP(Table2[[#This Row],[Customer ID]],Table2[#All],7,FALSE)</f>
        <v>1</v>
      </c>
      <c r="I2336" t="str">
        <f>VLOOKUP(Table2[[#This Row],[Customer ID]],Table2[#All],8,FALSE)</f>
        <v>No</v>
      </c>
      <c r="J2336" t="str">
        <f>VLOOKUP(Table2[[#This Row],[Customer ID]],Table2[#All],9,FALSE)</f>
        <v>Underweight</v>
      </c>
      <c r="K2336" t="str">
        <f>VLOOKUP(Table2[[#This Row],[Customer ID]],Table2[#All],10,FALSE)</f>
        <v>Normal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BDDA0D-1EFD-40E2-8131-59F0B0ADFA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Names</vt:lpstr>
      <vt:lpstr>Medical Examinations</vt:lpstr>
      <vt:lpstr>Hospitalisation Details</vt:lpstr>
      <vt:lpstr>healthcare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2025-09-23T07:09:32Z</dcterms:modified>
</cp:coreProperties>
</file>